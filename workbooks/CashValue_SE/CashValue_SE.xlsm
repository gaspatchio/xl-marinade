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/>
  <xr:revisionPtr revIDLastSave="0" documentId="13_ncr:1_{1E482F8D-8A3A-C545-941E-82073447D480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Cover" sheetId="1" r:id="rId1"/>
    <sheet name="Control" sheetId="2" r:id="rId2"/>
    <sheet name="Assumptions" sheetId="3" r:id="rId3"/>
    <sheet name="Model_Points" sheetId="4" r:id="rId4"/>
    <sheet name="Product_Specs" sheetId="5" r:id="rId5"/>
    <sheet name="Mortality" sheetId="6" r:id="rId6"/>
    <sheet name="Discount" sheetId="7" r:id="rId7"/>
    <sheet name="Surr_Charges" sheetId="8" r:id="rId8"/>
    <sheet name="Scenarios" sheetId="9" r:id="rId9"/>
    <sheet name="Projection" sheetId="10" r:id="rId10"/>
    <sheet name="Summary" sheetId="11" r:id="rId11"/>
    <sheet name="Checks" sheetId="12" r:id="rId12"/>
    <sheet name="Lifelib_Reference" sheetId="13" r:id="rId13"/>
    <sheet name="Batch_Results" sheetId="14" r:id="rId14"/>
  </sheets>
  <definedNames>
    <definedName name="AgeAtEntry">Control!$C$10</definedName>
    <definedName name="AllChecksPass">Checks!$C$11</definedName>
    <definedName name="AvPPInit">Control!$C$17</definedName>
    <definedName name="BatchLimit">Control!$C$36</definedName>
    <definedName name="BatchTol">Control!$C$37</definedName>
    <definedName name="CoiMultiple">Assumptions!$C$8</definedName>
    <definedName name="CommissionRate">Assumptions!$C$7</definedName>
    <definedName name="DiscRateAnn">Discount!$B$2:$B$152</definedName>
    <definedName name="Duration0">Control!$C$15</definedName>
    <definedName name="ExpenseAcq">Assumptions!$C$4</definedName>
    <definedName name="ExpenseMaint">Assumptions!$C$5</definedName>
    <definedName name="HasSurrCharge">Control!$C$22</definedName>
    <definedName name="InflationRate">Assumptions!$C$6</definedName>
    <definedName name="IsWL">Control!$C$25</definedName>
    <definedName name="LapseBase">Assumptions!$C$13</definedName>
    <definedName name="LapseFloor">Assumptions!$C$15</definedName>
    <definedName name="LapseStep">Assumptions!$C$14</definedName>
    <definedName name="LoadPremRate">Control!$C$24</definedName>
    <definedName name="MaintFeeRateAnn">Assumptions!$C$9</definedName>
    <definedName name="MortAges">Mortality!$A$2:$A$104</definedName>
    <definedName name="MortLastAge">Control!$C$29</definedName>
    <definedName name="MortRates">Mortality!$B$2:$G$104</definedName>
    <definedName name="MP_Age">Model_Points!$C$2:$C$5</definedName>
    <definedName name="MP_AvInit">Model_Points!$J$2:$J$5</definedName>
    <definedName name="MP_Count">Model_Points!$F$2:$F$5</definedName>
    <definedName name="MP_DurMth">Model_Points!$H$2:$H$5</definedName>
    <definedName name="MP_ID">Model_Points!$A$2:$A$5</definedName>
    <definedName name="MP_Premium">Model_Points!$I$2:$I$5</definedName>
    <definedName name="MP_Sex">Model_Points!$D$2:$D$5</definedName>
    <definedName name="MP_Spec">Model_Points!$B$2:$B$5</definedName>
    <definedName name="MP_SumAssured">Model_Points!$G$2:$G$5</definedName>
    <definedName name="MP_Term">Model_Points!$E$2:$E$5</definedName>
    <definedName name="Mu">Assumptions!$C$19</definedName>
    <definedName name="NormRand">Scenarios!$B$3:$BQH$12</definedName>
    <definedName name="PointID">Control!$C$4</definedName>
    <definedName name="PolicyCount">Control!$C$13</definedName>
    <definedName name="PolicyTerm">Control!$C$30</definedName>
    <definedName name="PolsIfInit">Control!$C$31</definedName>
    <definedName name="PremiumPPInput">Control!$C$16</definedName>
    <definedName name="PremiumType">Control!$C$21</definedName>
    <definedName name="Proj_AvChange">Projection!$AV$4:$AV$1144</definedName>
    <definedName name="Proj_AvRollDiff">Projection!$BA$4:$BA$1144</definedName>
    <definedName name="Proj_ClaimsDeath">Projection!$AH$4:$AH$1144</definedName>
    <definedName name="Proj_ClaimsLapse">Projection!$AL$4:$AL$1144</definedName>
    <definedName name="Proj_ClaimsMat">Projection!$AM$4:$AM$1144</definedName>
    <definedName name="Proj_ClaimsTotal">Projection!$AN$4:$AN$1144</definedName>
    <definedName name="Proj_Commissions">Projection!$AU$4:$AU$1144</definedName>
    <definedName name="Proj_Deaths">Projection!$O$4:$O$1144</definedName>
    <definedName name="Proj_DiscFactor">Projection!$BC$4:$BC$1144</definedName>
    <definedName name="Proj_DurMth">Projection!$B$4:$B$1144</definedName>
    <definedName name="Proj_Expenses">Projection!$AT$4:$AT$1144</definedName>
    <definedName name="Proj_InvIncome">Projection!$AR$4:$AR$1144</definedName>
    <definedName name="Proj_Lapses">Projection!$P$4:$P$1144</definedName>
    <definedName name="Proj_MarginDiff">Projection!$AZ$4:$AZ$1144</definedName>
    <definedName name="Proj_Maturities">Projection!$K$4:$K$1144</definedName>
    <definedName name="Proj_NetCF">Projection!$AW$4:$AW$1144</definedName>
    <definedName name="Proj_NewBiz">Projection!$M$4:$M$1144</definedName>
    <definedName name="Proj_PolsIf">Projection!$J$4:$J$1144</definedName>
    <definedName name="Proj_Premiums">Projection!$AE$4:$AE$1144</definedName>
    <definedName name="Proj_PVNetCF">Projection!$BD$4:$BD$1144</definedName>
    <definedName name="Proj_T">Projection!$A$4:$A$1144</definedName>
    <definedName name="ProjLen">Control!$C$32</definedName>
    <definedName name="PS_HasSurr">Product_Specs!$C$2:$C$5</definedName>
    <definedName name="PS_ID">Product_Specs!$A$2:$A$5</definedName>
    <definedName name="PS_IsWL">Product_Specs!$F$2:$F$5</definedName>
    <definedName name="PS_LoadPrem">Product_Specs!$E$2:$E$5</definedName>
    <definedName name="PS_PremType">Product_Specs!$B$2:$B$5</definedName>
    <definedName name="PS_SurrID">Product_Specs!$D$2:$D$5</definedName>
    <definedName name="PV_AvChange">Summary!$C$18</definedName>
    <definedName name="PV_Claims">Summary!$C$14</definedName>
    <definedName name="PV_ClaimsDeath">Summary!$C$11</definedName>
    <definedName name="PV_ClaimsLapse">Summary!$C$12</definedName>
    <definedName name="PV_ClaimsMat">Summary!$C$13</definedName>
    <definedName name="PV_Commissions">Summary!$C$16</definedName>
    <definedName name="PV_Expenses">Summary!$C$15</definedName>
    <definedName name="PV_InvIncome">Summary!$C$17</definedName>
    <definedName name="PV_NetCF">Summary!$C$20</definedName>
    <definedName name="PV_PolsIf">Summary!$C$19</definedName>
    <definedName name="PV_Premiums">Summary!$C$10</definedName>
    <definedName name="ScenID">Control!$C$5</definedName>
    <definedName name="Sigma">Assumptions!$C$20</definedName>
    <definedName name="SpecID">Control!$C$9</definedName>
    <definedName name="SumAssured">Control!$C$14</definedName>
    <definedName name="SurrChargeID">Control!$C$23</definedName>
    <definedName name="SurrDurMax">Surr_Charges!$A$12</definedName>
    <definedName name="SurrRates">Surr_Charges!$B$2:$D$12</definedName>
    <definedName name="SurrTypes">Surr_Charges!$B$1:$D$1</definedName>
    <definedName name="TermInput">Control!$C$12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1" l="1"/>
  <c r="C4" i="11"/>
  <c r="AS5" i="10"/>
  <c r="A5" i="10"/>
  <c r="BB5" i="10" s="1"/>
  <c r="BC5" i="10" s="1"/>
  <c r="BB4" i="10"/>
  <c r="BC4" i="10" s="1"/>
  <c r="AS4" i="10"/>
  <c r="Y4" i="10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J2" i="6" s="1"/>
  <c r="C29" i="2" s="1"/>
  <c r="C17" i="2"/>
  <c r="Q4" i="10" s="1"/>
  <c r="C16" i="2"/>
  <c r="C15" i="2"/>
  <c r="C31" i="2" s="1"/>
  <c r="C14" i="2"/>
  <c r="C13" i="2"/>
  <c r="C12" i="2"/>
  <c r="C11" i="2"/>
  <c r="C10" i="2"/>
  <c r="C9" i="2"/>
  <c r="C25" i="2" s="1"/>
  <c r="C30" i="2" l="1"/>
  <c r="C32" i="2" s="1"/>
  <c r="C24" i="2"/>
  <c r="B5" i="10"/>
  <c r="B4" i="10"/>
  <c r="C21" i="2"/>
  <c r="C22" i="2"/>
  <c r="Y5" i="10"/>
  <c r="A6" i="10"/>
  <c r="J4" i="10"/>
  <c r="C23" i="2"/>
  <c r="C6" i="11" l="1"/>
  <c r="BB6" i="10"/>
  <c r="BC6" i="10" s="1"/>
  <c r="AS6" i="10"/>
  <c r="A7" i="10"/>
  <c r="Y6" i="10"/>
  <c r="B6" i="10"/>
  <c r="E6" i="10" s="1"/>
  <c r="I4" i="10"/>
  <c r="AB4" i="10"/>
  <c r="M4" i="10"/>
  <c r="C4" i="10"/>
  <c r="K4" i="10"/>
  <c r="L4" i="10" s="1"/>
  <c r="E5" i="10"/>
  <c r="E4" i="10"/>
  <c r="K5" i="10"/>
  <c r="C5" i="10"/>
  <c r="I5" i="10" s="1"/>
  <c r="M5" i="10"/>
  <c r="N4" i="10" l="1"/>
  <c r="AE4" i="10" s="1"/>
  <c r="AC4" i="10"/>
  <c r="R5" i="10"/>
  <c r="R6" i="10"/>
  <c r="C6" i="10"/>
  <c r="I6" i="10" s="1"/>
  <c r="K6" i="10"/>
  <c r="M6" i="10"/>
  <c r="AM4" i="10"/>
  <c r="H4" i="10"/>
  <c r="D4" i="10"/>
  <c r="F4" i="10" s="1"/>
  <c r="G4" i="10" s="1"/>
  <c r="V4" i="10" s="1"/>
  <c r="BB7" i="10"/>
  <c r="BC7" i="10" s="1"/>
  <c r="A8" i="10"/>
  <c r="Y7" i="10"/>
  <c r="AS7" i="10"/>
  <c r="B7" i="10"/>
  <c r="R4" i="10"/>
  <c r="AT4" i="10"/>
  <c r="H5" i="10"/>
  <c r="D5" i="10"/>
  <c r="F5" i="10" s="1"/>
  <c r="G5" i="10" s="1"/>
  <c r="V5" i="10" s="1"/>
  <c r="AF4" i="10" l="1"/>
  <c r="S4" i="10"/>
  <c r="K7" i="10"/>
  <c r="C7" i="10"/>
  <c r="I7" i="10" s="1"/>
  <c r="M7" i="10"/>
  <c r="E7" i="10"/>
  <c r="BB8" i="10"/>
  <c r="BC8" i="10" s="1"/>
  <c r="AS8" i="10"/>
  <c r="A9" i="10"/>
  <c r="Y8" i="10"/>
  <c r="B8" i="10"/>
  <c r="AU4" i="10"/>
  <c r="H6" i="10"/>
  <c r="D6" i="10"/>
  <c r="F6" i="10" s="1"/>
  <c r="G6" i="10" s="1"/>
  <c r="V6" i="10" s="1"/>
  <c r="O4" i="10"/>
  <c r="P4" i="10" s="1"/>
  <c r="J5" i="10" s="1"/>
  <c r="L5" i="10" l="1"/>
  <c r="N5" i="10" s="1"/>
  <c r="C8" i="10"/>
  <c r="I8" i="10" s="1"/>
  <c r="M8" i="10"/>
  <c r="K8" i="10"/>
  <c r="E8" i="10"/>
  <c r="R7" i="10"/>
  <c r="BB9" i="10"/>
  <c r="BC9" i="10" s="1"/>
  <c r="A10" i="10"/>
  <c r="Y9" i="10"/>
  <c r="AS9" i="10"/>
  <c r="B9" i="10"/>
  <c r="H7" i="10"/>
  <c r="D7" i="10"/>
  <c r="F7" i="10" s="1"/>
  <c r="G7" i="10" s="1"/>
  <c r="V7" i="10" s="1"/>
  <c r="AD4" i="10"/>
  <c r="T4" i="10"/>
  <c r="AQ4" i="10" s="1"/>
  <c r="U4" i="10"/>
  <c r="W4" i="10" s="1"/>
  <c r="AP4" i="10" s="1"/>
  <c r="X4" i="10" l="1"/>
  <c r="Z4" i="10" s="1"/>
  <c r="AR4" i="10" s="1"/>
  <c r="R8" i="10"/>
  <c r="BB10" i="10"/>
  <c r="BC10" i="10" s="1"/>
  <c r="AS10" i="10"/>
  <c r="A11" i="10"/>
  <c r="Y10" i="10"/>
  <c r="B10" i="10"/>
  <c r="H8" i="10"/>
  <c r="D8" i="10"/>
  <c r="F8" i="10" s="1"/>
  <c r="G8" i="10" s="1"/>
  <c r="V8" i="10" s="1"/>
  <c r="K9" i="10"/>
  <c r="C9" i="10"/>
  <c r="I9" i="10" s="1"/>
  <c r="M9" i="10"/>
  <c r="E9" i="10"/>
  <c r="O5" i="10"/>
  <c r="P5" i="10" s="1"/>
  <c r="J6" i="10" s="1"/>
  <c r="AE5" i="10"/>
  <c r="AT5" i="10"/>
  <c r="AF5" i="10"/>
  <c r="L6" i="10" l="1"/>
  <c r="N6" i="10" s="1"/>
  <c r="H9" i="10"/>
  <c r="D9" i="10"/>
  <c r="F9" i="10" s="1"/>
  <c r="G9" i="10" s="1"/>
  <c r="V9" i="10" s="1"/>
  <c r="C10" i="10"/>
  <c r="I10" i="10" s="1"/>
  <c r="K10" i="10"/>
  <c r="M10" i="10"/>
  <c r="E10" i="10"/>
  <c r="AU5" i="10"/>
  <c r="BB11" i="10"/>
  <c r="BC11" i="10" s="1"/>
  <c r="A12" i="10"/>
  <c r="Y11" i="10"/>
  <c r="AS11" i="10"/>
  <c r="B11" i="10"/>
  <c r="AA4" i="10"/>
  <c r="R9" i="10"/>
  <c r="Q5" i="10"/>
  <c r="K11" i="10" l="1"/>
  <c r="C11" i="10"/>
  <c r="I11" i="10" s="1"/>
  <c r="M11" i="10"/>
  <c r="E11" i="10"/>
  <c r="R10" i="10"/>
  <c r="AM5" i="10"/>
  <c r="S5" i="10"/>
  <c r="AB5" i="10"/>
  <c r="AV4" i="10" s="1"/>
  <c r="AC5" i="10"/>
  <c r="AJ4" i="10"/>
  <c r="AI4" i="10"/>
  <c r="AG4" i="10"/>
  <c r="AK4" i="10"/>
  <c r="AX4" i="10" s="1"/>
  <c r="BB12" i="10"/>
  <c r="BC12" i="10" s="1"/>
  <c r="AS12" i="10"/>
  <c r="A13" i="10"/>
  <c r="Y12" i="10"/>
  <c r="B12" i="10"/>
  <c r="H10" i="10"/>
  <c r="D10" i="10"/>
  <c r="F10" i="10" s="1"/>
  <c r="G10" i="10" s="1"/>
  <c r="V10" i="10" s="1"/>
  <c r="O6" i="10"/>
  <c r="P6" i="10" s="1"/>
  <c r="J7" i="10" s="1"/>
  <c r="AE6" i="10"/>
  <c r="AT6" i="10"/>
  <c r="AF6" i="10"/>
  <c r="L7" i="10" l="1"/>
  <c r="N7" i="10" s="1"/>
  <c r="H11" i="10"/>
  <c r="D11" i="10"/>
  <c r="F11" i="10" s="1"/>
  <c r="G11" i="10" s="1"/>
  <c r="V11" i="10" s="1"/>
  <c r="AU6" i="10"/>
  <c r="BB13" i="10"/>
  <c r="BC13" i="10" s="1"/>
  <c r="A14" i="10"/>
  <c r="Y13" i="10"/>
  <c r="AS13" i="10"/>
  <c r="B13" i="10"/>
  <c r="C12" i="10"/>
  <c r="I12" i="10" s="1"/>
  <c r="K12" i="10"/>
  <c r="M12" i="10"/>
  <c r="E12" i="10"/>
  <c r="AL4" i="10"/>
  <c r="AD5" i="10"/>
  <c r="T5" i="10"/>
  <c r="AQ5" i="10" s="1"/>
  <c r="U5" i="10"/>
  <c r="W5" i="10" s="1"/>
  <c r="AP5" i="10" s="1"/>
  <c r="R11" i="10"/>
  <c r="AH4" i="10"/>
  <c r="AO4" i="10"/>
  <c r="AY4" i="10" s="1"/>
  <c r="BA4" i="10"/>
  <c r="X5" i="10" l="1"/>
  <c r="Z5" i="10" s="1"/>
  <c r="AR5" i="10" s="1"/>
  <c r="K13" i="10"/>
  <c r="C13" i="10"/>
  <c r="I13" i="10" s="1"/>
  <c r="M13" i="10"/>
  <c r="E13" i="10"/>
  <c r="AN4" i="10"/>
  <c r="AW4" i="10" s="1"/>
  <c r="R12" i="10"/>
  <c r="BB14" i="10"/>
  <c r="BC14" i="10" s="1"/>
  <c r="AS14" i="10"/>
  <c r="A15" i="10"/>
  <c r="Y14" i="10"/>
  <c r="B14" i="10"/>
  <c r="H12" i="10"/>
  <c r="D12" i="10"/>
  <c r="F12" i="10" s="1"/>
  <c r="G12" i="10" s="1"/>
  <c r="V12" i="10" s="1"/>
  <c r="O7" i="10"/>
  <c r="P7" i="10" s="1"/>
  <c r="J8" i="10" s="1"/>
  <c r="AE7" i="10"/>
  <c r="AT7" i="10"/>
  <c r="AF7" i="10"/>
  <c r="L8" i="10" l="1"/>
  <c r="N8" i="10" s="1"/>
  <c r="H13" i="10"/>
  <c r="D13" i="10"/>
  <c r="F13" i="10" s="1"/>
  <c r="G13" i="10" s="1"/>
  <c r="V13" i="10" s="1"/>
  <c r="C14" i="10"/>
  <c r="I14" i="10" s="1"/>
  <c r="M14" i="10"/>
  <c r="K14" i="10"/>
  <c r="E14" i="10"/>
  <c r="AU7" i="10"/>
  <c r="R13" i="10"/>
  <c r="Q6" i="10"/>
  <c r="BB15" i="10"/>
  <c r="BC15" i="10" s="1"/>
  <c r="A16" i="10"/>
  <c r="Y15" i="10"/>
  <c r="AS15" i="10"/>
  <c r="B15" i="10"/>
  <c r="BD4" i="10"/>
  <c r="AZ4" i="10"/>
  <c r="AA5" i="10"/>
  <c r="AM6" i="10" l="1"/>
  <c r="S6" i="10"/>
  <c r="AC6" i="10"/>
  <c r="AB6" i="10"/>
  <c r="AV5" i="10" s="1"/>
  <c r="R14" i="10"/>
  <c r="H14" i="10"/>
  <c r="D14" i="10"/>
  <c r="F14" i="10" s="1"/>
  <c r="G14" i="10" s="1"/>
  <c r="V14" i="10" s="1"/>
  <c r="K15" i="10"/>
  <c r="C15" i="10"/>
  <c r="I15" i="10" s="1"/>
  <c r="M15" i="10"/>
  <c r="E15" i="10"/>
  <c r="BB16" i="10"/>
  <c r="BC16" i="10" s="1"/>
  <c r="AS16" i="10"/>
  <c r="A17" i="10"/>
  <c r="Y16" i="10"/>
  <c r="B16" i="10"/>
  <c r="AJ5" i="10"/>
  <c r="AI5" i="10"/>
  <c r="AG5" i="10"/>
  <c r="AK5" i="10"/>
  <c r="AX5" i="10" s="1"/>
  <c r="O8" i="10"/>
  <c r="P8" i="10" s="1"/>
  <c r="J9" i="10" s="1"/>
  <c r="L9" i="10" s="1"/>
  <c r="N9" i="10" s="1"/>
  <c r="AT8" i="10"/>
  <c r="AE8" i="10"/>
  <c r="AF8" i="10"/>
  <c r="AL5" i="10" l="1"/>
  <c r="O9" i="10"/>
  <c r="P9" i="10" s="1"/>
  <c r="J10" i="10" s="1"/>
  <c r="L10" i="10" s="1"/>
  <c r="N10" i="10" s="1"/>
  <c r="AE9" i="10"/>
  <c r="AT9" i="10"/>
  <c r="AF9" i="10"/>
  <c r="AH5" i="10"/>
  <c r="AO5" i="10"/>
  <c r="AY5" i="10" s="1"/>
  <c r="BA5" i="10"/>
  <c r="R15" i="10"/>
  <c r="C16" i="10"/>
  <c r="I16" i="10" s="1"/>
  <c r="M16" i="10"/>
  <c r="K16" i="10"/>
  <c r="E16" i="10"/>
  <c r="H15" i="10"/>
  <c r="D15" i="10"/>
  <c r="F15" i="10" s="1"/>
  <c r="G15" i="10" s="1"/>
  <c r="V15" i="10" s="1"/>
  <c r="A18" i="10"/>
  <c r="BB17" i="10"/>
  <c r="BC17" i="10" s="1"/>
  <c r="Y17" i="10"/>
  <c r="AS17" i="10"/>
  <c r="B17" i="10"/>
  <c r="AD6" i="10"/>
  <c r="T6" i="10"/>
  <c r="AQ6" i="10" s="1"/>
  <c r="U6" i="10"/>
  <c r="W6" i="10" s="1"/>
  <c r="AP6" i="10" s="1"/>
  <c r="AU8" i="10"/>
  <c r="X6" i="10" l="1"/>
  <c r="Z6" i="10" s="1"/>
  <c r="AR6" i="10" s="1"/>
  <c r="O10" i="10"/>
  <c r="P10" i="10" s="1"/>
  <c r="J11" i="10" s="1"/>
  <c r="L11" i="10" s="1"/>
  <c r="N11" i="10" s="1"/>
  <c r="AT10" i="10"/>
  <c r="AE10" i="10"/>
  <c r="AF10" i="10"/>
  <c r="R16" i="10"/>
  <c r="K17" i="10"/>
  <c r="C17" i="10"/>
  <c r="I17" i="10" s="1"/>
  <c r="M17" i="10"/>
  <c r="E17" i="10"/>
  <c r="BB18" i="10"/>
  <c r="BC18" i="10" s="1"/>
  <c r="AS18" i="10"/>
  <c r="A19" i="10"/>
  <c r="Y18" i="10"/>
  <c r="B18" i="10"/>
  <c r="AU9" i="10"/>
  <c r="H16" i="10"/>
  <c r="D16" i="10"/>
  <c r="F16" i="10" s="1"/>
  <c r="G16" i="10" s="1"/>
  <c r="V16" i="10" s="1"/>
  <c r="AN5" i="10"/>
  <c r="AW5" i="10" s="1"/>
  <c r="O11" i="10" l="1"/>
  <c r="P11" i="10" s="1"/>
  <c r="J12" i="10" s="1"/>
  <c r="L12" i="10" s="1"/>
  <c r="N12" i="10" s="1"/>
  <c r="AT11" i="10"/>
  <c r="AE11" i="10"/>
  <c r="AF11" i="10"/>
  <c r="H17" i="10"/>
  <c r="D17" i="10"/>
  <c r="F17" i="10" s="1"/>
  <c r="G17" i="10" s="1"/>
  <c r="V17" i="10" s="1"/>
  <c r="BD5" i="10"/>
  <c r="AZ5" i="10"/>
  <c r="Q7" i="10"/>
  <c r="AA6" i="10"/>
  <c r="BB19" i="10"/>
  <c r="BC19" i="10" s="1"/>
  <c r="AS19" i="10"/>
  <c r="Y19" i="10"/>
  <c r="A20" i="10"/>
  <c r="B19" i="10"/>
  <c r="AU10" i="10"/>
  <c r="C18" i="10"/>
  <c r="I18" i="10" s="1"/>
  <c r="M18" i="10"/>
  <c r="K18" i="10"/>
  <c r="E18" i="10"/>
  <c r="R17" i="10"/>
  <c r="O12" i="10" l="1"/>
  <c r="P12" i="10" s="1"/>
  <c r="J13" i="10" s="1"/>
  <c r="L13" i="10" s="1"/>
  <c r="N13" i="10" s="1"/>
  <c r="AE12" i="10"/>
  <c r="AT12" i="10"/>
  <c r="AF12" i="10"/>
  <c r="AI6" i="10"/>
  <c r="AJ6" i="10"/>
  <c r="AG6" i="10"/>
  <c r="AK6" i="10"/>
  <c r="AX6" i="10" s="1"/>
  <c r="R18" i="10"/>
  <c r="K19" i="10"/>
  <c r="C19" i="10"/>
  <c r="I19" i="10" s="1"/>
  <c r="M19" i="10"/>
  <c r="E19" i="10"/>
  <c r="AM7" i="10"/>
  <c r="S7" i="10"/>
  <c r="AB7" i="10"/>
  <c r="AV6" i="10" s="1"/>
  <c r="AC7" i="10"/>
  <c r="Y20" i="10"/>
  <c r="A21" i="10"/>
  <c r="BB20" i="10"/>
  <c r="BC20" i="10" s="1"/>
  <c r="AS20" i="10"/>
  <c r="B20" i="10"/>
  <c r="AU11" i="10"/>
  <c r="H18" i="10"/>
  <c r="D18" i="10"/>
  <c r="F18" i="10" s="1"/>
  <c r="G18" i="10" s="1"/>
  <c r="V18" i="10" s="1"/>
  <c r="BA6" i="10" l="1"/>
  <c r="O13" i="10"/>
  <c r="P13" i="10" s="1"/>
  <c r="J14" i="10" s="1"/>
  <c r="L14" i="10" s="1"/>
  <c r="N14" i="10" s="1"/>
  <c r="AT13" i="10"/>
  <c r="AE13" i="10"/>
  <c r="AF13" i="10"/>
  <c r="R19" i="10"/>
  <c r="AU12" i="10"/>
  <c r="Y21" i="10"/>
  <c r="BB21" i="10"/>
  <c r="BC21" i="10" s="1"/>
  <c r="AS21" i="10"/>
  <c r="A22" i="10"/>
  <c r="B21" i="10"/>
  <c r="AD7" i="10"/>
  <c r="T7" i="10"/>
  <c r="AQ7" i="10" s="1"/>
  <c r="U7" i="10"/>
  <c r="W7" i="10" s="1"/>
  <c r="AP7" i="10" s="1"/>
  <c r="H19" i="10"/>
  <c r="D19" i="10"/>
  <c r="F19" i="10" s="1"/>
  <c r="G19" i="10" s="1"/>
  <c r="V19" i="10" s="1"/>
  <c r="AH6" i="10"/>
  <c r="AO6" i="10"/>
  <c r="AY6" i="10" s="1"/>
  <c r="M20" i="10"/>
  <c r="K20" i="10"/>
  <c r="C20" i="10"/>
  <c r="I20" i="10" s="1"/>
  <c r="E20" i="10"/>
  <c r="AL6" i="10"/>
  <c r="O14" i="10" l="1"/>
  <c r="P14" i="10" s="1"/>
  <c r="J15" i="10" s="1"/>
  <c r="L15" i="10" s="1"/>
  <c r="N15" i="10" s="1"/>
  <c r="AT14" i="10"/>
  <c r="AE14" i="10"/>
  <c r="AF14" i="10"/>
  <c r="X7" i="10"/>
  <c r="AU13" i="10"/>
  <c r="R20" i="10"/>
  <c r="M21" i="10"/>
  <c r="K21" i="10"/>
  <c r="C21" i="10"/>
  <c r="I21" i="10" s="1"/>
  <c r="E21" i="10"/>
  <c r="AN6" i="10"/>
  <c r="AW6" i="10" s="1"/>
  <c r="H20" i="10"/>
  <c r="D20" i="10"/>
  <c r="F20" i="10" s="1"/>
  <c r="G20" i="10" s="1"/>
  <c r="V20" i="10" s="1"/>
  <c r="BB22" i="10"/>
  <c r="BC22" i="10" s="1"/>
  <c r="AS22" i="10"/>
  <c r="Y22" i="10"/>
  <c r="A23" i="10"/>
  <c r="B22" i="10"/>
  <c r="O15" i="10" l="1"/>
  <c r="P15" i="10" s="1"/>
  <c r="J16" i="10" s="1"/>
  <c r="L16" i="10" s="1"/>
  <c r="N16" i="10" s="1"/>
  <c r="AT15" i="10"/>
  <c r="AE15" i="10"/>
  <c r="AF15" i="10"/>
  <c r="AU14" i="10"/>
  <c r="R21" i="10"/>
  <c r="H21" i="10"/>
  <c r="D21" i="10"/>
  <c r="F21" i="10" s="1"/>
  <c r="G21" i="10" s="1"/>
  <c r="V21" i="10" s="1"/>
  <c r="Z7" i="10"/>
  <c r="AR7" i="10" s="1"/>
  <c r="M22" i="10"/>
  <c r="C22" i="10"/>
  <c r="I22" i="10" s="1"/>
  <c r="K22" i="10"/>
  <c r="E22" i="10"/>
  <c r="A24" i="10"/>
  <c r="Y23" i="10"/>
  <c r="AS23" i="10"/>
  <c r="BB23" i="10"/>
  <c r="BC23" i="10" s="1"/>
  <c r="B23" i="10"/>
  <c r="BD6" i="10"/>
  <c r="AZ6" i="10"/>
  <c r="O16" i="10" l="1"/>
  <c r="P16" i="10" s="1"/>
  <c r="J17" i="10" s="1"/>
  <c r="L17" i="10" s="1"/>
  <c r="N17" i="10" s="1"/>
  <c r="AT16" i="10"/>
  <c r="AE16" i="10"/>
  <c r="AF16" i="10"/>
  <c r="H22" i="10"/>
  <c r="D22" i="10"/>
  <c r="F22" i="10" s="1"/>
  <c r="G22" i="10" s="1"/>
  <c r="V22" i="10" s="1"/>
  <c r="M23" i="10"/>
  <c r="C23" i="10"/>
  <c r="I23" i="10" s="1"/>
  <c r="K23" i="10"/>
  <c r="E23" i="10"/>
  <c r="Q8" i="10"/>
  <c r="A25" i="10"/>
  <c r="AS24" i="10"/>
  <c r="Y24" i="10"/>
  <c r="BB24" i="10"/>
  <c r="BC24" i="10" s="1"/>
  <c r="B24" i="10"/>
  <c r="AA7" i="10"/>
  <c r="AU15" i="10"/>
  <c r="R22" i="10"/>
  <c r="O17" i="10" l="1"/>
  <c r="P17" i="10" s="1"/>
  <c r="J18" i="10" s="1"/>
  <c r="L18" i="10" s="1"/>
  <c r="N18" i="10" s="1"/>
  <c r="AT17" i="10"/>
  <c r="AE17" i="10"/>
  <c r="AF17" i="10"/>
  <c r="R23" i="10"/>
  <c r="AJ7" i="10"/>
  <c r="AL7" i="10" s="1"/>
  <c r="AI7" i="10"/>
  <c r="AG7" i="10"/>
  <c r="AK7" i="10"/>
  <c r="AX7" i="10" s="1"/>
  <c r="C24" i="10"/>
  <c r="I24" i="10" s="1"/>
  <c r="K24" i="10"/>
  <c r="M24" i="10"/>
  <c r="E24" i="10"/>
  <c r="AU16" i="10"/>
  <c r="H23" i="10"/>
  <c r="D23" i="10"/>
  <c r="F23" i="10" s="1"/>
  <c r="G23" i="10" s="1"/>
  <c r="V23" i="10" s="1"/>
  <c r="A26" i="10"/>
  <c r="BB25" i="10"/>
  <c r="BC25" i="10" s="1"/>
  <c r="AS25" i="10"/>
  <c r="Y25" i="10"/>
  <c r="B25" i="10"/>
  <c r="AM8" i="10"/>
  <c r="S8" i="10"/>
  <c r="AB8" i="10"/>
  <c r="AV7" i="10" s="1"/>
  <c r="AC8" i="10"/>
  <c r="O18" i="10" l="1"/>
  <c r="P18" i="10" s="1"/>
  <c r="J19" i="10" s="1"/>
  <c r="L19" i="10" s="1"/>
  <c r="N19" i="10" s="1"/>
  <c r="AT18" i="10"/>
  <c r="AE18" i="10"/>
  <c r="AF18" i="10"/>
  <c r="AH7" i="10"/>
  <c r="AO7" i="10"/>
  <c r="AY7" i="10" s="1"/>
  <c r="BB26" i="10"/>
  <c r="BC26" i="10" s="1"/>
  <c r="AS26" i="10"/>
  <c r="Y26" i="10"/>
  <c r="A27" i="10"/>
  <c r="B26" i="10"/>
  <c r="K25" i="10"/>
  <c r="M25" i="10"/>
  <c r="C25" i="10"/>
  <c r="I25" i="10" s="1"/>
  <c r="E25" i="10"/>
  <c r="R24" i="10"/>
  <c r="H24" i="10"/>
  <c r="D24" i="10"/>
  <c r="F24" i="10" s="1"/>
  <c r="G24" i="10" s="1"/>
  <c r="V24" i="10" s="1"/>
  <c r="AU17" i="10"/>
  <c r="BA7" i="10"/>
  <c r="AD8" i="10"/>
  <c r="T8" i="10"/>
  <c r="AQ8" i="10" s="1"/>
  <c r="U8" i="10"/>
  <c r="W8" i="10" s="1"/>
  <c r="AP8" i="10" s="1"/>
  <c r="X8" i="10" l="1"/>
  <c r="Z8" i="10" s="1"/>
  <c r="AR8" i="10" s="1"/>
  <c r="O19" i="10"/>
  <c r="P19" i="10" s="1"/>
  <c r="J20" i="10" s="1"/>
  <c r="L20" i="10" s="1"/>
  <c r="N20" i="10" s="1"/>
  <c r="AE19" i="10"/>
  <c r="AT19" i="10"/>
  <c r="AF19" i="10"/>
  <c r="C26" i="10"/>
  <c r="I26" i="10" s="1"/>
  <c r="M26" i="10"/>
  <c r="K26" i="10"/>
  <c r="E26" i="10"/>
  <c r="BB27" i="10"/>
  <c r="BC27" i="10" s="1"/>
  <c r="AS27" i="10"/>
  <c r="Y27" i="10"/>
  <c r="A28" i="10"/>
  <c r="B27" i="10"/>
  <c r="R25" i="10"/>
  <c r="AN7" i="10"/>
  <c r="AW7" i="10" s="1"/>
  <c r="H25" i="10"/>
  <c r="D25" i="10"/>
  <c r="F25" i="10" s="1"/>
  <c r="G25" i="10" s="1"/>
  <c r="V25" i="10" s="1"/>
  <c r="AU18" i="10"/>
  <c r="O20" i="10" l="1"/>
  <c r="P20" i="10" s="1"/>
  <c r="J21" i="10" s="1"/>
  <c r="L21" i="10" s="1"/>
  <c r="N21" i="10" s="1"/>
  <c r="AT20" i="10"/>
  <c r="AE20" i="10"/>
  <c r="AF20" i="10"/>
  <c r="R26" i="10"/>
  <c r="K27" i="10"/>
  <c r="M27" i="10"/>
  <c r="C27" i="10"/>
  <c r="I27" i="10" s="1"/>
  <c r="E27" i="10"/>
  <c r="AU19" i="10"/>
  <c r="Y28" i="10"/>
  <c r="A29" i="10"/>
  <c r="BB28" i="10"/>
  <c r="BC28" i="10" s="1"/>
  <c r="B28" i="10"/>
  <c r="AS28" i="10"/>
  <c r="Q9" i="10"/>
  <c r="AA8" i="10"/>
  <c r="H26" i="10"/>
  <c r="D26" i="10"/>
  <c r="F26" i="10" s="1"/>
  <c r="G26" i="10" s="1"/>
  <c r="V26" i="10" s="1"/>
  <c r="BD7" i="10"/>
  <c r="AZ7" i="10"/>
  <c r="O21" i="10" l="1"/>
  <c r="P21" i="10" s="1"/>
  <c r="J22" i="10" s="1"/>
  <c r="L22" i="10" s="1"/>
  <c r="N22" i="10" s="1"/>
  <c r="AT21" i="10"/>
  <c r="AE21" i="10"/>
  <c r="AF21" i="10"/>
  <c r="AU20" i="10"/>
  <c r="Y29" i="10"/>
  <c r="BB29" i="10"/>
  <c r="BC29" i="10" s="1"/>
  <c r="AS29" i="10"/>
  <c r="A30" i="10"/>
  <c r="B29" i="10"/>
  <c r="AI8" i="10"/>
  <c r="AJ8" i="10"/>
  <c r="AG8" i="10"/>
  <c r="AK8" i="10"/>
  <c r="AX8" i="10" s="1"/>
  <c r="H27" i="10"/>
  <c r="D27" i="10"/>
  <c r="F27" i="10" s="1"/>
  <c r="G27" i="10" s="1"/>
  <c r="V27" i="10" s="1"/>
  <c r="M28" i="10"/>
  <c r="C28" i="10"/>
  <c r="I28" i="10" s="1"/>
  <c r="K28" i="10"/>
  <c r="E28" i="10"/>
  <c r="AM9" i="10"/>
  <c r="S9" i="10"/>
  <c r="AB9" i="10"/>
  <c r="AV8" i="10" s="1"/>
  <c r="AC9" i="10"/>
  <c r="R27" i="10"/>
  <c r="BA8" i="10" l="1"/>
  <c r="O22" i="10"/>
  <c r="P22" i="10" s="1"/>
  <c r="J23" i="10" s="1"/>
  <c r="L23" i="10" s="1"/>
  <c r="N23" i="10" s="1"/>
  <c r="AE22" i="10"/>
  <c r="AT22" i="10"/>
  <c r="AF22" i="10"/>
  <c r="AH8" i="10"/>
  <c r="AO8" i="10"/>
  <c r="AY8" i="10" s="1"/>
  <c r="M29" i="10"/>
  <c r="C29" i="10"/>
  <c r="I29" i="10" s="1"/>
  <c r="K29" i="10"/>
  <c r="E29" i="10"/>
  <c r="AD9" i="10"/>
  <c r="T9" i="10"/>
  <c r="AQ9" i="10" s="1"/>
  <c r="U9" i="10"/>
  <c r="W9" i="10" s="1"/>
  <c r="AP9" i="10" s="1"/>
  <c r="R28" i="10"/>
  <c r="AL8" i="10"/>
  <c r="H28" i="10"/>
  <c r="D28" i="10"/>
  <c r="F28" i="10" s="1"/>
  <c r="G28" i="10" s="1"/>
  <c r="V28" i="10" s="1"/>
  <c r="A31" i="10"/>
  <c r="BB30" i="10"/>
  <c r="BC30" i="10" s="1"/>
  <c r="Y30" i="10"/>
  <c r="AS30" i="10"/>
  <c r="B30" i="10"/>
  <c r="AU21" i="10"/>
  <c r="X9" i="10" l="1"/>
  <c r="O23" i="10"/>
  <c r="P23" i="10" s="1"/>
  <c r="J24" i="10" s="1"/>
  <c r="L24" i="10" s="1"/>
  <c r="N24" i="10" s="1"/>
  <c r="AT23" i="10"/>
  <c r="AE23" i="10"/>
  <c r="AF23" i="10"/>
  <c r="Z9" i="10"/>
  <c r="AR9" i="10" s="1"/>
  <c r="H29" i="10"/>
  <c r="D29" i="10"/>
  <c r="F29" i="10" s="1"/>
  <c r="G29" i="10" s="1"/>
  <c r="V29" i="10" s="1"/>
  <c r="AU22" i="10"/>
  <c r="A32" i="10"/>
  <c r="Y31" i="10"/>
  <c r="BB31" i="10"/>
  <c r="BC31" i="10" s="1"/>
  <c r="AS31" i="10"/>
  <c r="B31" i="10"/>
  <c r="R29" i="10"/>
  <c r="AN8" i="10"/>
  <c r="AW8" i="10" s="1"/>
  <c r="M30" i="10"/>
  <c r="C30" i="10"/>
  <c r="I30" i="10" s="1"/>
  <c r="K30" i="10"/>
  <c r="E30" i="10"/>
  <c r="AA9" i="10" l="1"/>
  <c r="AI9" i="10" s="1"/>
  <c r="O24" i="10"/>
  <c r="P24" i="10" s="1"/>
  <c r="J25" i="10" s="1"/>
  <c r="L25" i="10" s="1"/>
  <c r="N25" i="10" s="1"/>
  <c r="AE24" i="10"/>
  <c r="AT24" i="10"/>
  <c r="AF24" i="10"/>
  <c r="H30" i="10"/>
  <c r="D30" i="10"/>
  <c r="F30" i="10" s="1"/>
  <c r="G30" i="10" s="1"/>
  <c r="V30" i="10" s="1"/>
  <c r="M31" i="10"/>
  <c r="C31" i="10"/>
  <c r="I31" i="10" s="1"/>
  <c r="K31" i="10"/>
  <c r="E31" i="10"/>
  <c r="AU23" i="10"/>
  <c r="BD8" i="10"/>
  <c r="AZ8" i="10"/>
  <c r="A33" i="10"/>
  <c r="BB32" i="10"/>
  <c r="BC32" i="10" s="1"/>
  <c r="AS32" i="10"/>
  <c r="Y32" i="10"/>
  <c r="B32" i="10"/>
  <c r="R30" i="10"/>
  <c r="Q10" i="10"/>
  <c r="AJ9" i="10" l="1"/>
  <c r="AK9" i="10"/>
  <c r="AX9" i="10" s="1"/>
  <c r="AG9" i="10"/>
  <c r="AO9" i="10" s="1"/>
  <c r="AY9" i="10" s="1"/>
  <c r="O25" i="10"/>
  <c r="P25" i="10" s="1"/>
  <c r="J26" i="10" s="1"/>
  <c r="L26" i="10" s="1"/>
  <c r="N26" i="10" s="1"/>
  <c r="AT25" i="10"/>
  <c r="AE25" i="10"/>
  <c r="AF25" i="10"/>
  <c r="R31" i="10"/>
  <c r="A34" i="10"/>
  <c r="BB33" i="10"/>
  <c r="BC33" i="10" s="1"/>
  <c r="AS33" i="10"/>
  <c r="Y33" i="10"/>
  <c r="B33" i="10"/>
  <c r="AH9" i="10"/>
  <c r="AM10" i="10"/>
  <c r="S10" i="10"/>
  <c r="AC10" i="10"/>
  <c r="BA9" i="10" s="1"/>
  <c r="AB10" i="10"/>
  <c r="AV9" i="10" s="1"/>
  <c r="H31" i="10"/>
  <c r="D31" i="10"/>
  <c r="F31" i="10" s="1"/>
  <c r="G31" i="10" s="1"/>
  <c r="V31" i="10" s="1"/>
  <c r="AL9" i="10"/>
  <c r="AU24" i="10"/>
  <c r="C32" i="10"/>
  <c r="I32" i="10" s="1"/>
  <c r="K32" i="10"/>
  <c r="M32" i="10"/>
  <c r="E32" i="10"/>
  <c r="O26" i="10" l="1"/>
  <c r="P26" i="10" s="1"/>
  <c r="J27" i="10" s="1"/>
  <c r="L27" i="10" s="1"/>
  <c r="N27" i="10" s="1"/>
  <c r="AT26" i="10"/>
  <c r="AE26" i="10"/>
  <c r="AF26" i="10"/>
  <c r="K33" i="10"/>
  <c r="M33" i="10"/>
  <c r="C33" i="10"/>
  <c r="I33" i="10" s="1"/>
  <c r="E33" i="10"/>
  <c r="H32" i="10"/>
  <c r="D32" i="10"/>
  <c r="F32" i="10" s="1"/>
  <c r="G32" i="10" s="1"/>
  <c r="V32" i="10" s="1"/>
  <c r="AU25" i="10"/>
  <c r="R32" i="10"/>
  <c r="BB34" i="10"/>
  <c r="BC34" i="10" s="1"/>
  <c r="AS34" i="10"/>
  <c r="Y34" i="10"/>
  <c r="B34" i="10"/>
  <c r="A35" i="10"/>
  <c r="AN9" i="10"/>
  <c r="AW9" i="10" s="1"/>
  <c r="AD10" i="10"/>
  <c r="T10" i="10"/>
  <c r="AQ10" i="10" s="1"/>
  <c r="U10" i="10"/>
  <c r="W10" i="10" s="1"/>
  <c r="AP10" i="10" s="1"/>
  <c r="O27" i="10" l="1"/>
  <c r="P27" i="10" s="1"/>
  <c r="J28" i="10" s="1"/>
  <c r="L28" i="10" s="1"/>
  <c r="N28" i="10" s="1"/>
  <c r="AT27" i="10"/>
  <c r="AE27" i="10"/>
  <c r="AF27" i="10"/>
  <c r="BB35" i="10"/>
  <c r="BC35" i="10" s="1"/>
  <c r="AS35" i="10"/>
  <c r="Y35" i="10"/>
  <c r="A36" i="10"/>
  <c r="B35" i="10"/>
  <c r="C34" i="10"/>
  <c r="I34" i="10" s="1"/>
  <c r="M34" i="10"/>
  <c r="K34" i="10"/>
  <c r="E34" i="10"/>
  <c r="AU26" i="10"/>
  <c r="X10" i="10"/>
  <c r="H33" i="10"/>
  <c r="D33" i="10"/>
  <c r="F33" i="10" s="1"/>
  <c r="G33" i="10" s="1"/>
  <c r="V33" i="10" s="1"/>
  <c r="R33" i="10"/>
  <c r="BD9" i="10"/>
  <c r="AZ9" i="10"/>
  <c r="O28" i="10" l="1"/>
  <c r="P28" i="10" s="1"/>
  <c r="J29" i="10" s="1"/>
  <c r="L29" i="10" s="1"/>
  <c r="N29" i="10" s="1"/>
  <c r="AT28" i="10"/>
  <c r="AE28" i="10"/>
  <c r="AF28" i="10"/>
  <c r="AU27" i="10"/>
  <c r="Y36" i="10"/>
  <c r="AS36" i="10"/>
  <c r="A37" i="10"/>
  <c r="BB36" i="10"/>
  <c r="BC36" i="10" s="1"/>
  <c r="B36" i="10"/>
  <c r="R34" i="10"/>
  <c r="H34" i="10"/>
  <c r="D34" i="10"/>
  <c r="F34" i="10" s="1"/>
  <c r="G34" i="10" s="1"/>
  <c r="V34" i="10" s="1"/>
  <c r="Z10" i="10"/>
  <c r="AR10" i="10" s="1"/>
  <c r="K35" i="10"/>
  <c r="C35" i="10"/>
  <c r="I35" i="10" s="1"/>
  <c r="M35" i="10"/>
  <c r="E35" i="10"/>
  <c r="AA10" i="10" l="1"/>
  <c r="AI10" i="10" s="1"/>
  <c r="O29" i="10"/>
  <c r="P29" i="10" s="1"/>
  <c r="J30" i="10" s="1"/>
  <c r="L30" i="10" s="1"/>
  <c r="N30" i="10" s="1"/>
  <c r="AT29" i="10"/>
  <c r="AE29" i="10"/>
  <c r="AF29" i="10"/>
  <c r="M36" i="10"/>
  <c r="K36" i="10"/>
  <c r="C36" i="10"/>
  <c r="I36" i="10" s="1"/>
  <c r="E36" i="10"/>
  <c r="R35" i="10"/>
  <c r="Y37" i="10"/>
  <c r="BB37" i="10"/>
  <c r="BC37" i="10" s="1"/>
  <c r="AS37" i="10"/>
  <c r="A38" i="10"/>
  <c r="B37" i="10"/>
  <c r="H35" i="10"/>
  <c r="D35" i="10"/>
  <c r="F35" i="10" s="1"/>
  <c r="G35" i="10" s="1"/>
  <c r="V35" i="10" s="1"/>
  <c r="AU28" i="10"/>
  <c r="Q11" i="10"/>
  <c r="AK10" i="10" l="1"/>
  <c r="AX10" i="10" s="1"/>
  <c r="AG10" i="10"/>
  <c r="AH10" i="10" s="1"/>
  <c r="AJ10" i="10"/>
  <c r="AL10" i="10" s="1"/>
  <c r="O30" i="10"/>
  <c r="P30" i="10" s="1"/>
  <c r="J31" i="10" s="1"/>
  <c r="L31" i="10" s="1"/>
  <c r="N31" i="10" s="1"/>
  <c r="AE30" i="10"/>
  <c r="AT30" i="10"/>
  <c r="AF30" i="10"/>
  <c r="R36" i="10"/>
  <c r="AM11" i="10"/>
  <c r="S11" i="10"/>
  <c r="AB11" i="10"/>
  <c r="AV10" i="10" s="1"/>
  <c r="AC11" i="10"/>
  <c r="BA10" i="10" s="1"/>
  <c r="A39" i="10"/>
  <c r="Y38" i="10"/>
  <c r="BB38" i="10"/>
  <c r="BC38" i="10" s="1"/>
  <c r="AS38" i="10"/>
  <c r="B38" i="10"/>
  <c r="H36" i="10"/>
  <c r="D36" i="10"/>
  <c r="F36" i="10" s="1"/>
  <c r="G36" i="10" s="1"/>
  <c r="V36" i="10" s="1"/>
  <c r="AU29" i="10"/>
  <c r="M37" i="10"/>
  <c r="C37" i="10"/>
  <c r="I37" i="10" s="1"/>
  <c r="K37" i="10"/>
  <c r="E37" i="10"/>
  <c r="AO10" i="10" l="1"/>
  <c r="AY10" i="10" s="1"/>
  <c r="AN10" i="10"/>
  <c r="AW10" i="10" s="1"/>
  <c r="BD10" i="10" s="1"/>
  <c r="O31" i="10"/>
  <c r="P31" i="10" s="1"/>
  <c r="J32" i="10" s="1"/>
  <c r="L32" i="10" s="1"/>
  <c r="N32" i="10" s="1"/>
  <c r="AT31" i="10"/>
  <c r="AE31" i="10"/>
  <c r="AF31" i="10"/>
  <c r="H37" i="10"/>
  <c r="D37" i="10"/>
  <c r="F37" i="10" s="1"/>
  <c r="G37" i="10" s="1"/>
  <c r="V37" i="10" s="1"/>
  <c r="A40" i="10"/>
  <c r="Y39" i="10"/>
  <c r="AS39" i="10"/>
  <c r="BB39" i="10"/>
  <c r="BC39" i="10" s="1"/>
  <c r="B39" i="10"/>
  <c r="AU30" i="10"/>
  <c r="M38" i="10"/>
  <c r="C38" i="10"/>
  <c r="I38" i="10" s="1"/>
  <c r="K38" i="10"/>
  <c r="E38" i="10"/>
  <c r="R37" i="10"/>
  <c r="AD11" i="10"/>
  <c r="T11" i="10"/>
  <c r="AQ11" i="10" s="1"/>
  <c r="U11" i="10"/>
  <c r="W11" i="10" s="1"/>
  <c r="AP11" i="10" s="1"/>
  <c r="AZ10" i="10" l="1"/>
  <c r="X11" i="10"/>
  <c r="O32" i="10"/>
  <c r="P32" i="10" s="1"/>
  <c r="J33" i="10" s="1"/>
  <c r="L33" i="10" s="1"/>
  <c r="N33" i="10" s="1"/>
  <c r="AE32" i="10"/>
  <c r="AT32" i="10"/>
  <c r="AF32" i="10"/>
  <c r="H38" i="10"/>
  <c r="D38" i="10"/>
  <c r="F38" i="10" s="1"/>
  <c r="G38" i="10" s="1"/>
  <c r="V38" i="10" s="1"/>
  <c r="AU31" i="10"/>
  <c r="Z11" i="10"/>
  <c r="AR11" i="10" s="1"/>
  <c r="A41" i="10"/>
  <c r="BB40" i="10"/>
  <c r="BC40" i="10" s="1"/>
  <c r="AS40" i="10"/>
  <c r="Y40" i="10"/>
  <c r="B40" i="10"/>
  <c r="R38" i="10"/>
  <c r="M39" i="10"/>
  <c r="C39" i="10"/>
  <c r="I39" i="10" s="1"/>
  <c r="K39" i="10"/>
  <c r="E39" i="10"/>
  <c r="O33" i="10" l="1"/>
  <c r="P33" i="10" s="1"/>
  <c r="J34" i="10" s="1"/>
  <c r="L34" i="10" s="1"/>
  <c r="N34" i="10" s="1"/>
  <c r="AT33" i="10"/>
  <c r="AE33" i="10"/>
  <c r="AF33" i="10"/>
  <c r="R39" i="10"/>
  <c r="AA11" i="10"/>
  <c r="H39" i="10"/>
  <c r="D39" i="10"/>
  <c r="F39" i="10" s="1"/>
  <c r="G39" i="10" s="1"/>
  <c r="V39" i="10" s="1"/>
  <c r="Q12" i="10"/>
  <c r="C40" i="10"/>
  <c r="I40" i="10" s="1"/>
  <c r="K40" i="10"/>
  <c r="M40" i="10"/>
  <c r="E40" i="10"/>
  <c r="AU32" i="10"/>
  <c r="A42" i="10"/>
  <c r="BB41" i="10"/>
  <c r="BC41" i="10" s="1"/>
  <c r="AS41" i="10"/>
  <c r="Y41" i="10"/>
  <c r="B41" i="10"/>
  <c r="O34" i="10" l="1"/>
  <c r="P34" i="10" s="1"/>
  <c r="J35" i="10" s="1"/>
  <c r="L35" i="10" s="1"/>
  <c r="N35" i="10" s="1"/>
  <c r="AE34" i="10"/>
  <c r="AT34" i="10"/>
  <c r="AF34" i="10"/>
  <c r="K41" i="10"/>
  <c r="M41" i="10"/>
  <c r="C41" i="10"/>
  <c r="I41" i="10" s="1"/>
  <c r="E41" i="10"/>
  <c r="R40" i="10"/>
  <c r="AJ11" i="10"/>
  <c r="AI11" i="10"/>
  <c r="AG11" i="10"/>
  <c r="AK11" i="10"/>
  <c r="AX11" i="10" s="1"/>
  <c r="AM12" i="10"/>
  <c r="S12" i="10"/>
  <c r="AB12" i="10"/>
  <c r="AV11" i="10" s="1"/>
  <c r="AC12" i="10"/>
  <c r="H40" i="10"/>
  <c r="D40" i="10"/>
  <c r="F40" i="10" s="1"/>
  <c r="G40" i="10" s="1"/>
  <c r="V40" i="10" s="1"/>
  <c r="BB42" i="10"/>
  <c r="BC42" i="10" s="1"/>
  <c r="AS42" i="10"/>
  <c r="Y42" i="10"/>
  <c r="A43" i="10"/>
  <c r="B42" i="10"/>
  <c r="AU33" i="10"/>
  <c r="AL11" i="10" l="1"/>
  <c r="O35" i="10"/>
  <c r="P35" i="10" s="1"/>
  <c r="J36" i="10" s="1"/>
  <c r="L36" i="10" s="1"/>
  <c r="N36" i="10" s="1"/>
  <c r="AT35" i="10"/>
  <c r="AE35" i="10"/>
  <c r="AF35" i="10"/>
  <c r="BA11" i="10"/>
  <c r="R41" i="10"/>
  <c r="BB43" i="10"/>
  <c r="BC43" i="10" s="1"/>
  <c r="AS43" i="10"/>
  <c r="Y43" i="10"/>
  <c r="A44" i="10"/>
  <c r="B43" i="10"/>
  <c r="AD12" i="10"/>
  <c r="T12" i="10"/>
  <c r="AQ12" i="10" s="1"/>
  <c r="U12" i="10"/>
  <c r="W12" i="10" s="1"/>
  <c r="AP12" i="10" s="1"/>
  <c r="H41" i="10"/>
  <c r="D41" i="10"/>
  <c r="F41" i="10" s="1"/>
  <c r="G41" i="10" s="1"/>
  <c r="V41" i="10" s="1"/>
  <c r="C42" i="10"/>
  <c r="I42" i="10" s="1"/>
  <c r="M42" i="10"/>
  <c r="K42" i="10"/>
  <c r="E42" i="10"/>
  <c r="AU34" i="10"/>
  <c r="AH11" i="10"/>
  <c r="AO11" i="10"/>
  <c r="AY11" i="10" s="1"/>
  <c r="AN11" i="10" l="1"/>
  <c r="AW11" i="10" s="1"/>
  <c r="O36" i="10"/>
  <c r="P36" i="10" s="1"/>
  <c r="J37" i="10" s="1"/>
  <c r="L37" i="10" s="1"/>
  <c r="N37" i="10" s="1"/>
  <c r="AE36" i="10"/>
  <c r="AT36" i="10"/>
  <c r="AF36" i="10"/>
  <c r="X12" i="10"/>
  <c r="K43" i="10"/>
  <c r="M43" i="10"/>
  <c r="C43" i="10"/>
  <c r="I43" i="10" s="1"/>
  <c r="E43" i="10"/>
  <c r="H42" i="10"/>
  <c r="D42" i="10"/>
  <c r="F42" i="10" s="1"/>
  <c r="G42" i="10" s="1"/>
  <c r="V42" i="10" s="1"/>
  <c r="A45" i="10"/>
  <c r="BB44" i="10"/>
  <c r="BC44" i="10" s="1"/>
  <c r="Y44" i="10"/>
  <c r="B44" i="10"/>
  <c r="AS44" i="10"/>
  <c r="R42" i="10"/>
  <c r="AU35" i="10"/>
  <c r="BD11" i="10"/>
  <c r="AZ11" i="10"/>
  <c r="O37" i="10" l="1"/>
  <c r="P37" i="10" s="1"/>
  <c r="J38" i="10" s="1"/>
  <c r="L38" i="10" s="1"/>
  <c r="N38" i="10" s="1"/>
  <c r="AE37" i="10"/>
  <c r="AT37" i="10"/>
  <c r="AF37" i="10"/>
  <c r="A46" i="10"/>
  <c r="Y45" i="10"/>
  <c r="BB45" i="10"/>
  <c r="BC45" i="10" s="1"/>
  <c r="AS45" i="10"/>
  <c r="B45" i="10"/>
  <c r="M44" i="10"/>
  <c r="K44" i="10"/>
  <c r="C44" i="10"/>
  <c r="I44" i="10" s="1"/>
  <c r="E44" i="10"/>
  <c r="H43" i="10"/>
  <c r="D43" i="10"/>
  <c r="F43" i="10" s="1"/>
  <c r="G43" i="10" s="1"/>
  <c r="V43" i="10" s="1"/>
  <c r="R43" i="10"/>
  <c r="AU36" i="10"/>
  <c r="Z12" i="10"/>
  <c r="AR12" i="10" s="1"/>
  <c r="O38" i="10" l="1"/>
  <c r="P38" i="10" s="1"/>
  <c r="J39" i="10" s="1"/>
  <c r="L39" i="10" s="1"/>
  <c r="N39" i="10" s="1"/>
  <c r="AE38" i="10"/>
  <c r="AT38" i="10"/>
  <c r="AF38" i="10"/>
  <c r="R44" i="10"/>
  <c r="Q13" i="10"/>
  <c r="AA12" i="10"/>
  <c r="AU37" i="10"/>
  <c r="A47" i="10"/>
  <c r="Y46" i="10"/>
  <c r="AS46" i="10"/>
  <c r="BB46" i="10"/>
  <c r="BC46" i="10" s="1"/>
  <c r="B46" i="10"/>
  <c r="H44" i="10"/>
  <c r="D44" i="10"/>
  <c r="F44" i="10" s="1"/>
  <c r="G44" i="10" s="1"/>
  <c r="V44" i="10" s="1"/>
  <c r="K45" i="10"/>
  <c r="C45" i="10"/>
  <c r="I45" i="10" s="1"/>
  <c r="M45" i="10"/>
  <c r="E45" i="10"/>
  <c r="O39" i="10" l="1"/>
  <c r="P39" i="10" s="1"/>
  <c r="J40" i="10" s="1"/>
  <c r="L40" i="10" s="1"/>
  <c r="N40" i="10" s="1"/>
  <c r="AT39" i="10"/>
  <c r="AE39" i="10"/>
  <c r="AF39" i="10"/>
  <c r="AI12" i="10"/>
  <c r="AJ12" i="10"/>
  <c r="AG12" i="10"/>
  <c r="AK12" i="10"/>
  <c r="AX12" i="10" s="1"/>
  <c r="M46" i="10"/>
  <c r="C46" i="10"/>
  <c r="I46" i="10" s="1"/>
  <c r="K46" i="10"/>
  <c r="E46" i="10"/>
  <c r="R45" i="10"/>
  <c r="AU38" i="10"/>
  <c r="A48" i="10"/>
  <c r="Y47" i="10"/>
  <c r="AS47" i="10"/>
  <c r="BB47" i="10"/>
  <c r="BC47" i="10" s="1"/>
  <c r="B47" i="10"/>
  <c r="AM13" i="10"/>
  <c r="S13" i="10"/>
  <c r="AC13" i="10"/>
  <c r="AB13" i="10"/>
  <c r="AV12" i="10" s="1"/>
  <c r="H45" i="10"/>
  <c r="D45" i="10"/>
  <c r="F45" i="10" s="1"/>
  <c r="G45" i="10" s="1"/>
  <c r="V45" i="10" s="1"/>
  <c r="O40" i="10" l="1"/>
  <c r="P40" i="10" s="1"/>
  <c r="J41" i="10" s="1"/>
  <c r="L41" i="10" s="1"/>
  <c r="N41" i="10" s="1"/>
  <c r="AT40" i="10"/>
  <c r="AE40" i="10"/>
  <c r="AF40" i="10"/>
  <c r="A49" i="10"/>
  <c r="Y48" i="10"/>
  <c r="BB48" i="10"/>
  <c r="BC48" i="10" s="1"/>
  <c r="AS48" i="10"/>
  <c r="B48" i="10"/>
  <c r="R46" i="10"/>
  <c r="H46" i="10"/>
  <c r="D46" i="10"/>
  <c r="F46" i="10" s="1"/>
  <c r="G46" i="10" s="1"/>
  <c r="V46" i="10" s="1"/>
  <c r="M47" i="10"/>
  <c r="C47" i="10"/>
  <c r="I47" i="10" s="1"/>
  <c r="K47" i="10"/>
  <c r="E47" i="10"/>
  <c r="AH12" i="10"/>
  <c r="AO12" i="10"/>
  <c r="AY12" i="10" s="1"/>
  <c r="AD13" i="10"/>
  <c r="T13" i="10"/>
  <c r="AQ13" i="10" s="1"/>
  <c r="U13" i="10"/>
  <c r="W13" i="10" s="1"/>
  <c r="AP13" i="10" s="1"/>
  <c r="AU39" i="10"/>
  <c r="BA12" i="10"/>
  <c r="AL12" i="10"/>
  <c r="O41" i="10" l="1"/>
  <c r="P41" i="10" s="1"/>
  <c r="J42" i="10" s="1"/>
  <c r="L42" i="10" s="1"/>
  <c r="N42" i="10" s="1"/>
  <c r="AT41" i="10"/>
  <c r="AE41" i="10"/>
  <c r="AF41" i="10"/>
  <c r="H47" i="10"/>
  <c r="D47" i="10"/>
  <c r="F47" i="10" s="1"/>
  <c r="G47" i="10" s="1"/>
  <c r="V47" i="10" s="1"/>
  <c r="K48" i="10"/>
  <c r="C48" i="10"/>
  <c r="I48" i="10" s="1"/>
  <c r="M48" i="10"/>
  <c r="E48" i="10"/>
  <c r="X13" i="10"/>
  <c r="R47" i="10"/>
  <c r="AU40" i="10"/>
  <c r="A50" i="10"/>
  <c r="Y49" i="10"/>
  <c r="AS49" i="10"/>
  <c r="BB49" i="10"/>
  <c r="BC49" i="10" s="1"/>
  <c r="B49" i="10"/>
  <c r="AN12" i="10"/>
  <c r="AW12" i="10" s="1"/>
  <c r="O42" i="10" l="1"/>
  <c r="P42" i="10" s="1"/>
  <c r="J43" i="10" s="1"/>
  <c r="L43" i="10" s="1"/>
  <c r="N43" i="10" s="1"/>
  <c r="AE42" i="10"/>
  <c r="AT42" i="10"/>
  <c r="AF42" i="10"/>
  <c r="R48" i="10"/>
  <c r="H48" i="10"/>
  <c r="D48" i="10"/>
  <c r="F48" i="10" s="1"/>
  <c r="G48" i="10" s="1"/>
  <c r="V48" i="10" s="1"/>
  <c r="AU41" i="10"/>
  <c r="C49" i="10"/>
  <c r="I49" i="10" s="1"/>
  <c r="M49" i="10"/>
  <c r="K49" i="10"/>
  <c r="E49" i="10"/>
  <c r="BD12" i="10"/>
  <c r="AZ12" i="10"/>
  <c r="A51" i="10"/>
  <c r="Y50" i="10"/>
  <c r="AS50" i="10"/>
  <c r="BB50" i="10"/>
  <c r="BC50" i="10" s="1"/>
  <c r="B50" i="10"/>
  <c r="Z13" i="10"/>
  <c r="AR13" i="10" s="1"/>
  <c r="AA13" i="10" l="1"/>
  <c r="AG13" i="10" s="1"/>
  <c r="O43" i="10"/>
  <c r="P43" i="10" s="1"/>
  <c r="J44" i="10" s="1"/>
  <c r="L44" i="10" s="1"/>
  <c r="N44" i="10" s="1"/>
  <c r="AT43" i="10"/>
  <c r="AE43" i="10"/>
  <c r="AF43" i="10"/>
  <c r="C50" i="10"/>
  <c r="I50" i="10" s="1"/>
  <c r="M50" i="10"/>
  <c r="K50" i="10"/>
  <c r="E50" i="10"/>
  <c r="AU42" i="10"/>
  <c r="R49" i="10"/>
  <c r="A52" i="10"/>
  <c r="Y51" i="10"/>
  <c r="AS51" i="10"/>
  <c r="BB51" i="10"/>
  <c r="BC51" i="10" s="1"/>
  <c r="B51" i="10"/>
  <c r="Q14" i="10"/>
  <c r="H49" i="10"/>
  <c r="D49" i="10"/>
  <c r="F49" i="10" s="1"/>
  <c r="G49" i="10" s="1"/>
  <c r="V49" i="10" s="1"/>
  <c r="AK13" i="10" l="1"/>
  <c r="AX13" i="10" s="1"/>
  <c r="AI13" i="10"/>
  <c r="AJ13" i="10"/>
  <c r="AL13" i="10" s="1"/>
  <c r="O44" i="10"/>
  <c r="P44" i="10" s="1"/>
  <c r="J45" i="10" s="1"/>
  <c r="L45" i="10" s="1"/>
  <c r="N45" i="10" s="1"/>
  <c r="AE44" i="10"/>
  <c r="AT44" i="10"/>
  <c r="AF44" i="10"/>
  <c r="A53" i="10"/>
  <c r="Y52" i="10"/>
  <c r="BB52" i="10"/>
  <c r="BC52" i="10" s="1"/>
  <c r="AS52" i="10"/>
  <c r="B52" i="10"/>
  <c r="R50" i="10"/>
  <c r="AU43" i="10"/>
  <c r="K51" i="10"/>
  <c r="M51" i="10"/>
  <c r="C51" i="10"/>
  <c r="I51" i="10" s="1"/>
  <c r="E51" i="10"/>
  <c r="AH13" i="10"/>
  <c r="AN13" i="10" s="1"/>
  <c r="AO13" i="10"/>
  <c r="AY13" i="10" s="1"/>
  <c r="AM14" i="10"/>
  <c r="S14" i="10"/>
  <c r="AC14" i="10"/>
  <c r="AB14" i="10"/>
  <c r="AV13" i="10" s="1"/>
  <c r="H50" i="10"/>
  <c r="D50" i="10"/>
  <c r="F50" i="10" s="1"/>
  <c r="G50" i="10" s="1"/>
  <c r="V50" i="10" s="1"/>
  <c r="BA13" i="10" l="1"/>
  <c r="AW13" i="10"/>
  <c r="AZ13" i="10" s="1"/>
  <c r="O45" i="10"/>
  <c r="P45" i="10" s="1"/>
  <c r="J46" i="10" s="1"/>
  <c r="L46" i="10" s="1"/>
  <c r="N46" i="10" s="1"/>
  <c r="AT45" i="10"/>
  <c r="AE45" i="10"/>
  <c r="AF45" i="10"/>
  <c r="R51" i="10"/>
  <c r="AU44" i="10"/>
  <c r="H51" i="10"/>
  <c r="D51" i="10"/>
  <c r="F51" i="10" s="1"/>
  <c r="G51" i="10" s="1"/>
  <c r="V51" i="10" s="1"/>
  <c r="C52" i="10"/>
  <c r="I52" i="10" s="1"/>
  <c r="M52" i="10"/>
  <c r="K52" i="10"/>
  <c r="E52" i="10"/>
  <c r="AD14" i="10"/>
  <c r="T14" i="10"/>
  <c r="AQ14" i="10" s="1"/>
  <c r="U14" i="10"/>
  <c r="W14" i="10" s="1"/>
  <c r="AP14" i="10" s="1"/>
  <c r="A54" i="10"/>
  <c r="Y53" i="10"/>
  <c r="AS53" i="10"/>
  <c r="BB53" i="10"/>
  <c r="BC53" i="10" s="1"/>
  <c r="B53" i="10"/>
  <c r="BD13" i="10" l="1"/>
  <c r="X14" i="10"/>
  <c r="O46" i="10"/>
  <c r="P46" i="10" s="1"/>
  <c r="J47" i="10" s="1"/>
  <c r="L47" i="10" s="1"/>
  <c r="N47" i="10" s="1"/>
  <c r="AT46" i="10"/>
  <c r="AE46" i="10"/>
  <c r="AF46" i="10"/>
  <c r="R52" i="10"/>
  <c r="A55" i="10"/>
  <c r="Y54" i="10"/>
  <c r="AS54" i="10"/>
  <c r="BB54" i="10"/>
  <c r="BC54" i="10" s="1"/>
  <c r="B54" i="10"/>
  <c r="M53" i="10"/>
  <c r="K53" i="10"/>
  <c r="C53" i="10"/>
  <c r="I53" i="10" s="1"/>
  <c r="E53" i="10"/>
  <c r="H52" i="10"/>
  <c r="D52" i="10"/>
  <c r="F52" i="10" s="1"/>
  <c r="G52" i="10" s="1"/>
  <c r="V52" i="10" s="1"/>
  <c r="Z14" i="10"/>
  <c r="AR14" i="10" s="1"/>
  <c r="AU45" i="10"/>
  <c r="O47" i="10" l="1"/>
  <c r="P47" i="10" s="1"/>
  <c r="J48" i="10" s="1"/>
  <c r="L48" i="10" s="1"/>
  <c r="N48" i="10" s="1"/>
  <c r="AT47" i="10"/>
  <c r="AE47" i="10"/>
  <c r="AF47" i="10"/>
  <c r="A56" i="10"/>
  <c r="Y55" i="10"/>
  <c r="AS55" i="10"/>
  <c r="BB55" i="10"/>
  <c r="BC55" i="10" s="1"/>
  <c r="B55" i="10"/>
  <c r="AU46" i="10"/>
  <c r="Q15" i="10"/>
  <c r="AA14" i="10"/>
  <c r="R53" i="10"/>
  <c r="H53" i="10"/>
  <c r="D53" i="10"/>
  <c r="F53" i="10" s="1"/>
  <c r="G53" i="10" s="1"/>
  <c r="V53" i="10" s="1"/>
  <c r="C54" i="10"/>
  <c r="I54" i="10" s="1"/>
  <c r="M54" i="10"/>
  <c r="K54" i="10"/>
  <c r="E54" i="10"/>
  <c r="O48" i="10" l="1"/>
  <c r="P48" i="10" s="1"/>
  <c r="J49" i="10" s="1"/>
  <c r="L49" i="10" s="1"/>
  <c r="N49" i="10" s="1"/>
  <c r="AT48" i="10"/>
  <c r="AE48" i="10"/>
  <c r="AF48" i="10"/>
  <c r="A57" i="10"/>
  <c r="Y56" i="10"/>
  <c r="BB56" i="10"/>
  <c r="BC56" i="10" s="1"/>
  <c r="AS56" i="10"/>
  <c r="B56" i="10"/>
  <c r="AM15" i="10"/>
  <c r="S15" i="10"/>
  <c r="AB15" i="10"/>
  <c r="AV14" i="10" s="1"/>
  <c r="AC15" i="10"/>
  <c r="H54" i="10"/>
  <c r="D54" i="10"/>
  <c r="F54" i="10" s="1"/>
  <c r="G54" i="10" s="1"/>
  <c r="V54" i="10" s="1"/>
  <c r="AI14" i="10"/>
  <c r="AJ14" i="10"/>
  <c r="AG14" i="10"/>
  <c r="AK14" i="10"/>
  <c r="AX14" i="10" s="1"/>
  <c r="R54" i="10"/>
  <c r="AU47" i="10"/>
  <c r="C55" i="10"/>
  <c r="I55" i="10" s="1"/>
  <c r="M55" i="10"/>
  <c r="K55" i="10"/>
  <c r="E55" i="10"/>
  <c r="BA14" i="10" l="1"/>
  <c r="O49" i="10"/>
  <c r="P49" i="10" s="1"/>
  <c r="J50" i="10" s="1"/>
  <c r="L50" i="10" s="1"/>
  <c r="N50" i="10" s="1"/>
  <c r="AE49" i="10"/>
  <c r="AT49" i="10"/>
  <c r="AF49" i="10"/>
  <c r="AD15" i="10"/>
  <c r="T15" i="10"/>
  <c r="AQ15" i="10" s="1"/>
  <c r="U15" i="10"/>
  <c r="W15" i="10" s="1"/>
  <c r="AP15" i="10" s="1"/>
  <c r="AL14" i="10"/>
  <c r="A58" i="10"/>
  <c r="Y57" i="10"/>
  <c r="AS57" i="10"/>
  <c r="BB57" i="10"/>
  <c r="BC57" i="10" s="1"/>
  <c r="B57" i="10"/>
  <c r="AH14" i="10"/>
  <c r="AO14" i="10"/>
  <c r="AY14" i="10" s="1"/>
  <c r="AU48" i="10"/>
  <c r="R55" i="10"/>
  <c r="K56" i="10"/>
  <c r="C56" i="10"/>
  <c r="I56" i="10" s="1"/>
  <c r="M56" i="10"/>
  <c r="E56" i="10"/>
  <c r="H55" i="10"/>
  <c r="D55" i="10"/>
  <c r="F55" i="10" s="1"/>
  <c r="G55" i="10" s="1"/>
  <c r="V55" i="10" s="1"/>
  <c r="AN14" i="10" l="1"/>
  <c r="AW14" i="10" s="1"/>
  <c r="BD14" i="10" s="1"/>
  <c r="X15" i="10"/>
  <c r="O50" i="10"/>
  <c r="P50" i="10" s="1"/>
  <c r="J51" i="10" s="1"/>
  <c r="L51" i="10" s="1"/>
  <c r="N51" i="10" s="1"/>
  <c r="AT50" i="10"/>
  <c r="AE50" i="10"/>
  <c r="AF50" i="10"/>
  <c r="A59" i="10"/>
  <c r="Y58" i="10"/>
  <c r="BB58" i="10"/>
  <c r="BC58" i="10" s="1"/>
  <c r="AS58" i="10"/>
  <c r="B58" i="10"/>
  <c r="H56" i="10"/>
  <c r="D56" i="10"/>
  <c r="F56" i="10" s="1"/>
  <c r="G56" i="10" s="1"/>
  <c r="V56" i="10" s="1"/>
  <c r="Z15" i="10"/>
  <c r="AR15" i="10" s="1"/>
  <c r="R56" i="10"/>
  <c r="AU49" i="10"/>
  <c r="K57" i="10"/>
  <c r="C57" i="10"/>
  <c r="I57" i="10" s="1"/>
  <c r="M57" i="10"/>
  <c r="E57" i="10"/>
  <c r="AZ14" i="10" l="1"/>
  <c r="O51" i="10"/>
  <c r="P51" i="10" s="1"/>
  <c r="J52" i="10" s="1"/>
  <c r="L52" i="10" s="1"/>
  <c r="N52" i="10" s="1"/>
  <c r="AE51" i="10"/>
  <c r="AT51" i="10"/>
  <c r="AF51" i="10"/>
  <c r="H57" i="10"/>
  <c r="D57" i="10"/>
  <c r="F57" i="10" s="1"/>
  <c r="G57" i="10" s="1"/>
  <c r="V57" i="10" s="1"/>
  <c r="K58" i="10"/>
  <c r="C58" i="10"/>
  <c r="I58" i="10" s="1"/>
  <c r="M58" i="10"/>
  <c r="E58" i="10"/>
  <c r="Q16" i="10"/>
  <c r="AU50" i="10"/>
  <c r="AA15" i="10"/>
  <c r="R57" i="10"/>
  <c r="A60" i="10"/>
  <c r="Y59" i="10"/>
  <c r="AS59" i="10"/>
  <c r="BB59" i="10"/>
  <c r="BC59" i="10" s="1"/>
  <c r="B59" i="10"/>
  <c r="O52" i="10" l="1"/>
  <c r="P52" i="10" s="1"/>
  <c r="J53" i="10" s="1"/>
  <c r="L53" i="10" s="1"/>
  <c r="N53" i="10" s="1"/>
  <c r="AE52" i="10"/>
  <c r="AT52" i="10"/>
  <c r="AF52" i="10"/>
  <c r="A61" i="10"/>
  <c r="Y60" i="10"/>
  <c r="BB60" i="10"/>
  <c r="BC60" i="10" s="1"/>
  <c r="AS60" i="10"/>
  <c r="B60" i="10"/>
  <c r="AM16" i="10"/>
  <c r="S16" i="10"/>
  <c r="AB16" i="10"/>
  <c r="AV15" i="10" s="1"/>
  <c r="AC16" i="10"/>
  <c r="AU51" i="10"/>
  <c r="K59" i="10"/>
  <c r="C59" i="10"/>
  <c r="I59" i="10" s="1"/>
  <c r="M59" i="10"/>
  <c r="E59" i="10"/>
  <c r="R58" i="10"/>
  <c r="H58" i="10"/>
  <c r="D58" i="10"/>
  <c r="F58" i="10" s="1"/>
  <c r="G58" i="10" s="1"/>
  <c r="V58" i="10" s="1"/>
  <c r="AJ15" i="10"/>
  <c r="AL15" i="10" s="1"/>
  <c r="AI15" i="10"/>
  <c r="AG15" i="10"/>
  <c r="AK15" i="10"/>
  <c r="AX15" i="10" s="1"/>
  <c r="BA15" i="10" l="1"/>
  <c r="O53" i="10"/>
  <c r="P53" i="10" s="1"/>
  <c r="J54" i="10" s="1"/>
  <c r="L54" i="10" s="1"/>
  <c r="N54" i="10" s="1"/>
  <c r="AT53" i="10"/>
  <c r="AE53" i="10"/>
  <c r="AF53" i="10"/>
  <c r="R59" i="10"/>
  <c r="AD16" i="10"/>
  <c r="T16" i="10"/>
  <c r="AQ16" i="10" s="1"/>
  <c r="U16" i="10"/>
  <c r="W16" i="10" s="1"/>
  <c r="AP16" i="10" s="1"/>
  <c r="K60" i="10"/>
  <c r="C60" i="10"/>
  <c r="I60" i="10" s="1"/>
  <c r="M60" i="10"/>
  <c r="E60" i="10"/>
  <c r="H59" i="10"/>
  <c r="D59" i="10"/>
  <c r="F59" i="10" s="1"/>
  <c r="G59" i="10" s="1"/>
  <c r="V59" i="10" s="1"/>
  <c r="A62" i="10"/>
  <c r="Y61" i="10"/>
  <c r="AS61" i="10"/>
  <c r="BB61" i="10"/>
  <c r="BC61" i="10" s="1"/>
  <c r="B61" i="10"/>
  <c r="AU52" i="10"/>
  <c r="AH15" i="10"/>
  <c r="AN15" i="10" s="1"/>
  <c r="AW15" i="10" s="1"/>
  <c r="AO15" i="10"/>
  <c r="AY15" i="10" s="1"/>
  <c r="O54" i="10" l="1"/>
  <c r="P54" i="10" s="1"/>
  <c r="J55" i="10" s="1"/>
  <c r="L55" i="10" s="1"/>
  <c r="N55" i="10" s="1"/>
  <c r="AT54" i="10"/>
  <c r="AE54" i="10"/>
  <c r="AF54" i="10"/>
  <c r="A63" i="10"/>
  <c r="Y62" i="10"/>
  <c r="BB62" i="10"/>
  <c r="BC62" i="10" s="1"/>
  <c r="AS62" i="10"/>
  <c r="B62" i="10"/>
  <c r="K61" i="10"/>
  <c r="C61" i="10"/>
  <c r="I61" i="10" s="1"/>
  <c r="M61" i="10"/>
  <c r="E61" i="10"/>
  <c r="X16" i="10"/>
  <c r="H60" i="10"/>
  <c r="D60" i="10"/>
  <c r="F60" i="10" s="1"/>
  <c r="G60" i="10" s="1"/>
  <c r="V60" i="10" s="1"/>
  <c r="AU53" i="10"/>
  <c r="R60" i="10"/>
  <c r="BD15" i="10"/>
  <c r="AZ15" i="10"/>
  <c r="O55" i="10" l="1"/>
  <c r="P55" i="10" s="1"/>
  <c r="J56" i="10" s="1"/>
  <c r="L56" i="10" s="1"/>
  <c r="N56" i="10" s="1"/>
  <c r="AT55" i="10"/>
  <c r="AE55" i="10"/>
  <c r="AF55" i="10"/>
  <c r="Z16" i="10"/>
  <c r="AR16" i="10" s="1"/>
  <c r="H61" i="10"/>
  <c r="D61" i="10"/>
  <c r="F61" i="10" s="1"/>
  <c r="G61" i="10" s="1"/>
  <c r="V61" i="10" s="1"/>
  <c r="A64" i="10"/>
  <c r="Y63" i="10"/>
  <c r="AS63" i="10"/>
  <c r="BB63" i="10"/>
  <c r="BC63" i="10" s="1"/>
  <c r="B63" i="10"/>
  <c r="K62" i="10"/>
  <c r="C62" i="10"/>
  <c r="I62" i="10" s="1"/>
  <c r="M62" i="10"/>
  <c r="E62" i="10"/>
  <c r="R61" i="10"/>
  <c r="AU54" i="10"/>
  <c r="O56" i="10" l="1"/>
  <c r="P56" i="10" s="1"/>
  <c r="J57" i="10" s="1"/>
  <c r="L57" i="10" s="1"/>
  <c r="N57" i="10" s="1"/>
  <c r="AT56" i="10"/>
  <c r="AE56" i="10"/>
  <c r="AF56" i="10"/>
  <c r="R62" i="10"/>
  <c r="AU55" i="10"/>
  <c r="H62" i="10"/>
  <c r="D62" i="10"/>
  <c r="F62" i="10" s="1"/>
  <c r="G62" i="10" s="1"/>
  <c r="V62" i="10" s="1"/>
  <c r="K63" i="10"/>
  <c r="C63" i="10"/>
  <c r="I63" i="10" s="1"/>
  <c r="M63" i="10"/>
  <c r="E63" i="10"/>
  <c r="Q17" i="10"/>
  <c r="A65" i="10"/>
  <c r="Y64" i="10"/>
  <c r="BB64" i="10"/>
  <c r="BC64" i="10" s="1"/>
  <c r="AS64" i="10"/>
  <c r="B64" i="10"/>
  <c r="AA16" i="10"/>
  <c r="O57" i="10" l="1"/>
  <c r="P57" i="10" s="1"/>
  <c r="J58" i="10" s="1"/>
  <c r="L58" i="10" s="1"/>
  <c r="N58" i="10" s="1"/>
  <c r="AT57" i="10"/>
  <c r="AE57" i="10"/>
  <c r="AF57" i="10"/>
  <c r="AI16" i="10"/>
  <c r="AJ16" i="10"/>
  <c r="AG16" i="10"/>
  <c r="AK16" i="10"/>
  <c r="AX16" i="10" s="1"/>
  <c r="AU56" i="10"/>
  <c r="H63" i="10"/>
  <c r="D63" i="10"/>
  <c r="F63" i="10" s="1"/>
  <c r="G63" i="10" s="1"/>
  <c r="V63" i="10" s="1"/>
  <c r="AM17" i="10"/>
  <c r="S17" i="10"/>
  <c r="AC17" i="10"/>
  <c r="AB17" i="10"/>
  <c r="AV16" i="10" s="1"/>
  <c r="K64" i="10"/>
  <c r="C64" i="10"/>
  <c r="I64" i="10" s="1"/>
  <c r="M64" i="10"/>
  <c r="E64" i="10"/>
  <c r="R63" i="10"/>
  <c r="A66" i="10"/>
  <c r="Y65" i="10"/>
  <c r="AS65" i="10"/>
  <c r="BB65" i="10"/>
  <c r="BC65" i="10" s="1"/>
  <c r="B65" i="10"/>
  <c r="O58" i="10" l="1"/>
  <c r="P58" i="10" s="1"/>
  <c r="J59" i="10" s="1"/>
  <c r="L59" i="10" s="1"/>
  <c r="N59" i="10" s="1"/>
  <c r="AE58" i="10"/>
  <c r="AT58" i="10"/>
  <c r="AF58" i="10"/>
  <c r="A67" i="10"/>
  <c r="Y66" i="10"/>
  <c r="BB66" i="10"/>
  <c r="BC66" i="10" s="1"/>
  <c r="AS66" i="10"/>
  <c r="B66" i="10"/>
  <c r="K65" i="10"/>
  <c r="C65" i="10"/>
  <c r="I65" i="10" s="1"/>
  <c r="M65" i="10"/>
  <c r="E65" i="10"/>
  <c r="BA16" i="10"/>
  <c r="H64" i="10"/>
  <c r="D64" i="10"/>
  <c r="F64" i="10" s="1"/>
  <c r="G64" i="10" s="1"/>
  <c r="V64" i="10" s="1"/>
  <c r="AU57" i="10"/>
  <c r="AH16" i="10"/>
  <c r="AO16" i="10"/>
  <c r="AY16" i="10" s="1"/>
  <c r="AD17" i="10"/>
  <c r="T17" i="10"/>
  <c r="AQ17" i="10" s="1"/>
  <c r="U17" i="10"/>
  <c r="W17" i="10" s="1"/>
  <c r="AP17" i="10" s="1"/>
  <c r="R64" i="10"/>
  <c r="AL16" i="10"/>
  <c r="AN16" i="10" l="1"/>
  <c r="AW16" i="10" s="1"/>
  <c r="AZ16" i="10" s="1"/>
  <c r="O59" i="10"/>
  <c r="P59" i="10" s="1"/>
  <c r="J60" i="10" s="1"/>
  <c r="L60" i="10" s="1"/>
  <c r="N60" i="10" s="1"/>
  <c r="AT59" i="10"/>
  <c r="AE59" i="10"/>
  <c r="AF59" i="10"/>
  <c r="A68" i="10"/>
  <c r="Y67" i="10"/>
  <c r="AS67" i="10"/>
  <c r="BB67" i="10"/>
  <c r="BC67" i="10" s="1"/>
  <c r="B67" i="10"/>
  <c r="K66" i="10"/>
  <c r="C66" i="10"/>
  <c r="I66" i="10" s="1"/>
  <c r="M66" i="10"/>
  <c r="E66" i="10"/>
  <c r="AU58" i="10"/>
  <c r="H65" i="10"/>
  <c r="D65" i="10"/>
  <c r="F65" i="10" s="1"/>
  <c r="G65" i="10" s="1"/>
  <c r="V65" i="10" s="1"/>
  <c r="X17" i="10"/>
  <c r="R65" i="10"/>
  <c r="BD16" i="10" l="1"/>
  <c r="O60" i="10"/>
  <c r="P60" i="10" s="1"/>
  <c r="J61" i="10" s="1"/>
  <c r="L61" i="10" s="1"/>
  <c r="N61" i="10" s="1"/>
  <c r="AE60" i="10"/>
  <c r="AT60" i="10"/>
  <c r="AF60" i="10"/>
  <c r="AU59" i="10"/>
  <c r="A69" i="10"/>
  <c r="Y68" i="10"/>
  <c r="BB68" i="10"/>
  <c r="BC68" i="10" s="1"/>
  <c r="AS68" i="10"/>
  <c r="B68" i="10"/>
  <c r="Z17" i="10"/>
  <c r="AR17" i="10" s="1"/>
  <c r="R66" i="10"/>
  <c r="H66" i="10"/>
  <c r="D66" i="10"/>
  <c r="F66" i="10" s="1"/>
  <c r="G66" i="10" s="1"/>
  <c r="V66" i="10" s="1"/>
  <c r="K67" i="10"/>
  <c r="C67" i="10"/>
  <c r="I67" i="10" s="1"/>
  <c r="M67" i="10"/>
  <c r="E67" i="10"/>
  <c r="O61" i="10" l="1"/>
  <c r="P61" i="10" s="1"/>
  <c r="J62" i="10" s="1"/>
  <c r="L62" i="10" s="1"/>
  <c r="N62" i="10" s="1"/>
  <c r="AT61" i="10"/>
  <c r="AE61" i="10"/>
  <c r="AF61" i="10"/>
  <c r="K68" i="10"/>
  <c r="C68" i="10"/>
  <c r="I68" i="10" s="1"/>
  <c r="M68" i="10"/>
  <c r="E68" i="10"/>
  <c r="R67" i="10"/>
  <c r="H67" i="10"/>
  <c r="D67" i="10"/>
  <c r="F67" i="10" s="1"/>
  <c r="G67" i="10" s="1"/>
  <c r="V67" i="10" s="1"/>
  <c r="A70" i="10"/>
  <c r="Y69" i="10"/>
  <c r="AS69" i="10"/>
  <c r="BB69" i="10"/>
  <c r="BC69" i="10" s="1"/>
  <c r="B69" i="10"/>
  <c r="AA17" i="10"/>
  <c r="AU60" i="10"/>
  <c r="Q18" i="10"/>
  <c r="O62" i="10" l="1"/>
  <c r="P62" i="10" s="1"/>
  <c r="J63" i="10" s="1"/>
  <c r="L63" i="10" s="1"/>
  <c r="N63" i="10" s="1"/>
  <c r="AE62" i="10"/>
  <c r="AT62" i="10"/>
  <c r="AF62" i="10"/>
  <c r="AB18" i="10"/>
  <c r="AV17" i="10" s="1"/>
  <c r="S18" i="10"/>
  <c r="AM18" i="10"/>
  <c r="AC18" i="10"/>
  <c r="R68" i="10"/>
  <c r="K69" i="10"/>
  <c r="C69" i="10"/>
  <c r="I69" i="10" s="1"/>
  <c r="M69" i="10"/>
  <c r="E69" i="10"/>
  <c r="AJ17" i="10"/>
  <c r="AI17" i="10"/>
  <c r="AG17" i="10"/>
  <c r="AK17" i="10"/>
  <c r="AX17" i="10" s="1"/>
  <c r="A71" i="10"/>
  <c r="Y70" i="10"/>
  <c r="BB70" i="10"/>
  <c r="BC70" i="10" s="1"/>
  <c r="AS70" i="10"/>
  <c r="B70" i="10"/>
  <c r="AU61" i="10"/>
  <c r="H68" i="10"/>
  <c r="D68" i="10"/>
  <c r="F68" i="10" s="1"/>
  <c r="G68" i="10" s="1"/>
  <c r="V68" i="10" s="1"/>
  <c r="O63" i="10" l="1"/>
  <c r="P63" i="10" s="1"/>
  <c r="J64" i="10" s="1"/>
  <c r="L64" i="10" s="1"/>
  <c r="N64" i="10" s="1"/>
  <c r="AE63" i="10"/>
  <c r="AT63" i="10"/>
  <c r="AF63" i="10"/>
  <c r="AL17" i="10"/>
  <c r="AH17" i="10"/>
  <c r="AN17" i="10" s="1"/>
  <c r="AW17" i="10" s="1"/>
  <c r="AO17" i="10"/>
  <c r="AY17" i="10" s="1"/>
  <c r="K70" i="10"/>
  <c r="C70" i="10"/>
  <c r="I70" i="10" s="1"/>
  <c r="M70" i="10"/>
  <c r="E70" i="10"/>
  <c r="AU62" i="10"/>
  <c r="R69" i="10"/>
  <c r="AD18" i="10"/>
  <c r="T18" i="10"/>
  <c r="AQ18" i="10" s="1"/>
  <c r="U18" i="10"/>
  <c r="W18" i="10" s="1"/>
  <c r="AP18" i="10" s="1"/>
  <c r="BA17" i="10"/>
  <c r="A72" i="10"/>
  <c r="Y71" i="10"/>
  <c r="AS71" i="10"/>
  <c r="BB71" i="10"/>
  <c r="BC71" i="10" s="1"/>
  <c r="B71" i="10"/>
  <c r="H69" i="10"/>
  <c r="D69" i="10"/>
  <c r="F69" i="10" s="1"/>
  <c r="G69" i="10" s="1"/>
  <c r="V69" i="10" s="1"/>
  <c r="X18" i="10" l="1"/>
  <c r="O64" i="10"/>
  <c r="P64" i="10" s="1"/>
  <c r="J65" i="10" s="1"/>
  <c r="L65" i="10" s="1"/>
  <c r="N65" i="10" s="1"/>
  <c r="AE64" i="10"/>
  <c r="AT64" i="10"/>
  <c r="AF64" i="10"/>
  <c r="H70" i="10"/>
  <c r="D70" i="10"/>
  <c r="F70" i="10" s="1"/>
  <c r="G70" i="10" s="1"/>
  <c r="V70" i="10" s="1"/>
  <c r="BD17" i="10"/>
  <c r="AZ17" i="10"/>
  <c r="K71" i="10"/>
  <c r="C71" i="10"/>
  <c r="I71" i="10" s="1"/>
  <c r="M71" i="10"/>
  <c r="E71" i="10"/>
  <c r="Z18" i="10"/>
  <c r="AR18" i="10" s="1"/>
  <c r="A73" i="10"/>
  <c r="Y72" i="10"/>
  <c r="BB72" i="10"/>
  <c r="BC72" i="10" s="1"/>
  <c r="AS72" i="10"/>
  <c r="B72" i="10"/>
  <c r="AU63" i="10"/>
  <c r="R70" i="10"/>
  <c r="O65" i="10" l="1"/>
  <c r="P65" i="10" s="1"/>
  <c r="J66" i="10" s="1"/>
  <c r="L66" i="10" s="1"/>
  <c r="N66" i="10" s="1"/>
  <c r="AE65" i="10"/>
  <c r="AT65" i="10"/>
  <c r="AF65" i="10"/>
  <c r="H71" i="10"/>
  <c r="D71" i="10"/>
  <c r="F71" i="10" s="1"/>
  <c r="G71" i="10" s="1"/>
  <c r="V71" i="10" s="1"/>
  <c r="AA18" i="10"/>
  <c r="AU64" i="10"/>
  <c r="Q19" i="10"/>
  <c r="A74" i="10"/>
  <c r="Y73" i="10"/>
  <c r="AS73" i="10"/>
  <c r="BB73" i="10"/>
  <c r="BC73" i="10" s="1"/>
  <c r="B73" i="10"/>
  <c r="K72" i="10"/>
  <c r="C72" i="10"/>
  <c r="I72" i="10" s="1"/>
  <c r="M72" i="10"/>
  <c r="E72" i="10"/>
  <c r="R71" i="10"/>
  <c r="O66" i="10" l="1"/>
  <c r="P66" i="10" s="1"/>
  <c r="J67" i="10" s="1"/>
  <c r="L67" i="10" s="1"/>
  <c r="N67" i="10" s="1"/>
  <c r="AT66" i="10"/>
  <c r="AE66" i="10"/>
  <c r="AF66" i="10"/>
  <c r="K73" i="10"/>
  <c r="C73" i="10"/>
  <c r="I73" i="10" s="1"/>
  <c r="M73" i="10"/>
  <c r="E73" i="10"/>
  <c r="AC19" i="10"/>
  <c r="AM19" i="10"/>
  <c r="S19" i="10"/>
  <c r="AB19" i="10"/>
  <c r="AV18" i="10" s="1"/>
  <c r="AJ18" i="10"/>
  <c r="AI18" i="10"/>
  <c r="AG18" i="10"/>
  <c r="AK18" i="10"/>
  <c r="AX18" i="10" s="1"/>
  <c r="AU65" i="10"/>
  <c r="R72" i="10"/>
  <c r="A75" i="10"/>
  <c r="Y74" i="10"/>
  <c r="BB74" i="10"/>
  <c r="BC74" i="10" s="1"/>
  <c r="AS74" i="10"/>
  <c r="B74" i="10"/>
  <c r="H72" i="10"/>
  <c r="D72" i="10"/>
  <c r="F72" i="10" s="1"/>
  <c r="G72" i="10" s="1"/>
  <c r="V72" i="10" s="1"/>
  <c r="BA18" i="10" l="1"/>
  <c r="O67" i="10"/>
  <c r="P67" i="10" s="1"/>
  <c r="J68" i="10" s="1"/>
  <c r="L68" i="10" s="1"/>
  <c r="N68" i="10" s="1"/>
  <c r="AE67" i="10"/>
  <c r="AT67" i="10"/>
  <c r="AF67" i="10"/>
  <c r="A76" i="10"/>
  <c r="Y75" i="10"/>
  <c r="AS75" i="10"/>
  <c r="BB75" i="10"/>
  <c r="BC75" i="10" s="1"/>
  <c r="B75" i="10"/>
  <c r="AO18" i="10"/>
  <c r="AY18" i="10" s="1"/>
  <c r="AH18" i="10"/>
  <c r="AU66" i="10"/>
  <c r="AL18" i="10"/>
  <c r="H73" i="10"/>
  <c r="D73" i="10"/>
  <c r="F73" i="10" s="1"/>
  <c r="G73" i="10" s="1"/>
  <c r="V73" i="10" s="1"/>
  <c r="R73" i="10"/>
  <c r="K74" i="10"/>
  <c r="C74" i="10"/>
  <c r="I74" i="10" s="1"/>
  <c r="M74" i="10"/>
  <c r="E74" i="10"/>
  <c r="T19" i="10"/>
  <c r="AQ19" i="10" s="1"/>
  <c r="AD19" i="10"/>
  <c r="U19" i="10"/>
  <c r="W19" i="10" s="1"/>
  <c r="AP19" i="10" s="1"/>
  <c r="AN18" i="10" l="1"/>
  <c r="AW18" i="10" s="1"/>
  <c r="AZ18" i="10" s="1"/>
  <c r="O68" i="10"/>
  <c r="P68" i="10" s="1"/>
  <c r="J69" i="10" s="1"/>
  <c r="L69" i="10" s="1"/>
  <c r="N69" i="10" s="1"/>
  <c r="AE68" i="10"/>
  <c r="AT68" i="10"/>
  <c r="AF68" i="10"/>
  <c r="X19" i="10"/>
  <c r="R74" i="10"/>
  <c r="H74" i="10"/>
  <c r="D74" i="10"/>
  <c r="F74" i="10" s="1"/>
  <c r="G74" i="10" s="1"/>
  <c r="V74" i="10" s="1"/>
  <c r="A77" i="10"/>
  <c r="Y76" i="10"/>
  <c r="BB76" i="10"/>
  <c r="BC76" i="10" s="1"/>
  <c r="AS76" i="10"/>
  <c r="B76" i="10"/>
  <c r="AU67" i="10"/>
  <c r="K75" i="10"/>
  <c r="C75" i="10"/>
  <c r="I75" i="10" s="1"/>
  <c r="M75" i="10"/>
  <c r="E75" i="10"/>
  <c r="BD18" i="10" l="1"/>
  <c r="O69" i="10"/>
  <c r="P69" i="10" s="1"/>
  <c r="J70" i="10" s="1"/>
  <c r="L70" i="10" s="1"/>
  <c r="N70" i="10" s="1"/>
  <c r="AE69" i="10"/>
  <c r="AT69" i="10"/>
  <c r="AF69" i="10"/>
  <c r="R75" i="10"/>
  <c r="AU68" i="10"/>
  <c r="A78" i="10"/>
  <c r="Y77" i="10"/>
  <c r="AS77" i="10"/>
  <c r="BB77" i="10"/>
  <c r="BC77" i="10" s="1"/>
  <c r="B77" i="10"/>
  <c r="H75" i="10"/>
  <c r="D75" i="10"/>
  <c r="F75" i="10" s="1"/>
  <c r="G75" i="10" s="1"/>
  <c r="V75" i="10" s="1"/>
  <c r="K76" i="10"/>
  <c r="C76" i="10"/>
  <c r="I76" i="10" s="1"/>
  <c r="M76" i="10"/>
  <c r="E76" i="10"/>
  <c r="Z19" i="10"/>
  <c r="AR19" i="10" s="1"/>
  <c r="O70" i="10" l="1"/>
  <c r="P70" i="10" s="1"/>
  <c r="J71" i="10" s="1"/>
  <c r="L71" i="10" s="1"/>
  <c r="N71" i="10" s="1"/>
  <c r="AE70" i="10"/>
  <c r="AT70" i="10"/>
  <c r="AF70" i="10"/>
  <c r="AU69" i="10"/>
  <c r="AA19" i="10"/>
  <c r="Q20" i="10"/>
  <c r="K77" i="10"/>
  <c r="C77" i="10"/>
  <c r="I77" i="10" s="1"/>
  <c r="M77" i="10"/>
  <c r="E77" i="10"/>
  <c r="R76" i="10"/>
  <c r="H76" i="10"/>
  <c r="D76" i="10"/>
  <c r="F76" i="10" s="1"/>
  <c r="G76" i="10" s="1"/>
  <c r="V76" i="10" s="1"/>
  <c r="A79" i="10"/>
  <c r="Y78" i="10"/>
  <c r="BB78" i="10"/>
  <c r="BC78" i="10" s="1"/>
  <c r="AS78" i="10"/>
  <c r="B78" i="10"/>
  <c r="O71" i="10" l="1"/>
  <c r="P71" i="10" s="1"/>
  <c r="J72" i="10" s="1"/>
  <c r="L72" i="10" s="1"/>
  <c r="N72" i="10" s="1"/>
  <c r="AE71" i="10"/>
  <c r="AT71" i="10"/>
  <c r="AF71" i="10"/>
  <c r="K78" i="10"/>
  <c r="C78" i="10"/>
  <c r="I78" i="10" s="1"/>
  <c r="M78" i="10"/>
  <c r="E78" i="10"/>
  <c r="AB20" i="10"/>
  <c r="AV19" i="10" s="1"/>
  <c r="S20" i="10"/>
  <c r="AC20" i="10"/>
  <c r="AM20" i="10"/>
  <c r="AU70" i="10"/>
  <c r="AJ19" i="10"/>
  <c r="AI19" i="10"/>
  <c r="AG19" i="10"/>
  <c r="AK19" i="10"/>
  <c r="AX19" i="10" s="1"/>
  <c r="A80" i="10"/>
  <c r="Y79" i="10"/>
  <c r="AS79" i="10"/>
  <c r="BB79" i="10"/>
  <c r="BC79" i="10" s="1"/>
  <c r="B79" i="10"/>
  <c r="R77" i="10"/>
  <c r="H77" i="10"/>
  <c r="D77" i="10"/>
  <c r="F77" i="10" s="1"/>
  <c r="G77" i="10" s="1"/>
  <c r="V77" i="10" s="1"/>
  <c r="BA19" i="10" l="1"/>
  <c r="O72" i="10"/>
  <c r="P72" i="10" s="1"/>
  <c r="J73" i="10" s="1"/>
  <c r="L73" i="10" s="1"/>
  <c r="N73" i="10" s="1"/>
  <c r="AE72" i="10"/>
  <c r="AT72" i="10"/>
  <c r="AF72" i="10"/>
  <c r="AL19" i="10"/>
  <c r="R78" i="10"/>
  <c r="T20" i="10"/>
  <c r="AQ20" i="10" s="1"/>
  <c r="AD20" i="10"/>
  <c r="U20" i="10"/>
  <c r="W20" i="10" s="1"/>
  <c r="AP20" i="10" s="1"/>
  <c r="AH19" i="10"/>
  <c r="AO19" i="10"/>
  <c r="AY19" i="10" s="1"/>
  <c r="AU71" i="10"/>
  <c r="K79" i="10"/>
  <c r="C79" i="10"/>
  <c r="I79" i="10" s="1"/>
  <c r="M79" i="10"/>
  <c r="E79" i="10"/>
  <c r="A81" i="10"/>
  <c r="Y80" i="10"/>
  <c r="BB80" i="10"/>
  <c r="BC80" i="10" s="1"/>
  <c r="AS80" i="10"/>
  <c r="B80" i="10"/>
  <c r="H78" i="10"/>
  <c r="D78" i="10"/>
  <c r="F78" i="10" s="1"/>
  <c r="G78" i="10" s="1"/>
  <c r="V78" i="10" s="1"/>
  <c r="AN19" i="10" l="1"/>
  <c r="AW19" i="10" s="1"/>
  <c r="O73" i="10"/>
  <c r="P73" i="10" s="1"/>
  <c r="J74" i="10" s="1"/>
  <c r="L74" i="10" s="1"/>
  <c r="N74" i="10" s="1"/>
  <c r="AT73" i="10"/>
  <c r="AE73" i="10"/>
  <c r="AF73" i="10"/>
  <c r="H79" i="10"/>
  <c r="D79" i="10"/>
  <c r="F79" i="10" s="1"/>
  <c r="G79" i="10" s="1"/>
  <c r="V79" i="10" s="1"/>
  <c r="K80" i="10"/>
  <c r="C80" i="10"/>
  <c r="I80" i="10" s="1"/>
  <c r="M80" i="10"/>
  <c r="E80" i="10"/>
  <c r="BD19" i="10"/>
  <c r="AZ19" i="10"/>
  <c r="A82" i="10"/>
  <c r="Y81" i="10"/>
  <c r="AS81" i="10"/>
  <c r="BB81" i="10"/>
  <c r="BC81" i="10" s="1"/>
  <c r="B81" i="10"/>
  <c r="X20" i="10"/>
  <c r="AU72" i="10"/>
  <c r="R79" i="10"/>
  <c r="O74" i="10" l="1"/>
  <c r="P74" i="10" s="1"/>
  <c r="J75" i="10" s="1"/>
  <c r="L75" i="10" s="1"/>
  <c r="N75" i="10" s="1"/>
  <c r="AT74" i="10"/>
  <c r="AE74" i="10"/>
  <c r="AF74" i="10"/>
  <c r="K81" i="10"/>
  <c r="C81" i="10"/>
  <c r="I81" i="10" s="1"/>
  <c r="M81" i="10"/>
  <c r="E81" i="10"/>
  <c r="R80" i="10"/>
  <c r="AU73" i="10"/>
  <c r="H80" i="10"/>
  <c r="D80" i="10"/>
  <c r="F80" i="10" s="1"/>
  <c r="G80" i="10" s="1"/>
  <c r="V80" i="10" s="1"/>
  <c r="A83" i="10"/>
  <c r="Y82" i="10"/>
  <c r="BB82" i="10"/>
  <c r="BC82" i="10" s="1"/>
  <c r="AS82" i="10"/>
  <c r="B82" i="10"/>
  <c r="Z20" i="10"/>
  <c r="AR20" i="10" s="1"/>
  <c r="Q21" i="10" l="1"/>
  <c r="AM21" i="10" s="1"/>
  <c r="O75" i="10"/>
  <c r="P75" i="10" s="1"/>
  <c r="J76" i="10" s="1"/>
  <c r="L76" i="10" s="1"/>
  <c r="N76" i="10" s="1"/>
  <c r="AE75" i="10"/>
  <c r="AT75" i="10"/>
  <c r="AF75" i="10"/>
  <c r="K82" i="10"/>
  <c r="C82" i="10"/>
  <c r="I82" i="10" s="1"/>
  <c r="M82" i="10"/>
  <c r="E82" i="10"/>
  <c r="AA20" i="10"/>
  <c r="R81" i="10"/>
  <c r="S21" i="10"/>
  <c r="AB21" i="10"/>
  <c r="AV20" i="10" s="1"/>
  <c r="AC21" i="10"/>
  <c r="AU74" i="10"/>
  <c r="A84" i="10"/>
  <c r="Y83" i="10"/>
  <c r="AS83" i="10"/>
  <c r="BB83" i="10"/>
  <c r="BC83" i="10" s="1"/>
  <c r="B83" i="10"/>
  <c r="H81" i="10"/>
  <c r="D81" i="10"/>
  <c r="F81" i="10" s="1"/>
  <c r="G81" i="10" s="1"/>
  <c r="V81" i="10" s="1"/>
  <c r="O76" i="10" l="1"/>
  <c r="P76" i="10" s="1"/>
  <c r="J77" i="10" s="1"/>
  <c r="L77" i="10" s="1"/>
  <c r="N77" i="10" s="1"/>
  <c r="AT76" i="10"/>
  <c r="AE76" i="10"/>
  <c r="AF76" i="10"/>
  <c r="K83" i="10"/>
  <c r="C83" i="10"/>
  <c r="I83" i="10" s="1"/>
  <c r="M83" i="10"/>
  <c r="E83" i="10"/>
  <c r="AI20" i="10"/>
  <c r="AJ20" i="10"/>
  <c r="AG20" i="10"/>
  <c r="AK20" i="10"/>
  <c r="AX20" i="10" s="1"/>
  <c r="BA20" i="10"/>
  <c r="H82" i="10"/>
  <c r="D82" i="10"/>
  <c r="F82" i="10" s="1"/>
  <c r="G82" i="10" s="1"/>
  <c r="V82" i="10" s="1"/>
  <c r="AD21" i="10"/>
  <c r="T21" i="10"/>
  <c r="AQ21" i="10" s="1"/>
  <c r="U21" i="10"/>
  <c r="W21" i="10" s="1"/>
  <c r="AP21" i="10" s="1"/>
  <c r="R82" i="10"/>
  <c r="AU75" i="10"/>
  <c r="A85" i="10"/>
  <c r="Y84" i="10"/>
  <c r="BB84" i="10"/>
  <c r="BC84" i="10" s="1"/>
  <c r="AS84" i="10"/>
  <c r="B84" i="10"/>
  <c r="O77" i="10" l="1"/>
  <c r="P77" i="10" s="1"/>
  <c r="J78" i="10" s="1"/>
  <c r="L78" i="10" s="1"/>
  <c r="N78" i="10" s="1"/>
  <c r="AE77" i="10"/>
  <c r="AT77" i="10"/>
  <c r="AF77" i="10"/>
  <c r="AH20" i="10"/>
  <c r="AO20" i="10"/>
  <c r="AY20" i="10" s="1"/>
  <c r="X21" i="10"/>
  <c r="A86" i="10"/>
  <c r="Y85" i="10"/>
  <c r="AS85" i="10"/>
  <c r="BB85" i="10"/>
  <c r="BC85" i="10" s="1"/>
  <c r="B85" i="10"/>
  <c r="AL20" i="10"/>
  <c r="AU76" i="10"/>
  <c r="R83" i="10"/>
  <c r="K84" i="10"/>
  <c r="C84" i="10"/>
  <c r="I84" i="10" s="1"/>
  <c r="M84" i="10"/>
  <c r="E84" i="10"/>
  <c r="H83" i="10"/>
  <c r="D83" i="10"/>
  <c r="F83" i="10" s="1"/>
  <c r="G83" i="10" s="1"/>
  <c r="V83" i="10" s="1"/>
  <c r="O78" i="10" l="1"/>
  <c r="P78" i="10" s="1"/>
  <c r="J79" i="10" s="1"/>
  <c r="L79" i="10" s="1"/>
  <c r="N79" i="10" s="1"/>
  <c r="AE78" i="10"/>
  <c r="AT78" i="10"/>
  <c r="AF78" i="10"/>
  <c r="A87" i="10"/>
  <c r="Y86" i="10"/>
  <c r="BB86" i="10"/>
  <c r="BC86" i="10" s="1"/>
  <c r="AS86" i="10"/>
  <c r="B86" i="10"/>
  <c r="R84" i="10"/>
  <c r="Z21" i="10"/>
  <c r="AR21" i="10" s="1"/>
  <c r="AN20" i="10"/>
  <c r="AW20" i="10" s="1"/>
  <c r="H84" i="10"/>
  <c r="D84" i="10"/>
  <c r="F84" i="10" s="1"/>
  <c r="G84" i="10" s="1"/>
  <c r="V84" i="10" s="1"/>
  <c r="K85" i="10"/>
  <c r="C85" i="10"/>
  <c r="I85" i="10" s="1"/>
  <c r="M85" i="10"/>
  <c r="E85" i="10"/>
  <c r="AU77" i="10"/>
  <c r="Q22" i="10" l="1"/>
  <c r="AB22" i="10" s="1"/>
  <c r="AV21" i="10" s="1"/>
  <c r="O79" i="10"/>
  <c r="P79" i="10" s="1"/>
  <c r="J80" i="10" s="1"/>
  <c r="L80" i="10" s="1"/>
  <c r="N80" i="10" s="1"/>
  <c r="AE79" i="10"/>
  <c r="AT79" i="10"/>
  <c r="AF79" i="10"/>
  <c r="AC22" i="10"/>
  <c r="A88" i="10"/>
  <c r="Y87" i="10"/>
  <c r="AS87" i="10"/>
  <c r="BB87" i="10"/>
  <c r="BC87" i="10" s="1"/>
  <c r="B87" i="10"/>
  <c r="R85" i="10"/>
  <c r="H85" i="10"/>
  <c r="D85" i="10"/>
  <c r="F85" i="10" s="1"/>
  <c r="G85" i="10" s="1"/>
  <c r="V85" i="10" s="1"/>
  <c r="BD20" i="10"/>
  <c r="AZ20" i="10"/>
  <c r="AU78" i="10"/>
  <c r="K86" i="10"/>
  <c r="C86" i="10"/>
  <c r="I86" i="10" s="1"/>
  <c r="M86" i="10"/>
  <c r="E86" i="10"/>
  <c r="AA21" i="10"/>
  <c r="AM22" i="10" l="1"/>
  <c r="S22" i="10"/>
  <c r="T22" i="10" s="1"/>
  <c r="AQ22" i="10" s="1"/>
  <c r="O80" i="10"/>
  <c r="P80" i="10" s="1"/>
  <c r="J81" i="10" s="1"/>
  <c r="L81" i="10" s="1"/>
  <c r="N81" i="10" s="1"/>
  <c r="AE80" i="10"/>
  <c r="AT80" i="10"/>
  <c r="AF80" i="10"/>
  <c r="AU79" i="10"/>
  <c r="R86" i="10"/>
  <c r="H86" i="10"/>
  <c r="D86" i="10"/>
  <c r="F86" i="10" s="1"/>
  <c r="G86" i="10" s="1"/>
  <c r="V86" i="10" s="1"/>
  <c r="A89" i="10"/>
  <c r="Y88" i="10"/>
  <c r="BB88" i="10"/>
  <c r="BC88" i="10" s="1"/>
  <c r="AS88" i="10"/>
  <c r="B88" i="10"/>
  <c r="AJ21" i="10"/>
  <c r="AI21" i="10"/>
  <c r="AG21" i="10"/>
  <c r="AK21" i="10"/>
  <c r="AX21" i="10" s="1"/>
  <c r="K87" i="10"/>
  <c r="C87" i="10"/>
  <c r="I87" i="10" s="1"/>
  <c r="M87" i="10"/>
  <c r="E87" i="10"/>
  <c r="AD22" i="10" l="1"/>
  <c r="BA21" i="10"/>
  <c r="U22" i="10"/>
  <c r="W22" i="10" s="1"/>
  <c r="AP22" i="10" s="1"/>
  <c r="O81" i="10"/>
  <c r="P81" i="10" s="1"/>
  <c r="J82" i="10" s="1"/>
  <c r="L82" i="10" s="1"/>
  <c r="N82" i="10" s="1"/>
  <c r="AE81" i="10"/>
  <c r="AT81" i="10"/>
  <c r="AF81" i="10"/>
  <c r="AH21" i="10"/>
  <c r="AO21" i="10"/>
  <c r="AY21" i="10" s="1"/>
  <c r="A90" i="10"/>
  <c r="Y89" i="10"/>
  <c r="AS89" i="10"/>
  <c r="BB89" i="10"/>
  <c r="BC89" i="10" s="1"/>
  <c r="B89" i="10"/>
  <c r="R87" i="10"/>
  <c r="AL21" i="10"/>
  <c r="H87" i="10"/>
  <c r="D87" i="10"/>
  <c r="F87" i="10" s="1"/>
  <c r="G87" i="10" s="1"/>
  <c r="V87" i="10" s="1"/>
  <c r="AU80" i="10"/>
  <c r="K88" i="10"/>
  <c r="C88" i="10"/>
  <c r="I88" i="10" s="1"/>
  <c r="M88" i="10"/>
  <c r="E88" i="10"/>
  <c r="X22" i="10" l="1"/>
  <c r="O82" i="10"/>
  <c r="P82" i="10" s="1"/>
  <c r="J83" i="10" s="1"/>
  <c r="L83" i="10" s="1"/>
  <c r="N83" i="10" s="1"/>
  <c r="AE82" i="10"/>
  <c r="AT82" i="10"/>
  <c r="AF82" i="10"/>
  <c r="K89" i="10"/>
  <c r="C89" i="10"/>
  <c r="I89" i="10" s="1"/>
  <c r="M89" i="10"/>
  <c r="E89" i="10"/>
  <c r="H88" i="10"/>
  <c r="D88" i="10"/>
  <c r="F88" i="10" s="1"/>
  <c r="G88" i="10" s="1"/>
  <c r="V88" i="10" s="1"/>
  <c r="AN21" i="10"/>
  <c r="AW21" i="10" s="1"/>
  <c r="A91" i="10"/>
  <c r="Y90" i="10"/>
  <c r="BB90" i="10"/>
  <c r="BC90" i="10" s="1"/>
  <c r="AS90" i="10"/>
  <c r="B90" i="10"/>
  <c r="AU81" i="10"/>
  <c r="Z22" i="10"/>
  <c r="AR22" i="10" s="1"/>
  <c r="R88" i="10"/>
  <c r="O83" i="10" l="1"/>
  <c r="P83" i="10" s="1"/>
  <c r="J84" i="10" s="1"/>
  <c r="L84" i="10" s="1"/>
  <c r="N84" i="10" s="1"/>
  <c r="AE83" i="10"/>
  <c r="AT83" i="10"/>
  <c r="AF83" i="10"/>
  <c r="BD21" i="10"/>
  <c r="AZ21" i="10"/>
  <c r="K90" i="10"/>
  <c r="C90" i="10"/>
  <c r="I90" i="10" s="1"/>
  <c r="M90" i="10"/>
  <c r="E90" i="10"/>
  <c r="AA22" i="10"/>
  <c r="A92" i="10"/>
  <c r="Y91" i="10"/>
  <c r="AS91" i="10"/>
  <c r="BB91" i="10"/>
  <c r="BC91" i="10" s="1"/>
  <c r="B91" i="10"/>
  <c r="R89" i="10"/>
  <c r="AU82" i="10"/>
  <c r="Q23" i="10"/>
  <c r="H89" i="10"/>
  <c r="D89" i="10"/>
  <c r="F89" i="10" s="1"/>
  <c r="G89" i="10" s="1"/>
  <c r="V89" i="10" s="1"/>
  <c r="O84" i="10" l="1"/>
  <c r="P84" i="10" s="1"/>
  <c r="J85" i="10" s="1"/>
  <c r="L85" i="10" s="1"/>
  <c r="N85" i="10" s="1"/>
  <c r="AE84" i="10"/>
  <c r="AT84" i="10"/>
  <c r="AF84" i="10"/>
  <c r="K91" i="10"/>
  <c r="C91" i="10"/>
  <c r="I91" i="10" s="1"/>
  <c r="M91" i="10"/>
  <c r="E91" i="10"/>
  <c r="AU83" i="10"/>
  <c r="A93" i="10"/>
  <c r="Y92" i="10"/>
  <c r="BB92" i="10"/>
  <c r="BC92" i="10" s="1"/>
  <c r="AS92" i="10"/>
  <c r="B92" i="10"/>
  <c r="AM23" i="10"/>
  <c r="AC23" i="10"/>
  <c r="AB23" i="10"/>
  <c r="AV22" i="10" s="1"/>
  <c r="S23" i="10"/>
  <c r="R90" i="10"/>
  <c r="H90" i="10"/>
  <c r="D90" i="10"/>
  <c r="F90" i="10" s="1"/>
  <c r="G90" i="10" s="1"/>
  <c r="V90" i="10" s="1"/>
  <c r="AI22" i="10"/>
  <c r="AJ22" i="10"/>
  <c r="AG22" i="10"/>
  <c r="AK22" i="10"/>
  <c r="AX22" i="10" s="1"/>
  <c r="BA22" i="10" l="1"/>
  <c r="O85" i="10"/>
  <c r="P85" i="10" s="1"/>
  <c r="J86" i="10" s="1"/>
  <c r="L86" i="10" s="1"/>
  <c r="N86" i="10" s="1"/>
  <c r="AT85" i="10"/>
  <c r="AE85" i="10"/>
  <c r="AF85" i="10"/>
  <c r="AU84" i="10"/>
  <c r="AO22" i="10"/>
  <c r="AY22" i="10" s="1"/>
  <c r="AH22" i="10"/>
  <c r="K92" i="10"/>
  <c r="C92" i="10"/>
  <c r="I92" i="10" s="1"/>
  <c r="M92" i="10"/>
  <c r="E92" i="10"/>
  <c r="R91" i="10"/>
  <c r="AL22" i="10"/>
  <c r="A94" i="10"/>
  <c r="Y93" i="10"/>
  <c r="AS93" i="10"/>
  <c r="BB93" i="10"/>
  <c r="BC93" i="10" s="1"/>
  <c r="B93" i="10"/>
  <c r="AD23" i="10"/>
  <c r="T23" i="10"/>
  <c r="AQ23" i="10" s="1"/>
  <c r="U23" i="10"/>
  <c r="W23" i="10" s="1"/>
  <c r="AP23" i="10" s="1"/>
  <c r="H91" i="10"/>
  <c r="D91" i="10"/>
  <c r="F91" i="10" s="1"/>
  <c r="G91" i="10" s="1"/>
  <c r="V91" i="10" s="1"/>
  <c r="X23" i="10" l="1"/>
  <c r="O86" i="10"/>
  <c r="P86" i="10" s="1"/>
  <c r="J87" i="10" s="1"/>
  <c r="L87" i="10" s="1"/>
  <c r="N87" i="10" s="1"/>
  <c r="AE86" i="10"/>
  <c r="AT86" i="10"/>
  <c r="AF86" i="10"/>
  <c r="H92" i="10"/>
  <c r="D92" i="10"/>
  <c r="F92" i="10" s="1"/>
  <c r="G92" i="10" s="1"/>
  <c r="V92" i="10" s="1"/>
  <c r="K93" i="10"/>
  <c r="C93" i="10"/>
  <c r="I93" i="10" s="1"/>
  <c r="M93" i="10"/>
  <c r="E93" i="10"/>
  <c r="A95" i="10"/>
  <c r="Y94" i="10"/>
  <c r="BB94" i="10"/>
  <c r="BC94" i="10" s="1"/>
  <c r="AS94" i="10"/>
  <c r="B94" i="10"/>
  <c r="R92" i="10"/>
  <c r="Z23" i="10"/>
  <c r="AR23" i="10" s="1"/>
  <c r="AU85" i="10"/>
  <c r="AN22" i="10"/>
  <c r="AW22" i="10" s="1"/>
  <c r="O87" i="10" l="1"/>
  <c r="P87" i="10" s="1"/>
  <c r="J88" i="10" s="1"/>
  <c r="L88" i="10" s="1"/>
  <c r="N88" i="10" s="1"/>
  <c r="AE87" i="10"/>
  <c r="AT87" i="10"/>
  <c r="AF87" i="10"/>
  <c r="R93" i="10"/>
  <c r="BD22" i="10"/>
  <c r="AZ22" i="10"/>
  <c r="H93" i="10"/>
  <c r="D93" i="10"/>
  <c r="F93" i="10" s="1"/>
  <c r="G93" i="10" s="1"/>
  <c r="V93" i="10" s="1"/>
  <c r="AU86" i="10"/>
  <c r="Q24" i="10"/>
  <c r="AA23" i="10"/>
  <c r="K94" i="10"/>
  <c r="C94" i="10"/>
  <c r="I94" i="10" s="1"/>
  <c r="M94" i="10"/>
  <c r="E94" i="10"/>
  <c r="A96" i="10"/>
  <c r="Y95" i="10"/>
  <c r="AS95" i="10"/>
  <c r="BB95" i="10"/>
  <c r="BC95" i="10" s="1"/>
  <c r="B95" i="10"/>
  <c r="O88" i="10" l="1"/>
  <c r="P88" i="10" s="1"/>
  <c r="J89" i="10" s="1"/>
  <c r="L89" i="10" s="1"/>
  <c r="N89" i="10" s="1"/>
  <c r="AE88" i="10"/>
  <c r="AT88" i="10"/>
  <c r="AF88" i="10"/>
  <c r="A97" i="10"/>
  <c r="Y96" i="10"/>
  <c r="BB96" i="10"/>
  <c r="BC96" i="10" s="1"/>
  <c r="AS96" i="10"/>
  <c r="B96" i="10"/>
  <c r="AU87" i="10"/>
  <c r="AI23" i="10"/>
  <c r="AJ23" i="10"/>
  <c r="AG23" i="10"/>
  <c r="AK23" i="10"/>
  <c r="AX23" i="10" s="1"/>
  <c r="R94" i="10"/>
  <c r="AM24" i="10"/>
  <c r="AC24" i="10"/>
  <c r="AB24" i="10"/>
  <c r="AV23" i="10" s="1"/>
  <c r="S24" i="10"/>
  <c r="K95" i="10"/>
  <c r="C95" i="10"/>
  <c r="I95" i="10" s="1"/>
  <c r="M95" i="10"/>
  <c r="E95" i="10"/>
  <c r="H94" i="10"/>
  <c r="D94" i="10"/>
  <c r="F94" i="10" s="1"/>
  <c r="G94" i="10" s="1"/>
  <c r="V94" i="10" s="1"/>
  <c r="BA23" i="10" l="1"/>
  <c r="O89" i="10"/>
  <c r="P89" i="10" s="1"/>
  <c r="J90" i="10" s="1"/>
  <c r="L90" i="10" s="1"/>
  <c r="N90" i="10" s="1"/>
  <c r="AT89" i="10"/>
  <c r="AE89" i="10"/>
  <c r="AF89" i="10"/>
  <c r="K96" i="10"/>
  <c r="C96" i="10"/>
  <c r="I96" i="10" s="1"/>
  <c r="M96" i="10"/>
  <c r="E96" i="10"/>
  <c r="H95" i="10"/>
  <c r="D95" i="10"/>
  <c r="F95" i="10" s="1"/>
  <c r="G95" i="10" s="1"/>
  <c r="V95" i="10" s="1"/>
  <c r="AD24" i="10"/>
  <c r="T24" i="10"/>
  <c r="AQ24" i="10" s="1"/>
  <c r="U24" i="10"/>
  <c r="W24" i="10" s="1"/>
  <c r="AP24" i="10" s="1"/>
  <c r="R95" i="10"/>
  <c r="A98" i="10"/>
  <c r="Y97" i="10"/>
  <c r="AS97" i="10"/>
  <c r="BB97" i="10"/>
  <c r="BC97" i="10" s="1"/>
  <c r="B97" i="10"/>
  <c r="AU88" i="10"/>
  <c r="AO23" i="10"/>
  <c r="AY23" i="10" s="1"/>
  <c r="AH23" i="10"/>
  <c r="AL23" i="10"/>
  <c r="AN23" i="10" l="1"/>
  <c r="AW23" i="10" s="1"/>
  <c r="BD23" i="10" s="1"/>
  <c r="O90" i="10"/>
  <c r="P90" i="10" s="1"/>
  <c r="J91" i="10" s="1"/>
  <c r="L91" i="10" s="1"/>
  <c r="N91" i="10" s="1"/>
  <c r="AE90" i="10"/>
  <c r="AT90" i="10"/>
  <c r="AF90" i="10"/>
  <c r="R96" i="10"/>
  <c r="AU89" i="10"/>
  <c r="K97" i="10"/>
  <c r="C97" i="10"/>
  <c r="I97" i="10" s="1"/>
  <c r="M97" i="10"/>
  <c r="E97" i="10"/>
  <c r="A99" i="10"/>
  <c r="Y98" i="10"/>
  <c r="BB98" i="10"/>
  <c r="BC98" i="10" s="1"/>
  <c r="AS98" i="10"/>
  <c r="B98" i="10"/>
  <c r="X24" i="10"/>
  <c r="H96" i="10"/>
  <c r="D96" i="10"/>
  <c r="F96" i="10" s="1"/>
  <c r="G96" i="10" s="1"/>
  <c r="V96" i="10" s="1"/>
  <c r="AZ23" i="10" l="1"/>
  <c r="O91" i="10"/>
  <c r="P91" i="10" s="1"/>
  <c r="J92" i="10" s="1"/>
  <c r="L92" i="10" s="1"/>
  <c r="N92" i="10" s="1"/>
  <c r="AT91" i="10"/>
  <c r="AE91" i="10"/>
  <c r="AF91" i="10"/>
  <c r="A100" i="10"/>
  <c r="Y99" i="10"/>
  <c r="AS99" i="10"/>
  <c r="BB99" i="10"/>
  <c r="BC99" i="10" s="1"/>
  <c r="B99" i="10"/>
  <c r="AU90" i="10"/>
  <c r="K98" i="10"/>
  <c r="C98" i="10"/>
  <c r="I98" i="10" s="1"/>
  <c r="M98" i="10"/>
  <c r="E98" i="10"/>
  <c r="Z24" i="10"/>
  <c r="AR24" i="10" s="1"/>
  <c r="R97" i="10"/>
  <c r="H97" i="10"/>
  <c r="D97" i="10"/>
  <c r="F97" i="10" s="1"/>
  <c r="G97" i="10" s="1"/>
  <c r="V97" i="10" s="1"/>
  <c r="O92" i="10" l="1"/>
  <c r="P92" i="10" s="1"/>
  <c r="J93" i="10" s="1"/>
  <c r="L93" i="10" s="1"/>
  <c r="N93" i="10" s="1"/>
  <c r="AT92" i="10"/>
  <c r="AE92" i="10"/>
  <c r="AF92" i="10"/>
  <c r="Q25" i="10"/>
  <c r="AA24" i="10"/>
  <c r="K99" i="10"/>
  <c r="C99" i="10"/>
  <c r="I99" i="10" s="1"/>
  <c r="M99" i="10"/>
  <c r="E99" i="10"/>
  <c r="AU91" i="10"/>
  <c r="R98" i="10"/>
  <c r="H98" i="10"/>
  <c r="D98" i="10"/>
  <c r="F98" i="10" s="1"/>
  <c r="G98" i="10" s="1"/>
  <c r="V98" i="10" s="1"/>
  <c r="A101" i="10"/>
  <c r="Y100" i="10"/>
  <c r="BB100" i="10"/>
  <c r="BC100" i="10" s="1"/>
  <c r="AS100" i="10"/>
  <c r="B100" i="10"/>
  <c r="O93" i="10" l="1"/>
  <c r="P93" i="10" s="1"/>
  <c r="J94" i="10" s="1"/>
  <c r="L94" i="10" s="1"/>
  <c r="N94" i="10" s="1"/>
  <c r="AT93" i="10"/>
  <c r="AE93" i="10"/>
  <c r="AF93" i="10"/>
  <c r="K100" i="10"/>
  <c r="C100" i="10"/>
  <c r="I100" i="10" s="1"/>
  <c r="M100" i="10"/>
  <c r="E100" i="10"/>
  <c r="R99" i="10"/>
  <c r="A102" i="10"/>
  <c r="Y101" i="10"/>
  <c r="AS101" i="10"/>
  <c r="BB101" i="10"/>
  <c r="BC101" i="10" s="1"/>
  <c r="B101" i="10"/>
  <c r="H99" i="10"/>
  <c r="D99" i="10"/>
  <c r="F99" i="10" s="1"/>
  <c r="G99" i="10" s="1"/>
  <c r="V99" i="10" s="1"/>
  <c r="AU92" i="10"/>
  <c r="AJ24" i="10"/>
  <c r="AI24" i="10"/>
  <c r="AG24" i="10"/>
  <c r="AK24" i="10"/>
  <c r="AX24" i="10" s="1"/>
  <c r="AC25" i="10"/>
  <c r="AB25" i="10"/>
  <c r="AV24" i="10" s="1"/>
  <c r="S25" i="10"/>
  <c r="AM25" i="10"/>
  <c r="O94" i="10" l="1"/>
  <c r="P94" i="10" s="1"/>
  <c r="J95" i="10" s="1"/>
  <c r="L95" i="10" s="1"/>
  <c r="N95" i="10" s="1"/>
  <c r="AT94" i="10"/>
  <c r="AE94" i="10"/>
  <c r="AF94" i="10"/>
  <c r="AU93" i="10"/>
  <c r="R100" i="10"/>
  <c r="AH24" i="10"/>
  <c r="AO24" i="10"/>
  <c r="AY24" i="10" s="1"/>
  <c r="K101" i="10"/>
  <c r="C101" i="10"/>
  <c r="I101" i="10" s="1"/>
  <c r="M101" i="10"/>
  <c r="E101" i="10"/>
  <c r="T25" i="10"/>
  <c r="AQ25" i="10" s="1"/>
  <c r="AD25" i="10"/>
  <c r="U25" i="10"/>
  <c r="W25" i="10" s="1"/>
  <c r="AP25" i="10" s="1"/>
  <c r="AL24" i="10"/>
  <c r="BA24" i="10"/>
  <c r="A103" i="10"/>
  <c r="Y102" i="10"/>
  <c r="BB102" i="10"/>
  <c r="BC102" i="10" s="1"/>
  <c r="AS102" i="10"/>
  <c r="B102" i="10"/>
  <c r="H100" i="10"/>
  <c r="D100" i="10"/>
  <c r="F100" i="10" s="1"/>
  <c r="G100" i="10" s="1"/>
  <c r="V100" i="10" s="1"/>
  <c r="O95" i="10" l="1"/>
  <c r="P95" i="10" s="1"/>
  <c r="J96" i="10" s="1"/>
  <c r="L96" i="10" s="1"/>
  <c r="N96" i="10" s="1"/>
  <c r="AT95" i="10"/>
  <c r="AE95" i="10"/>
  <c r="AF95" i="10"/>
  <c r="A104" i="10"/>
  <c r="Y103" i="10"/>
  <c r="AS103" i="10"/>
  <c r="BB103" i="10"/>
  <c r="BC103" i="10" s="1"/>
  <c r="B103" i="10"/>
  <c r="H101" i="10"/>
  <c r="D101" i="10"/>
  <c r="F101" i="10" s="1"/>
  <c r="G101" i="10" s="1"/>
  <c r="V101" i="10" s="1"/>
  <c r="K102" i="10"/>
  <c r="C102" i="10"/>
  <c r="I102" i="10" s="1"/>
  <c r="M102" i="10"/>
  <c r="E102" i="10"/>
  <c r="R101" i="10"/>
  <c r="AU94" i="10"/>
  <c r="X25" i="10"/>
  <c r="AN24" i="10"/>
  <c r="AW24" i="10" s="1"/>
  <c r="O96" i="10" l="1"/>
  <c r="P96" i="10" s="1"/>
  <c r="J97" i="10" s="1"/>
  <c r="L97" i="10" s="1"/>
  <c r="N97" i="10" s="1"/>
  <c r="AE96" i="10"/>
  <c r="AT96" i="10"/>
  <c r="AF96" i="10"/>
  <c r="BD24" i="10"/>
  <c r="AZ24" i="10"/>
  <c r="Z25" i="10"/>
  <c r="AR25" i="10" s="1"/>
  <c r="AU95" i="10"/>
  <c r="K103" i="10"/>
  <c r="C103" i="10"/>
  <c r="I103" i="10" s="1"/>
  <c r="M103" i="10"/>
  <c r="E103" i="10"/>
  <c r="R102" i="10"/>
  <c r="H102" i="10"/>
  <c r="D102" i="10"/>
  <c r="F102" i="10" s="1"/>
  <c r="G102" i="10" s="1"/>
  <c r="V102" i="10" s="1"/>
  <c r="A105" i="10"/>
  <c r="Y104" i="10"/>
  <c r="BB104" i="10"/>
  <c r="BC104" i="10" s="1"/>
  <c r="AS104" i="10"/>
  <c r="B104" i="10"/>
  <c r="O97" i="10" l="1"/>
  <c r="P97" i="10" s="1"/>
  <c r="J98" i="10" s="1"/>
  <c r="L98" i="10" s="1"/>
  <c r="N98" i="10" s="1"/>
  <c r="AE97" i="10"/>
  <c r="AT97" i="10"/>
  <c r="AF97" i="10"/>
  <c r="AA25" i="10"/>
  <c r="R103" i="10"/>
  <c r="AU96" i="10"/>
  <c r="H103" i="10"/>
  <c r="D103" i="10"/>
  <c r="F103" i="10" s="1"/>
  <c r="G103" i="10" s="1"/>
  <c r="V103" i="10" s="1"/>
  <c r="A106" i="10"/>
  <c r="Y105" i="10"/>
  <c r="AS105" i="10"/>
  <c r="BB105" i="10"/>
  <c r="BC105" i="10" s="1"/>
  <c r="B105" i="10"/>
  <c r="Q26" i="10"/>
  <c r="K104" i="10"/>
  <c r="C104" i="10"/>
  <c r="I104" i="10" s="1"/>
  <c r="M104" i="10"/>
  <c r="E104" i="10"/>
  <c r="O98" i="10" l="1"/>
  <c r="P98" i="10" s="1"/>
  <c r="J99" i="10" s="1"/>
  <c r="L99" i="10" s="1"/>
  <c r="N99" i="10" s="1"/>
  <c r="AT98" i="10"/>
  <c r="AE98" i="10"/>
  <c r="AF98" i="10"/>
  <c r="H104" i="10"/>
  <c r="D104" i="10"/>
  <c r="F104" i="10" s="1"/>
  <c r="G104" i="10" s="1"/>
  <c r="V104" i="10" s="1"/>
  <c r="K105" i="10"/>
  <c r="C105" i="10"/>
  <c r="I105" i="10" s="1"/>
  <c r="M105" i="10"/>
  <c r="E105" i="10"/>
  <c r="R104" i="10"/>
  <c r="A107" i="10"/>
  <c r="Y106" i="10"/>
  <c r="BB106" i="10"/>
  <c r="BC106" i="10" s="1"/>
  <c r="AS106" i="10"/>
  <c r="B106" i="10"/>
  <c r="AU97" i="10"/>
  <c r="AB26" i="10"/>
  <c r="AV25" i="10" s="1"/>
  <c r="S26" i="10"/>
  <c r="AM26" i="10"/>
  <c r="AC26" i="10"/>
  <c r="AJ25" i="10"/>
  <c r="AI25" i="10"/>
  <c r="AG25" i="10"/>
  <c r="AK25" i="10"/>
  <c r="AX25" i="10" s="1"/>
  <c r="BA25" i="10" l="1"/>
  <c r="O99" i="10"/>
  <c r="P99" i="10" s="1"/>
  <c r="J100" i="10" s="1"/>
  <c r="L100" i="10" s="1"/>
  <c r="N100" i="10" s="1"/>
  <c r="AE99" i="10"/>
  <c r="AT99" i="10"/>
  <c r="AF99" i="10"/>
  <c r="A108" i="10"/>
  <c r="Y107" i="10"/>
  <c r="AS107" i="10"/>
  <c r="BB107" i="10"/>
  <c r="BC107" i="10" s="1"/>
  <c r="B107" i="10"/>
  <c r="AO25" i="10"/>
  <c r="AY25" i="10" s="1"/>
  <c r="AH25" i="10"/>
  <c r="R105" i="10"/>
  <c r="AD26" i="10"/>
  <c r="T26" i="10"/>
  <c r="AQ26" i="10" s="1"/>
  <c r="U26" i="10"/>
  <c r="W26" i="10" s="1"/>
  <c r="AP26" i="10" s="1"/>
  <c r="H105" i="10"/>
  <c r="D105" i="10"/>
  <c r="F105" i="10" s="1"/>
  <c r="G105" i="10" s="1"/>
  <c r="V105" i="10" s="1"/>
  <c r="AU98" i="10"/>
  <c r="AL25" i="10"/>
  <c r="K106" i="10"/>
  <c r="C106" i="10"/>
  <c r="I106" i="10" s="1"/>
  <c r="M106" i="10"/>
  <c r="E106" i="10"/>
  <c r="X26" i="10" l="1"/>
  <c r="O100" i="10"/>
  <c r="P100" i="10" s="1"/>
  <c r="J101" i="10" s="1"/>
  <c r="L101" i="10" s="1"/>
  <c r="N101" i="10" s="1"/>
  <c r="AE100" i="10"/>
  <c r="AT100" i="10"/>
  <c r="AF100" i="10"/>
  <c r="K107" i="10"/>
  <c r="C107" i="10"/>
  <c r="I107" i="10" s="1"/>
  <c r="M107" i="10"/>
  <c r="E107" i="10"/>
  <c r="AN25" i="10"/>
  <c r="AW25" i="10" s="1"/>
  <c r="AU99" i="10"/>
  <c r="H106" i="10"/>
  <c r="D106" i="10"/>
  <c r="F106" i="10" s="1"/>
  <c r="G106" i="10" s="1"/>
  <c r="V106" i="10" s="1"/>
  <c r="Z26" i="10"/>
  <c r="AR26" i="10" s="1"/>
  <c r="R106" i="10"/>
  <c r="A109" i="10"/>
  <c r="Y108" i="10"/>
  <c r="BB108" i="10"/>
  <c r="BC108" i="10" s="1"/>
  <c r="AS108" i="10"/>
  <c r="B108" i="10"/>
  <c r="O101" i="10" l="1"/>
  <c r="P101" i="10" s="1"/>
  <c r="J102" i="10" s="1"/>
  <c r="L102" i="10" s="1"/>
  <c r="N102" i="10" s="1"/>
  <c r="AE101" i="10"/>
  <c r="AT101" i="10"/>
  <c r="AF101" i="10"/>
  <c r="A110" i="10"/>
  <c r="Y109" i="10"/>
  <c r="AS109" i="10"/>
  <c r="BB109" i="10"/>
  <c r="BC109" i="10" s="1"/>
  <c r="B109" i="10"/>
  <c r="AA26" i="10"/>
  <c r="BD25" i="10"/>
  <c r="AZ25" i="10"/>
  <c r="Q27" i="10"/>
  <c r="AU100" i="10"/>
  <c r="R107" i="10"/>
  <c r="K108" i="10"/>
  <c r="C108" i="10"/>
  <c r="I108" i="10" s="1"/>
  <c r="M108" i="10"/>
  <c r="E108" i="10"/>
  <c r="H107" i="10"/>
  <c r="D107" i="10"/>
  <c r="F107" i="10" s="1"/>
  <c r="G107" i="10" s="1"/>
  <c r="V107" i="10" s="1"/>
  <c r="O102" i="10" l="1"/>
  <c r="P102" i="10" s="1"/>
  <c r="J103" i="10" s="1"/>
  <c r="L103" i="10" s="1"/>
  <c r="N103" i="10" s="1"/>
  <c r="AT102" i="10"/>
  <c r="AE102" i="10"/>
  <c r="AF102" i="10"/>
  <c r="R108" i="10"/>
  <c r="AJ26" i="10"/>
  <c r="AI26" i="10"/>
  <c r="AG26" i="10"/>
  <c r="AK26" i="10"/>
  <c r="AX26" i="10" s="1"/>
  <c r="K109" i="10"/>
  <c r="C109" i="10"/>
  <c r="I109" i="10" s="1"/>
  <c r="M109" i="10"/>
  <c r="E109" i="10"/>
  <c r="AU101" i="10"/>
  <c r="A111" i="10"/>
  <c r="Y110" i="10"/>
  <c r="BB110" i="10"/>
  <c r="BC110" i="10" s="1"/>
  <c r="AS110" i="10"/>
  <c r="B110" i="10"/>
  <c r="AC27" i="10"/>
  <c r="AM27" i="10"/>
  <c r="AB27" i="10"/>
  <c r="AV26" i="10" s="1"/>
  <c r="S27" i="10"/>
  <c r="H108" i="10"/>
  <c r="D108" i="10"/>
  <c r="F108" i="10" s="1"/>
  <c r="G108" i="10" s="1"/>
  <c r="V108" i="10" s="1"/>
  <c r="BA26" i="10" l="1"/>
  <c r="O103" i="10"/>
  <c r="P103" i="10" s="1"/>
  <c r="J104" i="10" s="1"/>
  <c r="L104" i="10" s="1"/>
  <c r="N104" i="10" s="1"/>
  <c r="AE103" i="10"/>
  <c r="AT103" i="10"/>
  <c r="AF103" i="10"/>
  <c r="T27" i="10"/>
  <c r="AQ27" i="10" s="1"/>
  <c r="AD27" i="10"/>
  <c r="U27" i="10"/>
  <c r="W27" i="10" s="1"/>
  <c r="AP27" i="10" s="1"/>
  <c r="A112" i="10"/>
  <c r="Y111" i="10"/>
  <c r="AS111" i="10"/>
  <c r="BB111" i="10"/>
  <c r="BC111" i="10" s="1"/>
  <c r="B111" i="10"/>
  <c r="AU102" i="10"/>
  <c r="AH26" i="10"/>
  <c r="AO26" i="10"/>
  <c r="AY26" i="10" s="1"/>
  <c r="K110" i="10"/>
  <c r="C110" i="10"/>
  <c r="I110" i="10" s="1"/>
  <c r="M110" i="10"/>
  <c r="E110" i="10"/>
  <c r="R109" i="10"/>
  <c r="H109" i="10"/>
  <c r="D109" i="10"/>
  <c r="F109" i="10" s="1"/>
  <c r="G109" i="10" s="1"/>
  <c r="V109" i="10" s="1"/>
  <c r="AL26" i="10"/>
  <c r="AN26" i="10" l="1"/>
  <c r="AW26" i="10" s="1"/>
  <c r="O104" i="10"/>
  <c r="P104" i="10" s="1"/>
  <c r="J105" i="10" s="1"/>
  <c r="L105" i="10" s="1"/>
  <c r="N105" i="10" s="1"/>
  <c r="AE104" i="10"/>
  <c r="AT104" i="10"/>
  <c r="AF104" i="10"/>
  <c r="H110" i="10"/>
  <c r="D110" i="10"/>
  <c r="F110" i="10" s="1"/>
  <c r="G110" i="10" s="1"/>
  <c r="V110" i="10" s="1"/>
  <c r="A113" i="10"/>
  <c r="Y112" i="10"/>
  <c r="BB112" i="10"/>
  <c r="BC112" i="10" s="1"/>
  <c r="AS112" i="10"/>
  <c r="B112" i="10"/>
  <c r="BD26" i="10"/>
  <c r="AZ26" i="10"/>
  <c r="AU103" i="10"/>
  <c r="R110" i="10"/>
  <c r="K111" i="10"/>
  <c r="C111" i="10"/>
  <c r="I111" i="10" s="1"/>
  <c r="M111" i="10"/>
  <c r="E111" i="10"/>
  <c r="X27" i="10"/>
  <c r="O105" i="10" l="1"/>
  <c r="P105" i="10" s="1"/>
  <c r="J106" i="10" s="1"/>
  <c r="L106" i="10" s="1"/>
  <c r="N106" i="10" s="1"/>
  <c r="AE105" i="10"/>
  <c r="AT105" i="10"/>
  <c r="AF105" i="10"/>
  <c r="K112" i="10"/>
  <c r="C112" i="10"/>
  <c r="I112" i="10" s="1"/>
  <c r="M112" i="10"/>
  <c r="E112" i="10"/>
  <c r="R111" i="10"/>
  <c r="A114" i="10"/>
  <c r="Y113" i="10"/>
  <c r="AS113" i="10"/>
  <c r="BB113" i="10"/>
  <c r="BC113" i="10" s="1"/>
  <c r="B113" i="10"/>
  <c r="AU104" i="10"/>
  <c r="Z27" i="10"/>
  <c r="AR27" i="10" s="1"/>
  <c r="H111" i="10"/>
  <c r="D111" i="10"/>
  <c r="F111" i="10" s="1"/>
  <c r="G111" i="10" s="1"/>
  <c r="V111" i="10" s="1"/>
  <c r="O106" i="10" l="1"/>
  <c r="P106" i="10" s="1"/>
  <c r="J107" i="10" s="1"/>
  <c r="L107" i="10" s="1"/>
  <c r="N107" i="10" s="1"/>
  <c r="AT106" i="10"/>
  <c r="AE106" i="10"/>
  <c r="AF106" i="10"/>
  <c r="R112" i="10"/>
  <c r="Q28" i="10"/>
  <c r="AU105" i="10"/>
  <c r="H112" i="10"/>
  <c r="D112" i="10"/>
  <c r="F112" i="10" s="1"/>
  <c r="G112" i="10" s="1"/>
  <c r="V112" i="10" s="1"/>
  <c r="K113" i="10"/>
  <c r="C113" i="10"/>
  <c r="I113" i="10" s="1"/>
  <c r="M113" i="10"/>
  <c r="E113" i="10"/>
  <c r="AA27" i="10"/>
  <c r="Y114" i="10"/>
  <c r="AS114" i="10"/>
  <c r="A115" i="10"/>
  <c r="BB114" i="10"/>
  <c r="BC114" i="10" s="1"/>
  <c r="B114" i="10"/>
  <c r="O107" i="10" l="1"/>
  <c r="P107" i="10" s="1"/>
  <c r="J108" i="10" s="1"/>
  <c r="L108" i="10" s="1"/>
  <c r="N108" i="10" s="1"/>
  <c r="AT107" i="10"/>
  <c r="AE107" i="10"/>
  <c r="AF107" i="10"/>
  <c r="R113" i="10"/>
  <c r="AJ27" i="10"/>
  <c r="AI27" i="10"/>
  <c r="AG27" i="10"/>
  <c r="AK27" i="10"/>
  <c r="AX27" i="10" s="1"/>
  <c r="AB28" i="10"/>
  <c r="AV27" i="10" s="1"/>
  <c r="S28" i="10"/>
  <c r="AC28" i="10"/>
  <c r="AM28" i="10"/>
  <c r="K114" i="10"/>
  <c r="C114" i="10"/>
  <c r="I114" i="10" s="1"/>
  <c r="M114" i="10"/>
  <c r="E114" i="10"/>
  <c r="AU106" i="10"/>
  <c r="BB115" i="10"/>
  <c r="BC115" i="10" s="1"/>
  <c r="AS115" i="10"/>
  <c r="Y115" i="10"/>
  <c r="A116" i="10"/>
  <c r="B115" i="10"/>
  <c r="H113" i="10"/>
  <c r="D113" i="10"/>
  <c r="F113" i="10" s="1"/>
  <c r="G113" i="10" s="1"/>
  <c r="V113" i="10" s="1"/>
  <c r="O108" i="10" l="1"/>
  <c r="P108" i="10" s="1"/>
  <c r="J109" i="10" s="1"/>
  <c r="L109" i="10" s="1"/>
  <c r="N109" i="10" s="1"/>
  <c r="AT108" i="10"/>
  <c r="AE108" i="10"/>
  <c r="AF108" i="10"/>
  <c r="AL27" i="10"/>
  <c r="R114" i="10"/>
  <c r="K115" i="10"/>
  <c r="C115" i="10"/>
  <c r="I115" i="10" s="1"/>
  <c r="M115" i="10"/>
  <c r="E115" i="10"/>
  <c r="A117" i="10"/>
  <c r="Y116" i="10"/>
  <c r="BB116" i="10"/>
  <c r="BC116" i="10" s="1"/>
  <c r="AS116" i="10"/>
  <c r="B116" i="10"/>
  <c r="AH27" i="10"/>
  <c r="AO27" i="10"/>
  <c r="AY27" i="10" s="1"/>
  <c r="AU107" i="10"/>
  <c r="AD28" i="10"/>
  <c r="T28" i="10"/>
  <c r="AQ28" i="10" s="1"/>
  <c r="U28" i="10"/>
  <c r="W28" i="10" s="1"/>
  <c r="AP28" i="10" s="1"/>
  <c r="H114" i="10"/>
  <c r="D114" i="10"/>
  <c r="F114" i="10" s="1"/>
  <c r="G114" i="10" s="1"/>
  <c r="V114" i="10" s="1"/>
  <c r="BA27" i="10"/>
  <c r="AN27" i="10" l="1"/>
  <c r="AW27" i="10" s="1"/>
  <c r="AZ27" i="10" s="1"/>
  <c r="O109" i="10"/>
  <c r="P109" i="10" s="1"/>
  <c r="J110" i="10" s="1"/>
  <c r="L110" i="10" s="1"/>
  <c r="N110" i="10" s="1"/>
  <c r="AE109" i="10"/>
  <c r="AT109" i="10"/>
  <c r="AF109" i="10"/>
  <c r="R115" i="10"/>
  <c r="BD27" i="10"/>
  <c r="X28" i="10"/>
  <c r="AU108" i="10"/>
  <c r="H115" i="10"/>
  <c r="D115" i="10"/>
  <c r="F115" i="10" s="1"/>
  <c r="G115" i="10" s="1"/>
  <c r="V115" i="10" s="1"/>
  <c r="K116" i="10"/>
  <c r="C116" i="10"/>
  <c r="I116" i="10" s="1"/>
  <c r="M116" i="10"/>
  <c r="E116" i="10"/>
  <c r="A118" i="10"/>
  <c r="BB117" i="10"/>
  <c r="BC117" i="10" s="1"/>
  <c r="AS117" i="10"/>
  <c r="Y117" i="10"/>
  <c r="B117" i="10"/>
  <c r="O110" i="10" l="1"/>
  <c r="P110" i="10" s="1"/>
  <c r="J111" i="10" s="1"/>
  <c r="L111" i="10" s="1"/>
  <c r="N111" i="10" s="1"/>
  <c r="AT110" i="10"/>
  <c r="AE110" i="10"/>
  <c r="AF110" i="10"/>
  <c r="H116" i="10"/>
  <c r="D116" i="10"/>
  <c r="F116" i="10" s="1"/>
  <c r="G116" i="10" s="1"/>
  <c r="V116" i="10" s="1"/>
  <c r="AU109" i="10"/>
  <c r="R116" i="10"/>
  <c r="Z28" i="10"/>
  <c r="AR28" i="10" s="1"/>
  <c r="A119" i="10"/>
  <c r="BB118" i="10"/>
  <c r="BC118" i="10" s="1"/>
  <c r="AS118" i="10"/>
  <c r="Y118" i="10"/>
  <c r="B118" i="10"/>
  <c r="K117" i="10"/>
  <c r="C117" i="10"/>
  <c r="I117" i="10" s="1"/>
  <c r="M117" i="10"/>
  <c r="E117" i="10"/>
  <c r="O111" i="10" l="1"/>
  <c r="P111" i="10" s="1"/>
  <c r="J112" i="10" s="1"/>
  <c r="L112" i="10" s="1"/>
  <c r="N112" i="10" s="1"/>
  <c r="AT111" i="10"/>
  <c r="AE111" i="10"/>
  <c r="AF111" i="10"/>
  <c r="R117" i="10"/>
  <c r="BB119" i="10"/>
  <c r="BC119" i="10" s="1"/>
  <c r="AS119" i="10"/>
  <c r="A120" i="10"/>
  <c r="Y119" i="10"/>
  <c r="B119" i="10"/>
  <c r="H117" i="10"/>
  <c r="D117" i="10"/>
  <c r="F117" i="10" s="1"/>
  <c r="G117" i="10" s="1"/>
  <c r="V117" i="10" s="1"/>
  <c r="AU110" i="10"/>
  <c r="AA28" i="10"/>
  <c r="Q29" i="10"/>
  <c r="K118" i="10"/>
  <c r="C118" i="10"/>
  <c r="I118" i="10" s="1"/>
  <c r="M118" i="10"/>
  <c r="E118" i="10"/>
  <c r="O112" i="10" l="1"/>
  <c r="P112" i="10" s="1"/>
  <c r="J113" i="10" s="1"/>
  <c r="L113" i="10" s="1"/>
  <c r="N113" i="10" s="1"/>
  <c r="AE112" i="10"/>
  <c r="AT112" i="10"/>
  <c r="AF112" i="10"/>
  <c r="BB120" i="10"/>
  <c r="BC120" i="10" s="1"/>
  <c r="AS120" i="10"/>
  <c r="Y120" i="10"/>
  <c r="A121" i="10"/>
  <c r="B120" i="10"/>
  <c r="AU111" i="10"/>
  <c r="AM29" i="10"/>
  <c r="S29" i="10"/>
  <c r="AC29" i="10"/>
  <c r="AB29" i="10"/>
  <c r="AV28" i="10" s="1"/>
  <c r="R118" i="10"/>
  <c r="H118" i="10"/>
  <c r="D118" i="10"/>
  <c r="F118" i="10" s="1"/>
  <c r="G118" i="10" s="1"/>
  <c r="V118" i="10" s="1"/>
  <c r="AI28" i="10"/>
  <c r="AJ28" i="10"/>
  <c r="AG28" i="10"/>
  <c r="AK28" i="10"/>
  <c r="AX28" i="10" s="1"/>
  <c r="K119" i="10"/>
  <c r="C119" i="10"/>
  <c r="I119" i="10" s="1"/>
  <c r="M119" i="10"/>
  <c r="E119" i="10"/>
  <c r="AL28" i="10" l="1"/>
  <c r="O113" i="10"/>
  <c r="P113" i="10" s="1"/>
  <c r="J114" i="10" s="1"/>
  <c r="L114" i="10" s="1"/>
  <c r="N114" i="10" s="1"/>
  <c r="AT113" i="10"/>
  <c r="AE113" i="10"/>
  <c r="AF113" i="10"/>
  <c r="AH28" i="10"/>
  <c r="AO28" i="10"/>
  <c r="AY28" i="10" s="1"/>
  <c r="BB121" i="10"/>
  <c r="BC121" i="10" s="1"/>
  <c r="AS121" i="10"/>
  <c r="Y121" i="10"/>
  <c r="A122" i="10"/>
  <c r="B121" i="10"/>
  <c r="BA28" i="10"/>
  <c r="AD29" i="10"/>
  <c r="T29" i="10"/>
  <c r="AQ29" i="10" s="1"/>
  <c r="U29" i="10"/>
  <c r="W29" i="10" s="1"/>
  <c r="AP29" i="10" s="1"/>
  <c r="H119" i="10"/>
  <c r="D119" i="10"/>
  <c r="F119" i="10" s="1"/>
  <c r="G119" i="10" s="1"/>
  <c r="V119" i="10" s="1"/>
  <c r="R119" i="10"/>
  <c r="K120" i="10"/>
  <c r="C120" i="10"/>
  <c r="I120" i="10" s="1"/>
  <c r="M120" i="10"/>
  <c r="E120" i="10"/>
  <c r="AU112" i="10"/>
  <c r="AN28" i="10" l="1"/>
  <c r="AW28" i="10" s="1"/>
  <c r="AZ28" i="10" s="1"/>
  <c r="O114" i="10"/>
  <c r="P114" i="10" s="1"/>
  <c r="J115" i="10" s="1"/>
  <c r="L115" i="10" s="1"/>
  <c r="N115" i="10" s="1"/>
  <c r="AE114" i="10"/>
  <c r="AT114" i="10"/>
  <c r="AF114" i="10"/>
  <c r="BD28" i="10"/>
  <c r="R120" i="10"/>
  <c r="K121" i="10"/>
  <c r="C121" i="10"/>
  <c r="I121" i="10" s="1"/>
  <c r="M121" i="10"/>
  <c r="E121" i="10"/>
  <c r="H120" i="10"/>
  <c r="D120" i="10"/>
  <c r="F120" i="10" s="1"/>
  <c r="G120" i="10" s="1"/>
  <c r="V120" i="10" s="1"/>
  <c r="Y122" i="10"/>
  <c r="BB122" i="10"/>
  <c r="BC122" i="10" s="1"/>
  <c r="AS122" i="10"/>
  <c r="A123" i="10"/>
  <c r="B122" i="10"/>
  <c r="AU113" i="10"/>
  <c r="X29" i="10"/>
  <c r="O115" i="10" l="1"/>
  <c r="P115" i="10" s="1"/>
  <c r="J116" i="10" s="1"/>
  <c r="L116" i="10" s="1"/>
  <c r="N116" i="10" s="1"/>
  <c r="AT115" i="10"/>
  <c r="AE115" i="10"/>
  <c r="AF115" i="10"/>
  <c r="H121" i="10"/>
  <c r="D121" i="10"/>
  <c r="F121" i="10" s="1"/>
  <c r="G121" i="10" s="1"/>
  <c r="V121" i="10" s="1"/>
  <c r="AU114" i="10"/>
  <c r="R121" i="10"/>
  <c r="BB123" i="10"/>
  <c r="BC123" i="10" s="1"/>
  <c r="AS123" i="10"/>
  <c r="Y123" i="10"/>
  <c r="A124" i="10"/>
  <c r="B123" i="10"/>
  <c r="Z29" i="10"/>
  <c r="AR29" i="10" s="1"/>
  <c r="K122" i="10"/>
  <c r="C122" i="10"/>
  <c r="I122" i="10" s="1"/>
  <c r="M122" i="10"/>
  <c r="E122" i="10"/>
  <c r="AU115" i="10" l="1"/>
  <c r="K123" i="10"/>
  <c r="C123" i="10"/>
  <c r="I123" i="10" s="1"/>
  <c r="M123" i="10"/>
  <c r="E123" i="10"/>
  <c r="H122" i="10"/>
  <c r="D122" i="10"/>
  <c r="F122" i="10" s="1"/>
  <c r="G122" i="10" s="1"/>
  <c r="V122" i="10" s="1"/>
  <c r="O116" i="10"/>
  <c r="P116" i="10" s="1"/>
  <c r="J117" i="10" s="1"/>
  <c r="L117" i="10" s="1"/>
  <c r="N117" i="10" s="1"/>
  <c r="AE116" i="10"/>
  <c r="AT116" i="10"/>
  <c r="AF116" i="10"/>
  <c r="R122" i="10"/>
  <c r="AA29" i="10"/>
  <c r="A125" i="10"/>
  <c r="Y124" i="10"/>
  <c r="AS124" i="10"/>
  <c r="BB124" i="10"/>
  <c r="BC124" i="10" s="1"/>
  <c r="B124" i="10"/>
  <c r="Q30" i="10"/>
  <c r="O117" i="10" l="1"/>
  <c r="P117" i="10" s="1"/>
  <c r="J118" i="10" s="1"/>
  <c r="L118" i="10" s="1"/>
  <c r="N118" i="10" s="1"/>
  <c r="AT117" i="10"/>
  <c r="AE117" i="10"/>
  <c r="AF117" i="10"/>
  <c r="A126" i="10"/>
  <c r="AS125" i="10"/>
  <c r="Y125" i="10"/>
  <c r="BB125" i="10"/>
  <c r="BC125" i="10" s="1"/>
  <c r="B125" i="10"/>
  <c r="AU116" i="10"/>
  <c r="AJ29" i="10"/>
  <c r="AI29" i="10"/>
  <c r="AG29" i="10"/>
  <c r="AK29" i="10"/>
  <c r="AX29" i="10" s="1"/>
  <c r="H123" i="10"/>
  <c r="D123" i="10"/>
  <c r="F123" i="10" s="1"/>
  <c r="G123" i="10" s="1"/>
  <c r="V123" i="10" s="1"/>
  <c r="R123" i="10"/>
  <c r="C124" i="10"/>
  <c r="I124" i="10" s="1"/>
  <c r="M124" i="10"/>
  <c r="E124" i="10"/>
  <c r="AM30" i="10"/>
  <c r="AC30" i="10"/>
  <c r="AB30" i="10"/>
  <c r="AV29" i="10" s="1"/>
  <c r="S30" i="10"/>
  <c r="AL29" i="10" l="1"/>
  <c r="O118" i="10"/>
  <c r="P118" i="10" s="1"/>
  <c r="J119" i="10" s="1"/>
  <c r="L119" i="10" s="1"/>
  <c r="N119" i="10" s="1"/>
  <c r="AE118" i="10"/>
  <c r="AT118" i="10"/>
  <c r="AF118" i="10"/>
  <c r="A127" i="10"/>
  <c r="AS126" i="10"/>
  <c r="Y126" i="10"/>
  <c r="BB126" i="10"/>
  <c r="BC126" i="10" s="1"/>
  <c r="B126" i="10"/>
  <c r="R124" i="10"/>
  <c r="K125" i="10"/>
  <c r="C125" i="10"/>
  <c r="I125" i="10" s="1"/>
  <c r="M125" i="10"/>
  <c r="E125" i="10"/>
  <c r="AD30" i="10"/>
  <c r="T30" i="10"/>
  <c r="AQ30" i="10" s="1"/>
  <c r="U30" i="10"/>
  <c r="W30" i="10" s="1"/>
  <c r="AP30" i="10" s="1"/>
  <c r="H124" i="10"/>
  <c r="D124" i="10"/>
  <c r="F124" i="10" s="1"/>
  <c r="G124" i="10" s="1"/>
  <c r="V124" i="10" s="1"/>
  <c r="AU117" i="10"/>
  <c r="BA29" i="10"/>
  <c r="AH29" i="10"/>
  <c r="AO29" i="10"/>
  <c r="AY29" i="10" s="1"/>
  <c r="AN29" i="10" l="1"/>
  <c r="AW29" i="10" s="1"/>
  <c r="BD29" i="10" s="1"/>
  <c r="O119" i="10"/>
  <c r="P119" i="10" s="1"/>
  <c r="J120" i="10" s="1"/>
  <c r="L120" i="10" s="1"/>
  <c r="N120" i="10" s="1"/>
  <c r="AE119" i="10"/>
  <c r="AT119" i="10"/>
  <c r="AF119" i="10"/>
  <c r="K126" i="10"/>
  <c r="C126" i="10"/>
  <c r="I126" i="10" s="1"/>
  <c r="M126" i="10"/>
  <c r="E126" i="10"/>
  <c r="AU118" i="10"/>
  <c r="X30" i="10"/>
  <c r="R125" i="10"/>
  <c r="H125" i="10"/>
  <c r="D125" i="10"/>
  <c r="F125" i="10" s="1"/>
  <c r="G125" i="10" s="1"/>
  <c r="V125" i="10" s="1"/>
  <c r="BB127" i="10"/>
  <c r="BC127" i="10" s="1"/>
  <c r="AS127" i="10"/>
  <c r="Y127" i="10"/>
  <c r="A128" i="10"/>
  <c r="B127" i="10"/>
  <c r="AZ29" i="10" l="1"/>
  <c r="O120" i="10"/>
  <c r="P120" i="10" s="1"/>
  <c r="J121" i="10" s="1"/>
  <c r="L121" i="10" s="1"/>
  <c r="N121" i="10" s="1"/>
  <c r="AE120" i="10"/>
  <c r="AT120" i="10"/>
  <c r="AF120" i="10"/>
  <c r="AU119" i="10"/>
  <c r="K127" i="10"/>
  <c r="C127" i="10"/>
  <c r="I127" i="10" s="1"/>
  <c r="M127" i="10"/>
  <c r="E127" i="10"/>
  <c r="Z30" i="10"/>
  <c r="AR30" i="10" s="1"/>
  <c r="A129" i="10"/>
  <c r="Y128" i="10"/>
  <c r="AS128" i="10"/>
  <c r="BB128" i="10"/>
  <c r="BC128" i="10" s="1"/>
  <c r="B128" i="10"/>
  <c r="R126" i="10"/>
  <c r="H126" i="10"/>
  <c r="D126" i="10"/>
  <c r="F126" i="10" s="1"/>
  <c r="G126" i="10" s="1"/>
  <c r="V126" i="10" s="1"/>
  <c r="O121" i="10" l="1"/>
  <c r="P121" i="10" s="1"/>
  <c r="J122" i="10" s="1"/>
  <c r="L122" i="10" s="1"/>
  <c r="N122" i="10" s="1"/>
  <c r="AE121" i="10"/>
  <c r="AT121" i="10"/>
  <c r="AF121" i="10"/>
  <c r="AS129" i="10"/>
  <c r="BB129" i="10"/>
  <c r="BC129" i="10" s="1"/>
  <c r="A130" i="10"/>
  <c r="Y129" i="10"/>
  <c r="B129" i="10"/>
  <c r="Q31" i="10"/>
  <c r="AU120" i="10"/>
  <c r="K128" i="10"/>
  <c r="C128" i="10"/>
  <c r="I128" i="10" s="1"/>
  <c r="M128" i="10"/>
  <c r="E128" i="10"/>
  <c r="AA30" i="10"/>
  <c r="H127" i="10"/>
  <c r="D127" i="10"/>
  <c r="F127" i="10" s="1"/>
  <c r="G127" i="10" s="1"/>
  <c r="V127" i="10" s="1"/>
  <c r="R127" i="10"/>
  <c r="O122" i="10" l="1"/>
  <c r="P122" i="10" s="1"/>
  <c r="J123" i="10" s="1"/>
  <c r="L123" i="10" s="1"/>
  <c r="N123" i="10" s="1"/>
  <c r="AT122" i="10"/>
  <c r="AE122" i="10"/>
  <c r="AF122" i="10"/>
  <c r="H128" i="10"/>
  <c r="D128" i="10"/>
  <c r="F128" i="10" s="1"/>
  <c r="G128" i="10" s="1"/>
  <c r="V128" i="10" s="1"/>
  <c r="BB130" i="10"/>
  <c r="BC130" i="10" s="1"/>
  <c r="AS130" i="10"/>
  <c r="A131" i="10"/>
  <c r="Y130" i="10"/>
  <c r="B130" i="10"/>
  <c r="R128" i="10"/>
  <c r="AM31" i="10"/>
  <c r="AC31" i="10"/>
  <c r="AB31" i="10"/>
  <c r="AV30" i="10" s="1"/>
  <c r="S31" i="10"/>
  <c r="K129" i="10"/>
  <c r="C129" i="10"/>
  <c r="I129" i="10" s="1"/>
  <c r="M129" i="10"/>
  <c r="E129" i="10"/>
  <c r="AU121" i="10"/>
  <c r="AI30" i="10"/>
  <c r="AJ30" i="10"/>
  <c r="AG30" i="10"/>
  <c r="AK30" i="10"/>
  <c r="AX30" i="10" s="1"/>
  <c r="BA30" i="10" l="1"/>
  <c r="O123" i="10"/>
  <c r="P123" i="10"/>
  <c r="J124" i="10"/>
  <c r="AT123" i="10"/>
  <c r="AE123" i="10"/>
  <c r="AF123" i="10"/>
  <c r="R129" i="10"/>
  <c r="AU122" i="10"/>
  <c r="AO30" i="10"/>
  <c r="AY30" i="10" s="1"/>
  <c r="AH30" i="10"/>
  <c r="BB131" i="10"/>
  <c r="BC131" i="10" s="1"/>
  <c r="Y131" i="10"/>
  <c r="AS131" i="10"/>
  <c r="A132" i="10"/>
  <c r="B131" i="10"/>
  <c r="H129" i="10"/>
  <c r="D129" i="10"/>
  <c r="F129" i="10" s="1"/>
  <c r="G129" i="10" s="1"/>
  <c r="V129" i="10" s="1"/>
  <c r="AL30" i="10"/>
  <c r="AD31" i="10"/>
  <c r="T31" i="10"/>
  <c r="AQ31" i="10" s="1"/>
  <c r="U31" i="10"/>
  <c r="W31" i="10" s="1"/>
  <c r="AP31" i="10" s="1"/>
  <c r="K130" i="10"/>
  <c r="C130" i="10"/>
  <c r="I130" i="10" s="1"/>
  <c r="M130" i="10"/>
  <c r="E130" i="10"/>
  <c r="AN30" i="10" l="1"/>
  <c r="AW30" i="10" s="1"/>
  <c r="BD30" i="10" s="1"/>
  <c r="K131" i="10"/>
  <c r="C131" i="10"/>
  <c r="I131" i="10" s="1"/>
  <c r="M131" i="10"/>
  <c r="E131" i="10"/>
  <c r="X31" i="10"/>
  <c r="R130" i="10"/>
  <c r="K124" i="10"/>
  <c r="A133" i="10"/>
  <c r="Y132" i="10"/>
  <c r="BB132" i="10"/>
  <c r="BC132" i="10" s="1"/>
  <c r="AS132" i="10"/>
  <c r="B132" i="10"/>
  <c r="AU123" i="10"/>
  <c r="H130" i="10"/>
  <c r="D130" i="10"/>
  <c r="F130" i="10" s="1"/>
  <c r="G130" i="10" s="1"/>
  <c r="V130" i="10" s="1"/>
  <c r="AZ30" i="10" l="1"/>
  <c r="Z31" i="10"/>
  <c r="AR31" i="10" s="1"/>
  <c r="AS133" i="10"/>
  <c r="BB133" i="10"/>
  <c r="BC133" i="10" s="1"/>
  <c r="Y133" i="10"/>
  <c r="A134" i="10"/>
  <c r="B133" i="10"/>
  <c r="H131" i="10"/>
  <c r="D131" i="10"/>
  <c r="F131" i="10" s="1"/>
  <c r="G131" i="10" s="1"/>
  <c r="V131" i="10" s="1"/>
  <c r="K132" i="10"/>
  <c r="C132" i="10"/>
  <c r="I132" i="10" s="1"/>
  <c r="M132" i="10"/>
  <c r="E132" i="10"/>
  <c r="R131" i="10"/>
  <c r="L124" i="10"/>
  <c r="N124" i="10" s="1"/>
  <c r="R132" i="10" l="1"/>
  <c r="K133" i="10"/>
  <c r="C133" i="10"/>
  <c r="I133" i="10" s="1"/>
  <c r="M133" i="10"/>
  <c r="E133" i="10"/>
  <c r="BB134" i="10"/>
  <c r="BC134" i="10" s="1"/>
  <c r="Y134" i="10"/>
  <c r="AS134" i="10"/>
  <c r="A135" i="10"/>
  <c r="B134" i="10"/>
  <c r="H132" i="10"/>
  <c r="D132" i="10"/>
  <c r="F132" i="10" s="1"/>
  <c r="G132" i="10" s="1"/>
  <c r="V132" i="10" s="1"/>
  <c r="O124" i="10"/>
  <c r="P124" i="10" s="1"/>
  <c r="J125" i="10" s="1"/>
  <c r="L125" i="10" s="1"/>
  <c r="N125" i="10" s="1"/>
  <c r="AT124" i="10"/>
  <c r="AE124" i="10"/>
  <c r="AF124" i="10"/>
  <c r="Q32" i="10"/>
  <c r="AA31" i="10"/>
  <c r="O125" i="10" l="1"/>
  <c r="P125" i="10"/>
  <c r="J126" i="10" s="1"/>
  <c r="L126" i="10" s="1"/>
  <c r="N126" i="10" s="1"/>
  <c r="AE125" i="10"/>
  <c r="AT125" i="10"/>
  <c r="AF125" i="10"/>
  <c r="AU124" i="10"/>
  <c r="H133" i="10"/>
  <c r="D133" i="10"/>
  <c r="F133" i="10" s="1"/>
  <c r="G133" i="10" s="1"/>
  <c r="V133" i="10" s="1"/>
  <c r="R133" i="10"/>
  <c r="BB135" i="10"/>
  <c r="BC135" i="10" s="1"/>
  <c r="A136" i="10"/>
  <c r="Y135" i="10"/>
  <c r="AS135" i="10"/>
  <c r="B135" i="10"/>
  <c r="AI31" i="10"/>
  <c r="AJ31" i="10"/>
  <c r="AG31" i="10"/>
  <c r="AK31" i="10"/>
  <c r="AX31" i="10" s="1"/>
  <c r="AM32" i="10"/>
  <c r="AC32" i="10"/>
  <c r="AB32" i="10"/>
  <c r="AV31" i="10" s="1"/>
  <c r="S32" i="10"/>
  <c r="K134" i="10"/>
  <c r="C134" i="10"/>
  <c r="I134" i="10" s="1"/>
  <c r="M134" i="10"/>
  <c r="E134" i="10"/>
  <c r="O126" i="10" l="1"/>
  <c r="P126" i="10" s="1"/>
  <c r="J127" i="10" s="1"/>
  <c r="L127" i="10" s="1"/>
  <c r="N127" i="10" s="1"/>
  <c r="AE126" i="10"/>
  <c r="AT126" i="10"/>
  <c r="AF126" i="10"/>
  <c r="A137" i="10"/>
  <c r="Y136" i="10"/>
  <c r="AS136" i="10"/>
  <c r="BB136" i="10"/>
  <c r="BC136" i="10" s="1"/>
  <c r="B136" i="10"/>
  <c r="H134" i="10"/>
  <c r="D134" i="10"/>
  <c r="F134" i="10" s="1"/>
  <c r="G134" i="10" s="1"/>
  <c r="V134" i="10" s="1"/>
  <c r="AO31" i="10"/>
  <c r="AY31" i="10" s="1"/>
  <c r="AH31" i="10"/>
  <c r="AL31" i="10"/>
  <c r="AU125" i="10"/>
  <c r="K135" i="10"/>
  <c r="C135" i="10"/>
  <c r="I135" i="10" s="1"/>
  <c r="M135" i="10"/>
  <c r="E135" i="10"/>
  <c r="AD32" i="10"/>
  <c r="T32" i="10"/>
  <c r="AQ32" i="10" s="1"/>
  <c r="U32" i="10"/>
  <c r="W32" i="10" s="1"/>
  <c r="AP32" i="10" s="1"/>
  <c r="R134" i="10"/>
  <c r="BA31" i="10"/>
  <c r="O127" i="10" l="1"/>
  <c r="P127" i="10" s="1"/>
  <c r="J128" i="10" s="1"/>
  <c r="L128" i="10" s="1"/>
  <c r="N128" i="10" s="1"/>
  <c r="AE127" i="10"/>
  <c r="AT127" i="10"/>
  <c r="AF127" i="10"/>
  <c r="K136" i="10"/>
  <c r="C136" i="10"/>
  <c r="I136" i="10" s="1"/>
  <c r="M136" i="10"/>
  <c r="E136" i="10"/>
  <c r="R135" i="10"/>
  <c r="AN31" i="10"/>
  <c r="AW31" i="10" s="1"/>
  <c r="AU126" i="10"/>
  <c r="X32" i="10"/>
  <c r="H135" i="10"/>
  <c r="D135" i="10"/>
  <c r="F135" i="10" s="1"/>
  <c r="G135" i="10" s="1"/>
  <c r="V135" i="10" s="1"/>
  <c r="AS137" i="10"/>
  <c r="BB137" i="10"/>
  <c r="BC137" i="10" s="1"/>
  <c r="A138" i="10"/>
  <c r="Y137" i="10"/>
  <c r="B137" i="10"/>
  <c r="O128" i="10" l="1"/>
  <c r="P128" i="10" s="1"/>
  <c r="J129" i="10" s="1"/>
  <c r="L129" i="10" s="1"/>
  <c r="N129" i="10" s="1"/>
  <c r="AT128" i="10"/>
  <c r="AE128" i="10"/>
  <c r="AF128" i="10"/>
  <c r="K137" i="10"/>
  <c r="C137" i="10"/>
  <c r="I137" i="10" s="1"/>
  <c r="M137" i="10"/>
  <c r="E137" i="10"/>
  <c r="H136" i="10"/>
  <c r="D136" i="10"/>
  <c r="F136" i="10" s="1"/>
  <c r="G136" i="10" s="1"/>
  <c r="V136" i="10" s="1"/>
  <c r="BB138" i="10"/>
  <c r="BC138" i="10" s="1"/>
  <c r="AS138" i="10"/>
  <c r="A139" i="10"/>
  <c r="Y138" i="10"/>
  <c r="B138" i="10"/>
  <c r="R136" i="10"/>
  <c r="AU127" i="10"/>
  <c r="Z32" i="10"/>
  <c r="AR32" i="10" s="1"/>
  <c r="BD31" i="10"/>
  <c r="AZ31" i="10"/>
  <c r="O129" i="10" l="1"/>
  <c r="P129" i="10" s="1"/>
  <c r="J130" i="10" s="1"/>
  <c r="L130" i="10" s="1"/>
  <c r="N130" i="10" s="1"/>
  <c r="AE129" i="10"/>
  <c r="AT129" i="10"/>
  <c r="AF129" i="10"/>
  <c r="AU128" i="10"/>
  <c r="Q33" i="10"/>
  <c r="R137" i="10"/>
  <c r="AA32" i="10"/>
  <c r="K138" i="10"/>
  <c r="C138" i="10"/>
  <c r="I138" i="10" s="1"/>
  <c r="M138" i="10"/>
  <c r="E138" i="10"/>
  <c r="BB139" i="10"/>
  <c r="BC139" i="10" s="1"/>
  <c r="Y139" i="10"/>
  <c r="AS139" i="10"/>
  <c r="A140" i="10"/>
  <c r="B139" i="10"/>
  <c r="H137" i="10"/>
  <c r="D137" i="10"/>
  <c r="F137" i="10" s="1"/>
  <c r="G137" i="10" s="1"/>
  <c r="V137" i="10" s="1"/>
  <c r="O130" i="10" l="1"/>
  <c r="P130" i="10" s="1"/>
  <c r="J131" i="10" s="1"/>
  <c r="L131" i="10" s="1"/>
  <c r="N131" i="10" s="1"/>
  <c r="AE130" i="10"/>
  <c r="AT130" i="10"/>
  <c r="AF130" i="10"/>
  <c r="AJ32" i="10"/>
  <c r="AI32" i="10"/>
  <c r="AG32" i="10"/>
  <c r="AK32" i="10"/>
  <c r="AX32" i="10" s="1"/>
  <c r="H138" i="10"/>
  <c r="D138" i="10"/>
  <c r="F138" i="10" s="1"/>
  <c r="G138" i="10" s="1"/>
  <c r="V138" i="10" s="1"/>
  <c r="A141" i="10"/>
  <c r="Y140" i="10"/>
  <c r="BB140" i="10"/>
  <c r="BC140" i="10" s="1"/>
  <c r="AS140" i="10"/>
  <c r="B140" i="10"/>
  <c r="R138" i="10"/>
  <c r="K139" i="10"/>
  <c r="C139" i="10"/>
  <c r="I139" i="10" s="1"/>
  <c r="M139" i="10"/>
  <c r="E139" i="10"/>
  <c r="AU129" i="10"/>
  <c r="AC33" i="10"/>
  <c r="BA32" i="10" s="1"/>
  <c r="AB33" i="10"/>
  <c r="AV32" i="10" s="1"/>
  <c r="S33" i="10"/>
  <c r="AM33" i="10"/>
  <c r="O131" i="10" l="1"/>
  <c r="P131" i="10" s="1"/>
  <c r="J132" i="10" s="1"/>
  <c r="L132" i="10" s="1"/>
  <c r="N132" i="10" s="1"/>
  <c r="AE131" i="10"/>
  <c r="AT131" i="10"/>
  <c r="AF131" i="10"/>
  <c r="R139" i="10"/>
  <c r="AO32" i="10"/>
  <c r="AY32" i="10" s="1"/>
  <c r="AH32" i="10"/>
  <c r="AU130" i="10"/>
  <c r="T33" i="10"/>
  <c r="AQ33" i="10" s="1"/>
  <c r="AD33" i="10"/>
  <c r="U33" i="10"/>
  <c r="W33" i="10" s="1"/>
  <c r="AP33" i="10" s="1"/>
  <c r="K140" i="10"/>
  <c r="C140" i="10"/>
  <c r="I140" i="10" s="1"/>
  <c r="M140" i="10"/>
  <c r="E140" i="10"/>
  <c r="H139" i="10"/>
  <c r="D139" i="10"/>
  <c r="F139" i="10" s="1"/>
  <c r="G139" i="10" s="1"/>
  <c r="V139" i="10" s="1"/>
  <c r="AS141" i="10"/>
  <c r="BB141" i="10"/>
  <c r="BC141" i="10" s="1"/>
  <c r="Y141" i="10"/>
  <c r="A142" i="10"/>
  <c r="B141" i="10"/>
  <c r="AL32" i="10"/>
  <c r="AN32" i="10" l="1"/>
  <c r="AW32" i="10" s="1"/>
  <c r="BD32" i="10" s="1"/>
  <c r="X33" i="10"/>
  <c r="Z33" i="10" s="1"/>
  <c r="AR33" i="10" s="1"/>
  <c r="O132" i="10"/>
  <c r="P132" i="10" s="1"/>
  <c r="J133" i="10" s="1"/>
  <c r="L133" i="10" s="1"/>
  <c r="N133" i="10" s="1"/>
  <c r="AE132" i="10"/>
  <c r="AT132" i="10"/>
  <c r="AF132" i="10"/>
  <c r="H140" i="10"/>
  <c r="D140" i="10"/>
  <c r="F140" i="10" s="1"/>
  <c r="G140" i="10" s="1"/>
  <c r="V140" i="10" s="1"/>
  <c r="AZ32" i="10"/>
  <c r="AU131" i="10"/>
  <c r="K141" i="10"/>
  <c r="C141" i="10"/>
  <c r="I141" i="10" s="1"/>
  <c r="M141" i="10"/>
  <c r="E141" i="10"/>
  <c r="BB142" i="10"/>
  <c r="BC142" i="10" s="1"/>
  <c r="Y142" i="10"/>
  <c r="AS142" i="10"/>
  <c r="A143" i="10"/>
  <c r="B142" i="10"/>
  <c r="R140" i="10"/>
  <c r="O133" i="10" l="1"/>
  <c r="P133" i="10" s="1"/>
  <c r="J134" i="10" s="1"/>
  <c r="L134" i="10" s="1"/>
  <c r="N134" i="10" s="1"/>
  <c r="AT133" i="10"/>
  <c r="AE133" i="10"/>
  <c r="AF133" i="10"/>
  <c r="R141" i="10"/>
  <c r="BB143" i="10"/>
  <c r="BC143" i="10" s="1"/>
  <c r="A144" i="10"/>
  <c r="Y143" i="10"/>
  <c r="AS143" i="10"/>
  <c r="B143" i="10"/>
  <c r="K142" i="10"/>
  <c r="C142" i="10"/>
  <c r="I142" i="10" s="1"/>
  <c r="M142" i="10"/>
  <c r="E142" i="10"/>
  <c r="H141" i="10"/>
  <c r="D141" i="10"/>
  <c r="F141" i="10" s="1"/>
  <c r="G141" i="10" s="1"/>
  <c r="V141" i="10" s="1"/>
  <c r="AU132" i="10"/>
  <c r="AA33" i="10"/>
  <c r="Q34" i="10"/>
  <c r="O134" i="10" l="1"/>
  <c r="P134" i="10" s="1"/>
  <c r="J135" i="10" s="1"/>
  <c r="L135" i="10" s="1"/>
  <c r="N135" i="10" s="1"/>
  <c r="AE134" i="10"/>
  <c r="AT134" i="10"/>
  <c r="AF134" i="10"/>
  <c r="R142" i="10"/>
  <c r="AJ33" i="10"/>
  <c r="AI33" i="10"/>
  <c r="AG33" i="10"/>
  <c r="AK33" i="10"/>
  <c r="AX33" i="10" s="1"/>
  <c r="AU133" i="10"/>
  <c r="H142" i="10"/>
  <c r="D142" i="10"/>
  <c r="F142" i="10" s="1"/>
  <c r="G142" i="10" s="1"/>
  <c r="V142" i="10" s="1"/>
  <c r="AB34" i="10"/>
  <c r="AV33" i="10" s="1"/>
  <c r="S34" i="10"/>
  <c r="AM34" i="10"/>
  <c r="AC34" i="10"/>
  <c r="K143" i="10"/>
  <c r="C143" i="10"/>
  <c r="I143" i="10" s="1"/>
  <c r="M143" i="10"/>
  <c r="E143" i="10"/>
  <c r="A145" i="10"/>
  <c r="Y144" i="10"/>
  <c r="AS144" i="10"/>
  <c r="BB144" i="10"/>
  <c r="BC144" i="10" s="1"/>
  <c r="B144" i="10"/>
  <c r="BA33" i="10" l="1"/>
  <c r="O135" i="10"/>
  <c r="P135" i="10" s="1"/>
  <c r="J136" i="10" s="1"/>
  <c r="L136" i="10" s="1"/>
  <c r="N136" i="10" s="1"/>
  <c r="AE135" i="10"/>
  <c r="AT135" i="10"/>
  <c r="AF135" i="10"/>
  <c r="AS145" i="10"/>
  <c r="BB145" i="10"/>
  <c r="BC145" i="10" s="1"/>
  <c r="A146" i="10"/>
  <c r="Y145" i="10"/>
  <c r="B145" i="10"/>
  <c r="AL33" i="10"/>
  <c r="AU134" i="10"/>
  <c r="AO33" i="10"/>
  <c r="AY33" i="10" s="1"/>
  <c r="AH33" i="10"/>
  <c r="AD34" i="10"/>
  <c r="T34" i="10"/>
  <c r="AQ34" i="10" s="1"/>
  <c r="U34" i="10"/>
  <c r="W34" i="10" s="1"/>
  <c r="AP34" i="10" s="1"/>
  <c r="R143" i="10"/>
  <c r="K144" i="10"/>
  <c r="C144" i="10"/>
  <c r="I144" i="10" s="1"/>
  <c r="M144" i="10"/>
  <c r="E144" i="10"/>
  <c r="H143" i="10"/>
  <c r="D143" i="10"/>
  <c r="F143" i="10" s="1"/>
  <c r="G143" i="10" s="1"/>
  <c r="V143" i="10" s="1"/>
  <c r="O136" i="10" l="1"/>
  <c r="P136" i="10" s="1"/>
  <c r="J137" i="10" s="1"/>
  <c r="L137" i="10" s="1"/>
  <c r="N137" i="10" s="1"/>
  <c r="AT136" i="10"/>
  <c r="AE136" i="10"/>
  <c r="AF136" i="10"/>
  <c r="K145" i="10"/>
  <c r="C145" i="10"/>
  <c r="I145" i="10" s="1"/>
  <c r="M145" i="10"/>
  <c r="E145" i="10"/>
  <c r="X34" i="10"/>
  <c r="AN33" i="10"/>
  <c r="AW33" i="10" s="1"/>
  <c r="BB146" i="10"/>
  <c r="BC146" i="10" s="1"/>
  <c r="AS146" i="10"/>
  <c r="A147" i="10"/>
  <c r="Y146" i="10"/>
  <c r="B146" i="10"/>
  <c r="AU135" i="10"/>
  <c r="R144" i="10"/>
  <c r="H144" i="10"/>
  <c r="D144" i="10"/>
  <c r="F144" i="10" s="1"/>
  <c r="G144" i="10" s="1"/>
  <c r="V144" i="10" s="1"/>
  <c r="O137" i="10" l="1"/>
  <c r="P137" i="10" s="1"/>
  <c r="J138" i="10" s="1"/>
  <c r="L138" i="10" s="1"/>
  <c r="N138" i="10" s="1"/>
  <c r="AT137" i="10"/>
  <c r="AE137" i="10"/>
  <c r="AF137" i="10"/>
  <c r="BD33" i="10"/>
  <c r="AZ33" i="10"/>
  <c r="AU136" i="10"/>
  <c r="Z34" i="10"/>
  <c r="AR34" i="10" s="1"/>
  <c r="R145" i="10"/>
  <c r="K146" i="10"/>
  <c r="C146" i="10"/>
  <c r="I146" i="10" s="1"/>
  <c r="M146" i="10"/>
  <c r="E146" i="10"/>
  <c r="H145" i="10"/>
  <c r="D145" i="10"/>
  <c r="F145" i="10" s="1"/>
  <c r="G145" i="10" s="1"/>
  <c r="V145" i="10" s="1"/>
  <c r="BB147" i="10"/>
  <c r="BC147" i="10" s="1"/>
  <c r="Y147" i="10"/>
  <c r="AS147" i="10"/>
  <c r="A148" i="10"/>
  <c r="B147" i="10"/>
  <c r="O138" i="10" l="1"/>
  <c r="P138" i="10" s="1"/>
  <c r="J139" i="10" s="1"/>
  <c r="L139" i="10" s="1"/>
  <c r="N139" i="10" s="1"/>
  <c r="AE138" i="10"/>
  <c r="AT138" i="10"/>
  <c r="AF138" i="10"/>
  <c r="K147" i="10"/>
  <c r="C147" i="10"/>
  <c r="I147" i="10" s="1"/>
  <c r="M147" i="10"/>
  <c r="E147" i="10"/>
  <c r="R146" i="10"/>
  <c r="AA34" i="10"/>
  <c r="A149" i="10"/>
  <c r="Y148" i="10"/>
  <c r="BB148" i="10"/>
  <c r="BC148" i="10" s="1"/>
  <c r="AS148" i="10"/>
  <c r="B148" i="10"/>
  <c r="Q35" i="10"/>
  <c r="AU137" i="10"/>
  <c r="H146" i="10"/>
  <c r="D146" i="10"/>
  <c r="F146" i="10" s="1"/>
  <c r="G146" i="10" s="1"/>
  <c r="V146" i="10" s="1"/>
  <c r="O139" i="10" l="1"/>
  <c r="P139" i="10" s="1"/>
  <c r="J140" i="10" s="1"/>
  <c r="L140" i="10" s="1"/>
  <c r="N140" i="10" s="1"/>
  <c r="AE139" i="10"/>
  <c r="AT139" i="10"/>
  <c r="AF139" i="10"/>
  <c r="K148" i="10"/>
  <c r="C148" i="10"/>
  <c r="I148" i="10" s="1"/>
  <c r="M148" i="10"/>
  <c r="E148" i="10"/>
  <c r="AU138" i="10"/>
  <c r="AS149" i="10"/>
  <c r="BB149" i="10"/>
  <c r="BC149" i="10" s="1"/>
  <c r="Y149" i="10"/>
  <c r="A150" i="10"/>
  <c r="B149" i="10"/>
  <c r="AC35" i="10"/>
  <c r="AB35" i="10"/>
  <c r="AV34" i="10" s="1"/>
  <c r="S35" i="10"/>
  <c r="AM35" i="10"/>
  <c r="R147" i="10"/>
  <c r="AJ34" i="10"/>
  <c r="AI34" i="10"/>
  <c r="AG34" i="10"/>
  <c r="AK34" i="10"/>
  <c r="AX34" i="10" s="1"/>
  <c r="H147" i="10"/>
  <c r="D147" i="10"/>
  <c r="F147" i="10" s="1"/>
  <c r="G147" i="10" s="1"/>
  <c r="V147" i="10" s="1"/>
  <c r="AL34" i="10" l="1"/>
  <c r="O140" i="10"/>
  <c r="P140" i="10" s="1"/>
  <c r="J141" i="10" s="1"/>
  <c r="L141" i="10" s="1"/>
  <c r="N141" i="10" s="1"/>
  <c r="AE140" i="10"/>
  <c r="AT140" i="10"/>
  <c r="AF140" i="10"/>
  <c r="T35" i="10"/>
  <c r="AQ35" i="10" s="1"/>
  <c r="AD35" i="10"/>
  <c r="U35" i="10"/>
  <c r="W35" i="10" s="1"/>
  <c r="AP35" i="10" s="1"/>
  <c r="BA34" i="10"/>
  <c r="K149" i="10"/>
  <c r="C149" i="10"/>
  <c r="I149" i="10" s="1"/>
  <c r="M149" i="10"/>
  <c r="E149" i="10"/>
  <c r="AU139" i="10"/>
  <c r="R148" i="10"/>
  <c r="H148" i="10"/>
  <c r="D148" i="10"/>
  <c r="F148" i="10" s="1"/>
  <c r="G148" i="10" s="1"/>
  <c r="V148" i="10" s="1"/>
  <c r="BB150" i="10"/>
  <c r="BC150" i="10" s="1"/>
  <c r="Y150" i="10"/>
  <c r="AS150" i="10"/>
  <c r="A151" i="10"/>
  <c r="B150" i="10"/>
  <c r="AH34" i="10"/>
  <c r="AO34" i="10"/>
  <c r="AY34" i="10" s="1"/>
  <c r="AN34" i="10" l="1"/>
  <c r="AW34" i="10" s="1"/>
  <c r="X35" i="10"/>
  <c r="Z35" i="10" s="1"/>
  <c r="AR35" i="10" s="1"/>
  <c r="O141" i="10"/>
  <c r="P141" i="10" s="1"/>
  <c r="J142" i="10" s="1"/>
  <c r="L142" i="10" s="1"/>
  <c r="N142" i="10" s="1"/>
  <c r="AE141" i="10"/>
  <c r="AT141" i="10"/>
  <c r="AF141" i="10"/>
  <c r="R149" i="10"/>
  <c r="K150" i="10"/>
  <c r="C150" i="10"/>
  <c r="I150" i="10" s="1"/>
  <c r="M150" i="10"/>
  <c r="E150" i="10"/>
  <c r="H149" i="10"/>
  <c r="D149" i="10"/>
  <c r="F149" i="10" s="1"/>
  <c r="G149" i="10" s="1"/>
  <c r="V149" i="10" s="1"/>
  <c r="BB151" i="10"/>
  <c r="BC151" i="10" s="1"/>
  <c r="A152" i="10"/>
  <c r="Y151" i="10"/>
  <c r="AS151" i="10"/>
  <c r="B151" i="10"/>
  <c r="AU140" i="10"/>
  <c r="BD34" i="10"/>
  <c r="AZ34" i="10"/>
  <c r="O142" i="10" l="1"/>
  <c r="P142" i="10" s="1"/>
  <c r="J143" i="10" s="1"/>
  <c r="L143" i="10" s="1"/>
  <c r="N143" i="10" s="1"/>
  <c r="AE142" i="10"/>
  <c r="AT142" i="10"/>
  <c r="AF142" i="10"/>
  <c r="H150" i="10"/>
  <c r="D150" i="10"/>
  <c r="F150" i="10" s="1"/>
  <c r="G150" i="10" s="1"/>
  <c r="V150" i="10" s="1"/>
  <c r="K151" i="10"/>
  <c r="C151" i="10"/>
  <c r="I151" i="10" s="1"/>
  <c r="M151" i="10"/>
  <c r="E151" i="10"/>
  <c r="AA35" i="10"/>
  <c r="A153" i="10"/>
  <c r="Y152" i="10"/>
  <c r="AS152" i="10"/>
  <c r="BB152" i="10"/>
  <c r="BC152" i="10" s="1"/>
  <c r="B152" i="10"/>
  <c r="R150" i="10"/>
  <c r="Q36" i="10"/>
  <c r="AU141" i="10"/>
  <c r="O143" i="10" l="1"/>
  <c r="P143" i="10" s="1"/>
  <c r="J144" i="10" s="1"/>
  <c r="L144" i="10" s="1"/>
  <c r="N144" i="10" s="1"/>
  <c r="AE143" i="10"/>
  <c r="AT143" i="10"/>
  <c r="AF143" i="10"/>
  <c r="R151" i="10"/>
  <c r="AB36" i="10"/>
  <c r="AV35" i="10" s="1"/>
  <c r="S36" i="10"/>
  <c r="AM36" i="10"/>
  <c r="AC36" i="10"/>
  <c r="K152" i="10"/>
  <c r="C152" i="10"/>
  <c r="I152" i="10" s="1"/>
  <c r="M152" i="10"/>
  <c r="E152" i="10"/>
  <c r="AJ35" i="10"/>
  <c r="AI35" i="10"/>
  <c r="AG35" i="10"/>
  <c r="AK35" i="10"/>
  <c r="AX35" i="10" s="1"/>
  <c r="H151" i="10"/>
  <c r="D151" i="10"/>
  <c r="F151" i="10" s="1"/>
  <c r="G151" i="10" s="1"/>
  <c r="V151" i="10" s="1"/>
  <c r="AU142" i="10"/>
  <c r="AS153" i="10"/>
  <c r="BB153" i="10"/>
  <c r="BC153" i="10" s="1"/>
  <c r="A154" i="10"/>
  <c r="Y153" i="10"/>
  <c r="B153" i="10"/>
  <c r="BA35" i="10" l="1"/>
  <c r="O144" i="10"/>
  <c r="P144" i="10" s="1"/>
  <c r="J145" i="10" s="1"/>
  <c r="L145" i="10" s="1"/>
  <c r="N145" i="10" s="1"/>
  <c r="AE144" i="10"/>
  <c r="AT144" i="10"/>
  <c r="AF144" i="10"/>
  <c r="AH35" i="10"/>
  <c r="AO35" i="10"/>
  <c r="AY35" i="10" s="1"/>
  <c r="R152" i="10"/>
  <c r="AL35" i="10"/>
  <c r="AU143" i="10"/>
  <c r="K153" i="10"/>
  <c r="C153" i="10"/>
  <c r="I153" i="10" s="1"/>
  <c r="M153" i="10"/>
  <c r="E153" i="10"/>
  <c r="T36" i="10"/>
  <c r="AQ36" i="10" s="1"/>
  <c r="AD36" i="10"/>
  <c r="U36" i="10"/>
  <c r="W36" i="10" s="1"/>
  <c r="AP36" i="10" s="1"/>
  <c r="BB154" i="10"/>
  <c r="BC154" i="10" s="1"/>
  <c r="AS154" i="10"/>
  <c r="A155" i="10"/>
  <c r="Y154" i="10"/>
  <c r="B154" i="10"/>
  <c r="H152" i="10"/>
  <c r="D152" i="10"/>
  <c r="F152" i="10" s="1"/>
  <c r="G152" i="10" s="1"/>
  <c r="V152" i="10" s="1"/>
  <c r="X36" i="10" l="1"/>
  <c r="Z36" i="10" s="1"/>
  <c r="AR36" i="10" s="1"/>
  <c r="O145" i="10"/>
  <c r="P145" i="10" s="1"/>
  <c r="J146" i="10" s="1"/>
  <c r="L146" i="10" s="1"/>
  <c r="N146" i="10" s="1"/>
  <c r="AT145" i="10"/>
  <c r="AE145" i="10"/>
  <c r="AF145" i="10"/>
  <c r="AU144" i="10"/>
  <c r="A156" i="10"/>
  <c r="AS155" i="10"/>
  <c r="BB155" i="10"/>
  <c r="BC155" i="10" s="1"/>
  <c r="Y155" i="10"/>
  <c r="B155" i="10"/>
  <c r="R153" i="10"/>
  <c r="H153" i="10"/>
  <c r="D153" i="10"/>
  <c r="F153" i="10" s="1"/>
  <c r="G153" i="10" s="1"/>
  <c r="V153" i="10" s="1"/>
  <c r="K154" i="10"/>
  <c r="C154" i="10"/>
  <c r="I154" i="10" s="1"/>
  <c r="M154" i="10"/>
  <c r="E154" i="10"/>
  <c r="AN35" i="10"/>
  <c r="AW35" i="10" s="1"/>
  <c r="O146" i="10" l="1"/>
  <c r="P146" i="10" s="1"/>
  <c r="J147" i="10" s="1"/>
  <c r="L147" i="10" s="1"/>
  <c r="N147" i="10" s="1"/>
  <c r="AT146" i="10"/>
  <c r="AE146" i="10"/>
  <c r="AF146" i="10"/>
  <c r="R154" i="10"/>
  <c r="AU145" i="10"/>
  <c r="K155" i="10"/>
  <c r="C155" i="10"/>
  <c r="I155" i="10" s="1"/>
  <c r="M155" i="10"/>
  <c r="E155" i="10"/>
  <c r="AA36" i="10"/>
  <c r="H154" i="10"/>
  <c r="D154" i="10"/>
  <c r="F154" i="10" s="1"/>
  <c r="G154" i="10" s="1"/>
  <c r="V154" i="10" s="1"/>
  <c r="BD35" i="10"/>
  <c r="AZ35" i="10"/>
  <c r="BB156" i="10"/>
  <c r="BC156" i="10" s="1"/>
  <c r="Y156" i="10"/>
  <c r="AS156" i="10"/>
  <c r="A157" i="10"/>
  <c r="B156" i="10"/>
  <c r="Q37" i="10"/>
  <c r="O147" i="10" l="1"/>
  <c r="P147" i="10" s="1"/>
  <c r="J148" i="10" s="1"/>
  <c r="L148" i="10" s="1"/>
  <c r="N148" i="10" s="1"/>
  <c r="AE147" i="10"/>
  <c r="AT147" i="10"/>
  <c r="AF147" i="10"/>
  <c r="A158" i="10"/>
  <c r="Y157" i="10"/>
  <c r="AS157" i="10"/>
  <c r="BB157" i="10"/>
  <c r="BC157" i="10" s="1"/>
  <c r="B157" i="10"/>
  <c r="H155" i="10"/>
  <c r="D155" i="10"/>
  <c r="F155" i="10" s="1"/>
  <c r="G155" i="10" s="1"/>
  <c r="V155" i="10" s="1"/>
  <c r="AM37" i="10"/>
  <c r="AC37" i="10"/>
  <c r="AB37" i="10"/>
  <c r="AV36" i="10" s="1"/>
  <c r="S37" i="10"/>
  <c r="AI36" i="10"/>
  <c r="AJ36" i="10"/>
  <c r="AG36" i="10"/>
  <c r="AK36" i="10"/>
  <c r="AX36" i="10" s="1"/>
  <c r="R155" i="10"/>
  <c r="AU146" i="10"/>
  <c r="K156" i="10"/>
  <c r="C156" i="10"/>
  <c r="I156" i="10" s="1"/>
  <c r="M156" i="10"/>
  <c r="E156" i="10"/>
  <c r="AL36" i="10" l="1"/>
  <c r="O148" i="10"/>
  <c r="P148" i="10" s="1"/>
  <c r="J149" i="10" s="1"/>
  <c r="L149" i="10" s="1"/>
  <c r="N149" i="10" s="1"/>
  <c r="AT148" i="10"/>
  <c r="AE148" i="10"/>
  <c r="AF148" i="10"/>
  <c r="AS158" i="10"/>
  <c r="BB158" i="10"/>
  <c r="BC158" i="10" s="1"/>
  <c r="A159" i="10"/>
  <c r="Y158" i="10"/>
  <c r="B158" i="10"/>
  <c r="K157" i="10"/>
  <c r="C157" i="10"/>
  <c r="I157" i="10" s="1"/>
  <c r="M157" i="10"/>
  <c r="E157" i="10"/>
  <c r="R156" i="10"/>
  <c r="AD37" i="10"/>
  <c r="T37" i="10"/>
  <c r="AQ37" i="10" s="1"/>
  <c r="U37" i="10"/>
  <c r="W37" i="10" s="1"/>
  <c r="AP37" i="10" s="1"/>
  <c r="AU147" i="10"/>
  <c r="BA36" i="10"/>
  <c r="AH36" i="10"/>
  <c r="AN36" i="10" s="1"/>
  <c r="AW36" i="10" s="1"/>
  <c r="AO36" i="10"/>
  <c r="AY36" i="10" s="1"/>
  <c r="H156" i="10"/>
  <c r="D156" i="10"/>
  <c r="F156" i="10" s="1"/>
  <c r="G156" i="10" s="1"/>
  <c r="V156" i="10" s="1"/>
  <c r="X37" i="10" l="1"/>
  <c r="Z37" i="10" s="1"/>
  <c r="AR37" i="10" s="1"/>
  <c r="O149" i="10"/>
  <c r="P149" i="10" s="1"/>
  <c r="J150" i="10" s="1"/>
  <c r="L150" i="10" s="1"/>
  <c r="N150" i="10" s="1"/>
  <c r="AE149" i="10"/>
  <c r="AT149" i="10"/>
  <c r="AF149" i="10"/>
  <c r="BD36" i="10"/>
  <c r="AZ36" i="10"/>
  <c r="H157" i="10"/>
  <c r="D157" i="10"/>
  <c r="F157" i="10" s="1"/>
  <c r="G157" i="10" s="1"/>
  <c r="V157" i="10" s="1"/>
  <c r="Y159" i="10"/>
  <c r="A160" i="10"/>
  <c r="BB159" i="10"/>
  <c r="BC159" i="10" s="1"/>
  <c r="AS159" i="10"/>
  <c r="B159" i="10"/>
  <c r="AU148" i="10"/>
  <c r="K158" i="10"/>
  <c r="C158" i="10"/>
  <c r="I158" i="10" s="1"/>
  <c r="M158" i="10"/>
  <c r="E158" i="10"/>
  <c r="R157" i="10"/>
  <c r="O150" i="10" l="1"/>
  <c r="P150" i="10" s="1"/>
  <c r="J151" i="10" s="1"/>
  <c r="L151" i="10" s="1"/>
  <c r="N151" i="10" s="1"/>
  <c r="AE150" i="10"/>
  <c r="AT150" i="10"/>
  <c r="AF150" i="10"/>
  <c r="K159" i="10"/>
  <c r="C159" i="10"/>
  <c r="I159" i="10" s="1"/>
  <c r="M159" i="10"/>
  <c r="E159" i="10"/>
  <c r="R158" i="10"/>
  <c r="AU149" i="10"/>
  <c r="H158" i="10"/>
  <c r="D158" i="10"/>
  <c r="F158" i="10" s="1"/>
  <c r="G158" i="10" s="1"/>
  <c r="V158" i="10" s="1"/>
  <c r="A161" i="10"/>
  <c r="AS160" i="10"/>
  <c r="BB160" i="10"/>
  <c r="BC160" i="10" s="1"/>
  <c r="Y160" i="10"/>
  <c r="B160" i="10"/>
  <c r="Q38" i="10"/>
  <c r="AA37" i="10"/>
  <c r="O151" i="10" l="1"/>
  <c r="P151" i="10" s="1"/>
  <c r="J152" i="10" s="1"/>
  <c r="L152" i="10" s="1"/>
  <c r="N152" i="10" s="1"/>
  <c r="AT151" i="10"/>
  <c r="AE151" i="10"/>
  <c r="AF151" i="10"/>
  <c r="BB161" i="10"/>
  <c r="BC161" i="10" s="1"/>
  <c r="Y161" i="10"/>
  <c r="A162" i="10"/>
  <c r="AS161" i="10"/>
  <c r="B161" i="10"/>
  <c r="AJ37" i="10"/>
  <c r="AI37" i="10"/>
  <c r="AG37" i="10"/>
  <c r="AK37" i="10"/>
  <c r="AX37" i="10" s="1"/>
  <c r="AU150" i="10"/>
  <c r="R159" i="10"/>
  <c r="AM38" i="10"/>
  <c r="AC38" i="10"/>
  <c r="S38" i="10"/>
  <c r="AB38" i="10"/>
  <c r="AV37" i="10" s="1"/>
  <c r="H159" i="10"/>
  <c r="D159" i="10"/>
  <c r="F159" i="10" s="1"/>
  <c r="G159" i="10" s="1"/>
  <c r="V159" i="10" s="1"/>
  <c r="K160" i="10"/>
  <c r="C160" i="10"/>
  <c r="I160" i="10" s="1"/>
  <c r="M160" i="10"/>
  <c r="E160" i="10"/>
  <c r="AL37" i="10" l="1"/>
  <c r="O152" i="10"/>
  <c r="P152" i="10" s="1"/>
  <c r="J153" i="10" s="1"/>
  <c r="L153" i="10" s="1"/>
  <c r="N153" i="10" s="1"/>
  <c r="AT152" i="10"/>
  <c r="AE152" i="10"/>
  <c r="AF152" i="10"/>
  <c r="K161" i="10"/>
  <c r="C161" i="10"/>
  <c r="I161" i="10" s="1"/>
  <c r="M161" i="10"/>
  <c r="E161" i="10"/>
  <c r="R160" i="10"/>
  <c r="AD38" i="10"/>
  <c r="T38" i="10"/>
  <c r="AQ38" i="10" s="1"/>
  <c r="U38" i="10"/>
  <c r="W38" i="10" s="1"/>
  <c r="AP38" i="10" s="1"/>
  <c r="AU151" i="10"/>
  <c r="BA37" i="10"/>
  <c r="BB162" i="10"/>
  <c r="BC162" i="10" s="1"/>
  <c r="Y162" i="10"/>
  <c r="AS162" i="10"/>
  <c r="A163" i="10"/>
  <c r="B162" i="10"/>
  <c r="H160" i="10"/>
  <c r="D160" i="10"/>
  <c r="F160" i="10" s="1"/>
  <c r="G160" i="10" s="1"/>
  <c r="V160" i="10" s="1"/>
  <c r="AH37" i="10"/>
  <c r="AO37" i="10"/>
  <c r="AY37" i="10" s="1"/>
  <c r="AN37" i="10" l="1"/>
  <c r="AW37" i="10" s="1"/>
  <c r="BD37" i="10" s="1"/>
  <c r="O153" i="10"/>
  <c r="P153" i="10" s="1"/>
  <c r="J154" i="10" s="1"/>
  <c r="L154" i="10" s="1"/>
  <c r="N154" i="10" s="1"/>
  <c r="AT153" i="10"/>
  <c r="AE153" i="10"/>
  <c r="AF153" i="10"/>
  <c r="K162" i="10"/>
  <c r="C162" i="10"/>
  <c r="I162" i="10" s="1"/>
  <c r="M162" i="10"/>
  <c r="E162" i="10"/>
  <c r="A164" i="10"/>
  <c r="AS163" i="10"/>
  <c r="BB163" i="10"/>
  <c r="BC163" i="10" s="1"/>
  <c r="Y163" i="10"/>
  <c r="B163" i="10"/>
  <c r="R161" i="10"/>
  <c r="X38" i="10"/>
  <c r="AU152" i="10"/>
  <c r="H161" i="10"/>
  <c r="D161" i="10"/>
  <c r="F161" i="10" s="1"/>
  <c r="G161" i="10" s="1"/>
  <c r="V161" i="10" s="1"/>
  <c r="AZ37" i="10" l="1"/>
  <c r="O154" i="10"/>
  <c r="P154" i="10" s="1"/>
  <c r="J155" i="10" s="1"/>
  <c r="L155" i="10" s="1"/>
  <c r="N155" i="10" s="1"/>
  <c r="AE154" i="10"/>
  <c r="AT154" i="10"/>
  <c r="AF154" i="10"/>
  <c r="BB164" i="10"/>
  <c r="BC164" i="10" s="1"/>
  <c r="Y164" i="10"/>
  <c r="A165" i="10"/>
  <c r="AS164" i="10"/>
  <c r="B164" i="10"/>
  <c r="K163" i="10"/>
  <c r="C163" i="10"/>
  <c r="I163" i="10" s="1"/>
  <c r="M163" i="10"/>
  <c r="E163" i="10"/>
  <c r="AU153" i="10"/>
  <c r="R162" i="10"/>
  <c r="Z38" i="10"/>
  <c r="AR38" i="10" s="1"/>
  <c r="H162" i="10"/>
  <c r="D162" i="10"/>
  <c r="F162" i="10" s="1"/>
  <c r="G162" i="10" s="1"/>
  <c r="V162" i="10" s="1"/>
  <c r="O155" i="10" l="1"/>
  <c r="P155" i="10" s="1"/>
  <c r="J156" i="10" s="1"/>
  <c r="L156" i="10" s="1"/>
  <c r="N156" i="10" s="1"/>
  <c r="AT155" i="10"/>
  <c r="AE155" i="10"/>
  <c r="AF155" i="10"/>
  <c r="K164" i="10"/>
  <c r="C164" i="10"/>
  <c r="I164" i="10" s="1"/>
  <c r="M164" i="10"/>
  <c r="E164" i="10"/>
  <c r="Q39" i="10"/>
  <c r="BB165" i="10"/>
  <c r="BC165" i="10" s="1"/>
  <c r="AS165" i="10"/>
  <c r="A166" i="10"/>
  <c r="Y165" i="10"/>
  <c r="B165" i="10"/>
  <c r="H163" i="10"/>
  <c r="D163" i="10"/>
  <c r="F163" i="10" s="1"/>
  <c r="G163" i="10" s="1"/>
  <c r="V163" i="10" s="1"/>
  <c r="AU154" i="10"/>
  <c r="AA38" i="10"/>
  <c r="R163" i="10"/>
  <c r="O156" i="10" l="1"/>
  <c r="P156" i="10" s="1"/>
  <c r="J157" i="10" s="1"/>
  <c r="L157" i="10" s="1"/>
  <c r="N157" i="10" s="1"/>
  <c r="AT156" i="10"/>
  <c r="AE156" i="10"/>
  <c r="AF156" i="10"/>
  <c r="BB166" i="10"/>
  <c r="BC166" i="10" s="1"/>
  <c r="A167" i="10"/>
  <c r="Y166" i="10"/>
  <c r="AS166" i="10"/>
  <c r="B166" i="10"/>
  <c r="AU155" i="10"/>
  <c r="AM39" i="10"/>
  <c r="AC39" i="10"/>
  <c r="AB39" i="10"/>
  <c r="AV38" i="10" s="1"/>
  <c r="S39" i="10"/>
  <c r="AI38" i="10"/>
  <c r="AJ38" i="10"/>
  <c r="AG38" i="10"/>
  <c r="AK38" i="10"/>
  <c r="AX38" i="10" s="1"/>
  <c r="R164" i="10"/>
  <c r="K165" i="10"/>
  <c r="C165" i="10"/>
  <c r="I165" i="10" s="1"/>
  <c r="M165" i="10"/>
  <c r="E165" i="10"/>
  <c r="H164" i="10"/>
  <c r="D164" i="10"/>
  <c r="F164" i="10" s="1"/>
  <c r="G164" i="10" s="1"/>
  <c r="V164" i="10" s="1"/>
  <c r="O157" i="10" l="1"/>
  <c r="P157" i="10" s="1"/>
  <c r="J158" i="10" s="1"/>
  <c r="L158" i="10" s="1"/>
  <c r="N158" i="10" s="1"/>
  <c r="AE157" i="10"/>
  <c r="AT157" i="10"/>
  <c r="AF157" i="10"/>
  <c r="AU156" i="10"/>
  <c r="AD39" i="10"/>
  <c r="T39" i="10"/>
  <c r="AQ39" i="10" s="1"/>
  <c r="U39" i="10"/>
  <c r="W39" i="10" s="1"/>
  <c r="AP39" i="10" s="1"/>
  <c r="R165" i="10"/>
  <c r="AO38" i="10"/>
  <c r="AY38" i="10" s="1"/>
  <c r="AH38" i="10"/>
  <c r="AL38" i="10"/>
  <c r="K166" i="10"/>
  <c r="C166" i="10"/>
  <c r="I166" i="10" s="1"/>
  <c r="M166" i="10"/>
  <c r="E166" i="10"/>
  <c r="H165" i="10"/>
  <c r="D165" i="10"/>
  <c r="F165" i="10" s="1"/>
  <c r="G165" i="10" s="1"/>
  <c r="V165" i="10" s="1"/>
  <c r="BA38" i="10"/>
  <c r="BB167" i="10"/>
  <c r="BC167" i="10" s="1"/>
  <c r="AS167" i="10"/>
  <c r="A168" i="10"/>
  <c r="Y167" i="10"/>
  <c r="B167" i="10"/>
  <c r="O158" i="10" l="1"/>
  <c r="P158" i="10" s="1"/>
  <c r="J159" i="10" s="1"/>
  <c r="L159" i="10" s="1"/>
  <c r="N159" i="10" s="1"/>
  <c r="AT158" i="10"/>
  <c r="AE158" i="10"/>
  <c r="AF158" i="10"/>
  <c r="H166" i="10"/>
  <c r="D166" i="10"/>
  <c r="F166" i="10" s="1"/>
  <c r="G166" i="10" s="1"/>
  <c r="V166" i="10" s="1"/>
  <c r="AN38" i="10"/>
  <c r="AW38" i="10" s="1"/>
  <c r="BB168" i="10"/>
  <c r="BC168" i="10" s="1"/>
  <c r="A169" i="10"/>
  <c r="Y168" i="10"/>
  <c r="AS168" i="10"/>
  <c r="B168" i="10"/>
  <c r="K167" i="10"/>
  <c r="C167" i="10"/>
  <c r="I167" i="10" s="1"/>
  <c r="M167" i="10"/>
  <c r="E167" i="10"/>
  <c r="AU157" i="10"/>
  <c r="X39" i="10"/>
  <c r="R166" i="10"/>
  <c r="O159" i="10" l="1"/>
  <c r="P159" i="10" s="1"/>
  <c r="J160" i="10" s="1"/>
  <c r="L160" i="10" s="1"/>
  <c r="N160" i="10" s="1"/>
  <c r="AE159" i="10"/>
  <c r="AT159" i="10"/>
  <c r="AF159" i="10"/>
  <c r="AU158" i="10"/>
  <c r="BD38" i="10"/>
  <c r="AZ38" i="10"/>
  <c r="K168" i="10"/>
  <c r="C168" i="10"/>
  <c r="I168" i="10" s="1"/>
  <c r="M168" i="10"/>
  <c r="E168" i="10"/>
  <c r="H167" i="10"/>
  <c r="D167" i="10"/>
  <c r="F167" i="10" s="1"/>
  <c r="G167" i="10" s="1"/>
  <c r="V167" i="10" s="1"/>
  <c r="Z39" i="10"/>
  <c r="AR39" i="10" s="1"/>
  <c r="R167" i="10"/>
  <c r="BB169" i="10"/>
  <c r="BC169" i="10" s="1"/>
  <c r="AS169" i="10"/>
  <c r="A170" i="10"/>
  <c r="Y169" i="10"/>
  <c r="B169" i="10"/>
  <c r="Q40" i="10" l="1"/>
  <c r="AA39" i="10"/>
  <c r="AG39" i="10" s="1"/>
  <c r="O160" i="10"/>
  <c r="P160" i="10" s="1"/>
  <c r="J161" i="10" s="1"/>
  <c r="L161" i="10" s="1"/>
  <c r="N161" i="10" s="1"/>
  <c r="AT160" i="10"/>
  <c r="AE160" i="10"/>
  <c r="AF160" i="10"/>
  <c r="H168" i="10"/>
  <c r="D168" i="10"/>
  <c r="F168" i="10" s="1"/>
  <c r="G168" i="10" s="1"/>
  <c r="V168" i="10" s="1"/>
  <c r="AM40" i="10"/>
  <c r="AC40" i="10"/>
  <c r="AB40" i="10"/>
  <c r="AV39" i="10" s="1"/>
  <c r="S40" i="10"/>
  <c r="AU159" i="10"/>
  <c r="K169" i="10"/>
  <c r="C169" i="10"/>
  <c r="I169" i="10" s="1"/>
  <c r="M169" i="10"/>
  <c r="E169" i="10"/>
  <c r="R168" i="10"/>
  <c r="BB170" i="10"/>
  <c r="BC170" i="10" s="1"/>
  <c r="A171" i="10"/>
  <c r="Y170" i="10"/>
  <c r="AS170" i="10"/>
  <c r="B170" i="10"/>
  <c r="AJ39" i="10" l="1"/>
  <c r="AK39" i="10"/>
  <c r="AX39" i="10" s="1"/>
  <c r="AI39" i="10"/>
  <c r="BA39" i="10"/>
  <c r="O161" i="10"/>
  <c r="P161" i="10" s="1"/>
  <c r="J162" i="10" s="1"/>
  <c r="L162" i="10" s="1"/>
  <c r="N162" i="10" s="1"/>
  <c r="AT161" i="10"/>
  <c r="AE161" i="10"/>
  <c r="AF161" i="10"/>
  <c r="H169" i="10"/>
  <c r="D169" i="10"/>
  <c r="F169" i="10" s="1"/>
  <c r="G169" i="10" s="1"/>
  <c r="V169" i="10" s="1"/>
  <c r="AU160" i="10"/>
  <c r="AO39" i="10"/>
  <c r="AY39" i="10" s="1"/>
  <c r="AH39" i="10"/>
  <c r="BB171" i="10"/>
  <c r="BC171" i="10" s="1"/>
  <c r="AS171" i="10"/>
  <c r="A172" i="10"/>
  <c r="Y171" i="10"/>
  <c r="B171" i="10"/>
  <c r="AD40" i="10"/>
  <c r="T40" i="10"/>
  <c r="AQ40" i="10" s="1"/>
  <c r="U40" i="10"/>
  <c r="W40" i="10" s="1"/>
  <c r="AP40" i="10" s="1"/>
  <c r="K170" i="10"/>
  <c r="C170" i="10"/>
  <c r="I170" i="10" s="1"/>
  <c r="M170" i="10"/>
  <c r="E170" i="10"/>
  <c r="R169" i="10"/>
  <c r="AL39" i="10" l="1"/>
  <c r="AN39" i="10" s="1"/>
  <c r="AW39" i="10" s="1"/>
  <c r="O162" i="10"/>
  <c r="P162" i="10"/>
  <c r="J163" i="10" s="1"/>
  <c r="L163" i="10" s="1"/>
  <c r="N163" i="10" s="1"/>
  <c r="AT162" i="10"/>
  <c r="AE162" i="10"/>
  <c r="AF162" i="10"/>
  <c r="K171" i="10"/>
  <c r="C171" i="10"/>
  <c r="I171" i="10" s="1"/>
  <c r="M171" i="10"/>
  <c r="E171" i="10"/>
  <c r="H170" i="10"/>
  <c r="D170" i="10"/>
  <c r="F170" i="10" s="1"/>
  <c r="G170" i="10" s="1"/>
  <c r="V170" i="10" s="1"/>
  <c r="AU161" i="10"/>
  <c r="R170" i="10"/>
  <c r="BB172" i="10"/>
  <c r="BC172" i="10" s="1"/>
  <c r="A173" i="10"/>
  <c r="Y172" i="10"/>
  <c r="AS172" i="10"/>
  <c r="B172" i="10"/>
  <c r="X40" i="10"/>
  <c r="BD39" i="10" l="1"/>
  <c r="AZ39" i="10"/>
  <c r="O163" i="10"/>
  <c r="P163" i="10" s="1"/>
  <c r="J164" i="10" s="1"/>
  <c r="L164" i="10" s="1"/>
  <c r="N164" i="10" s="1"/>
  <c r="AT163" i="10"/>
  <c r="AE163" i="10"/>
  <c r="AF163" i="10"/>
  <c r="BB173" i="10"/>
  <c r="BC173" i="10" s="1"/>
  <c r="AS173" i="10"/>
  <c r="A174" i="10"/>
  <c r="Y173" i="10"/>
  <c r="B173" i="10"/>
  <c r="AU162" i="10"/>
  <c r="R171" i="10"/>
  <c r="K172" i="10"/>
  <c r="C172" i="10"/>
  <c r="I172" i="10" s="1"/>
  <c r="M172" i="10"/>
  <c r="E172" i="10"/>
  <c r="H171" i="10"/>
  <c r="D171" i="10"/>
  <c r="F171" i="10" s="1"/>
  <c r="G171" i="10" s="1"/>
  <c r="V171" i="10" s="1"/>
  <c r="Z40" i="10"/>
  <c r="AR40" i="10" s="1"/>
  <c r="O164" i="10" l="1"/>
  <c r="P164" i="10" s="1"/>
  <c r="J165" i="10" s="1"/>
  <c r="L165" i="10" s="1"/>
  <c r="N165" i="10" s="1"/>
  <c r="AE164" i="10"/>
  <c r="AT164" i="10"/>
  <c r="AF164" i="10"/>
  <c r="R172" i="10"/>
  <c r="AU163" i="10"/>
  <c r="AA40" i="10"/>
  <c r="K173" i="10"/>
  <c r="C173" i="10"/>
  <c r="I173" i="10" s="1"/>
  <c r="M173" i="10"/>
  <c r="E173" i="10"/>
  <c r="Q41" i="10"/>
  <c r="H172" i="10"/>
  <c r="D172" i="10"/>
  <c r="F172" i="10" s="1"/>
  <c r="G172" i="10" s="1"/>
  <c r="V172" i="10" s="1"/>
  <c r="BB174" i="10"/>
  <c r="BC174" i="10" s="1"/>
  <c r="A175" i="10"/>
  <c r="Y174" i="10"/>
  <c r="AS174" i="10"/>
  <c r="B174" i="10"/>
  <c r="O165" i="10" l="1"/>
  <c r="P165" i="10"/>
  <c r="J166" i="10" s="1"/>
  <c r="L166" i="10" s="1"/>
  <c r="N166" i="10" s="1"/>
  <c r="AT165" i="10"/>
  <c r="AE165" i="10"/>
  <c r="AF165" i="10"/>
  <c r="H173" i="10"/>
  <c r="D173" i="10"/>
  <c r="F173" i="10" s="1"/>
  <c r="G173" i="10" s="1"/>
  <c r="V173" i="10" s="1"/>
  <c r="AJ40" i="10"/>
  <c r="AI40" i="10"/>
  <c r="AG40" i="10"/>
  <c r="AK40" i="10"/>
  <c r="AX40" i="10" s="1"/>
  <c r="K174" i="10"/>
  <c r="C174" i="10"/>
  <c r="I174" i="10" s="1"/>
  <c r="M174" i="10"/>
  <c r="E174" i="10"/>
  <c r="AC41" i="10"/>
  <c r="AB41" i="10"/>
  <c r="AV40" i="10" s="1"/>
  <c r="S41" i="10"/>
  <c r="AM41" i="10"/>
  <c r="AU164" i="10"/>
  <c r="BB175" i="10"/>
  <c r="BC175" i="10" s="1"/>
  <c r="AS175" i="10"/>
  <c r="A176" i="10"/>
  <c r="Y175" i="10"/>
  <c r="B175" i="10"/>
  <c r="R173" i="10"/>
  <c r="BA40" i="10" l="1"/>
  <c r="O166" i="10"/>
  <c r="P166" i="10" s="1"/>
  <c r="J167" i="10" s="1"/>
  <c r="L167" i="10" s="1"/>
  <c r="N167" i="10" s="1"/>
  <c r="AT166" i="10"/>
  <c r="AE166" i="10"/>
  <c r="AF166" i="10"/>
  <c r="BB176" i="10"/>
  <c r="BC176" i="10" s="1"/>
  <c r="A177" i="10"/>
  <c r="Y176" i="10"/>
  <c r="AS176" i="10"/>
  <c r="B176" i="10"/>
  <c r="T41" i="10"/>
  <c r="AQ41" i="10" s="1"/>
  <c r="AD41" i="10"/>
  <c r="U41" i="10"/>
  <c r="W41" i="10" s="1"/>
  <c r="AP41" i="10" s="1"/>
  <c r="AU165" i="10"/>
  <c r="AO40" i="10"/>
  <c r="AY40" i="10" s="1"/>
  <c r="AH40" i="10"/>
  <c r="H174" i="10"/>
  <c r="D174" i="10"/>
  <c r="F174" i="10" s="1"/>
  <c r="G174" i="10" s="1"/>
  <c r="V174" i="10" s="1"/>
  <c r="R174" i="10"/>
  <c r="K175" i="10"/>
  <c r="C175" i="10"/>
  <c r="I175" i="10" s="1"/>
  <c r="M175" i="10"/>
  <c r="E175" i="10"/>
  <c r="AL40" i="10"/>
  <c r="O167" i="10" l="1"/>
  <c r="P167" i="10" s="1"/>
  <c r="J168" i="10" s="1"/>
  <c r="L168" i="10" s="1"/>
  <c r="N168" i="10" s="1"/>
  <c r="AE167" i="10"/>
  <c r="AT167" i="10"/>
  <c r="AF167" i="10"/>
  <c r="H175" i="10"/>
  <c r="D175" i="10"/>
  <c r="F175" i="10" s="1"/>
  <c r="G175" i="10" s="1"/>
  <c r="V175" i="10" s="1"/>
  <c r="AN40" i="10"/>
  <c r="AW40" i="10" s="1"/>
  <c r="X41" i="10"/>
  <c r="K176" i="10"/>
  <c r="C176" i="10"/>
  <c r="I176" i="10" s="1"/>
  <c r="M176" i="10"/>
  <c r="E176" i="10"/>
  <c r="AU166" i="10"/>
  <c r="BB177" i="10"/>
  <c r="BC177" i="10" s="1"/>
  <c r="AS177" i="10"/>
  <c r="A178" i="10"/>
  <c r="Y177" i="10"/>
  <c r="B177" i="10"/>
  <c r="R175" i="10"/>
  <c r="O168" i="10" l="1"/>
  <c r="P168" i="10" s="1"/>
  <c r="J169" i="10" s="1"/>
  <c r="L169" i="10" s="1"/>
  <c r="N169" i="10" s="1"/>
  <c r="AE168" i="10"/>
  <c r="AT168" i="10"/>
  <c r="AF168" i="10"/>
  <c r="AU167" i="10"/>
  <c r="Z41" i="10"/>
  <c r="AR41" i="10" s="1"/>
  <c r="K177" i="10"/>
  <c r="C177" i="10"/>
  <c r="I177" i="10" s="1"/>
  <c r="M177" i="10"/>
  <c r="E177" i="10"/>
  <c r="BD40" i="10"/>
  <c r="AZ40" i="10"/>
  <c r="R176" i="10"/>
  <c r="BB178" i="10"/>
  <c r="BC178" i="10" s="1"/>
  <c r="A179" i="10"/>
  <c r="Y178" i="10"/>
  <c r="AS178" i="10"/>
  <c r="B178" i="10"/>
  <c r="H176" i="10"/>
  <c r="D176" i="10"/>
  <c r="F176" i="10" s="1"/>
  <c r="G176" i="10" s="1"/>
  <c r="V176" i="10" s="1"/>
  <c r="O169" i="10" l="1"/>
  <c r="P169" i="10" s="1"/>
  <c r="J170" i="10" s="1"/>
  <c r="L170" i="10" s="1"/>
  <c r="N170" i="10" s="1"/>
  <c r="AE169" i="10"/>
  <c r="AT169" i="10"/>
  <c r="AF169" i="10"/>
  <c r="AA41" i="10"/>
  <c r="AU168" i="10"/>
  <c r="R177" i="10"/>
  <c r="H177" i="10"/>
  <c r="D177" i="10"/>
  <c r="F177" i="10" s="1"/>
  <c r="G177" i="10" s="1"/>
  <c r="V177" i="10" s="1"/>
  <c r="K178" i="10"/>
  <c r="C178" i="10"/>
  <c r="I178" i="10" s="1"/>
  <c r="M178" i="10"/>
  <c r="E178" i="10"/>
  <c r="BB179" i="10"/>
  <c r="BC179" i="10" s="1"/>
  <c r="AS179" i="10"/>
  <c r="A180" i="10"/>
  <c r="Y179" i="10"/>
  <c r="B179" i="10"/>
  <c r="Q42" i="10"/>
  <c r="O170" i="10" l="1"/>
  <c r="P170" i="10" s="1"/>
  <c r="J171" i="10" s="1"/>
  <c r="L171" i="10" s="1"/>
  <c r="N171" i="10" s="1"/>
  <c r="AE170" i="10"/>
  <c r="AT170" i="10"/>
  <c r="AF170" i="10"/>
  <c r="R178" i="10"/>
  <c r="H178" i="10"/>
  <c r="D178" i="10"/>
  <c r="F178" i="10" s="1"/>
  <c r="G178" i="10" s="1"/>
  <c r="V178" i="10" s="1"/>
  <c r="AU169" i="10"/>
  <c r="AJ41" i="10"/>
  <c r="AI41" i="10"/>
  <c r="AG41" i="10"/>
  <c r="AK41" i="10"/>
  <c r="AX41" i="10" s="1"/>
  <c r="K179" i="10"/>
  <c r="C179" i="10"/>
  <c r="I179" i="10" s="1"/>
  <c r="M179" i="10"/>
  <c r="E179" i="10"/>
  <c r="BB180" i="10"/>
  <c r="BC180" i="10" s="1"/>
  <c r="A181" i="10"/>
  <c r="Y180" i="10"/>
  <c r="AS180" i="10"/>
  <c r="B180" i="10"/>
  <c r="AB42" i="10"/>
  <c r="AV41" i="10" s="1"/>
  <c r="S42" i="10"/>
  <c r="AM42" i="10"/>
  <c r="AC42" i="10"/>
  <c r="BA41" i="10" l="1"/>
  <c r="O171" i="10"/>
  <c r="P171" i="10" s="1"/>
  <c r="J172" i="10" s="1"/>
  <c r="L172" i="10" s="1"/>
  <c r="N172" i="10" s="1"/>
  <c r="AT171" i="10"/>
  <c r="AE171" i="10"/>
  <c r="AF171" i="10"/>
  <c r="K180" i="10"/>
  <c r="C180" i="10"/>
  <c r="I180" i="10" s="1"/>
  <c r="M180" i="10"/>
  <c r="E180" i="10"/>
  <c r="H179" i="10"/>
  <c r="D179" i="10"/>
  <c r="F179" i="10" s="1"/>
  <c r="G179" i="10" s="1"/>
  <c r="V179" i="10" s="1"/>
  <c r="AU170" i="10"/>
  <c r="BB181" i="10"/>
  <c r="BC181" i="10" s="1"/>
  <c r="AS181" i="10"/>
  <c r="A182" i="10"/>
  <c r="Y181" i="10"/>
  <c r="B181" i="10"/>
  <c r="AO41" i="10"/>
  <c r="AY41" i="10" s="1"/>
  <c r="AH41" i="10"/>
  <c r="AL41" i="10"/>
  <c r="AD42" i="10"/>
  <c r="T42" i="10"/>
  <c r="AQ42" i="10" s="1"/>
  <c r="U42" i="10"/>
  <c r="W42" i="10" s="1"/>
  <c r="AP42" i="10" s="1"/>
  <c r="R179" i="10"/>
  <c r="X42" i="10" l="1"/>
  <c r="O172" i="10"/>
  <c r="P172" i="10" s="1"/>
  <c r="J173" i="10" s="1"/>
  <c r="L173" i="10" s="1"/>
  <c r="N173" i="10" s="1"/>
  <c r="AT172" i="10"/>
  <c r="AE172" i="10"/>
  <c r="AF172" i="10"/>
  <c r="K181" i="10"/>
  <c r="C181" i="10"/>
  <c r="I181" i="10" s="1"/>
  <c r="M181" i="10"/>
  <c r="E181" i="10"/>
  <c r="Z42" i="10"/>
  <c r="AR42" i="10" s="1"/>
  <c r="AU171" i="10"/>
  <c r="R180" i="10"/>
  <c r="AN41" i="10"/>
  <c r="AW41" i="10" s="1"/>
  <c r="H180" i="10"/>
  <c r="D180" i="10"/>
  <c r="F180" i="10" s="1"/>
  <c r="G180" i="10" s="1"/>
  <c r="V180" i="10" s="1"/>
  <c r="BB182" i="10"/>
  <c r="BC182" i="10" s="1"/>
  <c r="A183" i="10"/>
  <c r="Y182" i="10"/>
  <c r="AS182" i="10"/>
  <c r="B182" i="10"/>
  <c r="AA42" i="10" l="1"/>
  <c r="AK42" i="10" s="1"/>
  <c r="AX42" i="10" s="1"/>
  <c r="Q43" i="10"/>
  <c r="AM43" i="10" s="1"/>
  <c r="O173" i="10"/>
  <c r="P173" i="10"/>
  <c r="J174" i="10" s="1"/>
  <c r="L174" i="10" s="1"/>
  <c r="N174" i="10" s="1"/>
  <c r="AE173" i="10"/>
  <c r="AT173" i="10"/>
  <c r="AF173" i="10"/>
  <c r="K182" i="10"/>
  <c r="C182" i="10"/>
  <c r="I182" i="10" s="1"/>
  <c r="M182" i="10"/>
  <c r="E182" i="10"/>
  <c r="AJ42" i="10"/>
  <c r="AI42" i="10"/>
  <c r="AG42" i="10"/>
  <c r="R181" i="10"/>
  <c r="H181" i="10"/>
  <c r="D181" i="10"/>
  <c r="F181" i="10" s="1"/>
  <c r="G181" i="10" s="1"/>
  <c r="V181" i="10" s="1"/>
  <c r="BD41" i="10"/>
  <c r="AZ41" i="10"/>
  <c r="AU172" i="10"/>
  <c r="BB183" i="10"/>
  <c r="BC183" i="10" s="1"/>
  <c r="AS183" i="10"/>
  <c r="A184" i="10"/>
  <c r="Y183" i="10"/>
  <c r="B183" i="10"/>
  <c r="AC43" i="10" l="1"/>
  <c r="AB43" i="10"/>
  <c r="AV42" i="10" s="1"/>
  <c r="S43" i="10"/>
  <c r="O174" i="10"/>
  <c r="P174" i="10" s="1"/>
  <c r="J175" i="10" s="1"/>
  <c r="L175" i="10" s="1"/>
  <c r="N175" i="10" s="1"/>
  <c r="AT174" i="10"/>
  <c r="AE174" i="10"/>
  <c r="AF174" i="10"/>
  <c r="AH42" i="10"/>
  <c r="AO42" i="10"/>
  <c r="AY42" i="10" s="1"/>
  <c r="AU173" i="10"/>
  <c r="H182" i="10"/>
  <c r="D182" i="10"/>
  <c r="F182" i="10" s="1"/>
  <c r="G182" i="10" s="1"/>
  <c r="V182" i="10" s="1"/>
  <c r="BA42" i="10"/>
  <c r="BB184" i="10"/>
  <c r="BC184" i="10" s="1"/>
  <c r="A185" i="10"/>
  <c r="Y184" i="10"/>
  <c r="AS184" i="10"/>
  <c r="B184" i="10"/>
  <c r="R182" i="10"/>
  <c r="T43" i="10"/>
  <c r="AQ43" i="10" s="1"/>
  <c r="AD43" i="10"/>
  <c r="U43" i="10"/>
  <c r="W43" i="10" s="1"/>
  <c r="AP43" i="10" s="1"/>
  <c r="K183" i="10"/>
  <c r="C183" i="10"/>
  <c r="I183" i="10" s="1"/>
  <c r="M183" i="10"/>
  <c r="E183" i="10"/>
  <c r="AL42" i="10"/>
  <c r="O175" i="10" l="1"/>
  <c r="P175" i="10"/>
  <c r="J176" i="10" s="1"/>
  <c r="L176" i="10" s="1"/>
  <c r="N176" i="10" s="1"/>
  <c r="AT175" i="10"/>
  <c r="AE175" i="10"/>
  <c r="AF175" i="10"/>
  <c r="K184" i="10"/>
  <c r="C184" i="10"/>
  <c r="I184" i="10" s="1"/>
  <c r="M184" i="10"/>
  <c r="E184" i="10"/>
  <c r="AU174" i="10"/>
  <c r="X43" i="10"/>
  <c r="BB185" i="10"/>
  <c r="BC185" i="10" s="1"/>
  <c r="AS185" i="10"/>
  <c r="A186" i="10"/>
  <c r="Y185" i="10"/>
  <c r="B185" i="10"/>
  <c r="R183" i="10"/>
  <c r="H183" i="10"/>
  <c r="D183" i="10"/>
  <c r="F183" i="10" s="1"/>
  <c r="G183" i="10" s="1"/>
  <c r="V183" i="10" s="1"/>
  <c r="AN42" i="10"/>
  <c r="AW42" i="10" s="1"/>
  <c r="O176" i="10" l="1"/>
  <c r="P176" i="10" s="1"/>
  <c r="J177" i="10" s="1"/>
  <c r="L177" i="10" s="1"/>
  <c r="N177" i="10" s="1"/>
  <c r="AT176" i="10"/>
  <c r="AE176" i="10"/>
  <c r="AF176" i="10"/>
  <c r="Z43" i="10"/>
  <c r="AR43" i="10" s="1"/>
  <c r="BD42" i="10"/>
  <c r="AZ42" i="10"/>
  <c r="R184" i="10"/>
  <c r="BB186" i="10"/>
  <c r="BC186" i="10" s="1"/>
  <c r="A187" i="10"/>
  <c r="Y186" i="10"/>
  <c r="AS186" i="10"/>
  <c r="B186" i="10"/>
  <c r="H184" i="10"/>
  <c r="D184" i="10"/>
  <c r="F184" i="10" s="1"/>
  <c r="G184" i="10" s="1"/>
  <c r="V184" i="10" s="1"/>
  <c r="AU175" i="10"/>
  <c r="K185" i="10"/>
  <c r="C185" i="10"/>
  <c r="I185" i="10" s="1"/>
  <c r="M185" i="10"/>
  <c r="E185" i="10"/>
  <c r="O177" i="10" l="1"/>
  <c r="P177" i="10"/>
  <c r="J178" i="10" s="1"/>
  <c r="L178" i="10" s="1"/>
  <c r="N178" i="10" s="1"/>
  <c r="AT177" i="10"/>
  <c r="AE177" i="10"/>
  <c r="AF177" i="10"/>
  <c r="K186" i="10"/>
  <c r="C186" i="10"/>
  <c r="I186" i="10" s="1"/>
  <c r="M186" i="10"/>
  <c r="E186" i="10"/>
  <c r="H185" i="10"/>
  <c r="D185" i="10"/>
  <c r="F185" i="10" s="1"/>
  <c r="G185" i="10" s="1"/>
  <c r="V185" i="10" s="1"/>
  <c r="AA43" i="10"/>
  <c r="Q44" i="10"/>
  <c r="R185" i="10"/>
  <c r="AU176" i="10"/>
  <c r="BB187" i="10"/>
  <c r="BC187" i="10" s="1"/>
  <c r="AS187" i="10"/>
  <c r="A188" i="10"/>
  <c r="Y187" i="10"/>
  <c r="B187" i="10"/>
  <c r="O178" i="10" l="1"/>
  <c r="P178" i="10" s="1"/>
  <c r="J179" i="10" s="1"/>
  <c r="L179" i="10" s="1"/>
  <c r="N179" i="10" s="1"/>
  <c r="AE178" i="10"/>
  <c r="AT178" i="10"/>
  <c r="AF178" i="10"/>
  <c r="AU177" i="10"/>
  <c r="R186" i="10"/>
  <c r="AJ43" i="10"/>
  <c r="AL43" i="10" s="1"/>
  <c r="AI43" i="10"/>
  <c r="AG43" i="10"/>
  <c r="AK43" i="10"/>
  <c r="AX43" i="10" s="1"/>
  <c r="H186" i="10"/>
  <c r="D186" i="10"/>
  <c r="F186" i="10" s="1"/>
  <c r="G186" i="10" s="1"/>
  <c r="V186" i="10" s="1"/>
  <c r="AB44" i="10"/>
  <c r="AV43" i="10" s="1"/>
  <c r="S44" i="10"/>
  <c r="AC44" i="10"/>
  <c r="AM44" i="10"/>
  <c r="BB188" i="10"/>
  <c r="BC188" i="10" s="1"/>
  <c r="A189" i="10"/>
  <c r="Y188" i="10"/>
  <c r="AS188" i="10"/>
  <c r="B188" i="10"/>
  <c r="K187" i="10"/>
  <c r="C187" i="10"/>
  <c r="I187" i="10" s="1"/>
  <c r="M187" i="10"/>
  <c r="E187" i="10"/>
  <c r="O179" i="10" l="1"/>
  <c r="P179" i="10"/>
  <c r="J180" i="10" s="1"/>
  <c r="L180" i="10" s="1"/>
  <c r="N180" i="10" s="1"/>
  <c r="AT179" i="10"/>
  <c r="AE179" i="10"/>
  <c r="AF179" i="10"/>
  <c r="AD44" i="10"/>
  <c r="T44" i="10"/>
  <c r="AQ44" i="10" s="1"/>
  <c r="U44" i="10"/>
  <c r="W44" i="10" s="1"/>
  <c r="AP44" i="10" s="1"/>
  <c r="H187" i="10"/>
  <c r="D187" i="10"/>
  <c r="F187" i="10" s="1"/>
  <c r="G187" i="10" s="1"/>
  <c r="V187" i="10" s="1"/>
  <c r="BA43" i="10"/>
  <c r="AH43" i="10"/>
  <c r="AN43" i="10" s="1"/>
  <c r="AW43" i="10" s="1"/>
  <c r="AO43" i="10"/>
  <c r="AY43" i="10" s="1"/>
  <c r="AU178" i="10"/>
  <c r="K188" i="10"/>
  <c r="C188" i="10"/>
  <c r="I188" i="10" s="1"/>
  <c r="M188" i="10"/>
  <c r="E188" i="10"/>
  <c r="BB189" i="10"/>
  <c r="BC189" i="10" s="1"/>
  <c r="AS189" i="10"/>
  <c r="A190" i="10"/>
  <c r="Y189" i="10"/>
  <c r="B189" i="10"/>
  <c r="R187" i="10"/>
  <c r="O180" i="10" l="1"/>
  <c r="P180" i="10" s="1"/>
  <c r="J181" i="10" s="1"/>
  <c r="L181" i="10" s="1"/>
  <c r="N181" i="10" s="1"/>
  <c r="AT180" i="10"/>
  <c r="AE180" i="10"/>
  <c r="AF180" i="10"/>
  <c r="R188" i="10"/>
  <c r="BD43" i="10"/>
  <c r="AZ43" i="10"/>
  <c r="X44" i="10"/>
  <c r="BB190" i="10"/>
  <c r="BC190" i="10" s="1"/>
  <c r="A191" i="10"/>
  <c r="Y190" i="10"/>
  <c r="AS190" i="10"/>
  <c r="B190" i="10"/>
  <c r="H188" i="10"/>
  <c r="D188" i="10"/>
  <c r="F188" i="10" s="1"/>
  <c r="G188" i="10" s="1"/>
  <c r="V188" i="10" s="1"/>
  <c r="K189" i="10"/>
  <c r="C189" i="10"/>
  <c r="I189" i="10" s="1"/>
  <c r="M189" i="10"/>
  <c r="E189" i="10"/>
  <c r="AU179" i="10"/>
  <c r="O181" i="10" l="1"/>
  <c r="P181" i="10" s="1"/>
  <c r="J182" i="10" s="1"/>
  <c r="L182" i="10" s="1"/>
  <c r="N182" i="10" s="1"/>
  <c r="AT181" i="10"/>
  <c r="AE181" i="10"/>
  <c r="AF181" i="10"/>
  <c r="Z44" i="10"/>
  <c r="AR44" i="10" s="1"/>
  <c r="K190" i="10"/>
  <c r="C190" i="10"/>
  <c r="I190" i="10" s="1"/>
  <c r="M190" i="10"/>
  <c r="E190" i="10"/>
  <c r="AU180" i="10"/>
  <c r="H189" i="10"/>
  <c r="D189" i="10"/>
  <c r="F189" i="10" s="1"/>
  <c r="G189" i="10" s="1"/>
  <c r="V189" i="10" s="1"/>
  <c r="R189" i="10"/>
  <c r="BB191" i="10"/>
  <c r="BC191" i="10" s="1"/>
  <c r="AS191" i="10"/>
  <c r="A192" i="10"/>
  <c r="Y191" i="10"/>
  <c r="B191" i="10"/>
  <c r="O182" i="10" l="1"/>
  <c r="P182" i="10" s="1"/>
  <c r="J183" i="10" s="1"/>
  <c r="L183" i="10" s="1"/>
  <c r="N183" i="10" s="1"/>
  <c r="AE182" i="10"/>
  <c r="AT182" i="10"/>
  <c r="AF182" i="10"/>
  <c r="Q45" i="10"/>
  <c r="R190" i="10"/>
  <c r="H190" i="10"/>
  <c r="D190" i="10"/>
  <c r="F190" i="10" s="1"/>
  <c r="G190" i="10" s="1"/>
  <c r="V190" i="10" s="1"/>
  <c r="K191" i="10"/>
  <c r="C191" i="10"/>
  <c r="I191" i="10" s="1"/>
  <c r="M191" i="10"/>
  <c r="E191" i="10"/>
  <c r="BB192" i="10"/>
  <c r="BC192" i="10" s="1"/>
  <c r="A193" i="10"/>
  <c r="Y192" i="10"/>
  <c r="AS192" i="10"/>
  <c r="B192" i="10"/>
  <c r="AA44" i="10"/>
  <c r="AU181" i="10"/>
  <c r="O183" i="10" l="1"/>
  <c r="P183" i="10" s="1"/>
  <c r="J184" i="10" s="1"/>
  <c r="L184" i="10" s="1"/>
  <c r="N184" i="10" s="1"/>
  <c r="AE183" i="10"/>
  <c r="AT183" i="10"/>
  <c r="AF183" i="10"/>
  <c r="AU182" i="10"/>
  <c r="H191" i="10"/>
  <c r="D191" i="10"/>
  <c r="F191" i="10" s="1"/>
  <c r="G191" i="10" s="1"/>
  <c r="V191" i="10" s="1"/>
  <c r="AM45" i="10"/>
  <c r="AC45" i="10"/>
  <c r="S45" i="10"/>
  <c r="AB45" i="10"/>
  <c r="AV44" i="10" s="1"/>
  <c r="BB193" i="10"/>
  <c r="BC193" i="10" s="1"/>
  <c r="AS193" i="10"/>
  <c r="A194" i="10"/>
  <c r="Y193" i="10"/>
  <c r="B193" i="10"/>
  <c r="K192" i="10"/>
  <c r="C192" i="10"/>
  <c r="I192" i="10" s="1"/>
  <c r="M192" i="10"/>
  <c r="E192" i="10"/>
  <c r="R191" i="10"/>
  <c r="AI44" i="10"/>
  <c r="AJ44" i="10"/>
  <c r="AG44" i="10"/>
  <c r="AK44" i="10"/>
  <c r="AX44" i="10" s="1"/>
  <c r="BA44" i="10" l="1"/>
  <c r="O184" i="10"/>
  <c r="P184" i="10" s="1"/>
  <c r="J185" i="10" s="1"/>
  <c r="L185" i="10" s="1"/>
  <c r="N185" i="10" s="1"/>
  <c r="AT184" i="10"/>
  <c r="AE184" i="10"/>
  <c r="AF184" i="10"/>
  <c r="BB194" i="10"/>
  <c r="BC194" i="10" s="1"/>
  <c r="A195" i="10"/>
  <c r="Y194" i="10"/>
  <c r="AS194" i="10"/>
  <c r="B194" i="10"/>
  <c r="AU183" i="10"/>
  <c r="AH44" i="10"/>
  <c r="AO44" i="10"/>
  <c r="AY44" i="10" s="1"/>
  <c r="H192" i="10"/>
  <c r="D192" i="10"/>
  <c r="F192" i="10" s="1"/>
  <c r="G192" i="10" s="1"/>
  <c r="V192" i="10" s="1"/>
  <c r="AL44" i="10"/>
  <c r="K193" i="10"/>
  <c r="C193" i="10"/>
  <c r="I193" i="10" s="1"/>
  <c r="M193" i="10"/>
  <c r="E193" i="10"/>
  <c r="AD45" i="10"/>
  <c r="T45" i="10"/>
  <c r="AQ45" i="10" s="1"/>
  <c r="U45" i="10"/>
  <c r="W45" i="10" s="1"/>
  <c r="AP45" i="10" s="1"/>
  <c r="R192" i="10"/>
  <c r="O185" i="10" l="1"/>
  <c r="P185" i="10" s="1"/>
  <c r="J186" i="10" s="1"/>
  <c r="L186" i="10" s="1"/>
  <c r="N186" i="10" s="1"/>
  <c r="AE185" i="10"/>
  <c r="AT185" i="10"/>
  <c r="AF185" i="10"/>
  <c r="R193" i="10"/>
  <c r="BB195" i="10"/>
  <c r="BC195" i="10" s="1"/>
  <c r="AS195" i="10"/>
  <c r="A196" i="10"/>
  <c r="Y195" i="10"/>
  <c r="B195" i="10"/>
  <c r="AN44" i="10"/>
  <c r="AW44" i="10" s="1"/>
  <c r="H193" i="10"/>
  <c r="D193" i="10"/>
  <c r="F193" i="10" s="1"/>
  <c r="G193" i="10" s="1"/>
  <c r="V193" i="10" s="1"/>
  <c r="AU184" i="10"/>
  <c r="X45" i="10"/>
  <c r="K194" i="10"/>
  <c r="C194" i="10"/>
  <c r="I194" i="10" s="1"/>
  <c r="M194" i="10"/>
  <c r="E194" i="10"/>
  <c r="O186" i="10" l="1"/>
  <c r="P186" i="10" s="1"/>
  <c r="J187" i="10" s="1"/>
  <c r="L187" i="10" s="1"/>
  <c r="N187" i="10" s="1"/>
  <c r="AE186" i="10"/>
  <c r="AT186" i="10"/>
  <c r="AF186" i="10"/>
  <c r="BD44" i="10"/>
  <c r="AZ44" i="10"/>
  <c r="AU185" i="10"/>
  <c r="K195" i="10"/>
  <c r="C195" i="10"/>
  <c r="I195" i="10" s="1"/>
  <c r="M195" i="10"/>
  <c r="E195" i="10"/>
  <c r="R194" i="10"/>
  <c r="H194" i="10"/>
  <c r="D194" i="10"/>
  <c r="F194" i="10" s="1"/>
  <c r="G194" i="10" s="1"/>
  <c r="V194" i="10" s="1"/>
  <c r="Z45" i="10"/>
  <c r="AR45" i="10" s="1"/>
  <c r="BB196" i="10"/>
  <c r="BC196" i="10" s="1"/>
  <c r="A197" i="10"/>
  <c r="Y196" i="10"/>
  <c r="AS196" i="10"/>
  <c r="B196" i="10"/>
  <c r="O187" i="10" l="1"/>
  <c r="P187" i="10" s="1"/>
  <c r="J188" i="10" s="1"/>
  <c r="L188" i="10" s="1"/>
  <c r="N188" i="10" s="1"/>
  <c r="AT187" i="10"/>
  <c r="AE187" i="10"/>
  <c r="AF187" i="10"/>
  <c r="H195" i="10"/>
  <c r="D195" i="10"/>
  <c r="F195" i="10" s="1"/>
  <c r="G195" i="10" s="1"/>
  <c r="V195" i="10" s="1"/>
  <c r="BB197" i="10"/>
  <c r="BC197" i="10" s="1"/>
  <c r="AS197" i="10"/>
  <c r="A198" i="10"/>
  <c r="Y197" i="10"/>
  <c r="B197" i="10"/>
  <c r="AA45" i="10"/>
  <c r="Q46" i="10"/>
  <c r="K196" i="10"/>
  <c r="C196" i="10"/>
  <c r="I196" i="10" s="1"/>
  <c r="M196" i="10"/>
  <c r="E196" i="10"/>
  <c r="R195" i="10"/>
  <c r="AU186" i="10"/>
  <c r="O188" i="10" l="1"/>
  <c r="P188" i="10" s="1"/>
  <c r="J189" i="10" s="1"/>
  <c r="L189" i="10" s="1"/>
  <c r="N189" i="10" s="1"/>
  <c r="AE188" i="10"/>
  <c r="AT188" i="10"/>
  <c r="AF188" i="10"/>
  <c r="H196" i="10"/>
  <c r="D196" i="10"/>
  <c r="F196" i="10" s="1"/>
  <c r="G196" i="10" s="1"/>
  <c r="V196" i="10" s="1"/>
  <c r="BB198" i="10"/>
  <c r="BC198" i="10" s="1"/>
  <c r="A199" i="10"/>
  <c r="Y198" i="10"/>
  <c r="AS198" i="10"/>
  <c r="B198" i="10"/>
  <c r="AU187" i="10"/>
  <c r="AJ45" i="10"/>
  <c r="AI45" i="10"/>
  <c r="AG45" i="10"/>
  <c r="AK45" i="10"/>
  <c r="AX45" i="10" s="1"/>
  <c r="R196" i="10"/>
  <c r="K197" i="10"/>
  <c r="C197" i="10"/>
  <c r="I197" i="10" s="1"/>
  <c r="M197" i="10"/>
  <c r="E197" i="10"/>
  <c r="AB46" i="10"/>
  <c r="AV45" i="10" s="1"/>
  <c r="AC46" i="10"/>
  <c r="AM46" i="10"/>
  <c r="S46" i="10"/>
  <c r="O189" i="10" l="1"/>
  <c r="P189" i="10" s="1"/>
  <c r="J190" i="10" s="1"/>
  <c r="L190" i="10" s="1"/>
  <c r="N190" i="10" s="1"/>
  <c r="AE189" i="10"/>
  <c r="AT189" i="10"/>
  <c r="AF189" i="10"/>
  <c r="K198" i="10"/>
  <c r="C198" i="10"/>
  <c r="I198" i="10" s="1"/>
  <c r="M198" i="10"/>
  <c r="E198" i="10"/>
  <c r="R197" i="10"/>
  <c r="BB199" i="10"/>
  <c r="BC199" i="10" s="1"/>
  <c r="AS199" i="10"/>
  <c r="A200" i="10"/>
  <c r="Y199" i="10"/>
  <c r="B199" i="10"/>
  <c r="BA45" i="10"/>
  <c r="AL45" i="10"/>
  <c r="AD46" i="10"/>
  <c r="T46" i="10"/>
  <c r="AQ46" i="10" s="1"/>
  <c r="U46" i="10"/>
  <c r="W46" i="10" s="1"/>
  <c r="AP46" i="10" s="1"/>
  <c r="AO45" i="10"/>
  <c r="AY45" i="10" s="1"/>
  <c r="AH45" i="10"/>
  <c r="AU188" i="10"/>
  <c r="H197" i="10"/>
  <c r="D197" i="10"/>
  <c r="F197" i="10" s="1"/>
  <c r="G197" i="10" s="1"/>
  <c r="V197" i="10" s="1"/>
  <c r="AN45" i="10" l="1"/>
  <c r="AW45" i="10" s="1"/>
  <c r="AZ45" i="10" s="1"/>
  <c r="O190" i="10"/>
  <c r="P190" i="10" s="1"/>
  <c r="J191" i="10" s="1"/>
  <c r="L191" i="10" s="1"/>
  <c r="N191" i="10" s="1"/>
  <c r="AT190" i="10"/>
  <c r="AE190" i="10"/>
  <c r="AF190" i="10"/>
  <c r="K199" i="10"/>
  <c r="C199" i="10"/>
  <c r="I199" i="10" s="1"/>
  <c r="M199" i="10"/>
  <c r="E199" i="10"/>
  <c r="BB200" i="10"/>
  <c r="BC200" i="10" s="1"/>
  <c r="A201" i="10"/>
  <c r="Y200" i="10"/>
  <c r="AS200" i="10"/>
  <c r="B200" i="10"/>
  <c r="BD45" i="10"/>
  <c r="AU189" i="10"/>
  <c r="R198" i="10"/>
  <c r="X46" i="10"/>
  <c r="H198" i="10"/>
  <c r="D198" i="10"/>
  <c r="F198" i="10" s="1"/>
  <c r="G198" i="10" s="1"/>
  <c r="V198" i="10" s="1"/>
  <c r="O191" i="10" l="1"/>
  <c r="P191" i="10"/>
  <c r="J192" i="10" s="1"/>
  <c r="L192" i="10" s="1"/>
  <c r="N192" i="10" s="1"/>
  <c r="AT191" i="10"/>
  <c r="AE191" i="10"/>
  <c r="AF191" i="10"/>
  <c r="R199" i="10"/>
  <c r="BB201" i="10"/>
  <c r="BC201" i="10" s="1"/>
  <c r="AS201" i="10"/>
  <c r="A202" i="10"/>
  <c r="Y201" i="10"/>
  <c r="B201" i="10"/>
  <c r="H199" i="10"/>
  <c r="D199" i="10"/>
  <c r="F199" i="10" s="1"/>
  <c r="G199" i="10" s="1"/>
  <c r="V199" i="10" s="1"/>
  <c r="Z46" i="10"/>
  <c r="AR46" i="10" s="1"/>
  <c r="AU190" i="10"/>
  <c r="K200" i="10"/>
  <c r="C200" i="10"/>
  <c r="I200" i="10" s="1"/>
  <c r="M200" i="10"/>
  <c r="E200" i="10"/>
  <c r="O192" i="10" l="1"/>
  <c r="P192" i="10" s="1"/>
  <c r="J193" i="10" s="1"/>
  <c r="L193" i="10" s="1"/>
  <c r="N193" i="10" s="1"/>
  <c r="AT192" i="10"/>
  <c r="AE192" i="10"/>
  <c r="AF192" i="10"/>
  <c r="BB202" i="10"/>
  <c r="BC202" i="10" s="1"/>
  <c r="A203" i="10"/>
  <c r="Y202" i="10"/>
  <c r="AS202" i="10"/>
  <c r="B202" i="10"/>
  <c r="AU191" i="10"/>
  <c r="AA46" i="10"/>
  <c r="H200" i="10"/>
  <c r="D200" i="10"/>
  <c r="F200" i="10" s="1"/>
  <c r="G200" i="10" s="1"/>
  <c r="V200" i="10" s="1"/>
  <c r="K201" i="10"/>
  <c r="C201" i="10"/>
  <c r="I201" i="10" s="1"/>
  <c r="M201" i="10"/>
  <c r="E201" i="10"/>
  <c r="Q47" i="10"/>
  <c r="R200" i="10"/>
  <c r="O193" i="10" l="1"/>
  <c r="P193" i="10" s="1"/>
  <c r="J194" i="10" s="1"/>
  <c r="L194" i="10" s="1"/>
  <c r="N194" i="10" s="1"/>
  <c r="AE193" i="10"/>
  <c r="AT193" i="10"/>
  <c r="AF193" i="10"/>
  <c r="H201" i="10"/>
  <c r="D201" i="10"/>
  <c r="F201" i="10" s="1"/>
  <c r="G201" i="10" s="1"/>
  <c r="V201" i="10" s="1"/>
  <c r="K202" i="10"/>
  <c r="C202" i="10"/>
  <c r="I202" i="10" s="1"/>
  <c r="M202" i="10"/>
  <c r="E202" i="10"/>
  <c r="AB47" i="10"/>
  <c r="AV46" i="10" s="1"/>
  <c r="AC47" i="10"/>
  <c r="S47" i="10"/>
  <c r="AM47" i="10"/>
  <c r="BB203" i="10"/>
  <c r="BC203" i="10" s="1"/>
  <c r="AS203" i="10"/>
  <c r="A204" i="10"/>
  <c r="Y203" i="10"/>
  <c r="B203" i="10"/>
  <c r="AU192" i="10"/>
  <c r="R201" i="10"/>
  <c r="AJ46" i="10"/>
  <c r="AI46" i="10"/>
  <c r="AG46" i="10"/>
  <c r="AK46" i="10"/>
  <c r="AX46" i="10" s="1"/>
  <c r="O194" i="10" l="1"/>
  <c r="P194" i="10" s="1"/>
  <c r="J195" i="10" s="1"/>
  <c r="L195" i="10" s="1"/>
  <c r="N195" i="10" s="1"/>
  <c r="AT194" i="10"/>
  <c r="AE194" i="10"/>
  <c r="AF194" i="10"/>
  <c r="K203" i="10"/>
  <c r="C203" i="10"/>
  <c r="I203" i="10" s="1"/>
  <c r="M203" i="10"/>
  <c r="E203" i="10"/>
  <c r="H202" i="10"/>
  <c r="D202" i="10"/>
  <c r="F202" i="10" s="1"/>
  <c r="G202" i="10" s="1"/>
  <c r="V202" i="10" s="1"/>
  <c r="R202" i="10"/>
  <c r="BB204" i="10"/>
  <c r="BC204" i="10" s="1"/>
  <c r="A205" i="10"/>
  <c r="Y204" i="10"/>
  <c r="AS204" i="10"/>
  <c r="B204" i="10"/>
  <c r="AU193" i="10"/>
  <c r="AO46" i="10"/>
  <c r="AY46" i="10" s="1"/>
  <c r="AH46" i="10"/>
  <c r="AD47" i="10"/>
  <c r="T47" i="10"/>
  <c r="AQ47" i="10" s="1"/>
  <c r="U47" i="10"/>
  <c r="W47" i="10" s="1"/>
  <c r="AP47" i="10" s="1"/>
  <c r="AL46" i="10"/>
  <c r="BA46" i="10"/>
  <c r="AN46" i="10" l="1"/>
  <c r="AW46" i="10" s="1"/>
  <c r="X47" i="10"/>
  <c r="O195" i="10"/>
  <c r="P195" i="10"/>
  <c r="J196" i="10" s="1"/>
  <c r="L196" i="10" s="1"/>
  <c r="N196" i="10" s="1"/>
  <c r="AE195" i="10"/>
  <c r="AT195" i="10"/>
  <c r="AF195" i="10"/>
  <c r="K204" i="10"/>
  <c r="C204" i="10"/>
  <c r="I204" i="10" s="1"/>
  <c r="M204" i="10"/>
  <c r="E204" i="10"/>
  <c r="Z47" i="10"/>
  <c r="AR47" i="10" s="1"/>
  <c r="BD46" i="10"/>
  <c r="AZ46" i="10"/>
  <c r="R203" i="10"/>
  <c r="BB205" i="10"/>
  <c r="BC205" i="10" s="1"/>
  <c r="AS205" i="10"/>
  <c r="A206" i="10"/>
  <c r="Y205" i="10"/>
  <c r="B205" i="10"/>
  <c r="AU194" i="10"/>
  <c r="H203" i="10"/>
  <c r="D203" i="10"/>
  <c r="F203" i="10" s="1"/>
  <c r="G203" i="10" s="1"/>
  <c r="V203" i="10" s="1"/>
  <c r="Q48" i="10" l="1"/>
  <c r="AB48" i="10" s="1"/>
  <c r="AV47" i="10" s="1"/>
  <c r="O196" i="10"/>
  <c r="P196" i="10" s="1"/>
  <c r="J197" i="10" s="1"/>
  <c r="L197" i="10" s="1"/>
  <c r="N197" i="10" s="1"/>
  <c r="AE196" i="10"/>
  <c r="AT196" i="10"/>
  <c r="AF196" i="10"/>
  <c r="AU195" i="10"/>
  <c r="BB206" i="10"/>
  <c r="BC206" i="10" s="1"/>
  <c r="AS206" i="10"/>
  <c r="A207" i="10"/>
  <c r="Y206" i="10"/>
  <c r="B206" i="10"/>
  <c r="AA47" i="10"/>
  <c r="AM48" i="10"/>
  <c r="AC48" i="10"/>
  <c r="S48" i="10"/>
  <c r="R204" i="10"/>
  <c r="K205" i="10"/>
  <c r="C205" i="10"/>
  <c r="I205" i="10" s="1"/>
  <c r="M205" i="10"/>
  <c r="E205" i="10"/>
  <c r="H204" i="10"/>
  <c r="D204" i="10"/>
  <c r="F204" i="10" s="1"/>
  <c r="G204" i="10" s="1"/>
  <c r="V204" i="10" s="1"/>
  <c r="O197" i="10" l="1"/>
  <c r="P197" i="10" s="1"/>
  <c r="J198" i="10" s="1"/>
  <c r="L198" i="10" s="1"/>
  <c r="N198" i="10" s="1"/>
  <c r="AT197" i="10"/>
  <c r="AE197" i="10"/>
  <c r="AF197" i="10"/>
  <c r="H205" i="10"/>
  <c r="D205" i="10"/>
  <c r="F205" i="10" s="1"/>
  <c r="G205" i="10" s="1"/>
  <c r="V205" i="10" s="1"/>
  <c r="R205" i="10"/>
  <c r="Y207" i="10"/>
  <c r="BB207" i="10"/>
  <c r="BC207" i="10" s="1"/>
  <c r="A208" i="10"/>
  <c r="AS207" i="10"/>
  <c r="B207" i="10"/>
  <c r="AU196" i="10"/>
  <c r="AJ47" i="10"/>
  <c r="AI47" i="10"/>
  <c r="AG47" i="10"/>
  <c r="AK47" i="10"/>
  <c r="AX47" i="10" s="1"/>
  <c r="AD48" i="10"/>
  <c r="T48" i="10"/>
  <c r="AQ48" i="10" s="1"/>
  <c r="U48" i="10"/>
  <c r="W48" i="10" s="1"/>
  <c r="AP48" i="10" s="1"/>
  <c r="K206" i="10"/>
  <c r="C206" i="10"/>
  <c r="I206" i="10" s="1"/>
  <c r="M206" i="10"/>
  <c r="E206" i="10"/>
  <c r="AL47" i="10" l="1"/>
  <c r="O198" i="10"/>
  <c r="P198" i="10" s="1"/>
  <c r="J199" i="10" s="1"/>
  <c r="L199" i="10" s="1"/>
  <c r="N199" i="10" s="1"/>
  <c r="AT198" i="10"/>
  <c r="AE198" i="10"/>
  <c r="AF198" i="10"/>
  <c r="H206" i="10"/>
  <c r="D206" i="10"/>
  <c r="F206" i="10" s="1"/>
  <c r="G206" i="10" s="1"/>
  <c r="V206" i="10" s="1"/>
  <c r="AU197" i="10"/>
  <c r="X48" i="10"/>
  <c r="BB208" i="10"/>
  <c r="BC208" i="10" s="1"/>
  <c r="AS208" i="10"/>
  <c r="A209" i="10"/>
  <c r="Y208" i="10"/>
  <c r="B208" i="10"/>
  <c r="BA47" i="10"/>
  <c r="R206" i="10"/>
  <c r="AO47" i="10"/>
  <c r="AY47" i="10" s="1"/>
  <c r="AH47" i="10"/>
  <c r="AN47" i="10" s="1"/>
  <c r="AW47" i="10" s="1"/>
  <c r="K207" i="10"/>
  <c r="C207" i="10"/>
  <c r="I207" i="10" s="1"/>
  <c r="M207" i="10"/>
  <c r="E207" i="10"/>
  <c r="O199" i="10" l="1"/>
  <c r="P199" i="10"/>
  <c r="J200" i="10" s="1"/>
  <c r="L200" i="10" s="1"/>
  <c r="N200" i="10" s="1"/>
  <c r="AT199" i="10"/>
  <c r="AE199" i="10"/>
  <c r="AF199" i="10"/>
  <c r="AU198" i="10"/>
  <c r="R207" i="10"/>
  <c r="BD47" i="10"/>
  <c r="AZ47" i="10"/>
  <c r="A210" i="10"/>
  <c r="Y209" i="10"/>
  <c r="BB209" i="10"/>
  <c r="BC209" i="10" s="1"/>
  <c r="AS209" i="10"/>
  <c r="B209" i="10"/>
  <c r="Z48" i="10"/>
  <c r="AR48" i="10" s="1"/>
  <c r="H207" i="10"/>
  <c r="D207" i="10"/>
  <c r="F207" i="10" s="1"/>
  <c r="G207" i="10" s="1"/>
  <c r="V207" i="10" s="1"/>
  <c r="K208" i="10"/>
  <c r="C208" i="10"/>
  <c r="I208" i="10" s="1"/>
  <c r="M208" i="10"/>
  <c r="E208" i="10"/>
  <c r="O200" i="10" l="1"/>
  <c r="P200" i="10" s="1"/>
  <c r="J201" i="10" s="1"/>
  <c r="L201" i="10" s="1"/>
  <c r="N201" i="10" s="1"/>
  <c r="AE200" i="10"/>
  <c r="AT200" i="10"/>
  <c r="AF200" i="10"/>
  <c r="H208" i="10"/>
  <c r="D208" i="10"/>
  <c r="F208" i="10" s="1"/>
  <c r="G208" i="10" s="1"/>
  <c r="V208" i="10" s="1"/>
  <c r="K209" i="10"/>
  <c r="C209" i="10"/>
  <c r="I209" i="10" s="1"/>
  <c r="M209" i="10"/>
  <c r="E209" i="10"/>
  <c r="AU199" i="10"/>
  <c r="R208" i="10"/>
  <c r="AA48" i="10"/>
  <c r="A211" i="10"/>
  <c r="BB210" i="10"/>
  <c r="BC210" i="10" s="1"/>
  <c r="AS210" i="10"/>
  <c r="Y210" i="10"/>
  <c r="B210" i="10"/>
  <c r="Q49" i="10"/>
  <c r="O201" i="10" l="1"/>
  <c r="P201" i="10" s="1"/>
  <c r="J202" i="10" s="1"/>
  <c r="L202" i="10" s="1"/>
  <c r="N202" i="10" s="1"/>
  <c r="AT201" i="10"/>
  <c r="AE201" i="10"/>
  <c r="AF201" i="10"/>
  <c r="AJ48" i="10"/>
  <c r="AI48" i="10"/>
  <c r="AG48" i="10"/>
  <c r="AK48" i="10"/>
  <c r="AX48" i="10" s="1"/>
  <c r="AU200" i="10"/>
  <c r="H209" i="10"/>
  <c r="D209" i="10"/>
  <c r="F209" i="10" s="1"/>
  <c r="G209" i="10" s="1"/>
  <c r="V209" i="10" s="1"/>
  <c r="AM49" i="10"/>
  <c r="S49" i="10"/>
  <c r="AC49" i="10"/>
  <c r="BA48" i="10" s="1"/>
  <c r="AB49" i="10"/>
  <c r="AV48" i="10" s="1"/>
  <c r="R209" i="10"/>
  <c r="K210" i="10"/>
  <c r="C210" i="10"/>
  <c r="I210" i="10" s="1"/>
  <c r="M210" i="10"/>
  <c r="E210" i="10"/>
  <c r="A212" i="10"/>
  <c r="AS211" i="10"/>
  <c r="BB211" i="10"/>
  <c r="BC211" i="10" s="1"/>
  <c r="Y211" i="10"/>
  <c r="B211" i="10"/>
  <c r="O202" i="10" l="1"/>
  <c r="P202" i="10" s="1"/>
  <c r="J203" i="10" s="1"/>
  <c r="L203" i="10" s="1"/>
  <c r="N203" i="10" s="1"/>
  <c r="AE202" i="10"/>
  <c r="AT202" i="10"/>
  <c r="AF202" i="10"/>
  <c r="K211" i="10"/>
  <c r="C211" i="10"/>
  <c r="I211" i="10" s="1"/>
  <c r="M211" i="10"/>
  <c r="E211" i="10"/>
  <c r="T49" i="10"/>
  <c r="AQ49" i="10" s="1"/>
  <c r="AD49" i="10"/>
  <c r="U49" i="10"/>
  <c r="W49" i="10" s="1"/>
  <c r="AP49" i="10" s="1"/>
  <c r="BB212" i="10"/>
  <c r="BC212" i="10" s="1"/>
  <c r="AS212" i="10"/>
  <c r="Y212" i="10"/>
  <c r="A213" i="10"/>
  <c r="B212" i="10"/>
  <c r="AL48" i="10"/>
  <c r="R210" i="10"/>
  <c r="AO48" i="10"/>
  <c r="AY48" i="10" s="1"/>
  <c r="AH48" i="10"/>
  <c r="AN48" i="10" s="1"/>
  <c r="AW48" i="10" s="1"/>
  <c r="AU201" i="10"/>
  <c r="H210" i="10"/>
  <c r="D210" i="10"/>
  <c r="F210" i="10" s="1"/>
  <c r="G210" i="10" s="1"/>
  <c r="V210" i="10" s="1"/>
  <c r="O203" i="10" l="1"/>
  <c r="P203" i="10" s="1"/>
  <c r="J204" i="10" s="1"/>
  <c r="L204" i="10" s="1"/>
  <c r="N204" i="10" s="1"/>
  <c r="AT203" i="10"/>
  <c r="AE203" i="10"/>
  <c r="AF203" i="10"/>
  <c r="K212" i="10"/>
  <c r="C212" i="10"/>
  <c r="I212" i="10" s="1"/>
  <c r="M212" i="10"/>
  <c r="E212" i="10"/>
  <c r="H211" i="10"/>
  <c r="D211" i="10"/>
  <c r="F211" i="10" s="1"/>
  <c r="G211" i="10" s="1"/>
  <c r="V211" i="10" s="1"/>
  <c r="X49" i="10"/>
  <c r="BD48" i="10"/>
  <c r="AZ48" i="10"/>
  <c r="BB213" i="10"/>
  <c r="BC213" i="10" s="1"/>
  <c r="AS213" i="10"/>
  <c r="Y213" i="10"/>
  <c r="A214" i="10"/>
  <c r="B213" i="10"/>
  <c r="R211" i="10"/>
  <c r="AU202" i="10"/>
  <c r="O204" i="10" l="1"/>
  <c r="P204" i="10" s="1"/>
  <c r="J205" i="10" s="1"/>
  <c r="L205" i="10" s="1"/>
  <c r="N205" i="10" s="1"/>
  <c r="AE204" i="10"/>
  <c r="AT204" i="10"/>
  <c r="AF204" i="10"/>
  <c r="AU203" i="10"/>
  <c r="K213" i="10"/>
  <c r="C213" i="10"/>
  <c r="I213" i="10" s="1"/>
  <c r="M213" i="10"/>
  <c r="E213" i="10"/>
  <c r="BB214" i="10"/>
  <c r="BC214" i="10" s="1"/>
  <c r="AS214" i="10"/>
  <c r="Y214" i="10"/>
  <c r="A215" i="10"/>
  <c r="B214" i="10"/>
  <c r="H212" i="10"/>
  <c r="D212" i="10"/>
  <c r="F212" i="10" s="1"/>
  <c r="G212" i="10" s="1"/>
  <c r="V212" i="10" s="1"/>
  <c r="R212" i="10"/>
  <c r="Z49" i="10"/>
  <c r="AR49" i="10" s="1"/>
  <c r="O205" i="10" l="1"/>
  <c r="P205" i="10" s="1"/>
  <c r="J206" i="10" s="1"/>
  <c r="L206" i="10" s="1"/>
  <c r="N206" i="10" s="1"/>
  <c r="AT205" i="10"/>
  <c r="AE205" i="10"/>
  <c r="AF205" i="10"/>
  <c r="R213" i="10"/>
  <c r="AU204" i="10"/>
  <c r="AA49" i="10"/>
  <c r="Q50" i="10"/>
  <c r="K214" i="10"/>
  <c r="C214" i="10"/>
  <c r="I214" i="10" s="1"/>
  <c r="M214" i="10"/>
  <c r="E214" i="10"/>
  <c r="H213" i="10"/>
  <c r="D213" i="10"/>
  <c r="F213" i="10" s="1"/>
  <c r="G213" i="10" s="1"/>
  <c r="V213" i="10" s="1"/>
  <c r="Y215" i="10"/>
  <c r="AS215" i="10"/>
  <c r="A216" i="10"/>
  <c r="BB215" i="10"/>
  <c r="BC215" i="10" s="1"/>
  <c r="B215" i="10"/>
  <c r="O206" i="10" l="1"/>
  <c r="P206" i="10" s="1"/>
  <c r="J207" i="10" s="1"/>
  <c r="L207" i="10" s="1"/>
  <c r="N207" i="10" s="1"/>
  <c r="AE206" i="10"/>
  <c r="AT206" i="10"/>
  <c r="AF206" i="10"/>
  <c r="AJ49" i="10"/>
  <c r="AI49" i="10"/>
  <c r="AG49" i="10"/>
  <c r="AK49" i="10"/>
  <c r="AX49" i="10" s="1"/>
  <c r="AU205" i="10"/>
  <c r="K215" i="10"/>
  <c r="C215" i="10"/>
  <c r="I215" i="10" s="1"/>
  <c r="M215" i="10"/>
  <c r="E215" i="10"/>
  <c r="R214" i="10"/>
  <c r="AM50" i="10"/>
  <c r="AB50" i="10"/>
  <c r="AV49" i="10" s="1"/>
  <c r="S50" i="10"/>
  <c r="AC50" i="10"/>
  <c r="BB216" i="10"/>
  <c r="BC216" i="10" s="1"/>
  <c r="AS216" i="10"/>
  <c r="Y216" i="10"/>
  <c r="A217" i="10"/>
  <c r="B216" i="10"/>
  <c r="H214" i="10"/>
  <c r="D214" i="10"/>
  <c r="F214" i="10" s="1"/>
  <c r="G214" i="10" s="1"/>
  <c r="V214" i="10" s="1"/>
  <c r="BA49" i="10" l="1"/>
  <c r="O207" i="10"/>
  <c r="P207" i="10" s="1"/>
  <c r="J208" i="10" s="1"/>
  <c r="L208" i="10" s="1"/>
  <c r="N208" i="10" s="1"/>
  <c r="AT207" i="10"/>
  <c r="AE207" i="10"/>
  <c r="AF207" i="10"/>
  <c r="AU206" i="10"/>
  <c r="AO49" i="10"/>
  <c r="AY49" i="10" s="1"/>
  <c r="AH49" i="10"/>
  <c r="K216" i="10"/>
  <c r="C216" i="10"/>
  <c r="I216" i="10" s="1"/>
  <c r="M216" i="10"/>
  <c r="E216" i="10"/>
  <c r="R215" i="10"/>
  <c r="A218" i="10"/>
  <c r="Y217" i="10"/>
  <c r="AS217" i="10"/>
  <c r="BB217" i="10"/>
  <c r="BC217" i="10" s="1"/>
  <c r="B217" i="10"/>
  <c r="AL49" i="10"/>
  <c r="AD50" i="10"/>
  <c r="T50" i="10"/>
  <c r="AQ50" i="10" s="1"/>
  <c r="U50" i="10"/>
  <c r="W50" i="10" s="1"/>
  <c r="AP50" i="10" s="1"/>
  <c r="H215" i="10"/>
  <c r="D215" i="10"/>
  <c r="F215" i="10" s="1"/>
  <c r="G215" i="10" s="1"/>
  <c r="V215" i="10" s="1"/>
  <c r="X50" i="10" l="1"/>
  <c r="Z50" i="10" s="1"/>
  <c r="AR50" i="10" s="1"/>
  <c r="AN49" i="10"/>
  <c r="AW49" i="10" s="1"/>
  <c r="AZ49" i="10" s="1"/>
  <c r="O208" i="10"/>
  <c r="P208" i="10" s="1"/>
  <c r="J209" i="10" s="1"/>
  <c r="L209" i="10" s="1"/>
  <c r="N209" i="10" s="1"/>
  <c r="AE208" i="10"/>
  <c r="AT208" i="10"/>
  <c r="AF208" i="10"/>
  <c r="K217" i="10"/>
  <c r="C217" i="10"/>
  <c r="I217" i="10" s="1"/>
  <c r="M217" i="10"/>
  <c r="E217" i="10"/>
  <c r="R216" i="10"/>
  <c r="H216" i="10"/>
  <c r="D216" i="10"/>
  <c r="F216" i="10" s="1"/>
  <c r="G216" i="10" s="1"/>
  <c r="V216" i="10" s="1"/>
  <c r="AU207" i="10"/>
  <c r="A219" i="10"/>
  <c r="Y218" i="10"/>
  <c r="BB218" i="10"/>
  <c r="BC218" i="10" s="1"/>
  <c r="AS218" i="10"/>
  <c r="B218" i="10"/>
  <c r="BD49" i="10" l="1"/>
  <c r="O209" i="10"/>
  <c r="P209" i="10" s="1"/>
  <c r="J210" i="10" s="1"/>
  <c r="L210" i="10" s="1"/>
  <c r="N210" i="10" s="1"/>
  <c r="AT209" i="10"/>
  <c r="AE209" i="10"/>
  <c r="AF209" i="10"/>
  <c r="A220" i="10"/>
  <c r="BB219" i="10"/>
  <c r="BC219" i="10" s="1"/>
  <c r="AS219" i="10"/>
  <c r="Y219" i="10"/>
  <c r="B219" i="10"/>
  <c r="K218" i="10"/>
  <c r="C218" i="10"/>
  <c r="I218" i="10" s="1"/>
  <c r="M218" i="10"/>
  <c r="E218" i="10"/>
  <c r="R217" i="10"/>
  <c r="H217" i="10"/>
  <c r="D217" i="10"/>
  <c r="F217" i="10" s="1"/>
  <c r="G217" i="10" s="1"/>
  <c r="V217" i="10" s="1"/>
  <c r="AU208" i="10"/>
  <c r="AA50" i="10"/>
  <c r="Q51" i="10"/>
  <c r="O210" i="10" l="1"/>
  <c r="P210" i="10"/>
  <c r="J211" i="10" s="1"/>
  <c r="L211" i="10" s="1"/>
  <c r="N211" i="10" s="1"/>
  <c r="AT210" i="10"/>
  <c r="AE210" i="10"/>
  <c r="AF210" i="10"/>
  <c r="H218" i="10"/>
  <c r="D218" i="10"/>
  <c r="F218" i="10" s="1"/>
  <c r="G218" i="10" s="1"/>
  <c r="V218" i="10" s="1"/>
  <c r="AJ50" i="10"/>
  <c r="AI50" i="10"/>
  <c r="AG50" i="10"/>
  <c r="AK50" i="10"/>
  <c r="AX50" i="10" s="1"/>
  <c r="AU209" i="10"/>
  <c r="K219" i="10"/>
  <c r="C219" i="10"/>
  <c r="I219" i="10" s="1"/>
  <c r="M219" i="10"/>
  <c r="E219" i="10"/>
  <c r="BB220" i="10"/>
  <c r="BC220" i="10" s="1"/>
  <c r="AS220" i="10"/>
  <c r="A221" i="10"/>
  <c r="Y220" i="10"/>
  <c r="B220" i="10"/>
  <c r="AM51" i="10"/>
  <c r="S51" i="10"/>
  <c r="AC51" i="10"/>
  <c r="AB51" i="10"/>
  <c r="AV50" i="10" s="1"/>
  <c r="R218" i="10"/>
  <c r="BA50" i="10" l="1"/>
  <c r="O211" i="10"/>
  <c r="P211" i="10"/>
  <c r="J212" i="10" s="1"/>
  <c r="L212" i="10" s="1"/>
  <c r="N212" i="10" s="1"/>
  <c r="AE211" i="10"/>
  <c r="AT211" i="10"/>
  <c r="AF211" i="10"/>
  <c r="AU210" i="10"/>
  <c r="AO50" i="10"/>
  <c r="AY50" i="10" s="1"/>
  <c r="AH50" i="10"/>
  <c r="R219" i="10"/>
  <c r="BB221" i="10"/>
  <c r="BC221" i="10" s="1"/>
  <c r="AS221" i="10"/>
  <c r="Y221" i="10"/>
  <c r="A222" i="10"/>
  <c r="B221" i="10"/>
  <c r="K220" i="10"/>
  <c r="C220" i="10"/>
  <c r="I220" i="10" s="1"/>
  <c r="M220" i="10"/>
  <c r="E220" i="10"/>
  <c r="AL50" i="10"/>
  <c r="T51" i="10"/>
  <c r="AQ51" i="10" s="1"/>
  <c r="AD51" i="10"/>
  <c r="U51" i="10"/>
  <c r="W51" i="10" s="1"/>
  <c r="AP51" i="10" s="1"/>
  <c r="H219" i="10"/>
  <c r="D219" i="10"/>
  <c r="F219" i="10" s="1"/>
  <c r="G219" i="10" s="1"/>
  <c r="V219" i="10" s="1"/>
  <c r="AN50" i="10" l="1"/>
  <c r="AW50" i="10" s="1"/>
  <c r="BD50" i="10" s="1"/>
  <c r="O212" i="10"/>
  <c r="P212" i="10" s="1"/>
  <c r="J213" i="10" s="1"/>
  <c r="L213" i="10" s="1"/>
  <c r="N213" i="10" s="1"/>
  <c r="AE212" i="10"/>
  <c r="AT212" i="10"/>
  <c r="AF212" i="10"/>
  <c r="AU211" i="10"/>
  <c r="BB222" i="10"/>
  <c r="BC222" i="10" s="1"/>
  <c r="AS222" i="10"/>
  <c r="Y222" i="10"/>
  <c r="A223" i="10"/>
  <c r="B222" i="10"/>
  <c r="K221" i="10"/>
  <c r="C221" i="10"/>
  <c r="I221" i="10" s="1"/>
  <c r="M221" i="10"/>
  <c r="E221" i="10"/>
  <c r="X51" i="10"/>
  <c r="H220" i="10"/>
  <c r="D220" i="10"/>
  <c r="F220" i="10" s="1"/>
  <c r="G220" i="10" s="1"/>
  <c r="V220" i="10" s="1"/>
  <c r="R220" i="10"/>
  <c r="AZ50" i="10" l="1"/>
  <c r="O213" i="10"/>
  <c r="P213" i="10" s="1"/>
  <c r="J214" i="10" s="1"/>
  <c r="L214" i="10" s="1"/>
  <c r="N214" i="10" s="1"/>
  <c r="AT213" i="10"/>
  <c r="AE213" i="10"/>
  <c r="AF213" i="10"/>
  <c r="H221" i="10"/>
  <c r="D221" i="10"/>
  <c r="F221" i="10" s="1"/>
  <c r="G221" i="10" s="1"/>
  <c r="V221" i="10" s="1"/>
  <c r="K222" i="10"/>
  <c r="C222" i="10"/>
  <c r="I222" i="10" s="1"/>
  <c r="M222" i="10"/>
  <c r="E222" i="10"/>
  <c r="Z51" i="10"/>
  <c r="AR51" i="10" s="1"/>
  <c r="R221" i="10"/>
  <c r="AU212" i="10"/>
  <c r="Y223" i="10"/>
  <c r="BB223" i="10"/>
  <c r="BC223" i="10" s="1"/>
  <c r="AS223" i="10"/>
  <c r="A224" i="10"/>
  <c r="B223" i="10"/>
  <c r="O214" i="10" l="1"/>
  <c r="P214" i="10" s="1"/>
  <c r="J215" i="10" s="1"/>
  <c r="L215" i="10" s="1"/>
  <c r="N215" i="10" s="1"/>
  <c r="AE214" i="10"/>
  <c r="AT214" i="10"/>
  <c r="AF214" i="10"/>
  <c r="K223" i="10"/>
  <c r="C223" i="10"/>
  <c r="I223" i="10" s="1"/>
  <c r="M223" i="10"/>
  <c r="E223" i="10"/>
  <c r="H222" i="10"/>
  <c r="D222" i="10"/>
  <c r="F222" i="10" s="1"/>
  <c r="G222" i="10" s="1"/>
  <c r="V222" i="10" s="1"/>
  <c r="AU213" i="10"/>
  <c r="Q52" i="10"/>
  <c r="R222" i="10"/>
  <c r="AA51" i="10"/>
  <c r="BB224" i="10"/>
  <c r="BC224" i="10" s="1"/>
  <c r="AS224" i="10"/>
  <c r="Y224" i="10"/>
  <c r="A225" i="10"/>
  <c r="B224" i="10"/>
  <c r="O215" i="10" l="1"/>
  <c r="P215" i="10" s="1"/>
  <c r="J216" i="10" s="1"/>
  <c r="L216" i="10" s="1"/>
  <c r="N216" i="10" s="1"/>
  <c r="AE215" i="10"/>
  <c r="AT215" i="10"/>
  <c r="AF215" i="10"/>
  <c r="A226" i="10"/>
  <c r="Y225" i="10"/>
  <c r="BB225" i="10"/>
  <c r="BC225" i="10" s="1"/>
  <c r="AS225" i="10"/>
  <c r="B225" i="10"/>
  <c r="AU214" i="10"/>
  <c r="R223" i="10"/>
  <c r="AJ51" i="10"/>
  <c r="AI51" i="10"/>
  <c r="AG51" i="10"/>
  <c r="AK51" i="10"/>
  <c r="AX51" i="10" s="1"/>
  <c r="K224" i="10"/>
  <c r="C224" i="10"/>
  <c r="I224" i="10" s="1"/>
  <c r="M224" i="10"/>
  <c r="E224" i="10"/>
  <c r="AM52" i="10"/>
  <c r="S52" i="10"/>
  <c r="AC52" i="10"/>
  <c r="BA51" i="10" s="1"/>
  <c r="AB52" i="10"/>
  <c r="AV51" i="10" s="1"/>
  <c r="H223" i="10"/>
  <c r="D223" i="10"/>
  <c r="F223" i="10" s="1"/>
  <c r="G223" i="10" s="1"/>
  <c r="V223" i="10" s="1"/>
  <c r="O216" i="10" l="1"/>
  <c r="P216" i="10"/>
  <c r="J217" i="10" s="1"/>
  <c r="L217" i="10" s="1"/>
  <c r="N217" i="10" s="1"/>
  <c r="AT216" i="10"/>
  <c r="AE216" i="10"/>
  <c r="AF216" i="10"/>
  <c r="AD52" i="10"/>
  <c r="T52" i="10"/>
  <c r="AQ52" i="10" s="1"/>
  <c r="U52" i="10"/>
  <c r="W52" i="10" s="1"/>
  <c r="AP52" i="10" s="1"/>
  <c r="H224" i="10"/>
  <c r="D224" i="10"/>
  <c r="F224" i="10" s="1"/>
  <c r="G224" i="10" s="1"/>
  <c r="V224" i="10" s="1"/>
  <c r="AO51" i="10"/>
  <c r="AY51" i="10" s="1"/>
  <c r="AH51" i="10"/>
  <c r="AU215" i="10"/>
  <c r="K225" i="10"/>
  <c r="C225" i="10"/>
  <c r="I225" i="10" s="1"/>
  <c r="M225" i="10"/>
  <c r="E225" i="10"/>
  <c r="AL51" i="10"/>
  <c r="R224" i="10"/>
  <c r="A227" i="10"/>
  <c r="AS226" i="10"/>
  <c r="Y226" i="10"/>
  <c r="BB226" i="10"/>
  <c r="BC226" i="10" s="1"/>
  <c r="B226" i="10"/>
  <c r="O217" i="10" l="1"/>
  <c r="P217" i="10" s="1"/>
  <c r="J218" i="10" s="1"/>
  <c r="L218" i="10" s="1"/>
  <c r="N218" i="10" s="1"/>
  <c r="AE217" i="10"/>
  <c r="AT217" i="10"/>
  <c r="AF217" i="10"/>
  <c r="A228" i="10"/>
  <c r="AS227" i="10"/>
  <c r="Y227" i="10"/>
  <c r="BB227" i="10"/>
  <c r="BC227" i="10" s="1"/>
  <c r="B227" i="10"/>
  <c r="R225" i="10"/>
  <c r="AN51" i="10"/>
  <c r="AW51" i="10" s="1"/>
  <c r="X52" i="10"/>
  <c r="AU216" i="10"/>
  <c r="K226" i="10"/>
  <c r="C226" i="10"/>
  <c r="I226" i="10" s="1"/>
  <c r="M226" i="10"/>
  <c r="E226" i="10"/>
  <c r="H225" i="10"/>
  <c r="D225" i="10"/>
  <c r="F225" i="10" s="1"/>
  <c r="G225" i="10" s="1"/>
  <c r="V225" i="10" s="1"/>
  <c r="O218" i="10" l="1"/>
  <c r="P218" i="10"/>
  <c r="J219" i="10" s="1"/>
  <c r="L219" i="10" s="1"/>
  <c r="N219" i="10" s="1"/>
  <c r="AE218" i="10"/>
  <c r="AT218" i="10"/>
  <c r="AF218" i="10"/>
  <c r="H226" i="10"/>
  <c r="D226" i="10"/>
  <c r="F226" i="10" s="1"/>
  <c r="G226" i="10" s="1"/>
  <c r="V226" i="10" s="1"/>
  <c r="K227" i="10"/>
  <c r="C227" i="10"/>
  <c r="I227" i="10" s="1"/>
  <c r="M227" i="10"/>
  <c r="E227" i="10"/>
  <c r="AU217" i="10"/>
  <c r="R226" i="10"/>
  <c r="Z52" i="10"/>
  <c r="AR52" i="10" s="1"/>
  <c r="BD51" i="10"/>
  <c r="AZ51" i="10"/>
  <c r="BB228" i="10"/>
  <c r="BC228" i="10" s="1"/>
  <c r="AS228" i="10"/>
  <c r="Y228" i="10"/>
  <c r="A229" i="10"/>
  <c r="B228" i="10"/>
  <c r="O219" i="10" l="1"/>
  <c r="P219" i="10" s="1"/>
  <c r="J220" i="10" s="1"/>
  <c r="L220" i="10" s="1"/>
  <c r="N220" i="10" s="1"/>
  <c r="AT219" i="10"/>
  <c r="AE219" i="10"/>
  <c r="AF219" i="10"/>
  <c r="R227" i="10"/>
  <c r="H227" i="10"/>
  <c r="D227" i="10"/>
  <c r="F227" i="10" s="1"/>
  <c r="G227" i="10" s="1"/>
  <c r="V227" i="10" s="1"/>
  <c r="AU218" i="10"/>
  <c r="K228" i="10"/>
  <c r="C228" i="10"/>
  <c r="I228" i="10" s="1"/>
  <c r="M228" i="10"/>
  <c r="E228" i="10"/>
  <c r="BB229" i="10"/>
  <c r="BC229" i="10" s="1"/>
  <c r="AS229" i="10"/>
  <c r="Y229" i="10"/>
  <c r="A230" i="10"/>
  <c r="B229" i="10"/>
  <c r="AA52" i="10"/>
  <c r="Q53" i="10"/>
  <c r="O220" i="10" l="1"/>
  <c r="P220" i="10" s="1"/>
  <c r="J221" i="10" s="1"/>
  <c r="L221" i="10" s="1"/>
  <c r="N221" i="10" s="1"/>
  <c r="AT220" i="10"/>
  <c r="AE220" i="10"/>
  <c r="AF220" i="10"/>
  <c r="AU219" i="10"/>
  <c r="AI52" i="10"/>
  <c r="AJ52" i="10"/>
  <c r="AG52" i="10"/>
  <c r="AK52" i="10"/>
  <c r="AX52" i="10" s="1"/>
  <c r="AM53" i="10"/>
  <c r="AC53" i="10"/>
  <c r="S53" i="10"/>
  <c r="AB53" i="10"/>
  <c r="AV52" i="10" s="1"/>
  <c r="R228" i="10"/>
  <c r="K229" i="10"/>
  <c r="C229" i="10"/>
  <c r="I229" i="10" s="1"/>
  <c r="M229" i="10"/>
  <c r="E229" i="10"/>
  <c r="H228" i="10"/>
  <c r="D228" i="10"/>
  <c r="F228" i="10" s="1"/>
  <c r="G228" i="10" s="1"/>
  <c r="V228" i="10" s="1"/>
  <c r="BB230" i="10"/>
  <c r="BC230" i="10" s="1"/>
  <c r="AS230" i="10"/>
  <c r="Y230" i="10"/>
  <c r="A231" i="10"/>
  <c r="B230" i="10"/>
  <c r="O221" i="10" l="1"/>
  <c r="P221" i="10" s="1"/>
  <c r="J222" i="10" s="1"/>
  <c r="L222" i="10" s="1"/>
  <c r="N222" i="10" s="1"/>
  <c r="AE221" i="10"/>
  <c r="AT221" i="10"/>
  <c r="AF221" i="10"/>
  <c r="Y231" i="10"/>
  <c r="AS231" i="10"/>
  <c r="A232" i="10"/>
  <c r="BB231" i="10"/>
  <c r="BC231" i="10" s="1"/>
  <c r="B231" i="10"/>
  <c r="H229" i="10"/>
  <c r="D229" i="10"/>
  <c r="F229" i="10" s="1"/>
  <c r="G229" i="10" s="1"/>
  <c r="V229" i="10" s="1"/>
  <c r="BA52" i="10"/>
  <c r="AO52" i="10"/>
  <c r="AY52" i="10" s="1"/>
  <c r="AH52" i="10"/>
  <c r="AL52" i="10"/>
  <c r="AU220" i="10"/>
  <c r="K230" i="10"/>
  <c r="C230" i="10"/>
  <c r="I230" i="10" s="1"/>
  <c r="M230" i="10"/>
  <c r="E230" i="10"/>
  <c r="T53" i="10"/>
  <c r="AQ53" i="10" s="1"/>
  <c r="AD53" i="10"/>
  <c r="U53" i="10"/>
  <c r="W53" i="10" s="1"/>
  <c r="AP53" i="10" s="1"/>
  <c r="R229" i="10"/>
  <c r="O222" i="10" l="1"/>
  <c r="P222" i="10" s="1"/>
  <c r="J223" i="10" s="1"/>
  <c r="L223" i="10" s="1"/>
  <c r="N223" i="10" s="1"/>
  <c r="AE222" i="10"/>
  <c r="AT222" i="10"/>
  <c r="AF222" i="10"/>
  <c r="X53" i="10"/>
  <c r="K231" i="10"/>
  <c r="C231" i="10"/>
  <c r="I231" i="10" s="1"/>
  <c r="M231" i="10"/>
  <c r="E231" i="10"/>
  <c r="AN52" i="10"/>
  <c r="AW52" i="10" s="1"/>
  <c r="H230" i="10"/>
  <c r="D230" i="10"/>
  <c r="F230" i="10" s="1"/>
  <c r="G230" i="10" s="1"/>
  <c r="V230" i="10" s="1"/>
  <c r="BB232" i="10"/>
  <c r="BC232" i="10" s="1"/>
  <c r="AS232" i="10"/>
  <c r="Y232" i="10"/>
  <c r="A233" i="10"/>
  <c r="B232" i="10"/>
  <c r="R230" i="10"/>
  <c r="AU221" i="10"/>
  <c r="O223" i="10" l="1"/>
  <c r="P223" i="10" s="1"/>
  <c r="J224" i="10" s="1"/>
  <c r="L224" i="10" s="1"/>
  <c r="N224" i="10" s="1"/>
  <c r="AE223" i="10"/>
  <c r="AT223" i="10"/>
  <c r="AF223" i="10"/>
  <c r="R231" i="10"/>
  <c r="H231" i="10"/>
  <c r="D231" i="10"/>
  <c r="F231" i="10" s="1"/>
  <c r="G231" i="10" s="1"/>
  <c r="V231" i="10" s="1"/>
  <c r="K232" i="10"/>
  <c r="C232" i="10"/>
  <c r="I232" i="10" s="1"/>
  <c r="M232" i="10"/>
  <c r="E232" i="10"/>
  <c r="BD52" i="10"/>
  <c r="AZ52" i="10"/>
  <c r="A234" i="10"/>
  <c r="Y233" i="10"/>
  <c r="AS233" i="10"/>
  <c r="BB233" i="10"/>
  <c r="BC233" i="10" s="1"/>
  <c r="B233" i="10"/>
  <c r="Z53" i="10"/>
  <c r="AR53" i="10" s="1"/>
  <c r="AU222" i="10"/>
  <c r="O224" i="10" l="1"/>
  <c r="P224" i="10"/>
  <c r="J225" i="10"/>
  <c r="L225" i="10" s="1"/>
  <c r="N225" i="10" s="1"/>
  <c r="AE224" i="10"/>
  <c r="AT224" i="10"/>
  <c r="AF224" i="10"/>
  <c r="AU223" i="10"/>
  <c r="H232" i="10"/>
  <c r="D232" i="10"/>
  <c r="F232" i="10" s="1"/>
  <c r="G232" i="10" s="1"/>
  <c r="V232" i="10" s="1"/>
  <c r="AA53" i="10"/>
  <c r="Q54" i="10"/>
  <c r="A235" i="10"/>
  <c r="Y234" i="10"/>
  <c r="BB234" i="10"/>
  <c r="BC234" i="10" s="1"/>
  <c r="AS234" i="10"/>
  <c r="B234" i="10"/>
  <c r="K233" i="10"/>
  <c r="C233" i="10"/>
  <c r="I233" i="10" s="1"/>
  <c r="M233" i="10"/>
  <c r="E233" i="10"/>
  <c r="R232" i="10"/>
  <c r="K234" i="10" l="1"/>
  <c r="C234" i="10"/>
  <c r="I234" i="10" s="1"/>
  <c r="M234" i="10"/>
  <c r="E234" i="10"/>
  <c r="A236" i="10"/>
  <c r="BB235" i="10"/>
  <c r="BC235" i="10" s="1"/>
  <c r="AS235" i="10"/>
  <c r="Y235" i="10"/>
  <c r="B235" i="10"/>
  <c r="O225" i="10"/>
  <c r="P225" i="10" s="1"/>
  <c r="J226" i="10" s="1"/>
  <c r="L226" i="10" s="1"/>
  <c r="N226" i="10" s="1"/>
  <c r="AE225" i="10"/>
  <c r="AT225" i="10"/>
  <c r="AF225" i="10"/>
  <c r="AM54" i="10"/>
  <c r="S54" i="10"/>
  <c r="AC54" i="10"/>
  <c r="AB54" i="10"/>
  <c r="AV53" i="10" s="1"/>
  <c r="H233" i="10"/>
  <c r="D233" i="10"/>
  <c r="F233" i="10" s="1"/>
  <c r="G233" i="10" s="1"/>
  <c r="V233" i="10" s="1"/>
  <c r="AJ53" i="10"/>
  <c r="AI53" i="10"/>
  <c r="AG53" i="10"/>
  <c r="AK53" i="10"/>
  <c r="AX53" i="10" s="1"/>
  <c r="R233" i="10"/>
  <c r="AU224" i="10"/>
  <c r="BA53" i="10" l="1"/>
  <c r="O226" i="10"/>
  <c r="P226" i="10"/>
  <c r="J227" i="10" s="1"/>
  <c r="L227" i="10" s="1"/>
  <c r="N227" i="10" s="1"/>
  <c r="AT226" i="10"/>
  <c r="AE226" i="10"/>
  <c r="AF226" i="10"/>
  <c r="AU225" i="10"/>
  <c r="T54" i="10"/>
  <c r="AQ54" i="10" s="1"/>
  <c r="AD54" i="10"/>
  <c r="U54" i="10"/>
  <c r="W54" i="10" s="1"/>
  <c r="AP54" i="10" s="1"/>
  <c r="K235" i="10"/>
  <c r="C235" i="10"/>
  <c r="I235" i="10" s="1"/>
  <c r="M235" i="10"/>
  <c r="E235" i="10"/>
  <c r="BB236" i="10"/>
  <c r="BC236" i="10" s="1"/>
  <c r="AS236" i="10"/>
  <c r="A237" i="10"/>
  <c r="Y236" i="10"/>
  <c r="B236" i="10"/>
  <c r="R234" i="10"/>
  <c r="H234" i="10"/>
  <c r="D234" i="10"/>
  <c r="F234" i="10" s="1"/>
  <c r="G234" i="10" s="1"/>
  <c r="V234" i="10" s="1"/>
  <c r="AL53" i="10"/>
  <c r="AO53" i="10"/>
  <c r="AY53" i="10" s="1"/>
  <c r="AH53" i="10"/>
  <c r="O227" i="10" l="1"/>
  <c r="P227" i="10" s="1"/>
  <c r="J228" i="10" s="1"/>
  <c r="L228" i="10" s="1"/>
  <c r="N228" i="10" s="1"/>
  <c r="AE227" i="10"/>
  <c r="AT227" i="10"/>
  <c r="AF227" i="10"/>
  <c r="AN53" i="10"/>
  <c r="AW53" i="10" s="1"/>
  <c r="X54" i="10"/>
  <c r="R235" i="10"/>
  <c r="K236" i="10"/>
  <c r="C236" i="10"/>
  <c r="I236" i="10" s="1"/>
  <c r="M236" i="10"/>
  <c r="E236" i="10"/>
  <c r="H235" i="10"/>
  <c r="D235" i="10"/>
  <c r="F235" i="10" s="1"/>
  <c r="G235" i="10" s="1"/>
  <c r="V235" i="10" s="1"/>
  <c r="BB237" i="10"/>
  <c r="BC237" i="10" s="1"/>
  <c r="AS237" i="10"/>
  <c r="Y237" i="10"/>
  <c r="A238" i="10"/>
  <c r="B237" i="10"/>
  <c r="AU226" i="10"/>
  <c r="O228" i="10" l="1"/>
  <c r="P228" i="10" s="1"/>
  <c r="J229" i="10" s="1"/>
  <c r="L229" i="10" s="1"/>
  <c r="N229" i="10" s="1"/>
  <c r="AT228" i="10"/>
  <c r="AE228" i="10"/>
  <c r="AF228" i="10"/>
  <c r="Z54" i="10"/>
  <c r="AR54" i="10" s="1"/>
  <c r="AU227" i="10"/>
  <c r="K237" i="10"/>
  <c r="C237" i="10"/>
  <c r="I237" i="10" s="1"/>
  <c r="M237" i="10"/>
  <c r="E237" i="10"/>
  <c r="BB238" i="10"/>
  <c r="BC238" i="10" s="1"/>
  <c r="AS238" i="10"/>
  <c r="Y238" i="10"/>
  <c r="A239" i="10"/>
  <c r="B238" i="10"/>
  <c r="BD53" i="10"/>
  <c r="AZ53" i="10"/>
  <c r="R236" i="10"/>
  <c r="H236" i="10"/>
  <c r="D236" i="10"/>
  <c r="F236" i="10" s="1"/>
  <c r="G236" i="10" s="1"/>
  <c r="V236" i="10" s="1"/>
  <c r="O229" i="10" l="1"/>
  <c r="P229" i="10" s="1"/>
  <c r="J230" i="10" s="1"/>
  <c r="L230" i="10" s="1"/>
  <c r="N230" i="10" s="1"/>
  <c r="AE229" i="10"/>
  <c r="AT229" i="10"/>
  <c r="AF229" i="10"/>
  <c r="K238" i="10"/>
  <c r="C238" i="10"/>
  <c r="I238" i="10" s="1"/>
  <c r="M238" i="10"/>
  <c r="E238" i="10"/>
  <c r="Y239" i="10"/>
  <c r="BB239" i="10"/>
  <c r="BC239" i="10" s="1"/>
  <c r="AS239" i="10"/>
  <c r="A240" i="10"/>
  <c r="B239" i="10"/>
  <c r="AU228" i="10"/>
  <c r="AA54" i="10"/>
  <c r="R237" i="10"/>
  <c r="Q55" i="10"/>
  <c r="H237" i="10"/>
  <c r="D237" i="10"/>
  <c r="F237" i="10" s="1"/>
  <c r="G237" i="10" s="1"/>
  <c r="V237" i="10" s="1"/>
  <c r="O230" i="10" l="1"/>
  <c r="P230" i="10" s="1"/>
  <c r="J231" i="10" s="1"/>
  <c r="L231" i="10" s="1"/>
  <c r="N231" i="10" s="1"/>
  <c r="AE230" i="10"/>
  <c r="AT230" i="10"/>
  <c r="AF230" i="10"/>
  <c r="AI54" i="10"/>
  <c r="AJ54" i="10"/>
  <c r="AG54" i="10"/>
  <c r="AK54" i="10"/>
  <c r="AX54" i="10" s="1"/>
  <c r="BB240" i="10"/>
  <c r="BC240" i="10" s="1"/>
  <c r="AS240" i="10"/>
  <c r="Y240" i="10"/>
  <c r="A241" i="10"/>
  <c r="B240" i="10"/>
  <c r="AU229" i="10"/>
  <c r="R238" i="10"/>
  <c r="H238" i="10"/>
  <c r="D238" i="10"/>
  <c r="F238" i="10" s="1"/>
  <c r="G238" i="10" s="1"/>
  <c r="V238" i="10" s="1"/>
  <c r="AM55" i="10"/>
  <c r="S55" i="10"/>
  <c r="AC55" i="10"/>
  <c r="AB55" i="10"/>
  <c r="AV54" i="10" s="1"/>
  <c r="K239" i="10"/>
  <c r="C239" i="10"/>
  <c r="I239" i="10" s="1"/>
  <c r="M239" i="10"/>
  <c r="E239" i="10"/>
  <c r="BA54" i="10" l="1"/>
  <c r="O231" i="10"/>
  <c r="P231" i="10" s="1"/>
  <c r="J232" i="10" s="1"/>
  <c r="L232" i="10" s="1"/>
  <c r="N232" i="10" s="1"/>
  <c r="AE231" i="10"/>
  <c r="AT231" i="10"/>
  <c r="AF231" i="10"/>
  <c r="AU230" i="10"/>
  <c r="AO54" i="10"/>
  <c r="AY54" i="10" s="1"/>
  <c r="AH54" i="10"/>
  <c r="H239" i="10"/>
  <c r="D239" i="10"/>
  <c r="F239" i="10" s="1"/>
  <c r="G239" i="10" s="1"/>
  <c r="V239" i="10" s="1"/>
  <c r="K240" i="10"/>
  <c r="C240" i="10"/>
  <c r="I240" i="10" s="1"/>
  <c r="M240" i="10"/>
  <c r="E240" i="10"/>
  <c r="AL54" i="10"/>
  <c r="A242" i="10"/>
  <c r="Y241" i="10"/>
  <c r="BB241" i="10"/>
  <c r="BC241" i="10" s="1"/>
  <c r="AS241" i="10"/>
  <c r="B241" i="10"/>
  <c r="AD55" i="10"/>
  <c r="T55" i="10"/>
  <c r="AQ55" i="10" s="1"/>
  <c r="U55" i="10"/>
  <c r="W55" i="10" s="1"/>
  <c r="AP55" i="10" s="1"/>
  <c r="R239" i="10"/>
  <c r="O232" i="10" l="1"/>
  <c r="P232" i="10" s="1"/>
  <c r="J233" i="10" s="1"/>
  <c r="L233" i="10" s="1"/>
  <c r="N233" i="10" s="1"/>
  <c r="AE232" i="10"/>
  <c r="AT232" i="10"/>
  <c r="AF232" i="10"/>
  <c r="X55" i="10"/>
  <c r="AN54" i="10"/>
  <c r="AW54" i="10" s="1"/>
  <c r="AU231" i="10"/>
  <c r="K241" i="10"/>
  <c r="C241" i="10"/>
  <c r="I241" i="10" s="1"/>
  <c r="M241" i="10"/>
  <c r="E241" i="10"/>
  <c r="H240" i="10"/>
  <c r="D240" i="10"/>
  <c r="F240" i="10" s="1"/>
  <c r="G240" i="10" s="1"/>
  <c r="V240" i="10" s="1"/>
  <c r="A243" i="10"/>
  <c r="AS242" i="10"/>
  <c r="Y242" i="10"/>
  <c r="BB242" i="10"/>
  <c r="BC242" i="10" s="1"/>
  <c r="B242" i="10"/>
  <c r="R240" i="10"/>
  <c r="K242" i="10" l="1"/>
  <c r="C242" i="10"/>
  <c r="I242" i="10" s="1"/>
  <c r="M242" i="10"/>
  <c r="E242" i="10"/>
  <c r="AU232" i="10"/>
  <c r="A244" i="10"/>
  <c r="AS243" i="10"/>
  <c r="Y243" i="10"/>
  <c r="BB243" i="10"/>
  <c r="BC243" i="10" s="1"/>
  <c r="B243" i="10"/>
  <c r="O233" i="10"/>
  <c r="P233" i="10" s="1"/>
  <c r="J234" i="10" s="1"/>
  <c r="L234" i="10" s="1"/>
  <c r="N234" i="10" s="1"/>
  <c r="AT233" i="10"/>
  <c r="AE233" i="10"/>
  <c r="AF233" i="10"/>
  <c r="BD54" i="10"/>
  <c r="AZ54" i="10"/>
  <c r="H241" i="10"/>
  <c r="D241" i="10"/>
  <c r="F241" i="10" s="1"/>
  <c r="G241" i="10" s="1"/>
  <c r="V241" i="10" s="1"/>
  <c r="R241" i="10"/>
  <c r="Z55" i="10"/>
  <c r="AR55" i="10" s="1"/>
  <c r="O234" i="10" l="1"/>
  <c r="P234" i="10" s="1"/>
  <c r="J235" i="10" s="1"/>
  <c r="L235" i="10" s="1"/>
  <c r="N235" i="10" s="1"/>
  <c r="AT234" i="10"/>
  <c r="AE234" i="10"/>
  <c r="AF234" i="10"/>
  <c r="BB244" i="10"/>
  <c r="BC244" i="10" s="1"/>
  <c r="AS244" i="10"/>
  <c r="Y244" i="10"/>
  <c r="A245" i="10"/>
  <c r="B244" i="10"/>
  <c r="AA55" i="10"/>
  <c r="Q56" i="10"/>
  <c r="AU233" i="10"/>
  <c r="R242" i="10"/>
  <c r="K243" i="10"/>
  <c r="C243" i="10"/>
  <c r="I243" i="10" s="1"/>
  <c r="M243" i="10"/>
  <c r="E243" i="10"/>
  <c r="H242" i="10"/>
  <c r="D242" i="10"/>
  <c r="F242" i="10" s="1"/>
  <c r="G242" i="10" s="1"/>
  <c r="V242" i="10" s="1"/>
  <c r="O235" i="10" l="1"/>
  <c r="P235" i="10" s="1"/>
  <c r="J236" i="10" s="1"/>
  <c r="L236" i="10" s="1"/>
  <c r="N236" i="10" s="1"/>
  <c r="AE235" i="10"/>
  <c r="AT235" i="10"/>
  <c r="AF235" i="10"/>
  <c r="AI55" i="10"/>
  <c r="AJ55" i="10"/>
  <c r="AG55" i="10"/>
  <c r="AK55" i="10"/>
  <c r="AX55" i="10" s="1"/>
  <c r="R243" i="10"/>
  <c r="AU234" i="10"/>
  <c r="H243" i="10"/>
  <c r="D243" i="10"/>
  <c r="F243" i="10" s="1"/>
  <c r="G243" i="10" s="1"/>
  <c r="V243" i="10" s="1"/>
  <c r="C244" i="10"/>
  <c r="I244" i="10" s="1"/>
  <c r="M244" i="10"/>
  <c r="E244" i="10"/>
  <c r="BB245" i="10"/>
  <c r="BC245" i="10" s="1"/>
  <c r="AS245" i="10"/>
  <c r="Y245" i="10"/>
  <c r="A246" i="10"/>
  <c r="B245" i="10"/>
  <c r="AM56" i="10"/>
  <c r="S56" i="10"/>
  <c r="AC56" i="10"/>
  <c r="AB56" i="10"/>
  <c r="AV55" i="10" s="1"/>
  <c r="BA55" i="10" l="1"/>
  <c r="O236" i="10"/>
  <c r="P236" i="10" s="1"/>
  <c r="J237" i="10" s="1"/>
  <c r="L237" i="10" s="1"/>
  <c r="N237" i="10" s="1"/>
  <c r="AT236" i="10"/>
  <c r="AE236" i="10"/>
  <c r="AF236" i="10"/>
  <c r="AO55" i="10"/>
  <c r="AY55" i="10" s="1"/>
  <c r="AH55" i="10"/>
  <c r="R244" i="10"/>
  <c r="AL55" i="10"/>
  <c r="H244" i="10"/>
  <c r="D244" i="10"/>
  <c r="F244" i="10" s="1"/>
  <c r="G244" i="10" s="1"/>
  <c r="V244" i="10" s="1"/>
  <c r="K245" i="10"/>
  <c r="C245" i="10"/>
  <c r="I245" i="10" s="1"/>
  <c r="M245" i="10"/>
  <c r="E245" i="10"/>
  <c r="BB246" i="10"/>
  <c r="BC246" i="10" s="1"/>
  <c r="AS246" i="10"/>
  <c r="Y246" i="10"/>
  <c r="A247" i="10"/>
  <c r="B246" i="10"/>
  <c r="AU235" i="10"/>
  <c r="T56" i="10"/>
  <c r="AQ56" i="10" s="1"/>
  <c r="AD56" i="10"/>
  <c r="U56" i="10"/>
  <c r="W56" i="10" s="1"/>
  <c r="AP56" i="10" s="1"/>
  <c r="O237" i="10" l="1"/>
  <c r="P237" i="10" s="1"/>
  <c r="J238" i="10" s="1"/>
  <c r="L238" i="10" s="1"/>
  <c r="N238" i="10" s="1"/>
  <c r="AT237" i="10"/>
  <c r="AE237" i="10"/>
  <c r="AF237" i="10"/>
  <c r="X56" i="10"/>
  <c r="R245" i="10"/>
  <c r="AU236" i="10"/>
  <c r="K246" i="10"/>
  <c r="C246" i="10"/>
  <c r="I246" i="10" s="1"/>
  <c r="M246" i="10"/>
  <c r="E246" i="10"/>
  <c r="H245" i="10"/>
  <c r="D245" i="10"/>
  <c r="F245" i="10" s="1"/>
  <c r="G245" i="10" s="1"/>
  <c r="V245" i="10" s="1"/>
  <c r="Y247" i="10"/>
  <c r="AS247" i="10"/>
  <c r="A248" i="10"/>
  <c r="BB247" i="10"/>
  <c r="BC247" i="10" s="1"/>
  <c r="B247" i="10"/>
  <c r="AN55" i="10"/>
  <c r="AW55" i="10" s="1"/>
  <c r="O238" i="10" l="1"/>
  <c r="P238" i="10" s="1"/>
  <c r="J239" i="10" s="1"/>
  <c r="L239" i="10" s="1"/>
  <c r="N239" i="10" s="1"/>
  <c r="AE238" i="10"/>
  <c r="AT238" i="10"/>
  <c r="AF238" i="10"/>
  <c r="R246" i="10"/>
  <c r="K247" i="10"/>
  <c r="C247" i="10"/>
  <c r="I247" i="10" s="1"/>
  <c r="M247" i="10"/>
  <c r="E247" i="10"/>
  <c r="Z56" i="10"/>
  <c r="AR56" i="10" s="1"/>
  <c r="H246" i="10"/>
  <c r="D246" i="10"/>
  <c r="F246" i="10" s="1"/>
  <c r="G246" i="10" s="1"/>
  <c r="V246" i="10" s="1"/>
  <c r="BB248" i="10"/>
  <c r="BC248" i="10" s="1"/>
  <c r="AS248" i="10"/>
  <c r="Y248" i="10"/>
  <c r="A249" i="10"/>
  <c r="B248" i="10"/>
  <c r="AU237" i="10"/>
  <c r="BD55" i="10"/>
  <c r="AZ55" i="10"/>
  <c r="O239" i="10" l="1"/>
  <c r="P239" i="10" s="1"/>
  <c r="J240" i="10" s="1"/>
  <c r="L240" i="10" s="1"/>
  <c r="N240" i="10" s="1"/>
  <c r="AE239" i="10"/>
  <c r="AT239" i="10"/>
  <c r="AF239" i="10"/>
  <c r="R247" i="10"/>
  <c r="AU238" i="10"/>
  <c r="H247" i="10"/>
  <c r="D247" i="10"/>
  <c r="F247" i="10" s="1"/>
  <c r="G247" i="10" s="1"/>
  <c r="V247" i="10" s="1"/>
  <c r="K248" i="10"/>
  <c r="C248" i="10"/>
  <c r="I248" i="10" s="1"/>
  <c r="M248" i="10"/>
  <c r="E248" i="10"/>
  <c r="AA56" i="10"/>
  <c r="A250" i="10"/>
  <c r="Y249" i="10"/>
  <c r="AS249" i="10"/>
  <c r="BB249" i="10"/>
  <c r="BC249" i="10" s="1"/>
  <c r="B249" i="10"/>
  <c r="Q57" i="10"/>
  <c r="O240" i="10" l="1"/>
  <c r="P240" i="10" s="1"/>
  <c r="J241" i="10" s="1"/>
  <c r="L241" i="10" s="1"/>
  <c r="N241" i="10" s="1"/>
  <c r="AE240" i="10"/>
  <c r="AT240" i="10"/>
  <c r="AF240" i="10"/>
  <c r="H248" i="10"/>
  <c r="D248" i="10"/>
  <c r="F248" i="10" s="1"/>
  <c r="G248" i="10" s="1"/>
  <c r="V248" i="10" s="1"/>
  <c r="AU239" i="10"/>
  <c r="AI56" i="10"/>
  <c r="AJ56" i="10"/>
  <c r="AG56" i="10"/>
  <c r="AK56" i="10"/>
  <c r="AX56" i="10" s="1"/>
  <c r="AM57" i="10"/>
  <c r="S57" i="10"/>
  <c r="AC57" i="10"/>
  <c r="AB57" i="10"/>
  <c r="AV56" i="10" s="1"/>
  <c r="K249" i="10"/>
  <c r="C249" i="10"/>
  <c r="I249" i="10" s="1"/>
  <c r="M249" i="10"/>
  <c r="E249" i="10"/>
  <c r="A251" i="10"/>
  <c r="Y250" i="10"/>
  <c r="BB250" i="10"/>
  <c r="BC250" i="10" s="1"/>
  <c r="AS250" i="10"/>
  <c r="B250" i="10"/>
  <c r="R248" i="10"/>
  <c r="O241" i="10" l="1"/>
  <c r="P241" i="10" s="1"/>
  <c r="J242" i="10" s="1"/>
  <c r="L242" i="10" s="1"/>
  <c r="N242" i="10" s="1"/>
  <c r="AE241" i="10"/>
  <c r="AT241" i="10"/>
  <c r="AF241" i="10"/>
  <c r="AO56" i="10"/>
  <c r="AY56" i="10" s="1"/>
  <c r="AH56" i="10"/>
  <c r="AN56" i="10" s="1"/>
  <c r="AW56" i="10" s="1"/>
  <c r="R249" i="10"/>
  <c r="H249" i="10"/>
  <c r="D249" i="10"/>
  <c r="F249" i="10" s="1"/>
  <c r="G249" i="10" s="1"/>
  <c r="V249" i="10" s="1"/>
  <c r="AL56" i="10"/>
  <c r="K250" i="10"/>
  <c r="C250" i="10"/>
  <c r="I250" i="10" s="1"/>
  <c r="M250" i="10"/>
  <c r="E250" i="10"/>
  <c r="BA56" i="10"/>
  <c r="A252" i="10"/>
  <c r="BB251" i="10"/>
  <c r="BC251" i="10" s="1"/>
  <c r="AS251" i="10"/>
  <c r="Y251" i="10"/>
  <c r="B251" i="10"/>
  <c r="AU240" i="10"/>
  <c r="AD57" i="10"/>
  <c r="T57" i="10"/>
  <c r="AQ57" i="10" s="1"/>
  <c r="U57" i="10"/>
  <c r="W57" i="10" s="1"/>
  <c r="AP57" i="10" s="1"/>
  <c r="O242" i="10" l="1"/>
  <c r="P242" i="10" s="1"/>
  <c r="J243" i="10" s="1"/>
  <c r="L243" i="10" s="1"/>
  <c r="N243" i="10" s="1"/>
  <c r="AT242" i="10"/>
  <c r="AE242" i="10"/>
  <c r="AF242" i="10"/>
  <c r="K251" i="10"/>
  <c r="C251" i="10"/>
  <c r="I251" i="10" s="1"/>
  <c r="M251" i="10"/>
  <c r="E251" i="10"/>
  <c r="BD56" i="10"/>
  <c r="AZ56" i="10"/>
  <c r="X57" i="10"/>
  <c r="BB252" i="10"/>
  <c r="BC252" i="10" s="1"/>
  <c r="AS252" i="10"/>
  <c r="A253" i="10"/>
  <c r="Y252" i="10"/>
  <c r="B252" i="10"/>
  <c r="H250" i="10"/>
  <c r="D250" i="10"/>
  <c r="F250" i="10" s="1"/>
  <c r="G250" i="10" s="1"/>
  <c r="V250" i="10" s="1"/>
  <c r="R250" i="10"/>
  <c r="AU241" i="10"/>
  <c r="O243" i="10" l="1"/>
  <c r="P243" i="10" s="1"/>
  <c r="J244" i="10" s="1"/>
  <c r="AE243" i="10"/>
  <c r="AT243" i="10"/>
  <c r="AF243" i="10"/>
  <c r="Z57" i="10"/>
  <c r="AR57" i="10" s="1"/>
  <c r="AU242" i="10"/>
  <c r="BB253" i="10"/>
  <c r="BC253" i="10" s="1"/>
  <c r="AS253" i="10"/>
  <c r="Y253" i="10"/>
  <c r="A254" i="10"/>
  <c r="B253" i="10"/>
  <c r="R251" i="10"/>
  <c r="K252" i="10"/>
  <c r="C252" i="10"/>
  <c r="I252" i="10" s="1"/>
  <c r="M252" i="10"/>
  <c r="E252" i="10"/>
  <c r="H251" i="10"/>
  <c r="D251" i="10"/>
  <c r="F251" i="10" s="1"/>
  <c r="G251" i="10" s="1"/>
  <c r="V251" i="10" s="1"/>
  <c r="K244" i="10" l="1"/>
  <c r="L244" i="10" s="1"/>
  <c r="N244" i="10" s="1"/>
  <c r="K253" i="10"/>
  <c r="C253" i="10"/>
  <c r="I253" i="10" s="1"/>
  <c r="M253" i="10"/>
  <c r="E253" i="10"/>
  <c r="BB254" i="10"/>
  <c r="BC254" i="10" s="1"/>
  <c r="AS254" i="10"/>
  <c r="Y254" i="10"/>
  <c r="A255" i="10"/>
  <c r="B254" i="10"/>
  <c r="AA57" i="10"/>
  <c r="Q58" i="10"/>
  <c r="AU243" i="10"/>
  <c r="R252" i="10"/>
  <c r="H252" i="10"/>
  <c r="D252" i="10"/>
  <c r="F252" i="10" s="1"/>
  <c r="G252" i="10" s="1"/>
  <c r="V252" i="10" s="1"/>
  <c r="O244" i="10" l="1"/>
  <c r="P244" i="10" s="1"/>
  <c r="J245" i="10" s="1"/>
  <c r="L245" i="10" s="1"/>
  <c r="N245" i="10" s="1"/>
  <c r="AF245" i="10" s="1"/>
  <c r="AT244" i="10"/>
  <c r="AE244" i="10"/>
  <c r="AF244" i="10"/>
  <c r="O245" i="10"/>
  <c r="P245" i="10" s="1"/>
  <c r="J246" i="10" s="1"/>
  <c r="L246" i="10" s="1"/>
  <c r="N246" i="10" s="1"/>
  <c r="AE245" i="10"/>
  <c r="AM58" i="10"/>
  <c r="S58" i="10"/>
  <c r="AC58" i="10"/>
  <c r="AB58" i="10"/>
  <c r="AV57" i="10" s="1"/>
  <c r="R253" i="10"/>
  <c r="AI57" i="10"/>
  <c r="AJ57" i="10"/>
  <c r="AG57" i="10"/>
  <c r="AK57" i="10"/>
  <c r="AX57" i="10" s="1"/>
  <c r="K254" i="10"/>
  <c r="C254" i="10"/>
  <c r="I254" i="10" s="1"/>
  <c r="M254" i="10"/>
  <c r="E254" i="10"/>
  <c r="H253" i="10"/>
  <c r="D253" i="10"/>
  <c r="F253" i="10" s="1"/>
  <c r="G253" i="10" s="1"/>
  <c r="V253" i="10" s="1"/>
  <c r="Y255" i="10"/>
  <c r="BB255" i="10"/>
  <c r="BC255" i="10" s="1"/>
  <c r="AS255" i="10"/>
  <c r="A256" i="10"/>
  <c r="B255" i="10"/>
  <c r="AU244" i="10"/>
  <c r="AT245" i="10" l="1"/>
  <c r="BA57" i="10"/>
  <c r="O246" i="10"/>
  <c r="P246" i="10" s="1"/>
  <c r="J247" i="10" s="1"/>
  <c r="L247" i="10" s="1"/>
  <c r="N247" i="10" s="1"/>
  <c r="AE246" i="10"/>
  <c r="AT246" i="10"/>
  <c r="AF246" i="10"/>
  <c r="BB256" i="10"/>
  <c r="BC256" i="10" s="1"/>
  <c r="AS256" i="10"/>
  <c r="Y256" i="10"/>
  <c r="A257" i="10"/>
  <c r="B256" i="10"/>
  <c r="AO57" i="10"/>
  <c r="AY57" i="10" s="1"/>
  <c r="AH57" i="10"/>
  <c r="AL57" i="10"/>
  <c r="R254" i="10"/>
  <c r="K255" i="10"/>
  <c r="C255" i="10"/>
  <c r="I255" i="10" s="1"/>
  <c r="M255" i="10"/>
  <c r="E255" i="10"/>
  <c r="H254" i="10"/>
  <c r="D254" i="10"/>
  <c r="F254" i="10" s="1"/>
  <c r="G254" i="10" s="1"/>
  <c r="V254" i="10" s="1"/>
  <c r="AU245" i="10"/>
  <c r="T58" i="10"/>
  <c r="AQ58" i="10" s="1"/>
  <c r="AD58" i="10"/>
  <c r="U58" i="10"/>
  <c r="W58" i="10" s="1"/>
  <c r="AP58" i="10" s="1"/>
  <c r="AN57" i="10" l="1"/>
  <c r="AW57" i="10" s="1"/>
  <c r="AZ57" i="10" s="1"/>
  <c r="O247" i="10"/>
  <c r="P247" i="10" s="1"/>
  <c r="J248" i="10" s="1"/>
  <c r="L248" i="10" s="1"/>
  <c r="N248" i="10" s="1"/>
  <c r="AT247" i="10"/>
  <c r="AE247" i="10"/>
  <c r="AF247" i="10"/>
  <c r="BD57" i="10"/>
  <c r="H255" i="10"/>
  <c r="D255" i="10"/>
  <c r="F255" i="10" s="1"/>
  <c r="G255" i="10" s="1"/>
  <c r="V255" i="10" s="1"/>
  <c r="K256" i="10"/>
  <c r="C256" i="10"/>
  <c r="I256" i="10" s="1"/>
  <c r="M256" i="10"/>
  <c r="E256" i="10"/>
  <c r="AU246" i="10"/>
  <c r="X58" i="10"/>
  <c r="R255" i="10"/>
  <c r="A258" i="10"/>
  <c r="Y257" i="10"/>
  <c r="BB257" i="10"/>
  <c r="BC257" i="10" s="1"/>
  <c r="AS257" i="10"/>
  <c r="B257" i="10"/>
  <c r="O248" i="10" l="1"/>
  <c r="P248" i="10"/>
  <c r="J249" i="10" s="1"/>
  <c r="L249" i="10" s="1"/>
  <c r="N249" i="10" s="1"/>
  <c r="AE248" i="10"/>
  <c r="AT248" i="10"/>
  <c r="AF248" i="10"/>
  <c r="H256" i="10"/>
  <c r="D256" i="10"/>
  <c r="F256" i="10" s="1"/>
  <c r="G256" i="10" s="1"/>
  <c r="V256" i="10" s="1"/>
  <c r="A259" i="10"/>
  <c r="AS258" i="10"/>
  <c r="Y258" i="10"/>
  <c r="BB258" i="10"/>
  <c r="BC258" i="10" s="1"/>
  <c r="B258" i="10"/>
  <c r="AU247" i="10"/>
  <c r="Z58" i="10"/>
  <c r="AR58" i="10" s="1"/>
  <c r="K257" i="10"/>
  <c r="C257" i="10"/>
  <c r="I257" i="10" s="1"/>
  <c r="M257" i="10"/>
  <c r="E257" i="10"/>
  <c r="R256" i="10"/>
  <c r="Q59" i="10" l="1"/>
  <c r="AA58" i="10"/>
  <c r="AG58" i="10" s="1"/>
  <c r="AM59" i="10"/>
  <c r="S59" i="10"/>
  <c r="AC59" i="10"/>
  <c r="AB59" i="10"/>
  <c r="AV58" i="10" s="1"/>
  <c r="K258" i="10"/>
  <c r="C258" i="10"/>
  <c r="I258" i="10" s="1"/>
  <c r="M258" i="10"/>
  <c r="E258" i="10"/>
  <c r="O249" i="10"/>
  <c r="P249" i="10" s="1"/>
  <c r="J250" i="10" s="1"/>
  <c r="L250" i="10" s="1"/>
  <c r="N250" i="10" s="1"/>
  <c r="AT249" i="10"/>
  <c r="AE249" i="10"/>
  <c r="AF249" i="10"/>
  <c r="A260" i="10"/>
  <c r="AS259" i="10"/>
  <c r="Y259" i="10"/>
  <c r="BB259" i="10"/>
  <c r="BC259" i="10" s="1"/>
  <c r="B259" i="10"/>
  <c r="R257" i="10"/>
  <c r="AU248" i="10"/>
  <c r="H257" i="10"/>
  <c r="D257" i="10"/>
  <c r="F257" i="10" s="1"/>
  <c r="G257" i="10" s="1"/>
  <c r="V257" i="10" s="1"/>
  <c r="AI58" i="10" l="1"/>
  <c r="AJ58" i="10"/>
  <c r="AK58" i="10"/>
  <c r="AX58" i="10" s="1"/>
  <c r="O250" i="10"/>
  <c r="P250" i="10"/>
  <c r="J251" i="10" s="1"/>
  <c r="L251" i="10" s="1"/>
  <c r="N251" i="10" s="1"/>
  <c r="AE250" i="10"/>
  <c r="AT250" i="10"/>
  <c r="AF250" i="10"/>
  <c r="AU249" i="10"/>
  <c r="AD59" i="10"/>
  <c r="T59" i="10"/>
  <c r="AQ59" i="10" s="1"/>
  <c r="U59" i="10"/>
  <c r="W59" i="10" s="1"/>
  <c r="AP59" i="10" s="1"/>
  <c r="H258" i="10"/>
  <c r="D258" i="10"/>
  <c r="F258" i="10" s="1"/>
  <c r="G258" i="10" s="1"/>
  <c r="V258" i="10" s="1"/>
  <c r="BB260" i="10"/>
  <c r="BC260" i="10" s="1"/>
  <c r="AS260" i="10"/>
  <c r="Y260" i="10"/>
  <c r="A261" i="10"/>
  <c r="B260" i="10"/>
  <c r="AO58" i="10"/>
  <c r="AY58" i="10" s="1"/>
  <c r="AH58" i="10"/>
  <c r="K259" i="10"/>
  <c r="C259" i="10"/>
  <c r="I259" i="10" s="1"/>
  <c r="M259" i="10"/>
  <c r="E259" i="10"/>
  <c r="R258" i="10"/>
  <c r="AL58" i="10" l="1"/>
  <c r="BA58" i="10"/>
  <c r="AN58" i="10"/>
  <c r="AW58" i="10" s="1"/>
  <c r="BD58" i="10" s="1"/>
  <c r="X59" i="10"/>
  <c r="Z59" i="10" s="1"/>
  <c r="AR59" i="10" s="1"/>
  <c r="O251" i="10"/>
  <c r="P251" i="10" s="1"/>
  <c r="J252" i="10" s="1"/>
  <c r="L252" i="10" s="1"/>
  <c r="N252" i="10" s="1"/>
  <c r="AE251" i="10"/>
  <c r="AT251" i="10"/>
  <c r="AF251" i="10"/>
  <c r="H259" i="10"/>
  <c r="D259" i="10"/>
  <c r="F259" i="10" s="1"/>
  <c r="G259" i="10" s="1"/>
  <c r="V259" i="10" s="1"/>
  <c r="R259" i="10"/>
  <c r="BB261" i="10"/>
  <c r="BC261" i="10" s="1"/>
  <c r="AS261" i="10"/>
  <c r="Y261" i="10"/>
  <c r="A262" i="10"/>
  <c r="B261" i="10"/>
  <c r="AU250" i="10"/>
  <c r="K260" i="10"/>
  <c r="C260" i="10"/>
  <c r="I260" i="10" s="1"/>
  <c r="M260" i="10"/>
  <c r="E260" i="10"/>
  <c r="AZ58" i="10" l="1"/>
  <c r="O252" i="10"/>
  <c r="P252" i="10" s="1"/>
  <c r="J253" i="10" s="1"/>
  <c r="L253" i="10" s="1"/>
  <c r="N253" i="10" s="1"/>
  <c r="AE252" i="10"/>
  <c r="AT252" i="10"/>
  <c r="AF252" i="10"/>
  <c r="K261" i="10"/>
  <c r="C261" i="10"/>
  <c r="I261" i="10" s="1"/>
  <c r="M261" i="10"/>
  <c r="E261" i="10"/>
  <c r="BB262" i="10"/>
  <c r="BC262" i="10" s="1"/>
  <c r="AS262" i="10"/>
  <c r="Y262" i="10"/>
  <c r="A263" i="10"/>
  <c r="B262" i="10"/>
  <c r="H260" i="10"/>
  <c r="D260" i="10"/>
  <c r="F260" i="10" s="1"/>
  <c r="G260" i="10" s="1"/>
  <c r="V260" i="10" s="1"/>
  <c r="R260" i="10"/>
  <c r="AU251" i="10"/>
  <c r="AA59" i="10"/>
  <c r="Q60" i="10"/>
  <c r="O253" i="10" l="1"/>
  <c r="P253" i="10" s="1"/>
  <c r="J254" i="10" s="1"/>
  <c r="L254" i="10" s="1"/>
  <c r="N254" i="10" s="1"/>
  <c r="AE253" i="10"/>
  <c r="AT253" i="10"/>
  <c r="AF253" i="10"/>
  <c r="AI59" i="10"/>
  <c r="AJ59" i="10"/>
  <c r="AG59" i="10"/>
  <c r="AK59" i="10"/>
  <c r="AX59" i="10" s="1"/>
  <c r="K262" i="10"/>
  <c r="C262" i="10"/>
  <c r="I262" i="10" s="1"/>
  <c r="M262" i="10"/>
  <c r="E262" i="10"/>
  <c r="AM60" i="10"/>
  <c r="S60" i="10"/>
  <c r="AC60" i="10"/>
  <c r="AB60" i="10"/>
  <c r="AV59" i="10" s="1"/>
  <c r="Y263" i="10"/>
  <c r="AS263" i="10"/>
  <c r="A264" i="10"/>
  <c r="BB263" i="10"/>
  <c r="BC263" i="10" s="1"/>
  <c r="B263" i="10"/>
  <c r="AU252" i="10"/>
  <c r="R261" i="10"/>
  <c r="H261" i="10"/>
  <c r="D261" i="10"/>
  <c r="F261" i="10" s="1"/>
  <c r="G261" i="10" s="1"/>
  <c r="V261" i="10" s="1"/>
  <c r="BA59" i="10" l="1"/>
  <c r="O254" i="10"/>
  <c r="P254" i="10" s="1"/>
  <c r="J255" i="10" s="1"/>
  <c r="L255" i="10" s="1"/>
  <c r="N255" i="10" s="1"/>
  <c r="AT254" i="10"/>
  <c r="AE254" i="10"/>
  <c r="AF254" i="10"/>
  <c r="AL59" i="10"/>
  <c r="K263" i="10"/>
  <c r="C263" i="10"/>
  <c r="I263" i="10" s="1"/>
  <c r="M263" i="10"/>
  <c r="E263" i="10"/>
  <c r="R262" i="10"/>
  <c r="H262" i="10"/>
  <c r="D262" i="10"/>
  <c r="F262" i="10" s="1"/>
  <c r="G262" i="10" s="1"/>
  <c r="V262" i="10" s="1"/>
  <c r="AO59" i="10"/>
  <c r="AY59" i="10" s="1"/>
  <c r="AH59" i="10"/>
  <c r="AU253" i="10"/>
  <c r="T60" i="10"/>
  <c r="AQ60" i="10" s="1"/>
  <c r="AD60" i="10"/>
  <c r="U60" i="10"/>
  <c r="W60" i="10" s="1"/>
  <c r="AP60" i="10" s="1"/>
  <c r="BB264" i="10"/>
  <c r="BC264" i="10" s="1"/>
  <c r="AS264" i="10"/>
  <c r="Y264" i="10"/>
  <c r="A265" i="10"/>
  <c r="B264" i="10"/>
  <c r="AN59" i="10" l="1"/>
  <c r="AW59" i="10" s="1"/>
  <c r="O255" i="10"/>
  <c r="P255" i="10" s="1"/>
  <c r="J256" i="10" s="1"/>
  <c r="L256" i="10" s="1"/>
  <c r="N256" i="10" s="1"/>
  <c r="AE255" i="10"/>
  <c r="AT255" i="10"/>
  <c r="AF255" i="10"/>
  <c r="AU254" i="10"/>
  <c r="A266" i="10"/>
  <c r="Y265" i="10"/>
  <c r="AS265" i="10"/>
  <c r="BB265" i="10"/>
  <c r="BC265" i="10" s="1"/>
  <c r="B265" i="10"/>
  <c r="BD59" i="10"/>
  <c r="AZ59" i="10"/>
  <c r="R263" i="10"/>
  <c r="K264" i="10"/>
  <c r="C264" i="10"/>
  <c r="I264" i="10" s="1"/>
  <c r="M264" i="10"/>
  <c r="E264" i="10"/>
  <c r="H263" i="10"/>
  <c r="D263" i="10"/>
  <c r="F263" i="10" s="1"/>
  <c r="G263" i="10" s="1"/>
  <c r="V263" i="10" s="1"/>
  <c r="X60" i="10"/>
  <c r="O256" i="10" l="1"/>
  <c r="P256" i="10" s="1"/>
  <c r="J257" i="10" s="1"/>
  <c r="L257" i="10" s="1"/>
  <c r="N257" i="10" s="1"/>
  <c r="AT256" i="10"/>
  <c r="AE256" i="10"/>
  <c r="AF256" i="10"/>
  <c r="AU255" i="10"/>
  <c r="A267" i="10"/>
  <c r="Y266" i="10"/>
  <c r="BB266" i="10"/>
  <c r="BC266" i="10" s="1"/>
  <c r="AS266" i="10"/>
  <c r="B266" i="10"/>
  <c r="H264" i="10"/>
  <c r="D264" i="10"/>
  <c r="F264" i="10" s="1"/>
  <c r="G264" i="10" s="1"/>
  <c r="V264" i="10" s="1"/>
  <c r="Z60" i="10"/>
  <c r="AR60" i="10" s="1"/>
  <c r="K265" i="10"/>
  <c r="C265" i="10"/>
  <c r="I265" i="10" s="1"/>
  <c r="M265" i="10"/>
  <c r="E265" i="10"/>
  <c r="R264" i="10"/>
  <c r="AA60" i="10" l="1"/>
  <c r="H265" i="10"/>
  <c r="D265" i="10"/>
  <c r="F265" i="10" s="1"/>
  <c r="G265" i="10" s="1"/>
  <c r="V265" i="10" s="1"/>
  <c r="K266" i="10"/>
  <c r="C266" i="10"/>
  <c r="I266" i="10" s="1"/>
  <c r="M266" i="10"/>
  <c r="E266" i="10"/>
  <c r="A268" i="10"/>
  <c r="BB267" i="10"/>
  <c r="BC267" i="10" s="1"/>
  <c r="AS267" i="10"/>
  <c r="Y267" i="10"/>
  <c r="B267" i="10"/>
  <c r="Q61" i="10"/>
  <c r="R265" i="10"/>
  <c r="AU256" i="10"/>
  <c r="O257" i="10"/>
  <c r="P257" i="10" s="1"/>
  <c r="J258" i="10" s="1"/>
  <c r="L258" i="10" s="1"/>
  <c r="N258" i="10" s="1"/>
  <c r="AT257" i="10"/>
  <c r="AE257" i="10"/>
  <c r="AF257" i="10"/>
  <c r="O258" i="10" l="1"/>
  <c r="P258" i="10"/>
  <c r="J259" i="10" s="1"/>
  <c r="L259" i="10" s="1"/>
  <c r="N259" i="10" s="1"/>
  <c r="AE258" i="10"/>
  <c r="AT258" i="10"/>
  <c r="AF258" i="10"/>
  <c r="AU257" i="10"/>
  <c r="BB268" i="10"/>
  <c r="BC268" i="10" s="1"/>
  <c r="AS268" i="10"/>
  <c r="A269" i="10"/>
  <c r="Y268" i="10"/>
  <c r="B268" i="10"/>
  <c r="AM61" i="10"/>
  <c r="S61" i="10"/>
  <c r="AC61" i="10"/>
  <c r="BA60" i="10" s="1"/>
  <c r="AB61" i="10"/>
  <c r="AV60" i="10" s="1"/>
  <c r="R266" i="10"/>
  <c r="AI60" i="10"/>
  <c r="AJ60" i="10"/>
  <c r="AG60" i="10"/>
  <c r="AK60" i="10"/>
  <c r="AX60" i="10" s="1"/>
  <c r="K267" i="10"/>
  <c r="C267" i="10"/>
  <c r="I267" i="10" s="1"/>
  <c r="M267" i="10"/>
  <c r="E267" i="10"/>
  <c r="H266" i="10"/>
  <c r="D266" i="10"/>
  <c r="F266" i="10" s="1"/>
  <c r="G266" i="10" s="1"/>
  <c r="V266" i="10" s="1"/>
  <c r="O259" i="10" l="1"/>
  <c r="P259" i="10"/>
  <c r="J260" i="10" s="1"/>
  <c r="L260" i="10" s="1"/>
  <c r="N260" i="10" s="1"/>
  <c r="AE259" i="10"/>
  <c r="AT259" i="10"/>
  <c r="AF259" i="10"/>
  <c r="H267" i="10"/>
  <c r="D267" i="10"/>
  <c r="F267" i="10" s="1"/>
  <c r="G267" i="10" s="1"/>
  <c r="V267" i="10" s="1"/>
  <c r="A270" i="10"/>
  <c r="BB269" i="10"/>
  <c r="BC269" i="10" s="1"/>
  <c r="AS269" i="10"/>
  <c r="Y269" i="10"/>
  <c r="B269" i="10"/>
  <c r="AO60" i="10"/>
  <c r="AY60" i="10" s="1"/>
  <c r="AH60" i="10"/>
  <c r="AN60" i="10" s="1"/>
  <c r="AW60" i="10" s="1"/>
  <c r="AD61" i="10"/>
  <c r="T61" i="10"/>
  <c r="AQ61" i="10" s="1"/>
  <c r="U61" i="10"/>
  <c r="W61" i="10" s="1"/>
  <c r="AP61" i="10" s="1"/>
  <c r="AL60" i="10"/>
  <c r="R267" i="10"/>
  <c r="K268" i="10"/>
  <c r="C268" i="10"/>
  <c r="I268" i="10" s="1"/>
  <c r="M268" i="10"/>
  <c r="E268" i="10"/>
  <c r="AU258" i="10"/>
  <c r="O260" i="10" l="1"/>
  <c r="P260" i="10" s="1"/>
  <c r="J261" i="10" s="1"/>
  <c r="L261" i="10" s="1"/>
  <c r="N261" i="10" s="1"/>
  <c r="AT260" i="10"/>
  <c r="AE260" i="10"/>
  <c r="AF260" i="10"/>
  <c r="A271" i="10"/>
  <c r="Y270" i="10"/>
  <c r="AS270" i="10"/>
  <c r="BB270" i="10"/>
  <c r="BC270" i="10" s="1"/>
  <c r="B270" i="10"/>
  <c r="K269" i="10"/>
  <c r="C269" i="10"/>
  <c r="I269" i="10" s="1"/>
  <c r="M269" i="10"/>
  <c r="E269" i="10"/>
  <c r="X61" i="10"/>
  <c r="AU259" i="10"/>
  <c r="R268" i="10"/>
  <c r="H268" i="10"/>
  <c r="D268" i="10"/>
  <c r="F268" i="10" s="1"/>
  <c r="G268" i="10" s="1"/>
  <c r="V268" i="10" s="1"/>
  <c r="BD60" i="10"/>
  <c r="AZ60" i="10"/>
  <c r="O261" i="10" l="1"/>
  <c r="P261" i="10" s="1"/>
  <c r="J262" i="10" s="1"/>
  <c r="L262" i="10" s="1"/>
  <c r="N262" i="10" s="1"/>
  <c r="AE261" i="10"/>
  <c r="AT261" i="10"/>
  <c r="AF261" i="10"/>
  <c r="K270" i="10"/>
  <c r="C270" i="10"/>
  <c r="I270" i="10" s="1"/>
  <c r="M270" i="10"/>
  <c r="E270" i="10"/>
  <c r="AU260" i="10"/>
  <c r="H269" i="10"/>
  <c r="D269" i="10"/>
  <c r="F269" i="10" s="1"/>
  <c r="G269" i="10" s="1"/>
  <c r="V269" i="10" s="1"/>
  <c r="A272" i="10"/>
  <c r="Y271" i="10"/>
  <c r="BB271" i="10"/>
  <c r="BC271" i="10" s="1"/>
  <c r="AS271" i="10"/>
  <c r="B271" i="10"/>
  <c r="Z61" i="10"/>
  <c r="AR61" i="10" s="1"/>
  <c r="R269" i="10"/>
  <c r="O262" i="10" l="1"/>
  <c r="P262" i="10" s="1"/>
  <c r="J263" i="10" s="1"/>
  <c r="L263" i="10" s="1"/>
  <c r="N263" i="10" s="1"/>
  <c r="AE262" i="10"/>
  <c r="AT262" i="10"/>
  <c r="AF262" i="10"/>
  <c r="A273" i="10"/>
  <c r="Y272" i="10"/>
  <c r="AS272" i="10"/>
  <c r="BB272" i="10"/>
  <c r="BC272" i="10" s="1"/>
  <c r="B272" i="10"/>
  <c r="AU261" i="10"/>
  <c r="AA61" i="10"/>
  <c r="K271" i="10"/>
  <c r="C271" i="10"/>
  <c r="I271" i="10" s="1"/>
  <c r="M271" i="10"/>
  <c r="E271" i="10"/>
  <c r="R270" i="10"/>
  <c r="Q62" i="10"/>
  <c r="H270" i="10"/>
  <c r="D270" i="10"/>
  <c r="F270" i="10" s="1"/>
  <c r="G270" i="10" s="1"/>
  <c r="V270" i="10" s="1"/>
  <c r="O263" i="10" l="1"/>
  <c r="P263" i="10" s="1"/>
  <c r="J264" i="10" s="1"/>
  <c r="L264" i="10" s="1"/>
  <c r="N264" i="10" s="1"/>
  <c r="AE263" i="10"/>
  <c r="AT263" i="10"/>
  <c r="AF263" i="10"/>
  <c r="AU262" i="10"/>
  <c r="AI61" i="10"/>
  <c r="AJ61" i="10"/>
  <c r="AG61" i="10"/>
  <c r="AK61" i="10"/>
  <c r="AX61" i="10" s="1"/>
  <c r="A274" i="10"/>
  <c r="Y273" i="10"/>
  <c r="AS273" i="10"/>
  <c r="BB273" i="10"/>
  <c r="BC273" i="10" s="1"/>
  <c r="B273" i="10"/>
  <c r="R271" i="10"/>
  <c r="K272" i="10"/>
  <c r="C272" i="10"/>
  <c r="I272" i="10" s="1"/>
  <c r="M272" i="10"/>
  <c r="E272" i="10"/>
  <c r="AM62" i="10"/>
  <c r="S62" i="10"/>
  <c r="AC62" i="10"/>
  <c r="AB62" i="10"/>
  <c r="AV61" i="10" s="1"/>
  <c r="H271" i="10"/>
  <c r="D271" i="10"/>
  <c r="F271" i="10" s="1"/>
  <c r="G271" i="10" s="1"/>
  <c r="V271" i="10" s="1"/>
  <c r="BA61" i="10" l="1"/>
  <c r="O264" i="10"/>
  <c r="P264" i="10"/>
  <c r="J265" i="10"/>
  <c r="L265" i="10" s="1"/>
  <c r="N265" i="10" s="1"/>
  <c r="AT264" i="10"/>
  <c r="AE264" i="10"/>
  <c r="AF264" i="10"/>
  <c r="T62" i="10"/>
  <c r="AQ62" i="10" s="1"/>
  <c r="AD62" i="10"/>
  <c r="U62" i="10"/>
  <c r="W62" i="10" s="1"/>
  <c r="AP62" i="10" s="1"/>
  <c r="K273" i="10"/>
  <c r="C273" i="10"/>
  <c r="I273" i="10" s="1"/>
  <c r="M273" i="10"/>
  <c r="E273" i="10"/>
  <c r="AU263" i="10"/>
  <c r="H272" i="10"/>
  <c r="D272" i="10"/>
  <c r="F272" i="10" s="1"/>
  <c r="G272" i="10" s="1"/>
  <c r="V272" i="10" s="1"/>
  <c r="A275" i="10"/>
  <c r="Y274" i="10"/>
  <c r="AS274" i="10"/>
  <c r="BB274" i="10"/>
  <c r="BC274" i="10" s="1"/>
  <c r="B274" i="10"/>
  <c r="R272" i="10"/>
  <c r="AO61" i="10"/>
  <c r="AY61" i="10" s="1"/>
  <c r="AH61" i="10"/>
  <c r="AL61" i="10"/>
  <c r="R273" i="10" l="1"/>
  <c r="X62" i="10"/>
  <c r="AU264" i="10"/>
  <c r="H273" i="10"/>
  <c r="D273" i="10"/>
  <c r="F273" i="10" s="1"/>
  <c r="G273" i="10" s="1"/>
  <c r="V273" i="10" s="1"/>
  <c r="K274" i="10"/>
  <c r="C274" i="10"/>
  <c r="I274" i="10" s="1"/>
  <c r="M274" i="10"/>
  <c r="E274" i="10"/>
  <c r="AN61" i="10"/>
  <c r="AW61" i="10" s="1"/>
  <c r="A276" i="10"/>
  <c r="Y275" i="10"/>
  <c r="AS275" i="10"/>
  <c r="BB275" i="10"/>
  <c r="BC275" i="10" s="1"/>
  <c r="B275" i="10"/>
  <c r="O265" i="10"/>
  <c r="P265" i="10" s="1"/>
  <c r="J266" i="10" s="1"/>
  <c r="L266" i="10" s="1"/>
  <c r="N266" i="10" s="1"/>
  <c r="AE265" i="10"/>
  <c r="AT265" i="10"/>
  <c r="AF265" i="10"/>
  <c r="O266" i="10" l="1"/>
  <c r="P266" i="10" s="1"/>
  <c r="J267" i="10" s="1"/>
  <c r="L267" i="10" s="1"/>
  <c r="N267" i="10" s="1"/>
  <c r="AE266" i="10"/>
  <c r="AT266" i="10"/>
  <c r="AF266" i="10"/>
  <c r="AU265" i="10"/>
  <c r="A277" i="10"/>
  <c r="Y276" i="10"/>
  <c r="AS276" i="10"/>
  <c r="BB276" i="10"/>
  <c r="BC276" i="10" s="1"/>
  <c r="B276" i="10"/>
  <c r="BD61" i="10"/>
  <c r="AZ61" i="10"/>
  <c r="R274" i="10"/>
  <c r="Z62" i="10"/>
  <c r="AR62" i="10" s="1"/>
  <c r="K275" i="10"/>
  <c r="C275" i="10"/>
  <c r="I275" i="10" s="1"/>
  <c r="M275" i="10"/>
  <c r="E275" i="10"/>
  <c r="H274" i="10"/>
  <c r="D274" i="10"/>
  <c r="F274" i="10" s="1"/>
  <c r="G274" i="10" s="1"/>
  <c r="V274" i="10" s="1"/>
  <c r="O267" i="10" l="1"/>
  <c r="P267" i="10" s="1"/>
  <c r="J268" i="10" s="1"/>
  <c r="L268" i="10" s="1"/>
  <c r="N268" i="10" s="1"/>
  <c r="AT267" i="10"/>
  <c r="AE267" i="10"/>
  <c r="AF267" i="10"/>
  <c r="K276" i="10"/>
  <c r="C276" i="10"/>
  <c r="I276" i="10" s="1"/>
  <c r="M276" i="10"/>
  <c r="E276" i="10"/>
  <c r="AU266" i="10"/>
  <c r="R275" i="10"/>
  <c r="H275" i="10"/>
  <c r="D275" i="10"/>
  <c r="F275" i="10" s="1"/>
  <c r="G275" i="10" s="1"/>
  <c r="V275" i="10" s="1"/>
  <c r="A278" i="10"/>
  <c r="Y277" i="10"/>
  <c r="AS277" i="10"/>
  <c r="BB277" i="10"/>
  <c r="BC277" i="10" s="1"/>
  <c r="B277" i="10"/>
  <c r="AA62" i="10"/>
  <c r="Q63" i="10"/>
  <c r="O268" i="10" l="1"/>
  <c r="P268" i="10" s="1"/>
  <c r="J269" i="10" s="1"/>
  <c r="L269" i="10" s="1"/>
  <c r="N269" i="10" s="1"/>
  <c r="AE268" i="10"/>
  <c r="AT268" i="10"/>
  <c r="AF268" i="10"/>
  <c r="AI62" i="10"/>
  <c r="AJ62" i="10"/>
  <c r="AG62" i="10"/>
  <c r="AK62" i="10"/>
  <c r="AX62" i="10" s="1"/>
  <c r="R276" i="10"/>
  <c r="K277" i="10"/>
  <c r="C277" i="10"/>
  <c r="I277" i="10" s="1"/>
  <c r="M277" i="10"/>
  <c r="E277" i="10"/>
  <c r="H276" i="10"/>
  <c r="D276" i="10"/>
  <c r="F276" i="10" s="1"/>
  <c r="G276" i="10" s="1"/>
  <c r="V276" i="10" s="1"/>
  <c r="A279" i="10"/>
  <c r="Y278" i="10"/>
  <c r="AS278" i="10"/>
  <c r="BB278" i="10"/>
  <c r="BC278" i="10" s="1"/>
  <c r="B278" i="10"/>
  <c r="AM63" i="10"/>
  <c r="S63" i="10"/>
  <c r="AC63" i="10"/>
  <c r="AB63" i="10"/>
  <c r="AV62" i="10" s="1"/>
  <c r="AU267" i="10"/>
  <c r="BA62" i="10" l="1"/>
  <c r="O269" i="10"/>
  <c r="P269" i="10" s="1"/>
  <c r="J270" i="10" s="1"/>
  <c r="L270" i="10" s="1"/>
  <c r="N270" i="10" s="1"/>
  <c r="AT269" i="10"/>
  <c r="AE269" i="10"/>
  <c r="AF269" i="10"/>
  <c r="AU268" i="10"/>
  <c r="R277" i="10"/>
  <c r="AO62" i="10"/>
  <c r="AY62" i="10" s="1"/>
  <c r="AH62" i="10"/>
  <c r="K278" i="10"/>
  <c r="C278" i="10"/>
  <c r="I278" i="10" s="1"/>
  <c r="M278" i="10"/>
  <c r="E278" i="10"/>
  <c r="AL62" i="10"/>
  <c r="H277" i="10"/>
  <c r="D277" i="10"/>
  <c r="F277" i="10" s="1"/>
  <c r="G277" i="10" s="1"/>
  <c r="V277" i="10" s="1"/>
  <c r="A280" i="10"/>
  <c r="Y279" i="10"/>
  <c r="AS279" i="10"/>
  <c r="BB279" i="10"/>
  <c r="BC279" i="10" s="1"/>
  <c r="B279" i="10"/>
  <c r="AD63" i="10"/>
  <c r="T63" i="10"/>
  <c r="AQ63" i="10" s="1"/>
  <c r="U63" i="10"/>
  <c r="W63" i="10" s="1"/>
  <c r="AP63" i="10" s="1"/>
  <c r="AN62" i="10" l="1"/>
  <c r="AW62" i="10" s="1"/>
  <c r="BD62" i="10" s="1"/>
  <c r="O270" i="10"/>
  <c r="P270" i="10" s="1"/>
  <c r="J271" i="10" s="1"/>
  <c r="L271" i="10" s="1"/>
  <c r="N271" i="10" s="1"/>
  <c r="AT270" i="10"/>
  <c r="AE270" i="10"/>
  <c r="AF270" i="10"/>
  <c r="K279" i="10"/>
  <c r="C279" i="10"/>
  <c r="I279" i="10" s="1"/>
  <c r="M279" i="10"/>
  <c r="E279" i="10"/>
  <c r="AU269" i="10"/>
  <c r="A281" i="10"/>
  <c r="Y280" i="10"/>
  <c r="AS280" i="10"/>
  <c r="BB280" i="10"/>
  <c r="BC280" i="10" s="1"/>
  <c r="B280" i="10"/>
  <c r="R278" i="10"/>
  <c r="X63" i="10"/>
  <c r="H278" i="10"/>
  <c r="D278" i="10"/>
  <c r="F278" i="10" s="1"/>
  <c r="G278" i="10" s="1"/>
  <c r="V278" i="10" s="1"/>
  <c r="AZ62" i="10" l="1"/>
  <c r="O271" i="10"/>
  <c r="P271" i="10" s="1"/>
  <c r="J272" i="10" s="1"/>
  <c r="L272" i="10" s="1"/>
  <c r="N272" i="10" s="1"/>
  <c r="AT271" i="10"/>
  <c r="AE271" i="10"/>
  <c r="AF271" i="10"/>
  <c r="R279" i="10"/>
  <c r="Z63" i="10"/>
  <c r="AR63" i="10" s="1"/>
  <c r="AU270" i="10"/>
  <c r="A282" i="10"/>
  <c r="Y281" i="10"/>
  <c r="AS281" i="10"/>
  <c r="BB281" i="10"/>
  <c r="BC281" i="10" s="1"/>
  <c r="B281" i="10"/>
  <c r="K280" i="10"/>
  <c r="C280" i="10"/>
  <c r="I280" i="10" s="1"/>
  <c r="M280" i="10"/>
  <c r="E280" i="10"/>
  <c r="H279" i="10"/>
  <c r="D279" i="10"/>
  <c r="F279" i="10" s="1"/>
  <c r="G279" i="10" s="1"/>
  <c r="V279" i="10" s="1"/>
  <c r="AA63" i="10" l="1"/>
  <c r="AI63" i="10" s="1"/>
  <c r="Q64" i="10"/>
  <c r="AM64" i="10" s="1"/>
  <c r="O272" i="10"/>
  <c r="P272" i="10" s="1"/>
  <c r="J273" i="10" s="1"/>
  <c r="L273" i="10" s="1"/>
  <c r="N273" i="10" s="1"/>
  <c r="AE272" i="10"/>
  <c r="AT272" i="10"/>
  <c r="AF272" i="10"/>
  <c r="R280" i="10"/>
  <c r="H280" i="10"/>
  <c r="D280" i="10"/>
  <c r="F280" i="10" s="1"/>
  <c r="G280" i="10" s="1"/>
  <c r="V280" i="10" s="1"/>
  <c r="K281" i="10"/>
  <c r="C281" i="10"/>
  <c r="I281" i="10" s="1"/>
  <c r="M281" i="10"/>
  <c r="E281" i="10"/>
  <c r="AJ63" i="10"/>
  <c r="AU271" i="10"/>
  <c r="A283" i="10"/>
  <c r="Y282" i="10"/>
  <c r="AS282" i="10"/>
  <c r="BB282" i="10"/>
  <c r="BC282" i="10" s="1"/>
  <c r="B282" i="10"/>
  <c r="AK63" i="10" l="1"/>
  <c r="AX63" i="10" s="1"/>
  <c r="AG63" i="10"/>
  <c r="AO63" i="10" s="1"/>
  <c r="AY63" i="10" s="1"/>
  <c r="AC64" i="10"/>
  <c r="AB64" i="10"/>
  <c r="AV63" i="10" s="1"/>
  <c r="S64" i="10"/>
  <c r="AD64" i="10" s="1"/>
  <c r="O273" i="10"/>
  <c r="P273" i="10"/>
  <c r="J274" i="10" s="1"/>
  <c r="L274" i="10" s="1"/>
  <c r="N274" i="10" s="1"/>
  <c r="AE273" i="10"/>
  <c r="AT273" i="10"/>
  <c r="AF273" i="10"/>
  <c r="BA63" i="10"/>
  <c r="A284" i="10"/>
  <c r="Y283" i="10"/>
  <c r="AS283" i="10"/>
  <c r="BB283" i="10"/>
  <c r="BC283" i="10" s="1"/>
  <c r="B283" i="10"/>
  <c r="R281" i="10"/>
  <c r="H281" i="10"/>
  <c r="D281" i="10"/>
  <c r="F281" i="10" s="1"/>
  <c r="G281" i="10" s="1"/>
  <c r="V281" i="10" s="1"/>
  <c r="AL63" i="10"/>
  <c r="K282" i="10"/>
  <c r="C282" i="10"/>
  <c r="I282" i="10" s="1"/>
  <c r="M282" i="10"/>
  <c r="E282" i="10"/>
  <c r="AU272" i="10"/>
  <c r="AH63" i="10" l="1"/>
  <c r="AN63" i="10" s="1"/>
  <c r="AW63" i="10" s="1"/>
  <c r="U64" i="10"/>
  <c r="W64" i="10" s="1"/>
  <c r="AP64" i="10" s="1"/>
  <c r="T64" i="10"/>
  <c r="AQ64" i="10" s="1"/>
  <c r="O274" i="10"/>
  <c r="P274" i="10" s="1"/>
  <c r="J275" i="10" s="1"/>
  <c r="L275" i="10" s="1"/>
  <c r="N275" i="10" s="1"/>
  <c r="AT274" i="10"/>
  <c r="AE274" i="10"/>
  <c r="AF274" i="10"/>
  <c r="AU273" i="10"/>
  <c r="K283" i="10"/>
  <c r="C283" i="10"/>
  <c r="I283" i="10" s="1"/>
  <c r="M283" i="10"/>
  <c r="E283" i="10"/>
  <c r="H282" i="10"/>
  <c r="D282" i="10"/>
  <c r="F282" i="10" s="1"/>
  <c r="G282" i="10" s="1"/>
  <c r="V282" i="10" s="1"/>
  <c r="A285" i="10"/>
  <c r="Y284" i="10"/>
  <c r="AS284" i="10"/>
  <c r="BB284" i="10"/>
  <c r="BC284" i="10" s="1"/>
  <c r="B284" i="10"/>
  <c r="R282" i="10"/>
  <c r="X64" i="10" l="1"/>
  <c r="O275" i="10"/>
  <c r="P275" i="10" s="1"/>
  <c r="J276" i="10" s="1"/>
  <c r="L276" i="10" s="1"/>
  <c r="N276" i="10" s="1"/>
  <c r="AT275" i="10"/>
  <c r="AE275" i="10"/>
  <c r="AF275" i="10"/>
  <c r="Z64" i="10"/>
  <c r="AR64" i="10" s="1"/>
  <c r="A286" i="10"/>
  <c r="Y285" i="10"/>
  <c r="AS285" i="10"/>
  <c r="BB285" i="10"/>
  <c r="BC285" i="10" s="1"/>
  <c r="B285" i="10"/>
  <c r="BD63" i="10"/>
  <c r="AZ63" i="10"/>
  <c r="R283" i="10"/>
  <c r="AU274" i="10"/>
  <c r="H283" i="10"/>
  <c r="D283" i="10"/>
  <c r="F283" i="10" s="1"/>
  <c r="G283" i="10" s="1"/>
  <c r="V283" i="10" s="1"/>
  <c r="K284" i="10"/>
  <c r="C284" i="10"/>
  <c r="I284" i="10" s="1"/>
  <c r="M284" i="10"/>
  <c r="E284" i="10"/>
  <c r="O276" i="10" l="1"/>
  <c r="P276" i="10"/>
  <c r="J277" i="10" s="1"/>
  <c r="L277" i="10" s="1"/>
  <c r="N277" i="10" s="1"/>
  <c r="AT276" i="10"/>
  <c r="AE276" i="10"/>
  <c r="AF276" i="10"/>
  <c r="A287" i="10"/>
  <c r="Y286" i="10"/>
  <c r="AS286" i="10"/>
  <c r="BB286" i="10"/>
  <c r="BC286" i="10" s="1"/>
  <c r="B286" i="10"/>
  <c r="AU275" i="10"/>
  <c r="Q65" i="10"/>
  <c r="R284" i="10"/>
  <c r="K285" i="10"/>
  <c r="C285" i="10"/>
  <c r="I285" i="10" s="1"/>
  <c r="M285" i="10"/>
  <c r="E285" i="10"/>
  <c r="AA64" i="10"/>
  <c r="H284" i="10"/>
  <c r="D284" i="10"/>
  <c r="F284" i="10" s="1"/>
  <c r="G284" i="10" s="1"/>
  <c r="V284" i="10" s="1"/>
  <c r="O277" i="10" l="1"/>
  <c r="P277" i="10" s="1"/>
  <c r="J278" i="10" s="1"/>
  <c r="L278" i="10" s="1"/>
  <c r="N278" i="10" s="1"/>
  <c r="AE277" i="10"/>
  <c r="AT277" i="10"/>
  <c r="AF277" i="10"/>
  <c r="H285" i="10"/>
  <c r="D285" i="10"/>
  <c r="F285" i="10" s="1"/>
  <c r="G285" i="10" s="1"/>
  <c r="V285" i="10" s="1"/>
  <c r="AI64" i="10"/>
  <c r="AJ64" i="10"/>
  <c r="AG64" i="10"/>
  <c r="AK64" i="10"/>
  <c r="AX64" i="10" s="1"/>
  <c r="A288" i="10"/>
  <c r="Y287" i="10"/>
  <c r="AS287" i="10"/>
  <c r="BB287" i="10"/>
  <c r="BC287" i="10" s="1"/>
  <c r="B287" i="10"/>
  <c r="AM65" i="10"/>
  <c r="S65" i="10"/>
  <c r="AC65" i="10"/>
  <c r="AB65" i="10"/>
  <c r="AV64" i="10" s="1"/>
  <c r="R285" i="10"/>
  <c r="K286" i="10"/>
  <c r="C286" i="10"/>
  <c r="I286" i="10" s="1"/>
  <c r="M286" i="10"/>
  <c r="E286" i="10"/>
  <c r="AU276" i="10"/>
  <c r="BA64" i="10" l="1"/>
  <c r="O278" i="10"/>
  <c r="P278" i="10"/>
  <c r="J279" i="10" s="1"/>
  <c r="L279" i="10" s="1"/>
  <c r="N279" i="10" s="1"/>
  <c r="AE278" i="10"/>
  <c r="AT278" i="10"/>
  <c r="AF278" i="10"/>
  <c r="A289" i="10"/>
  <c r="Y288" i="10"/>
  <c r="AS288" i="10"/>
  <c r="BB288" i="10"/>
  <c r="BC288" i="10" s="1"/>
  <c r="B288" i="10"/>
  <c r="AU277" i="10"/>
  <c r="H286" i="10"/>
  <c r="D286" i="10"/>
  <c r="F286" i="10" s="1"/>
  <c r="G286" i="10" s="1"/>
  <c r="V286" i="10" s="1"/>
  <c r="AO64" i="10"/>
  <c r="AY64" i="10" s="1"/>
  <c r="AH64" i="10"/>
  <c r="K287" i="10"/>
  <c r="C287" i="10"/>
  <c r="I287" i="10" s="1"/>
  <c r="M287" i="10"/>
  <c r="E287" i="10"/>
  <c r="AD65" i="10"/>
  <c r="T65" i="10"/>
  <c r="AQ65" i="10" s="1"/>
  <c r="U65" i="10"/>
  <c r="W65" i="10" s="1"/>
  <c r="AP65" i="10" s="1"/>
  <c r="AL64" i="10"/>
  <c r="R286" i="10"/>
  <c r="AN64" i="10" l="1"/>
  <c r="AW64" i="10" s="1"/>
  <c r="BD64" i="10" s="1"/>
  <c r="O279" i="10"/>
  <c r="P279" i="10" s="1"/>
  <c r="J280" i="10" s="1"/>
  <c r="L280" i="10" s="1"/>
  <c r="N280" i="10" s="1"/>
  <c r="AE279" i="10"/>
  <c r="AT279" i="10"/>
  <c r="AF279" i="10"/>
  <c r="K288" i="10"/>
  <c r="C288" i="10"/>
  <c r="I288" i="10" s="1"/>
  <c r="M288" i="10"/>
  <c r="E288" i="10"/>
  <c r="A290" i="10"/>
  <c r="Y289" i="10"/>
  <c r="AS289" i="10"/>
  <c r="BB289" i="10"/>
  <c r="BC289" i="10" s="1"/>
  <c r="B289" i="10"/>
  <c r="X65" i="10"/>
  <c r="R287" i="10"/>
  <c r="AU278" i="10"/>
  <c r="H287" i="10"/>
  <c r="D287" i="10"/>
  <c r="F287" i="10" s="1"/>
  <c r="G287" i="10" s="1"/>
  <c r="V287" i="10" s="1"/>
  <c r="AZ64" i="10" l="1"/>
  <c r="O280" i="10"/>
  <c r="P280" i="10" s="1"/>
  <c r="J281" i="10" s="1"/>
  <c r="L281" i="10" s="1"/>
  <c r="N281" i="10" s="1"/>
  <c r="AE280" i="10"/>
  <c r="AT280" i="10"/>
  <c r="AF280" i="10"/>
  <c r="Z65" i="10"/>
  <c r="AR65" i="10" s="1"/>
  <c r="K289" i="10"/>
  <c r="C289" i="10"/>
  <c r="I289" i="10" s="1"/>
  <c r="M289" i="10"/>
  <c r="E289" i="10"/>
  <c r="AU279" i="10"/>
  <c r="H288" i="10"/>
  <c r="D288" i="10"/>
  <c r="F288" i="10" s="1"/>
  <c r="G288" i="10" s="1"/>
  <c r="V288" i="10" s="1"/>
  <c r="R288" i="10"/>
  <c r="A291" i="10"/>
  <c r="Y290" i="10"/>
  <c r="AS290" i="10"/>
  <c r="BB290" i="10"/>
  <c r="BC290" i="10" s="1"/>
  <c r="B290" i="10"/>
  <c r="O281" i="10" l="1"/>
  <c r="P281" i="10" s="1"/>
  <c r="J282" i="10" s="1"/>
  <c r="L282" i="10" s="1"/>
  <c r="N282" i="10" s="1"/>
  <c r="AT281" i="10"/>
  <c r="AE281" i="10"/>
  <c r="AF281" i="10"/>
  <c r="H289" i="10"/>
  <c r="D289" i="10"/>
  <c r="F289" i="10" s="1"/>
  <c r="G289" i="10" s="1"/>
  <c r="V289" i="10" s="1"/>
  <c r="AU280" i="10"/>
  <c r="AA65" i="10"/>
  <c r="K290" i="10"/>
  <c r="C290" i="10"/>
  <c r="I290" i="10" s="1"/>
  <c r="M290" i="10"/>
  <c r="E290" i="10"/>
  <c r="Q66" i="10"/>
  <c r="A292" i="10"/>
  <c r="Y291" i="10"/>
  <c r="AS291" i="10"/>
  <c r="BB291" i="10"/>
  <c r="BC291" i="10" s="1"/>
  <c r="B291" i="10"/>
  <c r="R289" i="10"/>
  <c r="O282" i="10" l="1"/>
  <c r="P282" i="10" s="1"/>
  <c r="J283" i="10" s="1"/>
  <c r="L283" i="10" s="1"/>
  <c r="N283" i="10" s="1"/>
  <c r="AE282" i="10"/>
  <c r="AT282" i="10"/>
  <c r="AF282" i="10"/>
  <c r="AM66" i="10"/>
  <c r="S66" i="10"/>
  <c r="AC66" i="10"/>
  <c r="AB66" i="10"/>
  <c r="AV65" i="10" s="1"/>
  <c r="AU281" i="10"/>
  <c r="H290" i="10"/>
  <c r="D290" i="10"/>
  <c r="F290" i="10" s="1"/>
  <c r="G290" i="10" s="1"/>
  <c r="V290" i="10" s="1"/>
  <c r="AI65" i="10"/>
  <c r="AJ65" i="10"/>
  <c r="AG65" i="10"/>
  <c r="AK65" i="10"/>
  <c r="AX65" i="10" s="1"/>
  <c r="K291" i="10"/>
  <c r="C291" i="10"/>
  <c r="I291" i="10" s="1"/>
  <c r="M291" i="10"/>
  <c r="E291" i="10"/>
  <c r="A293" i="10"/>
  <c r="Y292" i="10"/>
  <c r="AS292" i="10"/>
  <c r="BB292" i="10"/>
  <c r="BC292" i="10" s="1"/>
  <c r="B292" i="10"/>
  <c r="R290" i="10"/>
  <c r="AL65" i="10" l="1"/>
  <c r="O283" i="10"/>
  <c r="P283" i="10" s="1"/>
  <c r="J284" i="10" s="1"/>
  <c r="L284" i="10" s="1"/>
  <c r="N284" i="10" s="1"/>
  <c r="AE283" i="10"/>
  <c r="AT283" i="10"/>
  <c r="AF283" i="10"/>
  <c r="A294" i="10"/>
  <c r="Y293" i="10"/>
  <c r="AS293" i="10"/>
  <c r="BB293" i="10"/>
  <c r="BC293" i="10" s="1"/>
  <c r="B293" i="10"/>
  <c r="H291" i="10"/>
  <c r="D291" i="10"/>
  <c r="F291" i="10" s="1"/>
  <c r="G291" i="10" s="1"/>
  <c r="V291" i="10" s="1"/>
  <c r="BA65" i="10"/>
  <c r="AO65" i="10"/>
  <c r="AY65" i="10" s="1"/>
  <c r="AH65" i="10"/>
  <c r="AU282" i="10"/>
  <c r="T66" i="10"/>
  <c r="AQ66" i="10" s="1"/>
  <c r="AD66" i="10"/>
  <c r="U66" i="10"/>
  <c r="W66" i="10" s="1"/>
  <c r="AP66" i="10" s="1"/>
  <c r="R291" i="10"/>
  <c r="K292" i="10"/>
  <c r="C292" i="10"/>
  <c r="I292" i="10" s="1"/>
  <c r="M292" i="10"/>
  <c r="E292" i="10"/>
  <c r="AN65" i="10" l="1"/>
  <c r="AW65" i="10" s="1"/>
  <c r="O284" i="10"/>
  <c r="P284" i="10"/>
  <c r="J285" i="10" s="1"/>
  <c r="L285" i="10" s="1"/>
  <c r="N285" i="10" s="1"/>
  <c r="AE284" i="10"/>
  <c r="AT284" i="10"/>
  <c r="AF284" i="10"/>
  <c r="K293" i="10"/>
  <c r="C293" i="10"/>
  <c r="I293" i="10" s="1"/>
  <c r="M293" i="10"/>
  <c r="E293" i="10"/>
  <c r="A295" i="10"/>
  <c r="Y294" i="10"/>
  <c r="AS294" i="10"/>
  <c r="BB294" i="10"/>
  <c r="BC294" i="10" s="1"/>
  <c r="B294" i="10"/>
  <c r="H292" i="10"/>
  <c r="D292" i="10"/>
  <c r="F292" i="10" s="1"/>
  <c r="G292" i="10" s="1"/>
  <c r="V292" i="10" s="1"/>
  <c r="X66" i="10"/>
  <c r="AU283" i="10"/>
  <c r="BD65" i="10"/>
  <c r="AZ65" i="10"/>
  <c r="R292" i="10"/>
  <c r="O285" i="10" l="1"/>
  <c r="P285" i="10" s="1"/>
  <c r="J286" i="10" s="1"/>
  <c r="L286" i="10" s="1"/>
  <c r="N286" i="10" s="1"/>
  <c r="AT285" i="10"/>
  <c r="AE285" i="10"/>
  <c r="AF285" i="10"/>
  <c r="A296" i="10"/>
  <c r="Y295" i="10"/>
  <c r="AS295" i="10"/>
  <c r="BB295" i="10"/>
  <c r="BC295" i="10" s="1"/>
  <c r="B295" i="10"/>
  <c r="R293" i="10"/>
  <c r="K294" i="10"/>
  <c r="C294" i="10"/>
  <c r="I294" i="10" s="1"/>
  <c r="M294" i="10"/>
  <c r="E294" i="10"/>
  <c r="H293" i="10"/>
  <c r="D293" i="10"/>
  <c r="F293" i="10" s="1"/>
  <c r="G293" i="10" s="1"/>
  <c r="V293" i="10" s="1"/>
  <c r="Z66" i="10"/>
  <c r="AR66" i="10" s="1"/>
  <c r="AU284" i="10"/>
  <c r="O286" i="10" l="1"/>
  <c r="P286" i="10" s="1"/>
  <c r="J287" i="10" s="1"/>
  <c r="L287" i="10" s="1"/>
  <c r="N287" i="10" s="1"/>
  <c r="AT286" i="10"/>
  <c r="AE286" i="10"/>
  <c r="AF286" i="10"/>
  <c r="AU285" i="10"/>
  <c r="K295" i="10"/>
  <c r="C295" i="10"/>
  <c r="I295" i="10" s="1"/>
  <c r="M295" i="10"/>
  <c r="E295" i="10"/>
  <c r="R294" i="10"/>
  <c r="AA66" i="10"/>
  <c r="A297" i="10"/>
  <c r="Y296" i="10"/>
  <c r="AS296" i="10"/>
  <c r="BB296" i="10"/>
  <c r="BC296" i="10" s="1"/>
  <c r="B296" i="10"/>
  <c r="H294" i="10"/>
  <c r="D294" i="10"/>
  <c r="F294" i="10" s="1"/>
  <c r="G294" i="10" s="1"/>
  <c r="V294" i="10" s="1"/>
  <c r="Q67" i="10"/>
  <c r="O287" i="10" l="1"/>
  <c r="P287" i="10" s="1"/>
  <c r="J288" i="10" s="1"/>
  <c r="L288" i="10" s="1"/>
  <c r="N288" i="10" s="1"/>
  <c r="AT287" i="10"/>
  <c r="AE287" i="10"/>
  <c r="AF287" i="10"/>
  <c r="H295" i="10"/>
  <c r="D295" i="10"/>
  <c r="F295" i="10" s="1"/>
  <c r="G295" i="10" s="1"/>
  <c r="V295" i="10" s="1"/>
  <c r="AI66" i="10"/>
  <c r="AJ66" i="10"/>
  <c r="AG66" i="10"/>
  <c r="AK66" i="10"/>
  <c r="AX66" i="10" s="1"/>
  <c r="K296" i="10"/>
  <c r="C296" i="10"/>
  <c r="I296" i="10" s="1"/>
  <c r="M296" i="10"/>
  <c r="E296" i="10"/>
  <c r="A298" i="10"/>
  <c r="Y297" i="10"/>
  <c r="AS297" i="10"/>
  <c r="BB297" i="10"/>
  <c r="BC297" i="10" s="1"/>
  <c r="B297" i="10"/>
  <c r="AM67" i="10"/>
  <c r="S67" i="10"/>
  <c r="AC67" i="10"/>
  <c r="AB67" i="10"/>
  <c r="AV66" i="10" s="1"/>
  <c r="AU286" i="10"/>
  <c r="R295" i="10"/>
  <c r="BA66" i="10" l="1"/>
  <c r="AL66" i="10"/>
  <c r="O288" i="10"/>
  <c r="P288" i="10"/>
  <c r="J289" i="10" s="1"/>
  <c r="L289" i="10" s="1"/>
  <c r="N289" i="10" s="1"/>
  <c r="AT288" i="10"/>
  <c r="AE288" i="10"/>
  <c r="AF288" i="10"/>
  <c r="AU287" i="10"/>
  <c r="AD67" i="10"/>
  <c r="T67" i="10"/>
  <c r="AQ67" i="10" s="1"/>
  <c r="U67" i="10"/>
  <c r="W67" i="10" s="1"/>
  <c r="AP67" i="10" s="1"/>
  <c r="H296" i="10"/>
  <c r="D296" i="10"/>
  <c r="F296" i="10" s="1"/>
  <c r="G296" i="10" s="1"/>
  <c r="V296" i="10" s="1"/>
  <c r="AO66" i="10"/>
  <c r="AY66" i="10" s="1"/>
  <c r="AH66" i="10"/>
  <c r="A299" i="10"/>
  <c r="Y298" i="10"/>
  <c r="AS298" i="10"/>
  <c r="BB298" i="10"/>
  <c r="BC298" i="10" s="1"/>
  <c r="B298" i="10"/>
  <c r="R296" i="10"/>
  <c r="K297" i="10"/>
  <c r="C297" i="10"/>
  <c r="I297" i="10" s="1"/>
  <c r="M297" i="10"/>
  <c r="E297" i="10"/>
  <c r="AN66" i="10" l="1"/>
  <c r="AW66" i="10" s="1"/>
  <c r="BD66" i="10" s="1"/>
  <c r="O289" i="10"/>
  <c r="P289" i="10" s="1"/>
  <c r="J290" i="10" s="1"/>
  <c r="L290" i="10" s="1"/>
  <c r="N290" i="10" s="1"/>
  <c r="AT289" i="10"/>
  <c r="AE289" i="10"/>
  <c r="AF289" i="10"/>
  <c r="H297" i="10"/>
  <c r="D297" i="10"/>
  <c r="F297" i="10" s="1"/>
  <c r="G297" i="10" s="1"/>
  <c r="V297" i="10" s="1"/>
  <c r="AU288" i="10"/>
  <c r="X67" i="10"/>
  <c r="K298" i="10"/>
  <c r="C298" i="10"/>
  <c r="I298" i="10" s="1"/>
  <c r="M298" i="10"/>
  <c r="E298" i="10"/>
  <c r="R297" i="10"/>
  <c r="A300" i="10"/>
  <c r="Y299" i="10"/>
  <c r="AS299" i="10"/>
  <c r="BB299" i="10"/>
  <c r="BC299" i="10" s="1"/>
  <c r="B299" i="10"/>
  <c r="AZ66" i="10"/>
  <c r="O290" i="10" l="1"/>
  <c r="P290" i="10"/>
  <c r="J291" i="10" s="1"/>
  <c r="L291" i="10" s="1"/>
  <c r="N291" i="10" s="1"/>
  <c r="AE290" i="10"/>
  <c r="AT290" i="10"/>
  <c r="AF290" i="10"/>
  <c r="Z67" i="10"/>
  <c r="AR67" i="10" s="1"/>
  <c r="A301" i="10"/>
  <c r="Y300" i="10"/>
  <c r="AS300" i="10"/>
  <c r="BB300" i="10"/>
  <c r="BC300" i="10" s="1"/>
  <c r="B300" i="10"/>
  <c r="H298" i="10"/>
  <c r="D298" i="10"/>
  <c r="F298" i="10" s="1"/>
  <c r="G298" i="10" s="1"/>
  <c r="V298" i="10" s="1"/>
  <c r="K299" i="10"/>
  <c r="C299" i="10"/>
  <c r="I299" i="10" s="1"/>
  <c r="M299" i="10"/>
  <c r="E299" i="10"/>
  <c r="R298" i="10"/>
  <c r="AU289" i="10"/>
  <c r="O291" i="10" l="1"/>
  <c r="P291" i="10" s="1"/>
  <c r="J292" i="10" s="1"/>
  <c r="L292" i="10" s="1"/>
  <c r="N292" i="10" s="1"/>
  <c r="AE291" i="10"/>
  <c r="AT291" i="10"/>
  <c r="AF291" i="10"/>
  <c r="A302" i="10"/>
  <c r="Y301" i="10"/>
  <c r="AS301" i="10"/>
  <c r="BB301" i="10"/>
  <c r="BC301" i="10" s="1"/>
  <c r="B301" i="10"/>
  <c r="AA67" i="10"/>
  <c r="R299" i="10"/>
  <c r="K300" i="10"/>
  <c r="C300" i="10"/>
  <c r="I300" i="10" s="1"/>
  <c r="M300" i="10"/>
  <c r="E300" i="10"/>
  <c r="Q68" i="10"/>
  <c r="H299" i="10"/>
  <c r="D299" i="10"/>
  <c r="F299" i="10" s="1"/>
  <c r="G299" i="10" s="1"/>
  <c r="V299" i="10" s="1"/>
  <c r="AU290" i="10"/>
  <c r="O292" i="10" l="1"/>
  <c r="P292" i="10" s="1"/>
  <c r="J293" i="10" s="1"/>
  <c r="L293" i="10" s="1"/>
  <c r="N293" i="10" s="1"/>
  <c r="AT292" i="10"/>
  <c r="AE292" i="10"/>
  <c r="AF292" i="10"/>
  <c r="H300" i="10"/>
  <c r="D300" i="10"/>
  <c r="F300" i="10" s="1"/>
  <c r="G300" i="10" s="1"/>
  <c r="V300" i="10" s="1"/>
  <c r="K301" i="10"/>
  <c r="C301" i="10"/>
  <c r="I301" i="10" s="1"/>
  <c r="M301" i="10"/>
  <c r="E301" i="10"/>
  <c r="A303" i="10"/>
  <c r="Y302" i="10"/>
  <c r="AS302" i="10"/>
  <c r="BB302" i="10"/>
  <c r="BC302" i="10" s="1"/>
  <c r="B302" i="10"/>
  <c r="AM68" i="10"/>
  <c r="S68" i="10"/>
  <c r="AC68" i="10"/>
  <c r="AB68" i="10"/>
  <c r="AV67" i="10" s="1"/>
  <c r="AI67" i="10"/>
  <c r="AJ67" i="10"/>
  <c r="AG67" i="10"/>
  <c r="AK67" i="10"/>
  <c r="AX67" i="10" s="1"/>
  <c r="R300" i="10"/>
  <c r="AU291" i="10"/>
  <c r="O293" i="10" l="1"/>
  <c r="P293" i="10" s="1"/>
  <c r="J294" i="10" s="1"/>
  <c r="L294" i="10" s="1"/>
  <c r="N294" i="10" s="1"/>
  <c r="AE293" i="10"/>
  <c r="AT293" i="10"/>
  <c r="AF293" i="10"/>
  <c r="K302" i="10"/>
  <c r="C302" i="10"/>
  <c r="I302" i="10" s="1"/>
  <c r="M302" i="10"/>
  <c r="E302" i="10"/>
  <c r="AU292" i="10"/>
  <c r="AL67" i="10"/>
  <c r="H301" i="10"/>
  <c r="D301" i="10"/>
  <c r="F301" i="10" s="1"/>
  <c r="G301" i="10" s="1"/>
  <c r="V301" i="10" s="1"/>
  <c r="A304" i="10"/>
  <c r="Y303" i="10"/>
  <c r="AS303" i="10"/>
  <c r="BB303" i="10"/>
  <c r="BC303" i="10" s="1"/>
  <c r="B303" i="10"/>
  <c r="BA67" i="10"/>
  <c r="T68" i="10"/>
  <c r="AQ68" i="10" s="1"/>
  <c r="AD68" i="10"/>
  <c r="U68" i="10"/>
  <c r="W68" i="10" s="1"/>
  <c r="AP68" i="10" s="1"/>
  <c r="R301" i="10"/>
  <c r="AO67" i="10"/>
  <c r="AY67" i="10" s="1"/>
  <c r="AH67" i="10"/>
  <c r="O294" i="10" l="1"/>
  <c r="P294" i="10"/>
  <c r="J295" i="10" s="1"/>
  <c r="L295" i="10" s="1"/>
  <c r="N295" i="10" s="1"/>
  <c r="AE294" i="10"/>
  <c r="AT294" i="10"/>
  <c r="AF294" i="10"/>
  <c r="K303" i="10"/>
  <c r="C303" i="10"/>
  <c r="I303" i="10" s="1"/>
  <c r="M303" i="10"/>
  <c r="E303" i="10"/>
  <c r="AN67" i="10"/>
  <c r="AW67" i="10" s="1"/>
  <c r="A305" i="10"/>
  <c r="Y304" i="10"/>
  <c r="AS304" i="10"/>
  <c r="BB304" i="10"/>
  <c r="BC304" i="10" s="1"/>
  <c r="B304" i="10"/>
  <c r="R302" i="10"/>
  <c r="AU293" i="10"/>
  <c r="X68" i="10"/>
  <c r="H302" i="10"/>
  <c r="D302" i="10"/>
  <c r="F302" i="10" s="1"/>
  <c r="G302" i="10" s="1"/>
  <c r="V302" i="10" s="1"/>
  <c r="O295" i="10" l="1"/>
  <c r="P295" i="10" s="1"/>
  <c r="J296" i="10" s="1"/>
  <c r="L296" i="10" s="1"/>
  <c r="N296" i="10" s="1"/>
  <c r="AE295" i="10"/>
  <c r="AT295" i="10"/>
  <c r="AF295" i="10"/>
  <c r="BD67" i="10"/>
  <c r="AZ67" i="10"/>
  <c r="R303" i="10"/>
  <c r="A306" i="10"/>
  <c r="Y305" i="10"/>
  <c r="AS305" i="10"/>
  <c r="BB305" i="10"/>
  <c r="BC305" i="10" s="1"/>
  <c r="B305" i="10"/>
  <c r="H303" i="10"/>
  <c r="D303" i="10"/>
  <c r="F303" i="10" s="1"/>
  <c r="G303" i="10" s="1"/>
  <c r="V303" i="10" s="1"/>
  <c r="Z68" i="10"/>
  <c r="AR68" i="10" s="1"/>
  <c r="K304" i="10"/>
  <c r="C304" i="10"/>
  <c r="I304" i="10" s="1"/>
  <c r="M304" i="10"/>
  <c r="E304" i="10"/>
  <c r="AU294" i="10"/>
  <c r="O296" i="10" l="1"/>
  <c r="P296" i="10" s="1"/>
  <c r="J297" i="10" s="1"/>
  <c r="L297" i="10" s="1"/>
  <c r="N297" i="10" s="1"/>
  <c r="AE296" i="10"/>
  <c r="AT296" i="10"/>
  <c r="AF296" i="10"/>
  <c r="H304" i="10"/>
  <c r="D304" i="10"/>
  <c r="F304" i="10" s="1"/>
  <c r="G304" i="10" s="1"/>
  <c r="V304" i="10" s="1"/>
  <c r="AU295" i="10"/>
  <c r="K305" i="10"/>
  <c r="C305" i="10"/>
  <c r="I305" i="10" s="1"/>
  <c r="M305" i="10"/>
  <c r="E305" i="10"/>
  <c r="AA68" i="10"/>
  <c r="Q69" i="10"/>
  <c r="R304" i="10"/>
  <c r="A307" i="10"/>
  <c r="Y306" i="10"/>
  <c r="AS306" i="10"/>
  <c r="BB306" i="10"/>
  <c r="BC306" i="10" s="1"/>
  <c r="B306" i="10"/>
  <c r="O297" i="10" l="1"/>
  <c r="P297" i="10" s="1"/>
  <c r="J298" i="10" s="1"/>
  <c r="L298" i="10" s="1"/>
  <c r="N298" i="10" s="1"/>
  <c r="AT297" i="10"/>
  <c r="AE297" i="10"/>
  <c r="AF297" i="10"/>
  <c r="H305" i="10"/>
  <c r="D305" i="10"/>
  <c r="F305" i="10" s="1"/>
  <c r="G305" i="10" s="1"/>
  <c r="V305" i="10" s="1"/>
  <c r="K306" i="10"/>
  <c r="C306" i="10"/>
  <c r="I306" i="10" s="1"/>
  <c r="M306" i="10"/>
  <c r="E306" i="10"/>
  <c r="AM69" i="10"/>
  <c r="S69" i="10"/>
  <c r="AC69" i="10"/>
  <c r="AB69" i="10"/>
  <c r="AV68" i="10" s="1"/>
  <c r="AI68" i="10"/>
  <c r="AJ68" i="10"/>
  <c r="AG68" i="10"/>
  <c r="AK68" i="10"/>
  <c r="AX68" i="10" s="1"/>
  <c r="AU296" i="10"/>
  <c r="A308" i="10"/>
  <c r="Y307" i="10"/>
  <c r="AS307" i="10"/>
  <c r="BB307" i="10"/>
  <c r="BC307" i="10" s="1"/>
  <c r="B307" i="10"/>
  <c r="R305" i="10"/>
  <c r="AL68" i="10" l="1"/>
  <c r="O298" i="10"/>
  <c r="P298" i="10"/>
  <c r="J299" i="10" s="1"/>
  <c r="L299" i="10" s="1"/>
  <c r="N299" i="10" s="1"/>
  <c r="AT298" i="10"/>
  <c r="AE298" i="10"/>
  <c r="AF298" i="10"/>
  <c r="K307" i="10"/>
  <c r="C307" i="10"/>
  <c r="I307" i="10" s="1"/>
  <c r="M307" i="10"/>
  <c r="E307" i="10"/>
  <c r="BA68" i="10"/>
  <c r="AO68" i="10"/>
  <c r="AY68" i="10" s="1"/>
  <c r="AH68" i="10"/>
  <c r="AN68" i="10" s="1"/>
  <c r="AW68" i="10" s="1"/>
  <c r="AU297" i="10"/>
  <c r="R306" i="10"/>
  <c r="AD69" i="10"/>
  <c r="T69" i="10"/>
  <c r="AQ69" i="10" s="1"/>
  <c r="U69" i="10"/>
  <c r="W69" i="10" s="1"/>
  <c r="AP69" i="10" s="1"/>
  <c r="A309" i="10"/>
  <c r="Y308" i="10"/>
  <c r="AS308" i="10"/>
  <c r="BB308" i="10"/>
  <c r="BC308" i="10" s="1"/>
  <c r="B308" i="10"/>
  <c r="H306" i="10"/>
  <c r="D306" i="10"/>
  <c r="F306" i="10" s="1"/>
  <c r="G306" i="10" s="1"/>
  <c r="V306" i="10" s="1"/>
  <c r="O299" i="10" l="1"/>
  <c r="P299" i="10" s="1"/>
  <c r="J300" i="10" s="1"/>
  <c r="L300" i="10" s="1"/>
  <c r="N300" i="10" s="1"/>
  <c r="AE299" i="10"/>
  <c r="AT299" i="10"/>
  <c r="AF299" i="10"/>
  <c r="H307" i="10"/>
  <c r="D307" i="10"/>
  <c r="F307" i="10" s="1"/>
  <c r="G307" i="10" s="1"/>
  <c r="V307" i="10" s="1"/>
  <c r="K308" i="10"/>
  <c r="C308" i="10"/>
  <c r="I308" i="10" s="1"/>
  <c r="M308" i="10"/>
  <c r="E308" i="10"/>
  <c r="BD68" i="10"/>
  <c r="AZ68" i="10"/>
  <c r="AU298" i="10"/>
  <c r="R307" i="10"/>
  <c r="A310" i="10"/>
  <c r="Y309" i="10"/>
  <c r="AS309" i="10"/>
  <c r="BB309" i="10"/>
  <c r="BC309" i="10" s="1"/>
  <c r="B309" i="10"/>
  <c r="X69" i="10"/>
  <c r="O300" i="10" l="1"/>
  <c r="P300" i="10" s="1"/>
  <c r="J301" i="10" s="1"/>
  <c r="L301" i="10" s="1"/>
  <c r="N301" i="10" s="1"/>
  <c r="AE300" i="10"/>
  <c r="AT300" i="10"/>
  <c r="AF300" i="10"/>
  <c r="AU299" i="10"/>
  <c r="Z69" i="10"/>
  <c r="AR69" i="10" s="1"/>
  <c r="K309" i="10"/>
  <c r="C309" i="10"/>
  <c r="I309" i="10" s="1"/>
  <c r="M309" i="10"/>
  <c r="E309" i="10"/>
  <c r="R308" i="10"/>
  <c r="H308" i="10"/>
  <c r="D308" i="10"/>
  <c r="F308" i="10" s="1"/>
  <c r="G308" i="10" s="1"/>
  <c r="V308" i="10" s="1"/>
  <c r="A311" i="10"/>
  <c r="Y310" i="10"/>
  <c r="AS310" i="10"/>
  <c r="BB310" i="10"/>
  <c r="BC310" i="10" s="1"/>
  <c r="B310" i="10"/>
  <c r="O301" i="10" l="1"/>
  <c r="P301" i="10" s="1"/>
  <c r="J302" i="10" s="1"/>
  <c r="L302" i="10" s="1"/>
  <c r="N302" i="10" s="1"/>
  <c r="AE301" i="10"/>
  <c r="AT301" i="10"/>
  <c r="AF301" i="10"/>
  <c r="AA69" i="10"/>
  <c r="Q70" i="10"/>
  <c r="R309" i="10"/>
  <c r="AU300" i="10"/>
  <c r="A312" i="10"/>
  <c r="Y311" i="10"/>
  <c r="AS311" i="10"/>
  <c r="BB311" i="10"/>
  <c r="BC311" i="10" s="1"/>
  <c r="B311" i="10"/>
  <c r="K310" i="10"/>
  <c r="C310" i="10"/>
  <c r="I310" i="10" s="1"/>
  <c r="M310" i="10"/>
  <c r="E310" i="10"/>
  <c r="H309" i="10"/>
  <c r="D309" i="10"/>
  <c r="F309" i="10" s="1"/>
  <c r="G309" i="10" s="1"/>
  <c r="V309" i="10" s="1"/>
  <c r="O302" i="10" l="1"/>
  <c r="P302" i="10"/>
  <c r="J303" i="10" s="1"/>
  <c r="L303" i="10" s="1"/>
  <c r="N303" i="10" s="1"/>
  <c r="AT302" i="10"/>
  <c r="AE302" i="10"/>
  <c r="AF302" i="10"/>
  <c r="AI69" i="10"/>
  <c r="AJ69" i="10"/>
  <c r="AG69" i="10"/>
  <c r="AK69" i="10"/>
  <c r="AX69" i="10" s="1"/>
  <c r="A313" i="10"/>
  <c r="Y312" i="10"/>
  <c r="AS312" i="10"/>
  <c r="BB312" i="10"/>
  <c r="BC312" i="10" s="1"/>
  <c r="B312" i="10"/>
  <c r="AM70" i="10"/>
  <c r="S70" i="10"/>
  <c r="AC70" i="10"/>
  <c r="AB70" i="10"/>
  <c r="AV69" i="10" s="1"/>
  <c r="K311" i="10"/>
  <c r="C311" i="10"/>
  <c r="I311" i="10" s="1"/>
  <c r="M311" i="10"/>
  <c r="E311" i="10"/>
  <c r="AU301" i="10"/>
  <c r="H310" i="10"/>
  <c r="D310" i="10"/>
  <c r="F310" i="10" s="1"/>
  <c r="G310" i="10" s="1"/>
  <c r="V310" i="10" s="1"/>
  <c r="R310" i="10"/>
  <c r="BA69" i="10" l="1"/>
  <c r="O303" i="10"/>
  <c r="P303" i="10" s="1"/>
  <c r="J304" i="10" s="1"/>
  <c r="L304" i="10" s="1"/>
  <c r="N304" i="10" s="1"/>
  <c r="AE303" i="10"/>
  <c r="AT303" i="10"/>
  <c r="AF303" i="10"/>
  <c r="A314" i="10"/>
  <c r="Y313" i="10"/>
  <c r="AS313" i="10"/>
  <c r="BB313" i="10"/>
  <c r="BC313" i="10" s="1"/>
  <c r="B313" i="10"/>
  <c r="T70" i="10"/>
  <c r="AQ70" i="10" s="1"/>
  <c r="AD70" i="10"/>
  <c r="U70" i="10"/>
  <c r="W70" i="10" s="1"/>
  <c r="AP70" i="10" s="1"/>
  <c r="AO69" i="10"/>
  <c r="AY69" i="10" s="1"/>
  <c r="AH69" i="10"/>
  <c r="R311" i="10"/>
  <c r="AL69" i="10"/>
  <c r="K312" i="10"/>
  <c r="C312" i="10"/>
  <c r="I312" i="10" s="1"/>
  <c r="M312" i="10"/>
  <c r="E312" i="10"/>
  <c r="H311" i="10"/>
  <c r="D311" i="10"/>
  <c r="F311" i="10" s="1"/>
  <c r="G311" i="10" s="1"/>
  <c r="V311" i="10" s="1"/>
  <c r="AU302" i="10"/>
  <c r="O304" i="10" l="1"/>
  <c r="P304" i="10" s="1"/>
  <c r="J305" i="10" s="1"/>
  <c r="L305" i="10" s="1"/>
  <c r="N305" i="10" s="1"/>
  <c r="AE304" i="10"/>
  <c r="AT304" i="10"/>
  <c r="AF304" i="10"/>
  <c r="AU303" i="10"/>
  <c r="AN69" i="10"/>
  <c r="AW69" i="10" s="1"/>
  <c r="X70" i="10"/>
  <c r="K313" i="10"/>
  <c r="C313" i="10"/>
  <c r="I313" i="10" s="1"/>
  <c r="M313" i="10"/>
  <c r="E313" i="10"/>
  <c r="H312" i="10"/>
  <c r="D312" i="10"/>
  <c r="F312" i="10" s="1"/>
  <c r="G312" i="10" s="1"/>
  <c r="V312" i="10" s="1"/>
  <c r="R312" i="10"/>
  <c r="A315" i="10"/>
  <c r="Y314" i="10"/>
  <c r="AS314" i="10"/>
  <c r="BB314" i="10"/>
  <c r="BC314" i="10" s="1"/>
  <c r="B314" i="10"/>
  <c r="O305" i="10" l="1"/>
  <c r="P305" i="10" s="1"/>
  <c r="J306" i="10" s="1"/>
  <c r="L306" i="10" s="1"/>
  <c r="N306" i="10" s="1"/>
  <c r="AE305" i="10"/>
  <c r="AT305" i="10"/>
  <c r="AF305" i="10"/>
  <c r="Z70" i="10"/>
  <c r="AR70" i="10" s="1"/>
  <c r="A316" i="10"/>
  <c r="Y315" i="10"/>
  <c r="AS315" i="10"/>
  <c r="BB315" i="10"/>
  <c r="BC315" i="10" s="1"/>
  <c r="B315" i="10"/>
  <c r="BD69" i="10"/>
  <c r="AZ69" i="10"/>
  <c r="R313" i="10"/>
  <c r="K314" i="10"/>
  <c r="C314" i="10"/>
  <c r="I314" i="10" s="1"/>
  <c r="M314" i="10"/>
  <c r="E314" i="10"/>
  <c r="H313" i="10"/>
  <c r="D313" i="10"/>
  <c r="F313" i="10" s="1"/>
  <c r="G313" i="10" s="1"/>
  <c r="V313" i="10" s="1"/>
  <c r="AU304" i="10"/>
  <c r="O306" i="10" l="1"/>
  <c r="P306" i="10" s="1"/>
  <c r="J307" i="10" s="1"/>
  <c r="L307" i="10" s="1"/>
  <c r="N307" i="10" s="1"/>
  <c r="AT306" i="10"/>
  <c r="AE306" i="10"/>
  <c r="AF306" i="10"/>
  <c r="A317" i="10"/>
  <c r="Y316" i="10"/>
  <c r="AS316" i="10"/>
  <c r="BB316" i="10"/>
  <c r="BC316" i="10" s="1"/>
  <c r="B316" i="10"/>
  <c r="AA70" i="10"/>
  <c r="AU305" i="10"/>
  <c r="R314" i="10"/>
  <c r="Q71" i="10"/>
  <c r="K315" i="10"/>
  <c r="C315" i="10"/>
  <c r="I315" i="10" s="1"/>
  <c r="M315" i="10"/>
  <c r="E315" i="10"/>
  <c r="H314" i="10"/>
  <c r="D314" i="10"/>
  <c r="F314" i="10" s="1"/>
  <c r="G314" i="10" s="1"/>
  <c r="V314" i="10" s="1"/>
  <c r="O307" i="10" l="1"/>
  <c r="P307" i="10" s="1"/>
  <c r="J308" i="10" s="1"/>
  <c r="L308" i="10" s="1"/>
  <c r="N308" i="10" s="1"/>
  <c r="AT307" i="10"/>
  <c r="AE307" i="10"/>
  <c r="AF307" i="10"/>
  <c r="A318" i="10"/>
  <c r="Y317" i="10"/>
  <c r="AS317" i="10"/>
  <c r="BB317" i="10"/>
  <c r="BC317" i="10" s="1"/>
  <c r="B317" i="10"/>
  <c r="H315" i="10"/>
  <c r="D315" i="10"/>
  <c r="F315" i="10" s="1"/>
  <c r="G315" i="10" s="1"/>
  <c r="V315" i="10" s="1"/>
  <c r="R315" i="10"/>
  <c r="AU306" i="10"/>
  <c r="AI70" i="10"/>
  <c r="AJ70" i="10"/>
  <c r="AG70" i="10"/>
  <c r="AK70" i="10"/>
  <c r="AX70" i="10" s="1"/>
  <c r="AM71" i="10"/>
  <c r="S71" i="10"/>
  <c r="AC71" i="10"/>
  <c r="AB71" i="10"/>
  <c r="AV70" i="10" s="1"/>
  <c r="K316" i="10"/>
  <c r="C316" i="10"/>
  <c r="I316" i="10" s="1"/>
  <c r="M316" i="10"/>
  <c r="E316" i="10"/>
  <c r="O308" i="10" l="1"/>
  <c r="P308" i="10"/>
  <c r="J309" i="10" s="1"/>
  <c r="L309" i="10" s="1"/>
  <c r="N309" i="10" s="1"/>
  <c r="AT308" i="10"/>
  <c r="AE308" i="10"/>
  <c r="AF308" i="10"/>
  <c r="BA70" i="10"/>
  <c r="K317" i="10"/>
  <c r="C317" i="10"/>
  <c r="I317" i="10" s="1"/>
  <c r="M317" i="10"/>
  <c r="E317" i="10"/>
  <c r="A319" i="10"/>
  <c r="Y318" i="10"/>
  <c r="AS318" i="10"/>
  <c r="BB318" i="10"/>
  <c r="BC318" i="10" s="1"/>
  <c r="B318" i="10"/>
  <c r="AD71" i="10"/>
  <c r="T71" i="10"/>
  <c r="AQ71" i="10" s="1"/>
  <c r="U71" i="10"/>
  <c r="W71" i="10" s="1"/>
  <c r="AP71" i="10" s="1"/>
  <c r="AU307" i="10"/>
  <c r="R316" i="10"/>
  <c r="H316" i="10"/>
  <c r="D316" i="10"/>
  <c r="F316" i="10" s="1"/>
  <c r="G316" i="10" s="1"/>
  <c r="V316" i="10" s="1"/>
  <c r="AO70" i="10"/>
  <c r="AY70" i="10" s="1"/>
  <c r="AH70" i="10"/>
  <c r="AL70" i="10"/>
  <c r="X71" i="10" l="1"/>
  <c r="O309" i="10"/>
  <c r="P309" i="10" s="1"/>
  <c r="J310" i="10" s="1"/>
  <c r="L310" i="10" s="1"/>
  <c r="N310" i="10" s="1"/>
  <c r="AE309" i="10"/>
  <c r="AT309" i="10"/>
  <c r="AF309" i="10"/>
  <c r="Z71" i="10"/>
  <c r="AR71" i="10" s="1"/>
  <c r="K318" i="10"/>
  <c r="C318" i="10"/>
  <c r="I318" i="10" s="1"/>
  <c r="M318" i="10"/>
  <c r="E318" i="10"/>
  <c r="AN70" i="10"/>
  <c r="AW70" i="10" s="1"/>
  <c r="A320" i="10"/>
  <c r="Y319" i="10"/>
  <c r="AS319" i="10"/>
  <c r="BB319" i="10"/>
  <c r="BC319" i="10" s="1"/>
  <c r="B319" i="10"/>
  <c r="R317" i="10"/>
  <c r="H317" i="10"/>
  <c r="D317" i="10"/>
  <c r="F317" i="10" s="1"/>
  <c r="G317" i="10" s="1"/>
  <c r="V317" i="10" s="1"/>
  <c r="AU308" i="10"/>
  <c r="O310" i="10" l="1"/>
  <c r="P310" i="10"/>
  <c r="J311" i="10" s="1"/>
  <c r="L311" i="10" s="1"/>
  <c r="N311" i="10" s="1"/>
  <c r="AT310" i="10"/>
  <c r="AE310" i="10"/>
  <c r="AF310" i="10"/>
  <c r="BD70" i="10"/>
  <c r="AZ70" i="10"/>
  <c r="R318" i="10"/>
  <c r="A321" i="10"/>
  <c r="Y320" i="10"/>
  <c r="AS320" i="10"/>
  <c r="BB320" i="10"/>
  <c r="BC320" i="10" s="1"/>
  <c r="B320" i="10"/>
  <c r="H318" i="10"/>
  <c r="D318" i="10"/>
  <c r="F318" i="10" s="1"/>
  <c r="G318" i="10" s="1"/>
  <c r="V318" i="10" s="1"/>
  <c r="AU309" i="10"/>
  <c r="AA71" i="10"/>
  <c r="K319" i="10"/>
  <c r="C319" i="10"/>
  <c r="I319" i="10" s="1"/>
  <c r="M319" i="10"/>
  <c r="E319" i="10"/>
  <c r="Q72" i="10"/>
  <c r="O311" i="10" l="1"/>
  <c r="P311" i="10" s="1"/>
  <c r="J312" i="10" s="1"/>
  <c r="L312" i="10" s="1"/>
  <c r="N312" i="10" s="1"/>
  <c r="AE311" i="10"/>
  <c r="AT311" i="10"/>
  <c r="AF311" i="10"/>
  <c r="AI71" i="10"/>
  <c r="AJ71" i="10"/>
  <c r="AG71" i="10"/>
  <c r="AK71" i="10"/>
  <c r="AX71" i="10" s="1"/>
  <c r="K320" i="10"/>
  <c r="C320" i="10"/>
  <c r="I320" i="10" s="1"/>
  <c r="M320" i="10"/>
  <c r="E320" i="10"/>
  <c r="AM72" i="10"/>
  <c r="S72" i="10"/>
  <c r="AC72" i="10"/>
  <c r="BA71" i="10" s="1"/>
  <c r="AB72" i="10"/>
  <c r="AV71" i="10" s="1"/>
  <c r="H319" i="10"/>
  <c r="D319" i="10"/>
  <c r="F319" i="10" s="1"/>
  <c r="G319" i="10" s="1"/>
  <c r="V319" i="10" s="1"/>
  <c r="R319" i="10"/>
  <c r="A322" i="10"/>
  <c r="Y321" i="10"/>
  <c r="AS321" i="10"/>
  <c r="BB321" i="10"/>
  <c r="BC321" i="10" s="1"/>
  <c r="B321" i="10"/>
  <c r="AU310" i="10"/>
  <c r="O312" i="10" l="1"/>
  <c r="P312" i="10" s="1"/>
  <c r="J313" i="10" s="1"/>
  <c r="L313" i="10" s="1"/>
  <c r="N313" i="10" s="1"/>
  <c r="AE312" i="10"/>
  <c r="AT312" i="10"/>
  <c r="AF312" i="10"/>
  <c r="AU311" i="10"/>
  <c r="T72" i="10"/>
  <c r="AQ72" i="10" s="1"/>
  <c r="AD72" i="10"/>
  <c r="U72" i="10"/>
  <c r="W72" i="10" s="1"/>
  <c r="AP72" i="10" s="1"/>
  <c r="R320" i="10"/>
  <c r="A323" i="10"/>
  <c r="Y322" i="10"/>
  <c r="AS322" i="10"/>
  <c r="BB322" i="10"/>
  <c r="BC322" i="10" s="1"/>
  <c r="B322" i="10"/>
  <c r="AL71" i="10"/>
  <c r="AO71" i="10"/>
  <c r="AY71" i="10" s="1"/>
  <c r="AH71" i="10"/>
  <c r="H320" i="10"/>
  <c r="D320" i="10"/>
  <c r="F320" i="10" s="1"/>
  <c r="G320" i="10" s="1"/>
  <c r="V320" i="10" s="1"/>
  <c r="K321" i="10"/>
  <c r="C321" i="10"/>
  <c r="I321" i="10" s="1"/>
  <c r="M321" i="10"/>
  <c r="E321" i="10"/>
  <c r="AN71" i="10" l="1"/>
  <c r="AW71" i="10" s="1"/>
  <c r="O313" i="10"/>
  <c r="P313" i="10" s="1"/>
  <c r="J314" i="10" s="1"/>
  <c r="L314" i="10" s="1"/>
  <c r="N314" i="10" s="1"/>
  <c r="AT313" i="10"/>
  <c r="AE313" i="10"/>
  <c r="AF313" i="10"/>
  <c r="A324" i="10"/>
  <c r="Y323" i="10"/>
  <c r="AS323" i="10"/>
  <c r="BB323" i="10"/>
  <c r="BC323" i="10" s="1"/>
  <c r="B323" i="10"/>
  <c r="R321" i="10"/>
  <c r="AU312" i="10"/>
  <c r="BD71" i="10"/>
  <c r="AZ71" i="10"/>
  <c r="X72" i="10"/>
  <c r="H321" i="10"/>
  <c r="D321" i="10"/>
  <c r="F321" i="10" s="1"/>
  <c r="G321" i="10" s="1"/>
  <c r="V321" i="10" s="1"/>
  <c r="K322" i="10"/>
  <c r="C322" i="10"/>
  <c r="I322" i="10" s="1"/>
  <c r="M322" i="10"/>
  <c r="E322" i="10"/>
  <c r="O314" i="10" l="1"/>
  <c r="P314" i="10"/>
  <c r="J315" i="10" s="1"/>
  <c r="L315" i="10" s="1"/>
  <c r="N315" i="10" s="1"/>
  <c r="AT314" i="10"/>
  <c r="AE314" i="10"/>
  <c r="AF314" i="10"/>
  <c r="R322" i="10"/>
  <c r="A325" i="10"/>
  <c r="Y324" i="10"/>
  <c r="AS324" i="10"/>
  <c r="BB324" i="10"/>
  <c r="BC324" i="10" s="1"/>
  <c r="B324" i="10"/>
  <c r="Z72" i="10"/>
  <c r="AR72" i="10" s="1"/>
  <c r="K323" i="10"/>
  <c r="C323" i="10"/>
  <c r="I323" i="10" s="1"/>
  <c r="M323" i="10"/>
  <c r="E323" i="10"/>
  <c r="H322" i="10"/>
  <c r="D322" i="10"/>
  <c r="F322" i="10" s="1"/>
  <c r="G322" i="10" s="1"/>
  <c r="V322" i="10" s="1"/>
  <c r="AU313" i="10"/>
  <c r="O315" i="10" l="1"/>
  <c r="P315" i="10" s="1"/>
  <c r="J316" i="10" s="1"/>
  <c r="L316" i="10" s="1"/>
  <c r="N316" i="10" s="1"/>
  <c r="AE315" i="10"/>
  <c r="AT315" i="10"/>
  <c r="AF315" i="10"/>
  <c r="AA72" i="10"/>
  <c r="R323" i="10"/>
  <c r="Q73" i="10"/>
  <c r="K324" i="10"/>
  <c r="C324" i="10"/>
  <c r="I324" i="10" s="1"/>
  <c r="M324" i="10"/>
  <c r="E324" i="10"/>
  <c r="H323" i="10"/>
  <c r="D323" i="10"/>
  <c r="F323" i="10" s="1"/>
  <c r="G323" i="10" s="1"/>
  <c r="V323" i="10" s="1"/>
  <c r="A326" i="10"/>
  <c r="Y325" i="10"/>
  <c r="AS325" i="10"/>
  <c r="BB325" i="10"/>
  <c r="BC325" i="10" s="1"/>
  <c r="B325" i="10"/>
  <c r="AU314" i="10"/>
  <c r="O316" i="10" l="1"/>
  <c r="P316" i="10" s="1"/>
  <c r="J317" i="10" s="1"/>
  <c r="L317" i="10" s="1"/>
  <c r="N317" i="10" s="1"/>
  <c r="AT316" i="10"/>
  <c r="AE316" i="10"/>
  <c r="AF316" i="10"/>
  <c r="R324" i="10"/>
  <c r="H324" i="10"/>
  <c r="D324" i="10"/>
  <c r="F324" i="10" s="1"/>
  <c r="G324" i="10" s="1"/>
  <c r="V324" i="10" s="1"/>
  <c r="AI72" i="10"/>
  <c r="AJ72" i="10"/>
  <c r="AG72" i="10"/>
  <c r="AK72" i="10"/>
  <c r="AX72" i="10" s="1"/>
  <c r="A327" i="10"/>
  <c r="Y326" i="10"/>
  <c r="AS326" i="10"/>
  <c r="BB326" i="10"/>
  <c r="BC326" i="10" s="1"/>
  <c r="B326" i="10"/>
  <c r="AM73" i="10"/>
  <c r="S73" i="10"/>
  <c r="AC73" i="10"/>
  <c r="AB73" i="10"/>
  <c r="AV72" i="10" s="1"/>
  <c r="K325" i="10"/>
  <c r="C325" i="10"/>
  <c r="I325" i="10" s="1"/>
  <c r="M325" i="10"/>
  <c r="E325" i="10"/>
  <c r="AU315" i="10"/>
  <c r="BA72" i="10" l="1"/>
  <c r="O317" i="10"/>
  <c r="P317" i="10" s="1"/>
  <c r="J318" i="10" s="1"/>
  <c r="L318" i="10" s="1"/>
  <c r="N318" i="10" s="1"/>
  <c r="AE317" i="10"/>
  <c r="AT317" i="10"/>
  <c r="AF317" i="10"/>
  <c r="R325" i="10"/>
  <c r="K326" i="10"/>
  <c r="C326" i="10"/>
  <c r="I326" i="10" s="1"/>
  <c r="M326" i="10"/>
  <c r="E326" i="10"/>
  <c r="AO72" i="10"/>
  <c r="AY72" i="10" s="1"/>
  <c r="AH72" i="10"/>
  <c r="AL72" i="10"/>
  <c r="H325" i="10"/>
  <c r="D325" i="10"/>
  <c r="F325" i="10" s="1"/>
  <c r="G325" i="10" s="1"/>
  <c r="V325" i="10" s="1"/>
  <c r="AU316" i="10"/>
  <c r="A328" i="10"/>
  <c r="Y327" i="10"/>
  <c r="AS327" i="10"/>
  <c r="BB327" i="10"/>
  <c r="BC327" i="10" s="1"/>
  <c r="B327" i="10"/>
  <c r="AD73" i="10"/>
  <c r="T73" i="10"/>
  <c r="AQ73" i="10" s="1"/>
  <c r="U73" i="10"/>
  <c r="W73" i="10" s="1"/>
  <c r="AP73" i="10" s="1"/>
  <c r="O318" i="10" l="1"/>
  <c r="P318" i="10" s="1"/>
  <c r="J319" i="10" s="1"/>
  <c r="L319" i="10" s="1"/>
  <c r="N319" i="10" s="1"/>
  <c r="AE318" i="10"/>
  <c r="AT318" i="10"/>
  <c r="AF318" i="10"/>
  <c r="AU317" i="10"/>
  <c r="AN72" i="10"/>
  <c r="AW72" i="10" s="1"/>
  <c r="X73" i="10"/>
  <c r="R326" i="10"/>
  <c r="K327" i="10"/>
  <c r="C327" i="10"/>
  <c r="I327" i="10" s="1"/>
  <c r="M327" i="10"/>
  <c r="E327" i="10"/>
  <c r="H326" i="10"/>
  <c r="D326" i="10"/>
  <c r="F326" i="10" s="1"/>
  <c r="G326" i="10" s="1"/>
  <c r="V326" i="10" s="1"/>
  <c r="A329" i="10"/>
  <c r="Y328" i="10"/>
  <c r="AS328" i="10"/>
  <c r="BB328" i="10"/>
  <c r="BC328" i="10" s="1"/>
  <c r="B328" i="10"/>
  <c r="O319" i="10" l="1"/>
  <c r="P319" i="10" s="1"/>
  <c r="J320" i="10" s="1"/>
  <c r="L320" i="10" s="1"/>
  <c r="N320" i="10" s="1"/>
  <c r="AE319" i="10"/>
  <c r="AT319" i="10"/>
  <c r="AF319" i="10"/>
  <c r="R327" i="10"/>
  <c r="H327" i="10"/>
  <c r="D327" i="10"/>
  <c r="F327" i="10" s="1"/>
  <c r="G327" i="10" s="1"/>
  <c r="V327" i="10" s="1"/>
  <c r="K328" i="10"/>
  <c r="C328" i="10"/>
  <c r="I328" i="10" s="1"/>
  <c r="M328" i="10"/>
  <c r="E328" i="10"/>
  <c r="Z73" i="10"/>
  <c r="AR73" i="10" s="1"/>
  <c r="A330" i="10"/>
  <c r="Y329" i="10"/>
  <c r="AS329" i="10"/>
  <c r="BB329" i="10"/>
  <c r="BC329" i="10" s="1"/>
  <c r="B329" i="10"/>
  <c r="BD72" i="10"/>
  <c r="AZ72" i="10"/>
  <c r="AU318" i="10"/>
  <c r="O320" i="10" l="1"/>
  <c r="P320" i="10"/>
  <c r="J321" i="10" s="1"/>
  <c r="L321" i="10" s="1"/>
  <c r="N321" i="10" s="1"/>
  <c r="AE320" i="10"/>
  <c r="AT320" i="10"/>
  <c r="AF320" i="10"/>
  <c r="AU319" i="10"/>
  <c r="Q74" i="10"/>
  <c r="R328" i="10"/>
  <c r="A331" i="10"/>
  <c r="Y330" i="10"/>
  <c r="AS330" i="10"/>
  <c r="BB330" i="10"/>
  <c r="BC330" i="10" s="1"/>
  <c r="B330" i="10"/>
  <c r="H328" i="10"/>
  <c r="D328" i="10"/>
  <c r="F328" i="10" s="1"/>
  <c r="G328" i="10" s="1"/>
  <c r="V328" i="10" s="1"/>
  <c r="AA73" i="10"/>
  <c r="K329" i="10"/>
  <c r="C329" i="10"/>
  <c r="I329" i="10" s="1"/>
  <c r="M329" i="10"/>
  <c r="E329" i="10"/>
  <c r="O321" i="10" l="1"/>
  <c r="P321" i="10" s="1"/>
  <c r="J322" i="10" s="1"/>
  <c r="L322" i="10" s="1"/>
  <c r="N322" i="10" s="1"/>
  <c r="AT321" i="10"/>
  <c r="AE321" i="10"/>
  <c r="AF321" i="10"/>
  <c r="K330" i="10"/>
  <c r="C330" i="10"/>
  <c r="I330" i="10" s="1"/>
  <c r="M330" i="10"/>
  <c r="E330" i="10"/>
  <c r="H329" i="10"/>
  <c r="D329" i="10"/>
  <c r="F329" i="10" s="1"/>
  <c r="G329" i="10" s="1"/>
  <c r="V329" i="10" s="1"/>
  <c r="AU320" i="10"/>
  <c r="AM74" i="10"/>
  <c r="S74" i="10"/>
  <c r="AC74" i="10"/>
  <c r="AB74" i="10"/>
  <c r="AV73" i="10" s="1"/>
  <c r="AI73" i="10"/>
  <c r="AJ73" i="10"/>
  <c r="AG73" i="10"/>
  <c r="AK73" i="10"/>
  <c r="AX73" i="10" s="1"/>
  <c r="A332" i="10"/>
  <c r="Y331" i="10"/>
  <c r="AS331" i="10"/>
  <c r="BB331" i="10"/>
  <c r="BC331" i="10" s="1"/>
  <c r="B331" i="10"/>
  <c r="R329" i="10"/>
  <c r="O322" i="10" l="1"/>
  <c r="P322" i="10"/>
  <c r="J323" i="10" s="1"/>
  <c r="L323" i="10" s="1"/>
  <c r="N323" i="10" s="1"/>
  <c r="AT322" i="10"/>
  <c r="AE322" i="10"/>
  <c r="AF322" i="10"/>
  <c r="K331" i="10"/>
  <c r="C331" i="10"/>
  <c r="I331" i="10" s="1"/>
  <c r="M331" i="10"/>
  <c r="E331" i="10"/>
  <c r="BA73" i="10"/>
  <c r="AU321" i="10"/>
  <c r="T74" i="10"/>
  <c r="AQ74" i="10" s="1"/>
  <c r="AD74" i="10"/>
  <c r="U74" i="10"/>
  <c r="W74" i="10" s="1"/>
  <c r="AP74" i="10" s="1"/>
  <c r="R330" i="10"/>
  <c r="A333" i="10"/>
  <c r="Y332" i="10"/>
  <c r="AS332" i="10"/>
  <c r="BB332" i="10"/>
  <c r="BC332" i="10" s="1"/>
  <c r="B332" i="10"/>
  <c r="H330" i="10"/>
  <c r="D330" i="10"/>
  <c r="F330" i="10" s="1"/>
  <c r="G330" i="10" s="1"/>
  <c r="V330" i="10" s="1"/>
  <c r="AO73" i="10"/>
  <c r="AY73" i="10" s="1"/>
  <c r="AH73" i="10"/>
  <c r="AL73" i="10"/>
  <c r="O323" i="10" l="1"/>
  <c r="P323" i="10" s="1"/>
  <c r="J324" i="10" s="1"/>
  <c r="L324" i="10" s="1"/>
  <c r="N324" i="10" s="1"/>
  <c r="AE323" i="10"/>
  <c r="AT323" i="10"/>
  <c r="AF323" i="10"/>
  <c r="K332" i="10"/>
  <c r="C332" i="10"/>
  <c r="I332" i="10" s="1"/>
  <c r="M332" i="10"/>
  <c r="E332" i="10"/>
  <c r="AU322" i="10"/>
  <c r="R331" i="10"/>
  <c r="AN73" i="10"/>
  <c r="AW73" i="10" s="1"/>
  <c r="X74" i="10"/>
  <c r="A334" i="10"/>
  <c r="Y333" i="10"/>
  <c r="AS333" i="10"/>
  <c r="BB333" i="10"/>
  <c r="BC333" i="10" s="1"/>
  <c r="B333" i="10"/>
  <c r="H331" i="10"/>
  <c r="D331" i="10"/>
  <c r="F331" i="10" s="1"/>
  <c r="G331" i="10" s="1"/>
  <c r="V331" i="10" s="1"/>
  <c r="O324" i="10" l="1"/>
  <c r="P324" i="10" s="1"/>
  <c r="J325" i="10" s="1"/>
  <c r="L325" i="10" s="1"/>
  <c r="N325" i="10" s="1"/>
  <c r="AT324" i="10"/>
  <c r="AE324" i="10"/>
  <c r="AF324" i="10"/>
  <c r="A335" i="10"/>
  <c r="Y334" i="10"/>
  <c r="AS334" i="10"/>
  <c r="BB334" i="10"/>
  <c r="BC334" i="10" s="1"/>
  <c r="B334" i="10"/>
  <c r="Z74" i="10"/>
  <c r="AR74" i="10" s="1"/>
  <c r="AU323" i="10"/>
  <c r="R332" i="10"/>
  <c r="K333" i="10"/>
  <c r="C333" i="10"/>
  <c r="I333" i="10" s="1"/>
  <c r="M333" i="10"/>
  <c r="E333" i="10"/>
  <c r="BD73" i="10"/>
  <c r="AZ73" i="10"/>
  <c r="H332" i="10"/>
  <c r="D332" i="10"/>
  <c r="F332" i="10" s="1"/>
  <c r="G332" i="10" s="1"/>
  <c r="V332" i="10" s="1"/>
  <c r="Q75" i="10" l="1"/>
  <c r="AC75" i="10" s="1"/>
  <c r="O325" i="10"/>
  <c r="P325" i="10" s="1"/>
  <c r="J326" i="10" s="1"/>
  <c r="L326" i="10" s="1"/>
  <c r="N326" i="10" s="1"/>
  <c r="AE325" i="10"/>
  <c r="AT325" i="10"/>
  <c r="AF325" i="10"/>
  <c r="AM75" i="10"/>
  <c r="AU324" i="10"/>
  <c r="K334" i="10"/>
  <c r="C334" i="10"/>
  <c r="I334" i="10" s="1"/>
  <c r="M334" i="10"/>
  <c r="E334" i="10"/>
  <c r="R333" i="10"/>
  <c r="A336" i="10"/>
  <c r="Y335" i="10"/>
  <c r="AS335" i="10"/>
  <c r="BB335" i="10"/>
  <c r="BC335" i="10" s="1"/>
  <c r="B335" i="10"/>
  <c r="H333" i="10"/>
  <c r="D333" i="10"/>
  <c r="F333" i="10" s="1"/>
  <c r="G333" i="10" s="1"/>
  <c r="V333" i="10" s="1"/>
  <c r="AA74" i="10"/>
  <c r="S75" i="10" l="1"/>
  <c r="AD75" i="10" s="1"/>
  <c r="AB75" i="10"/>
  <c r="AV74" i="10" s="1"/>
  <c r="O326" i="10"/>
  <c r="P326" i="10"/>
  <c r="J327" i="10" s="1"/>
  <c r="L327" i="10" s="1"/>
  <c r="N327" i="10" s="1"/>
  <c r="AT326" i="10"/>
  <c r="AE326" i="10"/>
  <c r="AF326" i="10"/>
  <c r="K335" i="10"/>
  <c r="C335" i="10"/>
  <c r="I335" i="10" s="1"/>
  <c r="M335" i="10"/>
  <c r="E335" i="10"/>
  <c r="AU325" i="10"/>
  <c r="AI74" i="10"/>
  <c r="AJ74" i="10"/>
  <c r="AG74" i="10"/>
  <c r="AK74" i="10"/>
  <c r="AX74" i="10" s="1"/>
  <c r="A337" i="10"/>
  <c r="Y336" i="10"/>
  <c r="AS336" i="10"/>
  <c r="BB336" i="10"/>
  <c r="BC336" i="10" s="1"/>
  <c r="B336" i="10"/>
  <c r="R334" i="10"/>
  <c r="H334" i="10"/>
  <c r="D334" i="10"/>
  <c r="F334" i="10" s="1"/>
  <c r="G334" i="10" s="1"/>
  <c r="V334" i="10" s="1"/>
  <c r="BA74" i="10" l="1"/>
  <c r="U75" i="10"/>
  <c r="W75" i="10" s="1"/>
  <c r="AP75" i="10" s="1"/>
  <c r="T75" i="10"/>
  <c r="AQ75" i="10" s="1"/>
  <c r="X75" i="10"/>
  <c r="Z75" i="10" s="1"/>
  <c r="AR75" i="10" s="1"/>
  <c r="O327" i="10"/>
  <c r="P327" i="10" s="1"/>
  <c r="J328" i="10" s="1"/>
  <c r="L328" i="10" s="1"/>
  <c r="N328" i="10" s="1"/>
  <c r="AE327" i="10"/>
  <c r="AT327" i="10"/>
  <c r="AF327" i="10"/>
  <c r="AU326" i="10"/>
  <c r="A338" i="10"/>
  <c r="Y337" i="10"/>
  <c r="AS337" i="10"/>
  <c r="BB337" i="10"/>
  <c r="BC337" i="10" s="1"/>
  <c r="B337" i="10"/>
  <c r="R335" i="10"/>
  <c r="AO74" i="10"/>
  <c r="AY74" i="10" s="1"/>
  <c r="AH74" i="10"/>
  <c r="AL74" i="10"/>
  <c r="H335" i="10"/>
  <c r="D335" i="10"/>
  <c r="F335" i="10" s="1"/>
  <c r="G335" i="10" s="1"/>
  <c r="V335" i="10" s="1"/>
  <c r="K336" i="10"/>
  <c r="C336" i="10"/>
  <c r="I336" i="10" s="1"/>
  <c r="M336" i="10"/>
  <c r="E336" i="10"/>
  <c r="O328" i="10" l="1"/>
  <c r="P328" i="10" s="1"/>
  <c r="J329" i="10" s="1"/>
  <c r="L329" i="10" s="1"/>
  <c r="N329" i="10" s="1"/>
  <c r="AT328" i="10"/>
  <c r="AE328" i="10"/>
  <c r="AF328" i="10"/>
  <c r="A339" i="10"/>
  <c r="Y338" i="10"/>
  <c r="AS338" i="10"/>
  <c r="BB338" i="10"/>
  <c r="BC338" i="10" s="1"/>
  <c r="B338" i="10"/>
  <c r="AU327" i="10"/>
  <c r="K337" i="10"/>
  <c r="C337" i="10"/>
  <c r="I337" i="10" s="1"/>
  <c r="M337" i="10"/>
  <c r="E337" i="10"/>
  <c r="R336" i="10"/>
  <c r="AN74" i="10"/>
  <c r="AW74" i="10" s="1"/>
  <c r="AA75" i="10"/>
  <c r="H336" i="10"/>
  <c r="D336" i="10"/>
  <c r="F336" i="10" s="1"/>
  <c r="G336" i="10" s="1"/>
  <c r="V336" i="10" s="1"/>
  <c r="Q76" i="10"/>
  <c r="O329" i="10" l="1"/>
  <c r="P329" i="10" s="1"/>
  <c r="J330" i="10" s="1"/>
  <c r="L330" i="10" s="1"/>
  <c r="N330" i="10" s="1"/>
  <c r="AT329" i="10"/>
  <c r="AE329" i="10"/>
  <c r="AF329" i="10"/>
  <c r="R337" i="10"/>
  <c r="K338" i="10"/>
  <c r="C338" i="10"/>
  <c r="I338" i="10" s="1"/>
  <c r="M338" i="10"/>
  <c r="E338" i="10"/>
  <c r="AI75" i="10"/>
  <c r="AJ75" i="10"/>
  <c r="AG75" i="10"/>
  <c r="AK75" i="10"/>
  <c r="AX75" i="10" s="1"/>
  <c r="AU328" i="10"/>
  <c r="H337" i="10"/>
  <c r="D337" i="10"/>
  <c r="F337" i="10" s="1"/>
  <c r="G337" i="10" s="1"/>
  <c r="V337" i="10" s="1"/>
  <c r="BD74" i="10"/>
  <c r="AZ74" i="10"/>
  <c r="A340" i="10"/>
  <c r="Y339" i="10"/>
  <c r="AS339" i="10"/>
  <c r="BB339" i="10"/>
  <c r="BC339" i="10" s="1"/>
  <c r="B339" i="10"/>
  <c r="AM76" i="10"/>
  <c r="S76" i="10"/>
  <c r="AC76" i="10"/>
  <c r="AB76" i="10"/>
  <c r="AV75" i="10" s="1"/>
  <c r="O330" i="10" l="1"/>
  <c r="P330" i="10"/>
  <c r="J331" i="10" s="1"/>
  <c r="L331" i="10" s="1"/>
  <c r="N331" i="10" s="1"/>
  <c r="AE330" i="10"/>
  <c r="AT330" i="10"/>
  <c r="AF330" i="10"/>
  <c r="R338" i="10"/>
  <c r="A341" i="10"/>
  <c r="Y340" i="10"/>
  <c r="AS340" i="10"/>
  <c r="BB340" i="10"/>
  <c r="BC340" i="10" s="1"/>
  <c r="B340" i="10"/>
  <c r="H338" i="10"/>
  <c r="D338" i="10"/>
  <c r="F338" i="10" s="1"/>
  <c r="G338" i="10" s="1"/>
  <c r="V338" i="10" s="1"/>
  <c r="AU329" i="10"/>
  <c r="BA75" i="10"/>
  <c r="T76" i="10"/>
  <c r="AQ76" i="10" s="1"/>
  <c r="AD76" i="10"/>
  <c r="U76" i="10"/>
  <c r="W76" i="10" s="1"/>
  <c r="AP76" i="10" s="1"/>
  <c r="AO75" i="10"/>
  <c r="AY75" i="10" s="1"/>
  <c r="AH75" i="10"/>
  <c r="AN75" i="10" s="1"/>
  <c r="AW75" i="10" s="1"/>
  <c r="K339" i="10"/>
  <c r="C339" i="10"/>
  <c r="I339" i="10" s="1"/>
  <c r="M339" i="10"/>
  <c r="E339" i="10"/>
  <c r="AL75" i="10"/>
  <c r="O331" i="10" l="1"/>
  <c r="P331" i="10" s="1"/>
  <c r="J332" i="10" s="1"/>
  <c r="L332" i="10" s="1"/>
  <c r="N332" i="10" s="1"/>
  <c r="AT331" i="10"/>
  <c r="AE331" i="10"/>
  <c r="AF331" i="10"/>
  <c r="BD75" i="10"/>
  <c r="AZ75" i="10"/>
  <c r="A342" i="10"/>
  <c r="Y341" i="10"/>
  <c r="AS341" i="10"/>
  <c r="BB341" i="10"/>
  <c r="BC341" i="10" s="1"/>
  <c r="B341" i="10"/>
  <c r="AU330" i="10"/>
  <c r="R339" i="10"/>
  <c r="K340" i="10"/>
  <c r="C340" i="10"/>
  <c r="I340" i="10" s="1"/>
  <c r="M340" i="10"/>
  <c r="E340" i="10"/>
  <c r="H339" i="10"/>
  <c r="D339" i="10"/>
  <c r="F339" i="10" s="1"/>
  <c r="G339" i="10" s="1"/>
  <c r="V339" i="10" s="1"/>
  <c r="X76" i="10"/>
  <c r="O332" i="10" l="1"/>
  <c r="P332" i="10" s="1"/>
  <c r="J333" i="10" s="1"/>
  <c r="L333" i="10" s="1"/>
  <c r="N333" i="10" s="1"/>
  <c r="AE332" i="10"/>
  <c r="AT332" i="10"/>
  <c r="AF332" i="10"/>
  <c r="Z76" i="10"/>
  <c r="AR76" i="10" s="1"/>
  <c r="K341" i="10"/>
  <c r="C341" i="10"/>
  <c r="I341" i="10" s="1"/>
  <c r="M341" i="10"/>
  <c r="E341" i="10"/>
  <c r="AU331" i="10"/>
  <c r="R340" i="10"/>
  <c r="A343" i="10"/>
  <c r="Y342" i="10"/>
  <c r="AS342" i="10"/>
  <c r="BB342" i="10"/>
  <c r="BC342" i="10" s="1"/>
  <c r="B342" i="10"/>
  <c r="H340" i="10"/>
  <c r="D340" i="10"/>
  <c r="F340" i="10" s="1"/>
  <c r="G340" i="10" s="1"/>
  <c r="V340" i="10" s="1"/>
  <c r="O333" i="10" l="1"/>
  <c r="P333" i="10" s="1"/>
  <c r="J334" i="10" s="1"/>
  <c r="L334" i="10" s="1"/>
  <c r="N334" i="10" s="1"/>
  <c r="AT333" i="10"/>
  <c r="AE333" i="10"/>
  <c r="AF333" i="10"/>
  <c r="R341" i="10"/>
  <c r="K342" i="10"/>
  <c r="C342" i="10"/>
  <c r="I342" i="10" s="1"/>
  <c r="M342" i="10"/>
  <c r="E342" i="10"/>
  <c r="H341" i="10"/>
  <c r="D341" i="10"/>
  <c r="F341" i="10" s="1"/>
  <c r="G341" i="10" s="1"/>
  <c r="V341" i="10" s="1"/>
  <c r="AU332" i="10"/>
  <c r="AA76" i="10"/>
  <c r="A344" i="10"/>
  <c r="Y343" i="10"/>
  <c r="AS343" i="10"/>
  <c r="BB343" i="10"/>
  <c r="BC343" i="10" s="1"/>
  <c r="B343" i="10"/>
  <c r="Q77" i="10"/>
  <c r="O334" i="10" l="1"/>
  <c r="P334" i="10"/>
  <c r="J335" i="10" s="1"/>
  <c r="L335" i="10" s="1"/>
  <c r="N335" i="10" s="1"/>
  <c r="AE334" i="10"/>
  <c r="AT334" i="10"/>
  <c r="AF334" i="10"/>
  <c r="AM77" i="10"/>
  <c r="S77" i="10"/>
  <c r="AC77" i="10"/>
  <c r="AB77" i="10"/>
  <c r="AV76" i="10" s="1"/>
  <c r="K343" i="10"/>
  <c r="C343" i="10"/>
  <c r="I343" i="10" s="1"/>
  <c r="M343" i="10"/>
  <c r="E343" i="10"/>
  <c r="H342" i="10"/>
  <c r="D342" i="10"/>
  <c r="F342" i="10" s="1"/>
  <c r="G342" i="10" s="1"/>
  <c r="V342" i="10" s="1"/>
  <c r="AU333" i="10"/>
  <c r="A345" i="10"/>
  <c r="Y344" i="10"/>
  <c r="AS344" i="10"/>
  <c r="BB344" i="10"/>
  <c r="BC344" i="10" s="1"/>
  <c r="B344" i="10"/>
  <c r="AI76" i="10"/>
  <c r="AJ76" i="10"/>
  <c r="AG76" i="10"/>
  <c r="AK76" i="10"/>
  <c r="AX76" i="10" s="1"/>
  <c r="R342" i="10"/>
  <c r="AL76" i="10" l="1"/>
  <c r="O335" i="10"/>
  <c r="P335" i="10" s="1"/>
  <c r="J336" i="10" s="1"/>
  <c r="L336" i="10" s="1"/>
  <c r="N336" i="10" s="1"/>
  <c r="AT335" i="10"/>
  <c r="AE335" i="10"/>
  <c r="AF335" i="10"/>
  <c r="H343" i="10"/>
  <c r="D343" i="10"/>
  <c r="F343" i="10" s="1"/>
  <c r="G343" i="10" s="1"/>
  <c r="V343" i="10" s="1"/>
  <c r="K344" i="10"/>
  <c r="C344" i="10"/>
  <c r="I344" i="10" s="1"/>
  <c r="M344" i="10"/>
  <c r="E344" i="10"/>
  <c r="AU334" i="10"/>
  <c r="BA76" i="10"/>
  <c r="A346" i="10"/>
  <c r="Y345" i="10"/>
  <c r="AS345" i="10"/>
  <c r="BB345" i="10"/>
  <c r="BC345" i="10" s="1"/>
  <c r="B345" i="10"/>
  <c r="AD77" i="10"/>
  <c r="T77" i="10"/>
  <c r="AQ77" i="10" s="1"/>
  <c r="U77" i="10"/>
  <c r="W77" i="10" s="1"/>
  <c r="AP77" i="10" s="1"/>
  <c r="AO76" i="10"/>
  <c r="AY76" i="10" s="1"/>
  <c r="AH76" i="10"/>
  <c r="R343" i="10"/>
  <c r="AN76" i="10" l="1"/>
  <c r="AW76" i="10" s="1"/>
  <c r="O336" i="10"/>
  <c r="P336" i="10"/>
  <c r="J337" i="10" s="1"/>
  <c r="L337" i="10" s="1"/>
  <c r="N337" i="10" s="1"/>
  <c r="AT336" i="10"/>
  <c r="AE336" i="10"/>
  <c r="AF336" i="10"/>
  <c r="A347" i="10"/>
  <c r="Y346" i="10"/>
  <c r="AS346" i="10"/>
  <c r="BB346" i="10"/>
  <c r="BC346" i="10" s="1"/>
  <c r="B346" i="10"/>
  <c r="R344" i="10"/>
  <c r="AU335" i="10"/>
  <c r="X77" i="10"/>
  <c r="H344" i="10"/>
  <c r="D344" i="10"/>
  <c r="F344" i="10" s="1"/>
  <c r="G344" i="10" s="1"/>
  <c r="V344" i="10" s="1"/>
  <c r="K345" i="10"/>
  <c r="C345" i="10"/>
  <c r="I345" i="10" s="1"/>
  <c r="M345" i="10"/>
  <c r="E345" i="10"/>
  <c r="BD76" i="10"/>
  <c r="AZ76" i="10"/>
  <c r="O337" i="10" l="1"/>
  <c r="P337" i="10" s="1"/>
  <c r="J338" i="10" s="1"/>
  <c r="L338" i="10" s="1"/>
  <c r="N338" i="10" s="1"/>
  <c r="AE337" i="10"/>
  <c r="AT337" i="10"/>
  <c r="AF337" i="10"/>
  <c r="AU336" i="10"/>
  <c r="Z77" i="10"/>
  <c r="AR77" i="10" s="1"/>
  <c r="K346" i="10"/>
  <c r="C346" i="10"/>
  <c r="I346" i="10" s="1"/>
  <c r="M346" i="10"/>
  <c r="E346" i="10"/>
  <c r="R345" i="10"/>
  <c r="H345" i="10"/>
  <c r="D345" i="10"/>
  <c r="F345" i="10" s="1"/>
  <c r="G345" i="10" s="1"/>
  <c r="V345" i="10" s="1"/>
  <c r="A348" i="10"/>
  <c r="Y347" i="10"/>
  <c r="AS347" i="10"/>
  <c r="BB347" i="10"/>
  <c r="BC347" i="10" s="1"/>
  <c r="B347" i="10"/>
  <c r="O338" i="10" l="1"/>
  <c r="P338" i="10"/>
  <c r="J339" i="10" s="1"/>
  <c r="L339" i="10" s="1"/>
  <c r="N339" i="10" s="1"/>
  <c r="AE338" i="10"/>
  <c r="AT338" i="10"/>
  <c r="AF338" i="10"/>
  <c r="H346" i="10"/>
  <c r="D346" i="10"/>
  <c r="F346" i="10" s="1"/>
  <c r="G346" i="10" s="1"/>
  <c r="V346" i="10" s="1"/>
  <c r="K347" i="10"/>
  <c r="C347" i="10"/>
  <c r="I347" i="10" s="1"/>
  <c r="M347" i="10"/>
  <c r="E347" i="10"/>
  <c r="AA77" i="10"/>
  <c r="AU337" i="10"/>
  <c r="Q78" i="10"/>
  <c r="A349" i="10"/>
  <c r="Y348" i="10"/>
  <c r="AS348" i="10"/>
  <c r="BB348" i="10"/>
  <c r="BC348" i="10" s="1"/>
  <c r="B348" i="10"/>
  <c r="R346" i="10"/>
  <c r="O339" i="10" l="1"/>
  <c r="P339" i="10" s="1"/>
  <c r="J340" i="10" s="1"/>
  <c r="L340" i="10" s="1"/>
  <c r="N340" i="10" s="1"/>
  <c r="AT339" i="10"/>
  <c r="AE339" i="10"/>
  <c r="AF339" i="10"/>
  <c r="A350" i="10"/>
  <c r="Y349" i="10"/>
  <c r="AS349" i="10"/>
  <c r="BB349" i="10"/>
  <c r="BC349" i="10" s="1"/>
  <c r="B349" i="10"/>
  <c r="R347" i="10"/>
  <c r="AM78" i="10"/>
  <c r="S78" i="10"/>
  <c r="AC78" i="10"/>
  <c r="AB78" i="10"/>
  <c r="AV77" i="10" s="1"/>
  <c r="H347" i="10"/>
  <c r="D347" i="10"/>
  <c r="F347" i="10" s="1"/>
  <c r="G347" i="10" s="1"/>
  <c r="V347" i="10" s="1"/>
  <c r="AU338" i="10"/>
  <c r="K348" i="10"/>
  <c r="C348" i="10"/>
  <c r="I348" i="10" s="1"/>
  <c r="M348" i="10"/>
  <c r="E348" i="10"/>
  <c r="AI77" i="10"/>
  <c r="AJ77" i="10"/>
  <c r="AG77" i="10"/>
  <c r="AK77" i="10"/>
  <c r="AX77" i="10" s="1"/>
  <c r="BA77" i="10" l="1"/>
  <c r="O340" i="10"/>
  <c r="P340" i="10"/>
  <c r="J341" i="10" s="1"/>
  <c r="L341" i="10" s="1"/>
  <c r="N341" i="10" s="1"/>
  <c r="AE340" i="10"/>
  <c r="AT340" i="10"/>
  <c r="AF340" i="10"/>
  <c r="R348" i="10"/>
  <c r="H348" i="10"/>
  <c r="D348" i="10"/>
  <c r="F348" i="10" s="1"/>
  <c r="G348" i="10" s="1"/>
  <c r="V348" i="10" s="1"/>
  <c r="K349" i="10"/>
  <c r="C349" i="10"/>
  <c r="I349" i="10" s="1"/>
  <c r="M349" i="10"/>
  <c r="E349" i="10"/>
  <c r="AU339" i="10"/>
  <c r="T78" i="10"/>
  <c r="AQ78" i="10" s="1"/>
  <c r="AD78" i="10"/>
  <c r="U78" i="10"/>
  <c r="W78" i="10" s="1"/>
  <c r="AP78" i="10" s="1"/>
  <c r="AO77" i="10"/>
  <c r="AY77" i="10" s="1"/>
  <c r="AH77" i="10"/>
  <c r="AL77" i="10"/>
  <c r="A351" i="10"/>
  <c r="Y350" i="10"/>
  <c r="AS350" i="10"/>
  <c r="BB350" i="10"/>
  <c r="BC350" i="10" s="1"/>
  <c r="B350" i="10"/>
  <c r="O341" i="10" l="1"/>
  <c r="P341" i="10" s="1"/>
  <c r="J342" i="10" s="1"/>
  <c r="L342" i="10" s="1"/>
  <c r="N342" i="10" s="1"/>
  <c r="AE341" i="10"/>
  <c r="AT341" i="10"/>
  <c r="AF341" i="10"/>
  <c r="H349" i="10"/>
  <c r="D349" i="10"/>
  <c r="F349" i="10" s="1"/>
  <c r="G349" i="10" s="1"/>
  <c r="V349" i="10" s="1"/>
  <c r="A352" i="10"/>
  <c r="Y351" i="10"/>
  <c r="AS351" i="10"/>
  <c r="BB351" i="10"/>
  <c r="BC351" i="10" s="1"/>
  <c r="B351" i="10"/>
  <c r="X78" i="10"/>
  <c r="AU340" i="10"/>
  <c r="K350" i="10"/>
  <c r="C350" i="10"/>
  <c r="I350" i="10" s="1"/>
  <c r="M350" i="10"/>
  <c r="E350" i="10"/>
  <c r="AN77" i="10"/>
  <c r="AW77" i="10" s="1"/>
  <c r="R349" i="10"/>
  <c r="O342" i="10" l="1"/>
  <c r="P342" i="10" s="1"/>
  <c r="J343" i="10" s="1"/>
  <c r="L343" i="10" s="1"/>
  <c r="N343" i="10" s="1"/>
  <c r="AE342" i="10"/>
  <c r="AT342" i="10"/>
  <c r="AF342" i="10"/>
  <c r="H350" i="10"/>
  <c r="D350" i="10"/>
  <c r="F350" i="10" s="1"/>
  <c r="G350" i="10" s="1"/>
  <c r="V350" i="10" s="1"/>
  <c r="K351" i="10"/>
  <c r="C351" i="10"/>
  <c r="I351" i="10" s="1"/>
  <c r="M351" i="10"/>
  <c r="E351" i="10"/>
  <c r="AU341" i="10"/>
  <c r="A353" i="10"/>
  <c r="Y352" i="10"/>
  <c r="AS352" i="10"/>
  <c r="BB352" i="10"/>
  <c r="BC352" i="10" s="1"/>
  <c r="B352" i="10"/>
  <c r="BD77" i="10"/>
  <c r="AZ77" i="10"/>
  <c r="R350" i="10"/>
  <c r="Z78" i="10"/>
  <c r="AR78" i="10" s="1"/>
  <c r="AA78" i="10" l="1"/>
  <c r="AJ78" i="10" s="1"/>
  <c r="Q79" i="10"/>
  <c r="S79" i="10" s="1"/>
  <c r="O343" i="10"/>
  <c r="P343" i="10" s="1"/>
  <c r="J344" i="10" s="1"/>
  <c r="L344" i="10" s="1"/>
  <c r="N344" i="10" s="1"/>
  <c r="AT343" i="10"/>
  <c r="AE343" i="10"/>
  <c r="AF343" i="10"/>
  <c r="K352" i="10"/>
  <c r="C352" i="10"/>
  <c r="I352" i="10" s="1"/>
  <c r="M352" i="10"/>
  <c r="E352" i="10"/>
  <c r="AM79" i="10"/>
  <c r="AB79" i="10"/>
  <c r="AV78" i="10" s="1"/>
  <c r="R351" i="10"/>
  <c r="AU342" i="10"/>
  <c r="A354" i="10"/>
  <c r="Y353" i="10"/>
  <c r="AS353" i="10"/>
  <c r="BB353" i="10"/>
  <c r="BC353" i="10" s="1"/>
  <c r="B353" i="10"/>
  <c r="H351" i="10"/>
  <c r="D351" i="10"/>
  <c r="F351" i="10" s="1"/>
  <c r="G351" i="10" s="1"/>
  <c r="V351" i="10" s="1"/>
  <c r="AI78" i="10" l="1"/>
  <c r="AK78" i="10"/>
  <c r="AX78" i="10" s="1"/>
  <c r="AG78" i="10"/>
  <c r="AO78" i="10" s="1"/>
  <c r="AY78" i="10" s="1"/>
  <c r="AC79" i="10"/>
  <c r="BA78" i="10" s="1"/>
  <c r="O344" i="10"/>
  <c r="P344" i="10" s="1"/>
  <c r="J345" i="10" s="1"/>
  <c r="L345" i="10" s="1"/>
  <c r="N345" i="10" s="1"/>
  <c r="AT344" i="10"/>
  <c r="AE344" i="10"/>
  <c r="AF344" i="10"/>
  <c r="R352" i="10"/>
  <c r="H352" i="10"/>
  <c r="D352" i="10"/>
  <c r="F352" i="10" s="1"/>
  <c r="G352" i="10" s="1"/>
  <c r="V352" i="10" s="1"/>
  <c r="AU343" i="10"/>
  <c r="A355" i="10"/>
  <c r="Y354" i="10"/>
  <c r="AS354" i="10"/>
  <c r="BB354" i="10"/>
  <c r="BC354" i="10" s="1"/>
  <c r="B354" i="10"/>
  <c r="AD79" i="10"/>
  <c r="T79" i="10"/>
  <c r="AQ79" i="10" s="1"/>
  <c r="U79" i="10"/>
  <c r="W79" i="10" s="1"/>
  <c r="AP79" i="10" s="1"/>
  <c r="AL78" i="10"/>
  <c r="K353" i="10"/>
  <c r="C353" i="10"/>
  <c r="I353" i="10" s="1"/>
  <c r="M353" i="10"/>
  <c r="E353" i="10"/>
  <c r="AH78" i="10" l="1"/>
  <c r="AN78" i="10"/>
  <c r="AW78" i="10" s="1"/>
  <c r="O345" i="10"/>
  <c r="P345" i="10" s="1"/>
  <c r="J346" i="10" s="1"/>
  <c r="L346" i="10" s="1"/>
  <c r="N346" i="10" s="1"/>
  <c r="AE345" i="10"/>
  <c r="AT345" i="10"/>
  <c r="AF345" i="10"/>
  <c r="K354" i="10"/>
  <c r="C354" i="10"/>
  <c r="I354" i="10" s="1"/>
  <c r="M354" i="10"/>
  <c r="E354" i="10"/>
  <c r="AU344" i="10"/>
  <c r="R353" i="10"/>
  <c r="X79" i="10"/>
  <c r="BD78" i="10"/>
  <c r="AZ78" i="10"/>
  <c r="H353" i="10"/>
  <c r="D353" i="10"/>
  <c r="F353" i="10" s="1"/>
  <c r="G353" i="10" s="1"/>
  <c r="V353" i="10" s="1"/>
  <c r="A356" i="10"/>
  <c r="Y355" i="10"/>
  <c r="AS355" i="10"/>
  <c r="BB355" i="10"/>
  <c r="BC355" i="10" s="1"/>
  <c r="B355" i="10"/>
  <c r="O346" i="10" l="1"/>
  <c r="P346" i="10" s="1"/>
  <c r="J347" i="10" s="1"/>
  <c r="L347" i="10" s="1"/>
  <c r="N347" i="10" s="1"/>
  <c r="AE346" i="10"/>
  <c r="AT346" i="10"/>
  <c r="AF346" i="10"/>
  <c r="K355" i="10"/>
  <c r="C355" i="10"/>
  <c r="I355" i="10" s="1"/>
  <c r="M355" i="10"/>
  <c r="E355" i="10"/>
  <c r="R354" i="10"/>
  <c r="AU345" i="10"/>
  <c r="A357" i="10"/>
  <c r="Y356" i="10"/>
  <c r="AS356" i="10"/>
  <c r="BB356" i="10"/>
  <c r="BC356" i="10" s="1"/>
  <c r="B356" i="10"/>
  <c r="Z79" i="10"/>
  <c r="AR79" i="10" s="1"/>
  <c r="H354" i="10"/>
  <c r="D354" i="10"/>
  <c r="F354" i="10" s="1"/>
  <c r="G354" i="10" s="1"/>
  <c r="V354" i="10" s="1"/>
  <c r="O347" i="10" l="1"/>
  <c r="P347" i="10" s="1"/>
  <c r="J348" i="10" s="1"/>
  <c r="L348" i="10" s="1"/>
  <c r="N348" i="10" s="1"/>
  <c r="AT347" i="10"/>
  <c r="AE347" i="10"/>
  <c r="AF347" i="10"/>
  <c r="K356" i="10"/>
  <c r="C356" i="10"/>
  <c r="I356" i="10" s="1"/>
  <c r="M356" i="10"/>
  <c r="E356" i="10"/>
  <c r="AU346" i="10"/>
  <c r="Y357" i="10"/>
  <c r="BB357" i="10"/>
  <c r="BC357" i="10" s="1"/>
  <c r="AS357" i="10"/>
  <c r="A358" i="10"/>
  <c r="B357" i="10"/>
  <c r="R355" i="10"/>
  <c r="AA79" i="10"/>
  <c r="H355" i="10"/>
  <c r="D355" i="10"/>
  <c r="F355" i="10" s="1"/>
  <c r="G355" i="10" s="1"/>
  <c r="V355" i="10" s="1"/>
  <c r="Q80" i="10"/>
  <c r="O348" i="10" l="1"/>
  <c r="P348" i="10" s="1"/>
  <c r="J349" i="10" s="1"/>
  <c r="L349" i="10" s="1"/>
  <c r="N349" i="10" s="1"/>
  <c r="AE348" i="10"/>
  <c r="AT348" i="10"/>
  <c r="AF348" i="10"/>
  <c r="AM80" i="10"/>
  <c r="S80" i="10"/>
  <c r="AC80" i="10"/>
  <c r="AB80" i="10"/>
  <c r="AV79" i="10" s="1"/>
  <c r="K357" i="10"/>
  <c r="C357" i="10"/>
  <c r="I357" i="10" s="1"/>
  <c r="M357" i="10"/>
  <c r="E357" i="10"/>
  <c r="AU347" i="10"/>
  <c r="A359" i="10"/>
  <c r="Y358" i="10"/>
  <c r="AS358" i="10"/>
  <c r="BB358" i="10"/>
  <c r="BC358" i="10" s="1"/>
  <c r="B358" i="10"/>
  <c r="AI79" i="10"/>
  <c r="AJ79" i="10"/>
  <c r="AG79" i="10"/>
  <c r="AK79" i="10"/>
  <c r="AX79" i="10" s="1"/>
  <c r="R356" i="10"/>
  <c r="H356" i="10"/>
  <c r="D356" i="10"/>
  <c r="F356" i="10" s="1"/>
  <c r="G356" i="10" s="1"/>
  <c r="V356" i="10" s="1"/>
  <c r="BA79" i="10" l="1"/>
  <c r="O349" i="10"/>
  <c r="P349" i="10" s="1"/>
  <c r="J350" i="10" s="1"/>
  <c r="L350" i="10" s="1"/>
  <c r="N350" i="10" s="1"/>
  <c r="AT349" i="10"/>
  <c r="AE349" i="10"/>
  <c r="AF349" i="10"/>
  <c r="M358" i="10"/>
  <c r="C358" i="10"/>
  <c r="I358" i="10" s="1"/>
  <c r="K358" i="10"/>
  <c r="E358" i="10"/>
  <c r="H357" i="10"/>
  <c r="D357" i="10"/>
  <c r="F357" i="10" s="1"/>
  <c r="G357" i="10" s="1"/>
  <c r="V357" i="10" s="1"/>
  <c r="AU348" i="10"/>
  <c r="A360" i="10"/>
  <c r="AS359" i="10"/>
  <c r="Y359" i="10"/>
  <c r="BB359" i="10"/>
  <c r="BC359" i="10" s="1"/>
  <c r="B359" i="10"/>
  <c r="AO79" i="10"/>
  <c r="AY79" i="10" s="1"/>
  <c r="AH79" i="10"/>
  <c r="AL79" i="10"/>
  <c r="T80" i="10"/>
  <c r="AQ80" i="10" s="1"/>
  <c r="AD80" i="10"/>
  <c r="U80" i="10"/>
  <c r="W80" i="10" s="1"/>
  <c r="AP80" i="10" s="1"/>
  <c r="R357" i="10"/>
  <c r="O350" i="10" l="1"/>
  <c r="P350" i="10" s="1"/>
  <c r="J351" i="10" s="1"/>
  <c r="L351" i="10" s="1"/>
  <c r="N351" i="10" s="1"/>
  <c r="AT350" i="10"/>
  <c r="AE350" i="10"/>
  <c r="AF350" i="10"/>
  <c r="X80" i="10"/>
  <c r="A361" i="10"/>
  <c r="AS360" i="10"/>
  <c r="Y360" i="10"/>
  <c r="BB360" i="10"/>
  <c r="BC360" i="10" s="1"/>
  <c r="B360" i="10"/>
  <c r="AU349" i="10"/>
  <c r="AN79" i="10"/>
  <c r="AW79" i="10" s="1"/>
  <c r="R358" i="10"/>
  <c r="M359" i="10"/>
  <c r="C359" i="10"/>
  <c r="I359" i="10" s="1"/>
  <c r="K359" i="10"/>
  <c r="E359" i="10"/>
  <c r="H358" i="10"/>
  <c r="D358" i="10"/>
  <c r="F358" i="10" s="1"/>
  <c r="G358" i="10" s="1"/>
  <c r="V358" i="10" s="1"/>
  <c r="O351" i="10" l="1"/>
  <c r="P351" i="10" s="1"/>
  <c r="J352" i="10" s="1"/>
  <c r="L352" i="10" s="1"/>
  <c r="N352" i="10" s="1"/>
  <c r="AT351" i="10"/>
  <c r="AE351" i="10"/>
  <c r="AF351" i="10"/>
  <c r="C360" i="10"/>
  <c r="I360" i="10" s="1"/>
  <c r="K360" i="10"/>
  <c r="M360" i="10"/>
  <c r="E360" i="10"/>
  <c r="AU350" i="10"/>
  <c r="R359" i="10"/>
  <c r="BD79" i="10"/>
  <c r="AZ79" i="10"/>
  <c r="BB361" i="10"/>
  <c r="BC361" i="10" s="1"/>
  <c r="AS361" i="10"/>
  <c r="Y361" i="10"/>
  <c r="A362" i="10"/>
  <c r="B361" i="10"/>
  <c r="H359" i="10"/>
  <c r="D359" i="10"/>
  <c r="F359" i="10" s="1"/>
  <c r="G359" i="10" s="1"/>
  <c r="V359" i="10" s="1"/>
  <c r="Z80" i="10"/>
  <c r="AR80" i="10" s="1"/>
  <c r="Q81" i="10" l="1"/>
  <c r="AC81" i="10" s="1"/>
  <c r="O352" i="10"/>
  <c r="P352" i="10" s="1"/>
  <c r="J353" i="10" s="1"/>
  <c r="L353" i="10" s="1"/>
  <c r="N353" i="10" s="1"/>
  <c r="AE352" i="10"/>
  <c r="AT352" i="10"/>
  <c r="AF352" i="10"/>
  <c r="AM81" i="10"/>
  <c r="AU351" i="10"/>
  <c r="K361" i="10"/>
  <c r="M361" i="10"/>
  <c r="C361" i="10"/>
  <c r="I361" i="10" s="1"/>
  <c r="E361" i="10"/>
  <c r="R360" i="10"/>
  <c r="BB362" i="10"/>
  <c r="BC362" i="10" s="1"/>
  <c r="AS362" i="10"/>
  <c r="Y362" i="10"/>
  <c r="A363" i="10"/>
  <c r="B362" i="10"/>
  <c r="AA80" i="10"/>
  <c r="H360" i="10"/>
  <c r="D360" i="10"/>
  <c r="F360" i="10" s="1"/>
  <c r="G360" i="10" s="1"/>
  <c r="V360" i="10" s="1"/>
  <c r="S81" i="10" l="1"/>
  <c r="AB81" i="10"/>
  <c r="AV80" i="10" s="1"/>
  <c r="O353" i="10"/>
  <c r="P353" i="10" s="1"/>
  <c r="J354" i="10" s="1"/>
  <c r="L354" i="10" s="1"/>
  <c r="N354" i="10" s="1"/>
  <c r="AE353" i="10"/>
  <c r="AT353" i="10"/>
  <c r="AF353" i="10"/>
  <c r="AU352" i="10"/>
  <c r="C362" i="10"/>
  <c r="I362" i="10" s="1"/>
  <c r="K362" i="10"/>
  <c r="M362" i="10"/>
  <c r="E362" i="10"/>
  <c r="BB363" i="10"/>
  <c r="BC363" i="10" s="1"/>
  <c r="AS363" i="10"/>
  <c r="Y363" i="10"/>
  <c r="A364" i="10"/>
  <c r="B363" i="10"/>
  <c r="R361" i="10"/>
  <c r="H361" i="10"/>
  <c r="D361" i="10"/>
  <c r="F361" i="10" s="1"/>
  <c r="G361" i="10" s="1"/>
  <c r="V361" i="10" s="1"/>
  <c r="AD81" i="10"/>
  <c r="T81" i="10"/>
  <c r="AQ81" i="10" s="1"/>
  <c r="U81" i="10"/>
  <c r="W81" i="10" s="1"/>
  <c r="AP81" i="10" s="1"/>
  <c r="AI80" i="10"/>
  <c r="AJ80" i="10"/>
  <c r="AG80" i="10"/>
  <c r="AK80" i="10"/>
  <c r="AX80" i="10" s="1"/>
  <c r="BA80" i="10" l="1"/>
  <c r="O354" i="10"/>
  <c r="P354" i="10" s="1"/>
  <c r="J355" i="10" s="1"/>
  <c r="L355" i="10" s="1"/>
  <c r="N355" i="10" s="1"/>
  <c r="AT354" i="10"/>
  <c r="AE354" i="10"/>
  <c r="AF354" i="10"/>
  <c r="R362" i="10"/>
  <c r="X81" i="10"/>
  <c r="K363" i="10"/>
  <c r="C363" i="10"/>
  <c r="I363" i="10" s="1"/>
  <c r="M363" i="10"/>
  <c r="E363" i="10"/>
  <c r="Y364" i="10"/>
  <c r="AS364" i="10"/>
  <c r="A365" i="10"/>
  <c r="BB364" i="10"/>
  <c r="BC364" i="10" s="1"/>
  <c r="B364" i="10"/>
  <c r="H362" i="10"/>
  <c r="D362" i="10"/>
  <c r="F362" i="10" s="1"/>
  <c r="G362" i="10" s="1"/>
  <c r="V362" i="10" s="1"/>
  <c r="AU353" i="10"/>
  <c r="AO80" i="10"/>
  <c r="AY80" i="10" s="1"/>
  <c r="AH80" i="10"/>
  <c r="AL80" i="10"/>
  <c r="O355" i="10" l="1"/>
  <c r="P355" i="10" s="1"/>
  <c r="J356" i="10" s="1"/>
  <c r="L356" i="10" s="1"/>
  <c r="N356" i="10" s="1"/>
  <c r="AT355" i="10"/>
  <c r="AE355" i="10"/>
  <c r="AF355" i="10"/>
  <c r="C364" i="10"/>
  <c r="I364" i="10" s="1"/>
  <c r="M364" i="10"/>
  <c r="K364" i="10"/>
  <c r="E364" i="10"/>
  <c r="H363" i="10"/>
  <c r="D363" i="10"/>
  <c r="F363" i="10" s="1"/>
  <c r="G363" i="10" s="1"/>
  <c r="V363" i="10" s="1"/>
  <c r="AN80" i="10"/>
  <c r="AW80" i="10" s="1"/>
  <c r="BB365" i="10"/>
  <c r="BC365" i="10" s="1"/>
  <c r="AS365" i="10"/>
  <c r="Y365" i="10"/>
  <c r="A366" i="10"/>
  <c r="B365" i="10"/>
  <c r="AU354" i="10"/>
  <c r="Z81" i="10"/>
  <c r="AR81" i="10" s="1"/>
  <c r="R363" i="10"/>
  <c r="O356" i="10" l="1"/>
  <c r="P356" i="10" s="1"/>
  <c r="J357" i="10" s="1"/>
  <c r="L357" i="10" s="1"/>
  <c r="N357" i="10" s="1"/>
  <c r="AE356" i="10"/>
  <c r="AT356" i="10"/>
  <c r="AF356" i="10"/>
  <c r="BD80" i="10"/>
  <c r="AZ80" i="10"/>
  <c r="AU355" i="10"/>
  <c r="M365" i="10"/>
  <c r="C365" i="10"/>
  <c r="I365" i="10" s="1"/>
  <c r="K365" i="10"/>
  <c r="E365" i="10"/>
  <c r="A367" i="10"/>
  <c r="Y366" i="10"/>
  <c r="BB366" i="10"/>
  <c r="BC366" i="10" s="1"/>
  <c r="AS366" i="10"/>
  <c r="B366" i="10"/>
  <c r="R364" i="10"/>
  <c r="AA81" i="10"/>
  <c r="Q82" i="10"/>
  <c r="H364" i="10"/>
  <c r="D364" i="10"/>
  <c r="F364" i="10" s="1"/>
  <c r="G364" i="10" s="1"/>
  <c r="V364" i="10" s="1"/>
  <c r="O357" i="10" l="1"/>
  <c r="P357" i="10" s="1"/>
  <c r="J358" i="10" s="1"/>
  <c r="L358" i="10" s="1"/>
  <c r="N358" i="10" s="1"/>
  <c r="AE357" i="10"/>
  <c r="AT357" i="10"/>
  <c r="AF357" i="10"/>
  <c r="AM82" i="10"/>
  <c r="S82" i="10"/>
  <c r="AC82" i="10"/>
  <c r="AB82" i="10"/>
  <c r="AV81" i="10" s="1"/>
  <c r="H365" i="10"/>
  <c r="D365" i="10"/>
  <c r="F365" i="10" s="1"/>
  <c r="G365" i="10" s="1"/>
  <c r="V365" i="10" s="1"/>
  <c r="AI81" i="10"/>
  <c r="AJ81" i="10"/>
  <c r="AG81" i="10"/>
  <c r="AK81" i="10"/>
  <c r="AX81" i="10" s="1"/>
  <c r="M366" i="10"/>
  <c r="C366" i="10"/>
  <c r="I366" i="10" s="1"/>
  <c r="K366" i="10"/>
  <c r="E366" i="10"/>
  <c r="AU356" i="10"/>
  <c r="A368" i="10"/>
  <c r="BB367" i="10"/>
  <c r="BC367" i="10" s="1"/>
  <c r="AS367" i="10"/>
  <c r="Y367" i="10"/>
  <c r="B367" i="10"/>
  <c r="R365" i="10"/>
  <c r="O358" i="10" l="1"/>
  <c r="P358" i="10" s="1"/>
  <c r="J359" i="10" s="1"/>
  <c r="L359" i="10" s="1"/>
  <c r="N359" i="10" s="1"/>
  <c r="AT358" i="10"/>
  <c r="AE358" i="10"/>
  <c r="AF358" i="10"/>
  <c r="A369" i="10"/>
  <c r="BB368" i="10"/>
  <c r="BC368" i="10" s="1"/>
  <c r="AS368" i="10"/>
  <c r="Y368" i="10"/>
  <c r="B368" i="10"/>
  <c r="H366" i="10"/>
  <c r="D366" i="10"/>
  <c r="F366" i="10" s="1"/>
  <c r="G366" i="10" s="1"/>
  <c r="V366" i="10" s="1"/>
  <c r="AU357" i="10"/>
  <c r="BA81" i="10"/>
  <c r="R366" i="10"/>
  <c r="M367" i="10"/>
  <c r="C367" i="10"/>
  <c r="I367" i="10" s="1"/>
  <c r="K367" i="10"/>
  <c r="E367" i="10"/>
  <c r="AO81" i="10"/>
  <c r="AY81" i="10" s="1"/>
  <c r="AH81" i="10"/>
  <c r="AL81" i="10"/>
  <c r="T82" i="10"/>
  <c r="AQ82" i="10" s="1"/>
  <c r="AD82" i="10"/>
  <c r="U82" i="10"/>
  <c r="W82" i="10" s="1"/>
  <c r="AP82" i="10" s="1"/>
  <c r="AN81" i="10" l="1"/>
  <c r="AW81" i="10" s="1"/>
  <c r="AZ81" i="10" s="1"/>
  <c r="O359" i="10"/>
  <c r="P359" i="10" s="1"/>
  <c r="J360" i="10" s="1"/>
  <c r="L360" i="10" s="1"/>
  <c r="N360" i="10" s="1"/>
  <c r="AE359" i="10"/>
  <c r="AT359" i="10"/>
  <c r="AF359" i="10"/>
  <c r="BD81" i="10"/>
  <c r="C368" i="10"/>
  <c r="I368" i="10" s="1"/>
  <c r="K368" i="10"/>
  <c r="M368" i="10"/>
  <c r="E368" i="10"/>
  <c r="AU358" i="10"/>
  <c r="R367" i="10"/>
  <c r="H367" i="10"/>
  <c r="D367" i="10"/>
  <c r="F367" i="10" s="1"/>
  <c r="G367" i="10" s="1"/>
  <c r="V367" i="10" s="1"/>
  <c r="X82" i="10"/>
  <c r="BB369" i="10"/>
  <c r="BC369" i="10" s="1"/>
  <c r="AS369" i="10"/>
  <c r="A370" i="10"/>
  <c r="Y369" i="10"/>
  <c r="B369" i="10"/>
  <c r="O360" i="10" l="1"/>
  <c r="P360" i="10" s="1"/>
  <c r="J361" i="10" s="1"/>
  <c r="L361" i="10" s="1"/>
  <c r="N361" i="10" s="1"/>
  <c r="AE360" i="10"/>
  <c r="AT360" i="10"/>
  <c r="AF360" i="10"/>
  <c r="K369" i="10"/>
  <c r="M369" i="10"/>
  <c r="C369" i="10"/>
  <c r="I369" i="10" s="1"/>
  <c r="E369" i="10"/>
  <c r="R368" i="10"/>
  <c r="BB370" i="10"/>
  <c r="BC370" i="10" s="1"/>
  <c r="AS370" i="10"/>
  <c r="Y370" i="10"/>
  <c r="A371" i="10"/>
  <c r="B370" i="10"/>
  <c r="AU359" i="10"/>
  <c r="H368" i="10"/>
  <c r="D368" i="10"/>
  <c r="F368" i="10" s="1"/>
  <c r="G368" i="10" s="1"/>
  <c r="V368" i="10" s="1"/>
  <c r="Z82" i="10"/>
  <c r="AR82" i="10" s="1"/>
  <c r="O361" i="10" l="1"/>
  <c r="P361" i="10" s="1"/>
  <c r="J362" i="10" s="1"/>
  <c r="L362" i="10" s="1"/>
  <c r="N362" i="10" s="1"/>
  <c r="AT361" i="10"/>
  <c r="AE361" i="10"/>
  <c r="AF361" i="10"/>
  <c r="AA82" i="10"/>
  <c r="Q83" i="10"/>
  <c r="C370" i="10"/>
  <c r="I370" i="10" s="1"/>
  <c r="M370" i="10"/>
  <c r="K370" i="10"/>
  <c r="E370" i="10"/>
  <c r="AU360" i="10"/>
  <c r="BB371" i="10"/>
  <c r="BC371" i="10" s="1"/>
  <c r="AS371" i="10"/>
  <c r="Y371" i="10"/>
  <c r="A372" i="10"/>
  <c r="B371" i="10"/>
  <c r="R369" i="10"/>
  <c r="H369" i="10"/>
  <c r="D369" i="10"/>
  <c r="F369" i="10" s="1"/>
  <c r="G369" i="10" s="1"/>
  <c r="V369" i="10" s="1"/>
  <c r="O362" i="10" l="1"/>
  <c r="P362" i="10" s="1"/>
  <c r="J363" i="10" s="1"/>
  <c r="L363" i="10" s="1"/>
  <c r="N363" i="10" s="1"/>
  <c r="AE362" i="10"/>
  <c r="AT362" i="10"/>
  <c r="AF362" i="10"/>
  <c r="AM83" i="10"/>
  <c r="S83" i="10"/>
  <c r="AC83" i="10"/>
  <c r="AB83" i="10"/>
  <c r="AV82" i="10" s="1"/>
  <c r="H370" i="10"/>
  <c r="D370" i="10"/>
  <c r="F370" i="10" s="1"/>
  <c r="G370" i="10" s="1"/>
  <c r="V370" i="10" s="1"/>
  <c r="AU361" i="10"/>
  <c r="Y372" i="10"/>
  <c r="BB372" i="10"/>
  <c r="BC372" i="10" s="1"/>
  <c r="AS372" i="10"/>
  <c r="A373" i="10"/>
  <c r="B372" i="10"/>
  <c r="AI82" i="10"/>
  <c r="AJ82" i="10"/>
  <c r="AG82" i="10"/>
  <c r="AK82" i="10"/>
  <c r="AX82" i="10" s="1"/>
  <c r="K371" i="10"/>
  <c r="M371" i="10"/>
  <c r="C371" i="10"/>
  <c r="I371" i="10" s="1"/>
  <c r="E371" i="10"/>
  <c r="R370" i="10"/>
  <c r="BA82" i="10" l="1"/>
  <c r="O363" i="10"/>
  <c r="P363" i="10" s="1"/>
  <c r="J364" i="10" s="1"/>
  <c r="L364" i="10" s="1"/>
  <c r="N364" i="10" s="1"/>
  <c r="AT363" i="10"/>
  <c r="AE363" i="10"/>
  <c r="AF363" i="10"/>
  <c r="BB373" i="10"/>
  <c r="BC373" i="10" s="1"/>
  <c r="AS373" i="10"/>
  <c r="Y373" i="10"/>
  <c r="A374" i="10"/>
  <c r="B373" i="10"/>
  <c r="AU362" i="10"/>
  <c r="AO82" i="10"/>
  <c r="AY82" i="10" s="1"/>
  <c r="AH82" i="10"/>
  <c r="R371" i="10"/>
  <c r="AL82" i="10"/>
  <c r="AD83" i="10"/>
  <c r="T83" i="10"/>
  <c r="AQ83" i="10" s="1"/>
  <c r="U83" i="10"/>
  <c r="W83" i="10" s="1"/>
  <c r="AP83" i="10" s="1"/>
  <c r="H371" i="10"/>
  <c r="D371" i="10"/>
  <c r="F371" i="10" s="1"/>
  <c r="G371" i="10" s="1"/>
  <c r="V371" i="10" s="1"/>
  <c r="M372" i="10"/>
  <c r="K372" i="10"/>
  <c r="C372" i="10"/>
  <c r="I372" i="10" s="1"/>
  <c r="E372" i="10"/>
  <c r="AN82" i="10" l="1"/>
  <c r="AW82" i="10" s="1"/>
  <c r="AZ82" i="10" s="1"/>
  <c r="O364" i="10"/>
  <c r="P364" i="10" s="1"/>
  <c r="J365" i="10" s="1"/>
  <c r="L365" i="10" s="1"/>
  <c r="N365" i="10" s="1"/>
  <c r="AE364" i="10"/>
  <c r="AT364" i="10"/>
  <c r="AF364" i="10"/>
  <c r="R372" i="10"/>
  <c r="A375" i="10"/>
  <c r="Y374" i="10"/>
  <c r="AS374" i="10"/>
  <c r="BB374" i="10"/>
  <c r="BC374" i="10" s="1"/>
  <c r="B374" i="10"/>
  <c r="H372" i="10"/>
  <c r="D372" i="10"/>
  <c r="F372" i="10" s="1"/>
  <c r="G372" i="10" s="1"/>
  <c r="V372" i="10" s="1"/>
  <c r="X83" i="10"/>
  <c r="AU363" i="10"/>
  <c r="M373" i="10"/>
  <c r="K373" i="10"/>
  <c r="C373" i="10"/>
  <c r="I373" i="10" s="1"/>
  <c r="E373" i="10"/>
  <c r="BD82" i="10" l="1"/>
  <c r="O365" i="10"/>
  <c r="P365" i="10" s="1"/>
  <c r="J366" i="10" s="1"/>
  <c r="L366" i="10" s="1"/>
  <c r="N366" i="10" s="1"/>
  <c r="AT365" i="10"/>
  <c r="AE365" i="10"/>
  <c r="AF365" i="10"/>
  <c r="H373" i="10"/>
  <c r="D373" i="10"/>
  <c r="F373" i="10" s="1"/>
  <c r="G373" i="10" s="1"/>
  <c r="V373" i="10" s="1"/>
  <c r="A376" i="10"/>
  <c r="AS375" i="10"/>
  <c r="Y375" i="10"/>
  <c r="BB375" i="10"/>
  <c r="BC375" i="10" s="1"/>
  <c r="B375" i="10"/>
  <c r="AU364" i="10"/>
  <c r="M374" i="10"/>
  <c r="C374" i="10"/>
  <c r="I374" i="10" s="1"/>
  <c r="K374" i="10"/>
  <c r="E374" i="10"/>
  <c r="Z83" i="10"/>
  <c r="AR83" i="10" s="1"/>
  <c r="R373" i="10"/>
  <c r="O366" i="10" l="1"/>
  <c r="P366" i="10" s="1"/>
  <c r="J367" i="10" s="1"/>
  <c r="L367" i="10" s="1"/>
  <c r="N367" i="10" s="1"/>
  <c r="AT366" i="10"/>
  <c r="AE366" i="10"/>
  <c r="AF366" i="10"/>
  <c r="R374" i="10"/>
  <c r="M375" i="10"/>
  <c r="C375" i="10"/>
  <c r="I375" i="10" s="1"/>
  <c r="K375" i="10"/>
  <c r="E375" i="10"/>
  <c r="H374" i="10"/>
  <c r="D374" i="10"/>
  <c r="F374" i="10" s="1"/>
  <c r="G374" i="10" s="1"/>
  <c r="V374" i="10" s="1"/>
  <c r="AU365" i="10"/>
  <c r="AA83" i="10"/>
  <c r="A377" i="10"/>
  <c r="AS376" i="10"/>
  <c r="Y376" i="10"/>
  <c r="BB376" i="10"/>
  <c r="BC376" i="10" s="1"/>
  <c r="B376" i="10"/>
  <c r="Q84" i="10"/>
  <c r="O367" i="10" l="1"/>
  <c r="P367" i="10" s="1"/>
  <c r="J368" i="10" s="1"/>
  <c r="L368" i="10" s="1"/>
  <c r="N368" i="10" s="1"/>
  <c r="AE367" i="10"/>
  <c r="AT367" i="10"/>
  <c r="AF367" i="10"/>
  <c r="AM84" i="10"/>
  <c r="S84" i="10"/>
  <c r="AC84" i="10"/>
  <c r="AB84" i="10"/>
  <c r="AV83" i="10" s="1"/>
  <c r="H375" i="10"/>
  <c r="D375" i="10"/>
  <c r="F375" i="10" s="1"/>
  <c r="G375" i="10" s="1"/>
  <c r="V375" i="10" s="1"/>
  <c r="C376" i="10"/>
  <c r="I376" i="10" s="1"/>
  <c r="K376" i="10"/>
  <c r="M376" i="10"/>
  <c r="E376" i="10"/>
  <c r="AU366" i="10"/>
  <c r="BB377" i="10"/>
  <c r="BC377" i="10" s="1"/>
  <c r="AS377" i="10"/>
  <c r="Y377" i="10"/>
  <c r="A378" i="10"/>
  <c r="B377" i="10"/>
  <c r="AI83" i="10"/>
  <c r="AJ83" i="10"/>
  <c r="AG83" i="10"/>
  <c r="AK83" i="10"/>
  <c r="AX83" i="10" s="1"/>
  <c r="R375" i="10"/>
  <c r="AL83" i="10" l="1"/>
  <c r="O368" i="10"/>
  <c r="P368" i="10" s="1"/>
  <c r="J369" i="10" s="1"/>
  <c r="L369" i="10" s="1"/>
  <c r="N369" i="10" s="1"/>
  <c r="AE368" i="10"/>
  <c r="AT368" i="10"/>
  <c r="AF368" i="10"/>
  <c r="H376" i="10"/>
  <c r="D376" i="10"/>
  <c r="F376" i="10" s="1"/>
  <c r="G376" i="10" s="1"/>
  <c r="V376" i="10" s="1"/>
  <c r="K377" i="10"/>
  <c r="M377" i="10"/>
  <c r="C377" i="10"/>
  <c r="I377" i="10" s="1"/>
  <c r="E377" i="10"/>
  <c r="BB378" i="10"/>
  <c r="BC378" i="10" s="1"/>
  <c r="AS378" i="10"/>
  <c r="Y378" i="10"/>
  <c r="A379" i="10"/>
  <c r="B378" i="10"/>
  <c r="AU367" i="10"/>
  <c r="BA83" i="10"/>
  <c r="R376" i="10"/>
  <c r="T84" i="10"/>
  <c r="AQ84" i="10" s="1"/>
  <c r="AD84" i="10"/>
  <c r="U84" i="10"/>
  <c r="W84" i="10" s="1"/>
  <c r="AP84" i="10" s="1"/>
  <c r="AO83" i="10"/>
  <c r="AY83" i="10" s="1"/>
  <c r="AH83" i="10"/>
  <c r="AN83" i="10" l="1"/>
  <c r="AW83" i="10" s="1"/>
  <c r="O369" i="10"/>
  <c r="P369" i="10" s="1"/>
  <c r="J370" i="10" s="1"/>
  <c r="L370" i="10" s="1"/>
  <c r="N370" i="10" s="1"/>
  <c r="AE369" i="10"/>
  <c r="AT369" i="10"/>
  <c r="AF369" i="10"/>
  <c r="R377" i="10"/>
  <c r="X84" i="10"/>
  <c r="C378" i="10"/>
  <c r="I378" i="10" s="1"/>
  <c r="K378" i="10"/>
  <c r="M378" i="10"/>
  <c r="E378" i="10"/>
  <c r="H377" i="10"/>
  <c r="D377" i="10"/>
  <c r="F377" i="10" s="1"/>
  <c r="G377" i="10" s="1"/>
  <c r="V377" i="10" s="1"/>
  <c r="BB379" i="10"/>
  <c r="BC379" i="10" s="1"/>
  <c r="AS379" i="10"/>
  <c r="Y379" i="10"/>
  <c r="A380" i="10"/>
  <c r="B379" i="10"/>
  <c r="AU368" i="10"/>
  <c r="BD83" i="10"/>
  <c r="AZ83" i="10"/>
  <c r="O370" i="10" l="1"/>
  <c r="P370" i="10" s="1"/>
  <c r="J371" i="10" s="1"/>
  <c r="L371" i="10" s="1"/>
  <c r="N371" i="10" s="1"/>
  <c r="AE370" i="10"/>
  <c r="AT370" i="10"/>
  <c r="AF370" i="10"/>
  <c r="K379" i="10"/>
  <c r="C379" i="10"/>
  <c r="I379" i="10" s="1"/>
  <c r="M379" i="10"/>
  <c r="E379" i="10"/>
  <c r="R378" i="10"/>
  <c r="Y380" i="10"/>
  <c r="AS380" i="10"/>
  <c r="A381" i="10"/>
  <c r="BB380" i="10"/>
  <c r="BC380" i="10" s="1"/>
  <c r="B380" i="10"/>
  <c r="H378" i="10"/>
  <c r="D378" i="10"/>
  <c r="F378" i="10" s="1"/>
  <c r="G378" i="10" s="1"/>
  <c r="V378" i="10" s="1"/>
  <c r="AU369" i="10"/>
  <c r="Z84" i="10"/>
  <c r="AR84" i="10" s="1"/>
  <c r="O371" i="10" l="1"/>
  <c r="P371" i="10" s="1"/>
  <c r="J372" i="10" s="1"/>
  <c r="L372" i="10" s="1"/>
  <c r="N372" i="10" s="1"/>
  <c r="AT371" i="10"/>
  <c r="AE371" i="10"/>
  <c r="AF371" i="10"/>
  <c r="AA84" i="10"/>
  <c r="AU370" i="10"/>
  <c r="Q85" i="10"/>
  <c r="C380" i="10"/>
  <c r="I380" i="10" s="1"/>
  <c r="M380" i="10"/>
  <c r="K380" i="10"/>
  <c r="E380" i="10"/>
  <c r="R379" i="10"/>
  <c r="BB381" i="10"/>
  <c r="BC381" i="10" s="1"/>
  <c r="AS381" i="10"/>
  <c r="Y381" i="10"/>
  <c r="A382" i="10"/>
  <c r="B381" i="10"/>
  <c r="H379" i="10"/>
  <c r="D379" i="10"/>
  <c r="F379" i="10" s="1"/>
  <c r="G379" i="10" s="1"/>
  <c r="V379" i="10" s="1"/>
  <c r="O372" i="10" l="1"/>
  <c r="P372" i="10" s="1"/>
  <c r="J373" i="10" s="1"/>
  <c r="L373" i="10" s="1"/>
  <c r="N373" i="10" s="1"/>
  <c r="AT372" i="10"/>
  <c r="AE372" i="10"/>
  <c r="AF372" i="10"/>
  <c r="H380" i="10"/>
  <c r="D380" i="10"/>
  <c r="F380" i="10" s="1"/>
  <c r="G380" i="10" s="1"/>
  <c r="V380" i="10" s="1"/>
  <c r="AM85" i="10"/>
  <c r="S85" i="10"/>
  <c r="AC85" i="10"/>
  <c r="AB85" i="10"/>
  <c r="AV84" i="10" s="1"/>
  <c r="AU371" i="10"/>
  <c r="M381" i="10"/>
  <c r="C381" i="10"/>
  <c r="I381" i="10" s="1"/>
  <c r="K381" i="10"/>
  <c r="E381" i="10"/>
  <c r="AI84" i="10"/>
  <c r="AJ84" i="10"/>
  <c r="AG84" i="10"/>
  <c r="AK84" i="10"/>
  <c r="AX84" i="10" s="1"/>
  <c r="A383" i="10"/>
  <c r="Y382" i="10"/>
  <c r="BB382" i="10"/>
  <c r="BC382" i="10" s="1"/>
  <c r="AS382" i="10"/>
  <c r="B382" i="10"/>
  <c r="R380" i="10"/>
  <c r="O373" i="10" l="1"/>
  <c r="P373" i="10"/>
  <c r="J374" i="10" s="1"/>
  <c r="L374" i="10" s="1"/>
  <c r="N374" i="10" s="1"/>
  <c r="AT373" i="10"/>
  <c r="AE373" i="10"/>
  <c r="AF373" i="10"/>
  <c r="M382" i="10"/>
  <c r="C382" i="10"/>
  <c r="I382" i="10" s="1"/>
  <c r="K382" i="10"/>
  <c r="E382" i="10"/>
  <c r="R381" i="10"/>
  <c r="BA84" i="10"/>
  <c r="AU372" i="10"/>
  <c r="H381" i="10"/>
  <c r="D381" i="10"/>
  <c r="F381" i="10" s="1"/>
  <c r="G381" i="10" s="1"/>
  <c r="V381" i="10" s="1"/>
  <c r="AD85" i="10"/>
  <c r="T85" i="10"/>
  <c r="AQ85" i="10" s="1"/>
  <c r="U85" i="10"/>
  <c r="W85" i="10" s="1"/>
  <c r="AP85" i="10" s="1"/>
  <c r="A384" i="10"/>
  <c r="BB383" i="10"/>
  <c r="BC383" i="10" s="1"/>
  <c r="AS383" i="10"/>
  <c r="Y383" i="10"/>
  <c r="B383" i="10"/>
  <c r="AO84" i="10"/>
  <c r="AY84" i="10" s="1"/>
  <c r="AH84" i="10"/>
  <c r="AL84" i="10"/>
  <c r="X85" i="10" l="1"/>
  <c r="O374" i="10"/>
  <c r="P374" i="10" s="1"/>
  <c r="J375" i="10" s="1"/>
  <c r="L375" i="10" s="1"/>
  <c r="N375" i="10" s="1"/>
  <c r="AE374" i="10"/>
  <c r="AT374" i="10"/>
  <c r="AF374" i="10"/>
  <c r="M383" i="10"/>
  <c r="C383" i="10"/>
  <c r="I383" i="10" s="1"/>
  <c r="K383" i="10"/>
  <c r="E383" i="10"/>
  <c r="Z85" i="10"/>
  <c r="AR85" i="10" s="1"/>
  <c r="AU373" i="10"/>
  <c r="AN84" i="10"/>
  <c r="AW84" i="10" s="1"/>
  <c r="A385" i="10"/>
  <c r="BB384" i="10"/>
  <c r="BC384" i="10" s="1"/>
  <c r="AS384" i="10"/>
  <c r="Y384" i="10"/>
  <c r="B384" i="10"/>
  <c r="R382" i="10"/>
  <c r="H382" i="10"/>
  <c r="D382" i="10"/>
  <c r="F382" i="10" s="1"/>
  <c r="G382" i="10" s="1"/>
  <c r="V382" i="10" s="1"/>
  <c r="O375" i="10" l="1"/>
  <c r="P375" i="10"/>
  <c r="J376" i="10" s="1"/>
  <c r="L376" i="10" s="1"/>
  <c r="N376" i="10" s="1"/>
  <c r="AT375" i="10"/>
  <c r="AE375" i="10"/>
  <c r="AF375" i="10"/>
  <c r="A386" i="10"/>
  <c r="Y385" i="10"/>
  <c r="AS385" i="10"/>
  <c r="BB385" i="10"/>
  <c r="BC385" i="10" s="1"/>
  <c r="B385" i="10"/>
  <c r="AA85" i="10"/>
  <c r="BD84" i="10"/>
  <c r="AZ84" i="10"/>
  <c r="Q86" i="10"/>
  <c r="AU374" i="10"/>
  <c r="R383" i="10"/>
  <c r="C384" i="10"/>
  <c r="I384" i="10" s="1"/>
  <c r="K384" i="10"/>
  <c r="M384" i="10"/>
  <c r="E384" i="10"/>
  <c r="H383" i="10"/>
  <c r="D383" i="10"/>
  <c r="F383" i="10" s="1"/>
  <c r="G383" i="10" s="1"/>
  <c r="V383" i="10" s="1"/>
  <c r="O376" i="10" l="1"/>
  <c r="P376" i="10" s="1"/>
  <c r="J377" i="10" s="1"/>
  <c r="L377" i="10" s="1"/>
  <c r="N377" i="10" s="1"/>
  <c r="AE376" i="10"/>
  <c r="AT376" i="10"/>
  <c r="AF376" i="10"/>
  <c r="AI85" i="10"/>
  <c r="AJ85" i="10"/>
  <c r="AG85" i="10"/>
  <c r="AK85" i="10"/>
  <c r="AX85" i="10" s="1"/>
  <c r="K385" i="10"/>
  <c r="C385" i="10"/>
  <c r="I385" i="10" s="1"/>
  <c r="M385" i="10"/>
  <c r="E385" i="10"/>
  <c r="AU375" i="10"/>
  <c r="R384" i="10"/>
  <c r="AM86" i="10"/>
  <c r="S86" i="10"/>
  <c r="AC86" i="10"/>
  <c r="AB86" i="10"/>
  <c r="AV85" i="10" s="1"/>
  <c r="H384" i="10"/>
  <c r="D384" i="10"/>
  <c r="F384" i="10" s="1"/>
  <c r="G384" i="10" s="1"/>
  <c r="V384" i="10" s="1"/>
  <c r="AS386" i="10"/>
  <c r="BB386" i="10"/>
  <c r="BC386" i="10" s="1"/>
  <c r="A387" i="10"/>
  <c r="Y386" i="10"/>
  <c r="B386" i="10"/>
  <c r="BA85" i="10" l="1"/>
  <c r="O377" i="10"/>
  <c r="P377" i="10" s="1"/>
  <c r="J378" i="10" s="1"/>
  <c r="L378" i="10" s="1"/>
  <c r="N378" i="10" s="1"/>
  <c r="AE377" i="10"/>
  <c r="AT377" i="10"/>
  <c r="AF377" i="10"/>
  <c r="H385" i="10"/>
  <c r="D385" i="10"/>
  <c r="F385" i="10" s="1"/>
  <c r="G385" i="10" s="1"/>
  <c r="V385" i="10" s="1"/>
  <c r="K386" i="10"/>
  <c r="C386" i="10"/>
  <c r="I386" i="10" s="1"/>
  <c r="M386" i="10"/>
  <c r="E386" i="10"/>
  <c r="AO85" i="10"/>
  <c r="AY85" i="10" s="1"/>
  <c r="AH85" i="10"/>
  <c r="AU376" i="10"/>
  <c r="AL85" i="10"/>
  <c r="AS387" i="10"/>
  <c r="A388" i="10"/>
  <c r="BB387" i="10"/>
  <c r="BC387" i="10" s="1"/>
  <c r="Y387" i="10"/>
  <c r="B387" i="10"/>
  <c r="T86" i="10"/>
  <c r="AQ86" i="10" s="1"/>
  <c r="AD86" i="10"/>
  <c r="U86" i="10"/>
  <c r="W86" i="10" s="1"/>
  <c r="AP86" i="10" s="1"/>
  <c r="R385" i="10"/>
  <c r="O378" i="10" l="1"/>
  <c r="P378" i="10" s="1"/>
  <c r="J379" i="10" s="1"/>
  <c r="L379" i="10" s="1"/>
  <c r="N379" i="10" s="1"/>
  <c r="AE378" i="10"/>
  <c r="AT378" i="10"/>
  <c r="AF378" i="10"/>
  <c r="A389" i="10"/>
  <c r="Y388" i="10"/>
  <c r="AS388" i="10"/>
  <c r="BB388" i="10"/>
  <c r="BC388" i="10" s="1"/>
  <c r="B388" i="10"/>
  <c r="R386" i="10"/>
  <c r="H386" i="10"/>
  <c r="D386" i="10"/>
  <c r="F386" i="10" s="1"/>
  <c r="G386" i="10" s="1"/>
  <c r="V386" i="10" s="1"/>
  <c r="AU377" i="10"/>
  <c r="X86" i="10"/>
  <c r="K387" i="10"/>
  <c r="C387" i="10"/>
  <c r="I387" i="10" s="1"/>
  <c r="M387" i="10"/>
  <c r="E387" i="10"/>
  <c r="AN85" i="10"/>
  <c r="AW85" i="10" s="1"/>
  <c r="O379" i="10" l="1"/>
  <c r="P379" i="10" s="1"/>
  <c r="J380" i="10" s="1"/>
  <c r="L380" i="10" s="1"/>
  <c r="N380" i="10" s="1"/>
  <c r="AE379" i="10"/>
  <c r="AT379" i="10"/>
  <c r="AF379" i="10"/>
  <c r="BD85" i="10"/>
  <c r="AZ85" i="10"/>
  <c r="Z86" i="10"/>
  <c r="AR86" i="10" s="1"/>
  <c r="R387" i="10"/>
  <c r="K388" i="10"/>
  <c r="C388" i="10"/>
  <c r="I388" i="10" s="1"/>
  <c r="M388" i="10"/>
  <c r="E388" i="10"/>
  <c r="AU378" i="10"/>
  <c r="H387" i="10"/>
  <c r="D387" i="10"/>
  <c r="F387" i="10" s="1"/>
  <c r="G387" i="10" s="1"/>
  <c r="V387" i="10" s="1"/>
  <c r="A390" i="10"/>
  <c r="Y389" i="10"/>
  <c r="AS389" i="10"/>
  <c r="BB389" i="10"/>
  <c r="BC389" i="10" s="1"/>
  <c r="B389" i="10"/>
  <c r="O380" i="10" l="1"/>
  <c r="P380" i="10" s="1"/>
  <c r="J381" i="10" s="1"/>
  <c r="L381" i="10" s="1"/>
  <c r="N381" i="10" s="1"/>
  <c r="AT380" i="10"/>
  <c r="AE380" i="10"/>
  <c r="AF380" i="10"/>
  <c r="AS390" i="10"/>
  <c r="BB390" i="10"/>
  <c r="BC390" i="10" s="1"/>
  <c r="A391" i="10"/>
  <c r="Y390" i="10"/>
  <c r="B390" i="10"/>
  <c r="R388" i="10"/>
  <c r="AU379" i="10"/>
  <c r="AA86" i="10"/>
  <c r="H388" i="10"/>
  <c r="D388" i="10"/>
  <c r="F388" i="10" s="1"/>
  <c r="G388" i="10" s="1"/>
  <c r="V388" i="10" s="1"/>
  <c r="Q87" i="10"/>
  <c r="K389" i="10"/>
  <c r="C389" i="10"/>
  <c r="I389" i="10" s="1"/>
  <c r="M389" i="10"/>
  <c r="E389" i="10"/>
  <c r="O381" i="10" l="1"/>
  <c r="P381" i="10" s="1"/>
  <c r="J382" i="10" s="1"/>
  <c r="L382" i="10" s="1"/>
  <c r="N382" i="10" s="1"/>
  <c r="AT381" i="10"/>
  <c r="AE381" i="10"/>
  <c r="AF381" i="10"/>
  <c r="R389" i="10"/>
  <c r="AI86" i="10"/>
  <c r="AJ86" i="10"/>
  <c r="AG86" i="10"/>
  <c r="AK86" i="10"/>
  <c r="AX86" i="10" s="1"/>
  <c r="K390" i="10"/>
  <c r="C390" i="10"/>
  <c r="I390" i="10" s="1"/>
  <c r="M390" i="10"/>
  <c r="E390" i="10"/>
  <c r="AU380" i="10"/>
  <c r="H389" i="10"/>
  <c r="D389" i="10"/>
  <c r="F389" i="10" s="1"/>
  <c r="G389" i="10" s="1"/>
  <c r="V389" i="10" s="1"/>
  <c r="AS391" i="10"/>
  <c r="BB391" i="10"/>
  <c r="BC391" i="10" s="1"/>
  <c r="Y391" i="10"/>
  <c r="A392" i="10"/>
  <c r="B391" i="10"/>
  <c r="AM87" i="10"/>
  <c r="S87" i="10"/>
  <c r="AC87" i="10"/>
  <c r="AB87" i="10"/>
  <c r="AV86" i="10" s="1"/>
  <c r="O382" i="10" l="1"/>
  <c r="P382" i="10" s="1"/>
  <c r="J383" i="10" s="1"/>
  <c r="L383" i="10" s="1"/>
  <c r="N383" i="10" s="1"/>
  <c r="AT382" i="10"/>
  <c r="AE382" i="10"/>
  <c r="AF382" i="10"/>
  <c r="K391" i="10"/>
  <c r="C391" i="10"/>
  <c r="I391" i="10" s="1"/>
  <c r="M391" i="10"/>
  <c r="E391" i="10"/>
  <c r="AO86" i="10"/>
  <c r="AY86" i="10" s="1"/>
  <c r="AH86" i="10"/>
  <c r="A393" i="10"/>
  <c r="Y392" i="10"/>
  <c r="BB392" i="10"/>
  <c r="BC392" i="10" s="1"/>
  <c r="AS392" i="10"/>
  <c r="B392" i="10"/>
  <c r="AL86" i="10"/>
  <c r="AU381" i="10"/>
  <c r="R390" i="10"/>
  <c r="BA86" i="10"/>
  <c r="AD87" i="10"/>
  <c r="T87" i="10"/>
  <c r="AQ87" i="10" s="1"/>
  <c r="U87" i="10"/>
  <c r="W87" i="10" s="1"/>
  <c r="AP87" i="10" s="1"/>
  <c r="H390" i="10"/>
  <c r="D390" i="10"/>
  <c r="F390" i="10" s="1"/>
  <c r="G390" i="10" s="1"/>
  <c r="V390" i="10" s="1"/>
  <c r="AN86" i="10" l="1"/>
  <c r="AW86" i="10" s="1"/>
  <c r="O383" i="10"/>
  <c r="P383" i="10"/>
  <c r="J384" i="10" s="1"/>
  <c r="L384" i="10" s="1"/>
  <c r="N384" i="10" s="1"/>
  <c r="AT383" i="10"/>
  <c r="AE383" i="10"/>
  <c r="AF383" i="10"/>
  <c r="A394" i="10"/>
  <c r="Y393" i="10"/>
  <c r="AS393" i="10"/>
  <c r="BB393" i="10"/>
  <c r="BC393" i="10" s="1"/>
  <c r="B393" i="10"/>
  <c r="X87" i="10"/>
  <c r="BD86" i="10"/>
  <c r="AZ86" i="10"/>
  <c r="AU382" i="10"/>
  <c r="R391" i="10"/>
  <c r="K392" i="10"/>
  <c r="C392" i="10"/>
  <c r="I392" i="10" s="1"/>
  <c r="M392" i="10"/>
  <c r="E392" i="10"/>
  <c r="H391" i="10"/>
  <c r="D391" i="10"/>
  <c r="F391" i="10" s="1"/>
  <c r="G391" i="10" s="1"/>
  <c r="V391" i="10" s="1"/>
  <c r="O384" i="10" l="1"/>
  <c r="P384" i="10" s="1"/>
  <c r="J385" i="10" s="1"/>
  <c r="L385" i="10" s="1"/>
  <c r="N385" i="10" s="1"/>
  <c r="AT384" i="10"/>
  <c r="AE384" i="10"/>
  <c r="AF384" i="10"/>
  <c r="Z87" i="10"/>
  <c r="AR87" i="10" s="1"/>
  <c r="K393" i="10"/>
  <c r="C393" i="10"/>
  <c r="I393" i="10" s="1"/>
  <c r="M393" i="10"/>
  <c r="E393" i="10"/>
  <c r="AU383" i="10"/>
  <c r="R392" i="10"/>
  <c r="AS394" i="10"/>
  <c r="BB394" i="10"/>
  <c r="BC394" i="10" s="1"/>
  <c r="A395" i="10"/>
  <c r="Y394" i="10"/>
  <c r="B394" i="10"/>
  <c r="H392" i="10"/>
  <c r="D392" i="10"/>
  <c r="F392" i="10" s="1"/>
  <c r="G392" i="10" s="1"/>
  <c r="V392" i="10" s="1"/>
  <c r="O385" i="10" l="1"/>
  <c r="P385" i="10" s="1"/>
  <c r="J386" i="10" s="1"/>
  <c r="L386" i="10" s="1"/>
  <c r="N386" i="10" s="1"/>
  <c r="AT385" i="10"/>
  <c r="AE385" i="10"/>
  <c r="AF385" i="10"/>
  <c r="H393" i="10"/>
  <c r="D393" i="10"/>
  <c r="F393" i="10" s="1"/>
  <c r="G393" i="10" s="1"/>
  <c r="V393" i="10" s="1"/>
  <c r="K394" i="10"/>
  <c r="C394" i="10"/>
  <c r="I394" i="10" s="1"/>
  <c r="M394" i="10"/>
  <c r="E394" i="10"/>
  <c r="AU384" i="10"/>
  <c r="AA87" i="10"/>
  <c r="AS395" i="10"/>
  <c r="A396" i="10"/>
  <c r="BB395" i="10"/>
  <c r="BC395" i="10" s="1"/>
  <c r="Y395" i="10"/>
  <c r="B395" i="10"/>
  <c r="Q88" i="10"/>
  <c r="R393" i="10"/>
  <c r="O386" i="10" l="1"/>
  <c r="P386" i="10"/>
  <c r="J387" i="10" s="1"/>
  <c r="L387" i="10" s="1"/>
  <c r="N387" i="10" s="1"/>
  <c r="AT386" i="10"/>
  <c r="AE386" i="10"/>
  <c r="AF386" i="10"/>
  <c r="R394" i="10"/>
  <c r="K395" i="10"/>
  <c r="C395" i="10"/>
  <c r="I395" i="10" s="1"/>
  <c r="M395" i="10"/>
  <c r="E395" i="10"/>
  <c r="A397" i="10"/>
  <c r="Y396" i="10"/>
  <c r="AS396" i="10"/>
  <c r="BB396" i="10"/>
  <c r="BC396" i="10" s="1"/>
  <c r="B396" i="10"/>
  <c r="AU385" i="10"/>
  <c r="H394" i="10"/>
  <c r="D394" i="10"/>
  <c r="F394" i="10" s="1"/>
  <c r="G394" i="10" s="1"/>
  <c r="V394" i="10" s="1"/>
  <c r="AI87" i="10"/>
  <c r="AJ87" i="10"/>
  <c r="AG87" i="10"/>
  <c r="AK87" i="10"/>
  <c r="AX87" i="10" s="1"/>
  <c r="AM88" i="10"/>
  <c r="S88" i="10"/>
  <c r="AC88" i="10"/>
  <c r="AB88" i="10"/>
  <c r="AV87" i="10" s="1"/>
  <c r="O387" i="10" l="1"/>
  <c r="P387" i="10" s="1"/>
  <c r="J388" i="10" s="1"/>
  <c r="L388" i="10" s="1"/>
  <c r="N388" i="10" s="1"/>
  <c r="AE387" i="10"/>
  <c r="AT387" i="10"/>
  <c r="AF387" i="10"/>
  <c r="K396" i="10"/>
  <c r="C396" i="10"/>
  <c r="I396" i="10" s="1"/>
  <c r="M396" i="10"/>
  <c r="E396" i="10"/>
  <c r="R395" i="10"/>
  <c r="AO87" i="10"/>
  <c r="AY87" i="10" s="1"/>
  <c r="AH87" i="10"/>
  <c r="AL87" i="10"/>
  <c r="H395" i="10"/>
  <c r="D395" i="10"/>
  <c r="F395" i="10" s="1"/>
  <c r="G395" i="10" s="1"/>
  <c r="V395" i="10" s="1"/>
  <c r="AU386" i="10"/>
  <c r="BA87" i="10"/>
  <c r="A398" i="10"/>
  <c r="Y397" i="10"/>
  <c r="AS397" i="10"/>
  <c r="BB397" i="10"/>
  <c r="BC397" i="10" s="1"/>
  <c r="B397" i="10"/>
  <c r="T88" i="10"/>
  <c r="AQ88" i="10" s="1"/>
  <c r="AD88" i="10"/>
  <c r="U88" i="10"/>
  <c r="W88" i="10" s="1"/>
  <c r="AP88" i="10" s="1"/>
  <c r="O388" i="10" l="1"/>
  <c r="P388" i="10" s="1"/>
  <c r="J389" i="10" s="1"/>
  <c r="L389" i="10" s="1"/>
  <c r="N389" i="10" s="1"/>
  <c r="AT388" i="10"/>
  <c r="AE388" i="10"/>
  <c r="AF388" i="10"/>
  <c r="K397" i="10"/>
  <c r="C397" i="10"/>
  <c r="I397" i="10" s="1"/>
  <c r="M397" i="10"/>
  <c r="E397" i="10"/>
  <c r="AU387" i="10"/>
  <c r="AS398" i="10"/>
  <c r="BB398" i="10"/>
  <c r="BC398" i="10" s="1"/>
  <c r="A399" i="10"/>
  <c r="Y398" i="10"/>
  <c r="B398" i="10"/>
  <c r="R396" i="10"/>
  <c r="H396" i="10"/>
  <c r="D396" i="10"/>
  <c r="F396" i="10" s="1"/>
  <c r="G396" i="10" s="1"/>
  <c r="V396" i="10" s="1"/>
  <c r="X88" i="10"/>
  <c r="AN87" i="10"/>
  <c r="AW87" i="10" s="1"/>
  <c r="O389" i="10" l="1"/>
  <c r="P389" i="10"/>
  <c r="J390" i="10" s="1"/>
  <c r="L390" i="10" s="1"/>
  <c r="N390" i="10" s="1"/>
  <c r="AE389" i="10"/>
  <c r="AT389" i="10"/>
  <c r="AF389" i="10"/>
  <c r="BD87" i="10"/>
  <c r="AZ87" i="10"/>
  <c r="K398" i="10"/>
  <c r="C398" i="10"/>
  <c r="I398" i="10" s="1"/>
  <c r="M398" i="10"/>
  <c r="E398" i="10"/>
  <c r="AU388" i="10"/>
  <c r="Z88" i="10"/>
  <c r="AR88" i="10" s="1"/>
  <c r="AS399" i="10"/>
  <c r="BB399" i="10"/>
  <c r="BC399" i="10" s="1"/>
  <c r="Y399" i="10"/>
  <c r="A400" i="10"/>
  <c r="B399" i="10"/>
  <c r="R397" i="10"/>
  <c r="H397" i="10"/>
  <c r="D397" i="10"/>
  <c r="F397" i="10" s="1"/>
  <c r="G397" i="10" s="1"/>
  <c r="V397" i="10" s="1"/>
  <c r="O390" i="10" l="1"/>
  <c r="P390" i="10"/>
  <c r="J391" i="10" s="1"/>
  <c r="L391" i="10" s="1"/>
  <c r="N391" i="10" s="1"/>
  <c r="AT390" i="10"/>
  <c r="AE390" i="10"/>
  <c r="AF390" i="10"/>
  <c r="R398" i="10"/>
  <c r="AU389" i="10"/>
  <c r="H398" i="10"/>
  <c r="D398" i="10"/>
  <c r="F398" i="10" s="1"/>
  <c r="G398" i="10" s="1"/>
  <c r="V398" i="10" s="1"/>
  <c r="K399" i="10"/>
  <c r="C399" i="10"/>
  <c r="I399" i="10" s="1"/>
  <c r="M399" i="10"/>
  <c r="E399" i="10"/>
  <c r="AA88" i="10"/>
  <c r="A401" i="10"/>
  <c r="Y400" i="10"/>
  <c r="BB400" i="10"/>
  <c r="BC400" i="10" s="1"/>
  <c r="AS400" i="10"/>
  <c r="B400" i="10"/>
  <c r="Q89" i="10"/>
  <c r="O391" i="10" l="1"/>
  <c r="P391" i="10" s="1"/>
  <c r="J392" i="10" s="1"/>
  <c r="L392" i="10" s="1"/>
  <c r="N392" i="10" s="1"/>
  <c r="AT391" i="10"/>
  <c r="AE391" i="10"/>
  <c r="AF391" i="10"/>
  <c r="AM89" i="10"/>
  <c r="S89" i="10"/>
  <c r="AC89" i="10"/>
  <c r="AB89" i="10"/>
  <c r="AV88" i="10" s="1"/>
  <c r="K400" i="10"/>
  <c r="C400" i="10"/>
  <c r="I400" i="10" s="1"/>
  <c r="M400" i="10"/>
  <c r="E400" i="10"/>
  <c r="H399" i="10"/>
  <c r="D399" i="10"/>
  <c r="F399" i="10" s="1"/>
  <c r="G399" i="10" s="1"/>
  <c r="V399" i="10" s="1"/>
  <c r="AU390" i="10"/>
  <c r="A402" i="10"/>
  <c r="Y401" i="10"/>
  <c r="AS401" i="10"/>
  <c r="BB401" i="10"/>
  <c r="BC401" i="10" s="1"/>
  <c r="B401" i="10"/>
  <c r="AI88" i="10"/>
  <c r="AJ88" i="10"/>
  <c r="AG88" i="10"/>
  <c r="AK88" i="10"/>
  <c r="AX88" i="10" s="1"/>
  <c r="R399" i="10"/>
  <c r="AL88" i="10" l="1"/>
  <c r="O392" i="10"/>
  <c r="P392" i="10" s="1"/>
  <c r="J393" i="10" s="1"/>
  <c r="L393" i="10" s="1"/>
  <c r="N393" i="10" s="1"/>
  <c r="AT392" i="10"/>
  <c r="AE392" i="10"/>
  <c r="AF392" i="10"/>
  <c r="AO88" i="10"/>
  <c r="AY88" i="10" s="1"/>
  <c r="AH88" i="10"/>
  <c r="R400" i="10"/>
  <c r="H400" i="10"/>
  <c r="D400" i="10"/>
  <c r="F400" i="10" s="1"/>
  <c r="G400" i="10" s="1"/>
  <c r="V400" i="10" s="1"/>
  <c r="K401" i="10"/>
  <c r="C401" i="10"/>
  <c r="I401" i="10" s="1"/>
  <c r="M401" i="10"/>
  <c r="E401" i="10"/>
  <c r="AU391" i="10"/>
  <c r="BA88" i="10"/>
  <c r="AS402" i="10"/>
  <c r="BB402" i="10"/>
  <c r="BC402" i="10" s="1"/>
  <c r="A403" i="10"/>
  <c r="Y402" i="10"/>
  <c r="B402" i="10"/>
  <c r="AD89" i="10"/>
  <c r="T89" i="10"/>
  <c r="AQ89" i="10" s="1"/>
  <c r="U89" i="10"/>
  <c r="W89" i="10" s="1"/>
  <c r="AP89" i="10" s="1"/>
  <c r="AN88" i="10" l="1"/>
  <c r="AW88" i="10" s="1"/>
  <c r="O393" i="10"/>
  <c r="P393" i="10"/>
  <c r="J394" i="10" s="1"/>
  <c r="L394" i="10" s="1"/>
  <c r="N394" i="10" s="1"/>
  <c r="AE393" i="10"/>
  <c r="AT393" i="10"/>
  <c r="AF393" i="10"/>
  <c r="K402" i="10"/>
  <c r="C402" i="10"/>
  <c r="I402" i="10" s="1"/>
  <c r="M402" i="10"/>
  <c r="E402" i="10"/>
  <c r="AS403" i="10"/>
  <c r="A404" i="10"/>
  <c r="BB403" i="10"/>
  <c r="BC403" i="10" s="1"/>
  <c r="Y403" i="10"/>
  <c r="B403" i="10"/>
  <c r="AU392" i="10"/>
  <c r="R401" i="10"/>
  <c r="X89" i="10"/>
  <c r="H401" i="10"/>
  <c r="D401" i="10"/>
  <c r="F401" i="10" s="1"/>
  <c r="G401" i="10" s="1"/>
  <c r="V401" i="10" s="1"/>
  <c r="BD88" i="10"/>
  <c r="AZ88" i="10"/>
  <c r="O394" i="10" l="1"/>
  <c r="P394" i="10" s="1"/>
  <c r="J395" i="10" s="1"/>
  <c r="L395" i="10" s="1"/>
  <c r="N395" i="10" s="1"/>
  <c r="AE394" i="10"/>
  <c r="AT394" i="10"/>
  <c r="AF394" i="10"/>
  <c r="A405" i="10"/>
  <c r="Y404" i="10"/>
  <c r="AS404" i="10"/>
  <c r="BB404" i="10"/>
  <c r="BC404" i="10" s="1"/>
  <c r="B404" i="10"/>
  <c r="Z89" i="10"/>
  <c r="AR89" i="10" s="1"/>
  <c r="AU393" i="10"/>
  <c r="K403" i="10"/>
  <c r="C403" i="10"/>
  <c r="I403" i="10" s="1"/>
  <c r="M403" i="10"/>
  <c r="E403" i="10"/>
  <c r="R402" i="10"/>
  <c r="H402" i="10"/>
  <c r="D402" i="10"/>
  <c r="F402" i="10" s="1"/>
  <c r="G402" i="10" s="1"/>
  <c r="V402" i="10" s="1"/>
  <c r="AA89" i="10" l="1"/>
  <c r="AJ89" i="10" s="1"/>
  <c r="Q90" i="10"/>
  <c r="AM90" i="10" s="1"/>
  <c r="O395" i="10"/>
  <c r="P395" i="10" s="1"/>
  <c r="J396" i="10" s="1"/>
  <c r="L396" i="10" s="1"/>
  <c r="N396" i="10" s="1"/>
  <c r="AT395" i="10"/>
  <c r="AE395" i="10"/>
  <c r="AF395" i="10"/>
  <c r="A406" i="10"/>
  <c r="Y405" i="10"/>
  <c r="AS405" i="10"/>
  <c r="BB405" i="10"/>
  <c r="BC405" i="10" s="1"/>
  <c r="B405" i="10"/>
  <c r="H403" i="10"/>
  <c r="D403" i="10"/>
  <c r="F403" i="10" s="1"/>
  <c r="G403" i="10" s="1"/>
  <c r="V403" i="10" s="1"/>
  <c r="K404" i="10"/>
  <c r="C404" i="10"/>
  <c r="I404" i="10" s="1"/>
  <c r="M404" i="10"/>
  <c r="E404" i="10"/>
  <c r="AU394" i="10"/>
  <c r="R403" i="10"/>
  <c r="AI89" i="10" l="1"/>
  <c r="S90" i="10"/>
  <c r="U90" i="10" s="1"/>
  <c r="W90" i="10" s="1"/>
  <c r="AP90" i="10" s="1"/>
  <c r="AK89" i="10"/>
  <c r="AX89" i="10" s="1"/>
  <c r="AB90" i="10"/>
  <c r="AV89" i="10" s="1"/>
  <c r="AC90" i="10"/>
  <c r="BA89" i="10" s="1"/>
  <c r="AG89" i="10"/>
  <c r="AH89" i="10" s="1"/>
  <c r="O396" i="10"/>
  <c r="P396" i="10" s="1"/>
  <c r="J397" i="10" s="1"/>
  <c r="L397" i="10" s="1"/>
  <c r="N397" i="10" s="1"/>
  <c r="AT396" i="10"/>
  <c r="AE396" i="10"/>
  <c r="AF396" i="10"/>
  <c r="R404" i="10"/>
  <c r="AD90" i="10"/>
  <c r="AS406" i="10"/>
  <c r="BB406" i="10"/>
  <c r="BC406" i="10" s="1"/>
  <c r="A407" i="10"/>
  <c r="Y406" i="10"/>
  <c r="B406" i="10"/>
  <c r="H404" i="10"/>
  <c r="D404" i="10"/>
  <c r="F404" i="10" s="1"/>
  <c r="G404" i="10" s="1"/>
  <c r="V404" i="10" s="1"/>
  <c r="AU395" i="10"/>
  <c r="K405" i="10"/>
  <c r="C405" i="10"/>
  <c r="I405" i="10" s="1"/>
  <c r="M405" i="10"/>
  <c r="E405" i="10"/>
  <c r="T90" i="10" l="1"/>
  <c r="AQ90" i="10" s="1"/>
  <c r="AO89" i="10"/>
  <c r="AY89" i="10" s="1"/>
  <c r="AL89" i="10"/>
  <c r="AN89" i="10" s="1"/>
  <c r="AW89" i="10" s="1"/>
  <c r="O397" i="10"/>
  <c r="P397" i="10"/>
  <c r="J398" i="10" s="1"/>
  <c r="L398" i="10" s="1"/>
  <c r="N398" i="10" s="1"/>
  <c r="AE397" i="10"/>
  <c r="AT397" i="10"/>
  <c r="AF397" i="10"/>
  <c r="AU396" i="10"/>
  <c r="K406" i="10"/>
  <c r="C406" i="10"/>
  <c r="I406" i="10" s="1"/>
  <c r="M406" i="10"/>
  <c r="E406" i="10"/>
  <c r="X90" i="10"/>
  <c r="R405" i="10"/>
  <c r="AS407" i="10"/>
  <c r="BB407" i="10"/>
  <c r="BC407" i="10" s="1"/>
  <c r="Y407" i="10"/>
  <c r="A408" i="10"/>
  <c r="B407" i="10"/>
  <c r="H405" i="10"/>
  <c r="D405" i="10"/>
  <c r="F405" i="10" s="1"/>
  <c r="G405" i="10" s="1"/>
  <c r="V405" i="10" s="1"/>
  <c r="O398" i="10" l="1"/>
  <c r="P398" i="10" s="1"/>
  <c r="J399" i="10" s="1"/>
  <c r="L399" i="10" s="1"/>
  <c r="N399" i="10" s="1"/>
  <c r="AE398" i="10"/>
  <c r="AT398" i="10"/>
  <c r="AF398" i="10"/>
  <c r="H406" i="10"/>
  <c r="D406" i="10"/>
  <c r="F406" i="10" s="1"/>
  <c r="G406" i="10" s="1"/>
  <c r="V406" i="10" s="1"/>
  <c r="K407" i="10"/>
  <c r="C407" i="10"/>
  <c r="I407" i="10" s="1"/>
  <c r="M407" i="10"/>
  <c r="E407" i="10"/>
  <c r="AU397" i="10"/>
  <c r="AS408" i="10"/>
  <c r="A409" i="10"/>
  <c r="BB408" i="10"/>
  <c r="BC408" i="10" s="1"/>
  <c r="Y408" i="10"/>
  <c r="B408" i="10"/>
  <c r="BD89" i="10"/>
  <c r="AZ89" i="10"/>
  <c r="Z90" i="10"/>
  <c r="AR90" i="10" s="1"/>
  <c r="R406" i="10"/>
  <c r="O399" i="10" l="1"/>
  <c r="P399" i="10" s="1"/>
  <c r="J400" i="10" s="1"/>
  <c r="L400" i="10" s="1"/>
  <c r="N400" i="10" s="1"/>
  <c r="AE399" i="10"/>
  <c r="AT399" i="10"/>
  <c r="AF399" i="10"/>
  <c r="K408" i="10"/>
  <c r="C408" i="10"/>
  <c r="I408" i="10" s="1"/>
  <c r="M408" i="10"/>
  <c r="E408" i="10"/>
  <c r="H407" i="10"/>
  <c r="D407" i="10"/>
  <c r="F407" i="10" s="1"/>
  <c r="G407" i="10" s="1"/>
  <c r="V407" i="10" s="1"/>
  <c r="AA90" i="10"/>
  <c r="AS409" i="10"/>
  <c r="BB409" i="10"/>
  <c r="BC409" i="10" s="1"/>
  <c r="Y409" i="10"/>
  <c r="A410" i="10"/>
  <c r="B409" i="10"/>
  <c r="Q91" i="10"/>
  <c r="AU398" i="10"/>
  <c r="R407" i="10"/>
  <c r="O400" i="10" l="1"/>
  <c r="P400" i="10" s="1"/>
  <c r="J401" i="10" s="1"/>
  <c r="L401" i="10" s="1"/>
  <c r="N401" i="10" s="1"/>
  <c r="AE400" i="10"/>
  <c r="AT400" i="10"/>
  <c r="AF400" i="10"/>
  <c r="AI90" i="10"/>
  <c r="AJ90" i="10"/>
  <c r="AG90" i="10"/>
  <c r="AK90" i="10"/>
  <c r="AX90" i="10" s="1"/>
  <c r="AM91" i="10"/>
  <c r="S91" i="10"/>
  <c r="AC91" i="10"/>
  <c r="AB91" i="10"/>
  <c r="AV90" i="10" s="1"/>
  <c r="K409" i="10"/>
  <c r="C409" i="10"/>
  <c r="I409" i="10" s="1"/>
  <c r="M409" i="10"/>
  <c r="E409" i="10"/>
  <c r="AS410" i="10"/>
  <c r="A411" i="10"/>
  <c r="Y410" i="10"/>
  <c r="BB410" i="10"/>
  <c r="BC410" i="10" s="1"/>
  <c r="B410" i="10"/>
  <c r="AU399" i="10"/>
  <c r="R408" i="10"/>
  <c r="H408" i="10"/>
  <c r="D408" i="10"/>
  <c r="F408" i="10" s="1"/>
  <c r="G408" i="10" s="1"/>
  <c r="V408" i="10" s="1"/>
  <c r="BA90" i="10" l="1"/>
  <c r="O401" i="10"/>
  <c r="P401" i="10"/>
  <c r="J402" i="10" s="1"/>
  <c r="L402" i="10" s="1"/>
  <c r="N402" i="10" s="1"/>
  <c r="AE401" i="10"/>
  <c r="AT401" i="10"/>
  <c r="AF401" i="10"/>
  <c r="AU400" i="10"/>
  <c r="AL90" i="10"/>
  <c r="R409" i="10"/>
  <c r="AD91" i="10"/>
  <c r="T91" i="10"/>
  <c r="AQ91" i="10" s="1"/>
  <c r="U91" i="10"/>
  <c r="W91" i="10" s="1"/>
  <c r="AP91" i="10" s="1"/>
  <c r="H409" i="10"/>
  <c r="D409" i="10"/>
  <c r="F409" i="10" s="1"/>
  <c r="G409" i="10" s="1"/>
  <c r="V409" i="10" s="1"/>
  <c r="K410" i="10"/>
  <c r="C410" i="10"/>
  <c r="I410" i="10" s="1"/>
  <c r="M410" i="10"/>
  <c r="E410" i="10"/>
  <c r="AO90" i="10"/>
  <c r="AY90" i="10" s="1"/>
  <c r="AH90" i="10"/>
  <c r="AS411" i="10"/>
  <c r="BB411" i="10"/>
  <c r="BC411" i="10" s="1"/>
  <c r="A412" i="10"/>
  <c r="Y411" i="10"/>
  <c r="B411" i="10"/>
  <c r="AN90" i="10" l="1"/>
  <c r="AW90" i="10" s="1"/>
  <c r="AZ90" i="10" s="1"/>
  <c r="O402" i="10"/>
  <c r="P402" i="10"/>
  <c r="J403" i="10" s="1"/>
  <c r="L403" i="10" s="1"/>
  <c r="N403" i="10" s="1"/>
  <c r="AE402" i="10"/>
  <c r="AT402" i="10"/>
  <c r="AF402" i="10"/>
  <c r="AU401" i="10"/>
  <c r="K411" i="10"/>
  <c r="C411" i="10"/>
  <c r="I411" i="10" s="1"/>
  <c r="M411" i="10"/>
  <c r="E411" i="10"/>
  <c r="R410" i="10"/>
  <c r="AS412" i="10"/>
  <c r="Y412" i="10"/>
  <c r="BB412" i="10"/>
  <c r="BC412" i="10" s="1"/>
  <c r="A413" i="10"/>
  <c r="B412" i="10"/>
  <c r="H410" i="10"/>
  <c r="D410" i="10"/>
  <c r="F410" i="10" s="1"/>
  <c r="G410" i="10" s="1"/>
  <c r="V410" i="10" s="1"/>
  <c r="X91" i="10"/>
  <c r="BD90" i="10" l="1"/>
  <c r="O403" i="10"/>
  <c r="P403" i="10" s="1"/>
  <c r="J404" i="10" s="1"/>
  <c r="L404" i="10" s="1"/>
  <c r="N404" i="10" s="1"/>
  <c r="AT403" i="10"/>
  <c r="AE403" i="10"/>
  <c r="AF403" i="10"/>
  <c r="Z91" i="10"/>
  <c r="AR91" i="10" s="1"/>
  <c r="K412" i="10"/>
  <c r="C412" i="10"/>
  <c r="I412" i="10" s="1"/>
  <c r="M412" i="10"/>
  <c r="E412" i="10"/>
  <c r="AS413" i="10"/>
  <c r="A414" i="10"/>
  <c r="BB413" i="10"/>
  <c r="BC413" i="10" s="1"/>
  <c r="Y413" i="10"/>
  <c r="B413" i="10"/>
  <c r="AU402" i="10"/>
  <c r="R411" i="10"/>
  <c r="H411" i="10"/>
  <c r="D411" i="10"/>
  <c r="F411" i="10" s="1"/>
  <c r="G411" i="10" s="1"/>
  <c r="V411" i="10" s="1"/>
  <c r="Q92" i="10" l="1"/>
  <c r="AM92" i="10" s="1"/>
  <c r="O404" i="10"/>
  <c r="P404" i="10" s="1"/>
  <c r="J405" i="10" s="1"/>
  <c r="L405" i="10" s="1"/>
  <c r="N405" i="10" s="1"/>
  <c r="AT404" i="10"/>
  <c r="AE404" i="10"/>
  <c r="AF404" i="10"/>
  <c r="H412" i="10"/>
  <c r="D412" i="10"/>
  <c r="F412" i="10" s="1"/>
  <c r="G412" i="10" s="1"/>
  <c r="V412" i="10" s="1"/>
  <c r="K413" i="10"/>
  <c r="C413" i="10"/>
  <c r="I413" i="10" s="1"/>
  <c r="M413" i="10"/>
  <c r="E413" i="10"/>
  <c r="AU403" i="10"/>
  <c r="AS414" i="10"/>
  <c r="BB414" i="10"/>
  <c r="BC414" i="10" s="1"/>
  <c r="Y414" i="10"/>
  <c r="A415" i="10"/>
  <c r="B414" i="10"/>
  <c r="R412" i="10"/>
  <c r="AA91" i="10"/>
  <c r="AB92" i="10" l="1"/>
  <c r="AV91" i="10" s="1"/>
  <c r="AC92" i="10"/>
  <c r="S92" i="10"/>
  <c r="U92" i="10" s="1"/>
  <c r="W92" i="10" s="1"/>
  <c r="AP92" i="10" s="1"/>
  <c r="O405" i="10"/>
  <c r="P405" i="10"/>
  <c r="J406" i="10" s="1"/>
  <c r="L406" i="10" s="1"/>
  <c r="N406" i="10" s="1"/>
  <c r="AE405" i="10"/>
  <c r="AT405" i="10"/>
  <c r="AF405" i="10"/>
  <c r="H413" i="10"/>
  <c r="D413" i="10"/>
  <c r="F413" i="10" s="1"/>
  <c r="G413" i="10" s="1"/>
  <c r="V413" i="10" s="1"/>
  <c r="AU404" i="10"/>
  <c r="K414" i="10"/>
  <c r="C414" i="10"/>
  <c r="I414" i="10" s="1"/>
  <c r="M414" i="10"/>
  <c r="E414" i="10"/>
  <c r="AI91" i="10"/>
  <c r="AJ91" i="10"/>
  <c r="AG91" i="10"/>
  <c r="AK91" i="10"/>
  <c r="AX91" i="10" s="1"/>
  <c r="AS415" i="10"/>
  <c r="BB415" i="10"/>
  <c r="BC415" i="10" s="1"/>
  <c r="A416" i="10"/>
  <c r="Y415" i="10"/>
  <c r="B415" i="10"/>
  <c r="R413" i="10"/>
  <c r="T92" i="10" l="1"/>
  <c r="AQ92" i="10" s="1"/>
  <c r="AD92" i="10"/>
  <c r="AL91" i="10"/>
  <c r="BA91" i="10"/>
  <c r="O406" i="10"/>
  <c r="P406" i="10" s="1"/>
  <c r="J407" i="10" s="1"/>
  <c r="L407" i="10" s="1"/>
  <c r="N407" i="10" s="1"/>
  <c r="AT406" i="10"/>
  <c r="AE406" i="10"/>
  <c r="AF406" i="10"/>
  <c r="H414" i="10"/>
  <c r="D414" i="10"/>
  <c r="F414" i="10" s="1"/>
  <c r="G414" i="10" s="1"/>
  <c r="V414" i="10" s="1"/>
  <c r="K415" i="10"/>
  <c r="C415" i="10"/>
  <c r="I415" i="10" s="1"/>
  <c r="M415" i="10"/>
  <c r="E415" i="10"/>
  <c r="AS416" i="10"/>
  <c r="A417" i="10"/>
  <c r="BB416" i="10"/>
  <c r="BC416" i="10" s="1"/>
  <c r="Y416" i="10"/>
  <c r="B416" i="10"/>
  <c r="AU405" i="10"/>
  <c r="X92" i="10"/>
  <c r="R414" i="10"/>
  <c r="AO91" i="10"/>
  <c r="AY91" i="10" s="1"/>
  <c r="AH91" i="10"/>
  <c r="AN91" i="10" l="1"/>
  <c r="AW91" i="10" s="1"/>
  <c r="AZ91" i="10" s="1"/>
  <c r="O407" i="10"/>
  <c r="P407" i="10" s="1"/>
  <c r="J408" i="10" s="1"/>
  <c r="L408" i="10" s="1"/>
  <c r="N408" i="10" s="1"/>
  <c r="AT407" i="10"/>
  <c r="AE407" i="10"/>
  <c r="AF407" i="10"/>
  <c r="BD91" i="10"/>
  <c r="K416" i="10"/>
  <c r="C416" i="10"/>
  <c r="I416" i="10" s="1"/>
  <c r="M416" i="10"/>
  <c r="E416" i="10"/>
  <c r="R415" i="10"/>
  <c r="AU406" i="10"/>
  <c r="H415" i="10"/>
  <c r="D415" i="10"/>
  <c r="F415" i="10" s="1"/>
  <c r="G415" i="10" s="1"/>
  <c r="V415" i="10" s="1"/>
  <c r="AS417" i="10"/>
  <c r="BB417" i="10"/>
  <c r="BC417" i="10" s="1"/>
  <c r="Y417" i="10"/>
  <c r="A418" i="10"/>
  <c r="B417" i="10"/>
  <c r="Z92" i="10"/>
  <c r="AR92" i="10" s="1"/>
  <c r="O408" i="10" l="1"/>
  <c r="P408" i="10" s="1"/>
  <c r="J409" i="10" s="1"/>
  <c r="L409" i="10" s="1"/>
  <c r="N409" i="10" s="1"/>
  <c r="AT408" i="10"/>
  <c r="AE408" i="10"/>
  <c r="AF408" i="10"/>
  <c r="AA92" i="10"/>
  <c r="Q93" i="10"/>
  <c r="R416" i="10"/>
  <c r="AU407" i="10"/>
  <c r="K417" i="10"/>
  <c r="C417" i="10"/>
  <c r="I417" i="10" s="1"/>
  <c r="M417" i="10"/>
  <c r="E417" i="10"/>
  <c r="H416" i="10"/>
  <c r="D416" i="10"/>
  <c r="F416" i="10" s="1"/>
  <c r="G416" i="10" s="1"/>
  <c r="V416" i="10" s="1"/>
  <c r="AS418" i="10"/>
  <c r="A419" i="10"/>
  <c r="Y418" i="10"/>
  <c r="BB418" i="10"/>
  <c r="BC418" i="10" s="1"/>
  <c r="B418" i="10"/>
  <c r="O409" i="10" l="1"/>
  <c r="P409" i="10"/>
  <c r="J410" i="10" s="1"/>
  <c r="L410" i="10" s="1"/>
  <c r="N410" i="10" s="1"/>
  <c r="AT409" i="10"/>
  <c r="AE409" i="10"/>
  <c r="AF409" i="10"/>
  <c r="R417" i="10"/>
  <c r="AU408" i="10"/>
  <c r="K418" i="10"/>
  <c r="C418" i="10"/>
  <c r="I418" i="10" s="1"/>
  <c r="M418" i="10"/>
  <c r="E418" i="10"/>
  <c r="H417" i="10"/>
  <c r="D417" i="10"/>
  <c r="F417" i="10" s="1"/>
  <c r="G417" i="10" s="1"/>
  <c r="V417" i="10" s="1"/>
  <c r="AM93" i="10"/>
  <c r="S93" i="10"/>
  <c r="AC93" i="10"/>
  <c r="AB93" i="10"/>
  <c r="AV92" i="10" s="1"/>
  <c r="AS419" i="10"/>
  <c r="BB419" i="10"/>
  <c r="BC419" i="10" s="1"/>
  <c r="A420" i="10"/>
  <c r="Y419" i="10"/>
  <c r="B419" i="10"/>
  <c r="AI92" i="10"/>
  <c r="AJ92" i="10"/>
  <c r="AG92" i="10"/>
  <c r="AK92" i="10"/>
  <c r="AX92" i="10" s="1"/>
  <c r="BA92" i="10" l="1"/>
  <c r="O410" i="10"/>
  <c r="P410" i="10" s="1"/>
  <c r="J411" i="10" s="1"/>
  <c r="L411" i="10" s="1"/>
  <c r="N411" i="10" s="1"/>
  <c r="AE410" i="10"/>
  <c r="AT410" i="10"/>
  <c r="AF410" i="10"/>
  <c r="K419" i="10"/>
  <c r="C419" i="10"/>
  <c r="I419" i="10" s="1"/>
  <c r="M419" i="10"/>
  <c r="E419" i="10"/>
  <c r="H418" i="10"/>
  <c r="D418" i="10"/>
  <c r="F418" i="10" s="1"/>
  <c r="G418" i="10" s="1"/>
  <c r="V418" i="10" s="1"/>
  <c r="AD93" i="10"/>
  <c r="T93" i="10"/>
  <c r="AQ93" i="10" s="1"/>
  <c r="U93" i="10"/>
  <c r="W93" i="10" s="1"/>
  <c r="AP93" i="10" s="1"/>
  <c r="AS420" i="10"/>
  <c r="Y420" i="10"/>
  <c r="A421" i="10"/>
  <c r="BB420" i="10"/>
  <c r="BC420" i="10" s="1"/>
  <c r="B420" i="10"/>
  <c r="AU409" i="10"/>
  <c r="AO92" i="10"/>
  <c r="AY92" i="10" s="1"/>
  <c r="AH92" i="10"/>
  <c r="AL92" i="10"/>
  <c r="R418" i="10"/>
  <c r="X93" i="10" l="1"/>
  <c r="O411" i="10"/>
  <c r="P411" i="10" s="1"/>
  <c r="J412" i="10" s="1"/>
  <c r="L412" i="10" s="1"/>
  <c r="N412" i="10" s="1"/>
  <c r="AE411" i="10"/>
  <c r="AT411" i="10"/>
  <c r="AF411" i="10"/>
  <c r="K420" i="10"/>
  <c r="C420" i="10"/>
  <c r="I420" i="10" s="1"/>
  <c r="M420" i="10"/>
  <c r="E420" i="10"/>
  <c r="Z93" i="10"/>
  <c r="AR93" i="10" s="1"/>
  <c r="AN92" i="10"/>
  <c r="AW92" i="10" s="1"/>
  <c r="AS421" i="10"/>
  <c r="A422" i="10"/>
  <c r="BB421" i="10"/>
  <c r="BC421" i="10" s="1"/>
  <c r="Y421" i="10"/>
  <c r="B421" i="10"/>
  <c r="AU410" i="10"/>
  <c r="R419" i="10"/>
  <c r="H419" i="10"/>
  <c r="D419" i="10"/>
  <c r="F419" i="10" s="1"/>
  <c r="G419" i="10" s="1"/>
  <c r="V419" i="10" s="1"/>
  <c r="O412" i="10" l="1"/>
  <c r="P412" i="10" s="1"/>
  <c r="J413" i="10" s="1"/>
  <c r="L413" i="10" s="1"/>
  <c r="N413" i="10" s="1"/>
  <c r="AT412" i="10"/>
  <c r="AE412" i="10"/>
  <c r="AF412" i="10"/>
  <c r="BD92" i="10"/>
  <c r="AZ92" i="10"/>
  <c r="AA93" i="10"/>
  <c r="K421" i="10"/>
  <c r="C421" i="10"/>
  <c r="I421" i="10" s="1"/>
  <c r="M421" i="10"/>
  <c r="E421" i="10"/>
  <c r="Q94" i="10"/>
  <c r="AU411" i="10"/>
  <c r="R420" i="10"/>
  <c r="AS422" i="10"/>
  <c r="BB422" i="10"/>
  <c r="BC422" i="10" s="1"/>
  <c r="Y422" i="10"/>
  <c r="A423" i="10"/>
  <c r="B422" i="10"/>
  <c r="H420" i="10"/>
  <c r="D420" i="10"/>
  <c r="F420" i="10" s="1"/>
  <c r="G420" i="10" s="1"/>
  <c r="V420" i="10" s="1"/>
  <c r="O413" i="10" l="1"/>
  <c r="P413" i="10" s="1"/>
  <c r="J414" i="10" s="1"/>
  <c r="L414" i="10" s="1"/>
  <c r="N414" i="10" s="1"/>
  <c r="AE413" i="10"/>
  <c r="AT413" i="10"/>
  <c r="AF413" i="10"/>
  <c r="K422" i="10"/>
  <c r="C422" i="10"/>
  <c r="I422" i="10" s="1"/>
  <c r="M422" i="10"/>
  <c r="E422" i="10"/>
  <c r="H421" i="10"/>
  <c r="D421" i="10"/>
  <c r="F421" i="10" s="1"/>
  <c r="G421" i="10" s="1"/>
  <c r="V421" i="10" s="1"/>
  <c r="A424" i="10"/>
  <c r="AS423" i="10"/>
  <c r="BB423" i="10"/>
  <c r="BC423" i="10" s="1"/>
  <c r="Y423" i="10"/>
  <c r="B423" i="10"/>
  <c r="AU412" i="10"/>
  <c r="AI93" i="10"/>
  <c r="AJ93" i="10"/>
  <c r="AG93" i="10"/>
  <c r="AK93" i="10"/>
  <c r="AX93" i="10" s="1"/>
  <c r="AM94" i="10"/>
  <c r="S94" i="10"/>
  <c r="AC94" i="10"/>
  <c r="AB94" i="10"/>
  <c r="AV93" i="10" s="1"/>
  <c r="R421" i="10"/>
  <c r="O414" i="10" l="1"/>
  <c r="P414" i="10" s="1"/>
  <c r="J415" i="10" s="1"/>
  <c r="L415" i="10" s="1"/>
  <c r="N415" i="10" s="1"/>
  <c r="AE414" i="10"/>
  <c r="AT414" i="10"/>
  <c r="AF414" i="10"/>
  <c r="BA93" i="10"/>
  <c r="A425" i="10"/>
  <c r="Y424" i="10"/>
  <c r="AS424" i="10"/>
  <c r="BB424" i="10"/>
  <c r="BC424" i="10" s="1"/>
  <c r="B424" i="10"/>
  <c r="T94" i="10"/>
  <c r="AQ94" i="10" s="1"/>
  <c r="AD94" i="10"/>
  <c r="U94" i="10"/>
  <c r="W94" i="10" s="1"/>
  <c r="AP94" i="10" s="1"/>
  <c r="R422" i="10"/>
  <c r="AU413" i="10"/>
  <c r="K423" i="10"/>
  <c r="C423" i="10"/>
  <c r="I423" i="10" s="1"/>
  <c r="M423" i="10"/>
  <c r="E423" i="10"/>
  <c r="AO93" i="10"/>
  <c r="AY93" i="10" s="1"/>
  <c r="AH93" i="10"/>
  <c r="H422" i="10"/>
  <c r="D422" i="10"/>
  <c r="F422" i="10" s="1"/>
  <c r="G422" i="10" s="1"/>
  <c r="V422" i="10" s="1"/>
  <c r="AL93" i="10"/>
  <c r="AN93" i="10" l="1"/>
  <c r="AW93" i="10" s="1"/>
  <c r="AZ93" i="10" s="1"/>
  <c r="O415" i="10"/>
  <c r="P415" i="10" s="1"/>
  <c r="J416" i="10" s="1"/>
  <c r="L416" i="10" s="1"/>
  <c r="N416" i="10" s="1"/>
  <c r="AT415" i="10"/>
  <c r="AE415" i="10"/>
  <c r="AF415" i="10"/>
  <c r="BD93" i="10"/>
  <c r="X94" i="10"/>
  <c r="K424" i="10"/>
  <c r="C424" i="10"/>
  <c r="I424" i="10" s="1"/>
  <c r="M424" i="10"/>
  <c r="E424" i="10"/>
  <c r="R423" i="10"/>
  <c r="AU414" i="10"/>
  <c r="H423" i="10"/>
  <c r="D423" i="10"/>
  <c r="F423" i="10" s="1"/>
  <c r="G423" i="10" s="1"/>
  <c r="V423" i="10" s="1"/>
  <c r="A426" i="10"/>
  <c r="Y425" i="10"/>
  <c r="AS425" i="10"/>
  <c r="BB425" i="10"/>
  <c r="BC425" i="10" s="1"/>
  <c r="B425" i="10"/>
  <c r="O416" i="10" l="1"/>
  <c r="P416" i="10" s="1"/>
  <c r="J417" i="10" s="1"/>
  <c r="L417" i="10" s="1"/>
  <c r="N417" i="10" s="1"/>
  <c r="AE416" i="10"/>
  <c r="AT416" i="10"/>
  <c r="AF416" i="10"/>
  <c r="K425" i="10"/>
  <c r="C425" i="10"/>
  <c r="I425" i="10" s="1"/>
  <c r="M425" i="10"/>
  <c r="E425" i="10"/>
  <c r="R424" i="10"/>
  <c r="AU415" i="10"/>
  <c r="H424" i="10"/>
  <c r="D424" i="10"/>
  <c r="F424" i="10" s="1"/>
  <c r="G424" i="10" s="1"/>
  <c r="V424" i="10" s="1"/>
  <c r="A427" i="10"/>
  <c r="Y426" i="10"/>
  <c r="AS426" i="10"/>
  <c r="BB426" i="10"/>
  <c r="BC426" i="10" s="1"/>
  <c r="B426" i="10"/>
  <c r="Z94" i="10"/>
  <c r="AR94" i="10" s="1"/>
  <c r="O417" i="10" l="1"/>
  <c r="P417" i="10"/>
  <c r="J418" i="10" s="1"/>
  <c r="L418" i="10" s="1"/>
  <c r="N418" i="10" s="1"/>
  <c r="AE417" i="10"/>
  <c r="AT417" i="10"/>
  <c r="AF417" i="10"/>
  <c r="A428" i="10"/>
  <c r="Y427" i="10"/>
  <c r="AS427" i="10"/>
  <c r="BB427" i="10"/>
  <c r="BC427" i="10" s="1"/>
  <c r="B427" i="10"/>
  <c r="AA94" i="10"/>
  <c r="Q95" i="10"/>
  <c r="AU416" i="10"/>
  <c r="R425" i="10"/>
  <c r="K426" i="10"/>
  <c r="C426" i="10"/>
  <c r="I426" i="10" s="1"/>
  <c r="M426" i="10"/>
  <c r="E426" i="10"/>
  <c r="H425" i="10"/>
  <c r="D425" i="10"/>
  <c r="F425" i="10" s="1"/>
  <c r="G425" i="10" s="1"/>
  <c r="V425" i="10" s="1"/>
  <c r="O418" i="10" l="1"/>
  <c r="P418" i="10" s="1"/>
  <c r="J419" i="10" s="1"/>
  <c r="L419" i="10" s="1"/>
  <c r="N419" i="10" s="1"/>
  <c r="AE418" i="10"/>
  <c r="AT418" i="10"/>
  <c r="AF418" i="10"/>
  <c r="K427" i="10"/>
  <c r="C427" i="10"/>
  <c r="I427" i="10" s="1"/>
  <c r="M427" i="10"/>
  <c r="E427" i="10"/>
  <c r="R426" i="10"/>
  <c r="AU417" i="10"/>
  <c r="H426" i="10"/>
  <c r="D426" i="10"/>
  <c r="F426" i="10" s="1"/>
  <c r="G426" i="10" s="1"/>
  <c r="V426" i="10" s="1"/>
  <c r="AM95" i="10"/>
  <c r="S95" i="10"/>
  <c r="AC95" i="10"/>
  <c r="AB95" i="10"/>
  <c r="AV94" i="10" s="1"/>
  <c r="A429" i="10"/>
  <c r="Y428" i="10"/>
  <c r="AS428" i="10"/>
  <c r="BB428" i="10"/>
  <c r="BC428" i="10" s="1"/>
  <c r="B428" i="10"/>
  <c r="AI94" i="10"/>
  <c r="AJ94" i="10"/>
  <c r="AG94" i="10"/>
  <c r="AK94" i="10"/>
  <c r="AX94" i="10" s="1"/>
  <c r="BA94" i="10" l="1"/>
  <c r="O419" i="10"/>
  <c r="P419" i="10" s="1"/>
  <c r="J420" i="10" s="1"/>
  <c r="L420" i="10" s="1"/>
  <c r="N420" i="10" s="1"/>
  <c r="AE419" i="10"/>
  <c r="AT419" i="10"/>
  <c r="AF419" i="10"/>
  <c r="AD95" i="10"/>
  <c r="T95" i="10"/>
  <c r="AQ95" i="10" s="1"/>
  <c r="U95" i="10"/>
  <c r="W95" i="10" s="1"/>
  <c r="AP95" i="10" s="1"/>
  <c r="K428" i="10"/>
  <c r="C428" i="10"/>
  <c r="I428" i="10" s="1"/>
  <c r="M428" i="10"/>
  <c r="E428" i="10"/>
  <c r="R427" i="10"/>
  <c r="AU418" i="10"/>
  <c r="AO94" i="10"/>
  <c r="AY94" i="10" s="1"/>
  <c r="AH94" i="10"/>
  <c r="AL94" i="10"/>
  <c r="A430" i="10"/>
  <c r="Y429" i="10"/>
  <c r="AS429" i="10"/>
  <c r="BB429" i="10"/>
  <c r="BC429" i="10" s="1"/>
  <c r="B429" i="10"/>
  <c r="H427" i="10"/>
  <c r="D427" i="10"/>
  <c r="F427" i="10" s="1"/>
  <c r="G427" i="10" s="1"/>
  <c r="V427" i="10" s="1"/>
  <c r="X95" i="10" l="1"/>
  <c r="Z95" i="10" s="1"/>
  <c r="AR95" i="10" s="1"/>
  <c r="AN94" i="10"/>
  <c r="AW94" i="10" s="1"/>
  <c r="AZ94" i="10" s="1"/>
  <c r="O420" i="10"/>
  <c r="P420" i="10" s="1"/>
  <c r="J421" i="10" s="1"/>
  <c r="L421" i="10" s="1"/>
  <c r="N421" i="10" s="1"/>
  <c r="AE420" i="10"/>
  <c r="AT420" i="10"/>
  <c r="AF420" i="10"/>
  <c r="K429" i="10"/>
  <c r="C429" i="10"/>
  <c r="I429" i="10" s="1"/>
  <c r="M429" i="10"/>
  <c r="E429" i="10"/>
  <c r="R428" i="10"/>
  <c r="H428" i="10"/>
  <c r="D428" i="10"/>
  <c r="F428" i="10" s="1"/>
  <c r="G428" i="10" s="1"/>
  <c r="V428" i="10" s="1"/>
  <c r="A431" i="10"/>
  <c r="Y430" i="10"/>
  <c r="AS430" i="10"/>
  <c r="BB430" i="10"/>
  <c r="BC430" i="10" s="1"/>
  <c r="B430" i="10"/>
  <c r="AU419" i="10"/>
  <c r="BD94" i="10" l="1"/>
  <c r="O421" i="10"/>
  <c r="P421" i="10" s="1"/>
  <c r="J422" i="10" s="1"/>
  <c r="L422" i="10" s="1"/>
  <c r="N422" i="10" s="1"/>
  <c r="AE421" i="10"/>
  <c r="AT421" i="10"/>
  <c r="AF421" i="10"/>
  <c r="K430" i="10"/>
  <c r="C430" i="10"/>
  <c r="I430" i="10" s="1"/>
  <c r="M430" i="10"/>
  <c r="E430" i="10"/>
  <c r="AU420" i="10"/>
  <c r="R429" i="10"/>
  <c r="AA95" i="10"/>
  <c r="A432" i="10"/>
  <c r="Y431" i="10"/>
  <c r="AS431" i="10"/>
  <c r="BB431" i="10"/>
  <c r="BC431" i="10" s="1"/>
  <c r="B431" i="10"/>
  <c r="Q96" i="10"/>
  <c r="H429" i="10"/>
  <c r="D429" i="10"/>
  <c r="F429" i="10" s="1"/>
  <c r="G429" i="10" s="1"/>
  <c r="V429" i="10" s="1"/>
  <c r="O422" i="10" l="1"/>
  <c r="P422" i="10" s="1"/>
  <c r="J423" i="10" s="1"/>
  <c r="L423" i="10" s="1"/>
  <c r="N423" i="10" s="1"/>
  <c r="AE422" i="10"/>
  <c r="AT422" i="10"/>
  <c r="AF422" i="10"/>
  <c r="A433" i="10"/>
  <c r="Y432" i="10"/>
  <c r="AS432" i="10"/>
  <c r="BB432" i="10"/>
  <c r="BC432" i="10" s="1"/>
  <c r="B432" i="10"/>
  <c r="AI95" i="10"/>
  <c r="AJ95" i="10"/>
  <c r="AG95" i="10"/>
  <c r="AK95" i="10"/>
  <c r="AX95" i="10" s="1"/>
  <c r="R430" i="10"/>
  <c r="AM96" i="10"/>
  <c r="S96" i="10"/>
  <c r="AC96" i="10"/>
  <c r="AB96" i="10"/>
  <c r="AV95" i="10" s="1"/>
  <c r="K431" i="10"/>
  <c r="C431" i="10"/>
  <c r="I431" i="10" s="1"/>
  <c r="M431" i="10"/>
  <c r="E431" i="10"/>
  <c r="H430" i="10"/>
  <c r="D430" i="10"/>
  <c r="F430" i="10" s="1"/>
  <c r="G430" i="10" s="1"/>
  <c r="V430" i="10" s="1"/>
  <c r="AU421" i="10"/>
  <c r="AL95" i="10" l="1"/>
  <c r="BA95" i="10"/>
  <c r="O423" i="10"/>
  <c r="P423" i="10"/>
  <c r="J424" i="10" s="1"/>
  <c r="L424" i="10" s="1"/>
  <c r="N424" i="10" s="1"/>
  <c r="AT423" i="10"/>
  <c r="AE423" i="10"/>
  <c r="AF423" i="10"/>
  <c r="T96" i="10"/>
  <c r="AQ96" i="10" s="1"/>
  <c r="AD96" i="10"/>
  <c r="U96" i="10"/>
  <c r="W96" i="10" s="1"/>
  <c r="AP96" i="10" s="1"/>
  <c r="K432" i="10"/>
  <c r="C432" i="10"/>
  <c r="I432" i="10" s="1"/>
  <c r="M432" i="10"/>
  <c r="E432" i="10"/>
  <c r="AU422" i="10"/>
  <c r="H431" i="10"/>
  <c r="D431" i="10"/>
  <c r="F431" i="10" s="1"/>
  <c r="G431" i="10" s="1"/>
  <c r="V431" i="10" s="1"/>
  <c r="AO95" i="10"/>
  <c r="AY95" i="10" s="1"/>
  <c r="AH95" i="10"/>
  <c r="AN95" i="10" s="1"/>
  <c r="AW95" i="10" s="1"/>
  <c r="A434" i="10"/>
  <c r="Y433" i="10"/>
  <c r="AS433" i="10"/>
  <c r="BB433" i="10"/>
  <c r="BC433" i="10" s="1"/>
  <c r="B433" i="10"/>
  <c r="R431" i="10"/>
  <c r="O424" i="10" l="1"/>
  <c r="P424" i="10" s="1"/>
  <c r="J425" i="10" s="1"/>
  <c r="L425" i="10" s="1"/>
  <c r="N425" i="10" s="1"/>
  <c r="AE424" i="10"/>
  <c r="AT424" i="10"/>
  <c r="AF424" i="10"/>
  <c r="A435" i="10"/>
  <c r="Y434" i="10"/>
  <c r="AS434" i="10"/>
  <c r="BB434" i="10"/>
  <c r="BC434" i="10" s="1"/>
  <c r="B434" i="10"/>
  <c r="R432" i="10"/>
  <c r="BD95" i="10"/>
  <c r="AZ95" i="10"/>
  <c r="AU423" i="10"/>
  <c r="H432" i="10"/>
  <c r="D432" i="10"/>
  <c r="F432" i="10" s="1"/>
  <c r="G432" i="10" s="1"/>
  <c r="V432" i="10" s="1"/>
  <c r="K433" i="10"/>
  <c r="C433" i="10"/>
  <c r="I433" i="10" s="1"/>
  <c r="M433" i="10"/>
  <c r="E433" i="10"/>
  <c r="X96" i="10"/>
  <c r="O425" i="10" l="1"/>
  <c r="P425" i="10" s="1"/>
  <c r="J426" i="10" s="1"/>
  <c r="L426" i="10" s="1"/>
  <c r="N426" i="10" s="1"/>
  <c r="AT425" i="10"/>
  <c r="AE425" i="10"/>
  <c r="AF425" i="10"/>
  <c r="R433" i="10"/>
  <c r="K434" i="10"/>
  <c r="C434" i="10"/>
  <c r="I434" i="10" s="1"/>
  <c r="M434" i="10"/>
  <c r="E434" i="10"/>
  <c r="AU424" i="10"/>
  <c r="H433" i="10"/>
  <c r="D433" i="10"/>
  <c r="F433" i="10" s="1"/>
  <c r="G433" i="10" s="1"/>
  <c r="V433" i="10" s="1"/>
  <c r="Z96" i="10"/>
  <c r="AR96" i="10" s="1"/>
  <c r="A436" i="10"/>
  <c r="Y435" i="10"/>
  <c r="AS435" i="10"/>
  <c r="BB435" i="10"/>
  <c r="BC435" i="10" s="1"/>
  <c r="B435" i="10"/>
  <c r="O426" i="10" l="1"/>
  <c r="P426" i="10"/>
  <c r="J427" i="10" s="1"/>
  <c r="L427" i="10" s="1"/>
  <c r="N427" i="10" s="1"/>
  <c r="AE426" i="10"/>
  <c r="AT426" i="10"/>
  <c r="AF426" i="10"/>
  <c r="H434" i="10"/>
  <c r="D434" i="10"/>
  <c r="F434" i="10" s="1"/>
  <c r="G434" i="10" s="1"/>
  <c r="V434" i="10" s="1"/>
  <c r="AU425" i="10"/>
  <c r="A437" i="10"/>
  <c r="Y436" i="10"/>
  <c r="AS436" i="10"/>
  <c r="BB436" i="10"/>
  <c r="BC436" i="10" s="1"/>
  <c r="B436" i="10"/>
  <c r="AA96" i="10"/>
  <c r="K435" i="10"/>
  <c r="C435" i="10"/>
  <c r="I435" i="10" s="1"/>
  <c r="M435" i="10"/>
  <c r="E435" i="10"/>
  <c r="Q97" i="10"/>
  <c r="R434" i="10"/>
  <c r="O427" i="10" l="1"/>
  <c r="P427" i="10" s="1"/>
  <c r="J428" i="10" s="1"/>
  <c r="L428" i="10" s="1"/>
  <c r="N428" i="10" s="1"/>
  <c r="AE427" i="10"/>
  <c r="AT427" i="10"/>
  <c r="AF427" i="10"/>
  <c r="AI96" i="10"/>
  <c r="AJ96" i="10"/>
  <c r="AG96" i="10"/>
  <c r="AK96" i="10"/>
  <c r="AX96" i="10" s="1"/>
  <c r="AM97" i="10"/>
  <c r="S97" i="10"/>
  <c r="AC97" i="10"/>
  <c r="AB97" i="10"/>
  <c r="AV96" i="10" s="1"/>
  <c r="K436" i="10"/>
  <c r="C436" i="10"/>
  <c r="I436" i="10" s="1"/>
  <c r="M436" i="10"/>
  <c r="E436" i="10"/>
  <c r="AU426" i="10"/>
  <c r="R435" i="10"/>
  <c r="H435" i="10"/>
  <c r="D435" i="10"/>
  <c r="F435" i="10" s="1"/>
  <c r="G435" i="10" s="1"/>
  <c r="V435" i="10" s="1"/>
  <c r="A438" i="10"/>
  <c r="Y437" i="10"/>
  <c r="AS437" i="10"/>
  <c r="BB437" i="10"/>
  <c r="BC437" i="10" s="1"/>
  <c r="B437" i="10"/>
  <c r="BA96" i="10" l="1"/>
  <c r="O428" i="10"/>
  <c r="P428" i="10"/>
  <c r="J429" i="10" s="1"/>
  <c r="L429" i="10" s="1"/>
  <c r="N429" i="10" s="1"/>
  <c r="AT428" i="10"/>
  <c r="AE428" i="10"/>
  <c r="AF428" i="10"/>
  <c r="AD97" i="10"/>
  <c r="T97" i="10"/>
  <c r="AQ97" i="10" s="1"/>
  <c r="U97" i="10"/>
  <c r="W97" i="10" s="1"/>
  <c r="AP97" i="10" s="1"/>
  <c r="K437" i="10"/>
  <c r="C437" i="10"/>
  <c r="I437" i="10" s="1"/>
  <c r="M437" i="10"/>
  <c r="E437" i="10"/>
  <c r="R436" i="10"/>
  <c r="AU427" i="10"/>
  <c r="AO96" i="10"/>
  <c r="AY96" i="10" s="1"/>
  <c r="AH96" i="10"/>
  <c r="H436" i="10"/>
  <c r="D436" i="10"/>
  <c r="F436" i="10" s="1"/>
  <c r="G436" i="10" s="1"/>
  <c r="V436" i="10" s="1"/>
  <c r="AL96" i="10"/>
  <c r="A439" i="10"/>
  <c r="Y438" i="10"/>
  <c r="AS438" i="10"/>
  <c r="BB438" i="10"/>
  <c r="BC438" i="10" s="1"/>
  <c r="B438" i="10"/>
  <c r="O429" i="10" l="1"/>
  <c r="P429" i="10" s="1"/>
  <c r="J430" i="10" s="1"/>
  <c r="L430" i="10" s="1"/>
  <c r="N430" i="10" s="1"/>
  <c r="AE429" i="10"/>
  <c r="AT429" i="10"/>
  <c r="AF429" i="10"/>
  <c r="A440" i="10"/>
  <c r="Y439" i="10"/>
  <c r="AS439" i="10"/>
  <c r="BB439" i="10"/>
  <c r="BC439" i="10" s="1"/>
  <c r="B439" i="10"/>
  <c r="H437" i="10"/>
  <c r="D437" i="10"/>
  <c r="F437" i="10" s="1"/>
  <c r="G437" i="10" s="1"/>
  <c r="V437" i="10" s="1"/>
  <c r="AU428" i="10"/>
  <c r="K438" i="10"/>
  <c r="C438" i="10"/>
  <c r="I438" i="10" s="1"/>
  <c r="M438" i="10"/>
  <c r="E438" i="10"/>
  <c r="AN96" i="10"/>
  <c r="AW96" i="10" s="1"/>
  <c r="R437" i="10"/>
  <c r="X97" i="10"/>
  <c r="O430" i="10" l="1"/>
  <c r="P430" i="10"/>
  <c r="J431" i="10" s="1"/>
  <c r="L431" i="10" s="1"/>
  <c r="N431" i="10" s="1"/>
  <c r="AT430" i="10"/>
  <c r="AE430" i="10"/>
  <c r="AF430" i="10"/>
  <c r="Z97" i="10"/>
  <c r="AR97" i="10" s="1"/>
  <c r="R438" i="10"/>
  <c r="H438" i="10"/>
  <c r="D438" i="10"/>
  <c r="F438" i="10" s="1"/>
  <c r="G438" i="10" s="1"/>
  <c r="V438" i="10" s="1"/>
  <c r="K439" i="10"/>
  <c r="C439" i="10"/>
  <c r="I439" i="10" s="1"/>
  <c r="M439" i="10"/>
  <c r="E439" i="10"/>
  <c r="AU429" i="10"/>
  <c r="BD96" i="10"/>
  <c r="AZ96" i="10"/>
  <c r="A441" i="10"/>
  <c r="Y440" i="10"/>
  <c r="AS440" i="10"/>
  <c r="BB440" i="10"/>
  <c r="BC440" i="10" s="1"/>
  <c r="B440" i="10"/>
  <c r="O431" i="10" l="1"/>
  <c r="P431" i="10" s="1"/>
  <c r="J432" i="10" s="1"/>
  <c r="L432" i="10" s="1"/>
  <c r="N432" i="10" s="1"/>
  <c r="AT431" i="10"/>
  <c r="AE431" i="10"/>
  <c r="AF431" i="10"/>
  <c r="A442" i="10"/>
  <c r="Y441" i="10"/>
  <c r="AS441" i="10"/>
  <c r="BB441" i="10"/>
  <c r="BC441" i="10" s="1"/>
  <c r="B441" i="10"/>
  <c r="R439" i="10"/>
  <c r="AU430" i="10"/>
  <c r="H439" i="10"/>
  <c r="D439" i="10"/>
  <c r="F439" i="10" s="1"/>
  <c r="G439" i="10" s="1"/>
  <c r="V439" i="10" s="1"/>
  <c r="K440" i="10"/>
  <c r="C440" i="10"/>
  <c r="I440" i="10" s="1"/>
  <c r="M440" i="10"/>
  <c r="E440" i="10"/>
  <c r="AA97" i="10"/>
  <c r="Q98" i="10"/>
  <c r="O432" i="10" l="1"/>
  <c r="P432" i="10"/>
  <c r="J433" i="10" s="1"/>
  <c r="L433" i="10" s="1"/>
  <c r="N433" i="10" s="1"/>
  <c r="AT432" i="10"/>
  <c r="AE432" i="10"/>
  <c r="AF432" i="10"/>
  <c r="AM98" i="10"/>
  <c r="S98" i="10"/>
  <c r="AC98" i="10"/>
  <c r="AB98" i="10"/>
  <c r="AV97" i="10" s="1"/>
  <c r="AI97" i="10"/>
  <c r="AJ97" i="10"/>
  <c r="AG97" i="10"/>
  <c r="AK97" i="10"/>
  <c r="AX97" i="10" s="1"/>
  <c r="K441" i="10"/>
  <c r="C441" i="10"/>
  <c r="I441" i="10" s="1"/>
  <c r="M441" i="10"/>
  <c r="E441" i="10"/>
  <c r="AU431" i="10"/>
  <c r="R440" i="10"/>
  <c r="A443" i="10"/>
  <c r="Y442" i="10"/>
  <c r="AS442" i="10"/>
  <c r="BB442" i="10"/>
  <c r="BC442" i="10" s="1"/>
  <c r="B442" i="10"/>
  <c r="H440" i="10"/>
  <c r="D440" i="10"/>
  <c r="F440" i="10" s="1"/>
  <c r="G440" i="10" s="1"/>
  <c r="V440" i="10" s="1"/>
  <c r="O433" i="10" l="1"/>
  <c r="P433" i="10" s="1"/>
  <c r="J434" i="10" s="1"/>
  <c r="L434" i="10" s="1"/>
  <c r="N434" i="10" s="1"/>
  <c r="AE433" i="10"/>
  <c r="AT433" i="10"/>
  <c r="AF433" i="10"/>
  <c r="AO97" i="10"/>
  <c r="AY97" i="10" s="1"/>
  <c r="AH97" i="10"/>
  <c r="AL97" i="10"/>
  <c r="AU432" i="10"/>
  <c r="A444" i="10"/>
  <c r="Y443" i="10"/>
  <c r="AS443" i="10"/>
  <c r="BB443" i="10"/>
  <c r="BC443" i="10" s="1"/>
  <c r="B443" i="10"/>
  <c r="R441" i="10"/>
  <c r="H441" i="10"/>
  <c r="D441" i="10"/>
  <c r="F441" i="10" s="1"/>
  <c r="G441" i="10" s="1"/>
  <c r="V441" i="10" s="1"/>
  <c r="BA97" i="10"/>
  <c r="T98" i="10"/>
  <c r="AQ98" i="10" s="1"/>
  <c r="AD98" i="10"/>
  <c r="U98" i="10"/>
  <c r="W98" i="10" s="1"/>
  <c r="AP98" i="10" s="1"/>
  <c r="K442" i="10"/>
  <c r="C442" i="10"/>
  <c r="I442" i="10" s="1"/>
  <c r="M442" i="10"/>
  <c r="E442" i="10"/>
  <c r="O434" i="10" l="1"/>
  <c r="P434" i="10"/>
  <c r="J435" i="10" s="1"/>
  <c r="L435" i="10" s="1"/>
  <c r="N435" i="10" s="1"/>
  <c r="AT434" i="10"/>
  <c r="AE434" i="10"/>
  <c r="AF434" i="10"/>
  <c r="A445" i="10"/>
  <c r="Y444" i="10"/>
  <c r="AS444" i="10"/>
  <c r="BB444" i="10"/>
  <c r="BC444" i="10" s="1"/>
  <c r="B444" i="10"/>
  <c r="X98" i="10"/>
  <c r="AU433" i="10"/>
  <c r="R442" i="10"/>
  <c r="K443" i="10"/>
  <c r="C443" i="10"/>
  <c r="I443" i="10" s="1"/>
  <c r="M443" i="10"/>
  <c r="E443" i="10"/>
  <c r="H442" i="10"/>
  <c r="D442" i="10"/>
  <c r="F442" i="10" s="1"/>
  <c r="G442" i="10" s="1"/>
  <c r="V442" i="10" s="1"/>
  <c r="AN97" i="10"/>
  <c r="AW97" i="10" s="1"/>
  <c r="O435" i="10" l="1"/>
  <c r="P435" i="10" s="1"/>
  <c r="J436" i="10" s="1"/>
  <c r="L436" i="10" s="1"/>
  <c r="N436" i="10" s="1"/>
  <c r="AT435" i="10"/>
  <c r="AE435" i="10"/>
  <c r="AF435" i="10"/>
  <c r="BD97" i="10"/>
  <c r="AZ97" i="10"/>
  <c r="K444" i="10"/>
  <c r="C444" i="10"/>
  <c r="I444" i="10" s="1"/>
  <c r="M444" i="10"/>
  <c r="E444" i="10"/>
  <c r="AU434" i="10"/>
  <c r="R443" i="10"/>
  <c r="A446" i="10"/>
  <c r="Y445" i="10"/>
  <c r="AS445" i="10"/>
  <c r="BB445" i="10"/>
  <c r="BC445" i="10" s="1"/>
  <c r="B445" i="10"/>
  <c r="H443" i="10"/>
  <c r="D443" i="10"/>
  <c r="F443" i="10" s="1"/>
  <c r="G443" i="10" s="1"/>
  <c r="V443" i="10" s="1"/>
  <c r="Z98" i="10"/>
  <c r="AR98" i="10" s="1"/>
  <c r="Q99" i="10" l="1"/>
  <c r="S99" i="10" s="1"/>
  <c r="O436" i="10"/>
  <c r="P436" i="10"/>
  <c r="J437" i="10" s="1"/>
  <c r="L437" i="10" s="1"/>
  <c r="N437" i="10" s="1"/>
  <c r="AE436" i="10"/>
  <c r="AT436" i="10"/>
  <c r="AF436" i="10"/>
  <c r="A447" i="10"/>
  <c r="Y446" i="10"/>
  <c r="AS446" i="10"/>
  <c r="BB446" i="10"/>
  <c r="BC446" i="10" s="1"/>
  <c r="B446" i="10"/>
  <c r="R444" i="10"/>
  <c r="AU435" i="10"/>
  <c r="H444" i="10"/>
  <c r="D444" i="10"/>
  <c r="F444" i="10" s="1"/>
  <c r="G444" i="10" s="1"/>
  <c r="V444" i="10" s="1"/>
  <c r="K445" i="10"/>
  <c r="C445" i="10"/>
  <c r="I445" i="10" s="1"/>
  <c r="M445" i="10"/>
  <c r="E445" i="10"/>
  <c r="AA98" i="10"/>
  <c r="AM99" i="10" l="1"/>
  <c r="AB99" i="10"/>
  <c r="AV98" i="10" s="1"/>
  <c r="AC99" i="10"/>
  <c r="O437" i="10"/>
  <c r="P437" i="10" s="1"/>
  <c r="J438" i="10" s="1"/>
  <c r="L438" i="10" s="1"/>
  <c r="N438" i="10" s="1"/>
  <c r="AE437" i="10"/>
  <c r="AT437" i="10"/>
  <c r="AF437" i="10"/>
  <c r="R445" i="10"/>
  <c r="H445" i="10"/>
  <c r="D445" i="10"/>
  <c r="F445" i="10" s="1"/>
  <c r="G445" i="10" s="1"/>
  <c r="V445" i="10" s="1"/>
  <c r="A448" i="10"/>
  <c r="Y447" i="10"/>
  <c r="AS447" i="10"/>
  <c r="BB447" i="10"/>
  <c r="BC447" i="10" s="1"/>
  <c r="B447" i="10"/>
  <c r="AU436" i="10"/>
  <c r="AI98" i="10"/>
  <c r="AJ98" i="10"/>
  <c r="AG98" i="10"/>
  <c r="AK98" i="10"/>
  <c r="AX98" i="10" s="1"/>
  <c r="AD99" i="10"/>
  <c r="T99" i="10"/>
  <c r="AQ99" i="10" s="1"/>
  <c r="U99" i="10"/>
  <c r="W99" i="10" s="1"/>
  <c r="AP99" i="10" s="1"/>
  <c r="K446" i="10"/>
  <c r="C446" i="10"/>
  <c r="I446" i="10" s="1"/>
  <c r="M446" i="10"/>
  <c r="E446" i="10"/>
  <c r="BA98" i="10" l="1"/>
  <c r="X99" i="10"/>
  <c r="Z99" i="10" s="1"/>
  <c r="AR99" i="10" s="1"/>
  <c r="O438" i="10"/>
  <c r="P438" i="10"/>
  <c r="J439" i="10" s="1"/>
  <c r="L439" i="10" s="1"/>
  <c r="N439" i="10" s="1"/>
  <c r="AT438" i="10"/>
  <c r="AE438" i="10"/>
  <c r="AF438" i="10"/>
  <c r="R446" i="10"/>
  <c r="AO98" i="10"/>
  <c r="AY98" i="10" s="1"/>
  <c r="AH98" i="10"/>
  <c r="K447" i="10"/>
  <c r="C447" i="10"/>
  <c r="I447" i="10" s="1"/>
  <c r="M447" i="10"/>
  <c r="E447" i="10"/>
  <c r="AU437" i="10"/>
  <c r="H446" i="10"/>
  <c r="D446" i="10"/>
  <c r="F446" i="10" s="1"/>
  <c r="G446" i="10" s="1"/>
  <c r="V446" i="10" s="1"/>
  <c r="AL98" i="10"/>
  <c r="A449" i="10"/>
  <c r="Y448" i="10"/>
  <c r="AS448" i="10"/>
  <c r="BB448" i="10"/>
  <c r="BC448" i="10" s="1"/>
  <c r="B448" i="10"/>
  <c r="O439" i="10" l="1"/>
  <c r="P439" i="10" s="1"/>
  <c r="J440" i="10" s="1"/>
  <c r="L440" i="10" s="1"/>
  <c r="N440" i="10" s="1"/>
  <c r="AT439" i="10"/>
  <c r="AE439" i="10"/>
  <c r="AF439" i="10"/>
  <c r="R447" i="10"/>
  <c r="AU438" i="10"/>
  <c r="K448" i="10"/>
  <c r="C448" i="10"/>
  <c r="I448" i="10" s="1"/>
  <c r="M448" i="10"/>
  <c r="E448" i="10"/>
  <c r="H447" i="10"/>
  <c r="D447" i="10"/>
  <c r="F447" i="10" s="1"/>
  <c r="G447" i="10" s="1"/>
  <c r="V447" i="10" s="1"/>
  <c r="AA99" i="10"/>
  <c r="AN98" i="10"/>
  <c r="AW98" i="10" s="1"/>
  <c r="Q100" i="10"/>
  <c r="A450" i="10"/>
  <c r="Y449" i="10"/>
  <c r="AS449" i="10"/>
  <c r="BB449" i="10"/>
  <c r="BC449" i="10" s="1"/>
  <c r="B449" i="10"/>
  <c r="O440" i="10" l="1"/>
  <c r="P440" i="10" s="1"/>
  <c r="J441" i="10" s="1"/>
  <c r="L441" i="10" s="1"/>
  <c r="N441" i="10" s="1"/>
  <c r="AT440" i="10"/>
  <c r="AE440" i="10"/>
  <c r="AF440" i="10"/>
  <c r="K449" i="10"/>
  <c r="C449" i="10"/>
  <c r="I449" i="10" s="1"/>
  <c r="M449" i="10"/>
  <c r="E449" i="10"/>
  <c r="H448" i="10"/>
  <c r="D448" i="10"/>
  <c r="F448" i="10" s="1"/>
  <c r="G448" i="10" s="1"/>
  <c r="V448" i="10" s="1"/>
  <c r="AI99" i="10"/>
  <c r="AJ99" i="10"/>
  <c r="AG99" i="10"/>
  <c r="AK99" i="10"/>
  <c r="AX99" i="10" s="1"/>
  <c r="AU439" i="10"/>
  <c r="A451" i="10"/>
  <c r="Y450" i="10"/>
  <c r="AS450" i="10"/>
  <c r="BB450" i="10"/>
  <c r="BC450" i="10" s="1"/>
  <c r="B450" i="10"/>
  <c r="AM100" i="10"/>
  <c r="S100" i="10"/>
  <c r="AC100" i="10"/>
  <c r="AB100" i="10"/>
  <c r="AV99" i="10" s="1"/>
  <c r="R448" i="10"/>
  <c r="BD98" i="10"/>
  <c r="AZ98" i="10"/>
  <c r="AL99" i="10" l="1"/>
  <c r="O441" i="10"/>
  <c r="P441" i="10" s="1"/>
  <c r="J442" i="10" s="1"/>
  <c r="L442" i="10" s="1"/>
  <c r="N442" i="10" s="1"/>
  <c r="AE441" i="10"/>
  <c r="AT441" i="10"/>
  <c r="AF441" i="10"/>
  <c r="T100" i="10"/>
  <c r="AQ100" i="10" s="1"/>
  <c r="AD100" i="10"/>
  <c r="U100" i="10"/>
  <c r="W100" i="10" s="1"/>
  <c r="AP100" i="10" s="1"/>
  <c r="A452" i="10"/>
  <c r="Y451" i="10"/>
  <c r="AS451" i="10"/>
  <c r="BB451" i="10"/>
  <c r="BC451" i="10" s="1"/>
  <c r="B451" i="10"/>
  <c r="AU440" i="10"/>
  <c r="K450" i="10"/>
  <c r="C450" i="10"/>
  <c r="I450" i="10" s="1"/>
  <c r="M450" i="10"/>
  <c r="E450" i="10"/>
  <c r="R449" i="10"/>
  <c r="H449" i="10"/>
  <c r="D449" i="10"/>
  <c r="F449" i="10" s="1"/>
  <c r="G449" i="10" s="1"/>
  <c r="V449" i="10" s="1"/>
  <c r="BA99" i="10"/>
  <c r="AO99" i="10"/>
  <c r="AY99" i="10" s="1"/>
  <c r="AH99" i="10"/>
  <c r="AN99" i="10" l="1"/>
  <c r="AW99" i="10" s="1"/>
  <c r="AZ99" i="10" s="1"/>
  <c r="X100" i="10"/>
  <c r="O442" i="10"/>
  <c r="P442" i="10"/>
  <c r="J443" i="10" s="1"/>
  <c r="L443" i="10" s="1"/>
  <c r="N443" i="10" s="1"/>
  <c r="AE442" i="10"/>
  <c r="AT442" i="10"/>
  <c r="AF442" i="10"/>
  <c r="R450" i="10"/>
  <c r="K451" i="10"/>
  <c r="C451" i="10"/>
  <c r="I451" i="10" s="1"/>
  <c r="M451" i="10"/>
  <c r="E451" i="10"/>
  <c r="Z100" i="10"/>
  <c r="AR100" i="10" s="1"/>
  <c r="H450" i="10"/>
  <c r="D450" i="10"/>
  <c r="F450" i="10" s="1"/>
  <c r="G450" i="10" s="1"/>
  <c r="V450" i="10" s="1"/>
  <c r="A453" i="10"/>
  <c r="Y452" i="10"/>
  <c r="AS452" i="10"/>
  <c r="BB452" i="10"/>
  <c r="BC452" i="10" s="1"/>
  <c r="B452" i="10"/>
  <c r="AU441" i="10"/>
  <c r="BD99" i="10"/>
  <c r="AA100" i="10" l="1"/>
  <c r="AK100" i="10" s="1"/>
  <c r="AX100" i="10" s="1"/>
  <c r="Q101" i="10"/>
  <c r="S101" i="10" s="1"/>
  <c r="O443" i="10"/>
  <c r="P443" i="10" s="1"/>
  <c r="J444" i="10" s="1"/>
  <c r="L444" i="10" s="1"/>
  <c r="N444" i="10" s="1"/>
  <c r="AE443" i="10"/>
  <c r="AT443" i="10"/>
  <c r="AF443" i="10"/>
  <c r="A454" i="10"/>
  <c r="Y453" i="10"/>
  <c r="AS453" i="10"/>
  <c r="BB453" i="10"/>
  <c r="BC453" i="10" s="1"/>
  <c r="B453" i="10"/>
  <c r="AI100" i="10"/>
  <c r="AJ100" i="10"/>
  <c r="AG100" i="10"/>
  <c r="R451" i="10"/>
  <c r="K452" i="10"/>
  <c r="C452" i="10"/>
  <c r="I452" i="10" s="1"/>
  <c r="M452" i="10"/>
  <c r="E452" i="10"/>
  <c r="H451" i="10"/>
  <c r="D451" i="10"/>
  <c r="F451" i="10" s="1"/>
  <c r="G451" i="10" s="1"/>
  <c r="V451" i="10" s="1"/>
  <c r="AU442" i="10"/>
  <c r="AM101" i="10" l="1"/>
  <c r="AB101" i="10"/>
  <c r="AV100" i="10" s="1"/>
  <c r="AC101" i="10"/>
  <c r="AL100" i="10"/>
  <c r="O444" i="10"/>
  <c r="P444" i="10"/>
  <c r="J445" i="10" s="1"/>
  <c r="L445" i="10" s="1"/>
  <c r="N445" i="10" s="1"/>
  <c r="AT444" i="10"/>
  <c r="AE444" i="10"/>
  <c r="AF444" i="10"/>
  <c r="AO100" i="10"/>
  <c r="AY100" i="10" s="1"/>
  <c r="AH100" i="10"/>
  <c r="R452" i="10"/>
  <c r="K453" i="10"/>
  <c r="C453" i="10"/>
  <c r="I453" i="10" s="1"/>
  <c r="M453" i="10"/>
  <c r="E453" i="10"/>
  <c r="AU443" i="10"/>
  <c r="H452" i="10"/>
  <c r="D452" i="10"/>
  <c r="F452" i="10" s="1"/>
  <c r="G452" i="10" s="1"/>
  <c r="V452" i="10" s="1"/>
  <c r="BA100" i="10"/>
  <c r="AD101" i="10"/>
  <c r="T101" i="10"/>
  <c r="AQ101" i="10" s="1"/>
  <c r="U101" i="10"/>
  <c r="W101" i="10" s="1"/>
  <c r="AP101" i="10" s="1"/>
  <c r="A455" i="10"/>
  <c r="Y454" i="10"/>
  <c r="AS454" i="10"/>
  <c r="BB454" i="10"/>
  <c r="BC454" i="10" s="1"/>
  <c r="B454" i="10"/>
  <c r="AN100" i="10" l="1"/>
  <c r="AW100" i="10" s="1"/>
  <c r="O445" i="10"/>
  <c r="P445" i="10" s="1"/>
  <c r="J446" i="10" s="1"/>
  <c r="L446" i="10" s="1"/>
  <c r="N446" i="10" s="1"/>
  <c r="AE445" i="10"/>
  <c r="AT445" i="10"/>
  <c r="AF445" i="10"/>
  <c r="AU444" i="10"/>
  <c r="K454" i="10"/>
  <c r="C454" i="10"/>
  <c r="I454" i="10" s="1"/>
  <c r="M454" i="10"/>
  <c r="E454" i="10"/>
  <c r="R453" i="10"/>
  <c r="BD100" i="10"/>
  <c r="AZ100" i="10"/>
  <c r="X101" i="10"/>
  <c r="H453" i="10"/>
  <c r="D453" i="10"/>
  <c r="F453" i="10" s="1"/>
  <c r="G453" i="10" s="1"/>
  <c r="V453" i="10" s="1"/>
  <c r="A456" i="10"/>
  <c r="Y455" i="10"/>
  <c r="AS455" i="10"/>
  <c r="BB455" i="10"/>
  <c r="BC455" i="10" s="1"/>
  <c r="B455" i="10"/>
  <c r="O446" i="10" l="1"/>
  <c r="P446" i="10"/>
  <c r="J447" i="10" s="1"/>
  <c r="L447" i="10" s="1"/>
  <c r="N447" i="10" s="1"/>
  <c r="AE446" i="10"/>
  <c r="AT446" i="10"/>
  <c r="AF446" i="10"/>
  <c r="Z101" i="10"/>
  <c r="AR101" i="10" s="1"/>
  <c r="H454" i="10"/>
  <c r="D454" i="10"/>
  <c r="F454" i="10" s="1"/>
  <c r="G454" i="10" s="1"/>
  <c r="V454" i="10" s="1"/>
  <c r="A457" i="10"/>
  <c r="Y456" i="10"/>
  <c r="AS456" i="10"/>
  <c r="BB456" i="10"/>
  <c r="BC456" i="10" s="1"/>
  <c r="B456" i="10"/>
  <c r="AU445" i="10"/>
  <c r="K455" i="10"/>
  <c r="C455" i="10"/>
  <c r="I455" i="10" s="1"/>
  <c r="M455" i="10"/>
  <c r="E455" i="10"/>
  <c r="R454" i="10"/>
  <c r="O447" i="10" l="1"/>
  <c r="P447" i="10" s="1"/>
  <c r="J448" i="10" s="1"/>
  <c r="L448" i="10" s="1"/>
  <c r="N448" i="10" s="1"/>
  <c r="AE447" i="10"/>
  <c r="AT447" i="10"/>
  <c r="AF447" i="10"/>
  <c r="R455" i="10"/>
  <c r="K456" i="10"/>
  <c r="C456" i="10"/>
  <c r="I456" i="10" s="1"/>
  <c r="M456" i="10"/>
  <c r="E456" i="10"/>
  <c r="AU446" i="10"/>
  <c r="H455" i="10"/>
  <c r="D455" i="10"/>
  <c r="F455" i="10" s="1"/>
  <c r="G455" i="10" s="1"/>
  <c r="V455" i="10" s="1"/>
  <c r="AA101" i="10"/>
  <c r="Q102" i="10"/>
  <c r="A458" i="10"/>
  <c r="Y457" i="10"/>
  <c r="AS457" i="10"/>
  <c r="BB457" i="10"/>
  <c r="BC457" i="10" s="1"/>
  <c r="B457" i="10"/>
  <c r="O448" i="10" l="1"/>
  <c r="P448" i="10" s="1"/>
  <c r="J449" i="10" s="1"/>
  <c r="L449" i="10" s="1"/>
  <c r="N449" i="10" s="1"/>
  <c r="AE448" i="10"/>
  <c r="AT448" i="10"/>
  <c r="AF448" i="10"/>
  <c r="C457" i="10"/>
  <c r="I457" i="10" s="1"/>
  <c r="K457" i="10"/>
  <c r="M457" i="10"/>
  <c r="E457" i="10"/>
  <c r="AI101" i="10"/>
  <c r="AJ101" i="10"/>
  <c r="AG101" i="10"/>
  <c r="AK101" i="10"/>
  <c r="AX101" i="10" s="1"/>
  <c r="H456" i="10"/>
  <c r="D456" i="10"/>
  <c r="F456" i="10" s="1"/>
  <c r="G456" i="10" s="1"/>
  <c r="V456" i="10" s="1"/>
  <c r="AU447" i="10"/>
  <c r="A459" i="10"/>
  <c r="BB458" i="10"/>
  <c r="BC458" i="10" s="1"/>
  <c r="AS458" i="10"/>
  <c r="Y458" i="10"/>
  <c r="B458" i="10"/>
  <c r="AM102" i="10"/>
  <c r="S102" i="10"/>
  <c r="AC102" i="10"/>
  <c r="AB102" i="10"/>
  <c r="AV101" i="10" s="1"/>
  <c r="R456" i="10"/>
  <c r="O449" i="10" l="1"/>
  <c r="P449" i="10" s="1"/>
  <c r="J450" i="10" s="1"/>
  <c r="L450" i="10" s="1"/>
  <c r="N450" i="10" s="1"/>
  <c r="AE449" i="10"/>
  <c r="AT449" i="10"/>
  <c r="AF449" i="10"/>
  <c r="T102" i="10"/>
  <c r="AQ102" i="10" s="1"/>
  <c r="AD102" i="10"/>
  <c r="U102" i="10"/>
  <c r="W102" i="10" s="1"/>
  <c r="AP102" i="10" s="1"/>
  <c r="AO101" i="10"/>
  <c r="AY101" i="10" s="1"/>
  <c r="AH101" i="10"/>
  <c r="AL101" i="10"/>
  <c r="K458" i="10"/>
  <c r="M458" i="10"/>
  <c r="C458" i="10"/>
  <c r="I458" i="10" s="1"/>
  <c r="E458" i="10"/>
  <c r="AU448" i="10"/>
  <c r="R457" i="10"/>
  <c r="BA101" i="10"/>
  <c r="BB459" i="10"/>
  <c r="BC459" i="10" s="1"/>
  <c r="AS459" i="10"/>
  <c r="A460" i="10"/>
  <c r="Y459" i="10"/>
  <c r="B459" i="10"/>
  <c r="H457" i="10"/>
  <c r="D457" i="10"/>
  <c r="F457" i="10" s="1"/>
  <c r="G457" i="10" s="1"/>
  <c r="V457" i="10" s="1"/>
  <c r="X102" i="10" l="1"/>
  <c r="O450" i="10"/>
  <c r="P450" i="10"/>
  <c r="J451" i="10" s="1"/>
  <c r="L451" i="10" s="1"/>
  <c r="N451" i="10" s="1"/>
  <c r="AT450" i="10"/>
  <c r="AE450" i="10"/>
  <c r="AF450" i="10"/>
  <c r="BB460" i="10"/>
  <c r="BC460" i="10" s="1"/>
  <c r="AS460" i="10"/>
  <c r="Y460" i="10"/>
  <c r="A461" i="10"/>
  <c r="B460" i="10"/>
  <c r="Z102" i="10"/>
  <c r="AR102" i="10" s="1"/>
  <c r="AN101" i="10"/>
  <c r="AW101" i="10" s="1"/>
  <c r="AU449" i="10"/>
  <c r="C459" i="10"/>
  <c r="I459" i="10" s="1"/>
  <c r="K459" i="10"/>
  <c r="M459" i="10"/>
  <c r="E459" i="10"/>
  <c r="R458" i="10"/>
  <c r="H458" i="10"/>
  <c r="D458" i="10"/>
  <c r="F458" i="10" s="1"/>
  <c r="G458" i="10" s="1"/>
  <c r="V458" i="10" s="1"/>
  <c r="AA102" i="10" l="1"/>
  <c r="AJ102" i="10" s="1"/>
  <c r="Q103" i="10"/>
  <c r="AM103" i="10" s="1"/>
  <c r="O451" i="10"/>
  <c r="P451" i="10" s="1"/>
  <c r="J452" i="10" s="1"/>
  <c r="L452" i="10" s="1"/>
  <c r="N452" i="10" s="1"/>
  <c r="AT451" i="10"/>
  <c r="AE451" i="10"/>
  <c r="AF451" i="10"/>
  <c r="AU450" i="10"/>
  <c r="K460" i="10"/>
  <c r="C460" i="10"/>
  <c r="I460" i="10" s="1"/>
  <c r="M460" i="10"/>
  <c r="E460" i="10"/>
  <c r="R459" i="10"/>
  <c r="Y461" i="10"/>
  <c r="A462" i="10"/>
  <c r="BB461" i="10"/>
  <c r="BC461" i="10" s="1"/>
  <c r="AS461" i="10"/>
  <c r="B461" i="10"/>
  <c r="BD101" i="10"/>
  <c r="AZ101" i="10"/>
  <c r="H459" i="10"/>
  <c r="D459" i="10"/>
  <c r="F459" i="10" s="1"/>
  <c r="G459" i="10" s="1"/>
  <c r="V459" i="10" s="1"/>
  <c r="AI102" i="10" l="1"/>
  <c r="AC103" i="10"/>
  <c r="BA102" i="10" s="1"/>
  <c r="AB103" i="10"/>
  <c r="AV102" i="10" s="1"/>
  <c r="S103" i="10"/>
  <c r="T103" i="10" s="1"/>
  <c r="AQ103" i="10" s="1"/>
  <c r="AK102" i="10"/>
  <c r="AX102" i="10" s="1"/>
  <c r="AG102" i="10"/>
  <c r="AO102" i="10" s="1"/>
  <c r="AY102" i="10" s="1"/>
  <c r="O452" i="10"/>
  <c r="P452" i="10" s="1"/>
  <c r="J453" i="10" s="1"/>
  <c r="L453" i="10" s="1"/>
  <c r="N453" i="10" s="1"/>
  <c r="AE452" i="10"/>
  <c r="AT452" i="10"/>
  <c r="AF452" i="10"/>
  <c r="C461" i="10"/>
  <c r="I461" i="10" s="1"/>
  <c r="M461" i="10"/>
  <c r="K461" i="10"/>
  <c r="E461" i="10"/>
  <c r="R460" i="10"/>
  <c r="AU451" i="10"/>
  <c r="H460" i="10"/>
  <c r="D460" i="10"/>
  <c r="F460" i="10" s="1"/>
  <c r="G460" i="10" s="1"/>
  <c r="V460" i="10" s="1"/>
  <c r="Y462" i="10"/>
  <c r="BB462" i="10"/>
  <c r="BC462" i="10" s="1"/>
  <c r="AS462" i="10"/>
  <c r="A463" i="10"/>
  <c r="B462" i="10"/>
  <c r="AL102" i="10" l="1"/>
  <c r="U103" i="10"/>
  <c r="W103" i="10" s="1"/>
  <c r="AP103" i="10" s="1"/>
  <c r="AD103" i="10"/>
  <c r="AH102" i="10"/>
  <c r="O453" i="10"/>
  <c r="P453" i="10" s="1"/>
  <c r="J454" i="10" s="1"/>
  <c r="L454" i="10" s="1"/>
  <c r="N454" i="10" s="1"/>
  <c r="AE453" i="10"/>
  <c r="AT453" i="10"/>
  <c r="AF453" i="10"/>
  <c r="R461" i="10"/>
  <c r="M462" i="10"/>
  <c r="K462" i="10"/>
  <c r="C462" i="10"/>
  <c r="I462" i="10" s="1"/>
  <c r="E462" i="10"/>
  <c r="BB463" i="10"/>
  <c r="BC463" i="10" s="1"/>
  <c r="Y463" i="10"/>
  <c r="A464" i="10"/>
  <c r="AS463" i="10"/>
  <c r="B463" i="10"/>
  <c r="AU452" i="10"/>
  <c r="AN102" i="10"/>
  <c r="AW102" i="10" s="1"/>
  <c r="H461" i="10"/>
  <c r="D461" i="10"/>
  <c r="F461" i="10" s="1"/>
  <c r="G461" i="10" s="1"/>
  <c r="V461" i="10" s="1"/>
  <c r="X103" i="10" l="1"/>
  <c r="O454" i="10"/>
  <c r="P454" i="10"/>
  <c r="J455" i="10" s="1"/>
  <c r="L455" i="10" s="1"/>
  <c r="N455" i="10" s="1"/>
  <c r="AT454" i="10"/>
  <c r="AE454" i="10"/>
  <c r="AF454" i="10"/>
  <c r="H462" i="10"/>
  <c r="D462" i="10"/>
  <c r="F462" i="10" s="1"/>
  <c r="G462" i="10" s="1"/>
  <c r="V462" i="10" s="1"/>
  <c r="M463" i="10"/>
  <c r="C463" i="10"/>
  <c r="I463" i="10" s="1"/>
  <c r="K463" i="10"/>
  <c r="E463" i="10"/>
  <c r="AU453" i="10"/>
  <c r="A465" i="10"/>
  <c r="Y464" i="10"/>
  <c r="BB464" i="10"/>
  <c r="BC464" i="10" s="1"/>
  <c r="AS464" i="10"/>
  <c r="B464" i="10"/>
  <c r="Z103" i="10"/>
  <c r="AR103" i="10" s="1"/>
  <c r="BD102" i="10"/>
  <c r="AZ102" i="10"/>
  <c r="R462" i="10"/>
  <c r="O455" i="10" l="1"/>
  <c r="P455" i="10" s="1"/>
  <c r="J456" i="10" s="1"/>
  <c r="L456" i="10" s="1"/>
  <c r="N456" i="10" s="1"/>
  <c r="AE455" i="10"/>
  <c r="AT455" i="10"/>
  <c r="AF455" i="10"/>
  <c r="M464" i="10"/>
  <c r="C464" i="10"/>
  <c r="I464" i="10" s="1"/>
  <c r="K464" i="10"/>
  <c r="E464" i="10"/>
  <c r="R463" i="10"/>
  <c r="H463" i="10"/>
  <c r="D463" i="10"/>
  <c r="F463" i="10" s="1"/>
  <c r="G463" i="10" s="1"/>
  <c r="V463" i="10" s="1"/>
  <c r="AU454" i="10"/>
  <c r="A466" i="10"/>
  <c r="AS465" i="10"/>
  <c r="BB465" i="10"/>
  <c r="BC465" i="10" s="1"/>
  <c r="Y465" i="10"/>
  <c r="B465" i="10"/>
  <c r="AA103" i="10"/>
  <c r="Q104" i="10"/>
  <c r="O456" i="10" l="1"/>
  <c r="P456" i="10"/>
  <c r="J457" i="10" s="1"/>
  <c r="L457" i="10" s="1"/>
  <c r="N457" i="10" s="1"/>
  <c r="AT456" i="10"/>
  <c r="AE456" i="10"/>
  <c r="AF456" i="10"/>
  <c r="AM104" i="10"/>
  <c r="S104" i="10"/>
  <c r="AC104" i="10"/>
  <c r="AB104" i="10"/>
  <c r="AV103" i="10" s="1"/>
  <c r="A467" i="10"/>
  <c r="BB466" i="10"/>
  <c r="BC466" i="10" s="1"/>
  <c r="AS466" i="10"/>
  <c r="Y466" i="10"/>
  <c r="B466" i="10"/>
  <c r="AI103" i="10"/>
  <c r="AJ103" i="10"/>
  <c r="AG103" i="10"/>
  <c r="AK103" i="10"/>
  <c r="AX103" i="10" s="1"/>
  <c r="AU455" i="10"/>
  <c r="R464" i="10"/>
  <c r="C465" i="10"/>
  <c r="I465" i="10" s="1"/>
  <c r="K465" i="10"/>
  <c r="M465" i="10"/>
  <c r="E465" i="10"/>
  <c r="H464" i="10"/>
  <c r="D464" i="10"/>
  <c r="F464" i="10" s="1"/>
  <c r="G464" i="10" s="1"/>
  <c r="V464" i="10" s="1"/>
  <c r="O457" i="10" l="1"/>
  <c r="P457" i="10" s="1"/>
  <c r="J458" i="10" s="1"/>
  <c r="L458" i="10" s="1"/>
  <c r="N458" i="10" s="1"/>
  <c r="AT457" i="10"/>
  <c r="AE457" i="10"/>
  <c r="AF457" i="10"/>
  <c r="K466" i="10"/>
  <c r="M466" i="10"/>
  <c r="C466" i="10"/>
  <c r="I466" i="10" s="1"/>
  <c r="E466" i="10"/>
  <c r="R465" i="10"/>
  <c r="AU456" i="10"/>
  <c r="AO103" i="10"/>
  <c r="AY103" i="10" s="1"/>
  <c r="AH103" i="10"/>
  <c r="BB467" i="10"/>
  <c r="BC467" i="10" s="1"/>
  <c r="AS467" i="10"/>
  <c r="Y467" i="10"/>
  <c r="A468" i="10"/>
  <c r="B467" i="10"/>
  <c r="H465" i="10"/>
  <c r="D465" i="10"/>
  <c r="F465" i="10" s="1"/>
  <c r="G465" i="10" s="1"/>
  <c r="V465" i="10" s="1"/>
  <c r="AL103" i="10"/>
  <c r="BA103" i="10"/>
  <c r="T104" i="10"/>
  <c r="AQ104" i="10" s="1"/>
  <c r="AD104" i="10"/>
  <c r="U104" i="10"/>
  <c r="W104" i="10" s="1"/>
  <c r="AP104" i="10" s="1"/>
  <c r="O458" i="10" l="1"/>
  <c r="P458" i="10" s="1"/>
  <c r="J459" i="10" s="1"/>
  <c r="L459" i="10" s="1"/>
  <c r="N459" i="10" s="1"/>
  <c r="AE458" i="10"/>
  <c r="AT458" i="10"/>
  <c r="AF458" i="10"/>
  <c r="AU457" i="10"/>
  <c r="AN103" i="10"/>
  <c r="AW103" i="10" s="1"/>
  <c r="R466" i="10"/>
  <c r="C467" i="10"/>
  <c r="I467" i="10" s="1"/>
  <c r="M467" i="10"/>
  <c r="K467" i="10"/>
  <c r="E467" i="10"/>
  <c r="H466" i="10"/>
  <c r="D466" i="10"/>
  <c r="F466" i="10" s="1"/>
  <c r="G466" i="10" s="1"/>
  <c r="V466" i="10" s="1"/>
  <c r="X104" i="10"/>
  <c r="BB468" i="10"/>
  <c r="BC468" i="10" s="1"/>
  <c r="AS468" i="10"/>
  <c r="Y468" i="10"/>
  <c r="A469" i="10"/>
  <c r="B468" i="10"/>
  <c r="O459" i="10" l="1"/>
  <c r="P459" i="10" s="1"/>
  <c r="J460" i="10" s="1"/>
  <c r="L460" i="10" s="1"/>
  <c r="N460" i="10" s="1"/>
  <c r="AT459" i="10"/>
  <c r="AE459" i="10"/>
  <c r="AF459" i="10"/>
  <c r="Z104" i="10"/>
  <c r="AR104" i="10" s="1"/>
  <c r="K468" i="10"/>
  <c r="M468" i="10"/>
  <c r="C468" i="10"/>
  <c r="I468" i="10" s="1"/>
  <c r="E468" i="10"/>
  <c r="BD103" i="10"/>
  <c r="AZ103" i="10"/>
  <c r="AU458" i="10"/>
  <c r="Y469" i="10"/>
  <c r="AS469" i="10"/>
  <c r="BB469" i="10"/>
  <c r="BC469" i="10" s="1"/>
  <c r="A470" i="10"/>
  <c r="B469" i="10"/>
  <c r="R467" i="10"/>
  <c r="H467" i="10"/>
  <c r="D467" i="10"/>
  <c r="F467" i="10" s="1"/>
  <c r="G467" i="10" s="1"/>
  <c r="V467" i="10" s="1"/>
  <c r="O460" i="10" l="1"/>
  <c r="P460" i="10" s="1"/>
  <c r="J461" i="10" s="1"/>
  <c r="L461" i="10" s="1"/>
  <c r="N461" i="10" s="1"/>
  <c r="AT460" i="10"/>
  <c r="AE460" i="10"/>
  <c r="AF460" i="10"/>
  <c r="Y470" i="10"/>
  <c r="BB470" i="10"/>
  <c r="BC470" i="10" s="1"/>
  <c r="AS470" i="10"/>
  <c r="A471" i="10"/>
  <c r="B470" i="10"/>
  <c r="H468" i="10"/>
  <c r="D468" i="10"/>
  <c r="F468" i="10" s="1"/>
  <c r="G468" i="10" s="1"/>
  <c r="V468" i="10" s="1"/>
  <c r="AU459" i="10"/>
  <c r="AA104" i="10"/>
  <c r="K469" i="10"/>
  <c r="C469" i="10"/>
  <c r="I469" i="10" s="1"/>
  <c r="M469" i="10"/>
  <c r="E469" i="10"/>
  <c r="Q105" i="10"/>
  <c r="R468" i="10"/>
  <c r="O461" i="10" l="1"/>
  <c r="P461" i="10" s="1"/>
  <c r="J462" i="10" s="1"/>
  <c r="L462" i="10" s="1"/>
  <c r="N462" i="10" s="1"/>
  <c r="AE461" i="10"/>
  <c r="AT461" i="10"/>
  <c r="AF461" i="10"/>
  <c r="AI104" i="10"/>
  <c r="AJ104" i="10"/>
  <c r="AG104" i="10"/>
  <c r="AK104" i="10"/>
  <c r="AX104" i="10" s="1"/>
  <c r="AU460" i="10"/>
  <c r="AM105" i="10"/>
  <c r="S105" i="10"/>
  <c r="AC105" i="10"/>
  <c r="AB105" i="10"/>
  <c r="AV104" i="10" s="1"/>
  <c r="M470" i="10"/>
  <c r="K470" i="10"/>
  <c r="C470" i="10"/>
  <c r="I470" i="10" s="1"/>
  <c r="E470" i="10"/>
  <c r="R469" i="10"/>
  <c r="AS471" i="10"/>
  <c r="Y471" i="10"/>
  <c r="A472" i="10"/>
  <c r="BB471" i="10"/>
  <c r="BC471" i="10" s="1"/>
  <c r="B471" i="10"/>
  <c r="H469" i="10"/>
  <c r="D469" i="10"/>
  <c r="F469" i="10" s="1"/>
  <c r="G469" i="10" s="1"/>
  <c r="V469" i="10" s="1"/>
  <c r="BA104" i="10" l="1"/>
  <c r="O462" i="10"/>
  <c r="P462" i="10" s="1"/>
  <c r="J463" i="10" s="1"/>
  <c r="L463" i="10" s="1"/>
  <c r="N463" i="10" s="1"/>
  <c r="AT462" i="10"/>
  <c r="AE462" i="10"/>
  <c r="AF462" i="10"/>
  <c r="M471" i="10"/>
  <c r="C471" i="10"/>
  <c r="I471" i="10" s="1"/>
  <c r="K471" i="10"/>
  <c r="E471" i="10"/>
  <c r="R470" i="10"/>
  <c r="H470" i="10"/>
  <c r="D470" i="10"/>
  <c r="F470" i="10" s="1"/>
  <c r="G470" i="10" s="1"/>
  <c r="V470" i="10" s="1"/>
  <c r="A473" i="10"/>
  <c r="Y472" i="10"/>
  <c r="AS472" i="10"/>
  <c r="BB472" i="10"/>
  <c r="BC472" i="10" s="1"/>
  <c r="B472" i="10"/>
  <c r="AU461" i="10"/>
  <c r="AO104" i="10"/>
  <c r="AY104" i="10" s="1"/>
  <c r="AH104" i="10"/>
  <c r="AL104" i="10"/>
  <c r="AD105" i="10"/>
  <c r="T105" i="10"/>
  <c r="AQ105" i="10" s="1"/>
  <c r="U105" i="10"/>
  <c r="W105" i="10" s="1"/>
  <c r="AP105" i="10" s="1"/>
  <c r="AN104" i="10" l="1"/>
  <c r="AW104" i="10" s="1"/>
  <c r="AZ104" i="10" s="1"/>
  <c r="O463" i="10"/>
  <c r="P463" i="10" s="1"/>
  <c r="J464" i="10" s="1"/>
  <c r="L464" i="10" s="1"/>
  <c r="N464" i="10" s="1"/>
  <c r="AT463" i="10"/>
  <c r="AE463" i="10"/>
  <c r="AF463" i="10"/>
  <c r="AU462" i="10"/>
  <c r="M472" i="10"/>
  <c r="C472" i="10"/>
  <c r="I472" i="10" s="1"/>
  <c r="K472" i="10"/>
  <c r="E472" i="10"/>
  <c r="R471" i="10"/>
  <c r="X105" i="10"/>
  <c r="A474" i="10"/>
  <c r="Y473" i="10"/>
  <c r="BB473" i="10"/>
  <c r="BC473" i="10" s="1"/>
  <c r="AS473" i="10"/>
  <c r="B473" i="10"/>
  <c r="H471" i="10"/>
  <c r="D471" i="10"/>
  <c r="F471" i="10" s="1"/>
  <c r="G471" i="10" s="1"/>
  <c r="V471" i="10" s="1"/>
  <c r="BD104" i="10" l="1"/>
  <c r="O464" i="10"/>
  <c r="P464" i="10" s="1"/>
  <c r="J465" i="10" s="1"/>
  <c r="L465" i="10" s="1"/>
  <c r="N465" i="10" s="1"/>
  <c r="AT464" i="10"/>
  <c r="AE464" i="10"/>
  <c r="AF464" i="10"/>
  <c r="Z105" i="10"/>
  <c r="AR105" i="10" s="1"/>
  <c r="H472" i="10"/>
  <c r="D472" i="10"/>
  <c r="F472" i="10" s="1"/>
  <c r="G472" i="10" s="1"/>
  <c r="V472" i="10" s="1"/>
  <c r="AU463" i="10"/>
  <c r="C473" i="10"/>
  <c r="I473" i="10" s="1"/>
  <c r="K473" i="10"/>
  <c r="M473" i="10"/>
  <c r="E473" i="10"/>
  <c r="A475" i="10"/>
  <c r="BB474" i="10"/>
  <c r="BC474" i="10" s="1"/>
  <c r="AS474" i="10"/>
  <c r="Y474" i="10"/>
  <c r="B474" i="10"/>
  <c r="R472" i="10"/>
  <c r="O465" i="10" l="1"/>
  <c r="P465" i="10" s="1"/>
  <c r="J466" i="10" s="1"/>
  <c r="L466" i="10" s="1"/>
  <c r="N466" i="10" s="1"/>
  <c r="AT465" i="10"/>
  <c r="AE465" i="10"/>
  <c r="AF465" i="10"/>
  <c r="R473" i="10"/>
  <c r="AU464" i="10"/>
  <c r="K474" i="10"/>
  <c r="M474" i="10"/>
  <c r="C474" i="10"/>
  <c r="I474" i="10" s="1"/>
  <c r="E474" i="10"/>
  <c r="H473" i="10"/>
  <c r="D473" i="10"/>
  <c r="F473" i="10" s="1"/>
  <c r="G473" i="10" s="1"/>
  <c r="V473" i="10" s="1"/>
  <c r="BB475" i="10"/>
  <c r="BC475" i="10" s="1"/>
  <c r="AS475" i="10"/>
  <c r="A476" i="10"/>
  <c r="Y475" i="10"/>
  <c r="B475" i="10"/>
  <c r="AA105" i="10"/>
  <c r="Q106" i="10"/>
  <c r="O466" i="10" l="1"/>
  <c r="P466" i="10" s="1"/>
  <c r="J467" i="10" s="1"/>
  <c r="L467" i="10" s="1"/>
  <c r="N467" i="10" s="1"/>
  <c r="AT466" i="10"/>
  <c r="AE466" i="10"/>
  <c r="AF466" i="10"/>
  <c r="AI105" i="10"/>
  <c r="AJ105" i="10"/>
  <c r="AG105" i="10"/>
  <c r="AK105" i="10"/>
  <c r="AX105" i="10" s="1"/>
  <c r="C475" i="10"/>
  <c r="I475" i="10" s="1"/>
  <c r="K475" i="10"/>
  <c r="M475" i="10"/>
  <c r="E475" i="10"/>
  <c r="AU465" i="10"/>
  <c r="BB476" i="10"/>
  <c r="BC476" i="10" s="1"/>
  <c r="AS476" i="10"/>
  <c r="Y476" i="10"/>
  <c r="A477" i="10"/>
  <c r="B476" i="10"/>
  <c r="R474" i="10"/>
  <c r="AM106" i="10"/>
  <c r="S106" i="10"/>
  <c r="AC106" i="10"/>
  <c r="BA105" i="10" s="1"/>
  <c r="AB106" i="10"/>
  <c r="AV105" i="10" s="1"/>
  <c r="H474" i="10"/>
  <c r="D474" i="10"/>
  <c r="F474" i="10" s="1"/>
  <c r="G474" i="10" s="1"/>
  <c r="V474" i="10" s="1"/>
  <c r="O467" i="10" l="1"/>
  <c r="P467" i="10" s="1"/>
  <c r="J468" i="10" s="1"/>
  <c r="L468" i="10" s="1"/>
  <c r="N468" i="10" s="1"/>
  <c r="AE467" i="10"/>
  <c r="AT467" i="10"/>
  <c r="AF467" i="10"/>
  <c r="H475" i="10"/>
  <c r="D475" i="10"/>
  <c r="F475" i="10" s="1"/>
  <c r="G475" i="10" s="1"/>
  <c r="V475" i="10" s="1"/>
  <c r="AU466" i="10"/>
  <c r="K476" i="10"/>
  <c r="C476" i="10"/>
  <c r="I476" i="10" s="1"/>
  <c r="M476" i="10"/>
  <c r="E476" i="10"/>
  <c r="AO105" i="10"/>
  <c r="AY105" i="10" s="1"/>
  <c r="AH105" i="10"/>
  <c r="A478" i="10"/>
  <c r="AS477" i="10"/>
  <c r="Y477" i="10"/>
  <c r="BB477" i="10"/>
  <c r="BC477" i="10" s="1"/>
  <c r="B477" i="10"/>
  <c r="R475" i="10"/>
  <c r="AL105" i="10"/>
  <c r="T106" i="10"/>
  <c r="AQ106" i="10" s="1"/>
  <c r="AD106" i="10"/>
  <c r="U106" i="10"/>
  <c r="W106" i="10" s="1"/>
  <c r="AP106" i="10" s="1"/>
  <c r="O468" i="10" l="1"/>
  <c r="P468" i="10" s="1"/>
  <c r="J469" i="10" s="1"/>
  <c r="L469" i="10" s="1"/>
  <c r="N469" i="10" s="1"/>
  <c r="AT468" i="10"/>
  <c r="AE468" i="10"/>
  <c r="AF468" i="10"/>
  <c r="C477" i="10"/>
  <c r="I477" i="10" s="1"/>
  <c r="M477" i="10"/>
  <c r="K477" i="10"/>
  <c r="E477" i="10"/>
  <c r="H476" i="10"/>
  <c r="D476" i="10"/>
  <c r="F476" i="10" s="1"/>
  <c r="G476" i="10" s="1"/>
  <c r="V476" i="10" s="1"/>
  <c r="X106" i="10"/>
  <c r="A479" i="10"/>
  <c r="AS478" i="10"/>
  <c r="Y478" i="10"/>
  <c r="BB478" i="10"/>
  <c r="BC478" i="10" s="1"/>
  <c r="B478" i="10"/>
  <c r="AU467" i="10"/>
  <c r="AN105" i="10"/>
  <c r="AW105" i="10" s="1"/>
  <c r="R476" i="10"/>
  <c r="O469" i="10" l="1"/>
  <c r="P469" i="10" s="1"/>
  <c r="J470" i="10" s="1"/>
  <c r="L470" i="10" s="1"/>
  <c r="N470" i="10" s="1"/>
  <c r="AE469" i="10"/>
  <c r="AT469" i="10"/>
  <c r="AF469" i="10"/>
  <c r="M478" i="10"/>
  <c r="C478" i="10"/>
  <c r="I478" i="10" s="1"/>
  <c r="K478" i="10"/>
  <c r="E478" i="10"/>
  <c r="AU468" i="10"/>
  <c r="R477" i="10"/>
  <c r="BD105" i="10"/>
  <c r="AZ105" i="10"/>
  <c r="A480" i="10"/>
  <c r="AS479" i="10"/>
  <c r="Y479" i="10"/>
  <c r="BB479" i="10"/>
  <c r="BC479" i="10" s="1"/>
  <c r="B479" i="10"/>
  <c r="Z106" i="10"/>
  <c r="AR106" i="10" s="1"/>
  <c r="H477" i="10"/>
  <c r="D477" i="10"/>
  <c r="F477" i="10" s="1"/>
  <c r="G477" i="10" s="1"/>
  <c r="V477" i="10" s="1"/>
  <c r="O470" i="10" l="1"/>
  <c r="P470" i="10" s="1"/>
  <c r="J471" i="10" s="1"/>
  <c r="L471" i="10" s="1"/>
  <c r="N471" i="10" s="1"/>
  <c r="AT470" i="10"/>
  <c r="AE470" i="10"/>
  <c r="AF470" i="10"/>
  <c r="AS480" i="10"/>
  <c r="Y480" i="10"/>
  <c r="A481" i="10"/>
  <c r="BB480" i="10"/>
  <c r="BC480" i="10" s="1"/>
  <c r="B480" i="10"/>
  <c r="AA106" i="10"/>
  <c r="AU469" i="10"/>
  <c r="Q107" i="10"/>
  <c r="R478" i="10"/>
  <c r="K479" i="10"/>
  <c r="M479" i="10"/>
  <c r="C479" i="10"/>
  <c r="I479" i="10" s="1"/>
  <c r="E479" i="10"/>
  <c r="H478" i="10"/>
  <c r="D478" i="10"/>
  <c r="F478" i="10" s="1"/>
  <c r="G478" i="10" s="1"/>
  <c r="V478" i="10" s="1"/>
  <c r="O471" i="10" l="1"/>
  <c r="P471" i="10" s="1"/>
  <c r="J472" i="10" s="1"/>
  <c r="L472" i="10" s="1"/>
  <c r="N472" i="10" s="1"/>
  <c r="AT471" i="10"/>
  <c r="AE471" i="10"/>
  <c r="AF471" i="10"/>
  <c r="AI106" i="10"/>
  <c r="AJ106" i="10"/>
  <c r="AG106" i="10"/>
  <c r="AK106" i="10"/>
  <c r="AX106" i="10" s="1"/>
  <c r="K480" i="10"/>
  <c r="C480" i="10"/>
  <c r="I480" i="10" s="1"/>
  <c r="M480" i="10"/>
  <c r="E480" i="10"/>
  <c r="AU470" i="10"/>
  <c r="R479" i="10"/>
  <c r="A482" i="10"/>
  <c r="AS481" i="10"/>
  <c r="Y481" i="10"/>
  <c r="BB481" i="10"/>
  <c r="BC481" i="10" s="1"/>
  <c r="B481" i="10"/>
  <c r="H479" i="10"/>
  <c r="D479" i="10"/>
  <c r="F479" i="10" s="1"/>
  <c r="G479" i="10" s="1"/>
  <c r="V479" i="10" s="1"/>
  <c r="AM107" i="10"/>
  <c r="S107" i="10"/>
  <c r="AC107" i="10"/>
  <c r="AB107" i="10"/>
  <c r="AV106" i="10" s="1"/>
  <c r="BA106" i="10" l="1"/>
  <c r="O472" i="10"/>
  <c r="P472" i="10" s="1"/>
  <c r="J473" i="10" s="1"/>
  <c r="L473" i="10" s="1"/>
  <c r="N473" i="10" s="1"/>
  <c r="AT472" i="10"/>
  <c r="AE472" i="10"/>
  <c r="AF472" i="10"/>
  <c r="A483" i="10"/>
  <c r="AS482" i="10"/>
  <c r="Y482" i="10"/>
  <c r="BB482" i="10"/>
  <c r="BC482" i="10" s="1"/>
  <c r="B482" i="10"/>
  <c r="H480" i="10"/>
  <c r="D480" i="10"/>
  <c r="F480" i="10" s="1"/>
  <c r="G480" i="10" s="1"/>
  <c r="V480" i="10" s="1"/>
  <c r="AU471" i="10"/>
  <c r="M481" i="10"/>
  <c r="C481" i="10"/>
  <c r="I481" i="10" s="1"/>
  <c r="K481" i="10"/>
  <c r="E481" i="10"/>
  <c r="AO106" i="10"/>
  <c r="AY106" i="10" s="1"/>
  <c r="AH106" i="10"/>
  <c r="AD107" i="10"/>
  <c r="T107" i="10"/>
  <c r="AQ107" i="10" s="1"/>
  <c r="U107" i="10"/>
  <c r="W107" i="10" s="1"/>
  <c r="AP107" i="10" s="1"/>
  <c r="AL106" i="10"/>
  <c r="R480" i="10"/>
  <c r="AN106" i="10" l="1"/>
  <c r="AW106" i="10" s="1"/>
  <c r="AZ106" i="10" s="1"/>
  <c r="O473" i="10"/>
  <c r="P473" i="10" s="1"/>
  <c r="J474" i="10" s="1"/>
  <c r="L474" i="10" s="1"/>
  <c r="N474" i="10" s="1"/>
  <c r="AE473" i="10"/>
  <c r="AT473" i="10"/>
  <c r="AF473" i="10"/>
  <c r="H481" i="10"/>
  <c r="D481" i="10"/>
  <c r="F481" i="10" s="1"/>
  <c r="G481" i="10" s="1"/>
  <c r="V481" i="10" s="1"/>
  <c r="AU472" i="10"/>
  <c r="X107" i="10"/>
  <c r="M482" i="10"/>
  <c r="C482" i="10"/>
  <c r="I482" i="10" s="1"/>
  <c r="K482" i="10"/>
  <c r="E482" i="10"/>
  <c r="BD106" i="10"/>
  <c r="R481" i="10"/>
  <c r="A484" i="10"/>
  <c r="AS483" i="10"/>
  <c r="Y483" i="10"/>
  <c r="BB483" i="10"/>
  <c r="BC483" i="10" s="1"/>
  <c r="B483" i="10"/>
  <c r="O474" i="10" l="1"/>
  <c r="P474" i="10" s="1"/>
  <c r="J475" i="10" s="1"/>
  <c r="L475" i="10" s="1"/>
  <c r="N475" i="10" s="1"/>
  <c r="AT474" i="10"/>
  <c r="AE474" i="10"/>
  <c r="AF474" i="10"/>
  <c r="Z107" i="10"/>
  <c r="AR107" i="10" s="1"/>
  <c r="A485" i="10"/>
  <c r="BB484" i="10"/>
  <c r="BC484" i="10" s="1"/>
  <c r="AS484" i="10"/>
  <c r="Y484" i="10"/>
  <c r="B484" i="10"/>
  <c r="AU473" i="10"/>
  <c r="R482" i="10"/>
  <c r="H482" i="10"/>
  <c r="D482" i="10"/>
  <c r="F482" i="10" s="1"/>
  <c r="G482" i="10" s="1"/>
  <c r="V482" i="10" s="1"/>
  <c r="K483" i="10"/>
  <c r="M483" i="10"/>
  <c r="C483" i="10"/>
  <c r="I483" i="10" s="1"/>
  <c r="E483" i="10"/>
  <c r="O475" i="10" l="1"/>
  <c r="P475" i="10" s="1"/>
  <c r="J476" i="10" s="1"/>
  <c r="L476" i="10" s="1"/>
  <c r="N476" i="10" s="1"/>
  <c r="AE475" i="10"/>
  <c r="AT475" i="10"/>
  <c r="AF475" i="10"/>
  <c r="R483" i="10"/>
  <c r="H483" i="10"/>
  <c r="D483" i="10"/>
  <c r="F483" i="10" s="1"/>
  <c r="G483" i="10" s="1"/>
  <c r="V483" i="10" s="1"/>
  <c r="AU474" i="10"/>
  <c r="A486" i="10"/>
  <c r="AS485" i="10"/>
  <c r="Y485" i="10"/>
  <c r="BB485" i="10"/>
  <c r="BC485" i="10" s="1"/>
  <c r="B485" i="10"/>
  <c r="AA107" i="10"/>
  <c r="K484" i="10"/>
  <c r="M484" i="10"/>
  <c r="C484" i="10"/>
  <c r="I484" i="10" s="1"/>
  <c r="E484" i="10"/>
  <c r="Q108" i="10"/>
  <c r="O476" i="10" l="1"/>
  <c r="P476" i="10" s="1"/>
  <c r="J477" i="10" s="1"/>
  <c r="L477" i="10" s="1"/>
  <c r="N477" i="10" s="1"/>
  <c r="AT476" i="10"/>
  <c r="AE476" i="10"/>
  <c r="AF476" i="10"/>
  <c r="M485" i="10"/>
  <c r="C485" i="10"/>
  <c r="I485" i="10" s="1"/>
  <c r="K485" i="10"/>
  <c r="E485" i="10"/>
  <c r="H484" i="10"/>
  <c r="D484" i="10"/>
  <c r="F484" i="10" s="1"/>
  <c r="G484" i="10" s="1"/>
  <c r="V484" i="10" s="1"/>
  <c r="AM108" i="10"/>
  <c r="S108" i="10"/>
  <c r="AC108" i="10"/>
  <c r="AB108" i="10"/>
  <c r="AV107" i="10" s="1"/>
  <c r="R484" i="10"/>
  <c r="AU475" i="10"/>
  <c r="AI107" i="10"/>
  <c r="AJ107" i="10"/>
  <c r="AG107" i="10"/>
  <c r="AK107" i="10"/>
  <c r="AX107" i="10" s="1"/>
  <c r="A487" i="10"/>
  <c r="AS486" i="10"/>
  <c r="Y486" i="10"/>
  <c r="BB486" i="10"/>
  <c r="BC486" i="10" s="1"/>
  <c r="B486" i="10"/>
  <c r="O477" i="10" l="1"/>
  <c r="P477" i="10" s="1"/>
  <c r="J478" i="10" s="1"/>
  <c r="L478" i="10" s="1"/>
  <c r="N478" i="10" s="1"/>
  <c r="AE477" i="10"/>
  <c r="AT477" i="10"/>
  <c r="AF477" i="10"/>
  <c r="A488" i="10"/>
  <c r="AS487" i="10"/>
  <c r="Y487" i="10"/>
  <c r="BB487" i="10"/>
  <c r="BC487" i="10" s="1"/>
  <c r="B487" i="10"/>
  <c r="T108" i="10"/>
  <c r="AQ108" i="10" s="1"/>
  <c r="AD108" i="10"/>
  <c r="U108" i="10"/>
  <c r="W108" i="10" s="1"/>
  <c r="AP108" i="10" s="1"/>
  <c r="AO107" i="10"/>
  <c r="AY107" i="10" s="1"/>
  <c r="AH107" i="10"/>
  <c r="AL107" i="10"/>
  <c r="AU476" i="10"/>
  <c r="M486" i="10"/>
  <c r="C486" i="10"/>
  <c r="I486" i="10" s="1"/>
  <c r="K486" i="10"/>
  <c r="E486" i="10"/>
  <c r="R485" i="10"/>
  <c r="BA107" i="10"/>
  <c r="H485" i="10"/>
  <c r="D485" i="10"/>
  <c r="F485" i="10" s="1"/>
  <c r="G485" i="10" s="1"/>
  <c r="V485" i="10" s="1"/>
  <c r="O478" i="10" l="1"/>
  <c r="P478" i="10" s="1"/>
  <c r="J479" i="10" s="1"/>
  <c r="L479" i="10" s="1"/>
  <c r="N479" i="10" s="1"/>
  <c r="AE478" i="10"/>
  <c r="AT478" i="10"/>
  <c r="AF478" i="10"/>
  <c r="AS488" i="10"/>
  <c r="Y488" i="10"/>
  <c r="A489" i="10"/>
  <c r="BB488" i="10"/>
  <c r="BC488" i="10" s="1"/>
  <c r="B488" i="10"/>
  <c r="X108" i="10"/>
  <c r="R486" i="10"/>
  <c r="K487" i="10"/>
  <c r="M487" i="10"/>
  <c r="C487" i="10"/>
  <c r="I487" i="10" s="1"/>
  <c r="E487" i="10"/>
  <c r="AU477" i="10"/>
  <c r="AN107" i="10"/>
  <c r="AW107" i="10" s="1"/>
  <c r="H486" i="10"/>
  <c r="D486" i="10"/>
  <c r="F486" i="10" s="1"/>
  <c r="G486" i="10" s="1"/>
  <c r="V486" i="10" s="1"/>
  <c r="O479" i="10" l="1"/>
  <c r="P479" i="10" s="1"/>
  <c r="J480" i="10" s="1"/>
  <c r="L480" i="10" s="1"/>
  <c r="N480" i="10" s="1"/>
  <c r="AE479" i="10"/>
  <c r="AT479" i="10"/>
  <c r="AF479" i="10"/>
  <c r="R487" i="10"/>
  <c r="Z108" i="10"/>
  <c r="AR108" i="10" s="1"/>
  <c r="H487" i="10"/>
  <c r="D487" i="10"/>
  <c r="F487" i="10" s="1"/>
  <c r="G487" i="10" s="1"/>
  <c r="V487" i="10" s="1"/>
  <c r="K488" i="10"/>
  <c r="C488" i="10"/>
  <c r="I488" i="10" s="1"/>
  <c r="M488" i="10"/>
  <c r="E488" i="10"/>
  <c r="AU478" i="10"/>
  <c r="BD107" i="10"/>
  <c r="AZ107" i="10"/>
  <c r="A490" i="10"/>
  <c r="AS489" i="10"/>
  <c r="Y489" i="10"/>
  <c r="BB489" i="10"/>
  <c r="BC489" i="10" s="1"/>
  <c r="B489" i="10"/>
  <c r="O480" i="10" l="1"/>
  <c r="P480" i="10" s="1"/>
  <c r="J481" i="10" s="1"/>
  <c r="L481" i="10" s="1"/>
  <c r="N481" i="10" s="1"/>
  <c r="AE480" i="10"/>
  <c r="AT480" i="10"/>
  <c r="AF480" i="10"/>
  <c r="M489" i="10"/>
  <c r="C489" i="10"/>
  <c r="I489" i="10" s="1"/>
  <c r="K489" i="10"/>
  <c r="E489" i="10"/>
  <c r="R488" i="10"/>
  <c r="AA108" i="10"/>
  <c r="H488" i="10"/>
  <c r="D488" i="10"/>
  <c r="F488" i="10" s="1"/>
  <c r="G488" i="10" s="1"/>
  <c r="V488" i="10" s="1"/>
  <c r="AU479" i="10"/>
  <c r="A491" i="10"/>
  <c r="AS490" i="10"/>
  <c r="Y490" i="10"/>
  <c r="BB490" i="10"/>
  <c r="BC490" i="10" s="1"/>
  <c r="B490" i="10"/>
  <c r="Q109" i="10"/>
  <c r="O481" i="10" l="1"/>
  <c r="P481" i="10" s="1"/>
  <c r="J482" i="10" s="1"/>
  <c r="L482" i="10" s="1"/>
  <c r="N482" i="10" s="1"/>
  <c r="AT481" i="10"/>
  <c r="AE481" i="10"/>
  <c r="AF481" i="10"/>
  <c r="AI108" i="10"/>
  <c r="AJ108" i="10"/>
  <c r="AG108" i="10"/>
  <c r="AK108" i="10"/>
  <c r="AX108" i="10" s="1"/>
  <c r="AM109" i="10"/>
  <c r="S109" i="10"/>
  <c r="AC109" i="10"/>
  <c r="AB109" i="10"/>
  <c r="AV108" i="10" s="1"/>
  <c r="M490" i="10"/>
  <c r="C490" i="10"/>
  <c r="I490" i="10" s="1"/>
  <c r="K490" i="10"/>
  <c r="E490" i="10"/>
  <c r="AU480" i="10"/>
  <c r="R489" i="10"/>
  <c r="A492" i="10"/>
  <c r="AS491" i="10"/>
  <c r="Y491" i="10"/>
  <c r="BB491" i="10"/>
  <c r="BC491" i="10" s="1"/>
  <c r="B491" i="10"/>
  <c r="H489" i="10"/>
  <c r="D489" i="10"/>
  <c r="F489" i="10" s="1"/>
  <c r="G489" i="10" s="1"/>
  <c r="V489" i="10" s="1"/>
  <c r="O482" i="10" l="1"/>
  <c r="P482" i="10" s="1"/>
  <c r="J483" i="10" s="1"/>
  <c r="L483" i="10" s="1"/>
  <c r="N483" i="10" s="1"/>
  <c r="AE482" i="10"/>
  <c r="AT482" i="10"/>
  <c r="AF482" i="10"/>
  <c r="BA108" i="10"/>
  <c r="A493" i="10"/>
  <c r="BB492" i="10"/>
  <c r="BC492" i="10" s="1"/>
  <c r="AS492" i="10"/>
  <c r="Y492" i="10"/>
  <c r="B492" i="10"/>
  <c r="AD109" i="10"/>
  <c r="T109" i="10"/>
  <c r="AQ109" i="10" s="1"/>
  <c r="U109" i="10"/>
  <c r="W109" i="10" s="1"/>
  <c r="AP109" i="10" s="1"/>
  <c r="AU481" i="10"/>
  <c r="R490" i="10"/>
  <c r="H490" i="10"/>
  <c r="D490" i="10"/>
  <c r="F490" i="10" s="1"/>
  <c r="G490" i="10" s="1"/>
  <c r="V490" i="10" s="1"/>
  <c r="K491" i="10"/>
  <c r="M491" i="10"/>
  <c r="C491" i="10"/>
  <c r="I491" i="10" s="1"/>
  <c r="E491" i="10"/>
  <c r="AO108" i="10"/>
  <c r="AY108" i="10" s="1"/>
  <c r="AH108" i="10"/>
  <c r="AL108" i="10"/>
  <c r="X109" i="10" l="1"/>
  <c r="O483" i="10"/>
  <c r="P483" i="10" s="1"/>
  <c r="J484" i="10" s="1"/>
  <c r="L484" i="10" s="1"/>
  <c r="N484" i="10" s="1"/>
  <c r="AE483" i="10"/>
  <c r="AT483" i="10"/>
  <c r="AF483" i="10"/>
  <c r="R491" i="10"/>
  <c r="H491" i="10"/>
  <c r="D491" i="10"/>
  <c r="F491" i="10" s="1"/>
  <c r="G491" i="10" s="1"/>
  <c r="V491" i="10" s="1"/>
  <c r="Z109" i="10"/>
  <c r="AR109" i="10" s="1"/>
  <c r="K492" i="10"/>
  <c r="M492" i="10"/>
  <c r="C492" i="10"/>
  <c r="I492" i="10" s="1"/>
  <c r="E492" i="10"/>
  <c r="AU482" i="10"/>
  <c r="AN108" i="10"/>
  <c r="AW108" i="10" s="1"/>
  <c r="A494" i="10"/>
  <c r="AS493" i="10"/>
  <c r="Y493" i="10"/>
  <c r="BB493" i="10"/>
  <c r="BC493" i="10" s="1"/>
  <c r="B493" i="10"/>
  <c r="O484" i="10" l="1"/>
  <c r="P484" i="10" s="1"/>
  <c r="J485" i="10" s="1"/>
  <c r="L485" i="10" s="1"/>
  <c r="N485" i="10" s="1"/>
  <c r="AE484" i="10"/>
  <c r="AT484" i="10"/>
  <c r="AF484" i="10"/>
  <c r="AA109" i="10"/>
  <c r="A495" i="10"/>
  <c r="AS494" i="10"/>
  <c r="Y494" i="10"/>
  <c r="BB494" i="10"/>
  <c r="BC494" i="10" s="1"/>
  <c r="B494" i="10"/>
  <c r="R492" i="10"/>
  <c r="Q110" i="10"/>
  <c r="H492" i="10"/>
  <c r="D492" i="10"/>
  <c r="F492" i="10" s="1"/>
  <c r="G492" i="10" s="1"/>
  <c r="V492" i="10" s="1"/>
  <c r="AU483" i="10"/>
  <c r="BD108" i="10"/>
  <c r="AZ108" i="10"/>
  <c r="M493" i="10"/>
  <c r="C493" i="10"/>
  <c r="I493" i="10" s="1"/>
  <c r="K493" i="10"/>
  <c r="E493" i="10"/>
  <c r="O485" i="10" l="1"/>
  <c r="P485" i="10" s="1"/>
  <c r="J486" i="10" s="1"/>
  <c r="L486" i="10" s="1"/>
  <c r="N486" i="10" s="1"/>
  <c r="AT485" i="10"/>
  <c r="AE485" i="10"/>
  <c r="AF485" i="10"/>
  <c r="H493" i="10"/>
  <c r="D493" i="10"/>
  <c r="F493" i="10" s="1"/>
  <c r="G493" i="10" s="1"/>
  <c r="V493" i="10" s="1"/>
  <c r="M494" i="10"/>
  <c r="C494" i="10"/>
  <c r="I494" i="10" s="1"/>
  <c r="K494" i="10"/>
  <c r="E494" i="10"/>
  <c r="AU484" i="10"/>
  <c r="AM110" i="10"/>
  <c r="S110" i="10"/>
  <c r="AC110" i="10"/>
  <c r="AB110" i="10"/>
  <c r="AV109" i="10" s="1"/>
  <c r="A496" i="10"/>
  <c r="AS495" i="10"/>
  <c r="Y495" i="10"/>
  <c r="BB495" i="10"/>
  <c r="BC495" i="10" s="1"/>
  <c r="B495" i="10"/>
  <c r="AI109" i="10"/>
  <c r="AJ109" i="10"/>
  <c r="AG109" i="10"/>
  <c r="AK109" i="10"/>
  <c r="AX109" i="10" s="1"/>
  <c r="R493" i="10"/>
  <c r="AL109" i="10" l="1"/>
  <c r="O486" i="10"/>
  <c r="P486" i="10" s="1"/>
  <c r="J487" i="10" s="1"/>
  <c r="L487" i="10" s="1"/>
  <c r="N487" i="10" s="1"/>
  <c r="AE486" i="10"/>
  <c r="AT486" i="10"/>
  <c r="AF486" i="10"/>
  <c r="BA109" i="10"/>
  <c r="T110" i="10"/>
  <c r="AQ110" i="10" s="1"/>
  <c r="AD110" i="10"/>
  <c r="U110" i="10"/>
  <c r="W110" i="10" s="1"/>
  <c r="AP110" i="10" s="1"/>
  <c r="R494" i="10"/>
  <c r="K495" i="10"/>
  <c r="M495" i="10"/>
  <c r="C495" i="10"/>
  <c r="I495" i="10" s="1"/>
  <c r="E495" i="10"/>
  <c r="AU485" i="10"/>
  <c r="H494" i="10"/>
  <c r="D494" i="10"/>
  <c r="F494" i="10" s="1"/>
  <c r="G494" i="10" s="1"/>
  <c r="V494" i="10" s="1"/>
  <c r="AO109" i="10"/>
  <c r="AY109" i="10" s="1"/>
  <c r="AH109" i="10"/>
  <c r="AN109" i="10" s="1"/>
  <c r="AW109" i="10" s="1"/>
  <c r="AS496" i="10"/>
  <c r="Y496" i="10"/>
  <c r="A497" i="10"/>
  <c r="BB496" i="10"/>
  <c r="BC496" i="10" s="1"/>
  <c r="B496" i="10"/>
  <c r="O487" i="10" l="1"/>
  <c r="P487" i="10" s="1"/>
  <c r="J488" i="10" s="1"/>
  <c r="L488" i="10" s="1"/>
  <c r="N488" i="10" s="1"/>
  <c r="AT487" i="10"/>
  <c r="AE487" i="10"/>
  <c r="AF487" i="10"/>
  <c r="BD109" i="10"/>
  <c r="AZ109" i="10"/>
  <c r="AU486" i="10"/>
  <c r="K496" i="10"/>
  <c r="C496" i="10"/>
  <c r="I496" i="10" s="1"/>
  <c r="M496" i="10"/>
  <c r="E496" i="10"/>
  <c r="R495" i="10"/>
  <c r="H495" i="10"/>
  <c r="D495" i="10"/>
  <c r="F495" i="10" s="1"/>
  <c r="G495" i="10" s="1"/>
  <c r="V495" i="10" s="1"/>
  <c r="A498" i="10"/>
  <c r="AS497" i="10"/>
  <c r="Y497" i="10"/>
  <c r="BB497" i="10"/>
  <c r="BC497" i="10" s="1"/>
  <c r="B497" i="10"/>
  <c r="X110" i="10"/>
  <c r="O488" i="10" l="1"/>
  <c r="P488" i="10" s="1"/>
  <c r="J489" i="10" s="1"/>
  <c r="L489" i="10" s="1"/>
  <c r="N489" i="10" s="1"/>
  <c r="AE488" i="10"/>
  <c r="AT488" i="10"/>
  <c r="AF488" i="10"/>
  <c r="M497" i="10"/>
  <c r="C497" i="10"/>
  <c r="I497" i="10" s="1"/>
  <c r="K497" i="10"/>
  <c r="E497" i="10"/>
  <c r="AU487" i="10"/>
  <c r="R496" i="10"/>
  <c r="Y498" i="10"/>
  <c r="A499" i="10"/>
  <c r="AS498" i="10"/>
  <c r="BB498" i="10"/>
  <c r="BC498" i="10" s="1"/>
  <c r="B498" i="10"/>
  <c r="H496" i="10"/>
  <c r="D496" i="10"/>
  <c r="F496" i="10" s="1"/>
  <c r="G496" i="10" s="1"/>
  <c r="V496" i="10" s="1"/>
  <c r="Z110" i="10"/>
  <c r="AR110" i="10" s="1"/>
  <c r="O489" i="10" l="1"/>
  <c r="P489" i="10" s="1"/>
  <c r="J490" i="10" s="1"/>
  <c r="L490" i="10" s="1"/>
  <c r="N490" i="10" s="1"/>
  <c r="AE489" i="10"/>
  <c r="AT489" i="10"/>
  <c r="AF489" i="10"/>
  <c r="C498" i="10"/>
  <c r="I498" i="10" s="1"/>
  <c r="M498" i="10"/>
  <c r="K498" i="10"/>
  <c r="E498" i="10"/>
  <c r="AS499" i="10"/>
  <c r="A500" i="10"/>
  <c r="BB499" i="10"/>
  <c r="BC499" i="10" s="1"/>
  <c r="Y499" i="10"/>
  <c r="B499" i="10"/>
  <c r="AA110" i="10"/>
  <c r="R497" i="10"/>
  <c r="AU488" i="10"/>
  <c r="Q111" i="10"/>
  <c r="H497" i="10"/>
  <c r="D497" i="10"/>
  <c r="F497" i="10" s="1"/>
  <c r="G497" i="10" s="1"/>
  <c r="V497" i="10" s="1"/>
  <c r="O490" i="10" l="1"/>
  <c r="P490" i="10" s="1"/>
  <c r="J491" i="10" s="1"/>
  <c r="L491" i="10" s="1"/>
  <c r="N491" i="10" s="1"/>
  <c r="AT490" i="10"/>
  <c r="AE490" i="10"/>
  <c r="AF490" i="10"/>
  <c r="A501" i="10"/>
  <c r="BB500" i="10"/>
  <c r="BC500" i="10" s="1"/>
  <c r="Y500" i="10"/>
  <c r="AS500" i="10"/>
  <c r="B500" i="10"/>
  <c r="H498" i="10"/>
  <c r="D498" i="10"/>
  <c r="F498" i="10" s="1"/>
  <c r="G498" i="10" s="1"/>
  <c r="V498" i="10" s="1"/>
  <c r="AU489" i="10"/>
  <c r="R498" i="10"/>
  <c r="AI110" i="10"/>
  <c r="AJ110" i="10"/>
  <c r="AG110" i="10"/>
  <c r="AK110" i="10"/>
  <c r="AX110" i="10" s="1"/>
  <c r="AM111" i="10"/>
  <c r="S111" i="10"/>
  <c r="AC111" i="10"/>
  <c r="AB111" i="10"/>
  <c r="AV110" i="10" s="1"/>
  <c r="K499" i="10"/>
  <c r="M499" i="10"/>
  <c r="C499" i="10"/>
  <c r="I499" i="10" s="1"/>
  <c r="E499" i="10"/>
  <c r="O491" i="10" l="1"/>
  <c r="P491" i="10" s="1"/>
  <c r="J492" i="10" s="1"/>
  <c r="L492" i="10" s="1"/>
  <c r="N492" i="10" s="1"/>
  <c r="AE491" i="10"/>
  <c r="AT491" i="10"/>
  <c r="AF491" i="10"/>
  <c r="C500" i="10"/>
  <c r="I500" i="10" s="1"/>
  <c r="K500" i="10"/>
  <c r="M500" i="10"/>
  <c r="E500" i="10"/>
  <c r="AU490" i="10"/>
  <c r="R499" i="10"/>
  <c r="H499" i="10"/>
  <c r="D499" i="10"/>
  <c r="F499" i="10" s="1"/>
  <c r="G499" i="10" s="1"/>
  <c r="V499" i="10" s="1"/>
  <c r="AO110" i="10"/>
  <c r="AY110" i="10" s="1"/>
  <c r="AH110" i="10"/>
  <c r="AN110" i="10" s="1"/>
  <c r="AW110" i="10" s="1"/>
  <c r="Y501" i="10"/>
  <c r="BB501" i="10"/>
  <c r="BC501" i="10" s="1"/>
  <c r="A502" i="10"/>
  <c r="AS501" i="10"/>
  <c r="B501" i="10"/>
  <c r="AL110" i="10"/>
  <c r="BA110" i="10"/>
  <c r="AD111" i="10"/>
  <c r="T111" i="10"/>
  <c r="AQ111" i="10" s="1"/>
  <c r="U111" i="10"/>
  <c r="W111" i="10" s="1"/>
  <c r="AP111" i="10" s="1"/>
  <c r="X111" i="10" l="1"/>
  <c r="O492" i="10"/>
  <c r="P492" i="10" s="1"/>
  <c r="J493" i="10" s="1"/>
  <c r="L493" i="10" s="1"/>
  <c r="N493" i="10" s="1"/>
  <c r="AT492" i="10"/>
  <c r="AE492" i="10"/>
  <c r="AF492" i="10"/>
  <c r="M501" i="10"/>
  <c r="K501" i="10"/>
  <c r="C501" i="10"/>
  <c r="I501" i="10" s="1"/>
  <c r="E501" i="10"/>
  <c r="R500" i="10"/>
  <c r="Z111" i="10"/>
  <c r="AR111" i="10" s="1"/>
  <c r="AS502" i="10"/>
  <c r="A503" i="10"/>
  <c r="Y502" i="10"/>
  <c r="BB502" i="10"/>
  <c r="BC502" i="10" s="1"/>
  <c r="B502" i="10"/>
  <c r="H500" i="10"/>
  <c r="D500" i="10"/>
  <c r="F500" i="10" s="1"/>
  <c r="G500" i="10" s="1"/>
  <c r="V500" i="10" s="1"/>
  <c r="BD110" i="10"/>
  <c r="AZ110" i="10"/>
  <c r="AU491" i="10"/>
  <c r="O493" i="10" l="1"/>
  <c r="P493" i="10" s="1"/>
  <c r="J494" i="10" s="1"/>
  <c r="L494" i="10" s="1"/>
  <c r="N494" i="10" s="1"/>
  <c r="AE493" i="10"/>
  <c r="AT493" i="10"/>
  <c r="AF493" i="10"/>
  <c r="AU492" i="10"/>
  <c r="BB503" i="10"/>
  <c r="BC503" i="10" s="1"/>
  <c r="AS503" i="10"/>
  <c r="A504" i="10"/>
  <c r="Y503" i="10"/>
  <c r="B503" i="10"/>
  <c r="R501" i="10"/>
  <c r="H501" i="10"/>
  <c r="D501" i="10"/>
  <c r="F501" i="10" s="1"/>
  <c r="G501" i="10" s="1"/>
  <c r="V501" i="10" s="1"/>
  <c r="AA111" i="10"/>
  <c r="Q112" i="10"/>
  <c r="C502" i="10"/>
  <c r="I502" i="10" s="1"/>
  <c r="M502" i="10"/>
  <c r="K502" i="10"/>
  <c r="E502" i="10"/>
  <c r="O494" i="10" l="1"/>
  <c r="P494" i="10" s="1"/>
  <c r="J495" i="10" s="1"/>
  <c r="L495" i="10" s="1"/>
  <c r="N495" i="10" s="1"/>
  <c r="AT494" i="10"/>
  <c r="AE494" i="10"/>
  <c r="AF494" i="10"/>
  <c r="Y504" i="10"/>
  <c r="A505" i="10"/>
  <c r="BB504" i="10"/>
  <c r="BC504" i="10" s="1"/>
  <c r="AS504" i="10"/>
  <c r="B504" i="10"/>
  <c r="H502" i="10"/>
  <c r="D502" i="10"/>
  <c r="F502" i="10" s="1"/>
  <c r="G502" i="10" s="1"/>
  <c r="V502" i="10" s="1"/>
  <c r="R502" i="10"/>
  <c r="C503" i="10"/>
  <c r="I503" i="10" s="1"/>
  <c r="M503" i="10"/>
  <c r="K503" i="10"/>
  <c r="E503" i="10"/>
  <c r="AU493" i="10"/>
  <c r="AM112" i="10"/>
  <c r="S112" i="10"/>
  <c r="AC112" i="10"/>
  <c r="AB112" i="10"/>
  <c r="AV111" i="10" s="1"/>
  <c r="AI111" i="10"/>
  <c r="AJ111" i="10"/>
  <c r="AG111" i="10"/>
  <c r="AK111" i="10"/>
  <c r="AX111" i="10" s="1"/>
  <c r="BA111" i="10" l="1"/>
  <c r="O495" i="10"/>
  <c r="P495" i="10" s="1"/>
  <c r="J496" i="10" s="1"/>
  <c r="L496" i="10" s="1"/>
  <c r="N496" i="10" s="1"/>
  <c r="AE495" i="10"/>
  <c r="AT495" i="10"/>
  <c r="AF495" i="10"/>
  <c r="R503" i="10"/>
  <c r="AL111" i="10"/>
  <c r="K504" i="10"/>
  <c r="C504" i="10"/>
  <c r="I504" i="10" s="1"/>
  <c r="M504" i="10"/>
  <c r="E504" i="10"/>
  <c r="T112" i="10"/>
  <c r="AQ112" i="10" s="1"/>
  <c r="AD112" i="10"/>
  <c r="U112" i="10"/>
  <c r="W112" i="10" s="1"/>
  <c r="AP112" i="10" s="1"/>
  <c r="AU494" i="10"/>
  <c r="H503" i="10"/>
  <c r="D503" i="10"/>
  <c r="F503" i="10" s="1"/>
  <c r="G503" i="10" s="1"/>
  <c r="V503" i="10" s="1"/>
  <c r="AO111" i="10"/>
  <c r="AY111" i="10" s="1"/>
  <c r="AH111" i="10"/>
  <c r="AS505" i="10"/>
  <c r="A506" i="10"/>
  <c r="BB505" i="10"/>
  <c r="BC505" i="10" s="1"/>
  <c r="Y505" i="10"/>
  <c r="B505" i="10"/>
  <c r="O496" i="10" l="1"/>
  <c r="P496" i="10" s="1"/>
  <c r="J497" i="10" s="1"/>
  <c r="L497" i="10" s="1"/>
  <c r="N497" i="10" s="1"/>
  <c r="AT496" i="10"/>
  <c r="AE496" i="10"/>
  <c r="AF496" i="10"/>
  <c r="Y506" i="10"/>
  <c r="A507" i="10"/>
  <c r="BB506" i="10"/>
  <c r="BC506" i="10" s="1"/>
  <c r="AS506" i="10"/>
  <c r="B506" i="10"/>
  <c r="AN111" i="10"/>
  <c r="AW111" i="10" s="1"/>
  <c r="AU495" i="10"/>
  <c r="X112" i="10"/>
  <c r="K505" i="10"/>
  <c r="M505" i="10"/>
  <c r="C505" i="10"/>
  <c r="I505" i="10" s="1"/>
  <c r="E505" i="10"/>
  <c r="R504" i="10"/>
  <c r="H504" i="10"/>
  <c r="D504" i="10"/>
  <c r="F504" i="10" s="1"/>
  <c r="G504" i="10" s="1"/>
  <c r="V504" i="10" s="1"/>
  <c r="O497" i="10" l="1"/>
  <c r="P497" i="10" s="1"/>
  <c r="J498" i="10" s="1"/>
  <c r="L498" i="10" s="1"/>
  <c r="N498" i="10" s="1"/>
  <c r="AE497" i="10"/>
  <c r="AT497" i="10"/>
  <c r="AF497" i="10"/>
  <c r="R505" i="10"/>
  <c r="BD111" i="10"/>
  <c r="AZ111" i="10"/>
  <c r="H505" i="10"/>
  <c r="D505" i="10"/>
  <c r="F505" i="10" s="1"/>
  <c r="G505" i="10" s="1"/>
  <c r="V505" i="10" s="1"/>
  <c r="AU496" i="10"/>
  <c r="C506" i="10"/>
  <c r="I506" i="10" s="1"/>
  <c r="M506" i="10"/>
  <c r="K506" i="10"/>
  <c r="E506" i="10"/>
  <c r="Z112" i="10"/>
  <c r="AR112" i="10" s="1"/>
  <c r="AS507" i="10"/>
  <c r="BB507" i="10"/>
  <c r="BC507" i="10" s="1"/>
  <c r="Y507" i="10"/>
  <c r="A508" i="10"/>
  <c r="B507" i="10"/>
  <c r="O498" i="10" l="1"/>
  <c r="P498" i="10" s="1"/>
  <c r="J499" i="10" s="1"/>
  <c r="L499" i="10" s="1"/>
  <c r="N499" i="10" s="1"/>
  <c r="AE498" i="10"/>
  <c r="AT498" i="10"/>
  <c r="AF498" i="10"/>
  <c r="H506" i="10"/>
  <c r="D506" i="10"/>
  <c r="F506" i="10" s="1"/>
  <c r="G506" i="10" s="1"/>
  <c r="V506" i="10" s="1"/>
  <c r="AU497" i="10"/>
  <c r="K507" i="10"/>
  <c r="M507" i="10"/>
  <c r="C507" i="10"/>
  <c r="I507" i="10" s="1"/>
  <c r="E507" i="10"/>
  <c r="AA112" i="10"/>
  <c r="A509" i="10"/>
  <c r="BB508" i="10"/>
  <c r="BC508" i="10" s="1"/>
  <c r="Y508" i="10"/>
  <c r="AS508" i="10"/>
  <c r="B508" i="10"/>
  <c r="Q113" i="10"/>
  <c r="R506" i="10"/>
  <c r="O499" i="10" l="1"/>
  <c r="P499" i="10" s="1"/>
  <c r="J500" i="10" s="1"/>
  <c r="L500" i="10" s="1"/>
  <c r="N500" i="10" s="1"/>
  <c r="AE499" i="10"/>
  <c r="AT499" i="10"/>
  <c r="AF499" i="10"/>
  <c r="Y509" i="10"/>
  <c r="BB509" i="10"/>
  <c r="BC509" i="10" s="1"/>
  <c r="AS509" i="10"/>
  <c r="A510" i="10"/>
  <c r="B509" i="10"/>
  <c r="AI112" i="10"/>
  <c r="AJ112" i="10"/>
  <c r="AG112" i="10"/>
  <c r="AK112" i="10"/>
  <c r="AX112" i="10" s="1"/>
  <c r="AU498" i="10"/>
  <c r="R507" i="10"/>
  <c r="AM113" i="10"/>
  <c r="S113" i="10"/>
  <c r="AC113" i="10"/>
  <c r="AB113" i="10"/>
  <c r="AV112" i="10" s="1"/>
  <c r="H507" i="10"/>
  <c r="D507" i="10"/>
  <c r="F507" i="10" s="1"/>
  <c r="G507" i="10" s="1"/>
  <c r="V507" i="10" s="1"/>
  <c r="C508" i="10"/>
  <c r="I508" i="10" s="1"/>
  <c r="M508" i="10"/>
  <c r="K508" i="10"/>
  <c r="E508" i="10"/>
  <c r="O500" i="10" l="1"/>
  <c r="P500" i="10" s="1"/>
  <c r="J501" i="10" s="1"/>
  <c r="L501" i="10" s="1"/>
  <c r="N501" i="10" s="1"/>
  <c r="AT500" i="10"/>
  <c r="AE500" i="10"/>
  <c r="AF500" i="10"/>
  <c r="H508" i="10"/>
  <c r="D508" i="10"/>
  <c r="F508" i="10" s="1"/>
  <c r="G508" i="10" s="1"/>
  <c r="V508" i="10" s="1"/>
  <c r="M509" i="10"/>
  <c r="K509" i="10"/>
  <c r="C509" i="10"/>
  <c r="I509" i="10" s="1"/>
  <c r="E509" i="10"/>
  <c r="AS510" i="10"/>
  <c r="A511" i="10"/>
  <c r="Y510" i="10"/>
  <c r="BB510" i="10"/>
  <c r="BC510" i="10" s="1"/>
  <c r="B510" i="10"/>
  <c r="AU499" i="10"/>
  <c r="BA112" i="10"/>
  <c r="R508" i="10"/>
  <c r="AD113" i="10"/>
  <c r="T113" i="10"/>
  <c r="AQ113" i="10" s="1"/>
  <c r="U113" i="10"/>
  <c r="W113" i="10" s="1"/>
  <c r="AP113" i="10" s="1"/>
  <c r="AO112" i="10"/>
  <c r="AY112" i="10" s="1"/>
  <c r="AH112" i="10"/>
  <c r="AL112" i="10"/>
  <c r="O501" i="10" l="1"/>
  <c r="P501" i="10" s="1"/>
  <c r="J502" i="10" s="1"/>
  <c r="L502" i="10" s="1"/>
  <c r="N502" i="10" s="1"/>
  <c r="AT501" i="10"/>
  <c r="AE501" i="10"/>
  <c r="AF501" i="10"/>
  <c r="H509" i="10"/>
  <c r="D509" i="10"/>
  <c r="F509" i="10" s="1"/>
  <c r="G509" i="10" s="1"/>
  <c r="V509" i="10" s="1"/>
  <c r="M510" i="10"/>
  <c r="K510" i="10"/>
  <c r="C510" i="10"/>
  <c r="I510" i="10" s="1"/>
  <c r="E510" i="10"/>
  <c r="X113" i="10"/>
  <c r="R509" i="10"/>
  <c r="AU500" i="10"/>
  <c r="AN112" i="10"/>
  <c r="AW112" i="10" s="1"/>
  <c r="BB511" i="10"/>
  <c r="BC511" i="10" s="1"/>
  <c r="A512" i="10"/>
  <c r="Y511" i="10"/>
  <c r="AS511" i="10"/>
  <c r="B511" i="10"/>
  <c r="O502" i="10" l="1"/>
  <c r="P502" i="10" s="1"/>
  <c r="J503" i="10" s="1"/>
  <c r="L503" i="10" s="1"/>
  <c r="N503" i="10" s="1"/>
  <c r="AT502" i="10"/>
  <c r="AE502" i="10"/>
  <c r="AF502" i="10"/>
  <c r="BD112" i="10"/>
  <c r="AZ112" i="10"/>
  <c r="C511" i="10"/>
  <c r="I511" i="10" s="1"/>
  <c r="M511" i="10"/>
  <c r="K511" i="10"/>
  <c r="E511" i="10"/>
  <c r="AU501" i="10"/>
  <c r="Z113" i="10"/>
  <c r="AR113" i="10" s="1"/>
  <c r="R510" i="10"/>
  <c r="H510" i="10"/>
  <c r="D510" i="10"/>
  <c r="F510" i="10" s="1"/>
  <c r="G510" i="10" s="1"/>
  <c r="V510" i="10" s="1"/>
  <c r="BB512" i="10"/>
  <c r="BC512" i="10" s="1"/>
  <c r="A513" i="10"/>
  <c r="Y512" i="10"/>
  <c r="AS512" i="10"/>
  <c r="B512" i="10"/>
  <c r="O503" i="10" l="1"/>
  <c r="P503" i="10" s="1"/>
  <c r="J504" i="10" s="1"/>
  <c r="L504" i="10" s="1"/>
  <c r="N504" i="10" s="1"/>
  <c r="AT503" i="10"/>
  <c r="AE503" i="10"/>
  <c r="AF503" i="10"/>
  <c r="C512" i="10"/>
  <c r="I512" i="10" s="1"/>
  <c r="K512" i="10"/>
  <c r="M512" i="10"/>
  <c r="E512" i="10"/>
  <c r="R511" i="10"/>
  <c r="AU502" i="10"/>
  <c r="BB513" i="10"/>
  <c r="BC513" i="10" s="1"/>
  <c r="A514" i="10"/>
  <c r="Y513" i="10"/>
  <c r="AS513" i="10"/>
  <c r="B513" i="10"/>
  <c r="AA113" i="10"/>
  <c r="Q114" i="10"/>
  <c r="H511" i="10"/>
  <c r="D511" i="10"/>
  <c r="F511" i="10" s="1"/>
  <c r="G511" i="10" s="1"/>
  <c r="V511" i="10" s="1"/>
  <c r="O504" i="10" l="1"/>
  <c r="P504" i="10" s="1"/>
  <c r="J505" i="10" s="1"/>
  <c r="L505" i="10" s="1"/>
  <c r="N505" i="10" s="1"/>
  <c r="AT504" i="10"/>
  <c r="AE504" i="10"/>
  <c r="AF504" i="10"/>
  <c r="H512" i="10"/>
  <c r="D512" i="10"/>
  <c r="F512" i="10" s="1"/>
  <c r="G512" i="10" s="1"/>
  <c r="V512" i="10" s="1"/>
  <c r="K513" i="10"/>
  <c r="M513" i="10"/>
  <c r="C513" i="10"/>
  <c r="I513" i="10" s="1"/>
  <c r="E513" i="10"/>
  <c r="AB114" i="10"/>
  <c r="AV113" i="10" s="1"/>
  <c r="S114" i="10"/>
  <c r="AM114" i="10"/>
  <c r="AC114" i="10"/>
  <c r="AU503" i="10"/>
  <c r="BB514" i="10"/>
  <c r="BC514" i="10" s="1"/>
  <c r="A515" i="10"/>
  <c r="Y514" i="10"/>
  <c r="AS514" i="10"/>
  <c r="B514" i="10"/>
  <c r="R512" i="10"/>
  <c r="AI113" i="10"/>
  <c r="AJ113" i="10"/>
  <c r="AG113" i="10"/>
  <c r="AK113" i="10"/>
  <c r="AX113" i="10" s="1"/>
  <c r="AL113" i="10" l="1"/>
  <c r="O505" i="10"/>
  <c r="P505" i="10" s="1"/>
  <c r="J506" i="10" s="1"/>
  <c r="L506" i="10" s="1"/>
  <c r="N506" i="10" s="1"/>
  <c r="AE505" i="10"/>
  <c r="AT505" i="10"/>
  <c r="AF505" i="10"/>
  <c r="BB515" i="10"/>
  <c r="BC515" i="10" s="1"/>
  <c r="A516" i="10"/>
  <c r="Y515" i="10"/>
  <c r="AS515" i="10"/>
  <c r="B515" i="10"/>
  <c r="R513" i="10"/>
  <c r="H513" i="10"/>
  <c r="D513" i="10"/>
  <c r="F513" i="10" s="1"/>
  <c r="G513" i="10" s="1"/>
  <c r="V513" i="10" s="1"/>
  <c r="AU504" i="10"/>
  <c r="C514" i="10"/>
  <c r="I514" i="10" s="1"/>
  <c r="M514" i="10"/>
  <c r="K514" i="10"/>
  <c r="E514" i="10"/>
  <c r="BA113" i="10"/>
  <c r="AO113" i="10"/>
  <c r="AY113" i="10" s="1"/>
  <c r="AH113" i="10"/>
  <c r="AN113" i="10" s="1"/>
  <c r="AW113" i="10" s="1"/>
  <c r="T114" i="10"/>
  <c r="AQ114" i="10" s="1"/>
  <c r="AD114" i="10"/>
  <c r="U114" i="10"/>
  <c r="W114" i="10" s="1"/>
  <c r="AP114" i="10" s="1"/>
  <c r="O506" i="10" l="1"/>
  <c r="P506" i="10" s="1"/>
  <c r="J507" i="10" s="1"/>
  <c r="L507" i="10" s="1"/>
  <c r="N507" i="10" s="1"/>
  <c r="AT506" i="10"/>
  <c r="AE506" i="10"/>
  <c r="AF506" i="10"/>
  <c r="X114" i="10"/>
  <c r="H514" i="10"/>
  <c r="D514" i="10"/>
  <c r="F514" i="10" s="1"/>
  <c r="G514" i="10" s="1"/>
  <c r="V514" i="10" s="1"/>
  <c r="BD113" i="10"/>
  <c r="AZ113" i="10"/>
  <c r="K515" i="10"/>
  <c r="C515" i="10"/>
  <c r="I515" i="10" s="1"/>
  <c r="M515" i="10"/>
  <c r="E515" i="10"/>
  <c r="AU505" i="10"/>
  <c r="R514" i="10"/>
  <c r="BB516" i="10"/>
  <c r="BC516" i="10" s="1"/>
  <c r="A517" i="10"/>
  <c r="Y516" i="10"/>
  <c r="AS516" i="10"/>
  <c r="B516" i="10"/>
  <c r="O507" i="10" l="1"/>
  <c r="P507" i="10" s="1"/>
  <c r="J508" i="10" s="1"/>
  <c r="L508" i="10" s="1"/>
  <c r="N508" i="10" s="1"/>
  <c r="AT507" i="10"/>
  <c r="AE507" i="10"/>
  <c r="AF507" i="10"/>
  <c r="BB517" i="10"/>
  <c r="BC517" i="10" s="1"/>
  <c r="A518" i="10"/>
  <c r="Y517" i="10"/>
  <c r="AS517" i="10"/>
  <c r="B517" i="10"/>
  <c r="AU506" i="10"/>
  <c r="R515" i="10"/>
  <c r="Z114" i="10"/>
  <c r="AR114" i="10" s="1"/>
  <c r="C516" i="10"/>
  <c r="I516" i="10" s="1"/>
  <c r="K516" i="10"/>
  <c r="M516" i="10"/>
  <c r="E516" i="10"/>
  <c r="H515" i="10"/>
  <c r="D515" i="10"/>
  <c r="F515" i="10" s="1"/>
  <c r="G515" i="10" s="1"/>
  <c r="V515" i="10" s="1"/>
  <c r="O508" i="10" l="1"/>
  <c r="P508" i="10" s="1"/>
  <c r="J509" i="10" s="1"/>
  <c r="L509" i="10" s="1"/>
  <c r="N509" i="10" s="1"/>
  <c r="AT508" i="10"/>
  <c r="AE508" i="10"/>
  <c r="AF508" i="10"/>
  <c r="R516" i="10"/>
  <c r="K517" i="10"/>
  <c r="M517" i="10"/>
  <c r="C517" i="10"/>
  <c r="I517" i="10" s="1"/>
  <c r="E517" i="10"/>
  <c r="AU507" i="10"/>
  <c r="H516" i="10"/>
  <c r="D516" i="10"/>
  <c r="F516" i="10" s="1"/>
  <c r="G516" i="10" s="1"/>
  <c r="V516" i="10" s="1"/>
  <c r="BB518" i="10"/>
  <c r="BC518" i="10" s="1"/>
  <c r="A519" i="10"/>
  <c r="Y518" i="10"/>
  <c r="AS518" i="10"/>
  <c r="B518" i="10"/>
  <c r="Q115" i="10"/>
  <c r="AA114" i="10"/>
  <c r="O509" i="10" l="1"/>
  <c r="P509" i="10" s="1"/>
  <c r="J510" i="10" s="1"/>
  <c r="L510" i="10" s="1"/>
  <c r="N510" i="10" s="1"/>
  <c r="AE509" i="10"/>
  <c r="AT509" i="10"/>
  <c r="AF509" i="10"/>
  <c r="AI114" i="10"/>
  <c r="AJ114" i="10"/>
  <c r="AG114" i="10"/>
  <c r="AK114" i="10"/>
  <c r="AX114" i="10" s="1"/>
  <c r="R517" i="10"/>
  <c r="H517" i="10"/>
  <c r="D517" i="10"/>
  <c r="F517" i="10" s="1"/>
  <c r="G517" i="10" s="1"/>
  <c r="V517" i="10" s="1"/>
  <c r="AU508" i="10"/>
  <c r="S115" i="10"/>
  <c r="AM115" i="10"/>
  <c r="AC115" i="10"/>
  <c r="AB115" i="10"/>
  <c r="AV114" i="10" s="1"/>
  <c r="C518" i="10"/>
  <c r="I518" i="10" s="1"/>
  <c r="M518" i="10"/>
  <c r="K518" i="10"/>
  <c r="E518" i="10"/>
  <c r="BB519" i="10"/>
  <c r="BC519" i="10" s="1"/>
  <c r="A520" i="10"/>
  <c r="Y519" i="10"/>
  <c r="AS519" i="10"/>
  <c r="B519" i="10"/>
  <c r="O510" i="10" l="1"/>
  <c r="P510" i="10" s="1"/>
  <c r="J511" i="10" s="1"/>
  <c r="L511" i="10" s="1"/>
  <c r="N511" i="10" s="1"/>
  <c r="AT510" i="10"/>
  <c r="AE510" i="10"/>
  <c r="AF510" i="10"/>
  <c r="R518" i="10"/>
  <c r="BB520" i="10"/>
  <c r="BC520" i="10" s="1"/>
  <c r="A521" i="10"/>
  <c r="Y520" i="10"/>
  <c r="AS520" i="10"/>
  <c r="B520" i="10"/>
  <c r="H518" i="10"/>
  <c r="D518" i="10"/>
  <c r="F518" i="10" s="1"/>
  <c r="G518" i="10" s="1"/>
  <c r="V518" i="10" s="1"/>
  <c r="AH114" i="10"/>
  <c r="AO114" i="10"/>
  <c r="AY114" i="10" s="1"/>
  <c r="BA114" i="10"/>
  <c r="K519" i="10"/>
  <c r="C519" i="10"/>
  <c r="I519" i="10" s="1"/>
  <c r="M519" i="10"/>
  <c r="E519" i="10"/>
  <c r="T115" i="10"/>
  <c r="AQ115" i="10" s="1"/>
  <c r="AD115" i="10"/>
  <c r="U115" i="10"/>
  <c r="W115" i="10" s="1"/>
  <c r="AP115" i="10" s="1"/>
  <c r="AU509" i="10"/>
  <c r="AL114" i="10"/>
  <c r="O511" i="10" l="1"/>
  <c r="P511" i="10" s="1"/>
  <c r="J512" i="10" s="1"/>
  <c r="L512" i="10" s="1"/>
  <c r="N512" i="10" s="1"/>
  <c r="AT511" i="10"/>
  <c r="AE511" i="10"/>
  <c r="AF511" i="10"/>
  <c r="BB521" i="10"/>
  <c r="BC521" i="10" s="1"/>
  <c r="A522" i="10"/>
  <c r="Y521" i="10"/>
  <c r="AS521" i="10"/>
  <c r="B521" i="10"/>
  <c r="X115" i="10"/>
  <c r="AN114" i="10"/>
  <c r="AW114" i="10" s="1"/>
  <c r="AU510" i="10"/>
  <c r="R519" i="10"/>
  <c r="C520" i="10"/>
  <c r="I520" i="10" s="1"/>
  <c r="K520" i="10"/>
  <c r="M520" i="10"/>
  <c r="E520" i="10"/>
  <c r="H519" i="10"/>
  <c r="D519" i="10"/>
  <c r="F519" i="10" s="1"/>
  <c r="G519" i="10" s="1"/>
  <c r="V519" i="10" s="1"/>
  <c r="O512" i="10" l="1"/>
  <c r="P512" i="10" s="1"/>
  <c r="J513" i="10" s="1"/>
  <c r="L513" i="10" s="1"/>
  <c r="N513" i="10" s="1"/>
  <c r="AT512" i="10"/>
  <c r="AE512" i="10"/>
  <c r="AF512" i="10"/>
  <c r="H520" i="10"/>
  <c r="D520" i="10"/>
  <c r="F520" i="10" s="1"/>
  <c r="G520" i="10" s="1"/>
  <c r="V520" i="10" s="1"/>
  <c r="AZ114" i="10"/>
  <c r="BD114" i="10"/>
  <c r="Z115" i="10"/>
  <c r="AR115" i="10" s="1"/>
  <c r="AU511" i="10"/>
  <c r="K521" i="10"/>
  <c r="M521" i="10"/>
  <c r="C521" i="10"/>
  <c r="I521" i="10" s="1"/>
  <c r="E521" i="10"/>
  <c r="R520" i="10"/>
  <c r="BB522" i="10"/>
  <c r="BC522" i="10" s="1"/>
  <c r="A523" i="10"/>
  <c r="Y522" i="10"/>
  <c r="AS522" i="10"/>
  <c r="B522" i="10"/>
  <c r="O513" i="10" l="1"/>
  <c r="P513" i="10" s="1"/>
  <c r="J514" i="10" s="1"/>
  <c r="L514" i="10" s="1"/>
  <c r="N514" i="10" s="1"/>
  <c r="AT513" i="10"/>
  <c r="AE513" i="10"/>
  <c r="AF513" i="10"/>
  <c r="R521" i="10"/>
  <c r="AA115" i="10"/>
  <c r="BB523" i="10"/>
  <c r="BC523" i="10" s="1"/>
  <c r="A524" i="10"/>
  <c r="Y523" i="10"/>
  <c r="AS523" i="10"/>
  <c r="B523" i="10"/>
  <c r="H521" i="10"/>
  <c r="D521" i="10"/>
  <c r="F521" i="10" s="1"/>
  <c r="G521" i="10" s="1"/>
  <c r="V521" i="10" s="1"/>
  <c r="Q116" i="10"/>
  <c r="AU512" i="10"/>
  <c r="C522" i="10"/>
  <c r="I522" i="10" s="1"/>
  <c r="M522" i="10"/>
  <c r="K522" i="10"/>
  <c r="E522" i="10"/>
  <c r="O514" i="10" l="1"/>
  <c r="P514" i="10" s="1"/>
  <c r="J515" i="10" s="1"/>
  <c r="L515" i="10" s="1"/>
  <c r="N515" i="10" s="1"/>
  <c r="AE514" i="10"/>
  <c r="AT514" i="10"/>
  <c r="AF514" i="10"/>
  <c r="BB524" i="10"/>
  <c r="BC524" i="10" s="1"/>
  <c r="A525" i="10"/>
  <c r="Y524" i="10"/>
  <c r="AS524" i="10"/>
  <c r="B524" i="10"/>
  <c r="R522" i="10"/>
  <c r="H522" i="10"/>
  <c r="D522" i="10"/>
  <c r="F522" i="10" s="1"/>
  <c r="G522" i="10" s="1"/>
  <c r="V522" i="10" s="1"/>
  <c r="K523" i="10"/>
  <c r="C523" i="10"/>
  <c r="I523" i="10" s="1"/>
  <c r="M523" i="10"/>
  <c r="E523" i="10"/>
  <c r="AI115" i="10"/>
  <c r="AJ115" i="10"/>
  <c r="AG115" i="10"/>
  <c r="AK115" i="10"/>
  <c r="AX115" i="10" s="1"/>
  <c r="S116" i="10"/>
  <c r="AM116" i="10"/>
  <c r="AC116" i="10"/>
  <c r="AB116" i="10"/>
  <c r="AV115" i="10" s="1"/>
  <c r="AU513" i="10"/>
  <c r="O515" i="10" l="1"/>
  <c r="P515" i="10" s="1"/>
  <c r="J516" i="10" s="1"/>
  <c r="L516" i="10" s="1"/>
  <c r="N516" i="10" s="1"/>
  <c r="AE515" i="10"/>
  <c r="AT515" i="10"/>
  <c r="AF515" i="10"/>
  <c r="H523" i="10"/>
  <c r="D523" i="10"/>
  <c r="F523" i="10" s="1"/>
  <c r="G523" i="10" s="1"/>
  <c r="V523" i="10" s="1"/>
  <c r="C524" i="10"/>
  <c r="I524" i="10" s="1"/>
  <c r="K524" i="10"/>
  <c r="M524" i="10"/>
  <c r="E524" i="10"/>
  <c r="AU514" i="10"/>
  <c r="AO115" i="10"/>
  <c r="AY115" i="10" s="1"/>
  <c r="AH115" i="10"/>
  <c r="AL115" i="10"/>
  <c r="BB525" i="10"/>
  <c r="BC525" i="10" s="1"/>
  <c r="A526" i="10"/>
  <c r="Y525" i="10"/>
  <c r="AS525" i="10"/>
  <c r="B525" i="10"/>
  <c r="BA115" i="10"/>
  <c r="R523" i="10"/>
  <c r="AD116" i="10"/>
  <c r="T116" i="10"/>
  <c r="AQ116" i="10" s="1"/>
  <c r="U116" i="10"/>
  <c r="W116" i="10" s="1"/>
  <c r="AP116" i="10" s="1"/>
  <c r="O516" i="10" l="1"/>
  <c r="P516" i="10" s="1"/>
  <c r="J517" i="10" s="1"/>
  <c r="L517" i="10" s="1"/>
  <c r="N517" i="10" s="1"/>
  <c r="AE516" i="10"/>
  <c r="AT516" i="10"/>
  <c r="AF516" i="10"/>
  <c r="R524" i="10"/>
  <c r="AN115" i="10"/>
  <c r="AW115" i="10" s="1"/>
  <c r="H524" i="10"/>
  <c r="D524" i="10"/>
  <c r="F524" i="10" s="1"/>
  <c r="G524" i="10" s="1"/>
  <c r="V524" i="10" s="1"/>
  <c r="AU515" i="10"/>
  <c r="X116" i="10"/>
  <c r="K525" i="10"/>
  <c r="M525" i="10"/>
  <c r="C525" i="10"/>
  <c r="I525" i="10" s="1"/>
  <c r="E525" i="10"/>
  <c r="BB526" i="10"/>
  <c r="BC526" i="10" s="1"/>
  <c r="A527" i="10"/>
  <c r="Y526" i="10"/>
  <c r="AS526" i="10"/>
  <c r="B526" i="10"/>
  <c r="O517" i="10" l="1"/>
  <c r="P517" i="10" s="1"/>
  <c r="J518" i="10" s="1"/>
  <c r="L518" i="10" s="1"/>
  <c r="N518" i="10" s="1"/>
  <c r="AE517" i="10"/>
  <c r="AT517" i="10"/>
  <c r="AF517" i="10"/>
  <c r="C526" i="10"/>
  <c r="I526" i="10" s="1"/>
  <c r="M526" i="10"/>
  <c r="K526" i="10"/>
  <c r="E526" i="10"/>
  <c r="R525" i="10"/>
  <c r="H525" i="10"/>
  <c r="D525" i="10"/>
  <c r="F525" i="10" s="1"/>
  <c r="G525" i="10" s="1"/>
  <c r="V525" i="10" s="1"/>
  <c r="AZ115" i="10"/>
  <c r="BD115" i="10"/>
  <c r="AU516" i="10"/>
  <c r="BB527" i="10"/>
  <c r="BC527" i="10" s="1"/>
  <c r="A528" i="10"/>
  <c r="Y527" i="10"/>
  <c r="AS527" i="10"/>
  <c r="B527" i="10"/>
  <c r="Z116" i="10"/>
  <c r="AR116" i="10" s="1"/>
  <c r="Q117" i="10" l="1"/>
  <c r="AM117" i="10" s="1"/>
  <c r="AA116" i="10"/>
  <c r="AI116" i="10" s="1"/>
  <c r="O518" i="10"/>
  <c r="P518" i="10" s="1"/>
  <c r="J519" i="10" s="1"/>
  <c r="L519" i="10" s="1"/>
  <c r="N519" i="10" s="1"/>
  <c r="AE518" i="10"/>
  <c r="AT518" i="10"/>
  <c r="AF518" i="10"/>
  <c r="K527" i="10"/>
  <c r="C527" i="10"/>
  <c r="I527" i="10" s="1"/>
  <c r="M527" i="10"/>
  <c r="E527" i="10"/>
  <c r="R526" i="10"/>
  <c r="AU517" i="10"/>
  <c r="BB528" i="10"/>
  <c r="BC528" i="10" s="1"/>
  <c r="A529" i="10"/>
  <c r="Y528" i="10"/>
  <c r="AS528" i="10"/>
  <c r="B528" i="10"/>
  <c r="H526" i="10"/>
  <c r="D526" i="10"/>
  <c r="F526" i="10" s="1"/>
  <c r="G526" i="10" s="1"/>
  <c r="V526" i="10" s="1"/>
  <c r="S117" i="10" l="1"/>
  <c r="AD117" i="10" s="1"/>
  <c r="AB117" i="10"/>
  <c r="AV116" i="10" s="1"/>
  <c r="AK116" i="10"/>
  <c r="AX116" i="10" s="1"/>
  <c r="AG116" i="10"/>
  <c r="AO116" i="10" s="1"/>
  <c r="AY116" i="10" s="1"/>
  <c r="AJ116" i="10"/>
  <c r="AL116" i="10" s="1"/>
  <c r="AC117" i="10"/>
  <c r="BA116" i="10" s="1"/>
  <c r="O519" i="10"/>
  <c r="P519" i="10" s="1"/>
  <c r="J520" i="10" s="1"/>
  <c r="L520" i="10" s="1"/>
  <c r="N520" i="10" s="1"/>
  <c r="AE519" i="10"/>
  <c r="AT519" i="10"/>
  <c r="AF519" i="10"/>
  <c r="C528" i="10"/>
  <c r="I528" i="10" s="1"/>
  <c r="K528" i="10"/>
  <c r="M528" i="10"/>
  <c r="E528" i="10"/>
  <c r="T117" i="10"/>
  <c r="AQ117" i="10" s="1"/>
  <c r="BB529" i="10"/>
  <c r="BC529" i="10" s="1"/>
  <c r="A530" i="10"/>
  <c r="Y529" i="10"/>
  <c r="AS529" i="10"/>
  <c r="B529" i="10"/>
  <c r="AU518" i="10"/>
  <c r="H527" i="10"/>
  <c r="D527" i="10"/>
  <c r="F527" i="10" s="1"/>
  <c r="G527" i="10" s="1"/>
  <c r="V527" i="10" s="1"/>
  <c r="R527" i="10"/>
  <c r="U117" i="10" l="1"/>
  <c r="W117" i="10" s="1"/>
  <c r="AP117" i="10" s="1"/>
  <c r="AH116" i="10"/>
  <c r="AN116" i="10"/>
  <c r="AW116" i="10" s="1"/>
  <c r="AZ116" i="10" s="1"/>
  <c r="X117" i="10"/>
  <c r="Z117" i="10" s="1"/>
  <c r="AR117" i="10" s="1"/>
  <c r="O520" i="10"/>
  <c r="P520" i="10" s="1"/>
  <c r="J521" i="10" s="1"/>
  <c r="L521" i="10" s="1"/>
  <c r="N521" i="10" s="1"/>
  <c r="AE520" i="10"/>
  <c r="AT520" i="10"/>
  <c r="AF520" i="10"/>
  <c r="BB530" i="10"/>
  <c r="BC530" i="10" s="1"/>
  <c r="A531" i="10"/>
  <c r="Y530" i="10"/>
  <c r="AS530" i="10"/>
  <c r="B530" i="10"/>
  <c r="R528" i="10"/>
  <c r="AU519" i="10"/>
  <c r="H528" i="10"/>
  <c r="D528" i="10"/>
  <c r="F528" i="10" s="1"/>
  <c r="G528" i="10" s="1"/>
  <c r="V528" i="10" s="1"/>
  <c r="K529" i="10"/>
  <c r="M529" i="10"/>
  <c r="C529" i="10"/>
  <c r="I529" i="10" s="1"/>
  <c r="E529" i="10"/>
  <c r="BD116" i="10" l="1"/>
  <c r="O521" i="10"/>
  <c r="P521" i="10" s="1"/>
  <c r="J522" i="10" s="1"/>
  <c r="L522" i="10" s="1"/>
  <c r="N522" i="10" s="1"/>
  <c r="AT521" i="10"/>
  <c r="AE521" i="10"/>
  <c r="AF521" i="10"/>
  <c r="BB531" i="10"/>
  <c r="BC531" i="10" s="1"/>
  <c r="A532" i="10"/>
  <c r="Y531" i="10"/>
  <c r="AS531" i="10"/>
  <c r="B531" i="10"/>
  <c r="AU520" i="10"/>
  <c r="R529" i="10"/>
  <c r="Q118" i="10"/>
  <c r="H529" i="10"/>
  <c r="D529" i="10"/>
  <c r="F529" i="10" s="1"/>
  <c r="G529" i="10" s="1"/>
  <c r="V529" i="10" s="1"/>
  <c r="C530" i="10"/>
  <c r="I530" i="10" s="1"/>
  <c r="M530" i="10"/>
  <c r="K530" i="10"/>
  <c r="E530" i="10"/>
  <c r="AA117" i="10"/>
  <c r="O522" i="10" l="1"/>
  <c r="P522" i="10" s="1"/>
  <c r="J523" i="10" s="1"/>
  <c r="L523" i="10" s="1"/>
  <c r="N523" i="10" s="1"/>
  <c r="AT522" i="10"/>
  <c r="AE522" i="10"/>
  <c r="AF522" i="10"/>
  <c r="R530" i="10"/>
  <c r="AU521" i="10"/>
  <c r="BB532" i="10"/>
  <c r="BC532" i="10" s="1"/>
  <c r="A533" i="10"/>
  <c r="Y532" i="10"/>
  <c r="AS532" i="10"/>
  <c r="B532" i="10"/>
  <c r="H530" i="10"/>
  <c r="D530" i="10"/>
  <c r="F530" i="10" s="1"/>
  <c r="G530" i="10" s="1"/>
  <c r="V530" i="10" s="1"/>
  <c r="S118" i="10"/>
  <c r="AM118" i="10"/>
  <c r="AC118" i="10"/>
  <c r="AB118" i="10"/>
  <c r="AV117" i="10" s="1"/>
  <c r="AI117" i="10"/>
  <c r="AJ117" i="10"/>
  <c r="AG117" i="10"/>
  <c r="AK117" i="10"/>
  <c r="AX117" i="10" s="1"/>
  <c r="K531" i="10"/>
  <c r="C531" i="10"/>
  <c r="I531" i="10" s="1"/>
  <c r="M531" i="10"/>
  <c r="E531" i="10"/>
  <c r="O523" i="10" l="1"/>
  <c r="P523" i="10" s="1"/>
  <c r="J524" i="10" s="1"/>
  <c r="L524" i="10" s="1"/>
  <c r="N524" i="10" s="1"/>
  <c r="AT523" i="10"/>
  <c r="AE523" i="10"/>
  <c r="AF523" i="10"/>
  <c r="AD118" i="10"/>
  <c r="T118" i="10"/>
  <c r="AQ118" i="10" s="1"/>
  <c r="U118" i="10"/>
  <c r="W118" i="10" s="1"/>
  <c r="AP118" i="10" s="1"/>
  <c r="AO117" i="10"/>
  <c r="AY117" i="10" s="1"/>
  <c r="AH117" i="10"/>
  <c r="AL117" i="10"/>
  <c r="R531" i="10"/>
  <c r="AU522" i="10"/>
  <c r="C532" i="10"/>
  <c r="I532" i="10" s="1"/>
  <c r="K532" i="10"/>
  <c r="M532" i="10"/>
  <c r="E532" i="10"/>
  <c r="H531" i="10"/>
  <c r="D531" i="10"/>
  <c r="F531" i="10" s="1"/>
  <c r="G531" i="10" s="1"/>
  <c r="V531" i="10" s="1"/>
  <c r="BA117" i="10"/>
  <c r="BB533" i="10"/>
  <c r="BC533" i="10" s="1"/>
  <c r="A534" i="10"/>
  <c r="Y533" i="10"/>
  <c r="AS533" i="10"/>
  <c r="B533" i="10"/>
  <c r="O524" i="10" l="1"/>
  <c r="P524" i="10" s="1"/>
  <c r="J525" i="10" s="1"/>
  <c r="L525" i="10" s="1"/>
  <c r="N525" i="10" s="1"/>
  <c r="AE524" i="10"/>
  <c r="AT524" i="10"/>
  <c r="AF524" i="10"/>
  <c r="H532" i="10"/>
  <c r="D532" i="10"/>
  <c r="F532" i="10" s="1"/>
  <c r="G532" i="10" s="1"/>
  <c r="V532" i="10" s="1"/>
  <c r="AU523" i="10"/>
  <c r="AN117" i="10"/>
  <c r="AW117" i="10" s="1"/>
  <c r="K533" i="10"/>
  <c r="M533" i="10"/>
  <c r="C533" i="10"/>
  <c r="I533" i="10" s="1"/>
  <c r="E533" i="10"/>
  <c r="X118" i="10"/>
  <c r="BB534" i="10"/>
  <c r="BC534" i="10" s="1"/>
  <c r="A535" i="10"/>
  <c r="Y534" i="10"/>
  <c r="AS534" i="10"/>
  <c r="B534" i="10"/>
  <c r="R532" i="10"/>
  <c r="O525" i="10" l="1"/>
  <c r="P525" i="10" s="1"/>
  <c r="J526" i="10" s="1"/>
  <c r="L526" i="10" s="1"/>
  <c r="N526" i="10" s="1"/>
  <c r="AE525" i="10"/>
  <c r="AT525" i="10"/>
  <c r="AF525" i="10"/>
  <c r="Z118" i="10"/>
  <c r="AR118" i="10" s="1"/>
  <c r="BD117" i="10"/>
  <c r="AZ117" i="10"/>
  <c r="C534" i="10"/>
  <c r="I534" i="10" s="1"/>
  <c r="M534" i="10"/>
  <c r="K534" i="10"/>
  <c r="E534" i="10"/>
  <c r="AU524" i="10"/>
  <c r="BB535" i="10"/>
  <c r="BC535" i="10" s="1"/>
  <c r="A536" i="10"/>
  <c r="Y535" i="10"/>
  <c r="AS535" i="10"/>
  <c r="B535" i="10"/>
  <c r="R533" i="10"/>
  <c r="H533" i="10"/>
  <c r="D533" i="10"/>
  <c r="F533" i="10" s="1"/>
  <c r="G533" i="10" s="1"/>
  <c r="V533" i="10" s="1"/>
  <c r="O526" i="10" l="1"/>
  <c r="P526" i="10" s="1"/>
  <c r="J527" i="10" s="1"/>
  <c r="L527" i="10" s="1"/>
  <c r="N527" i="10" s="1"/>
  <c r="AE526" i="10"/>
  <c r="AT526" i="10"/>
  <c r="AF526" i="10"/>
  <c r="K535" i="10"/>
  <c r="C535" i="10"/>
  <c r="I535" i="10" s="1"/>
  <c r="M535" i="10"/>
  <c r="E535" i="10"/>
  <c r="AU525" i="10"/>
  <c r="R534" i="10"/>
  <c r="Q119" i="10"/>
  <c r="BB536" i="10"/>
  <c r="BC536" i="10" s="1"/>
  <c r="A537" i="10"/>
  <c r="Y536" i="10"/>
  <c r="AS536" i="10"/>
  <c r="B536" i="10"/>
  <c r="AA118" i="10"/>
  <c r="H534" i="10"/>
  <c r="D534" i="10"/>
  <c r="F534" i="10" s="1"/>
  <c r="G534" i="10" s="1"/>
  <c r="V534" i="10" s="1"/>
  <c r="O527" i="10" l="1"/>
  <c r="P527" i="10" s="1"/>
  <c r="J528" i="10" s="1"/>
  <c r="L528" i="10" s="1"/>
  <c r="N528" i="10" s="1"/>
  <c r="AT527" i="10"/>
  <c r="AE527" i="10"/>
  <c r="AF527" i="10"/>
  <c r="BB537" i="10"/>
  <c r="BC537" i="10" s="1"/>
  <c r="A538" i="10"/>
  <c r="Y537" i="10"/>
  <c r="AS537" i="10"/>
  <c r="B537" i="10"/>
  <c r="AI118" i="10"/>
  <c r="AJ118" i="10"/>
  <c r="AG118" i="10"/>
  <c r="AK118" i="10"/>
  <c r="AX118" i="10" s="1"/>
  <c r="S119" i="10"/>
  <c r="AC119" i="10"/>
  <c r="AB119" i="10"/>
  <c r="AV118" i="10" s="1"/>
  <c r="AM119" i="10"/>
  <c r="AU526" i="10"/>
  <c r="R535" i="10"/>
  <c r="C536" i="10"/>
  <c r="I536" i="10" s="1"/>
  <c r="K536" i="10"/>
  <c r="M536" i="10"/>
  <c r="E536" i="10"/>
  <c r="H535" i="10"/>
  <c r="D535" i="10"/>
  <c r="F535" i="10" s="1"/>
  <c r="G535" i="10" s="1"/>
  <c r="V535" i="10" s="1"/>
  <c r="O528" i="10" l="1"/>
  <c r="P528" i="10" s="1"/>
  <c r="J529" i="10" s="1"/>
  <c r="L529" i="10" s="1"/>
  <c r="N529" i="10" s="1"/>
  <c r="AT528" i="10"/>
  <c r="AE528" i="10"/>
  <c r="AF528" i="10"/>
  <c r="R536" i="10"/>
  <c r="AU527" i="10"/>
  <c r="H536" i="10"/>
  <c r="D536" i="10"/>
  <c r="F536" i="10" s="1"/>
  <c r="G536" i="10" s="1"/>
  <c r="V536" i="10" s="1"/>
  <c r="BA118" i="10"/>
  <c r="K537" i="10"/>
  <c r="M537" i="10"/>
  <c r="C537" i="10"/>
  <c r="I537" i="10" s="1"/>
  <c r="E537" i="10"/>
  <c r="T119" i="10"/>
  <c r="AQ119" i="10" s="1"/>
  <c r="AD119" i="10"/>
  <c r="U119" i="10"/>
  <c r="W119" i="10" s="1"/>
  <c r="AP119" i="10" s="1"/>
  <c r="AO118" i="10"/>
  <c r="AY118" i="10" s="1"/>
  <c r="AH118" i="10"/>
  <c r="BB538" i="10"/>
  <c r="BC538" i="10" s="1"/>
  <c r="A539" i="10"/>
  <c r="Y538" i="10"/>
  <c r="AS538" i="10"/>
  <c r="B538" i="10"/>
  <c r="AL118" i="10"/>
  <c r="AN118" i="10" l="1"/>
  <c r="AW118" i="10" s="1"/>
  <c r="O529" i="10"/>
  <c r="P529" i="10" s="1"/>
  <c r="J530" i="10" s="1"/>
  <c r="L530" i="10" s="1"/>
  <c r="N530" i="10" s="1"/>
  <c r="AT529" i="10"/>
  <c r="AE529" i="10"/>
  <c r="AF529" i="10"/>
  <c r="R537" i="10"/>
  <c r="H537" i="10"/>
  <c r="D537" i="10"/>
  <c r="F537" i="10" s="1"/>
  <c r="G537" i="10" s="1"/>
  <c r="V537" i="10" s="1"/>
  <c r="AU528" i="10"/>
  <c r="C538" i="10"/>
  <c r="I538" i="10" s="1"/>
  <c r="M538" i="10"/>
  <c r="K538" i="10"/>
  <c r="E538" i="10"/>
  <c r="BB539" i="10"/>
  <c r="BC539" i="10" s="1"/>
  <c r="A540" i="10"/>
  <c r="Y539" i="10"/>
  <c r="AS539" i="10"/>
  <c r="B539" i="10"/>
  <c r="X119" i="10"/>
  <c r="BD118" i="10"/>
  <c r="AZ118" i="10"/>
  <c r="O530" i="10" l="1"/>
  <c r="P530" i="10" s="1"/>
  <c r="J531" i="10" s="1"/>
  <c r="L531" i="10" s="1"/>
  <c r="N531" i="10" s="1"/>
  <c r="AT530" i="10"/>
  <c r="AE530" i="10"/>
  <c r="AF530" i="10"/>
  <c r="H538" i="10"/>
  <c r="D538" i="10"/>
  <c r="F538" i="10" s="1"/>
  <c r="G538" i="10" s="1"/>
  <c r="V538" i="10" s="1"/>
  <c r="Z119" i="10"/>
  <c r="AR119" i="10" s="1"/>
  <c r="AU529" i="10"/>
  <c r="K539" i="10"/>
  <c r="C539" i="10"/>
  <c r="I539" i="10" s="1"/>
  <c r="M539" i="10"/>
  <c r="E539" i="10"/>
  <c r="R538" i="10"/>
  <c r="BB540" i="10"/>
  <c r="BC540" i="10" s="1"/>
  <c r="A541" i="10"/>
  <c r="Y540" i="10"/>
  <c r="AS540" i="10"/>
  <c r="B540" i="10"/>
  <c r="O531" i="10" l="1"/>
  <c r="P531" i="10" s="1"/>
  <c r="J532" i="10" s="1"/>
  <c r="L532" i="10" s="1"/>
  <c r="N532" i="10" s="1"/>
  <c r="AE531" i="10"/>
  <c r="AT531" i="10"/>
  <c r="AF531" i="10"/>
  <c r="AU530" i="10"/>
  <c r="C540" i="10"/>
  <c r="I540" i="10" s="1"/>
  <c r="K540" i="10"/>
  <c r="M540" i="10"/>
  <c r="E540" i="10"/>
  <c r="Q120" i="10"/>
  <c r="R539" i="10"/>
  <c r="AA119" i="10"/>
  <c r="BB541" i="10"/>
  <c r="BC541" i="10" s="1"/>
  <c r="A542" i="10"/>
  <c r="Y541" i="10"/>
  <c r="AS541" i="10"/>
  <c r="B541" i="10"/>
  <c r="H539" i="10"/>
  <c r="D539" i="10"/>
  <c r="F539" i="10" s="1"/>
  <c r="G539" i="10" s="1"/>
  <c r="V539" i="10" s="1"/>
  <c r="O532" i="10" l="1"/>
  <c r="P532" i="10" s="1"/>
  <c r="J533" i="10" s="1"/>
  <c r="L533" i="10" s="1"/>
  <c r="N533" i="10" s="1"/>
  <c r="AT532" i="10"/>
  <c r="AE532" i="10"/>
  <c r="AF532" i="10"/>
  <c r="AI119" i="10"/>
  <c r="AJ119" i="10"/>
  <c r="AG119" i="10"/>
  <c r="AK119" i="10"/>
  <c r="AX119" i="10" s="1"/>
  <c r="H540" i="10"/>
  <c r="D540" i="10"/>
  <c r="F540" i="10" s="1"/>
  <c r="G540" i="10" s="1"/>
  <c r="V540" i="10" s="1"/>
  <c r="K541" i="10"/>
  <c r="M541" i="10"/>
  <c r="C541" i="10"/>
  <c r="I541" i="10" s="1"/>
  <c r="E541" i="10"/>
  <c r="AU531" i="10"/>
  <c r="S120" i="10"/>
  <c r="AB120" i="10"/>
  <c r="AV119" i="10" s="1"/>
  <c r="AM120" i="10"/>
  <c r="AC120" i="10"/>
  <c r="BB542" i="10"/>
  <c r="BC542" i="10" s="1"/>
  <c r="A543" i="10"/>
  <c r="Y542" i="10"/>
  <c r="AS542" i="10"/>
  <c r="B542" i="10"/>
  <c r="R540" i="10"/>
  <c r="BA119" i="10" l="1"/>
  <c r="O533" i="10"/>
  <c r="P533" i="10" s="1"/>
  <c r="J534" i="10" s="1"/>
  <c r="L534" i="10" s="1"/>
  <c r="N534" i="10" s="1"/>
  <c r="AT533" i="10"/>
  <c r="AE533" i="10"/>
  <c r="AF533" i="10"/>
  <c r="BB543" i="10"/>
  <c r="BC543" i="10" s="1"/>
  <c r="A544" i="10"/>
  <c r="Y543" i="10"/>
  <c r="AS543" i="10"/>
  <c r="B543" i="10"/>
  <c r="AU532" i="10"/>
  <c r="R541" i="10"/>
  <c r="H541" i="10"/>
  <c r="D541" i="10"/>
  <c r="F541" i="10" s="1"/>
  <c r="G541" i="10" s="1"/>
  <c r="V541" i="10" s="1"/>
  <c r="AH119" i="10"/>
  <c r="AO119" i="10"/>
  <c r="AY119" i="10" s="1"/>
  <c r="AL119" i="10"/>
  <c r="C542" i="10"/>
  <c r="I542" i="10" s="1"/>
  <c r="M542" i="10"/>
  <c r="K542" i="10"/>
  <c r="E542" i="10"/>
  <c r="AD120" i="10"/>
  <c r="T120" i="10"/>
  <c r="AQ120" i="10" s="1"/>
  <c r="U120" i="10"/>
  <c r="W120" i="10" s="1"/>
  <c r="AP120" i="10" s="1"/>
  <c r="AN119" i="10" l="1"/>
  <c r="AW119" i="10" s="1"/>
  <c r="AZ119" i="10" s="1"/>
  <c r="O534" i="10"/>
  <c r="P534" i="10" s="1"/>
  <c r="J535" i="10" s="1"/>
  <c r="L535" i="10" s="1"/>
  <c r="N535" i="10" s="1"/>
  <c r="AT534" i="10"/>
  <c r="AE534" i="10"/>
  <c r="AF534" i="10"/>
  <c r="BD119" i="10"/>
  <c r="R542" i="10"/>
  <c r="K543" i="10"/>
  <c r="C543" i="10"/>
  <c r="I543" i="10" s="1"/>
  <c r="M543" i="10"/>
  <c r="E543" i="10"/>
  <c r="AU533" i="10"/>
  <c r="H542" i="10"/>
  <c r="D542" i="10"/>
  <c r="F542" i="10" s="1"/>
  <c r="G542" i="10" s="1"/>
  <c r="V542" i="10" s="1"/>
  <c r="BB544" i="10"/>
  <c r="BC544" i="10" s="1"/>
  <c r="A545" i="10"/>
  <c r="Y544" i="10"/>
  <c r="AS544" i="10"/>
  <c r="B544" i="10"/>
  <c r="X120" i="10"/>
  <c r="O535" i="10" l="1"/>
  <c r="P535" i="10" s="1"/>
  <c r="J536" i="10" s="1"/>
  <c r="L536" i="10" s="1"/>
  <c r="N536" i="10" s="1"/>
  <c r="AT535" i="10"/>
  <c r="AE535" i="10"/>
  <c r="AF535" i="10"/>
  <c r="C544" i="10"/>
  <c r="I544" i="10" s="1"/>
  <c r="K544" i="10"/>
  <c r="M544" i="10"/>
  <c r="E544" i="10"/>
  <c r="H543" i="10"/>
  <c r="D543" i="10"/>
  <c r="F543" i="10" s="1"/>
  <c r="G543" i="10" s="1"/>
  <c r="V543" i="10" s="1"/>
  <c r="AU534" i="10"/>
  <c r="BB545" i="10"/>
  <c r="BC545" i="10" s="1"/>
  <c r="A546" i="10"/>
  <c r="Y545" i="10"/>
  <c r="AS545" i="10"/>
  <c r="B545" i="10"/>
  <c r="Z120" i="10"/>
  <c r="AR120" i="10" s="1"/>
  <c r="R543" i="10"/>
  <c r="O536" i="10" l="1"/>
  <c r="P536" i="10" s="1"/>
  <c r="J537" i="10" s="1"/>
  <c r="L537" i="10" s="1"/>
  <c r="N537" i="10" s="1"/>
  <c r="AE536" i="10"/>
  <c r="AT536" i="10"/>
  <c r="AF536" i="10"/>
  <c r="BB546" i="10"/>
  <c r="BC546" i="10" s="1"/>
  <c r="A547" i="10"/>
  <c r="Y546" i="10"/>
  <c r="AS546" i="10"/>
  <c r="B546" i="10"/>
  <c r="AU535" i="10"/>
  <c r="R544" i="10"/>
  <c r="Q121" i="10"/>
  <c r="AA120" i="10"/>
  <c r="H544" i="10"/>
  <c r="D544" i="10"/>
  <c r="F544" i="10" s="1"/>
  <c r="G544" i="10" s="1"/>
  <c r="V544" i="10" s="1"/>
  <c r="K545" i="10"/>
  <c r="M545" i="10"/>
  <c r="C545" i="10"/>
  <c r="I545" i="10" s="1"/>
  <c r="E545" i="10"/>
  <c r="O537" i="10" l="1"/>
  <c r="P537" i="10" s="1"/>
  <c r="J538" i="10" s="1"/>
  <c r="L538" i="10" s="1"/>
  <c r="N538" i="10" s="1"/>
  <c r="AE537" i="10"/>
  <c r="AT537" i="10"/>
  <c r="AF537" i="10"/>
  <c r="H545" i="10"/>
  <c r="D545" i="10"/>
  <c r="F545" i="10" s="1"/>
  <c r="G545" i="10" s="1"/>
  <c r="V545" i="10" s="1"/>
  <c r="AI120" i="10"/>
  <c r="AJ120" i="10"/>
  <c r="AG120" i="10"/>
  <c r="AK120" i="10"/>
  <c r="AX120" i="10" s="1"/>
  <c r="C546" i="10"/>
  <c r="I546" i="10" s="1"/>
  <c r="M546" i="10"/>
  <c r="K546" i="10"/>
  <c r="E546" i="10"/>
  <c r="S121" i="10"/>
  <c r="AC121" i="10"/>
  <c r="AB121" i="10"/>
  <c r="AV120" i="10" s="1"/>
  <c r="AM121" i="10"/>
  <c r="AU536" i="10"/>
  <c r="BB547" i="10"/>
  <c r="BC547" i="10" s="1"/>
  <c r="A548" i="10"/>
  <c r="Y547" i="10"/>
  <c r="AS547" i="10"/>
  <c r="B547" i="10"/>
  <c r="R545" i="10"/>
  <c r="BA120" i="10" l="1"/>
  <c r="O538" i="10"/>
  <c r="P538" i="10" s="1"/>
  <c r="J539" i="10" s="1"/>
  <c r="L539" i="10" s="1"/>
  <c r="N539" i="10" s="1"/>
  <c r="AE538" i="10"/>
  <c r="AT538" i="10"/>
  <c r="AF538" i="10"/>
  <c r="H546" i="10"/>
  <c r="D546" i="10"/>
  <c r="F546" i="10" s="1"/>
  <c r="G546" i="10" s="1"/>
  <c r="V546" i="10" s="1"/>
  <c r="BB548" i="10"/>
  <c r="BC548" i="10" s="1"/>
  <c r="A549" i="10"/>
  <c r="Y548" i="10"/>
  <c r="AS548" i="10"/>
  <c r="B548" i="10"/>
  <c r="T121" i="10"/>
  <c r="AQ121" i="10" s="1"/>
  <c r="AD121" i="10"/>
  <c r="U121" i="10"/>
  <c r="W121" i="10" s="1"/>
  <c r="AP121" i="10" s="1"/>
  <c r="AH120" i="10"/>
  <c r="AO120" i="10"/>
  <c r="AY120" i="10" s="1"/>
  <c r="AU537" i="10"/>
  <c r="AL120" i="10"/>
  <c r="R546" i="10"/>
  <c r="K547" i="10"/>
  <c r="C547" i="10"/>
  <c r="I547" i="10" s="1"/>
  <c r="M547" i="10"/>
  <c r="E547" i="10"/>
  <c r="AN120" i="10" l="1"/>
  <c r="AW120" i="10" s="1"/>
  <c r="O539" i="10"/>
  <c r="P539" i="10" s="1"/>
  <c r="J540" i="10" s="1"/>
  <c r="L540" i="10" s="1"/>
  <c r="N540" i="10" s="1"/>
  <c r="AE539" i="10"/>
  <c r="AT539" i="10"/>
  <c r="AF539" i="10"/>
  <c r="C548" i="10"/>
  <c r="I548" i="10" s="1"/>
  <c r="K548" i="10"/>
  <c r="M548" i="10"/>
  <c r="E548" i="10"/>
  <c r="H547" i="10"/>
  <c r="D547" i="10"/>
  <c r="F547" i="10" s="1"/>
  <c r="G547" i="10" s="1"/>
  <c r="V547" i="10" s="1"/>
  <c r="BD120" i="10"/>
  <c r="AZ120" i="10"/>
  <c r="BB549" i="10"/>
  <c r="BC549" i="10" s="1"/>
  <c r="A550" i="10"/>
  <c r="Y549" i="10"/>
  <c r="AS549" i="10"/>
  <c r="B549" i="10"/>
  <c r="AU538" i="10"/>
  <c r="X121" i="10"/>
  <c r="R547" i="10"/>
  <c r="O540" i="10" l="1"/>
  <c r="P540" i="10" s="1"/>
  <c r="J541" i="10" s="1"/>
  <c r="L541" i="10" s="1"/>
  <c r="N541" i="10" s="1"/>
  <c r="AE540" i="10"/>
  <c r="AT540" i="10"/>
  <c r="AF540" i="10"/>
  <c r="Z121" i="10"/>
  <c r="AR121" i="10" s="1"/>
  <c r="BB550" i="10"/>
  <c r="BC550" i="10" s="1"/>
  <c r="A551" i="10"/>
  <c r="Y550" i="10"/>
  <c r="AS550" i="10"/>
  <c r="B550" i="10"/>
  <c r="R548" i="10"/>
  <c r="AU539" i="10"/>
  <c r="H548" i="10"/>
  <c r="D548" i="10"/>
  <c r="F548" i="10" s="1"/>
  <c r="G548" i="10" s="1"/>
  <c r="V548" i="10" s="1"/>
  <c r="K549" i="10"/>
  <c r="M549" i="10"/>
  <c r="C549" i="10"/>
  <c r="I549" i="10" s="1"/>
  <c r="E549" i="10"/>
  <c r="O541" i="10" l="1"/>
  <c r="P541" i="10" s="1"/>
  <c r="J542" i="10" s="1"/>
  <c r="L542" i="10" s="1"/>
  <c r="N542" i="10" s="1"/>
  <c r="AT541" i="10"/>
  <c r="AE541" i="10"/>
  <c r="AF541" i="10"/>
  <c r="R549" i="10"/>
  <c r="H549" i="10"/>
  <c r="D549" i="10"/>
  <c r="F549" i="10" s="1"/>
  <c r="G549" i="10" s="1"/>
  <c r="V549" i="10" s="1"/>
  <c r="BB551" i="10"/>
  <c r="BC551" i="10" s="1"/>
  <c r="A552" i="10"/>
  <c r="Y551" i="10"/>
  <c r="AS551" i="10"/>
  <c r="B551" i="10"/>
  <c r="AU540" i="10"/>
  <c r="C550" i="10"/>
  <c r="I550" i="10" s="1"/>
  <c r="M550" i="10"/>
  <c r="K550" i="10"/>
  <c r="E550" i="10"/>
  <c r="Q122" i="10"/>
  <c r="AA121" i="10"/>
  <c r="O542" i="10" l="1"/>
  <c r="P542" i="10" s="1"/>
  <c r="J543" i="10" s="1"/>
  <c r="L543" i="10" s="1"/>
  <c r="N543" i="10" s="1"/>
  <c r="AE542" i="10"/>
  <c r="AT542" i="10"/>
  <c r="AF542" i="10"/>
  <c r="BB552" i="10"/>
  <c r="BC552" i="10" s="1"/>
  <c r="A553" i="10"/>
  <c r="Y552" i="10"/>
  <c r="AS552" i="10"/>
  <c r="B552" i="10"/>
  <c r="S122" i="10"/>
  <c r="AB122" i="10"/>
  <c r="AV121" i="10" s="1"/>
  <c r="AC122" i="10"/>
  <c r="AM122" i="10"/>
  <c r="R550" i="10"/>
  <c r="AU541" i="10"/>
  <c r="H550" i="10"/>
  <c r="D550" i="10"/>
  <c r="F550" i="10" s="1"/>
  <c r="G550" i="10" s="1"/>
  <c r="V550" i="10" s="1"/>
  <c r="K551" i="10"/>
  <c r="C551" i="10"/>
  <c r="I551" i="10" s="1"/>
  <c r="M551" i="10"/>
  <c r="E551" i="10"/>
  <c r="AI121" i="10"/>
  <c r="AJ121" i="10"/>
  <c r="AG121" i="10"/>
  <c r="AK121" i="10"/>
  <c r="AX121" i="10" s="1"/>
  <c r="BA121" i="10" l="1"/>
  <c r="O543" i="10"/>
  <c r="P543" i="10" s="1"/>
  <c r="J544" i="10" s="1"/>
  <c r="L544" i="10" s="1"/>
  <c r="N544" i="10" s="1"/>
  <c r="AT543" i="10"/>
  <c r="AE543" i="10"/>
  <c r="AF543" i="10"/>
  <c r="R551" i="10"/>
  <c r="H551" i="10"/>
  <c r="D551" i="10"/>
  <c r="F551" i="10" s="1"/>
  <c r="G551" i="10" s="1"/>
  <c r="V551" i="10" s="1"/>
  <c r="AD122" i="10"/>
  <c r="T122" i="10"/>
  <c r="AQ122" i="10" s="1"/>
  <c r="U122" i="10"/>
  <c r="W122" i="10" s="1"/>
  <c r="AP122" i="10" s="1"/>
  <c r="C552" i="10"/>
  <c r="I552" i="10" s="1"/>
  <c r="K552" i="10"/>
  <c r="M552" i="10"/>
  <c r="E552" i="10"/>
  <c r="AU542" i="10"/>
  <c r="AH121" i="10"/>
  <c r="AO121" i="10"/>
  <c r="AY121" i="10" s="1"/>
  <c r="AL121" i="10"/>
  <c r="BB553" i="10"/>
  <c r="BC553" i="10" s="1"/>
  <c r="A554" i="10"/>
  <c r="Y553" i="10"/>
  <c r="AS553" i="10"/>
  <c r="B553" i="10"/>
  <c r="X122" i="10" l="1"/>
  <c r="Z122" i="10" s="1"/>
  <c r="AR122" i="10" s="1"/>
  <c r="O544" i="10"/>
  <c r="P544" i="10" s="1"/>
  <c r="J545" i="10" s="1"/>
  <c r="L545" i="10" s="1"/>
  <c r="N545" i="10" s="1"/>
  <c r="AE544" i="10"/>
  <c r="AT544" i="10"/>
  <c r="AF544" i="10"/>
  <c r="R552" i="10"/>
  <c r="AU543" i="10"/>
  <c r="K553" i="10"/>
  <c r="M553" i="10"/>
  <c r="C553" i="10"/>
  <c r="I553" i="10" s="1"/>
  <c r="E553" i="10"/>
  <c r="H552" i="10"/>
  <c r="D552" i="10"/>
  <c r="F552" i="10" s="1"/>
  <c r="G552" i="10" s="1"/>
  <c r="V552" i="10" s="1"/>
  <c r="AN121" i="10"/>
  <c r="AW121" i="10" s="1"/>
  <c r="BB554" i="10"/>
  <c r="BC554" i="10" s="1"/>
  <c r="A555" i="10"/>
  <c r="Y554" i="10"/>
  <c r="AS554" i="10"/>
  <c r="B554" i="10"/>
  <c r="O545" i="10" l="1"/>
  <c r="P545" i="10" s="1"/>
  <c r="J546" i="10" s="1"/>
  <c r="L546" i="10" s="1"/>
  <c r="N546" i="10" s="1"/>
  <c r="AE545" i="10"/>
  <c r="AT545" i="10"/>
  <c r="AF545" i="10"/>
  <c r="BB555" i="10"/>
  <c r="BC555" i="10" s="1"/>
  <c r="A556" i="10"/>
  <c r="Y555" i="10"/>
  <c r="AS555" i="10"/>
  <c r="B555" i="10"/>
  <c r="R553" i="10"/>
  <c r="H553" i="10"/>
  <c r="D553" i="10"/>
  <c r="F553" i="10" s="1"/>
  <c r="G553" i="10" s="1"/>
  <c r="V553" i="10" s="1"/>
  <c r="AZ121" i="10"/>
  <c r="BD121" i="10"/>
  <c r="Q123" i="10"/>
  <c r="AU544" i="10"/>
  <c r="AA122" i="10"/>
  <c r="C554" i="10"/>
  <c r="I554" i="10" s="1"/>
  <c r="M554" i="10"/>
  <c r="K554" i="10"/>
  <c r="E554" i="10"/>
  <c r="O546" i="10" l="1"/>
  <c r="P546" i="10" s="1"/>
  <c r="J547" i="10" s="1"/>
  <c r="L547" i="10" s="1"/>
  <c r="N547" i="10" s="1"/>
  <c r="AE546" i="10"/>
  <c r="AT546" i="10"/>
  <c r="AF546" i="10"/>
  <c r="R554" i="10"/>
  <c r="S123" i="10"/>
  <c r="AC123" i="10"/>
  <c r="AB123" i="10"/>
  <c r="AV122" i="10" s="1"/>
  <c r="AM123" i="10"/>
  <c r="K555" i="10"/>
  <c r="C555" i="10"/>
  <c r="I555" i="10" s="1"/>
  <c r="M555" i="10"/>
  <c r="E555" i="10"/>
  <c r="AU545" i="10"/>
  <c r="H554" i="10"/>
  <c r="D554" i="10"/>
  <c r="F554" i="10" s="1"/>
  <c r="G554" i="10" s="1"/>
  <c r="V554" i="10" s="1"/>
  <c r="AI122" i="10"/>
  <c r="AJ122" i="10"/>
  <c r="AG122" i="10"/>
  <c r="AK122" i="10"/>
  <c r="AX122" i="10" s="1"/>
  <c r="BB556" i="10"/>
  <c r="BC556" i="10" s="1"/>
  <c r="A557" i="10"/>
  <c r="Y556" i="10"/>
  <c r="AS556" i="10"/>
  <c r="B556" i="10"/>
  <c r="BA122" i="10" l="1"/>
  <c r="O547" i="10"/>
  <c r="P547" i="10" s="1"/>
  <c r="J548" i="10" s="1"/>
  <c r="L548" i="10" s="1"/>
  <c r="N548" i="10" s="1"/>
  <c r="AT547" i="10"/>
  <c r="AE547" i="10"/>
  <c r="AF547" i="10"/>
  <c r="C556" i="10"/>
  <c r="I556" i="10" s="1"/>
  <c r="K556" i="10"/>
  <c r="M556" i="10"/>
  <c r="E556" i="10"/>
  <c r="R555" i="10"/>
  <c r="AH122" i="10"/>
  <c r="AO122" i="10"/>
  <c r="AY122" i="10" s="1"/>
  <c r="AD123" i="10"/>
  <c r="T123" i="10"/>
  <c r="AQ123" i="10" s="1"/>
  <c r="U123" i="10"/>
  <c r="W123" i="10" s="1"/>
  <c r="AP123" i="10" s="1"/>
  <c r="AU546" i="10"/>
  <c r="AL122" i="10"/>
  <c r="H555" i="10"/>
  <c r="D555" i="10"/>
  <c r="F555" i="10" s="1"/>
  <c r="G555" i="10" s="1"/>
  <c r="V555" i="10" s="1"/>
  <c r="BB557" i="10"/>
  <c r="BC557" i="10" s="1"/>
  <c r="A558" i="10"/>
  <c r="Y557" i="10"/>
  <c r="AS557" i="10"/>
  <c r="B557" i="10"/>
  <c r="AN122" i="10" l="1"/>
  <c r="AW122" i="10" s="1"/>
  <c r="O548" i="10"/>
  <c r="P548" i="10" s="1"/>
  <c r="J549" i="10" s="1"/>
  <c r="L549" i="10" s="1"/>
  <c r="N549" i="10" s="1"/>
  <c r="AE548" i="10"/>
  <c r="AT548" i="10"/>
  <c r="AF548" i="10"/>
  <c r="AZ122" i="10"/>
  <c r="BD122" i="10"/>
  <c r="BB558" i="10"/>
  <c r="BC558" i="10" s="1"/>
  <c r="A559" i="10"/>
  <c r="Y558" i="10"/>
  <c r="AS558" i="10"/>
  <c r="B558" i="10"/>
  <c r="AU547" i="10"/>
  <c r="R556" i="10"/>
  <c r="X123" i="10"/>
  <c r="K557" i="10"/>
  <c r="M557" i="10"/>
  <c r="C557" i="10"/>
  <c r="I557" i="10" s="1"/>
  <c r="E557" i="10"/>
  <c r="H556" i="10"/>
  <c r="D556" i="10"/>
  <c r="F556" i="10" s="1"/>
  <c r="G556" i="10" s="1"/>
  <c r="V556" i="10" s="1"/>
  <c r="O549" i="10" l="1"/>
  <c r="P549" i="10" s="1"/>
  <c r="J550" i="10" s="1"/>
  <c r="L550" i="10" s="1"/>
  <c r="N550" i="10" s="1"/>
  <c r="AE549" i="10"/>
  <c r="AT549" i="10"/>
  <c r="AF549" i="10"/>
  <c r="C558" i="10"/>
  <c r="I558" i="10" s="1"/>
  <c r="M558" i="10"/>
  <c r="K558" i="10"/>
  <c r="E558" i="10"/>
  <c r="R557" i="10"/>
  <c r="H557" i="10"/>
  <c r="D557" i="10"/>
  <c r="F557" i="10" s="1"/>
  <c r="G557" i="10" s="1"/>
  <c r="V557" i="10" s="1"/>
  <c r="BB559" i="10"/>
  <c r="BC559" i="10" s="1"/>
  <c r="A560" i="10"/>
  <c r="Y559" i="10"/>
  <c r="AS559" i="10"/>
  <c r="B559" i="10"/>
  <c r="AU548" i="10"/>
  <c r="Z123" i="10"/>
  <c r="AR123" i="10" s="1"/>
  <c r="O550" i="10" l="1"/>
  <c r="P550" i="10" s="1"/>
  <c r="J551" i="10" s="1"/>
  <c r="L551" i="10" s="1"/>
  <c r="N551" i="10" s="1"/>
  <c r="AE550" i="10"/>
  <c r="AT550" i="10"/>
  <c r="AF550" i="10"/>
  <c r="K559" i="10"/>
  <c r="C559" i="10"/>
  <c r="I559" i="10" s="1"/>
  <c r="M559" i="10"/>
  <c r="E559" i="10"/>
  <c r="Q124" i="10"/>
  <c r="AA123" i="10"/>
  <c r="BB560" i="10"/>
  <c r="BC560" i="10" s="1"/>
  <c r="A561" i="10"/>
  <c r="Y560" i="10"/>
  <c r="AS560" i="10"/>
  <c r="B560" i="10"/>
  <c r="R558" i="10"/>
  <c r="AU549" i="10"/>
  <c r="H558" i="10"/>
  <c r="D558" i="10"/>
  <c r="F558" i="10" s="1"/>
  <c r="G558" i="10" s="1"/>
  <c r="V558" i="10" s="1"/>
  <c r="O551" i="10" l="1"/>
  <c r="P551" i="10" s="1"/>
  <c r="J552" i="10" s="1"/>
  <c r="L552" i="10" s="1"/>
  <c r="N552" i="10" s="1"/>
  <c r="AE551" i="10"/>
  <c r="AT551" i="10"/>
  <c r="AF551" i="10"/>
  <c r="AI123" i="10"/>
  <c r="AJ123" i="10"/>
  <c r="AG123" i="10"/>
  <c r="AK123" i="10"/>
  <c r="AX123" i="10" s="1"/>
  <c r="C560" i="10"/>
  <c r="I560" i="10" s="1"/>
  <c r="K560" i="10"/>
  <c r="M560" i="10"/>
  <c r="E560" i="10"/>
  <c r="S124" i="10"/>
  <c r="AM124" i="10"/>
  <c r="AC124" i="10"/>
  <c r="BA123" i="10" s="1"/>
  <c r="AB124" i="10"/>
  <c r="AV123" i="10" s="1"/>
  <c r="R559" i="10"/>
  <c r="AU550" i="10"/>
  <c r="BB561" i="10"/>
  <c r="BC561" i="10" s="1"/>
  <c r="A562" i="10"/>
  <c r="Y561" i="10"/>
  <c r="AS561" i="10"/>
  <c r="B561" i="10"/>
  <c r="H559" i="10"/>
  <c r="D559" i="10"/>
  <c r="F559" i="10" s="1"/>
  <c r="G559" i="10" s="1"/>
  <c r="V559" i="10" s="1"/>
  <c r="O552" i="10" l="1"/>
  <c r="P552" i="10" s="1"/>
  <c r="J553" i="10" s="1"/>
  <c r="L553" i="10" s="1"/>
  <c r="N553" i="10" s="1"/>
  <c r="AE552" i="10"/>
  <c r="AT552" i="10"/>
  <c r="AF552" i="10"/>
  <c r="BB562" i="10"/>
  <c r="BC562" i="10" s="1"/>
  <c r="A563" i="10"/>
  <c r="Y562" i="10"/>
  <c r="AS562" i="10"/>
  <c r="B562" i="10"/>
  <c r="H560" i="10"/>
  <c r="D560" i="10"/>
  <c r="F560" i="10" s="1"/>
  <c r="G560" i="10" s="1"/>
  <c r="V560" i="10" s="1"/>
  <c r="AU551" i="10"/>
  <c r="AO123" i="10"/>
  <c r="AY123" i="10" s="1"/>
  <c r="AH123" i="10"/>
  <c r="AL123" i="10"/>
  <c r="AD124" i="10"/>
  <c r="T124" i="10"/>
  <c r="AQ124" i="10" s="1"/>
  <c r="U124" i="10"/>
  <c r="W124" i="10" s="1"/>
  <c r="AP124" i="10" s="1"/>
  <c r="K561" i="10"/>
  <c r="M561" i="10"/>
  <c r="C561" i="10"/>
  <c r="I561" i="10" s="1"/>
  <c r="E561" i="10"/>
  <c r="R560" i="10"/>
  <c r="AN123" i="10" l="1"/>
  <c r="AW123" i="10" s="1"/>
  <c r="AZ123" i="10" s="1"/>
  <c r="O553" i="10"/>
  <c r="P553" i="10" s="1"/>
  <c r="J554" i="10" s="1"/>
  <c r="L554" i="10" s="1"/>
  <c r="N554" i="10" s="1"/>
  <c r="AE553" i="10"/>
  <c r="AT553" i="10"/>
  <c r="AF553" i="10"/>
  <c r="BB563" i="10"/>
  <c r="BC563" i="10" s="1"/>
  <c r="A564" i="10"/>
  <c r="Y563" i="10"/>
  <c r="AS563" i="10"/>
  <c r="B563" i="10"/>
  <c r="AU552" i="10"/>
  <c r="X124" i="10"/>
  <c r="R561" i="10"/>
  <c r="H561" i="10"/>
  <c r="D561" i="10"/>
  <c r="F561" i="10" s="1"/>
  <c r="G561" i="10" s="1"/>
  <c r="V561" i="10" s="1"/>
  <c r="C562" i="10"/>
  <c r="I562" i="10" s="1"/>
  <c r="M562" i="10"/>
  <c r="K562" i="10"/>
  <c r="E562" i="10"/>
  <c r="BD123" i="10" l="1"/>
  <c r="O554" i="10"/>
  <c r="P554" i="10" s="1"/>
  <c r="J555" i="10" s="1"/>
  <c r="L555" i="10" s="1"/>
  <c r="N555" i="10" s="1"/>
  <c r="AE554" i="10"/>
  <c r="AT554" i="10"/>
  <c r="AF554" i="10"/>
  <c r="BB564" i="10"/>
  <c r="BC564" i="10" s="1"/>
  <c r="A565" i="10"/>
  <c r="Y564" i="10"/>
  <c r="AS564" i="10"/>
  <c r="B564" i="10"/>
  <c r="H562" i="10"/>
  <c r="D562" i="10"/>
  <c r="F562" i="10" s="1"/>
  <c r="G562" i="10" s="1"/>
  <c r="V562" i="10" s="1"/>
  <c r="Z124" i="10"/>
  <c r="AR124" i="10" s="1"/>
  <c r="AU553" i="10"/>
  <c r="K563" i="10"/>
  <c r="C563" i="10"/>
  <c r="I563" i="10" s="1"/>
  <c r="M563" i="10"/>
  <c r="E563" i="10"/>
  <c r="R562" i="10"/>
  <c r="O555" i="10" l="1"/>
  <c r="P555" i="10" s="1"/>
  <c r="J556" i="10" s="1"/>
  <c r="L556" i="10" s="1"/>
  <c r="N556" i="10" s="1"/>
  <c r="AT555" i="10"/>
  <c r="AE555" i="10"/>
  <c r="AF555" i="10"/>
  <c r="C564" i="10"/>
  <c r="I564" i="10" s="1"/>
  <c r="K564" i="10"/>
  <c r="M564" i="10"/>
  <c r="E564" i="10"/>
  <c r="AU554" i="10"/>
  <c r="R563" i="10"/>
  <c r="AS565" i="10"/>
  <c r="Y565" i="10"/>
  <c r="BB565" i="10"/>
  <c r="BC565" i="10" s="1"/>
  <c r="A566" i="10"/>
  <c r="B565" i="10"/>
  <c r="Q125" i="10"/>
  <c r="H563" i="10"/>
  <c r="D563" i="10"/>
  <c r="F563" i="10" s="1"/>
  <c r="G563" i="10" s="1"/>
  <c r="V563" i="10" s="1"/>
  <c r="AA124" i="10"/>
  <c r="O556" i="10" l="1"/>
  <c r="P556" i="10" s="1"/>
  <c r="J557" i="10" s="1"/>
  <c r="L557" i="10" s="1"/>
  <c r="N557" i="10" s="1"/>
  <c r="AT556" i="10"/>
  <c r="AE556" i="10"/>
  <c r="AF556" i="10"/>
  <c r="R564" i="10"/>
  <c r="S125" i="10"/>
  <c r="AM125" i="10"/>
  <c r="AC125" i="10"/>
  <c r="AB125" i="10"/>
  <c r="AV124" i="10" s="1"/>
  <c r="AU555" i="10"/>
  <c r="H564" i="10"/>
  <c r="D564" i="10"/>
  <c r="F564" i="10" s="1"/>
  <c r="G564" i="10" s="1"/>
  <c r="V564" i="10" s="1"/>
  <c r="K565" i="10"/>
  <c r="M565" i="10"/>
  <c r="C565" i="10"/>
  <c r="I565" i="10" s="1"/>
  <c r="E565" i="10"/>
  <c r="AS566" i="10"/>
  <c r="BB566" i="10"/>
  <c r="BC566" i="10" s="1"/>
  <c r="Y566" i="10"/>
  <c r="A567" i="10"/>
  <c r="B566" i="10"/>
  <c r="AI124" i="10"/>
  <c r="AJ124" i="10"/>
  <c r="AG124" i="10"/>
  <c r="AK124" i="10"/>
  <c r="AX124" i="10" s="1"/>
  <c r="BA124" i="10" l="1"/>
  <c r="O557" i="10"/>
  <c r="P557" i="10" s="1"/>
  <c r="J558" i="10" s="1"/>
  <c r="L558" i="10" s="1"/>
  <c r="N558" i="10" s="1"/>
  <c r="AT557" i="10"/>
  <c r="AE557" i="10"/>
  <c r="AF557" i="10"/>
  <c r="M566" i="10"/>
  <c r="C566" i="10"/>
  <c r="I566" i="10" s="1"/>
  <c r="K566" i="10"/>
  <c r="E566" i="10"/>
  <c r="AS567" i="10"/>
  <c r="A568" i="10"/>
  <c r="Y567" i="10"/>
  <c r="BB567" i="10"/>
  <c r="BC567" i="10" s="1"/>
  <c r="B567" i="10"/>
  <c r="AD125" i="10"/>
  <c r="T125" i="10"/>
  <c r="AQ125" i="10" s="1"/>
  <c r="U125" i="10"/>
  <c r="W125" i="10" s="1"/>
  <c r="AP125" i="10" s="1"/>
  <c r="AU556" i="10"/>
  <c r="AO124" i="10"/>
  <c r="AY124" i="10" s="1"/>
  <c r="AH124" i="10"/>
  <c r="R565" i="10"/>
  <c r="AL124" i="10"/>
  <c r="H565" i="10"/>
  <c r="D565" i="10"/>
  <c r="F565" i="10" s="1"/>
  <c r="G565" i="10" s="1"/>
  <c r="V565" i="10" s="1"/>
  <c r="AN124" i="10" l="1"/>
  <c r="AW124" i="10" s="1"/>
  <c r="O558" i="10"/>
  <c r="P558" i="10" s="1"/>
  <c r="J559" i="10" s="1"/>
  <c r="L559" i="10" s="1"/>
  <c r="N559" i="10" s="1"/>
  <c r="AT558" i="10"/>
  <c r="AE558" i="10"/>
  <c r="AF558" i="10"/>
  <c r="X125" i="10"/>
  <c r="AS568" i="10"/>
  <c r="A569" i="10"/>
  <c r="Y568" i="10"/>
  <c r="BB568" i="10"/>
  <c r="BC568" i="10" s="1"/>
  <c r="B568" i="10"/>
  <c r="AU557" i="10"/>
  <c r="AZ124" i="10"/>
  <c r="BD124" i="10"/>
  <c r="R566" i="10"/>
  <c r="M567" i="10"/>
  <c r="C567" i="10"/>
  <c r="I567" i="10" s="1"/>
  <c r="K567" i="10"/>
  <c r="E567" i="10"/>
  <c r="H566" i="10"/>
  <c r="D566" i="10"/>
  <c r="F566" i="10" s="1"/>
  <c r="G566" i="10" s="1"/>
  <c r="V566" i="10" s="1"/>
  <c r="O559" i="10" l="1"/>
  <c r="P559" i="10" s="1"/>
  <c r="J560" i="10" s="1"/>
  <c r="L560" i="10" s="1"/>
  <c r="N560" i="10" s="1"/>
  <c r="AT559" i="10"/>
  <c r="AE559" i="10"/>
  <c r="AF559" i="10"/>
  <c r="R567" i="10"/>
  <c r="AS569" i="10"/>
  <c r="A570" i="10"/>
  <c r="Y569" i="10"/>
  <c r="BB569" i="10"/>
  <c r="BC569" i="10" s="1"/>
  <c r="B569" i="10"/>
  <c r="AU558" i="10"/>
  <c r="H567" i="10"/>
  <c r="D567" i="10"/>
  <c r="F567" i="10" s="1"/>
  <c r="G567" i="10" s="1"/>
  <c r="V567" i="10" s="1"/>
  <c r="Z125" i="10"/>
  <c r="AR125" i="10" s="1"/>
  <c r="M568" i="10"/>
  <c r="C568" i="10"/>
  <c r="I568" i="10" s="1"/>
  <c r="K568" i="10"/>
  <c r="E568" i="10"/>
  <c r="Q126" i="10" l="1"/>
  <c r="AM126" i="10" s="1"/>
  <c r="AA125" i="10"/>
  <c r="AI125" i="10" s="1"/>
  <c r="O560" i="10"/>
  <c r="P560" i="10" s="1"/>
  <c r="J561" i="10" s="1"/>
  <c r="L561" i="10" s="1"/>
  <c r="N561" i="10" s="1"/>
  <c r="AT560" i="10"/>
  <c r="AE560" i="10"/>
  <c r="AF560" i="10"/>
  <c r="R568" i="10"/>
  <c r="AS570" i="10"/>
  <c r="BB570" i="10"/>
  <c r="BC570" i="10" s="1"/>
  <c r="A571" i="10"/>
  <c r="Y570" i="10"/>
  <c r="B570" i="10"/>
  <c r="AU559" i="10"/>
  <c r="H568" i="10"/>
  <c r="D568" i="10"/>
  <c r="F568" i="10" s="1"/>
  <c r="G568" i="10" s="1"/>
  <c r="V568" i="10" s="1"/>
  <c r="M569" i="10"/>
  <c r="K569" i="10"/>
  <c r="C569" i="10"/>
  <c r="I569" i="10" s="1"/>
  <c r="E569" i="10"/>
  <c r="S126" i="10" l="1"/>
  <c r="AK125" i="10"/>
  <c r="AX125" i="10" s="1"/>
  <c r="AG125" i="10"/>
  <c r="AO125" i="10" s="1"/>
  <c r="AY125" i="10" s="1"/>
  <c r="AJ125" i="10"/>
  <c r="AL125" i="10" s="1"/>
  <c r="AB126" i="10"/>
  <c r="AV125" i="10" s="1"/>
  <c r="AC126" i="10"/>
  <c r="BA125" i="10" s="1"/>
  <c r="O561" i="10"/>
  <c r="P561" i="10" s="1"/>
  <c r="J562" i="10" s="1"/>
  <c r="L562" i="10" s="1"/>
  <c r="N562" i="10" s="1"/>
  <c r="AT561" i="10"/>
  <c r="AE561" i="10"/>
  <c r="AF561" i="10"/>
  <c r="R569" i="10"/>
  <c r="H569" i="10"/>
  <c r="D569" i="10"/>
  <c r="F569" i="10" s="1"/>
  <c r="G569" i="10" s="1"/>
  <c r="V569" i="10" s="1"/>
  <c r="AU560" i="10"/>
  <c r="M570" i="10"/>
  <c r="C570" i="10"/>
  <c r="I570" i="10" s="1"/>
  <c r="K570" i="10"/>
  <c r="E570" i="10"/>
  <c r="AH125" i="10"/>
  <c r="AS571" i="10"/>
  <c r="BB571" i="10"/>
  <c r="BC571" i="10" s="1"/>
  <c r="Y571" i="10"/>
  <c r="A572" i="10"/>
  <c r="B571" i="10"/>
  <c r="AD126" i="10"/>
  <c r="T126" i="10"/>
  <c r="AQ126" i="10" s="1"/>
  <c r="U126" i="10"/>
  <c r="W126" i="10" s="1"/>
  <c r="AP126" i="10" s="1"/>
  <c r="AN125" i="10" l="1"/>
  <c r="AW125" i="10" s="1"/>
  <c r="BD125" i="10" s="1"/>
  <c r="O562" i="10"/>
  <c r="P562" i="10" s="1"/>
  <c r="J563" i="10" s="1"/>
  <c r="L563" i="10" s="1"/>
  <c r="N563" i="10" s="1"/>
  <c r="AT562" i="10"/>
  <c r="AE562" i="10"/>
  <c r="AF562" i="10"/>
  <c r="R570" i="10"/>
  <c r="H570" i="10"/>
  <c r="D570" i="10"/>
  <c r="F570" i="10" s="1"/>
  <c r="G570" i="10" s="1"/>
  <c r="V570" i="10" s="1"/>
  <c r="AU561" i="10"/>
  <c r="X126" i="10"/>
  <c r="AZ125" i="10"/>
  <c r="M571" i="10"/>
  <c r="K571" i="10"/>
  <c r="C571" i="10"/>
  <c r="I571" i="10" s="1"/>
  <c r="E571" i="10"/>
  <c r="AS572" i="10"/>
  <c r="BB572" i="10"/>
  <c r="BC572" i="10" s="1"/>
  <c r="Y572" i="10"/>
  <c r="A573" i="10"/>
  <c r="B572" i="10"/>
  <c r="O563" i="10" l="1"/>
  <c r="P563" i="10" s="1"/>
  <c r="J564" i="10" s="1"/>
  <c r="L564" i="10" s="1"/>
  <c r="N564" i="10" s="1"/>
  <c r="AE563" i="10"/>
  <c r="AT563" i="10"/>
  <c r="AF563" i="10"/>
  <c r="AU562" i="10"/>
  <c r="R571" i="10"/>
  <c r="H571" i="10"/>
  <c r="D571" i="10"/>
  <c r="F571" i="10" s="1"/>
  <c r="G571" i="10" s="1"/>
  <c r="V571" i="10" s="1"/>
  <c r="Z126" i="10"/>
  <c r="AR126" i="10" s="1"/>
  <c r="M572" i="10"/>
  <c r="C572" i="10"/>
  <c r="I572" i="10" s="1"/>
  <c r="K572" i="10"/>
  <c r="E572" i="10"/>
  <c r="AS573" i="10"/>
  <c r="Y573" i="10"/>
  <c r="A574" i="10"/>
  <c r="BB573" i="10"/>
  <c r="BC573" i="10" s="1"/>
  <c r="B573" i="10"/>
  <c r="O564" i="10" l="1"/>
  <c r="P564" i="10" s="1"/>
  <c r="J565" i="10" s="1"/>
  <c r="L565" i="10" s="1"/>
  <c r="N565" i="10" s="1"/>
  <c r="AE564" i="10"/>
  <c r="AT564" i="10"/>
  <c r="AF564" i="10"/>
  <c r="M573" i="10"/>
  <c r="K573" i="10"/>
  <c r="C573" i="10"/>
  <c r="I573" i="10" s="1"/>
  <c r="E573" i="10"/>
  <c r="H572" i="10"/>
  <c r="D572" i="10"/>
  <c r="F572" i="10" s="1"/>
  <c r="G572" i="10" s="1"/>
  <c r="V572" i="10" s="1"/>
  <c r="AS574" i="10"/>
  <c r="BB574" i="10"/>
  <c r="BC574" i="10" s="1"/>
  <c r="Y574" i="10"/>
  <c r="A575" i="10"/>
  <c r="B574" i="10"/>
  <c r="AU563" i="10"/>
  <c r="Q127" i="10"/>
  <c r="AA126" i="10"/>
  <c r="R572" i="10"/>
  <c r="O565" i="10" l="1"/>
  <c r="P565" i="10" s="1"/>
  <c r="J566" i="10" s="1"/>
  <c r="L566" i="10" s="1"/>
  <c r="N566" i="10" s="1"/>
  <c r="AT565" i="10"/>
  <c r="AE565" i="10"/>
  <c r="AF565" i="10"/>
  <c r="AI126" i="10"/>
  <c r="AJ126" i="10"/>
  <c r="AG126" i="10"/>
  <c r="AK126" i="10"/>
  <c r="AX126" i="10" s="1"/>
  <c r="AU564" i="10"/>
  <c r="S127" i="10"/>
  <c r="AC127" i="10"/>
  <c r="AB127" i="10"/>
  <c r="AV126" i="10" s="1"/>
  <c r="AM127" i="10"/>
  <c r="M574" i="10"/>
  <c r="C574" i="10"/>
  <c r="I574" i="10" s="1"/>
  <c r="K574" i="10"/>
  <c r="E574" i="10"/>
  <c r="R573" i="10"/>
  <c r="AS575" i="10"/>
  <c r="A576" i="10"/>
  <c r="Y575" i="10"/>
  <c r="BB575" i="10"/>
  <c r="BC575" i="10" s="1"/>
  <c r="B575" i="10"/>
  <c r="H573" i="10"/>
  <c r="D573" i="10"/>
  <c r="F573" i="10" s="1"/>
  <c r="G573" i="10" s="1"/>
  <c r="V573" i="10" s="1"/>
  <c r="O566" i="10" l="1"/>
  <c r="P566" i="10"/>
  <c r="J567" i="10"/>
  <c r="L567" i="10" s="1"/>
  <c r="N567" i="10" s="1"/>
  <c r="AT566" i="10"/>
  <c r="AE566" i="10"/>
  <c r="AF566" i="10"/>
  <c r="M575" i="10"/>
  <c r="C575" i="10"/>
  <c r="I575" i="10" s="1"/>
  <c r="K575" i="10"/>
  <c r="E575" i="10"/>
  <c r="R574" i="10"/>
  <c r="H574" i="10"/>
  <c r="D574" i="10"/>
  <c r="F574" i="10" s="1"/>
  <c r="G574" i="10" s="1"/>
  <c r="V574" i="10" s="1"/>
  <c r="AU565" i="10"/>
  <c r="BB576" i="10"/>
  <c r="BC576" i="10" s="1"/>
  <c r="AS576" i="10"/>
  <c r="A577" i="10"/>
  <c r="Y576" i="10"/>
  <c r="B576" i="10"/>
  <c r="AO126" i="10"/>
  <c r="AY126" i="10" s="1"/>
  <c r="AH126" i="10"/>
  <c r="AL126" i="10"/>
  <c r="BA126" i="10"/>
  <c r="T127" i="10"/>
  <c r="AQ127" i="10" s="1"/>
  <c r="AD127" i="10"/>
  <c r="U127" i="10"/>
  <c r="W127" i="10" s="1"/>
  <c r="AP127" i="10" s="1"/>
  <c r="AU566" i="10" l="1"/>
  <c r="X127" i="10"/>
  <c r="AN126" i="10"/>
  <c r="AW126" i="10" s="1"/>
  <c r="R575" i="10"/>
  <c r="O567" i="10"/>
  <c r="P567" i="10" s="1"/>
  <c r="J568" i="10" s="1"/>
  <c r="L568" i="10" s="1"/>
  <c r="N568" i="10" s="1"/>
  <c r="AE567" i="10"/>
  <c r="AT567" i="10"/>
  <c r="AF567" i="10"/>
  <c r="M576" i="10"/>
  <c r="C576" i="10"/>
  <c r="I576" i="10" s="1"/>
  <c r="K576" i="10"/>
  <c r="E576" i="10"/>
  <c r="H575" i="10"/>
  <c r="D575" i="10"/>
  <c r="F575" i="10" s="1"/>
  <c r="G575" i="10" s="1"/>
  <c r="V575" i="10" s="1"/>
  <c r="BB577" i="10"/>
  <c r="BC577" i="10" s="1"/>
  <c r="AS577" i="10"/>
  <c r="A578" i="10"/>
  <c r="Y577" i="10"/>
  <c r="B577" i="10"/>
  <c r="O568" i="10" l="1"/>
  <c r="P568" i="10" s="1"/>
  <c r="J569" i="10" s="1"/>
  <c r="L569" i="10" s="1"/>
  <c r="N569" i="10" s="1"/>
  <c r="AE568" i="10"/>
  <c r="AT568" i="10"/>
  <c r="AF568" i="10"/>
  <c r="R576" i="10"/>
  <c r="BD126" i="10"/>
  <c r="AZ126" i="10"/>
  <c r="BB578" i="10"/>
  <c r="BC578" i="10" s="1"/>
  <c r="AS578" i="10"/>
  <c r="A579" i="10"/>
  <c r="Y578" i="10"/>
  <c r="B578" i="10"/>
  <c r="H576" i="10"/>
  <c r="D576" i="10"/>
  <c r="F576" i="10" s="1"/>
  <c r="G576" i="10" s="1"/>
  <c r="V576" i="10" s="1"/>
  <c r="M577" i="10"/>
  <c r="C577" i="10"/>
  <c r="I577" i="10" s="1"/>
  <c r="K577" i="10"/>
  <c r="E577" i="10"/>
  <c r="AU567" i="10"/>
  <c r="Z127" i="10"/>
  <c r="AR127" i="10" s="1"/>
  <c r="R577" i="10" l="1"/>
  <c r="BB579" i="10"/>
  <c r="BC579" i="10" s="1"/>
  <c r="AS579" i="10"/>
  <c r="A580" i="10"/>
  <c r="Y579" i="10"/>
  <c r="B579" i="10"/>
  <c r="Q128" i="10"/>
  <c r="H577" i="10"/>
  <c r="D577" i="10"/>
  <c r="F577" i="10" s="1"/>
  <c r="G577" i="10" s="1"/>
  <c r="V577" i="10" s="1"/>
  <c r="AA127" i="10"/>
  <c r="AU568" i="10"/>
  <c r="M578" i="10"/>
  <c r="K578" i="10"/>
  <c r="C578" i="10"/>
  <c r="I578" i="10" s="1"/>
  <c r="E578" i="10"/>
  <c r="O569" i="10"/>
  <c r="P569" i="10" s="1"/>
  <c r="J570" i="10" s="1"/>
  <c r="L570" i="10" s="1"/>
  <c r="N570" i="10" s="1"/>
  <c r="AE569" i="10"/>
  <c r="AT569" i="10"/>
  <c r="AF569" i="10"/>
  <c r="O570" i="10" l="1"/>
  <c r="P570" i="10" s="1"/>
  <c r="J571" i="10" s="1"/>
  <c r="L571" i="10" s="1"/>
  <c r="N571" i="10" s="1"/>
  <c r="AE570" i="10"/>
  <c r="AT570" i="10"/>
  <c r="AF570" i="10"/>
  <c r="AI127" i="10"/>
  <c r="AJ127" i="10"/>
  <c r="AG127" i="10"/>
  <c r="AK127" i="10"/>
  <c r="AX127" i="10" s="1"/>
  <c r="AU569" i="10"/>
  <c r="R578" i="10"/>
  <c r="BB580" i="10"/>
  <c r="BC580" i="10" s="1"/>
  <c r="AS580" i="10"/>
  <c r="A581" i="10"/>
  <c r="Y580" i="10"/>
  <c r="B580" i="10"/>
  <c r="H578" i="10"/>
  <c r="D578" i="10"/>
  <c r="F578" i="10" s="1"/>
  <c r="G578" i="10" s="1"/>
  <c r="V578" i="10" s="1"/>
  <c r="S128" i="10"/>
  <c r="AB128" i="10"/>
  <c r="AV127" i="10" s="1"/>
  <c r="AC128" i="10"/>
  <c r="AM128" i="10"/>
  <c r="M579" i="10"/>
  <c r="K579" i="10"/>
  <c r="C579" i="10"/>
  <c r="I579" i="10" s="1"/>
  <c r="E579" i="10"/>
  <c r="BA127" i="10" l="1"/>
  <c r="O571" i="10"/>
  <c r="P571" i="10" s="1"/>
  <c r="J572" i="10" s="1"/>
  <c r="L572" i="10" s="1"/>
  <c r="N572" i="10" s="1"/>
  <c r="AT571" i="10"/>
  <c r="AE571" i="10"/>
  <c r="AF571" i="10"/>
  <c r="M580" i="10"/>
  <c r="C580" i="10"/>
  <c r="I580" i="10" s="1"/>
  <c r="K580" i="10"/>
  <c r="E580" i="10"/>
  <c r="BB581" i="10"/>
  <c r="BC581" i="10" s="1"/>
  <c r="AS581" i="10"/>
  <c r="A582" i="10"/>
  <c r="Y581" i="10"/>
  <c r="B581" i="10"/>
  <c r="AD128" i="10"/>
  <c r="T128" i="10"/>
  <c r="AQ128" i="10" s="1"/>
  <c r="U128" i="10"/>
  <c r="W128" i="10" s="1"/>
  <c r="AP128" i="10" s="1"/>
  <c r="AU570" i="10"/>
  <c r="R579" i="10"/>
  <c r="AO127" i="10"/>
  <c r="AY127" i="10" s="1"/>
  <c r="AH127" i="10"/>
  <c r="H579" i="10"/>
  <c r="D579" i="10"/>
  <c r="F579" i="10" s="1"/>
  <c r="G579" i="10" s="1"/>
  <c r="V579" i="10" s="1"/>
  <c r="AL127" i="10"/>
  <c r="O572" i="10" l="1"/>
  <c r="P572" i="10" s="1"/>
  <c r="J573" i="10" s="1"/>
  <c r="L573" i="10" s="1"/>
  <c r="N573" i="10" s="1"/>
  <c r="AT572" i="10"/>
  <c r="AE572" i="10"/>
  <c r="AF572" i="10"/>
  <c r="BB582" i="10"/>
  <c r="BC582" i="10" s="1"/>
  <c r="AS582" i="10"/>
  <c r="A583" i="10"/>
  <c r="Y582" i="10"/>
  <c r="B582" i="10"/>
  <c r="AU571" i="10"/>
  <c r="AN127" i="10"/>
  <c r="AW127" i="10" s="1"/>
  <c r="X128" i="10"/>
  <c r="R580" i="10"/>
  <c r="M581" i="10"/>
  <c r="C581" i="10"/>
  <c r="I581" i="10" s="1"/>
  <c r="K581" i="10"/>
  <c r="E581" i="10"/>
  <c r="H580" i="10"/>
  <c r="D580" i="10"/>
  <c r="F580" i="10" s="1"/>
  <c r="G580" i="10" s="1"/>
  <c r="V580" i="10" s="1"/>
  <c r="O573" i="10" l="1"/>
  <c r="P573" i="10" s="1"/>
  <c r="J574" i="10" s="1"/>
  <c r="L574" i="10" s="1"/>
  <c r="N574" i="10" s="1"/>
  <c r="AE573" i="10"/>
  <c r="AT573" i="10"/>
  <c r="AF573" i="10"/>
  <c r="AU572" i="10"/>
  <c r="M582" i="10"/>
  <c r="K582" i="10"/>
  <c r="C582" i="10"/>
  <c r="I582" i="10" s="1"/>
  <c r="E582" i="10"/>
  <c r="R581" i="10"/>
  <c r="Z128" i="10"/>
  <c r="AR128" i="10" s="1"/>
  <c r="BB583" i="10"/>
  <c r="BC583" i="10" s="1"/>
  <c r="AS583" i="10"/>
  <c r="Y583" i="10"/>
  <c r="A584" i="10"/>
  <c r="B583" i="10"/>
  <c r="H581" i="10"/>
  <c r="D581" i="10"/>
  <c r="F581" i="10" s="1"/>
  <c r="G581" i="10" s="1"/>
  <c r="V581" i="10" s="1"/>
  <c r="BD127" i="10"/>
  <c r="AZ127" i="10"/>
  <c r="Q129" i="10" l="1"/>
  <c r="AB129" i="10" s="1"/>
  <c r="AV128" i="10" s="1"/>
  <c r="AA128" i="10"/>
  <c r="AG128" i="10" s="1"/>
  <c r="O574" i="10"/>
  <c r="P574" i="10"/>
  <c r="J575" i="10" s="1"/>
  <c r="L575" i="10" s="1"/>
  <c r="N575" i="10" s="1"/>
  <c r="AT574" i="10"/>
  <c r="AE574" i="10"/>
  <c r="AF574" i="10"/>
  <c r="H582" i="10"/>
  <c r="D582" i="10"/>
  <c r="F582" i="10" s="1"/>
  <c r="G582" i="10" s="1"/>
  <c r="V582" i="10" s="1"/>
  <c r="AJ128" i="10"/>
  <c r="M583" i="10"/>
  <c r="K583" i="10"/>
  <c r="C583" i="10"/>
  <c r="I583" i="10" s="1"/>
  <c r="E583" i="10"/>
  <c r="BB584" i="10"/>
  <c r="BC584" i="10" s="1"/>
  <c r="AS584" i="10"/>
  <c r="A585" i="10"/>
  <c r="Y584" i="10"/>
  <c r="B584" i="10"/>
  <c r="AU573" i="10"/>
  <c r="R582" i="10"/>
  <c r="AM129" i="10" l="1"/>
  <c r="AC129" i="10"/>
  <c r="S129" i="10"/>
  <c r="U129" i="10" s="1"/>
  <c r="W129" i="10" s="1"/>
  <c r="AP129" i="10" s="1"/>
  <c r="AK128" i="10"/>
  <c r="AX128" i="10" s="1"/>
  <c r="AI128" i="10"/>
  <c r="BA128" i="10" s="1"/>
  <c r="R583" i="10"/>
  <c r="M584" i="10"/>
  <c r="C584" i="10"/>
  <c r="I584" i="10" s="1"/>
  <c r="K584" i="10"/>
  <c r="E584" i="10"/>
  <c r="H583" i="10"/>
  <c r="D583" i="10"/>
  <c r="F583" i="10" s="1"/>
  <c r="G583" i="10" s="1"/>
  <c r="V583" i="10" s="1"/>
  <c r="AU574" i="10"/>
  <c r="BB585" i="10"/>
  <c r="BC585" i="10" s="1"/>
  <c r="AS585" i="10"/>
  <c r="A586" i="10"/>
  <c r="Y585" i="10"/>
  <c r="B585" i="10"/>
  <c r="O575" i="10"/>
  <c r="P575" i="10" s="1"/>
  <c r="J576" i="10" s="1"/>
  <c r="L576" i="10" s="1"/>
  <c r="N576" i="10" s="1"/>
  <c r="AT575" i="10"/>
  <c r="AE575" i="10"/>
  <c r="AF575" i="10"/>
  <c r="T129" i="10"/>
  <c r="AQ129" i="10" s="1"/>
  <c r="AH128" i="10"/>
  <c r="AO128" i="10"/>
  <c r="AY128" i="10" s="1"/>
  <c r="AD129" i="10" l="1"/>
  <c r="AL128" i="10"/>
  <c r="AN128" i="10" s="1"/>
  <c r="AW128" i="10" s="1"/>
  <c r="O576" i="10"/>
  <c r="P576" i="10" s="1"/>
  <c r="J577" i="10" s="1"/>
  <c r="L577" i="10" s="1"/>
  <c r="N577" i="10" s="1"/>
  <c r="AE576" i="10"/>
  <c r="AT576" i="10"/>
  <c r="AF576" i="10"/>
  <c r="R584" i="10"/>
  <c r="H584" i="10"/>
  <c r="D584" i="10"/>
  <c r="F584" i="10" s="1"/>
  <c r="G584" i="10" s="1"/>
  <c r="V584" i="10" s="1"/>
  <c r="AU575" i="10"/>
  <c r="M585" i="10"/>
  <c r="C585" i="10"/>
  <c r="I585" i="10" s="1"/>
  <c r="K585" i="10"/>
  <c r="E585" i="10"/>
  <c r="BB586" i="10"/>
  <c r="BC586" i="10" s="1"/>
  <c r="AS586" i="10"/>
  <c r="A587" i="10"/>
  <c r="Y586" i="10"/>
  <c r="B586" i="10"/>
  <c r="X129" i="10"/>
  <c r="AZ128" i="10" l="1"/>
  <c r="BD128" i="10"/>
  <c r="M586" i="10"/>
  <c r="K586" i="10"/>
  <c r="C586" i="10"/>
  <c r="I586" i="10" s="1"/>
  <c r="E586" i="10"/>
  <c r="BB587" i="10"/>
  <c r="BC587" i="10" s="1"/>
  <c r="AS587" i="10"/>
  <c r="A588" i="10"/>
  <c r="Y587" i="10"/>
  <c r="B587" i="10"/>
  <c r="R585" i="10"/>
  <c r="AU576" i="10"/>
  <c r="O577" i="10"/>
  <c r="P577" i="10" s="1"/>
  <c r="J578" i="10" s="1"/>
  <c r="L578" i="10" s="1"/>
  <c r="N578" i="10" s="1"/>
  <c r="AE577" i="10"/>
  <c r="AT577" i="10"/>
  <c r="AF577" i="10"/>
  <c r="H585" i="10"/>
  <c r="D585" i="10"/>
  <c r="F585" i="10" s="1"/>
  <c r="G585" i="10" s="1"/>
  <c r="V585" i="10" s="1"/>
  <c r="Z129" i="10"/>
  <c r="AR129" i="10" s="1"/>
  <c r="O578" i="10" l="1"/>
  <c r="P578" i="10"/>
  <c r="J579" i="10" s="1"/>
  <c r="L579" i="10" s="1"/>
  <c r="N579" i="10" s="1"/>
  <c r="AE578" i="10"/>
  <c r="AT578" i="10"/>
  <c r="AF578" i="10"/>
  <c r="Q130" i="10"/>
  <c r="AU577" i="10"/>
  <c r="AA129" i="10"/>
  <c r="R586" i="10"/>
  <c r="M587" i="10"/>
  <c r="K587" i="10"/>
  <c r="C587" i="10"/>
  <c r="I587" i="10" s="1"/>
  <c r="E587" i="10"/>
  <c r="H586" i="10"/>
  <c r="D586" i="10"/>
  <c r="F586" i="10" s="1"/>
  <c r="G586" i="10" s="1"/>
  <c r="V586" i="10" s="1"/>
  <c r="BB588" i="10"/>
  <c r="BC588" i="10" s="1"/>
  <c r="AS588" i="10"/>
  <c r="A589" i="10"/>
  <c r="Y588" i="10"/>
  <c r="B588" i="10"/>
  <c r="O579" i="10" l="1"/>
  <c r="P579" i="10"/>
  <c r="J580" i="10" s="1"/>
  <c r="L580" i="10" s="1"/>
  <c r="N580" i="10" s="1"/>
  <c r="AE579" i="10"/>
  <c r="AT579" i="10"/>
  <c r="AF579" i="10"/>
  <c r="M588" i="10"/>
  <c r="C588" i="10"/>
  <c r="I588" i="10" s="1"/>
  <c r="K588" i="10"/>
  <c r="E588" i="10"/>
  <c r="BB589" i="10"/>
  <c r="BC589" i="10" s="1"/>
  <c r="AS589" i="10"/>
  <c r="A590" i="10"/>
  <c r="Y589" i="10"/>
  <c r="B589" i="10"/>
  <c r="R587" i="10"/>
  <c r="H587" i="10"/>
  <c r="D587" i="10"/>
  <c r="F587" i="10" s="1"/>
  <c r="G587" i="10" s="1"/>
  <c r="V587" i="10" s="1"/>
  <c r="AJ129" i="10"/>
  <c r="AI129" i="10"/>
  <c r="AG129" i="10"/>
  <c r="AK129" i="10"/>
  <c r="AX129" i="10" s="1"/>
  <c r="AU578" i="10"/>
  <c r="AB130" i="10"/>
  <c r="AV129" i="10" s="1"/>
  <c r="S130" i="10"/>
  <c r="AM130" i="10"/>
  <c r="AC130" i="10"/>
  <c r="BA129" i="10" l="1"/>
  <c r="O580" i="10"/>
  <c r="P580" i="10" s="1"/>
  <c r="J581" i="10" s="1"/>
  <c r="L581" i="10" s="1"/>
  <c r="N581" i="10" s="1"/>
  <c r="AE580" i="10"/>
  <c r="AT580" i="10"/>
  <c r="AF580" i="10"/>
  <c r="AU579" i="10"/>
  <c r="R588" i="10"/>
  <c r="T130" i="10"/>
  <c r="AQ130" i="10" s="1"/>
  <c r="AD130" i="10"/>
  <c r="U130" i="10"/>
  <c r="W130" i="10" s="1"/>
  <c r="AP130" i="10" s="1"/>
  <c r="AH129" i="10"/>
  <c r="AO129" i="10"/>
  <c r="AY129" i="10" s="1"/>
  <c r="M589" i="10"/>
  <c r="C589" i="10"/>
  <c r="I589" i="10" s="1"/>
  <c r="K589" i="10"/>
  <c r="E589" i="10"/>
  <c r="H588" i="10"/>
  <c r="D588" i="10"/>
  <c r="F588" i="10" s="1"/>
  <c r="G588" i="10" s="1"/>
  <c r="V588" i="10" s="1"/>
  <c r="AL129" i="10"/>
  <c r="BB590" i="10"/>
  <c r="BC590" i="10" s="1"/>
  <c r="AS590" i="10"/>
  <c r="A591" i="10"/>
  <c r="Y590" i="10"/>
  <c r="B590" i="10"/>
  <c r="O581" i="10" l="1"/>
  <c r="P581" i="10" s="1"/>
  <c r="J582" i="10" s="1"/>
  <c r="L582" i="10" s="1"/>
  <c r="N582" i="10" s="1"/>
  <c r="AT581" i="10"/>
  <c r="AE581" i="10"/>
  <c r="AF581" i="10"/>
  <c r="H589" i="10"/>
  <c r="D589" i="10"/>
  <c r="F589" i="10" s="1"/>
  <c r="G589" i="10" s="1"/>
  <c r="V589" i="10" s="1"/>
  <c r="AU580" i="10"/>
  <c r="AN129" i="10"/>
  <c r="AW129" i="10" s="1"/>
  <c r="M590" i="10"/>
  <c r="K590" i="10"/>
  <c r="C590" i="10"/>
  <c r="I590" i="10" s="1"/>
  <c r="E590" i="10"/>
  <c r="X130" i="10"/>
  <c r="BB591" i="10"/>
  <c r="BC591" i="10" s="1"/>
  <c r="AS591" i="10"/>
  <c r="Y591" i="10"/>
  <c r="A592" i="10"/>
  <c r="B591" i="10"/>
  <c r="R589" i="10"/>
  <c r="O582" i="10" l="1"/>
  <c r="P582" i="10"/>
  <c r="J583" i="10"/>
  <c r="L583" i="10" s="1"/>
  <c r="N583" i="10" s="1"/>
  <c r="AT582" i="10"/>
  <c r="AE582" i="10"/>
  <c r="AF582" i="10"/>
  <c r="Z130" i="10"/>
  <c r="AR130" i="10" s="1"/>
  <c r="AU581" i="10"/>
  <c r="M591" i="10"/>
  <c r="K591" i="10"/>
  <c r="C591" i="10"/>
  <c r="I591" i="10" s="1"/>
  <c r="E591" i="10"/>
  <c r="R590" i="10"/>
  <c r="BB592" i="10"/>
  <c r="BC592" i="10" s="1"/>
  <c r="AS592" i="10"/>
  <c r="A593" i="10"/>
  <c r="Y592" i="10"/>
  <c r="B592" i="10"/>
  <c r="H590" i="10"/>
  <c r="D590" i="10"/>
  <c r="F590" i="10" s="1"/>
  <c r="G590" i="10" s="1"/>
  <c r="V590" i="10" s="1"/>
  <c r="AZ129" i="10"/>
  <c r="BD129" i="10"/>
  <c r="BB593" i="10" l="1"/>
  <c r="BC593" i="10" s="1"/>
  <c r="AS593" i="10"/>
  <c r="A594" i="10"/>
  <c r="Y593" i="10"/>
  <c r="B593" i="10"/>
  <c r="AU582" i="10"/>
  <c r="O583" i="10"/>
  <c r="P583" i="10" s="1"/>
  <c r="J584" i="10" s="1"/>
  <c r="L584" i="10" s="1"/>
  <c r="N584" i="10" s="1"/>
  <c r="AE583" i="10"/>
  <c r="AT583" i="10"/>
  <c r="AF583" i="10"/>
  <c r="M592" i="10"/>
  <c r="C592" i="10"/>
  <c r="I592" i="10" s="1"/>
  <c r="K592" i="10"/>
  <c r="E592" i="10"/>
  <c r="R591" i="10"/>
  <c r="Q131" i="10"/>
  <c r="H591" i="10"/>
  <c r="D591" i="10"/>
  <c r="F591" i="10" s="1"/>
  <c r="G591" i="10" s="1"/>
  <c r="V591" i="10" s="1"/>
  <c r="AA130" i="10"/>
  <c r="O584" i="10" l="1"/>
  <c r="P584" i="10" s="1"/>
  <c r="J585" i="10" s="1"/>
  <c r="L585" i="10" s="1"/>
  <c r="N585" i="10" s="1"/>
  <c r="AE584" i="10"/>
  <c r="AT584" i="10"/>
  <c r="AF584" i="10"/>
  <c r="H592" i="10"/>
  <c r="D592" i="10"/>
  <c r="F592" i="10" s="1"/>
  <c r="G592" i="10" s="1"/>
  <c r="V592" i="10" s="1"/>
  <c r="M593" i="10"/>
  <c r="C593" i="10"/>
  <c r="I593" i="10" s="1"/>
  <c r="K593" i="10"/>
  <c r="E593" i="10"/>
  <c r="AB131" i="10"/>
  <c r="AV130" i="10" s="1"/>
  <c r="S131" i="10"/>
  <c r="AM131" i="10"/>
  <c r="AC131" i="10"/>
  <c r="BB594" i="10"/>
  <c r="BC594" i="10" s="1"/>
  <c r="AS594" i="10"/>
  <c r="A595" i="10"/>
  <c r="Y594" i="10"/>
  <c r="B594" i="10"/>
  <c r="AJ130" i="10"/>
  <c r="AI130" i="10"/>
  <c r="AG130" i="10"/>
  <c r="AK130" i="10"/>
  <c r="AX130" i="10" s="1"/>
  <c r="R592" i="10"/>
  <c r="AU583" i="10"/>
  <c r="O585" i="10" l="1"/>
  <c r="P585" i="10"/>
  <c r="J586" i="10" s="1"/>
  <c r="L586" i="10" s="1"/>
  <c r="N586" i="10" s="1"/>
  <c r="AT585" i="10"/>
  <c r="AE585" i="10"/>
  <c r="AF585" i="10"/>
  <c r="AO130" i="10"/>
  <c r="AY130" i="10" s="1"/>
  <c r="AH130" i="10"/>
  <c r="H593" i="10"/>
  <c r="D593" i="10"/>
  <c r="F593" i="10" s="1"/>
  <c r="G593" i="10" s="1"/>
  <c r="V593" i="10" s="1"/>
  <c r="AL130" i="10"/>
  <c r="BA130" i="10"/>
  <c r="AU584" i="10"/>
  <c r="M594" i="10"/>
  <c r="K594" i="10"/>
  <c r="C594" i="10"/>
  <c r="I594" i="10" s="1"/>
  <c r="E594" i="10"/>
  <c r="T131" i="10"/>
  <c r="AQ131" i="10" s="1"/>
  <c r="AD131" i="10"/>
  <c r="U131" i="10"/>
  <c r="W131" i="10" s="1"/>
  <c r="AP131" i="10" s="1"/>
  <c r="BB595" i="10"/>
  <c r="BC595" i="10" s="1"/>
  <c r="AS595" i="10"/>
  <c r="A596" i="10"/>
  <c r="Y595" i="10"/>
  <c r="B595" i="10"/>
  <c r="R593" i="10"/>
  <c r="O586" i="10" l="1"/>
  <c r="P586" i="10"/>
  <c r="J587" i="10" s="1"/>
  <c r="L587" i="10" s="1"/>
  <c r="N587" i="10" s="1"/>
  <c r="AT586" i="10"/>
  <c r="AE586" i="10"/>
  <c r="AF586" i="10"/>
  <c r="BB596" i="10"/>
  <c r="BC596" i="10" s="1"/>
  <c r="AS596" i="10"/>
  <c r="A597" i="10"/>
  <c r="Y596" i="10"/>
  <c r="B596" i="10"/>
  <c r="R594" i="10"/>
  <c r="H594" i="10"/>
  <c r="D594" i="10"/>
  <c r="F594" i="10" s="1"/>
  <c r="G594" i="10" s="1"/>
  <c r="V594" i="10" s="1"/>
  <c r="AU585" i="10"/>
  <c r="AN130" i="10"/>
  <c r="AW130" i="10" s="1"/>
  <c r="M595" i="10"/>
  <c r="C595" i="10"/>
  <c r="I595" i="10" s="1"/>
  <c r="K595" i="10"/>
  <c r="E595" i="10"/>
  <c r="X131" i="10"/>
  <c r="O587" i="10" l="1"/>
  <c r="P587" i="10"/>
  <c r="J588" i="10" s="1"/>
  <c r="L588" i="10" s="1"/>
  <c r="N588" i="10" s="1"/>
  <c r="AE587" i="10"/>
  <c r="AT587" i="10"/>
  <c r="AF587" i="10"/>
  <c r="Z131" i="10"/>
  <c r="AR131" i="10" s="1"/>
  <c r="R595" i="10"/>
  <c r="AU586" i="10"/>
  <c r="M596" i="10"/>
  <c r="K596" i="10"/>
  <c r="C596" i="10"/>
  <c r="I596" i="10" s="1"/>
  <c r="E596" i="10"/>
  <c r="H595" i="10"/>
  <c r="D595" i="10"/>
  <c r="F595" i="10" s="1"/>
  <c r="G595" i="10" s="1"/>
  <c r="V595" i="10" s="1"/>
  <c r="BB597" i="10"/>
  <c r="BC597" i="10" s="1"/>
  <c r="AS597" i="10"/>
  <c r="A598" i="10"/>
  <c r="Y597" i="10"/>
  <c r="B597" i="10"/>
  <c r="AZ130" i="10"/>
  <c r="BD130" i="10"/>
  <c r="O588" i="10" l="1"/>
  <c r="P588" i="10" s="1"/>
  <c r="J589" i="10" s="1"/>
  <c r="L589" i="10" s="1"/>
  <c r="N589" i="10" s="1"/>
  <c r="AT588" i="10"/>
  <c r="AE588" i="10"/>
  <c r="AF588" i="10"/>
  <c r="M597" i="10"/>
  <c r="C597" i="10"/>
  <c r="I597" i="10" s="1"/>
  <c r="K597" i="10"/>
  <c r="E597" i="10"/>
  <c r="R596" i="10"/>
  <c r="BB598" i="10"/>
  <c r="BC598" i="10" s="1"/>
  <c r="AS598" i="10"/>
  <c r="A599" i="10"/>
  <c r="Y598" i="10"/>
  <c r="B598" i="10"/>
  <c r="H596" i="10"/>
  <c r="D596" i="10"/>
  <c r="F596" i="10" s="1"/>
  <c r="G596" i="10" s="1"/>
  <c r="V596" i="10" s="1"/>
  <c r="AU587" i="10"/>
  <c r="Q132" i="10"/>
  <c r="AA131" i="10"/>
  <c r="O589" i="10" l="1"/>
  <c r="P589" i="10"/>
  <c r="J590" i="10" s="1"/>
  <c r="L590" i="10" s="1"/>
  <c r="N590" i="10" s="1"/>
  <c r="AT589" i="10"/>
  <c r="AE589" i="10"/>
  <c r="AF589" i="10"/>
  <c r="AB132" i="10"/>
  <c r="AV131" i="10" s="1"/>
  <c r="S132" i="10"/>
  <c r="AM132" i="10"/>
  <c r="AC132" i="10"/>
  <c r="M598" i="10"/>
  <c r="K598" i="10"/>
  <c r="C598" i="10"/>
  <c r="I598" i="10" s="1"/>
  <c r="E598" i="10"/>
  <c r="AU588" i="10"/>
  <c r="BB599" i="10"/>
  <c r="BC599" i="10" s="1"/>
  <c r="AS599" i="10"/>
  <c r="A600" i="10"/>
  <c r="Y599" i="10"/>
  <c r="B599" i="10"/>
  <c r="R597" i="10"/>
  <c r="H597" i="10"/>
  <c r="D597" i="10"/>
  <c r="F597" i="10" s="1"/>
  <c r="G597" i="10" s="1"/>
  <c r="V597" i="10" s="1"/>
  <c r="AJ131" i="10"/>
  <c r="AI131" i="10"/>
  <c r="AG131" i="10"/>
  <c r="AK131" i="10"/>
  <c r="AX131" i="10" s="1"/>
  <c r="BA131" i="10" l="1"/>
  <c r="O590" i="10"/>
  <c r="P590" i="10"/>
  <c r="J591" i="10"/>
  <c r="L591" i="10" s="1"/>
  <c r="N591" i="10" s="1"/>
  <c r="AE590" i="10"/>
  <c r="AT590" i="10"/>
  <c r="AF590" i="10"/>
  <c r="M599" i="10"/>
  <c r="C599" i="10"/>
  <c r="I599" i="10" s="1"/>
  <c r="K599" i="10"/>
  <c r="E599" i="10"/>
  <c r="R598" i="10"/>
  <c r="H598" i="10"/>
  <c r="D598" i="10"/>
  <c r="F598" i="10" s="1"/>
  <c r="G598" i="10" s="1"/>
  <c r="V598" i="10" s="1"/>
  <c r="BB600" i="10"/>
  <c r="BC600" i="10" s="1"/>
  <c r="AS600" i="10"/>
  <c r="A601" i="10"/>
  <c r="Y600" i="10"/>
  <c r="B600" i="10"/>
  <c r="AU589" i="10"/>
  <c r="AO131" i="10"/>
  <c r="AY131" i="10" s="1"/>
  <c r="AH131" i="10"/>
  <c r="AN131" i="10" s="1"/>
  <c r="AW131" i="10" s="1"/>
  <c r="T132" i="10"/>
  <c r="AQ132" i="10" s="1"/>
  <c r="AD132" i="10"/>
  <c r="U132" i="10"/>
  <c r="W132" i="10" s="1"/>
  <c r="AP132" i="10" s="1"/>
  <c r="AL131" i="10"/>
  <c r="M600" i="10" l="1"/>
  <c r="K600" i="10"/>
  <c r="C600" i="10"/>
  <c r="I600" i="10" s="1"/>
  <c r="E600" i="10"/>
  <c r="AZ131" i="10"/>
  <c r="BD131" i="10"/>
  <c r="BB601" i="10"/>
  <c r="BC601" i="10" s="1"/>
  <c r="AS601" i="10"/>
  <c r="A602" i="10"/>
  <c r="Y601" i="10"/>
  <c r="B601" i="10"/>
  <c r="AU590" i="10"/>
  <c r="R599" i="10"/>
  <c r="O591" i="10"/>
  <c r="P591" i="10" s="1"/>
  <c r="J592" i="10" s="1"/>
  <c r="L592" i="10" s="1"/>
  <c r="N592" i="10" s="1"/>
  <c r="AE591" i="10"/>
  <c r="AT591" i="10"/>
  <c r="AF591" i="10"/>
  <c r="X132" i="10"/>
  <c r="H599" i="10"/>
  <c r="D599" i="10"/>
  <c r="F599" i="10" s="1"/>
  <c r="G599" i="10" s="1"/>
  <c r="V599" i="10" s="1"/>
  <c r="O592" i="10" l="1"/>
  <c r="P592" i="10" s="1"/>
  <c r="J593" i="10" s="1"/>
  <c r="L593" i="10" s="1"/>
  <c r="N593" i="10" s="1"/>
  <c r="AE592" i="10"/>
  <c r="AT592" i="10"/>
  <c r="AF592" i="10"/>
  <c r="AU591" i="10"/>
  <c r="Z132" i="10"/>
  <c r="AR132" i="10" s="1"/>
  <c r="M601" i="10"/>
  <c r="C601" i="10"/>
  <c r="I601" i="10" s="1"/>
  <c r="K601" i="10"/>
  <c r="E601" i="10"/>
  <c r="R600" i="10"/>
  <c r="H600" i="10"/>
  <c r="D600" i="10"/>
  <c r="F600" i="10" s="1"/>
  <c r="G600" i="10" s="1"/>
  <c r="V600" i="10" s="1"/>
  <c r="BB602" i="10"/>
  <c r="BC602" i="10" s="1"/>
  <c r="AS602" i="10"/>
  <c r="A603" i="10"/>
  <c r="Y602" i="10"/>
  <c r="B602" i="10"/>
  <c r="O593" i="10" l="1"/>
  <c r="P593" i="10"/>
  <c r="J594" i="10" s="1"/>
  <c r="L594" i="10" s="1"/>
  <c r="N594" i="10" s="1"/>
  <c r="AE593" i="10"/>
  <c r="AT593" i="10"/>
  <c r="AF593" i="10"/>
  <c r="H601" i="10"/>
  <c r="D601" i="10"/>
  <c r="F601" i="10" s="1"/>
  <c r="G601" i="10" s="1"/>
  <c r="V601" i="10" s="1"/>
  <c r="M602" i="10"/>
  <c r="K602" i="10"/>
  <c r="C602" i="10"/>
  <c r="I602" i="10" s="1"/>
  <c r="E602" i="10"/>
  <c r="Q133" i="10"/>
  <c r="AU592" i="10"/>
  <c r="BB603" i="10"/>
  <c r="BC603" i="10" s="1"/>
  <c r="AS603" i="10"/>
  <c r="A604" i="10"/>
  <c r="Y603" i="10"/>
  <c r="B603" i="10"/>
  <c r="AA132" i="10"/>
  <c r="R601" i="10"/>
  <c r="O594" i="10" l="1"/>
  <c r="P594" i="10" s="1"/>
  <c r="J595" i="10" s="1"/>
  <c r="L595" i="10" s="1"/>
  <c r="N595" i="10" s="1"/>
  <c r="AE594" i="10"/>
  <c r="AT594" i="10"/>
  <c r="AF594" i="10"/>
  <c r="BB604" i="10"/>
  <c r="BC604" i="10" s="1"/>
  <c r="AS604" i="10"/>
  <c r="A605" i="10"/>
  <c r="Y604" i="10"/>
  <c r="B604" i="10"/>
  <c r="R602" i="10"/>
  <c r="H602" i="10"/>
  <c r="D602" i="10"/>
  <c r="F602" i="10" s="1"/>
  <c r="G602" i="10" s="1"/>
  <c r="V602" i="10" s="1"/>
  <c r="AU593" i="10"/>
  <c r="AJ132" i="10"/>
  <c r="AL132" i="10" s="1"/>
  <c r="AI132" i="10"/>
  <c r="AG132" i="10"/>
  <c r="AK132" i="10"/>
  <c r="AX132" i="10" s="1"/>
  <c r="AB133" i="10"/>
  <c r="AV132" i="10" s="1"/>
  <c r="S133" i="10"/>
  <c r="AM133" i="10"/>
  <c r="AC133" i="10"/>
  <c r="M603" i="10"/>
  <c r="C603" i="10"/>
  <c r="I603" i="10" s="1"/>
  <c r="K603" i="10"/>
  <c r="E603" i="10"/>
  <c r="O595" i="10" l="1"/>
  <c r="P595" i="10" s="1"/>
  <c r="J596" i="10" s="1"/>
  <c r="L596" i="10" s="1"/>
  <c r="N596" i="10" s="1"/>
  <c r="AT595" i="10"/>
  <c r="AE595" i="10"/>
  <c r="AF595" i="10"/>
  <c r="H603" i="10"/>
  <c r="D603" i="10"/>
  <c r="F603" i="10" s="1"/>
  <c r="G603" i="10" s="1"/>
  <c r="V603" i="10" s="1"/>
  <c r="BA132" i="10"/>
  <c r="T133" i="10"/>
  <c r="AQ133" i="10" s="1"/>
  <c r="AD133" i="10"/>
  <c r="U133" i="10"/>
  <c r="W133" i="10" s="1"/>
  <c r="AP133" i="10" s="1"/>
  <c r="M604" i="10"/>
  <c r="K604" i="10"/>
  <c r="C604" i="10"/>
  <c r="I604" i="10" s="1"/>
  <c r="E604" i="10"/>
  <c r="AU594" i="10"/>
  <c r="R603" i="10"/>
  <c r="BB605" i="10"/>
  <c r="BC605" i="10" s="1"/>
  <c r="AS605" i="10"/>
  <c r="A606" i="10"/>
  <c r="Y605" i="10"/>
  <c r="B605" i="10"/>
  <c r="AH132" i="10"/>
  <c r="AN132" i="10" s="1"/>
  <c r="AW132" i="10" s="1"/>
  <c r="AO132" i="10"/>
  <c r="AY132" i="10" s="1"/>
  <c r="O596" i="10" l="1"/>
  <c r="P596" i="10" s="1"/>
  <c r="J597" i="10" s="1"/>
  <c r="L597" i="10" s="1"/>
  <c r="N597" i="10" s="1"/>
  <c r="AT596" i="10"/>
  <c r="AE596" i="10"/>
  <c r="AF596" i="10"/>
  <c r="M605" i="10"/>
  <c r="C605" i="10"/>
  <c r="I605" i="10" s="1"/>
  <c r="K605" i="10"/>
  <c r="E605" i="10"/>
  <c r="BB606" i="10"/>
  <c r="BC606" i="10" s="1"/>
  <c r="AS606" i="10"/>
  <c r="A607" i="10"/>
  <c r="Y606" i="10"/>
  <c r="B606" i="10"/>
  <c r="X133" i="10"/>
  <c r="AU595" i="10"/>
  <c r="R604" i="10"/>
  <c r="H604" i="10"/>
  <c r="D604" i="10"/>
  <c r="F604" i="10" s="1"/>
  <c r="G604" i="10" s="1"/>
  <c r="V604" i="10" s="1"/>
  <c r="AZ132" i="10"/>
  <c r="BD132" i="10"/>
  <c r="O597" i="10" l="1"/>
  <c r="P597" i="10" s="1"/>
  <c r="J598" i="10" s="1"/>
  <c r="L598" i="10" s="1"/>
  <c r="N598" i="10" s="1"/>
  <c r="AE597" i="10"/>
  <c r="AT597" i="10"/>
  <c r="AF597" i="10"/>
  <c r="BB607" i="10"/>
  <c r="BC607" i="10" s="1"/>
  <c r="AS607" i="10"/>
  <c r="A608" i="10"/>
  <c r="Y607" i="10"/>
  <c r="B607" i="10"/>
  <c r="AU596" i="10"/>
  <c r="Z133" i="10"/>
  <c r="AR133" i="10" s="1"/>
  <c r="R605" i="10"/>
  <c r="M606" i="10"/>
  <c r="K606" i="10"/>
  <c r="C606" i="10"/>
  <c r="I606" i="10" s="1"/>
  <c r="E606" i="10"/>
  <c r="H605" i="10"/>
  <c r="D605" i="10"/>
  <c r="F605" i="10" s="1"/>
  <c r="G605" i="10" s="1"/>
  <c r="V605" i="10" s="1"/>
  <c r="O598" i="10" l="1"/>
  <c r="P598" i="10" s="1"/>
  <c r="J599" i="10" s="1"/>
  <c r="L599" i="10" s="1"/>
  <c r="N599" i="10" s="1"/>
  <c r="AT598" i="10"/>
  <c r="AE598" i="10"/>
  <c r="AF598" i="10"/>
  <c r="M607" i="10"/>
  <c r="C607" i="10"/>
  <c r="I607" i="10" s="1"/>
  <c r="K607" i="10"/>
  <c r="E607" i="10"/>
  <c r="AU597" i="10"/>
  <c r="R606" i="10"/>
  <c r="BB608" i="10"/>
  <c r="BC608" i="10" s="1"/>
  <c r="AS608" i="10"/>
  <c r="A609" i="10"/>
  <c r="Y608" i="10"/>
  <c r="B608" i="10"/>
  <c r="H606" i="10"/>
  <c r="D606" i="10"/>
  <c r="F606" i="10" s="1"/>
  <c r="G606" i="10" s="1"/>
  <c r="V606" i="10" s="1"/>
  <c r="Q134" i="10"/>
  <c r="AA133" i="10"/>
  <c r="O599" i="10" l="1"/>
  <c r="P599" i="10" s="1"/>
  <c r="J600" i="10" s="1"/>
  <c r="L600" i="10" s="1"/>
  <c r="N600" i="10" s="1"/>
  <c r="AE599" i="10"/>
  <c r="AT599" i="10"/>
  <c r="AF599" i="10"/>
  <c r="BB609" i="10"/>
  <c r="BC609" i="10" s="1"/>
  <c r="AS609" i="10"/>
  <c r="A610" i="10"/>
  <c r="Y609" i="10"/>
  <c r="B609" i="10"/>
  <c r="AJ133" i="10"/>
  <c r="AI133" i="10"/>
  <c r="AG133" i="10"/>
  <c r="AK133" i="10"/>
  <c r="AX133" i="10" s="1"/>
  <c r="R607" i="10"/>
  <c r="AB134" i="10"/>
  <c r="AV133" i="10" s="1"/>
  <c r="S134" i="10"/>
  <c r="AC134" i="10"/>
  <c r="AM134" i="10"/>
  <c r="AU598" i="10"/>
  <c r="H607" i="10"/>
  <c r="D607" i="10"/>
  <c r="F607" i="10" s="1"/>
  <c r="G607" i="10" s="1"/>
  <c r="V607" i="10" s="1"/>
  <c r="M608" i="10"/>
  <c r="K608" i="10"/>
  <c r="C608" i="10"/>
  <c r="I608" i="10" s="1"/>
  <c r="E608" i="10"/>
  <c r="BA133" i="10" l="1"/>
  <c r="O600" i="10"/>
  <c r="P600" i="10" s="1"/>
  <c r="J601" i="10" s="1"/>
  <c r="L601" i="10" s="1"/>
  <c r="N601" i="10" s="1"/>
  <c r="AE600" i="10"/>
  <c r="AT600" i="10"/>
  <c r="AF600" i="10"/>
  <c r="AH133" i="10"/>
  <c r="AO133" i="10"/>
  <c r="AY133" i="10" s="1"/>
  <c r="T134" i="10"/>
  <c r="AQ134" i="10" s="1"/>
  <c r="AD134" i="10"/>
  <c r="U134" i="10"/>
  <c r="W134" i="10" s="1"/>
  <c r="AP134" i="10" s="1"/>
  <c r="AL133" i="10"/>
  <c r="M609" i="10"/>
  <c r="C609" i="10"/>
  <c r="I609" i="10" s="1"/>
  <c r="K609" i="10"/>
  <c r="E609" i="10"/>
  <c r="AU599" i="10"/>
  <c r="R608" i="10"/>
  <c r="H608" i="10"/>
  <c r="D608" i="10"/>
  <c r="F608" i="10" s="1"/>
  <c r="G608" i="10" s="1"/>
  <c r="V608" i="10" s="1"/>
  <c r="BB610" i="10"/>
  <c r="BC610" i="10" s="1"/>
  <c r="AS610" i="10"/>
  <c r="A611" i="10"/>
  <c r="Y610" i="10"/>
  <c r="B610" i="10"/>
  <c r="O601" i="10" l="1"/>
  <c r="P601" i="10" s="1"/>
  <c r="J602" i="10" s="1"/>
  <c r="L602" i="10" s="1"/>
  <c r="N602" i="10" s="1"/>
  <c r="AT601" i="10"/>
  <c r="AE601" i="10"/>
  <c r="AF601" i="10"/>
  <c r="BB611" i="10"/>
  <c r="BC611" i="10" s="1"/>
  <c r="AS611" i="10"/>
  <c r="A612" i="10"/>
  <c r="Y611" i="10"/>
  <c r="B611" i="10"/>
  <c r="X134" i="10"/>
  <c r="R609" i="10"/>
  <c r="AU600" i="10"/>
  <c r="M610" i="10"/>
  <c r="K610" i="10"/>
  <c r="C610" i="10"/>
  <c r="I610" i="10" s="1"/>
  <c r="E610" i="10"/>
  <c r="H609" i="10"/>
  <c r="D609" i="10"/>
  <c r="F609" i="10" s="1"/>
  <c r="G609" i="10" s="1"/>
  <c r="V609" i="10" s="1"/>
  <c r="AN133" i="10"/>
  <c r="AW133" i="10" s="1"/>
  <c r="O602" i="10" l="1"/>
  <c r="P602" i="10" s="1"/>
  <c r="J603" i="10" s="1"/>
  <c r="L603" i="10" s="1"/>
  <c r="N603" i="10" s="1"/>
  <c r="AT602" i="10"/>
  <c r="AE602" i="10"/>
  <c r="AF602" i="10"/>
  <c r="AZ133" i="10"/>
  <c r="BD133" i="10"/>
  <c r="Z134" i="10"/>
  <c r="AR134" i="10" s="1"/>
  <c r="AU601" i="10"/>
  <c r="M611" i="10"/>
  <c r="C611" i="10"/>
  <c r="I611" i="10" s="1"/>
  <c r="K611" i="10"/>
  <c r="E611" i="10"/>
  <c r="R610" i="10"/>
  <c r="BB612" i="10"/>
  <c r="BC612" i="10" s="1"/>
  <c r="AS612" i="10"/>
  <c r="A613" i="10"/>
  <c r="Y612" i="10"/>
  <c r="B612" i="10"/>
  <c r="H610" i="10"/>
  <c r="D610" i="10"/>
  <c r="F610" i="10" s="1"/>
  <c r="G610" i="10" s="1"/>
  <c r="V610" i="10" s="1"/>
  <c r="O603" i="10" l="1"/>
  <c r="P603" i="10" s="1"/>
  <c r="J604" i="10" s="1"/>
  <c r="L604" i="10" s="1"/>
  <c r="N604" i="10" s="1"/>
  <c r="AT603" i="10"/>
  <c r="AE603" i="10"/>
  <c r="AF603" i="10"/>
  <c r="M612" i="10"/>
  <c r="K612" i="10"/>
  <c r="C612" i="10"/>
  <c r="I612" i="10" s="1"/>
  <c r="E612" i="10"/>
  <c r="BB613" i="10"/>
  <c r="BC613" i="10" s="1"/>
  <c r="AS613" i="10"/>
  <c r="A614" i="10"/>
  <c r="Y613" i="10"/>
  <c r="B613" i="10"/>
  <c r="R611" i="10"/>
  <c r="Q135" i="10"/>
  <c r="AU602" i="10"/>
  <c r="H611" i="10"/>
  <c r="D611" i="10"/>
  <c r="F611" i="10" s="1"/>
  <c r="G611" i="10" s="1"/>
  <c r="V611" i="10" s="1"/>
  <c r="AA134" i="10"/>
  <c r="O604" i="10" l="1"/>
  <c r="P604" i="10" s="1"/>
  <c r="J605" i="10" s="1"/>
  <c r="L605" i="10" s="1"/>
  <c r="N605" i="10" s="1"/>
  <c r="AE604" i="10"/>
  <c r="AT604" i="10"/>
  <c r="AF604" i="10"/>
  <c r="AB135" i="10"/>
  <c r="AV134" i="10" s="1"/>
  <c r="S135" i="10"/>
  <c r="AM135" i="10"/>
  <c r="AC135" i="10"/>
  <c r="BB614" i="10"/>
  <c r="BC614" i="10" s="1"/>
  <c r="AS614" i="10"/>
  <c r="A615" i="10"/>
  <c r="Y614" i="10"/>
  <c r="B614" i="10"/>
  <c r="AU603" i="10"/>
  <c r="AJ134" i="10"/>
  <c r="AI134" i="10"/>
  <c r="AG134" i="10"/>
  <c r="AK134" i="10"/>
  <c r="AX134" i="10" s="1"/>
  <c r="R612" i="10"/>
  <c r="H612" i="10"/>
  <c r="D612" i="10"/>
  <c r="F612" i="10" s="1"/>
  <c r="G612" i="10" s="1"/>
  <c r="V612" i="10" s="1"/>
  <c r="M613" i="10"/>
  <c r="C613" i="10"/>
  <c r="I613" i="10" s="1"/>
  <c r="K613" i="10"/>
  <c r="E613" i="10"/>
  <c r="O605" i="10" l="1"/>
  <c r="P605" i="10" s="1"/>
  <c r="J606" i="10" s="1"/>
  <c r="L606" i="10" s="1"/>
  <c r="N606" i="10" s="1"/>
  <c r="AE605" i="10"/>
  <c r="AT605" i="10"/>
  <c r="AF605" i="10"/>
  <c r="BB615" i="10"/>
  <c r="BC615" i="10" s="1"/>
  <c r="AS615" i="10"/>
  <c r="A616" i="10"/>
  <c r="Y615" i="10"/>
  <c r="B615" i="10"/>
  <c r="AO134" i="10"/>
  <c r="AY134" i="10" s="1"/>
  <c r="AH134" i="10"/>
  <c r="AL134" i="10"/>
  <c r="BA134" i="10"/>
  <c r="AU604" i="10"/>
  <c r="R613" i="10"/>
  <c r="T135" i="10"/>
  <c r="AQ135" i="10" s="1"/>
  <c r="AD135" i="10"/>
  <c r="U135" i="10"/>
  <c r="W135" i="10" s="1"/>
  <c r="AP135" i="10" s="1"/>
  <c r="M614" i="10"/>
  <c r="K614" i="10"/>
  <c r="C614" i="10"/>
  <c r="I614" i="10" s="1"/>
  <c r="E614" i="10"/>
  <c r="H613" i="10"/>
  <c r="D613" i="10"/>
  <c r="F613" i="10" s="1"/>
  <c r="G613" i="10" s="1"/>
  <c r="V613" i="10" s="1"/>
  <c r="AN134" i="10" l="1"/>
  <c r="AW134" i="10" s="1"/>
  <c r="BD134" i="10" s="1"/>
  <c r="O606" i="10"/>
  <c r="P606" i="10" s="1"/>
  <c r="J607" i="10" s="1"/>
  <c r="L607" i="10" s="1"/>
  <c r="N607" i="10" s="1"/>
  <c r="AE606" i="10"/>
  <c r="AT606" i="10"/>
  <c r="AF606" i="10"/>
  <c r="AZ134" i="10"/>
  <c r="AU605" i="10"/>
  <c r="H614" i="10"/>
  <c r="D614" i="10"/>
  <c r="F614" i="10" s="1"/>
  <c r="G614" i="10" s="1"/>
  <c r="V614" i="10" s="1"/>
  <c r="M615" i="10"/>
  <c r="C615" i="10"/>
  <c r="I615" i="10" s="1"/>
  <c r="K615" i="10"/>
  <c r="E615" i="10"/>
  <c r="X135" i="10"/>
  <c r="BB616" i="10"/>
  <c r="BC616" i="10" s="1"/>
  <c r="AS616" i="10"/>
  <c r="Y616" i="10"/>
  <c r="A617" i="10"/>
  <c r="B616" i="10"/>
  <c r="R614" i="10"/>
  <c r="O607" i="10" l="1"/>
  <c r="P607" i="10" s="1"/>
  <c r="J608" i="10" s="1"/>
  <c r="L608" i="10" s="1"/>
  <c r="N608" i="10" s="1"/>
  <c r="AE607" i="10"/>
  <c r="AT607" i="10"/>
  <c r="AF607" i="10"/>
  <c r="M616" i="10"/>
  <c r="K616" i="10"/>
  <c r="C616" i="10"/>
  <c r="I616" i="10" s="1"/>
  <c r="E616" i="10"/>
  <c r="AU606" i="10"/>
  <c r="R615" i="10"/>
  <c r="BB617" i="10"/>
  <c r="BC617" i="10" s="1"/>
  <c r="AS617" i="10"/>
  <c r="A618" i="10"/>
  <c r="Y617" i="10"/>
  <c r="B617" i="10"/>
  <c r="H615" i="10"/>
  <c r="D615" i="10"/>
  <c r="F615" i="10" s="1"/>
  <c r="G615" i="10" s="1"/>
  <c r="V615" i="10" s="1"/>
  <c r="Z135" i="10"/>
  <c r="AR135" i="10" s="1"/>
  <c r="O608" i="10" l="1"/>
  <c r="P608" i="10" s="1"/>
  <c r="J609" i="10" s="1"/>
  <c r="L609" i="10" s="1"/>
  <c r="N609" i="10" s="1"/>
  <c r="AE608" i="10"/>
  <c r="AT608" i="10"/>
  <c r="AF608" i="10"/>
  <c r="BB618" i="10"/>
  <c r="BC618" i="10" s="1"/>
  <c r="AS618" i="10"/>
  <c r="A619" i="10"/>
  <c r="Y618" i="10"/>
  <c r="B618" i="10"/>
  <c r="Q136" i="10"/>
  <c r="AA135" i="10"/>
  <c r="AU607" i="10"/>
  <c r="R616" i="10"/>
  <c r="H616" i="10"/>
  <c r="D616" i="10"/>
  <c r="F616" i="10" s="1"/>
  <c r="G616" i="10" s="1"/>
  <c r="V616" i="10" s="1"/>
  <c r="M617" i="10"/>
  <c r="C617" i="10"/>
  <c r="I617" i="10" s="1"/>
  <c r="K617" i="10"/>
  <c r="E617" i="10"/>
  <c r="O609" i="10" l="1"/>
  <c r="P609" i="10" s="1"/>
  <c r="J610" i="10" s="1"/>
  <c r="L610" i="10" s="1"/>
  <c r="N610" i="10" s="1"/>
  <c r="AE609" i="10"/>
  <c r="AT609" i="10"/>
  <c r="AF609" i="10"/>
  <c r="AJ135" i="10"/>
  <c r="AI135" i="10"/>
  <c r="AG135" i="10"/>
  <c r="AK135" i="10"/>
  <c r="AX135" i="10" s="1"/>
  <c r="AB136" i="10"/>
  <c r="AV135" i="10" s="1"/>
  <c r="S136" i="10"/>
  <c r="AC136" i="10"/>
  <c r="AM136" i="10"/>
  <c r="AU608" i="10"/>
  <c r="R617" i="10"/>
  <c r="M618" i="10"/>
  <c r="K618" i="10"/>
  <c r="C618" i="10"/>
  <c r="I618" i="10" s="1"/>
  <c r="E618" i="10"/>
  <c r="H617" i="10"/>
  <c r="D617" i="10"/>
  <c r="F617" i="10" s="1"/>
  <c r="G617" i="10" s="1"/>
  <c r="V617" i="10" s="1"/>
  <c r="BB619" i="10"/>
  <c r="BC619" i="10" s="1"/>
  <c r="AS619" i="10"/>
  <c r="A620" i="10"/>
  <c r="Y619" i="10"/>
  <c r="B619" i="10"/>
  <c r="BA135" i="10" l="1"/>
  <c r="O610" i="10"/>
  <c r="P610" i="10" s="1"/>
  <c r="J611" i="10" s="1"/>
  <c r="L611" i="10" s="1"/>
  <c r="N611" i="10" s="1"/>
  <c r="AE610" i="10"/>
  <c r="AT610" i="10"/>
  <c r="AF610" i="10"/>
  <c r="T136" i="10"/>
  <c r="AQ136" i="10" s="1"/>
  <c r="AD136" i="10"/>
  <c r="U136" i="10"/>
  <c r="W136" i="10" s="1"/>
  <c r="AP136" i="10" s="1"/>
  <c r="AU609" i="10"/>
  <c r="M619" i="10"/>
  <c r="C619" i="10"/>
  <c r="I619" i="10" s="1"/>
  <c r="K619" i="10"/>
  <c r="E619" i="10"/>
  <c r="AO135" i="10"/>
  <c r="AY135" i="10" s="1"/>
  <c r="AH135" i="10"/>
  <c r="R618" i="10"/>
  <c r="BB620" i="10"/>
  <c r="BC620" i="10" s="1"/>
  <c r="AS620" i="10"/>
  <c r="A621" i="10"/>
  <c r="Y620" i="10"/>
  <c r="B620" i="10"/>
  <c r="H618" i="10"/>
  <c r="D618" i="10"/>
  <c r="F618" i="10" s="1"/>
  <c r="G618" i="10" s="1"/>
  <c r="V618" i="10" s="1"/>
  <c r="AL135" i="10"/>
  <c r="AN135" i="10" l="1"/>
  <c r="AW135" i="10" s="1"/>
  <c r="BD135" i="10" s="1"/>
  <c r="O611" i="10"/>
  <c r="P611" i="10" s="1"/>
  <c r="J612" i="10" s="1"/>
  <c r="L612" i="10" s="1"/>
  <c r="N612" i="10" s="1"/>
  <c r="AE611" i="10"/>
  <c r="AT611" i="10"/>
  <c r="AF611" i="10"/>
  <c r="AZ135" i="10"/>
  <c r="BB621" i="10"/>
  <c r="BC621" i="10" s="1"/>
  <c r="AS621" i="10"/>
  <c r="A622" i="10"/>
  <c r="Y621" i="10"/>
  <c r="B621" i="10"/>
  <c r="R619" i="10"/>
  <c r="AU610" i="10"/>
  <c r="H619" i="10"/>
  <c r="D619" i="10"/>
  <c r="F619" i="10" s="1"/>
  <c r="G619" i="10" s="1"/>
  <c r="V619" i="10" s="1"/>
  <c r="X136" i="10"/>
  <c r="M620" i="10"/>
  <c r="K620" i="10"/>
  <c r="C620" i="10"/>
  <c r="I620" i="10" s="1"/>
  <c r="E620" i="10"/>
  <c r="O612" i="10" l="1"/>
  <c r="P612" i="10" s="1"/>
  <c r="J613" i="10" s="1"/>
  <c r="L613" i="10" s="1"/>
  <c r="N613" i="10" s="1"/>
  <c r="AT612" i="10"/>
  <c r="AE612" i="10"/>
  <c r="AF612" i="10"/>
  <c r="R620" i="10"/>
  <c r="H620" i="10"/>
  <c r="D620" i="10"/>
  <c r="F620" i="10" s="1"/>
  <c r="G620" i="10" s="1"/>
  <c r="V620" i="10" s="1"/>
  <c r="M621" i="10"/>
  <c r="C621" i="10"/>
  <c r="I621" i="10" s="1"/>
  <c r="K621" i="10"/>
  <c r="E621" i="10"/>
  <c r="BB622" i="10"/>
  <c r="BC622" i="10" s="1"/>
  <c r="AS622" i="10"/>
  <c r="A623" i="10"/>
  <c r="Y622" i="10"/>
  <c r="B622" i="10"/>
  <c r="AU611" i="10"/>
  <c r="Z136" i="10"/>
  <c r="AR136" i="10" s="1"/>
  <c r="O613" i="10" l="1"/>
  <c r="P613" i="10" s="1"/>
  <c r="J614" i="10" s="1"/>
  <c r="L614" i="10" s="1"/>
  <c r="N614" i="10" s="1"/>
  <c r="AT613" i="10"/>
  <c r="AE613" i="10"/>
  <c r="AF613" i="10"/>
  <c r="H621" i="10"/>
  <c r="D621" i="10"/>
  <c r="F621" i="10" s="1"/>
  <c r="G621" i="10" s="1"/>
  <c r="V621" i="10" s="1"/>
  <c r="Q137" i="10"/>
  <c r="R621" i="10"/>
  <c r="BB623" i="10"/>
  <c r="BC623" i="10" s="1"/>
  <c r="AS623" i="10"/>
  <c r="A624" i="10"/>
  <c r="Y623" i="10"/>
  <c r="B623" i="10"/>
  <c r="AU612" i="10"/>
  <c r="AA136" i="10"/>
  <c r="M622" i="10"/>
  <c r="K622" i="10"/>
  <c r="C622" i="10"/>
  <c r="I622" i="10" s="1"/>
  <c r="E622" i="10"/>
  <c r="O614" i="10" l="1"/>
  <c r="P614" i="10" s="1"/>
  <c r="J615" i="10" s="1"/>
  <c r="L615" i="10" s="1"/>
  <c r="N615" i="10" s="1"/>
  <c r="AT614" i="10"/>
  <c r="AE614" i="10"/>
  <c r="AF614" i="10"/>
  <c r="H622" i="10"/>
  <c r="D622" i="10"/>
  <c r="F622" i="10" s="1"/>
  <c r="G622" i="10" s="1"/>
  <c r="V622" i="10" s="1"/>
  <c r="M623" i="10"/>
  <c r="C623" i="10"/>
  <c r="I623" i="10" s="1"/>
  <c r="K623" i="10"/>
  <c r="E623" i="10"/>
  <c r="AB137" i="10"/>
  <c r="AV136" i="10" s="1"/>
  <c r="S137" i="10"/>
  <c r="AC137" i="10"/>
  <c r="AM137" i="10"/>
  <c r="R622" i="10"/>
  <c r="AU613" i="10"/>
  <c r="BB624" i="10"/>
  <c r="BC624" i="10" s="1"/>
  <c r="AS624" i="10"/>
  <c r="A625" i="10"/>
  <c r="Y624" i="10"/>
  <c r="B624" i="10"/>
  <c r="AJ136" i="10"/>
  <c r="AI136" i="10"/>
  <c r="AG136" i="10"/>
  <c r="AK136" i="10"/>
  <c r="AX136" i="10" s="1"/>
  <c r="BA136" i="10" l="1"/>
  <c r="O615" i="10"/>
  <c r="P615" i="10" s="1"/>
  <c r="J616" i="10" s="1"/>
  <c r="L616" i="10" s="1"/>
  <c r="N616" i="10" s="1"/>
  <c r="AE615" i="10"/>
  <c r="AT615" i="10"/>
  <c r="AF615" i="10"/>
  <c r="BB625" i="10"/>
  <c r="BC625" i="10" s="1"/>
  <c r="AS625" i="10"/>
  <c r="A626" i="10"/>
  <c r="Y625" i="10"/>
  <c r="B625" i="10"/>
  <c r="H623" i="10"/>
  <c r="D623" i="10"/>
  <c r="F623" i="10" s="1"/>
  <c r="G623" i="10" s="1"/>
  <c r="V623" i="10" s="1"/>
  <c r="AU614" i="10"/>
  <c r="AH136" i="10"/>
  <c r="AO136" i="10"/>
  <c r="AY136" i="10" s="1"/>
  <c r="T137" i="10"/>
  <c r="AQ137" i="10" s="1"/>
  <c r="AD137" i="10"/>
  <c r="U137" i="10"/>
  <c r="W137" i="10" s="1"/>
  <c r="AP137" i="10" s="1"/>
  <c r="AL136" i="10"/>
  <c r="M624" i="10"/>
  <c r="K624" i="10"/>
  <c r="C624" i="10"/>
  <c r="I624" i="10" s="1"/>
  <c r="E624" i="10"/>
  <c r="R623" i="10"/>
  <c r="O616" i="10" l="1"/>
  <c r="P616" i="10" s="1"/>
  <c r="J617" i="10" s="1"/>
  <c r="L617" i="10" s="1"/>
  <c r="N617" i="10" s="1"/>
  <c r="AE616" i="10"/>
  <c r="AT616" i="10"/>
  <c r="AF616" i="10"/>
  <c r="BB626" i="10"/>
  <c r="BC626" i="10" s="1"/>
  <c r="AS626" i="10"/>
  <c r="A627" i="10"/>
  <c r="Y626" i="10"/>
  <c r="B626" i="10"/>
  <c r="AU615" i="10"/>
  <c r="H624" i="10"/>
  <c r="D624" i="10"/>
  <c r="F624" i="10" s="1"/>
  <c r="G624" i="10" s="1"/>
  <c r="V624" i="10" s="1"/>
  <c r="M625" i="10"/>
  <c r="C625" i="10"/>
  <c r="I625" i="10" s="1"/>
  <c r="K625" i="10"/>
  <c r="E625" i="10"/>
  <c r="AN136" i="10"/>
  <c r="AW136" i="10" s="1"/>
  <c r="R624" i="10"/>
  <c r="X137" i="10"/>
  <c r="O617" i="10" l="1"/>
  <c r="P617" i="10" s="1"/>
  <c r="J618" i="10" s="1"/>
  <c r="L618" i="10" s="1"/>
  <c r="N618" i="10" s="1"/>
  <c r="AE617" i="10"/>
  <c r="AT617" i="10"/>
  <c r="AF617" i="10"/>
  <c r="R625" i="10"/>
  <c r="Z137" i="10"/>
  <c r="AR137" i="10" s="1"/>
  <c r="H625" i="10"/>
  <c r="D625" i="10"/>
  <c r="F625" i="10" s="1"/>
  <c r="G625" i="10" s="1"/>
  <c r="V625" i="10" s="1"/>
  <c r="M626" i="10"/>
  <c r="K626" i="10"/>
  <c r="C626" i="10"/>
  <c r="I626" i="10" s="1"/>
  <c r="E626" i="10"/>
  <c r="AU616" i="10"/>
  <c r="BB627" i="10"/>
  <c r="BC627" i="10" s="1"/>
  <c r="AS627" i="10"/>
  <c r="A628" i="10"/>
  <c r="Y627" i="10"/>
  <c r="B627" i="10"/>
  <c r="AZ136" i="10"/>
  <c r="BD136" i="10"/>
  <c r="O618" i="10" l="1"/>
  <c r="P618" i="10" s="1"/>
  <c r="J619" i="10" s="1"/>
  <c r="L619" i="10" s="1"/>
  <c r="N619" i="10" s="1"/>
  <c r="AT618" i="10"/>
  <c r="AE618" i="10"/>
  <c r="AF618" i="10"/>
  <c r="M627" i="10"/>
  <c r="C627" i="10"/>
  <c r="I627" i="10" s="1"/>
  <c r="K627" i="10"/>
  <c r="E627" i="10"/>
  <c r="R626" i="10"/>
  <c r="BB628" i="10"/>
  <c r="BC628" i="10" s="1"/>
  <c r="AS628" i="10"/>
  <c r="A629" i="10"/>
  <c r="Y628" i="10"/>
  <c r="B628" i="10"/>
  <c r="H626" i="10"/>
  <c r="D626" i="10"/>
  <c r="F626" i="10" s="1"/>
  <c r="G626" i="10" s="1"/>
  <c r="V626" i="10" s="1"/>
  <c r="Q138" i="10"/>
  <c r="AU617" i="10"/>
  <c r="AA137" i="10"/>
  <c r="O619" i="10" l="1"/>
  <c r="P619" i="10" s="1"/>
  <c r="J620" i="10" s="1"/>
  <c r="L620" i="10" s="1"/>
  <c r="N620" i="10" s="1"/>
  <c r="AT619" i="10"/>
  <c r="AE619" i="10"/>
  <c r="AF619" i="10"/>
  <c r="AB138" i="10"/>
  <c r="AV137" i="10" s="1"/>
  <c r="S138" i="10"/>
  <c r="AM138" i="10"/>
  <c r="AC138" i="10"/>
  <c r="M628" i="10"/>
  <c r="K628" i="10"/>
  <c r="C628" i="10"/>
  <c r="I628" i="10" s="1"/>
  <c r="E628" i="10"/>
  <c r="AU618" i="10"/>
  <c r="AJ137" i="10"/>
  <c r="AL137" i="10" s="1"/>
  <c r="AI137" i="10"/>
  <c r="AG137" i="10"/>
  <c r="AK137" i="10"/>
  <c r="AX137" i="10" s="1"/>
  <c r="BB629" i="10"/>
  <c r="BC629" i="10" s="1"/>
  <c r="AS629" i="10"/>
  <c r="A630" i="10"/>
  <c r="Y629" i="10"/>
  <c r="B629" i="10"/>
  <c r="R627" i="10"/>
  <c r="H627" i="10"/>
  <c r="D627" i="10"/>
  <c r="F627" i="10" s="1"/>
  <c r="G627" i="10" s="1"/>
  <c r="V627" i="10" s="1"/>
  <c r="O620" i="10" l="1"/>
  <c r="P620" i="10" s="1"/>
  <c r="J621" i="10" s="1"/>
  <c r="L621" i="10" s="1"/>
  <c r="N621" i="10" s="1"/>
  <c r="AT620" i="10"/>
  <c r="AE620" i="10"/>
  <c r="AF620" i="10"/>
  <c r="AH137" i="10"/>
  <c r="AN137" i="10" s="1"/>
  <c r="AW137" i="10" s="1"/>
  <c r="AO137" i="10"/>
  <c r="AY137" i="10" s="1"/>
  <c r="M629" i="10"/>
  <c r="C629" i="10"/>
  <c r="I629" i="10" s="1"/>
  <c r="K629" i="10"/>
  <c r="E629" i="10"/>
  <c r="AU619" i="10"/>
  <c r="BB630" i="10"/>
  <c r="BC630" i="10" s="1"/>
  <c r="AS630" i="10"/>
  <c r="A631" i="10"/>
  <c r="Y630" i="10"/>
  <c r="B630" i="10"/>
  <c r="BA137" i="10"/>
  <c r="R628" i="10"/>
  <c r="H628" i="10"/>
  <c r="D628" i="10"/>
  <c r="F628" i="10" s="1"/>
  <c r="G628" i="10" s="1"/>
  <c r="V628" i="10" s="1"/>
  <c r="T138" i="10"/>
  <c r="AQ138" i="10" s="1"/>
  <c r="AD138" i="10"/>
  <c r="U138" i="10"/>
  <c r="W138" i="10" s="1"/>
  <c r="AP138" i="10" s="1"/>
  <c r="O621" i="10" l="1"/>
  <c r="P621" i="10" s="1"/>
  <c r="J622" i="10" s="1"/>
  <c r="L622" i="10" s="1"/>
  <c r="N622" i="10" s="1"/>
  <c r="AE621" i="10"/>
  <c r="AT621" i="10"/>
  <c r="AF621" i="10"/>
  <c r="M630" i="10"/>
  <c r="K630" i="10"/>
  <c r="C630" i="10"/>
  <c r="I630" i="10" s="1"/>
  <c r="E630" i="10"/>
  <c r="R629" i="10"/>
  <c r="AU620" i="10"/>
  <c r="BB631" i="10"/>
  <c r="BC631" i="10" s="1"/>
  <c r="AS631" i="10"/>
  <c r="A632" i="10"/>
  <c r="Y631" i="10"/>
  <c r="B631" i="10"/>
  <c r="H629" i="10"/>
  <c r="D629" i="10"/>
  <c r="F629" i="10" s="1"/>
  <c r="G629" i="10" s="1"/>
  <c r="V629" i="10" s="1"/>
  <c r="X138" i="10"/>
  <c r="AZ137" i="10"/>
  <c r="BD137" i="10"/>
  <c r="O622" i="10" l="1"/>
  <c r="P622" i="10" s="1"/>
  <c r="J623" i="10" s="1"/>
  <c r="L623" i="10" s="1"/>
  <c r="N623" i="10" s="1"/>
  <c r="AT622" i="10"/>
  <c r="AE622" i="10"/>
  <c r="AF622" i="10"/>
  <c r="Z138" i="10"/>
  <c r="AR138" i="10" s="1"/>
  <c r="M631" i="10"/>
  <c r="C631" i="10"/>
  <c r="I631" i="10" s="1"/>
  <c r="K631" i="10"/>
  <c r="E631" i="10"/>
  <c r="BB632" i="10"/>
  <c r="BC632" i="10" s="1"/>
  <c r="AS632" i="10"/>
  <c r="A633" i="10"/>
  <c r="Y632" i="10"/>
  <c r="B632" i="10"/>
  <c r="AU621" i="10"/>
  <c r="R630" i="10"/>
  <c r="H630" i="10"/>
  <c r="D630" i="10"/>
  <c r="F630" i="10" s="1"/>
  <c r="G630" i="10" s="1"/>
  <c r="V630" i="10" s="1"/>
  <c r="O623" i="10" l="1"/>
  <c r="P623" i="10" s="1"/>
  <c r="J624" i="10" s="1"/>
  <c r="L624" i="10" s="1"/>
  <c r="N624" i="10" s="1"/>
  <c r="AE623" i="10"/>
  <c r="AT623" i="10"/>
  <c r="AF623" i="10"/>
  <c r="R631" i="10"/>
  <c r="M632" i="10"/>
  <c r="K632" i="10"/>
  <c r="C632" i="10"/>
  <c r="I632" i="10" s="1"/>
  <c r="E632" i="10"/>
  <c r="AU622" i="10"/>
  <c r="H631" i="10"/>
  <c r="D631" i="10"/>
  <c r="F631" i="10" s="1"/>
  <c r="G631" i="10" s="1"/>
  <c r="V631" i="10" s="1"/>
  <c r="BB633" i="10"/>
  <c r="BC633" i="10" s="1"/>
  <c r="AS633" i="10"/>
  <c r="Y633" i="10"/>
  <c r="A634" i="10"/>
  <c r="B633" i="10"/>
  <c r="Q139" i="10"/>
  <c r="AA138" i="10"/>
  <c r="O624" i="10" l="1"/>
  <c r="P624" i="10" s="1"/>
  <c r="J625" i="10" s="1"/>
  <c r="L625" i="10" s="1"/>
  <c r="N625" i="10" s="1"/>
  <c r="AT624" i="10"/>
  <c r="AE624" i="10"/>
  <c r="AF624" i="10"/>
  <c r="AJ138" i="10"/>
  <c r="AI138" i="10"/>
  <c r="AG138" i="10"/>
  <c r="AK138" i="10"/>
  <c r="AX138" i="10" s="1"/>
  <c r="R632" i="10"/>
  <c r="AB139" i="10"/>
  <c r="AV138" i="10" s="1"/>
  <c r="S139" i="10"/>
  <c r="AM139" i="10"/>
  <c r="AC139" i="10"/>
  <c r="H632" i="10"/>
  <c r="D632" i="10"/>
  <c r="F632" i="10" s="1"/>
  <c r="G632" i="10" s="1"/>
  <c r="V632" i="10" s="1"/>
  <c r="AU623" i="10"/>
  <c r="M633" i="10"/>
  <c r="C633" i="10"/>
  <c r="I633" i="10" s="1"/>
  <c r="K633" i="10"/>
  <c r="E633" i="10"/>
  <c r="BB634" i="10"/>
  <c r="BC634" i="10" s="1"/>
  <c r="AS634" i="10"/>
  <c r="Y634" i="10"/>
  <c r="A635" i="10"/>
  <c r="B634" i="10"/>
  <c r="BA138" i="10" l="1"/>
  <c r="O625" i="10"/>
  <c r="P625" i="10" s="1"/>
  <c r="J626" i="10" s="1"/>
  <c r="L626" i="10" s="1"/>
  <c r="N626" i="10" s="1"/>
  <c r="AE625" i="10"/>
  <c r="AT625" i="10"/>
  <c r="AF625" i="10"/>
  <c r="R633" i="10"/>
  <c r="AU624" i="10"/>
  <c r="M634" i="10"/>
  <c r="K634" i="10"/>
  <c r="C634" i="10"/>
  <c r="I634" i="10" s="1"/>
  <c r="E634" i="10"/>
  <c r="H633" i="10"/>
  <c r="D633" i="10"/>
  <c r="F633" i="10" s="1"/>
  <c r="G633" i="10" s="1"/>
  <c r="V633" i="10" s="1"/>
  <c r="BB635" i="10"/>
  <c r="BC635" i="10" s="1"/>
  <c r="AS635" i="10"/>
  <c r="Y635" i="10"/>
  <c r="A636" i="10"/>
  <c r="B635" i="10"/>
  <c r="AO138" i="10"/>
  <c r="AY138" i="10" s="1"/>
  <c r="AH138" i="10"/>
  <c r="T139" i="10"/>
  <c r="AQ139" i="10" s="1"/>
  <c r="AD139" i="10"/>
  <c r="U139" i="10"/>
  <c r="W139" i="10" s="1"/>
  <c r="AP139" i="10" s="1"/>
  <c r="AL138" i="10"/>
  <c r="AN138" i="10" l="1"/>
  <c r="AW138" i="10" s="1"/>
  <c r="BD138" i="10" s="1"/>
  <c r="O626" i="10"/>
  <c r="P626" i="10" s="1"/>
  <c r="J627" i="10" s="1"/>
  <c r="L627" i="10" s="1"/>
  <c r="N627" i="10" s="1"/>
  <c r="AE626" i="10"/>
  <c r="AT626" i="10"/>
  <c r="AF626" i="10"/>
  <c r="AZ138" i="10"/>
  <c r="AU625" i="10"/>
  <c r="R634" i="10"/>
  <c r="M635" i="10"/>
  <c r="C635" i="10"/>
  <c r="I635" i="10" s="1"/>
  <c r="K635" i="10"/>
  <c r="E635" i="10"/>
  <c r="H634" i="10"/>
  <c r="D634" i="10"/>
  <c r="F634" i="10" s="1"/>
  <c r="G634" i="10" s="1"/>
  <c r="V634" i="10" s="1"/>
  <c r="X139" i="10"/>
  <c r="BB636" i="10"/>
  <c r="BC636" i="10" s="1"/>
  <c r="AS636" i="10"/>
  <c r="Y636" i="10"/>
  <c r="A637" i="10"/>
  <c r="B636" i="10"/>
  <c r="O627" i="10" l="1"/>
  <c r="P627" i="10" s="1"/>
  <c r="J628" i="10" s="1"/>
  <c r="L628" i="10" s="1"/>
  <c r="N628" i="10" s="1"/>
  <c r="AT627" i="10"/>
  <c r="AE627" i="10"/>
  <c r="AF627" i="10"/>
  <c r="M636" i="10"/>
  <c r="K636" i="10"/>
  <c r="C636" i="10"/>
  <c r="I636" i="10" s="1"/>
  <c r="E636" i="10"/>
  <c r="R635" i="10"/>
  <c r="BB637" i="10"/>
  <c r="BC637" i="10" s="1"/>
  <c r="AS637" i="10"/>
  <c r="A638" i="10"/>
  <c r="Y637" i="10"/>
  <c r="B637" i="10"/>
  <c r="AU626" i="10"/>
  <c r="H635" i="10"/>
  <c r="D635" i="10"/>
  <c r="F635" i="10" s="1"/>
  <c r="G635" i="10" s="1"/>
  <c r="V635" i="10" s="1"/>
  <c r="Z139" i="10"/>
  <c r="AR139" i="10" s="1"/>
  <c r="O628" i="10" l="1"/>
  <c r="P628" i="10" s="1"/>
  <c r="J629" i="10" s="1"/>
  <c r="L629" i="10" s="1"/>
  <c r="N629" i="10" s="1"/>
  <c r="AE628" i="10"/>
  <c r="AT628" i="10"/>
  <c r="AF628" i="10"/>
  <c r="Q140" i="10"/>
  <c r="AU627" i="10"/>
  <c r="AA139" i="10"/>
  <c r="M637" i="10"/>
  <c r="C637" i="10"/>
  <c r="I637" i="10" s="1"/>
  <c r="K637" i="10"/>
  <c r="E637" i="10"/>
  <c r="R636" i="10"/>
  <c r="H636" i="10"/>
  <c r="D636" i="10"/>
  <c r="F636" i="10" s="1"/>
  <c r="G636" i="10" s="1"/>
  <c r="V636" i="10" s="1"/>
  <c r="BB638" i="10"/>
  <c r="BC638" i="10" s="1"/>
  <c r="AS638" i="10"/>
  <c r="A639" i="10"/>
  <c r="Y638" i="10"/>
  <c r="B638" i="10"/>
  <c r="O629" i="10" l="1"/>
  <c r="P629" i="10" s="1"/>
  <c r="J630" i="10" s="1"/>
  <c r="L630" i="10" s="1"/>
  <c r="N630" i="10" s="1"/>
  <c r="AT629" i="10"/>
  <c r="AE629" i="10"/>
  <c r="AF629" i="10"/>
  <c r="H637" i="10"/>
  <c r="D637" i="10"/>
  <c r="F637" i="10" s="1"/>
  <c r="G637" i="10" s="1"/>
  <c r="V637" i="10" s="1"/>
  <c r="M638" i="10"/>
  <c r="K638" i="10"/>
  <c r="C638" i="10"/>
  <c r="I638" i="10" s="1"/>
  <c r="E638" i="10"/>
  <c r="AJ139" i="10"/>
  <c r="AI139" i="10"/>
  <c r="AG139" i="10"/>
  <c r="AK139" i="10"/>
  <c r="AX139" i="10" s="1"/>
  <c r="AU628" i="10"/>
  <c r="BB639" i="10"/>
  <c r="BC639" i="10" s="1"/>
  <c r="AS639" i="10"/>
  <c r="A640" i="10"/>
  <c r="Y639" i="10"/>
  <c r="B639" i="10"/>
  <c r="AB140" i="10"/>
  <c r="AV139" i="10" s="1"/>
  <c r="S140" i="10"/>
  <c r="AM140" i="10"/>
  <c r="AC140" i="10"/>
  <c r="R637" i="10"/>
  <c r="O630" i="10" l="1"/>
  <c r="P630" i="10" s="1"/>
  <c r="J631" i="10" s="1"/>
  <c r="L631" i="10" s="1"/>
  <c r="N631" i="10" s="1"/>
  <c r="AE630" i="10"/>
  <c r="AT630" i="10"/>
  <c r="AF630" i="10"/>
  <c r="R638" i="10"/>
  <c r="T140" i="10"/>
  <c r="AQ140" i="10" s="1"/>
  <c r="AD140" i="10"/>
  <c r="U140" i="10"/>
  <c r="W140" i="10" s="1"/>
  <c r="AP140" i="10" s="1"/>
  <c r="H638" i="10"/>
  <c r="D638" i="10"/>
  <c r="F638" i="10" s="1"/>
  <c r="G638" i="10" s="1"/>
  <c r="V638" i="10" s="1"/>
  <c r="AU629" i="10"/>
  <c r="M639" i="10"/>
  <c r="C639" i="10"/>
  <c r="I639" i="10" s="1"/>
  <c r="K639" i="10"/>
  <c r="E639" i="10"/>
  <c r="BB640" i="10"/>
  <c r="BC640" i="10" s="1"/>
  <c r="AS640" i="10"/>
  <c r="A641" i="10"/>
  <c r="Y640" i="10"/>
  <c r="B640" i="10"/>
  <c r="AO139" i="10"/>
  <c r="AY139" i="10" s="1"/>
  <c r="AH139" i="10"/>
  <c r="BA139" i="10"/>
  <c r="AL139" i="10"/>
  <c r="O631" i="10" l="1"/>
  <c r="P631" i="10" s="1"/>
  <c r="J632" i="10" s="1"/>
  <c r="L632" i="10" s="1"/>
  <c r="N632" i="10" s="1"/>
  <c r="AE631" i="10"/>
  <c r="AT631" i="10"/>
  <c r="AF631" i="10"/>
  <c r="BB641" i="10"/>
  <c r="BC641" i="10" s="1"/>
  <c r="AS641" i="10"/>
  <c r="A642" i="10"/>
  <c r="Y641" i="10"/>
  <c r="B641" i="10"/>
  <c r="H639" i="10"/>
  <c r="D639" i="10"/>
  <c r="F639" i="10" s="1"/>
  <c r="G639" i="10" s="1"/>
  <c r="V639" i="10" s="1"/>
  <c r="X140" i="10"/>
  <c r="AU630" i="10"/>
  <c r="AN139" i="10"/>
  <c r="AW139" i="10" s="1"/>
  <c r="M640" i="10"/>
  <c r="K640" i="10"/>
  <c r="C640" i="10"/>
  <c r="I640" i="10" s="1"/>
  <c r="E640" i="10"/>
  <c r="R639" i="10"/>
  <c r="O632" i="10" l="1"/>
  <c r="P632" i="10" s="1"/>
  <c r="J633" i="10" s="1"/>
  <c r="L633" i="10" s="1"/>
  <c r="N633" i="10" s="1"/>
  <c r="AE632" i="10"/>
  <c r="AT632" i="10"/>
  <c r="AF632" i="10"/>
  <c r="AZ139" i="10"/>
  <c r="BD139" i="10"/>
  <c r="M641" i="10"/>
  <c r="C641" i="10"/>
  <c r="I641" i="10" s="1"/>
  <c r="K641" i="10"/>
  <c r="E641" i="10"/>
  <c r="R640" i="10"/>
  <c r="BB642" i="10"/>
  <c r="BC642" i="10" s="1"/>
  <c r="AS642" i="10"/>
  <c r="A643" i="10"/>
  <c r="Y642" i="10"/>
  <c r="B642" i="10"/>
  <c r="AU631" i="10"/>
  <c r="H640" i="10"/>
  <c r="D640" i="10"/>
  <c r="F640" i="10" s="1"/>
  <c r="G640" i="10" s="1"/>
  <c r="V640" i="10" s="1"/>
  <c r="Z140" i="10"/>
  <c r="AR140" i="10" s="1"/>
  <c r="O633" i="10" l="1"/>
  <c r="P633" i="10" s="1"/>
  <c r="J634" i="10" s="1"/>
  <c r="L634" i="10" s="1"/>
  <c r="N634" i="10" s="1"/>
  <c r="AE633" i="10"/>
  <c r="AT633" i="10"/>
  <c r="AF633" i="10"/>
  <c r="M642" i="10"/>
  <c r="K642" i="10"/>
  <c r="C642" i="10"/>
  <c r="I642" i="10" s="1"/>
  <c r="E642" i="10"/>
  <c r="R641" i="10"/>
  <c r="Q141" i="10"/>
  <c r="BB643" i="10"/>
  <c r="BC643" i="10" s="1"/>
  <c r="AS643" i="10"/>
  <c r="A644" i="10"/>
  <c r="Y643" i="10"/>
  <c r="B643" i="10"/>
  <c r="AA140" i="10"/>
  <c r="H641" i="10"/>
  <c r="D641" i="10"/>
  <c r="F641" i="10" s="1"/>
  <c r="G641" i="10" s="1"/>
  <c r="V641" i="10" s="1"/>
  <c r="AU632" i="10"/>
  <c r="O634" i="10" l="1"/>
  <c r="P634" i="10" s="1"/>
  <c r="J635" i="10" s="1"/>
  <c r="L635" i="10" s="1"/>
  <c r="N635" i="10" s="1"/>
  <c r="AT634" i="10"/>
  <c r="AE634" i="10"/>
  <c r="AF634" i="10"/>
  <c r="M643" i="10"/>
  <c r="C643" i="10"/>
  <c r="I643" i="10" s="1"/>
  <c r="K643" i="10"/>
  <c r="E643" i="10"/>
  <c r="BB644" i="10"/>
  <c r="BC644" i="10" s="1"/>
  <c r="AS644" i="10"/>
  <c r="A645" i="10"/>
  <c r="Y644" i="10"/>
  <c r="B644" i="10"/>
  <c r="AU633" i="10"/>
  <c r="R642" i="10"/>
  <c r="H642" i="10"/>
  <c r="D642" i="10"/>
  <c r="F642" i="10" s="1"/>
  <c r="G642" i="10" s="1"/>
  <c r="V642" i="10" s="1"/>
  <c r="AB141" i="10"/>
  <c r="AV140" i="10" s="1"/>
  <c r="S141" i="10"/>
  <c r="AM141" i="10"/>
  <c r="AC141" i="10"/>
  <c r="AJ140" i="10"/>
  <c r="AI140" i="10"/>
  <c r="AG140" i="10"/>
  <c r="AK140" i="10"/>
  <c r="AX140" i="10" s="1"/>
  <c r="AL140" i="10" l="1"/>
  <c r="O635" i="10"/>
  <c r="P635" i="10" s="1"/>
  <c r="J636" i="10" s="1"/>
  <c r="L636" i="10" s="1"/>
  <c r="N636" i="10" s="1"/>
  <c r="AT635" i="10"/>
  <c r="AE635" i="10"/>
  <c r="AF635" i="10"/>
  <c r="BB645" i="10"/>
  <c r="BC645" i="10" s="1"/>
  <c r="AS645" i="10"/>
  <c r="A646" i="10"/>
  <c r="Y645" i="10"/>
  <c r="B645" i="10"/>
  <c r="BA140" i="10"/>
  <c r="AU634" i="10"/>
  <c r="T141" i="10"/>
  <c r="AQ141" i="10" s="1"/>
  <c r="AD141" i="10"/>
  <c r="U141" i="10"/>
  <c r="W141" i="10" s="1"/>
  <c r="AP141" i="10" s="1"/>
  <c r="R643" i="10"/>
  <c r="AH140" i="10"/>
  <c r="AN140" i="10" s="1"/>
  <c r="AW140" i="10" s="1"/>
  <c r="AO140" i="10"/>
  <c r="AY140" i="10" s="1"/>
  <c r="M644" i="10"/>
  <c r="K644" i="10"/>
  <c r="C644" i="10"/>
  <c r="I644" i="10" s="1"/>
  <c r="E644" i="10"/>
  <c r="H643" i="10"/>
  <c r="D643" i="10"/>
  <c r="F643" i="10" s="1"/>
  <c r="G643" i="10" s="1"/>
  <c r="V643" i="10" s="1"/>
  <c r="O636" i="10" l="1"/>
  <c r="P636" i="10" s="1"/>
  <c r="J637" i="10" s="1"/>
  <c r="L637" i="10" s="1"/>
  <c r="N637" i="10" s="1"/>
  <c r="AE636" i="10"/>
  <c r="AT636" i="10"/>
  <c r="AF636" i="10"/>
  <c r="R644" i="10"/>
  <c r="H644" i="10"/>
  <c r="D644" i="10"/>
  <c r="F644" i="10" s="1"/>
  <c r="G644" i="10" s="1"/>
  <c r="V644" i="10" s="1"/>
  <c r="AU635" i="10"/>
  <c r="M645" i="10"/>
  <c r="C645" i="10"/>
  <c r="I645" i="10" s="1"/>
  <c r="K645" i="10"/>
  <c r="E645" i="10"/>
  <c r="X141" i="10"/>
  <c r="BB646" i="10"/>
  <c r="BC646" i="10" s="1"/>
  <c r="AS646" i="10"/>
  <c r="A647" i="10"/>
  <c r="Y646" i="10"/>
  <c r="B646" i="10"/>
  <c r="AZ140" i="10"/>
  <c r="BD140" i="10"/>
  <c r="O637" i="10" l="1"/>
  <c r="P637" i="10" s="1"/>
  <c r="J638" i="10" s="1"/>
  <c r="L638" i="10" s="1"/>
  <c r="N638" i="10" s="1"/>
  <c r="AE637" i="10"/>
  <c r="AT637" i="10"/>
  <c r="AF637" i="10"/>
  <c r="R645" i="10"/>
  <c r="M646" i="10"/>
  <c r="K646" i="10"/>
  <c r="C646" i="10"/>
  <c r="I646" i="10" s="1"/>
  <c r="E646" i="10"/>
  <c r="H645" i="10"/>
  <c r="D645" i="10"/>
  <c r="F645" i="10" s="1"/>
  <c r="G645" i="10" s="1"/>
  <c r="V645" i="10" s="1"/>
  <c r="AU636" i="10"/>
  <c r="BB647" i="10"/>
  <c r="BC647" i="10" s="1"/>
  <c r="AS647" i="10"/>
  <c r="A648" i="10"/>
  <c r="Y647" i="10"/>
  <c r="B647" i="10"/>
  <c r="Z141" i="10"/>
  <c r="AR141" i="10" s="1"/>
  <c r="O638" i="10" l="1"/>
  <c r="P638" i="10" s="1"/>
  <c r="J639" i="10" s="1"/>
  <c r="L639" i="10" s="1"/>
  <c r="N639" i="10" s="1"/>
  <c r="AE638" i="10"/>
  <c r="AT638" i="10"/>
  <c r="AF638" i="10"/>
  <c r="Q142" i="10"/>
  <c r="R646" i="10"/>
  <c r="AA141" i="10"/>
  <c r="H646" i="10"/>
  <c r="D646" i="10"/>
  <c r="F646" i="10" s="1"/>
  <c r="G646" i="10" s="1"/>
  <c r="V646" i="10" s="1"/>
  <c r="AU637" i="10"/>
  <c r="M647" i="10"/>
  <c r="C647" i="10"/>
  <c r="I647" i="10" s="1"/>
  <c r="K647" i="10"/>
  <c r="E647" i="10"/>
  <c r="BB648" i="10"/>
  <c r="BC648" i="10" s="1"/>
  <c r="AS648" i="10"/>
  <c r="A649" i="10"/>
  <c r="Y648" i="10"/>
  <c r="B648" i="10"/>
  <c r="O639" i="10" l="1"/>
  <c r="P639" i="10" s="1"/>
  <c r="J640" i="10" s="1"/>
  <c r="L640" i="10" s="1"/>
  <c r="N640" i="10" s="1"/>
  <c r="AT639" i="10"/>
  <c r="AE639" i="10"/>
  <c r="AF639" i="10"/>
  <c r="M648" i="10"/>
  <c r="K648" i="10"/>
  <c r="C648" i="10"/>
  <c r="I648" i="10" s="1"/>
  <c r="E648" i="10"/>
  <c r="R647" i="10"/>
  <c r="H647" i="10"/>
  <c r="D647" i="10"/>
  <c r="F647" i="10" s="1"/>
  <c r="G647" i="10" s="1"/>
  <c r="V647" i="10" s="1"/>
  <c r="BB649" i="10"/>
  <c r="BC649" i="10" s="1"/>
  <c r="AS649" i="10"/>
  <c r="A650" i="10"/>
  <c r="Y649" i="10"/>
  <c r="B649" i="10"/>
  <c r="AJ141" i="10"/>
  <c r="AI141" i="10"/>
  <c r="AG141" i="10"/>
  <c r="AK141" i="10"/>
  <c r="AX141" i="10" s="1"/>
  <c r="AU638" i="10"/>
  <c r="AB142" i="10"/>
  <c r="AV141" i="10" s="1"/>
  <c r="S142" i="10"/>
  <c r="AC142" i="10"/>
  <c r="AM142" i="10"/>
  <c r="BA141" i="10" l="1"/>
  <c r="O640" i="10"/>
  <c r="P640" i="10" s="1"/>
  <c r="J641" i="10" s="1"/>
  <c r="L641" i="10" s="1"/>
  <c r="N641" i="10" s="1"/>
  <c r="AE640" i="10"/>
  <c r="AT640" i="10"/>
  <c r="AF640" i="10"/>
  <c r="BB650" i="10"/>
  <c r="BC650" i="10" s="1"/>
  <c r="AS650" i="10"/>
  <c r="A651" i="10"/>
  <c r="Y650" i="10"/>
  <c r="B650" i="10"/>
  <c r="AH141" i="10"/>
  <c r="AO141" i="10"/>
  <c r="AY141" i="10" s="1"/>
  <c r="AU639" i="10"/>
  <c r="T142" i="10"/>
  <c r="AQ142" i="10" s="1"/>
  <c r="AD142" i="10"/>
  <c r="U142" i="10"/>
  <c r="W142" i="10" s="1"/>
  <c r="AP142" i="10" s="1"/>
  <c r="AL141" i="10"/>
  <c r="R648" i="10"/>
  <c r="H648" i="10"/>
  <c r="D648" i="10"/>
  <c r="F648" i="10" s="1"/>
  <c r="G648" i="10" s="1"/>
  <c r="V648" i="10" s="1"/>
  <c r="M649" i="10"/>
  <c r="C649" i="10"/>
  <c r="I649" i="10" s="1"/>
  <c r="K649" i="10"/>
  <c r="E649" i="10"/>
  <c r="O641" i="10" l="1"/>
  <c r="P641" i="10" s="1"/>
  <c r="J642" i="10" s="1"/>
  <c r="L642" i="10" s="1"/>
  <c r="N642" i="10" s="1"/>
  <c r="AE641" i="10"/>
  <c r="AT641" i="10"/>
  <c r="AF641" i="10"/>
  <c r="R649" i="10"/>
  <c r="H649" i="10"/>
  <c r="D649" i="10"/>
  <c r="F649" i="10" s="1"/>
  <c r="G649" i="10" s="1"/>
  <c r="V649" i="10" s="1"/>
  <c r="AN141" i="10"/>
  <c r="AW141" i="10" s="1"/>
  <c r="X142" i="10"/>
  <c r="M650" i="10"/>
  <c r="K650" i="10"/>
  <c r="C650" i="10"/>
  <c r="I650" i="10" s="1"/>
  <c r="E650" i="10"/>
  <c r="AU640" i="10"/>
  <c r="BB651" i="10"/>
  <c r="BC651" i="10" s="1"/>
  <c r="AS651" i="10"/>
  <c r="A652" i="10"/>
  <c r="Y651" i="10"/>
  <c r="B651" i="10"/>
  <c r="O642" i="10" l="1"/>
  <c r="P642" i="10" s="1"/>
  <c r="J643" i="10" s="1"/>
  <c r="L643" i="10" s="1"/>
  <c r="N643" i="10" s="1"/>
  <c r="AE642" i="10"/>
  <c r="AT642" i="10"/>
  <c r="AF642" i="10"/>
  <c r="M651" i="10"/>
  <c r="C651" i="10"/>
  <c r="I651" i="10" s="1"/>
  <c r="K651" i="10"/>
  <c r="E651" i="10"/>
  <c r="AZ141" i="10"/>
  <c r="BD141" i="10"/>
  <c r="R650" i="10"/>
  <c r="BB652" i="10"/>
  <c r="BC652" i="10" s="1"/>
  <c r="AS652" i="10"/>
  <c r="A653" i="10"/>
  <c r="Y652" i="10"/>
  <c r="B652" i="10"/>
  <c r="H650" i="10"/>
  <c r="D650" i="10"/>
  <c r="F650" i="10" s="1"/>
  <c r="G650" i="10" s="1"/>
  <c r="V650" i="10" s="1"/>
  <c r="AU641" i="10"/>
  <c r="Z142" i="10"/>
  <c r="AR142" i="10" s="1"/>
  <c r="O643" i="10" l="1"/>
  <c r="P643" i="10" s="1"/>
  <c r="J644" i="10" s="1"/>
  <c r="L644" i="10" s="1"/>
  <c r="N644" i="10" s="1"/>
  <c r="AT643" i="10"/>
  <c r="AE643" i="10"/>
  <c r="AF643" i="10"/>
  <c r="M652" i="10"/>
  <c r="K652" i="10"/>
  <c r="C652" i="10"/>
  <c r="I652" i="10" s="1"/>
  <c r="E652" i="10"/>
  <c r="BB653" i="10"/>
  <c r="BC653" i="10" s="1"/>
  <c r="AS653" i="10"/>
  <c r="Y653" i="10"/>
  <c r="A654" i="10"/>
  <c r="B653" i="10"/>
  <c r="AU642" i="10"/>
  <c r="R651" i="10"/>
  <c r="Q143" i="10"/>
  <c r="H651" i="10"/>
  <c r="D651" i="10"/>
  <c r="F651" i="10" s="1"/>
  <c r="G651" i="10" s="1"/>
  <c r="V651" i="10" s="1"/>
  <c r="AA142" i="10"/>
  <c r="O644" i="10" l="1"/>
  <c r="P644" i="10" s="1"/>
  <c r="J645" i="10" s="1"/>
  <c r="L645" i="10" s="1"/>
  <c r="N645" i="10" s="1"/>
  <c r="AE644" i="10"/>
  <c r="AT644" i="10"/>
  <c r="AF644" i="10"/>
  <c r="AJ142" i="10"/>
  <c r="AI142" i="10"/>
  <c r="AG142" i="10"/>
  <c r="AK142" i="10"/>
  <c r="AX142" i="10" s="1"/>
  <c r="AU643" i="10"/>
  <c r="R652" i="10"/>
  <c r="H652" i="10"/>
  <c r="D652" i="10"/>
  <c r="F652" i="10" s="1"/>
  <c r="G652" i="10" s="1"/>
  <c r="V652" i="10" s="1"/>
  <c r="AB143" i="10"/>
  <c r="AV142" i="10" s="1"/>
  <c r="S143" i="10"/>
  <c r="AM143" i="10"/>
  <c r="AC143" i="10"/>
  <c r="M653" i="10"/>
  <c r="C653" i="10"/>
  <c r="I653" i="10" s="1"/>
  <c r="K653" i="10"/>
  <c r="E653" i="10"/>
  <c r="BB654" i="10"/>
  <c r="BC654" i="10" s="1"/>
  <c r="AS654" i="10"/>
  <c r="A655" i="10"/>
  <c r="Y654" i="10"/>
  <c r="B654" i="10"/>
  <c r="O645" i="10" l="1"/>
  <c r="P645" i="10" s="1"/>
  <c r="J646" i="10" s="1"/>
  <c r="L646" i="10" s="1"/>
  <c r="N646" i="10" s="1"/>
  <c r="AE645" i="10"/>
  <c r="AT645" i="10"/>
  <c r="AF645" i="10"/>
  <c r="T143" i="10"/>
  <c r="AQ143" i="10" s="1"/>
  <c r="AD143" i="10"/>
  <c r="U143" i="10"/>
  <c r="W143" i="10" s="1"/>
  <c r="AP143" i="10" s="1"/>
  <c r="R653" i="10"/>
  <c r="M654" i="10"/>
  <c r="K654" i="10"/>
  <c r="C654" i="10"/>
  <c r="I654" i="10" s="1"/>
  <c r="E654" i="10"/>
  <c r="AO142" i="10"/>
  <c r="AY142" i="10" s="1"/>
  <c r="AH142" i="10"/>
  <c r="AU644" i="10"/>
  <c r="H653" i="10"/>
  <c r="D653" i="10"/>
  <c r="F653" i="10" s="1"/>
  <c r="G653" i="10" s="1"/>
  <c r="V653" i="10" s="1"/>
  <c r="BB655" i="10"/>
  <c r="BC655" i="10" s="1"/>
  <c r="AS655" i="10"/>
  <c r="Y655" i="10"/>
  <c r="A656" i="10"/>
  <c r="B655" i="10"/>
  <c r="AL142" i="10"/>
  <c r="BA142" i="10"/>
  <c r="AN142" i="10" l="1"/>
  <c r="AW142" i="10" s="1"/>
  <c r="BD142" i="10" s="1"/>
  <c r="O646" i="10"/>
  <c r="P646" i="10" s="1"/>
  <c r="J647" i="10" s="1"/>
  <c r="L647" i="10" s="1"/>
  <c r="N647" i="10" s="1"/>
  <c r="AE646" i="10"/>
  <c r="AT646" i="10"/>
  <c r="AF646" i="10"/>
  <c r="AZ142" i="10"/>
  <c r="AU645" i="10"/>
  <c r="R654" i="10"/>
  <c r="H654" i="10"/>
  <c r="D654" i="10"/>
  <c r="F654" i="10" s="1"/>
  <c r="G654" i="10" s="1"/>
  <c r="V654" i="10" s="1"/>
  <c r="X143" i="10"/>
  <c r="M655" i="10"/>
  <c r="C655" i="10"/>
  <c r="I655" i="10" s="1"/>
  <c r="K655" i="10"/>
  <c r="E655" i="10"/>
  <c r="BB656" i="10"/>
  <c r="BC656" i="10" s="1"/>
  <c r="AS656" i="10"/>
  <c r="A657" i="10"/>
  <c r="Y656" i="10"/>
  <c r="B656" i="10"/>
  <c r="O647" i="10" l="1"/>
  <c r="P647" i="10" s="1"/>
  <c r="J648" i="10" s="1"/>
  <c r="L648" i="10" s="1"/>
  <c r="N648" i="10" s="1"/>
  <c r="AT647" i="10"/>
  <c r="AE647" i="10"/>
  <c r="AF647" i="10"/>
  <c r="M656" i="10"/>
  <c r="K656" i="10"/>
  <c r="C656" i="10"/>
  <c r="I656" i="10" s="1"/>
  <c r="E656" i="10"/>
  <c r="H655" i="10"/>
  <c r="D655" i="10"/>
  <c r="F655" i="10" s="1"/>
  <c r="G655" i="10" s="1"/>
  <c r="V655" i="10" s="1"/>
  <c r="BB657" i="10"/>
  <c r="BC657" i="10" s="1"/>
  <c r="AS657" i="10"/>
  <c r="A658" i="10"/>
  <c r="Y657" i="10"/>
  <c r="B657" i="10"/>
  <c r="Z143" i="10"/>
  <c r="AR143" i="10" s="1"/>
  <c r="AU646" i="10"/>
  <c r="R655" i="10"/>
  <c r="O648" i="10" l="1"/>
  <c r="P648" i="10" s="1"/>
  <c r="J649" i="10" s="1"/>
  <c r="L649" i="10" s="1"/>
  <c r="N649" i="10" s="1"/>
  <c r="AT648" i="10"/>
  <c r="AE648" i="10"/>
  <c r="AF648" i="10"/>
  <c r="Q144" i="10"/>
  <c r="AA143" i="10"/>
  <c r="AU647" i="10"/>
  <c r="M657" i="10"/>
  <c r="C657" i="10"/>
  <c r="I657" i="10" s="1"/>
  <c r="K657" i="10"/>
  <c r="E657" i="10"/>
  <c r="R656" i="10"/>
  <c r="BB658" i="10"/>
  <c r="BC658" i="10" s="1"/>
  <c r="AS658" i="10"/>
  <c r="A659" i="10"/>
  <c r="Y658" i="10"/>
  <c r="B658" i="10"/>
  <c r="H656" i="10"/>
  <c r="D656" i="10"/>
  <c r="F656" i="10" s="1"/>
  <c r="G656" i="10" s="1"/>
  <c r="V656" i="10" s="1"/>
  <c r="O649" i="10" l="1"/>
  <c r="P649" i="10" s="1"/>
  <c r="J650" i="10" s="1"/>
  <c r="L650" i="10" s="1"/>
  <c r="N650" i="10" s="1"/>
  <c r="AE649" i="10"/>
  <c r="AT649" i="10"/>
  <c r="AF649" i="10"/>
  <c r="AU648" i="10"/>
  <c r="M658" i="10"/>
  <c r="K658" i="10"/>
  <c r="C658" i="10"/>
  <c r="I658" i="10" s="1"/>
  <c r="E658" i="10"/>
  <c r="AJ143" i="10"/>
  <c r="AI143" i="10"/>
  <c r="AG143" i="10"/>
  <c r="AK143" i="10"/>
  <c r="AX143" i="10" s="1"/>
  <c r="R657" i="10"/>
  <c r="BB659" i="10"/>
  <c r="BC659" i="10" s="1"/>
  <c r="AS659" i="10"/>
  <c r="A660" i="10"/>
  <c r="Y659" i="10"/>
  <c r="B659" i="10"/>
  <c r="AB144" i="10"/>
  <c r="AV143" i="10" s="1"/>
  <c r="S144" i="10"/>
  <c r="AC144" i="10"/>
  <c r="AM144" i="10"/>
  <c r="H657" i="10"/>
  <c r="D657" i="10"/>
  <c r="F657" i="10" s="1"/>
  <c r="G657" i="10" s="1"/>
  <c r="V657" i="10" s="1"/>
  <c r="O650" i="10" l="1"/>
  <c r="P650" i="10" s="1"/>
  <c r="J651" i="10" s="1"/>
  <c r="L651" i="10" s="1"/>
  <c r="N651" i="10" s="1"/>
  <c r="AT650" i="10"/>
  <c r="AE650" i="10"/>
  <c r="AF650" i="10"/>
  <c r="H658" i="10"/>
  <c r="D658" i="10"/>
  <c r="F658" i="10" s="1"/>
  <c r="G658" i="10" s="1"/>
  <c r="V658" i="10" s="1"/>
  <c r="M659" i="10"/>
  <c r="C659" i="10"/>
  <c r="I659" i="10" s="1"/>
  <c r="K659" i="10"/>
  <c r="E659" i="10"/>
  <c r="AU649" i="10"/>
  <c r="BB660" i="10"/>
  <c r="BC660" i="10" s="1"/>
  <c r="AS660" i="10"/>
  <c r="A661" i="10"/>
  <c r="Y660" i="10"/>
  <c r="B660" i="10"/>
  <c r="AO143" i="10"/>
  <c r="AY143" i="10" s="1"/>
  <c r="AH143" i="10"/>
  <c r="BA143" i="10"/>
  <c r="AL143" i="10"/>
  <c r="T144" i="10"/>
  <c r="AQ144" i="10" s="1"/>
  <c r="AD144" i="10"/>
  <c r="U144" i="10"/>
  <c r="W144" i="10" s="1"/>
  <c r="AP144" i="10" s="1"/>
  <c r="R658" i="10"/>
  <c r="X144" i="10" l="1"/>
  <c r="Z144" i="10" s="1"/>
  <c r="AR144" i="10" s="1"/>
  <c r="O651" i="10"/>
  <c r="P651" i="10" s="1"/>
  <c r="J652" i="10" s="1"/>
  <c r="L652" i="10" s="1"/>
  <c r="N652" i="10" s="1"/>
  <c r="AE651" i="10"/>
  <c r="AT651" i="10"/>
  <c r="AF651" i="10"/>
  <c r="R659" i="10"/>
  <c r="AN143" i="10"/>
  <c r="AW143" i="10" s="1"/>
  <c r="M660" i="10"/>
  <c r="K660" i="10"/>
  <c r="C660" i="10"/>
  <c r="I660" i="10" s="1"/>
  <c r="E660" i="10"/>
  <c r="BB661" i="10"/>
  <c r="BC661" i="10" s="1"/>
  <c r="AS661" i="10"/>
  <c r="A662" i="10"/>
  <c r="Y661" i="10"/>
  <c r="B661" i="10"/>
  <c r="AU650" i="10"/>
  <c r="H659" i="10"/>
  <c r="D659" i="10"/>
  <c r="F659" i="10" s="1"/>
  <c r="G659" i="10" s="1"/>
  <c r="V659" i="10" s="1"/>
  <c r="O652" i="10" l="1"/>
  <c r="P652" i="10" s="1"/>
  <c r="J653" i="10" s="1"/>
  <c r="L653" i="10" s="1"/>
  <c r="N653" i="10" s="1"/>
  <c r="AE652" i="10"/>
  <c r="AT652" i="10"/>
  <c r="AF652" i="10"/>
  <c r="BB662" i="10"/>
  <c r="BC662" i="10" s="1"/>
  <c r="AS662" i="10"/>
  <c r="A663" i="10"/>
  <c r="Y662" i="10"/>
  <c r="B662" i="10"/>
  <c r="AU651" i="10"/>
  <c r="Q145" i="10"/>
  <c r="AZ143" i="10"/>
  <c r="BD143" i="10"/>
  <c r="AA144" i="10"/>
  <c r="R660" i="10"/>
  <c r="H660" i="10"/>
  <c r="D660" i="10"/>
  <c r="F660" i="10" s="1"/>
  <c r="G660" i="10" s="1"/>
  <c r="V660" i="10" s="1"/>
  <c r="M661" i="10"/>
  <c r="C661" i="10"/>
  <c r="I661" i="10" s="1"/>
  <c r="K661" i="10"/>
  <c r="E661" i="10"/>
  <c r="O653" i="10" l="1"/>
  <c r="P653" i="10" s="1"/>
  <c r="J654" i="10" s="1"/>
  <c r="L654" i="10" s="1"/>
  <c r="N654" i="10" s="1"/>
  <c r="AT653" i="10"/>
  <c r="AE653" i="10"/>
  <c r="AF653" i="10"/>
  <c r="H661" i="10"/>
  <c r="D661" i="10"/>
  <c r="F661" i="10" s="1"/>
  <c r="G661" i="10" s="1"/>
  <c r="V661" i="10" s="1"/>
  <c r="M662" i="10"/>
  <c r="K662" i="10"/>
  <c r="C662" i="10"/>
  <c r="I662" i="10" s="1"/>
  <c r="E662" i="10"/>
  <c r="AJ144" i="10"/>
  <c r="AI144" i="10"/>
  <c r="AG144" i="10"/>
  <c r="AK144" i="10"/>
  <c r="AX144" i="10" s="1"/>
  <c r="BB663" i="10"/>
  <c r="BC663" i="10" s="1"/>
  <c r="AS663" i="10"/>
  <c r="A664" i="10"/>
  <c r="Y663" i="10"/>
  <c r="B663" i="10"/>
  <c r="AU652" i="10"/>
  <c r="AB145" i="10"/>
  <c r="AV144" i="10" s="1"/>
  <c r="S145" i="10"/>
  <c r="AC145" i="10"/>
  <c r="AM145" i="10"/>
  <c r="R661" i="10"/>
  <c r="O654" i="10" l="1"/>
  <c r="P654" i="10" s="1"/>
  <c r="J655" i="10" s="1"/>
  <c r="L655" i="10" s="1"/>
  <c r="N655" i="10" s="1"/>
  <c r="AT654" i="10"/>
  <c r="AE654" i="10"/>
  <c r="AF654" i="10"/>
  <c r="T145" i="10"/>
  <c r="AQ145" i="10" s="1"/>
  <c r="AD145" i="10"/>
  <c r="U145" i="10"/>
  <c r="W145" i="10" s="1"/>
  <c r="AP145" i="10" s="1"/>
  <c r="R662" i="10"/>
  <c r="H662" i="10"/>
  <c r="D662" i="10"/>
  <c r="F662" i="10" s="1"/>
  <c r="G662" i="10" s="1"/>
  <c r="V662" i="10" s="1"/>
  <c r="AU653" i="10"/>
  <c r="M663" i="10"/>
  <c r="C663" i="10"/>
  <c r="I663" i="10" s="1"/>
  <c r="K663" i="10"/>
  <c r="E663" i="10"/>
  <c r="AH144" i="10"/>
  <c r="AO144" i="10"/>
  <c r="AY144" i="10" s="1"/>
  <c r="BA144" i="10"/>
  <c r="BB664" i="10"/>
  <c r="BC664" i="10" s="1"/>
  <c r="AS664" i="10"/>
  <c r="A665" i="10"/>
  <c r="Y664" i="10"/>
  <c r="B664" i="10"/>
  <c r="AL144" i="10"/>
  <c r="O655" i="10" l="1"/>
  <c r="P655" i="10" s="1"/>
  <c r="J656" i="10" s="1"/>
  <c r="L656" i="10" s="1"/>
  <c r="N656" i="10" s="1"/>
  <c r="AE655" i="10"/>
  <c r="AT655" i="10"/>
  <c r="AF655" i="10"/>
  <c r="H663" i="10"/>
  <c r="D663" i="10"/>
  <c r="F663" i="10" s="1"/>
  <c r="G663" i="10" s="1"/>
  <c r="V663" i="10" s="1"/>
  <c r="AU654" i="10"/>
  <c r="M664" i="10"/>
  <c r="K664" i="10"/>
  <c r="C664" i="10"/>
  <c r="I664" i="10" s="1"/>
  <c r="E664" i="10"/>
  <c r="AN144" i="10"/>
  <c r="AW144" i="10" s="1"/>
  <c r="BB665" i="10"/>
  <c r="BC665" i="10" s="1"/>
  <c r="AS665" i="10"/>
  <c r="A666" i="10"/>
  <c r="Y665" i="10"/>
  <c r="B665" i="10"/>
  <c r="R663" i="10"/>
  <c r="X145" i="10"/>
  <c r="O656" i="10" l="1"/>
  <c r="P656" i="10" s="1"/>
  <c r="J657" i="10" s="1"/>
  <c r="L657" i="10" s="1"/>
  <c r="N657" i="10" s="1"/>
  <c r="AE656" i="10"/>
  <c r="AT656" i="10"/>
  <c r="AF656" i="10"/>
  <c r="BB666" i="10"/>
  <c r="BC666" i="10" s="1"/>
  <c r="AS666" i="10"/>
  <c r="A667" i="10"/>
  <c r="Y666" i="10"/>
  <c r="B666" i="10"/>
  <c r="Z145" i="10"/>
  <c r="AR145" i="10" s="1"/>
  <c r="AZ144" i="10"/>
  <c r="BD144" i="10"/>
  <c r="AU655" i="10"/>
  <c r="M665" i="10"/>
  <c r="C665" i="10"/>
  <c r="I665" i="10" s="1"/>
  <c r="K665" i="10"/>
  <c r="E665" i="10"/>
  <c r="R664" i="10"/>
  <c r="H664" i="10"/>
  <c r="D664" i="10"/>
  <c r="F664" i="10" s="1"/>
  <c r="G664" i="10" s="1"/>
  <c r="V664" i="10" s="1"/>
  <c r="O657" i="10" l="1"/>
  <c r="P657" i="10" s="1"/>
  <c r="J658" i="10" s="1"/>
  <c r="L658" i="10" s="1"/>
  <c r="N658" i="10" s="1"/>
  <c r="AT657" i="10"/>
  <c r="AE657" i="10"/>
  <c r="AF657" i="10"/>
  <c r="M666" i="10"/>
  <c r="K666" i="10"/>
  <c r="C666" i="10"/>
  <c r="I666" i="10" s="1"/>
  <c r="E666" i="10"/>
  <c r="AU656" i="10"/>
  <c r="R665" i="10"/>
  <c r="BB667" i="10"/>
  <c r="BC667" i="10" s="1"/>
  <c r="AS667" i="10"/>
  <c r="A668" i="10"/>
  <c r="Y667" i="10"/>
  <c r="B667" i="10"/>
  <c r="H665" i="10"/>
  <c r="D665" i="10"/>
  <c r="F665" i="10" s="1"/>
  <c r="G665" i="10" s="1"/>
  <c r="V665" i="10" s="1"/>
  <c r="Q146" i="10"/>
  <c r="AA145" i="10"/>
  <c r="O658" i="10" l="1"/>
  <c r="P658" i="10" s="1"/>
  <c r="J659" i="10" s="1"/>
  <c r="L659" i="10" s="1"/>
  <c r="N659" i="10" s="1"/>
  <c r="AT658" i="10"/>
  <c r="AE658" i="10"/>
  <c r="AF658" i="10"/>
  <c r="AU657" i="10"/>
  <c r="BB668" i="10"/>
  <c r="BC668" i="10" s="1"/>
  <c r="AS668" i="10"/>
  <c r="A669" i="10"/>
  <c r="Y668" i="10"/>
  <c r="B668" i="10"/>
  <c r="AJ145" i="10"/>
  <c r="AI145" i="10"/>
  <c r="AG145" i="10"/>
  <c r="AK145" i="10"/>
  <c r="AX145" i="10" s="1"/>
  <c r="AB146" i="10"/>
  <c r="AV145" i="10" s="1"/>
  <c r="S146" i="10"/>
  <c r="AM146" i="10"/>
  <c r="AC146" i="10"/>
  <c r="R666" i="10"/>
  <c r="H666" i="10"/>
  <c r="D666" i="10"/>
  <c r="F666" i="10" s="1"/>
  <c r="G666" i="10" s="1"/>
  <c r="V666" i="10" s="1"/>
  <c r="M667" i="10"/>
  <c r="C667" i="10"/>
  <c r="I667" i="10" s="1"/>
  <c r="K667" i="10"/>
  <c r="E667" i="10"/>
  <c r="O659" i="10" l="1"/>
  <c r="P659" i="10" s="1"/>
  <c r="J660" i="10" s="1"/>
  <c r="L660" i="10" s="1"/>
  <c r="N660" i="10" s="1"/>
  <c r="AE659" i="10"/>
  <c r="AT659" i="10"/>
  <c r="AF659" i="10"/>
  <c r="T146" i="10"/>
  <c r="AQ146" i="10" s="1"/>
  <c r="AD146" i="10"/>
  <c r="U146" i="10"/>
  <c r="W146" i="10" s="1"/>
  <c r="AP146" i="10" s="1"/>
  <c r="AU658" i="10"/>
  <c r="AH145" i="10"/>
  <c r="AO145" i="10"/>
  <c r="AY145" i="10" s="1"/>
  <c r="R667" i="10"/>
  <c r="AL145" i="10"/>
  <c r="H667" i="10"/>
  <c r="D667" i="10"/>
  <c r="F667" i="10" s="1"/>
  <c r="G667" i="10" s="1"/>
  <c r="V667" i="10" s="1"/>
  <c r="BA145" i="10"/>
  <c r="M668" i="10"/>
  <c r="K668" i="10"/>
  <c r="C668" i="10"/>
  <c r="I668" i="10" s="1"/>
  <c r="E668" i="10"/>
  <c r="BB669" i="10"/>
  <c r="BC669" i="10" s="1"/>
  <c r="AS669" i="10"/>
  <c r="Y669" i="10"/>
  <c r="A670" i="10"/>
  <c r="B669" i="10"/>
  <c r="O660" i="10" l="1"/>
  <c r="P660" i="10" s="1"/>
  <c r="J661" i="10" s="1"/>
  <c r="L661" i="10" s="1"/>
  <c r="N661" i="10" s="1"/>
  <c r="AE660" i="10"/>
  <c r="AT660" i="10"/>
  <c r="AF660" i="10"/>
  <c r="R668" i="10"/>
  <c r="M669" i="10"/>
  <c r="C669" i="10"/>
  <c r="I669" i="10" s="1"/>
  <c r="K669" i="10"/>
  <c r="E669" i="10"/>
  <c r="H668" i="10"/>
  <c r="D668" i="10"/>
  <c r="F668" i="10" s="1"/>
  <c r="G668" i="10" s="1"/>
  <c r="V668" i="10" s="1"/>
  <c r="AU659" i="10"/>
  <c r="BB670" i="10"/>
  <c r="BC670" i="10" s="1"/>
  <c r="AS670" i="10"/>
  <c r="A671" i="10"/>
  <c r="Y670" i="10"/>
  <c r="B670" i="10"/>
  <c r="X146" i="10"/>
  <c r="AN145" i="10"/>
  <c r="AW145" i="10" s="1"/>
  <c r="O661" i="10" l="1"/>
  <c r="P661" i="10" s="1"/>
  <c r="J662" i="10" s="1"/>
  <c r="L662" i="10" s="1"/>
  <c r="N662" i="10" s="1"/>
  <c r="AE661" i="10"/>
  <c r="AT661" i="10"/>
  <c r="AF661" i="10"/>
  <c r="AZ145" i="10"/>
  <c r="BD145" i="10"/>
  <c r="BB671" i="10"/>
  <c r="BC671" i="10" s="1"/>
  <c r="AS671" i="10"/>
  <c r="Y671" i="10"/>
  <c r="A672" i="10"/>
  <c r="B671" i="10"/>
  <c r="R669" i="10"/>
  <c r="H669" i="10"/>
  <c r="D669" i="10"/>
  <c r="F669" i="10" s="1"/>
  <c r="G669" i="10" s="1"/>
  <c r="V669" i="10" s="1"/>
  <c r="AU660" i="10"/>
  <c r="Z146" i="10"/>
  <c r="AR146" i="10" s="1"/>
  <c r="M670" i="10"/>
  <c r="K670" i="10"/>
  <c r="C670" i="10"/>
  <c r="I670" i="10" s="1"/>
  <c r="E670" i="10"/>
  <c r="Q147" i="10" l="1"/>
  <c r="AB147" i="10" s="1"/>
  <c r="AV146" i="10" s="1"/>
  <c r="AA146" i="10"/>
  <c r="AK146" i="10" s="1"/>
  <c r="AX146" i="10" s="1"/>
  <c r="O662" i="10"/>
  <c r="P662" i="10" s="1"/>
  <c r="J663" i="10" s="1"/>
  <c r="L663" i="10" s="1"/>
  <c r="N663" i="10" s="1"/>
  <c r="AE662" i="10"/>
  <c r="AT662" i="10"/>
  <c r="AF662" i="10"/>
  <c r="R670" i="10"/>
  <c r="H670" i="10"/>
  <c r="D670" i="10"/>
  <c r="F670" i="10" s="1"/>
  <c r="G670" i="10" s="1"/>
  <c r="V670" i="10" s="1"/>
  <c r="AJ146" i="10"/>
  <c r="AI146" i="10"/>
  <c r="M671" i="10"/>
  <c r="C671" i="10"/>
  <c r="I671" i="10" s="1"/>
  <c r="K671" i="10"/>
  <c r="E671" i="10"/>
  <c r="BB672" i="10"/>
  <c r="BC672" i="10" s="1"/>
  <c r="AS672" i="10"/>
  <c r="A673" i="10"/>
  <c r="Y672" i="10"/>
  <c r="B672" i="10"/>
  <c r="AU661" i="10"/>
  <c r="AC147" i="10" l="1"/>
  <c r="AM147" i="10"/>
  <c r="S147" i="10"/>
  <c r="U147" i="10" s="1"/>
  <c r="W147" i="10" s="1"/>
  <c r="AP147" i="10" s="1"/>
  <c r="AG146" i="10"/>
  <c r="AO146" i="10" s="1"/>
  <c r="AY146" i="10" s="1"/>
  <c r="BA146" i="10"/>
  <c r="O663" i="10"/>
  <c r="P663" i="10" s="1"/>
  <c r="J664" i="10" s="1"/>
  <c r="L664" i="10" s="1"/>
  <c r="N664" i="10" s="1"/>
  <c r="AT663" i="10"/>
  <c r="AE663" i="10"/>
  <c r="AF663" i="10"/>
  <c r="M672" i="10"/>
  <c r="K672" i="10"/>
  <c r="C672" i="10"/>
  <c r="I672" i="10" s="1"/>
  <c r="E672" i="10"/>
  <c r="H671" i="10"/>
  <c r="D671" i="10"/>
  <c r="F671" i="10" s="1"/>
  <c r="G671" i="10" s="1"/>
  <c r="V671" i="10" s="1"/>
  <c r="BB673" i="10"/>
  <c r="BC673" i="10" s="1"/>
  <c r="AS673" i="10"/>
  <c r="A674" i="10"/>
  <c r="Y673" i="10"/>
  <c r="B673" i="10"/>
  <c r="AH146" i="10"/>
  <c r="AU662" i="10"/>
  <c r="R671" i="10"/>
  <c r="AL146" i="10"/>
  <c r="T147" i="10" l="1"/>
  <c r="AQ147" i="10" s="1"/>
  <c r="AD147" i="10"/>
  <c r="O664" i="10"/>
  <c r="P664" i="10" s="1"/>
  <c r="J665" i="10" s="1"/>
  <c r="L665" i="10" s="1"/>
  <c r="N665" i="10" s="1"/>
  <c r="AT664" i="10"/>
  <c r="AE664" i="10"/>
  <c r="AF664" i="10"/>
  <c r="AN146" i="10"/>
  <c r="AW146" i="10" s="1"/>
  <c r="AU663" i="10"/>
  <c r="BB674" i="10"/>
  <c r="BC674" i="10" s="1"/>
  <c r="AS674" i="10"/>
  <c r="A675" i="10"/>
  <c r="Y674" i="10"/>
  <c r="B674" i="10"/>
  <c r="H672" i="10"/>
  <c r="D672" i="10"/>
  <c r="F672" i="10" s="1"/>
  <c r="G672" i="10" s="1"/>
  <c r="V672" i="10" s="1"/>
  <c r="M673" i="10"/>
  <c r="C673" i="10"/>
  <c r="I673" i="10" s="1"/>
  <c r="K673" i="10"/>
  <c r="E673" i="10"/>
  <c r="R672" i="10"/>
  <c r="X147" i="10"/>
  <c r="O665" i="10" l="1"/>
  <c r="P665" i="10" s="1"/>
  <c r="J666" i="10" s="1"/>
  <c r="L666" i="10" s="1"/>
  <c r="N666" i="10" s="1"/>
  <c r="AT665" i="10"/>
  <c r="AE665" i="10"/>
  <c r="AF665" i="10"/>
  <c r="H673" i="10"/>
  <c r="D673" i="10"/>
  <c r="F673" i="10" s="1"/>
  <c r="G673" i="10" s="1"/>
  <c r="V673" i="10" s="1"/>
  <c r="Z147" i="10"/>
  <c r="AR147" i="10" s="1"/>
  <c r="AU664" i="10"/>
  <c r="M674" i="10"/>
  <c r="K674" i="10"/>
  <c r="C674" i="10"/>
  <c r="I674" i="10" s="1"/>
  <c r="E674" i="10"/>
  <c r="R673" i="10"/>
  <c r="AZ146" i="10"/>
  <c r="BD146" i="10"/>
  <c r="BB675" i="10"/>
  <c r="BC675" i="10" s="1"/>
  <c r="AS675" i="10"/>
  <c r="A676" i="10"/>
  <c r="Y675" i="10"/>
  <c r="B675" i="10"/>
  <c r="O666" i="10" l="1"/>
  <c r="P666" i="10" s="1"/>
  <c r="J667" i="10" s="1"/>
  <c r="L667" i="10" s="1"/>
  <c r="N667" i="10" s="1"/>
  <c r="AE666" i="10"/>
  <c r="AT666" i="10"/>
  <c r="AF666" i="10"/>
  <c r="BB676" i="10"/>
  <c r="BC676" i="10" s="1"/>
  <c r="AS676" i="10"/>
  <c r="A677" i="10"/>
  <c r="Y676" i="10"/>
  <c r="B676" i="10"/>
  <c r="R674" i="10"/>
  <c r="AU665" i="10"/>
  <c r="H674" i="10"/>
  <c r="D674" i="10"/>
  <c r="F674" i="10" s="1"/>
  <c r="G674" i="10" s="1"/>
  <c r="V674" i="10" s="1"/>
  <c r="Q148" i="10"/>
  <c r="AA147" i="10"/>
  <c r="M675" i="10"/>
  <c r="C675" i="10"/>
  <c r="I675" i="10" s="1"/>
  <c r="K675" i="10"/>
  <c r="E675" i="10"/>
  <c r="O667" i="10" l="1"/>
  <c r="P667" i="10" s="1"/>
  <c r="J668" i="10" s="1"/>
  <c r="L668" i="10" s="1"/>
  <c r="N668" i="10" s="1"/>
  <c r="AE667" i="10"/>
  <c r="AT667" i="10"/>
  <c r="AF667" i="10"/>
  <c r="AJ147" i="10"/>
  <c r="AI147" i="10"/>
  <c r="AG147" i="10"/>
  <c r="AK147" i="10"/>
  <c r="AX147" i="10" s="1"/>
  <c r="AB148" i="10"/>
  <c r="AV147" i="10" s="1"/>
  <c r="S148" i="10"/>
  <c r="AM148" i="10"/>
  <c r="AC148" i="10"/>
  <c r="R675" i="10"/>
  <c r="M676" i="10"/>
  <c r="K676" i="10"/>
  <c r="C676" i="10"/>
  <c r="I676" i="10" s="1"/>
  <c r="E676" i="10"/>
  <c r="AU666" i="10"/>
  <c r="H675" i="10"/>
  <c r="D675" i="10"/>
  <c r="F675" i="10" s="1"/>
  <c r="G675" i="10" s="1"/>
  <c r="V675" i="10" s="1"/>
  <c r="BB677" i="10"/>
  <c r="BC677" i="10" s="1"/>
  <c r="AS677" i="10"/>
  <c r="A678" i="10"/>
  <c r="Y677" i="10"/>
  <c r="B677" i="10"/>
  <c r="AL147" i="10" l="1"/>
  <c r="BA147" i="10"/>
  <c r="O668" i="10"/>
  <c r="P668" i="10" s="1"/>
  <c r="J669" i="10" s="1"/>
  <c r="L669" i="10" s="1"/>
  <c r="N669" i="10" s="1"/>
  <c r="AE668" i="10"/>
  <c r="AT668" i="10"/>
  <c r="AF668" i="10"/>
  <c r="R676" i="10"/>
  <c r="H676" i="10"/>
  <c r="D676" i="10"/>
  <c r="F676" i="10" s="1"/>
  <c r="G676" i="10" s="1"/>
  <c r="V676" i="10" s="1"/>
  <c r="T148" i="10"/>
  <c r="AQ148" i="10" s="1"/>
  <c r="AD148" i="10"/>
  <c r="U148" i="10"/>
  <c r="W148" i="10" s="1"/>
  <c r="AP148" i="10" s="1"/>
  <c r="AU667" i="10"/>
  <c r="M677" i="10"/>
  <c r="C677" i="10"/>
  <c r="I677" i="10" s="1"/>
  <c r="K677" i="10"/>
  <c r="E677" i="10"/>
  <c r="AO147" i="10"/>
  <c r="AY147" i="10" s="1"/>
  <c r="AH147" i="10"/>
  <c r="AN147" i="10" s="1"/>
  <c r="AW147" i="10" s="1"/>
  <c r="BB678" i="10"/>
  <c r="BC678" i="10" s="1"/>
  <c r="AS678" i="10"/>
  <c r="A679" i="10"/>
  <c r="Y678" i="10"/>
  <c r="B678" i="10"/>
  <c r="X148" i="10" l="1"/>
  <c r="Z148" i="10" s="1"/>
  <c r="AR148" i="10" s="1"/>
  <c r="O669" i="10"/>
  <c r="P669" i="10" s="1"/>
  <c r="J670" i="10" s="1"/>
  <c r="L670" i="10" s="1"/>
  <c r="N670" i="10" s="1"/>
  <c r="AT669" i="10"/>
  <c r="AE669" i="10"/>
  <c r="AF669" i="10"/>
  <c r="H677" i="10"/>
  <c r="D677" i="10"/>
  <c r="F677" i="10" s="1"/>
  <c r="G677" i="10" s="1"/>
  <c r="V677" i="10" s="1"/>
  <c r="AZ147" i="10"/>
  <c r="BD147" i="10"/>
  <c r="AU668" i="10"/>
  <c r="M678" i="10"/>
  <c r="K678" i="10"/>
  <c r="C678" i="10"/>
  <c r="I678" i="10" s="1"/>
  <c r="E678" i="10"/>
  <c r="BB679" i="10"/>
  <c r="BC679" i="10" s="1"/>
  <c r="AS679" i="10"/>
  <c r="A680" i="10"/>
  <c r="Y679" i="10"/>
  <c r="B679" i="10"/>
  <c r="R677" i="10"/>
  <c r="O670" i="10" l="1"/>
  <c r="P670" i="10" s="1"/>
  <c r="J671" i="10" s="1"/>
  <c r="L671" i="10" s="1"/>
  <c r="N671" i="10" s="1"/>
  <c r="AT670" i="10"/>
  <c r="AE670" i="10"/>
  <c r="AF670" i="10"/>
  <c r="M679" i="10"/>
  <c r="C679" i="10"/>
  <c r="I679" i="10" s="1"/>
  <c r="K679" i="10"/>
  <c r="E679" i="10"/>
  <c r="R678" i="10"/>
  <c r="H678" i="10"/>
  <c r="D678" i="10"/>
  <c r="F678" i="10" s="1"/>
  <c r="G678" i="10" s="1"/>
  <c r="V678" i="10" s="1"/>
  <c r="AU669" i="10"/>
  <c r="BB680" i="10"/>
  <c r="BC680" i="10" s="1"/>
  <c r="AS680" i="10"/>
  <c r="A681" i="10"/>
  <c r="Y680" i="10"/>
  <c r="B680" i="10"/>
  <c r="Q149" i="10"/>
  <c r="AA148" i="10"/>
  <c r="O671" i="10" l="1"/>
  <c r="P671" i="10" s="1"/>
  <c r="J672" i="10" s="1"/>
  <c r="L672" i="10" s="1"/>
  <c r="N672" i="10" s="1"/>
  <c r="AE671" i="10"/>
  <c r="AT671" i="10"/>
  <c r="AF671" i="10"/>
  <c r="M680" i="10"/>
  <c r="K680" i="10"/>
  <c r="C680" i="10"/>
  <c r="I680" i="10" s="1"/>
  <c r="E680" i="10"/>
  <c r="BB681" i="10"/>
  <c r="BC681" i="10" s="1"/>
  <c r="AS681" i="10"/>
  <c r="A682" i="10"/>
  <c r="Y681" i="10"/>
  <c r="B681" i="10"/>
  <c r="AU670" i="10"/>
  <c r="AJ148" i="10"/>
  <c r="AI148" i="10"/>
  <c r="AG148" i="10"/>
  <c r="AK148" i="10"/>
  <c r="AX148" i="10" s="1"/>
  <c r="AB149" i="10"/>
  <c r="AV148" i="10" s="1"/>
  <c r="S149" i="10"/>
  <c r="AM149" i="10"/>
  <c r="AC149" i="10"/>
  <c r="R679" i="10"/>
  <c r="H679" i="10"/>
  <c r="D679" i="10"/>
  <c r="F679" i="10" s="1"/>
  <c r="G679" i="10" s="1"/>
  <c r="V679" i="10" s="1"/>
  <c r="O672" i="10" l="1"/>
  <c r="P672" i="10" s="1"/>
  <c r="J673" i="10" s="1"/>
  <c r="L673" i="10" s="1"/>
  <c r="N673" i="10" s="1"/>
  <c r="AT672" i="10"/>
  <c r="AE672" i="10"/>
  <c r="AF672" i="10"/>
  <c r="BB682" i="10"/>
  <c r="BC682" i="10" s="1"/>
  <c r="AS682" i="10"/>
  <c r="A683" i="10"/>
  <c r="Y682" i="10"/>
  <c r="B682" i="10"/>
  <c r="AH148" i="10"/>
  <c r="AO148" i="10"/>
  <c r="AY148" i="10" s="1"/>
  <c r="BA148" i="10"/>
  <c r="AL148" i="10"/>
  <c r="AU671" i="10"/>
  <c r="T149" i="10"/>
  <c r="AQ149" i="10" s="1"/>
  <c r="AD149" i="10"/>
  <c r="U149" i="10"/>
  <c r="W149" i="10" s="1"/>
  <c r="AP149" i="10" s="1"/>
  <c r="R680" i="10"/>
  <c r="M681" i="10"/>
  <c r="C681" i="10"/>
  <c r="I681" i="10" s="1"/>
  <c r="K681" i="10"/>
  <c r="E681" i="10"/>
  <c r="H680" i="10"/>
  <c r="D680" i="10"/>
  <c r="F680" i="10" s="1"/>
  <c r="G680" i="10" s="1"/>
  <c r="V680" i="10" s="1"/>
  <c r="X149" i="10" l="1"/>
  <c r="Z149" i="10" s="1"/>
  <c r="AR149" i="10" s="1"/>
  <c r="AN148" i="10"/>
  <c r="AW148" i="10" s="1"/>
  <c r="AZ148" i="10" s="1"/>
  <c r="O673" i="10"/>
  <c r="P673" i="10" s="1"/>
  <c r="J674" i="10" s="1"/>
  <c r="L674" i="10" s="1"/>
  <c r="N674" i="10" s="1"/>
  <c r="AT673" i="10"/>
  <c r="AE673" i="10"/>
  <c r="AF673" i="10"/>
  <c r="R681" i="10"/>
  <c r="H681" i="10"/>
  <c r="D681" i="10"/>
  <c r="F681" i="10" s="1"/>
  <c r="G681" i="10" s="1"/>
  <c r="V681" i="10" s="1"/>
  <c r="M682" i="10"/>
  <c r="K682" i="10"/>
  <c r="C682" i="10"/>
  <c r="I682" i="10" s="1"/>
  <c r="E682" i="10"/>
  <c r="AU672" i="10"/>
  <c r="BB683" i="10"/>
  <c r="BC683" i="10" s="1"/>
  <c r="AS683" i="10"/>
  <c r="A684" i="10"/>
  <c r="Y683" i="10"/>
  <c r="B683" i="10"/>
  <c r="BD148" i="10" l="1"/>
  <c r="O674" i="10"/>
  <c r="P674" i="10" s="1"/>
  <c r="J675" i="10" s="1"/>
  <c r="L675" i="10" s="1"/>
  <c r="N675" i="10" s="1"/>
  <c r="AE674" i="10"/>
  <c r="AT674" i="10"/>
  <c r="AF674" i="10"/>
  <c r="BB684" i="10"/>
  <c r="BC684" i="10" s="1"/>
  <c r="AS684" i="10"/>
  <c r="A685" i="10"/>
  <c r="Y684" i="10"/>
  <c r="B684" i="10"/>
  <c r="R682" i="10"/>
  <c r="H682" i="10"/>
  <c r="D682" i="10"/>
  <c r="F682" i="10" s="1"/>
  <c r="G682" i="10" s="1"/>
  <c r="V682" i="10" s="1"/>
  <c r="Q150" i="10"/>
  <c r="AU673" i="10"/>
  <c r="AA149" i="10"/>
  <c r="M683" i="10"/>
  <c r="C683" i="10"/>
  <c r="I683" i="10" s="1"/>
  <c r="K683" i="10"/>
  <c r="E683" i="10"/>
  <c r="O675" i="10" l="1"/>
  <c r="P675" i="10" s="1"/>
  <c r="J676" i="10" s="1"/>
  <c r="L676" i="10" s="1"/>
  <c r="N676" i="10" s="1"/>
  <c r="AE675" i="10"/>
  <c r="AT675" i="10"/>
  <c r="AF675" i="10"/>
  <c r="R683" i="10"/>
  <c r="AU674" i="10"/>
  <c r="BB685" i="10"/>
  <c r="BC685" i="10" s="1"/>
  <c r="AS685" i="10"/>
  <c r="Y685" i="10"/>
  <c r="A686" i="10"/>
  <c r="B685" i="10"/>
  <c r="H683" i="10"/>
  <c r="D683" i="10"/>
  <c r="F683" i="10" s="1"/>
  <c r="G683" i="10" s="1"/>
  <c r="V683" i="10" s="1"/>
  <c r="AB150" i="10"/>
  <c r="AV149" i="10" s="1"/>
  <c r="S150" i="10"/>
  <c r="AC150" i="10"/>
  <c r="AM150" i="10"/>
  <c r="M684" i="10"/>
  <c r="K684" i="10"/>
  <c r="C684" i="10"/>
  <c r="I684" i="10" s="1"/>
  <c r="E684" i="10"/>
  <c r="AJ149" i="10"/>
  <c r="AI149" i="10"/>
  <c r="AG149" i="10"/>
  <c r="AK149" i="10"/>
  <c r="AX149" i="10" s="1"/>
  <c r="O676" i="10" l="1"/>
  <c r="P676" i="10" s="1"/>
  <c r="J677" i="10" s="1"/>
  <c r="L677" i="10" s="1"/>
  <c r="N677" i="10" s="1"/>
  <c r="AT676" i="10"/>
  <c r="AE676" i="10"/>
  <c r="AF676" i="10"/>
  <c r="T150" i="10"/>
  <c r="AQ150" i="10" s="1"/>
  <c r="AD150" i="10"/>
  <c r="U150" i="10"/>
  <c r="W150" i="10" s="1"/>
  <c r="AP150" i="10" s="1"/>
  <c r="R684" i="10"/>
  <c r="H684" i="10"/>
  <c r="D684" i="10"/>
  <c r="F684" i="10" s="1"/>
  <c r="G684" i="10" s="1"/>
  <c r="V684" i="10" s="1"/>
  <c r="AH149" i="10"/>
  <c r="AO149" i="10"/>
  <c r="AY149" i="10" s="1"/>
  <c r="AU675" i="10"/>
  <c r="AL149" i="10"/>
  <c r="M685" i="10"/>
  <c r="C685" i="10"/>
  <c r="I685" i="10" s="1"/>
  <c r="K685" i="10"/>
  <c r="E685" i="10"/>
  <c r="BA149" i="10"/>
  <c r="BB686" i="10"/>
  <c r="BC686" i="10" s="1"/>
  <c r="AS686" i="10"/>
  <c r="A687" i="10"/>
  <c r="Y686" i="10"/>
  <c r="B686" i="10"/>
  <c r="AN149" i="10" l="1"/>
  <c r="AW149" i="10" s="1"/>
  <c r="O677" i="10"/>
  <c r="P677" i="10" s="1"/>
  <c r="J678" i="10" s="1"/>
  <c r="L678" i="10" s="1"/>
  <c r="N678" i="10" s="1"/>
  <c r="AT677" i="10"/>
  <c r="AE677" i="10"/>
  <c r="AF677" i="10"/>
  <c r="M686" i="10"/>
  <c r="K686" i="10"/>
  <c r="C686" i="10"/>
  <c r="I686" i="10" s="1"/>
  <c r="E686" i="10"/>
  <c r="AZ149" i="10"/>
  <c r="BD149" i="10"/>
  <c r="X150" i="10"/>
  <c r="R685" i="10"/>
  <c r="AU676" i="10"/>
  <c r="H685" i="10"/>
  <c r="D685" i="10"/>
  <c r="F685" i="10" s="1"/>
  <c r="G685" i="10" s="1"/>
  <c r="V685" i="10" s="1"/>
  <c r="A688" i="10"/>
  <c r="Y687" i="10"/>
  <c r="BB687" i="10"/>
  <c r="BC687" i="10" s="1"/>
  <c r="AS687" i="10"/>
  <c r="B687" i="10"/>
  <c r="O678" i="10" l="1"/>
  <c r="P678" i="10" s="1"/>
  <c r="J679" i="10" s="1"/>
  <c r="L679" i="10" s="1"/>
  <c r="N679" i="10" s="1"/>
  <c r="AT678" i="10"/>
  <c r="AE678" i="10"/>
  <c r="AF678" i="10"/>
  <c r="M687" i="10"/>
  <c r="C687" i="10"/>
  <c r="I687" i="10" s="1"/>
  <c r="K687" i="10"/>
  <c r="E687" i="10"/>
  <c r="AU677" i="10"/>
  <c r="A689" i="10"/>
  <c r="Y688" i="10"/>
  <c r="BB688" i="10"/>
  <c r="BC688" i="10" s="1"/>
  <c r="AS688" i="10"/>
  <c r="B688" i="10"/>
  <c r="R686" i="10"/>
  <c r="Z150" i="10"/>
  <c r="AR150" i="10" s="1"/>
  <c r="H686" i="10"/>
  <c r="D686" i="10"/>
  <c r="F686" i="10" s="1"/>
  <c r="G686" i="10" s="1"/>
  <c r="V686" i="10" s="1"/>
  <c r="O679" i="10" l="1"/>
  <c r="P679" i="10" s="1"/>
  <c r="J680" i="10" s="1"/>
  <c r="L680" i="10" s="1"/>
  <c r="N680" i="10" s="1"/>
  <c r="AT679" i="10"/>
  <c r="AE679" i="10"/>
  <c r="AF679" i="10"/>
  <c r="A690" i="10"/>
  <c r="Y689" i="10"/>
  <c r="BB689" i="10"/>
  <c r="BC689" i="10" s="1"/>
  <c r="AS689" i="10"/>
  <c r="B689" i="10"/>
  <c r="AU678" i="10"/>
  <c r="C688" i="10"/>
  <c r="I688" i="10" s="1"/>
  <c r="K688" i="10"/>
  <c r="M688" i="10"/>
  <c r="E688" i="10"/>
  <c r="R687" i="10"/>
  <c r="Q151" i="10"/>
  <c r="AA150" i="10"/>
  <c r="H687" i="10"/>
  <c r="D687" i="10"/>
  <c r="F687" i="10" s="1"/>
  <c r="G687" i="10" s="1"/>
  <c r="V687" i="10" s="1"/>
  <c r="O680" i="10" l="1"/>
  <c r="P680" i="10" s="1"/>
  <c r="J681" i="10" s="1"/>
  <c r="L681" i="10" s="1"/>
  <c r="N681" i="10" s="1"/>
  <c r="AE680" i="10"/>
  <c r="AT680" i="10"/>
  <c r="AF680" i="10"/>
  <c r="A691" i="10"/>
  <c r="Y690" i="10"/>
  <c r="BB690" i="10"/>
  <c r="BC690" i="10" s="1"/>
  <c r="AS690" i="10"/>
  <c r="B690" i="10"/>
  <c r="R688" i="10"/>
  <c r="AU679" i="10"/>
  <c r="AJ150" i="10"/>
  <c r="AI150" i="10"/>
  <c r="AG150" i="10"/>
  <c r="AK150" i="10"/>
  <c r="AX150" i="10" s="1"/>
  <c r="K689" i="10"/>
  <c r="M689" i="10"/>
  <c r="C689" i="10"/>
  <c r="I689" i="10" s="1"/>
  <c r="E689" i="10"/>
  <c r="AB151" i="10"/>
  <c r="AV150" i="10" s="1"/>
  <c r="S151" i="10"/>
  <c r="AM151" i="10"/>
  <c r="AC151" i="10"/>
  <c r="H688" i="10"/>
  <c r="D688" i="10"/>
  <c r="F688" i="10" s="1"/>
  <c r="G688" i="10" s="1"/>
  <c r="V688" i="10" s="1"/>
  <c r="BA150" i="10" l="1"/>
  <c r="O681" i="10"/>
  <c r="P681" i="10" s="1"/>
  <c r="J682" i="10" s="1"/>
  <c r="L682" i="10" s="1"/>
  <c r="N682" i="10" s="1"/>
  <c r="AT681" i="10"/>
  <c r="AE681" i="10"/>
  <c r="AF681" i="10"/>
  <c r="A692" i="10"/>
  <c r="Y691" i="10"/>
  <c r="BB691" i="10"/>
  <c r="BC691" i="10" s="1"/>
  <c r="AS691" i="10"/>
  <c r="B691" i="10"/>
  <c r="T151" i="10"/>
  <c r="AQ151" i="10" s="1"/>
  <c r="AD151" i="10"/>
  <c r="U151" i="10"/>
  <c r="W151" i="10" s="1"/>
  <c r="AP151" i="10" s="1"/>
  <c r="AO150" i="10"/>
  <c r="AY150" i="10" s="1"/>
  <c r="AH150" i="10"/>
  <c r="C690" i="10"/>
  <c r="I690" i="10" s="1"/>
  <c r="M690" i="10"/>
  <c r="K690" i="10"/>
  <c r="E690" i="10"/>
  <c r="AU680" i="10"/>
  <c r="R689" i="10"/>
  <c r="AL150" i="10"/>
  <c r="H689" i="10"/>
  <c r="D689" i="10"/>
  <c r="F689" i="10" s="1"/>
  <c r="G689" i="10" s="1"/>
  <c r="V689" i="10" s="1"/>
  <c r="O682" i="10" l="1"/>
  <c r="P682" i="10" s="1"/>
  <c r="J683" i="10" s="1"/>
  <c r="L683" i="10" s="1"/>
  <c r="N683" i="10" s="1"/>
  <c r="AE682" i="10"/>
  <c r="AT682" i="10"/>
  <c r="AF682" i="10"/>
  <c r="H690" i="10"/>
  <c r="D690" i="10"/>
  <c r="F690" i="10" s="1"/>
  <c r="G690" i="10" s="1"/>
  <c r="V690" i="10" s="1"/>
  <c r="K691" i="10"/>
  <c r="M691" i="10"/>
  <c r="C691" i="10"/>
  <c r="I691" i="10" s="1"/>
  <c r="E691" i="10"/>
  <c r="AU681" i="10"/>
  <c r="AN150" i="10"/>
  <c r="AW150" i="10" s="1"/>
  <c r="A693" i="10"/>
  <c r="Y692" i="10"/>
  <c r="AS692" i="10"/>
  <c r="BB692" i="10"/>
  <c r="BC692" i="10" s="1"/>
  <c r="B692" i="10"/>
  <c r="R690" i="10"/>
  <c r="X151" i="10"/>
  <c r="O683" i="10" l="1"/>
  <c r="P683" i="10" s="1"/>
  <c r="J684" i="10" s="1"/>
  <c r="L684" i="10" s="1"/>
  <c r="N684" i="10" s="1"/>
  <c r="AT683" i="10"/>
  <c r="AE683" i="10"/>
  <c r="AF683" i="10"/>
  <c r="Z151" i="10"/>
  <c r="AR151" i="10" s="1"/>
  <c r="A694" i="10"/>
  <c r="Y693" i="10"/>
  <c r="AS693" i="10"/>
  <c r="BB693" i="10"/>
  <c r="BC693" i="10" s="1"/>
  <c r="B693" i="10"/>
  <c r="R691" i="10"/>
  <c r="H691" i="10"/>
  <c r="D691" i="10"/>
  <c r="F691" i="10" s="1"/>
  <c r="G691" i="10" s="1"/>
  <c r="V691" i="10" s="1"/>
  <c r="K692" i="10"/>
  <c r="C692" i="10"/>
  <c r="I692" i="10" s="1"/>
  <c r="M692" i="10"/>
  <c r="E692" i="10"/>
  <c r="AZ150" i="10"/>
  <c r="BD150" i="10"/>
  <c r="AU682" i="10"/>
  <c r="AA151" i="10" l="1"/>
  <c r="AG151" i="10" s="1"/>
  <c r="O684" i="10"/>
  <c r="P684" i="10" s="1"/>
  <c r="J685" i="10" s="1"/>
  <c r="L685" i="10" s="1"/>
  <c r="N685" i="10" s="1"/>
  <c r="AT684" i="10"/>
  <c r="AE684" i="10"/>
  <c r="AF684" i="10"/>
  <c r="AJ151" i="10"/>
  <c r="K693" i="10"/>
  <c r="C693" i="10"/>
  <c r="I693" i="10" s="1"/>
  <c r="M693" i="10"/>
  <c r="E693" i="10"/>
  <c r="AU683" i="10"/>
  <c r="R692" i="10"/>
  <c r="A695" i="10"/>
  <c r="Y694" i="10"/>
  <c r="AS694" i="10"/>
  <c r="BB694" i="10"/>
  <c r="BC694" i="10" s="1"/>
  <c r="B694" i="10"/>
  <c r="H692" i="10"/>
  <c r="D692" i="10"/>
  <c r="F692" i="10" s="1"/>
  <c r="G692" i="10" s="1"/>
  <c r="V692" i="10" s="1"/>
  <c r="Q152" i="10"/>
  <c r="AI151" i="10" l="1"/>
  <c r="AK151" i="10"/>
  <c r="AX151" i="10" s="1"/>
  <c r="O685" i="10"/>
  <c r="P685" i="10" s="1"/>
  <c r="J686" i="10" s="1"/>
  <c r="L686" i="10" s="1"/>
  <c r="N686" i="10" s="1"/>
  <c r="AE685" i="10"/>
  <c r="AT685" i="10"/>
  <c r="AF685" i="10"/>
  <c r="H693" i="10"/>
  <c r="D693" i="10"/>
  <c r="F693" i="10" s="1"/>
  <c r="G693" i="10" s="1"/>
  <c r="V693" i="10" s="1"/>
  <c r="AU684" i="10"/>
  <c r="K694" i="10"/>
  <c r="C694" i="10"/>
  <c r="I694" i="10" s="1"/>
  <c r="M694" i="10"/>
  <c r="E694" i="10"/>
  <c r="AB152" i="10"/>
  <c r="AV151" i="10" s="1"/>
  <c r="S152" i="10"/>
  <c r="AC152" i="10"/>
  <c r="AM152" i="10"/>
  <c r="AO151" i="10"/>
  <c r="AY151" i="10" s="1"/>
  <c r="AH151" i="10"/>
  <c r="A696" i="10"/>
  <c r="Y695" i="10"/>
  <c r="AS695" i="10"/>
  <c r="BB695" i="10"/>
  <c r="BC695" i="10" s="1"/>
  <c r="B695" i="10"/>
  <c r="R693" i="10"/>
  <c r="AL151" i="10"/>
  <c r="AN151" i="10" l="1"/>
  <c r="BA151" i="10"/>
  <c r="AW151" i="10"/>
  <c r="BD151" i="10" s="1"/>
  <c r="O686" i="10"/>
  <c r="P686" i="10" s="1"/>
  <c r="J687" i="10" s="1"/>
  <c r="L687" i="10" s="1"/>
  <c r="N687" i="10" s="1"/>
  <c r="AE686" i="10"/>
  <c r="AT686" i="10"/>
  <c r="AF686" i="10"/>
  <c r="H694" i="10"/>
  <c r="D694" i="10"/>
  <c r="F694" i="10" s="1"/>
  <c r="G694" i="10" s="1"/>
  <c r="V694" i="10" s="1"/>
  <c r="K695" i="10"/>
  <c r="C695" i="10"/>
  <c r="I695" i="10" s="1"/>
  <c r="M695" i="10"/>
  <c r="E695" i="10"/>
  <c r="T152" i="10"/>
  <c r="AQ152" i="10" s="1"/>
  <c r="AD152" i="10"/>
  <c r="U152" i="10"/>
  <c r="W152" i="10" s="1"/>
  <c r="AP152" i="10" s="1"/>
  <c r="AU685" i="10"/>
  <c r="A697" i="10"/>
  <c r="Y696" i="10"/>
  <c r="AS696" i="10"/>
  <c r="BB696" i="10"/>
  <c r="BC696" i="10" s="1"/>
  <c r="B696" i="10"/>
  <c r="R694" i="10"/>
  <c r="AZ151" i="10" l="1"/>
  <c r="O687" i="10"/>
  <c r="P687" i="10" s="1"/>
  <c r="J688" i="10" s="1"/>
  <c r="L688" i="10" s="1"/>
  <c r="N688" i="10" s="1"/>
  <c r="AT687" i="10"/>
  <c r="AE687" i="10"/>
  <c r="AF687" i="10"/>
  <c r="R695" i="10"/>
  <c r="K696" i="10"/>
  <c r="C696" i="10"/>
  <c r="I696" i="10" s="1"/>
  <c r="M696" i="10"/>
  <c r="E696" i="10"/>
  <c r="H695" i="10"/>
  <c r="D695" i="10"/>
  <c r="F695" i="10" s="1"/>
  <c r="G695" i="10" s="1"/>
  <c r="V695" i="10" s="1"/>
  <c r="AU686" i="10"/>
  <c r="X152" i="10"/>
  <c r="A698" i="10"/>
  <c r="Y697" i="10"/>
  <c r="AS697" i="10"/>
  <c r="BB697" i="10"/>
  <c r="BC697" i="10" s="1"/>
  <c r="B697" i="10"/>
  <c r="O688" i="10" l="1"/>
  <c r="P688" i="10" s="1"/>
  <c r="J689" i="10" s="1"/>
  <c r="L689" i="10" s="1"/>
  <c r="N689" i="10" s="1"/>
  <c r="AE688" i="10"/>
  <c r="AT688" i="10"/>
  <c r="AF688" i="10"/>
  <c r="R696" i="10"/>
  <c r="K697" i="10"/>
  <c r="C697" i="10"/>
  <c r="I697" i="10" s="1"/>
  <c r="M697" i="10"/>
  <c r="E697" i="10"/>
  <c r="Z152" i="10"/>
  <c r="AR152" i="10" s="1"/>
  <c r="H696" i="10"/>
  <c r="D696" i="10"/>
  <c r="F696" i="10" s="1"/>
  <c r="G696" i="10" s="1"/>
  <c r="V696" i="10" s="1"/>
  <c r="AU687" i="10"/>
  <c r="A699" i="10"/>
  <c r="Y698" i="10"/>
  <c r="AS698" i="10"/>
  <c r="BB698" i="10"/>
  <c r="BC698" i="10" s="1"/>
  <c r="B698" i="10"/>
  <c r="Q153" i="10" l="1"/>
  <c r="S153" i="10" s="1"/>
  <c r="AA152" i="10"/>
  <c r="AJ152" i="10" s="1"/>
  <c r="O689" i="10"/>
  <c r="P689" i="10" s="1"/>
  <c r="J690" i="10" s="1"/>
  <c r="L690" i="10" s="1"/>
  <c r="N690" i="10" s="1"/>
  <c r="AT689" i="10"/>
  <c r="AE689" i="10"/>
  <c r="AF689" i="10"/>
  <c r="K698" i="10"/>
  <c r="C698" i="10"/>
  <c r="I698" i="10" s="1"/>
  <c r="M698" i="10"/>
  <c r="E698" i="10"/>
  <c r="R697" i="10"/>
  <c r="H697" i="10"/>
  <c r="D697" i="10"/>
  <c r="F697" i="10" s="1"/>
  <c r="G697" i="10" s="1"/>
  <c r="V697" i="10" s="1"/>
  <c r="AU688" i="10"/>
  <c r="A700" i="10"/>
  <c r="Y699" i="10"/>
  <c r="BB699" i="10"/>
  <c r="BC699" i="10" s="1"/>
  <c r="AS699" i="10"/>
  <c r="B699" i="10"/>
  <c r="AB153" i="10" l="1"/>
  <c r="AV152" i="10" s="1"/>
  <c r="AK152" i="10"/>
  <c r="AX152" i="10" s="1"/>
  <c r="AM153" i="10"/>
  <c r="AG152" i="10"/>
  <c r="AO152" i="10" s="1"/>
  <c r="AY152" i="10" s="1"/>
  <c r="AI152" i="10"/>
  <c r="AC153" i="10"/>
  <c r="BA152" i="10" s="1"/>
  <c r="O690" i="10"/>
  <c r="P690" i="10" s="1"/>
  <c r="J691" i="10" s="1"/>
  <c r="L691" i="10" s="1"/>
  <c r="N691" i="10" s="1"/>
  <c r="AT690" i="10"/>
  <c r="AE690" i="10"/>
  <c r="AF690" i="10"/>
  <c r="A701" i="10"/>
  <c r="Y700" i="10"/>
  <c r="BB700" i="10"/>
  <c r="BC700" i="10" s="1"/>
  <c r="AS700" i="10"/>
  <c r="B700" i="10"/>
  <c r="AU689" i="10"/>
  <c r="K699" i="10"/>
  <c r="C699" i="10"/>
  <c r="I699" i="10" s="1"/>
  <c r="M699" i="10"/>
  <c r="E699" i="10"/>
  <c r="R698" i="10"/>
  <c r="H698" i="10"/>
  <c r="D698" i="10"/>
  <c r="F698" i="10" s="1"/>
  <c r="G698" i="10" s="1"/>
  <c r="V698" i="10" s="1"/>
  <c r="T153" i="10"/>
  <c r="AQ153" i="10" s="1"/>
  <c r="AD153" i="10"/>
  <c r="U153" i="10"/>
  <c r="W153" i="10" s="1"/>
  <c r="AP153" i="10" s="1"/>
  <c r="AL152" i="10" l="1"/>
  <c r="AH152" i="10"/>
  <c r="AN152" i="10"/>
  <c r="AW152" i="10" s="1"/>
  <c r="BD152" i="10" s="1"/>
  <c r="O691" i="10"/>
  <c r="P691" i="10" s="1"/>
  <c r="J692" i="10" s="1"/>
  <c r="L692" i="10" s="1"/>
  <c r="N692" i="10" s="1"/>
  <c r="AT691" i="10"/>
  <c r="AE691" i="10"/>
  <c r="AF691" i="10"/>
  <c r="H699" i="10"/>
  <c r="D699" i="10"/>
  <c r="F699" i="10" s="1"/>
  <c r="G699" i="10" s="1"/>
  <c r="V699" i="10" s="1"/>
  <c r="K700" i="10"/>
  <c r="C700" i="10"/>
  <c r="I700" i="10" s="1"/>
  <c r="M700" i="10"/>
  <c r="E700" i="10"/>
  <c r="AU690" i="10"/>
  <c r="X153" i="10"/>
  <c r="A702" i="10"/>
  <c r="Y701" i="10"/>
  <c r="AS701" i="10"/>
  <c r="BB701" i="10"/>
  <c r="BC701" i="10" s="1"/>
  <c r="B701" i="10"/>
  <c r="R699" i="10"/>
  <c r="AZ152" i="10" l="1"/>
  <c r="O692" i="10"/>
  <c r="P692" i="10" s="1"/>
  <c r="J693" i="10" s="1"/>
  <c r="L693" i="10" s="1"/>
  <c r="N693" i="10" s="1"/>
  <c r="AE692" i="10"/>
  <c r="AT692" i="10"/>
  <c r="AF692" i="10"/>
  <c r="A703" i="10"/>
  <c r="Y702" i="10"/>
  <c r="BB702" i="10"/>
  <c r="BC702" i="10" s="1"/>
  <c r="AS702" i="10"/>
  <c r="B702" i="10"/>
  <c r="H700" i="10"/>
  <c r="D700" i="10"/>
  <c r="F700" i="10" s="1"/>
  <c r="G700" i="10" s="1"/>
  <c r="V700" i="10" s="1"/>
  <c r="AU691" i="10"/>
  <c r="Z153" i="10"/>
  <c r="AR153" i="10" s="1"/>
  <c r="K701" i="10"/>
  <c r="C701" i="10"/>
  <c r="I701" i="10" s="1"/>
  <c r="M701" i="10"/>
  <c r="E701" i="10"/>
  <c r="R700" i="10"/>
  <c r="O693" i="10" l="1"/>
  <c r="P693" i="10" s="1"/>
  <c r="J694" i="10" s="1"/>
  <c r="L694" i="10" s="1"/>
  <c r="N694" i="10" s="1"/>
  <c r="AT693" i="10"/>
  <c r="AE693" i="10"/>
  <c r="AF693" i="10"/>
  <c r="Q154" i="10"/>
  <c r="K702" i="10"/>
  <c r="C702" i="10"/>
  <c r="I702" i="10" s="1"/>
  <c r="M702" i="10"/>
  <c r="E702" i="10"/>
  <c r="AA153" i="10"/>
  <c r="AU692" i="10"/>
  <c r="R701" i="10"/>
  <c r="H701" i="10"/>
  <c r="D701" i="10"/>
  <c r="F701" i="10" s="1"/>
  <c r="G701" i="10" s="1"/>
  <c r="V701" i="10" s="1"/>
  <c r="A704" i="10"/>
  <c r="Y703" i="10"/>
  <c r="AS703" i="10"/>
  <c r="BB703" i="10"/>
  <c r="BC703" i="10" s="1"/>
  <c r="B703" i="10"/>
  <c r="O694" i="10" l="1"/>
  <c r="P694" i="10" s="1"/>
  <c r="J695" i="10" s="1"/>
  <c r="L695" i="10" s="1"/>
  <c r="N695" i="10" s="1"/>
  <c r="AT694" i="10"/>
  <c r="AE694" i="10"/>
  <c r="AF694" i="10"/>
  <c r="K703" i="10"/>
  <c r="C703" i="10"/>
  <c r="I703" i="10" s="1"/>
  <c r="M703" i="10"/>
  <c r="E703" i="10"/>
  <c r="R702" i="10"/>
  <c r="H702" i="10"/>
  <c r="D702" i="10"/>
  <c r="F702" i="10" s="1"/>
  <c r="G702" i="10" s="1"/>
  <c r="V702" i="10" s="1"/>
  <c r="AU693" i="10"/>
  <c r="A705" i="10"/>
  <c r="Y704" i="10"/>
  <c r="BB704" i="10"/>
  <c r="BC704" i="10" s="1"/>
  <c r="AS704" i="10"/>
  <c r="B704" i="10"/>
  <c r="AB154" i="10"/>
  <c r="AV153" i="10" s="1"/>
  <c r="S154" i="10"/>
  <c r="AM154" i="10"/>
  <c r="AC154" i="10"/>
  <c r="AJ153" i="10"/>
  <c r="AI153" i="10"/>
  <c r="AG153" i="10"/>
  <c r="AK153" i="10"/>
  <c r="AX153" i="10" s="1"/>
  <c r="BA153" i="10" l="1"/>
  <c r="O695" i="10"/>
  <c r="P695" i="10" s="1"/>
  <c r="J696" i="10" s="1"/>
  <c r="L696" i="10" s="1"/>
  <c r="N696" i="10" s="1"/>
  <c r="AT695" i="10"/>
  <c r="AE695" i="10"/>
  <c r="AF695" i="10"/>
  <c r="A706" i="10"/>
  <c r="Y705" i="10"/>
  <c r="AS705" i="10"/>
  <c r="BB705" i="10"/>
  <c r="BC705" i="10" s="1"/>
  <c r="B705" i="10"/>
  <c r="AU694" i="10"/>
  <c r="T154" i="10"/>
  <c r="AQ154" i="10" s="1"/>
  <c r="AD154" i="10"/>
  <c r="U154" i="10"/>
  <c r="W154" i="10" s="1"/>
  <c r="AP154" i="10" s="1"/>
  <c r="AH153" i="10"/>
  <c r="AO153" i="10"/>
  <c r="AY153" i="10" s="1"/>
  <c r="K704" i="10"/>
  <c r="C704" i="10"/>
  <c r="I704" i="10" s="1"/>
  <c r="M704" i="10"/>
  <c r="E704" i="10"/>
  <c r="R703" i="10"/>
  <c r="AL153" i="10"/>
  <c r="H703" i="10"/>
  <c r="D703" i="10"/>
  <c r="F703" i="10" s="1"/>
  <c r="G703" i="10" s="1"/>
  <c r="V703" i="10" s="1"/>
  <c r="AN153" i="10" l="1"/>
  <c r="AW153" i="10" s="1"/>
  <c r="BD153" i="10" s="1"/>
  <c r="O696" i="10"/>
  <c r="P696" i="10"/>
  <c r="J697" i="10" s="1"/>
  <c r="L697" i="10" s="1"/>
  <c r="N697" i="10" s="1"/>
  <c r="AT696" i="10"/>
  <c r="AE696" i="10"/>
  <c r="AF696" i="10"/>
  <c r="K705" i="10"/>
  <c r="C705" i="10"/>
  <c r="I705" i="10" s="1"/>
  <c r="M705" i="10"/>
  <c r="E705" i="10"/>
  <c r="AU695" i="10"/>
  <c r="X154" i="10"/>
  <c r="R704" i="10"/>
  <c r="H704" i="10"/>
  <c r="D704" i="10"/>
  <c r="F704" i="10" s="1"/>
  <c r="G704" i="10" s="1"/>
  <c r="V704" i="10" s="1"/>
  <c r="A707" i="10"/>
  <c r="Y706" i="10"/>
  <c r="BB706" i="10"/>
  <c r="BC706" i="10" s="1"/>
  <c r="AS706" i="10"/>
  <c r="B706" i="10"/>
  <c r="AZ153" i="10" l="1"/>
  <c r="O697" i="10"/>
  <c r="P697" i="10"/>
  <c r="J698" i="10" s="1"/>
  <c r="L698" i="10" s="1"/>
  <c r="N698" i="10" s="1"/>
  <c r="AE697" i="10"/>
  <c r="AT697" i="10"/>
  <c r="AF697" i="10"/>
  <c r="K706" i="10"/>
  <c r="C706" i="10"/>
  <c r="I706" i="10" s="1"/>
  <c r="M706" i="10"/>
  <c r="E706" i="10"/>
  <c r="R705" i="10"/>
  <c r="AU696" i="10"/>
  <c r="H705" i="10"/>
  <c r="D705" i="10"/>
  <c r="F705" i="10" s="1"/>
  <c r="G705" i="10" s="1"/>
  <c r="V705" i="10" s="1"/>
  <c r="A708" i="10"/>
  <c r="Y707" i="10"/>
  <c r="AS707" i="10"/>
  <c r="BB707" i="10"/>
  <c r="BC707" i="10" s="1"/>
  <c r="B707" i="10"/>
  <c r="Z154" i="10"/>
  <c r="AR154" i="10" s="1"/>
  <c r="O698" i="10" l="1"/>
  <c r="P698" i="10"/>
  <c r="J699" i="10"/>
  <c r="L699" i="10" s="1"/>
  <c r="N699" i="10" s="1"/>
  <c r="AE698" i="10"/>
  <c r="AT698" i="10"/>
  <c r="AF698" i="10"/>
  <c r="A709" i="10"/>
  <c r="Y708" i="10"/>
  <c r="BB708" i="10"/>
  <c r="BC708" i="10" s="1"/>
  <c r="AS708" i="10"/>
  <c r="B708" i="10"/>
  <c r="Q155" i="10"/>
  <c r="AA154" i="10"/>
  <c r="AU697" i="10"/>
  <c r="K707" i="10"/>
  <c r="C707" i="10"/>
  <c r="I707" i="10" s="1"/>
  <c r="M707" i="10"/>
  <c r="E707" i="10"/>
  <c r="R706" i="10"/>
  <c r="H706" i="10"/>
  <c r="D706" i="10"/>
  <c r="F706" i="10" s="1"/>
  <c r="G706" i="10" s="1"/>
  <c r="V706" i="10" s="1"/>
  <c r="H707" i="10" l="1"/>
  <c r="D707" i="10"/>
  <c r="F707" i="10" s="1"/>
  <c r="G707" i="10" s="1"/>
  <c r="V707" i="10" s="1"/>
  <c r="AB155" i="10"/>
  <c r="AV154" i="10" s="1"/>
  <c r="S155" i="10"/>
  <c r="AC155" i="10"/>
  <c r="AM155" i="10"/>
  <c r="K708" i="10"/>
  <c r="C708" i="10"/>
  <c r="I708" i="10" s="1"/>
  <c r="M708" i="10"/>
  <c r="E708" i="10"/>
  <c r="AU698" i="10"/>
  <c r="AJ154" i="10"/>
  <c r="AI154" i="10"/>
  <c r="AG154" i="10"/>
  <c r="AK154" i="10"/>
  <c r="AX154" i="10" s="1"/>
  <c r="A710" i="10"/>
  <c r="Y709" i="10"/>
  <c r="AS709" i="10"/>
  <c r="BB709" i="10"/>
  <c r="BC709" i="10" s="1"/>
  <c r="B709" i="10"/>
  <c r="O699" i="10"/>
  <c r="P699" i="10"/>
  <c r="J700" i="10" s="1"/>
  <c r="L700" i="10" s="1"/>
  <c r="N700" i="10" s="1"/>
  <c r="AE699" i="10"/>
  <c r="AT699" i="10"/>
  <c r="AF699" i="10"/>
  <c r="R707" i="10"/>
  <c r="BA154" i="10" l="1"/>
  <c r="A711" i="10"/>
  <c r="Y710" i="10"/>
  <c r="BB710" i="10"/>
  <c r="BC710" i="10" s="1"/>
  <c r="AS710" i="10"/>
  <c r="B710" i="10"/>
  <c r="T155" i="10"/>
  <c r="AQ155" i="10" s="1"/>
  <c r="AD155" i="10"/>
  <c r="U155" i="10"/>
  <c r="W155" i="10" s="1"/>
  <c r="AP155" i="10" s="1"/>
  <c r="R708" i="10"/>
  <c r="AO154" i="10"/>
  <c r="AY154" i="10" s="1"/>
  <c r="AH154" i="10"/>
  <c r="H708" i="10"/>
  <c r="D708" i="10"/>
  <c r="F708" i="10" s="1"/>
  <c r="G708" i="10" s="1"/>
  <c r="V708" i="10" s="1"/>
  <c r="AU699" i="10"/>
  <c r="O700" i="10"/>
  <c r="P700" i="10" s="1"/>
  <c r="J701" i="10" s="1"/>
  <c r="L701" i="10" s="1"/>
  <c r="N701" i="10" s="1"/>
  <c r="AT700" i="10"/>
  <c r="AE700" i="10"/>
  <c r="AF700" i="10"/>
  <c r="K709" i="10"/>
  <c r="C709" i="10"/>
  <c r="I709" i="10" s="1"/>
  <c r="M709" i="10"/>
  <c r="E709" i="10"/>
  <c r="AL154" i="10"/>
  <c r="AN154" i="10" l="1"/>
  <c r="AW154" i="10" s="1"/>
  <c r="X155" i="10"/>
  <c r="Z155" i="10" s="1"/>
  <c r="AR155" i="10" s="1"/>
  <c r="O701" i="10"/>
  <c r="P701" i="10" s="1"/>
  <c r="J702" i="10" s="1"/>
  <c r="L702" i="10" s="1"/>
  <c r="N702" i="10" s="1"/>
  <c r="AE701" i="10"/>
  <c r="AT701" i="10"/>
  <c r="AF701" i="10"/>
  <c r="H709" i="10"/>
  <c r="D709" i="10"/>
  <c r="F709" i="10" s="1"/>
  <c r="G709" i="10" s="1"/>
  <c r="V709" i="10" s="1"/>
  <c r="AZ154" i="10"/>
  <c r="BD154" i="10"/>
  <c r="K710" i="10"/>
  <c r="C710" i="10"/>
  <c r="I710" i="10" s="1"/>
  <c r="M710" i="10"/>
  <c r="E710" i="10"/>
  <c r="AU700" i="10"/>
  <c r="R709" i="10"/>
  <c r="A712" i="10"/>
  <c r="Y711" i="10"/>
  <c r="AS711" i="10"/>
  <c r="BB711" i="10"/>
  <c r="BC711" i="10" s="1"/>
  <c r="B711" i="10"/>
  <c r="O702" i="10" l="1"/>
  <c r="P702" i="10" s="1"/>
  <c r="J703" i="10" s="1"/>
  <c r="L703" i="10" s="1"/>
  <c r="N703" i="10" s="1"/>
  <c r="AE702" i="10"/>
  <c r="AT702" i="10"/>
  <c r="AF702" i="10"/>
  <c r="A713" i="10"/>
  <c r="Y712" i="10"/>
  <c r="BB712" i="10"/>
  <c r="BC712" i="10" s="1"/>
  <c r="AS712" i="10"/>
  <c r="B712" i="10"/>
  <c r="AU701" i="10"/>
  <c r="R710" i="10"/>
  <c r="K711" i="10"/>
  <c r="C711" i="10"/>
  <c r="I711" i="10" s="1"/>
  <c r="M711" i="10"/>
  <c r="E711" i="10"/>
  <c r="H710" i="10"/>
  <c r="D710" i="10"/>
  <c r="F710" i="10" s="1"/>
  <c r="G710" i="10" s="1"/>
  <c r="V710" i="10" s="1"/>
  <c r="Q156" i="10"/>
  <c r="AA155" i="10"/>
  <c r="O703" i="10" l="1"/>
  <c r="P703" i="10" s="1"/>
  <c r="J704" i="10" s="1"/>
  <c r="L704" i="10" s="1"/>
  <c r="N704" i="10" s="1"/>
  <c r="AE703" i="10"/>
  <c r="AT703" i="10"/>
  <c r="AF703" i="10"/>
  <c r="R711" i="10"/>
  <c r="AJ155" i="10"/>
  <c r="AI155" i="10"/>
  <c r="AG155" i="10"/>
  <c r="AK155" i="10"/>
  <c r="AX155" i="10" s="1"/>
  <c r="H711" i="10"/>
  <c r="D711" i="10"/>
  <c r="F711" i="10" s="1"/>
  <c r="G711" i="10" s="1"/>
  <c r="V711" i="10" s="1"/>
  <c r="AB156" i="10"/>
  <c r="AV155" i="10" s="1"/>
  <c r="S156" i="10"/>
  <c r="AC156" i="10"/>
  <c r="AM156" i="10"/>
  <c r="K712" i="10"/>
  <c r="C712" i="10"/>
  <c r="I712" i="10" s="1"/>
  <c r="M712" i="10"/>
  <c r="E712" i="10"/>
  <c r="AU702" i="10"/>
  <c r="A714" i="10"/>
  <c r="Y713" i="10"/>
  <c r="AS713" i="10"/>
  <c r="BB713" i="10"/>
  <c r="BC713" i="10" s="1"/>
  <c r="B713" i="10"/>
  <c r="BA155" i="10" l="1"/>
  <c r="O704" i="10"/>
  <c r="P704" i="10" s="1"/>
  <c r="J705" i="10" s="1"/>
  <c r="L705" i="10" s="1"/>
  <c r="N705" i="10" s="1"/>
  <c r="AE704" i="10"/>
  <c r="AT704" i="10"/>
  <c r="AF704" i="10"/>
  <c r="A715" i="10"/>
  <c r="Y714" i="10"/>
  <c r="BB714" i="10"/>
  <c r="BC714" i="10" s="1"/>
  <c r="AS714" i="10"/>
  <c r="B714" i="10"/>
  <c r="H712" i="10"/>
  <c r="D712" i="10"/>
  <c r="F712" i="10" s="1"/>
  <c r="G712" i="10" s="1"/>
  <c r="V712" i="10" s="1"/>
  <c r="AH155" i="10"/>
  <c r="AO155" i="10"/>
  <c r="AY155" i="10" s="1"/>
  <c r="K713" i="10"/>
  <c r="C713" i="10"/>
  <c r="I713" i="10" s="1"/>
  <c r="M713" i="10"/>
  <c r="E713" i="10"/>
  <c r="AU703" i="10"/>
  <c r="T156" i="10"/>
  <c r="AQ156" i="10" s="1"/>
  <c r="AD156" i="10"/>
  <c r="U156" i="10"/>
  <c r="W156" i="10" s="1"/>
  <c r="AP156" i="10" s="1"/>
  <c r="AL155" i="10"/>
  <c r="R712" i="10"/>
  <c r="O705" i="10" l="1"/>
  <c r="P705" i="10" s="1"/>
  <c r="J706" i="10" s="1"/>
  <c r="L706" i="10" s="1"/>
  <c r="N706" i="10" s="1"/>
  <c r="AE705" i="10"/>
  <c r="AT705" i="10"/>
  <c r="AF705" i="10"/>
  <c r="H713" i="10"/>
  <c r="D713" i="10"/>
  <c r="F713" i="10" s="1"/>
  <c r="G713" i="10" s="1"/>
  <c r="V713" i="10" s="1"/>
  <c r="A716" i="10"/>
  <c r="Y715" i="10"/>
  <c r="AS715" i="10"/>
  <c r="BB715" i="10"/>
  <c r="BC715" i="10" s="1"/>
  <c r="B715" i="10"/>
  <c r="R713" i="10"/>
  <c r="K714" i="10"/>
  <c r="C714" i="10"/>
  <c r="I714" i="10" s="1"/>
  <c r="M714" i="10"/>
  <c r="E714" i="10"/>
  <c r="AU704" i="10"/>
  <c r="X156" i="10"/>
  <c r="AN155" i="10"/>
  <c r="AW155" i="10" s="1"/>
  <c r="O706" i="10" l="1"/>
  <c r="P706" i="10" s="1"/>
  <c r="J707" i="10" s="1"/>
  <c r="L707" i="10" s="1"/>
  <c r="N707" i="10" s="1"/>
  <c r="AE706" i="10"/>
  <c r="AT706" i="10"/>
  <c r="AF706" i="10"/>
  <c r="H714" i="10"/>
  <c r="D714" i="10"/>
  <c r="F714" i="10" s="1"/>
  <c r="G714" i="10" s="1"/>
  <c r="V714" i="10" s="1"/>
  <c r="K715" i="10"/>
  <c r="C715" i="10"/>
  <c r="I715" i="10" s="1"/>
  <c r="M715" i="10"/>
  <c r="E715" i="10"/>
  <c r="AZ155" i="10"/>
  <c r="BD155" i="10"/>
  <c r="Z156" i="10"/>
  <c r="AR156" i="10" s="1"/>
  <c r="A717" i="10"/>
  <c r="Y716" i="10"/>
  <c r="BB716" i="10"/>
  <c r="BC716" i="10" s="1"/>
  <c r="AS716" i="10"/>
  <c r="B716" i="10"/>
  <c r="AU705" i="10"/>
  <c r="R714" i="10"/>
  <c r="O707" i="10" l="1"/>
  <c r="P707" i="10" s="1"/>
  <c r="J708" i="10" s="1"/>
  <c r="L708" i="10" s="1"/>
  <c r="N708" i="10" s="1"/>
  <c r="AE707" i="10"/>
  <c r="AT707" i="10"/>
  <c r="AF707" i="10"/>
  <c r="R715" i="10"/>
  <c r="H715" i="10"/>
  <c r="D715" i="10"/>
  <c r="F715" i="10" s="1"/>
  <c r="G715" i="10" s="1"/>
  <c r="V715" i="10" s="1"/>
  <c r="K716" i="10"/>
  <c r="C716" i="10"/>
  <c r="I716" i="10" s="1"/>
  <c r="M716" i="10"/>
  <c r="E716" i="10"/>
  <c r="Q157" i="10"/>
  <c r="A718" i="10"/>
  <c r="Y717" i="10"/>
  <c r="AS717" i="10"/>
  <c r="BB717" i="10"/>
  <c r="BC717" i="10" s="1"/>
  <c r="B717" i="10"/>
  <c r="AU706" i="10"/>
  <c r="AA156" i="10"/>
  <c r="O708" i="10" l="1"/>
  <c r="P708" i="10" s="1"/>
  <c r="J709" i="10" s="1"/>
  <c r="L709" i="10" s="1"/>
  <c r="N709" i="10" s="1"/>
  <c r="AE708" i="10"/>
  <c r="AT708" i="10"/>
  <c r="AF708" i="10"/>
  <c r="H716" i="10"/>
  <c r="D716" i="10"/>
  <c r="F716" i="10" s="1"/>
  <c r="G716" i="10" s="1"/>
  <c r="V716" i="10" s="1"/>
  <c r="AJ156" i="10"/>
  <c r="AI156" i="10"/>
  <c r="AG156" i="10"/>
  <c r="AK156" i="10"/>
  <c r="AX156" i="10" s="1"/>
  <c r="A719" i="10"/>
  <c r="Y718" i="10"/>
  <c r="BB718" i="10"/>
  <c r="BC718" i="10" s="1"/>
  <c r="AS718" i="10"/>
  <c r="B718" i="10"/>
  <c r="AU707" i="10"/>
  <c r="AB157" i="10"/>
  <c r="AV156" i="10" s="1"/>
  <c r="S157" i="10"/>
  <c r="AM157" i="10"/>
  <c r="AC157" i="10"/>
  <c r="K717" i="10"/>
  <c r="C717" i="10"/>
  <c r="I717" i="10" s="1"/>
  <c r="M717" i="10"/>
  <c r="E717" i="10"/>
  <c r="R716" i="10"/>
  <c r="O709" i="10" l="1"/>
  <c r="P709" i="10" s="1"/>
  <c r="J710" i="10" s="1"/>
  <c r="L710" i="10" s="1"/>
  <c r="N710" i="10" s="1"/>
  <c r="AT709" i="10"/>
  <c r="AE709" i="10"/>
  <c r="AF709" i="10"/>
  <c r="R717" i="10"/>
  <c r="A720" i="10"/>
  <c r="Y719" i="10"/>
  <c r="AS719" i="10"/>
  <c r="BB719" i="10"/>
  <c r="BC719" i="10" s="1"/>
  <c r="B719" i="10"/>
  <c r="H717" i="10"/>
  <c r="D717" i="10"/>
  <c r="F717" i="10" s="1"/>
  <c r="G717" i="10" s="1"/>
  <c r="V717" i="10" s="1"/>
  <c r="AH156" i="10"/>
  <c r="AN156" i="10" s="1"/>
  <c r="AW156" i="10" s="1"/>
  <c r="AO156" i="10"/>
  <c r="AY156" i="10" s="1"/>
  <c r="K718" i="10"/>
  <c r="C718" i="10"/>
  <c r="I718" i="10" s="1"/>
  <c r="M718" i="10"/>
  <c r="E718" i="10"/>
  <c r="AL156" i="10"/>
  <c r="AU708" i="10"/>
  <c r="BA156" i="10"/>
  <c r="T157" i="10"/>
  <c r="AQ157" i="10" s="1"/>
  <c r="AD157" i="10"/>
  <c r="U157" i="10"/>
  <c r="W157" i="10" s="1"/>
  <c r="AP157" i="10" s="1"/>
  <c r="O710" i="10" l="1"/>
  <c r="P710" i="10" s="1"/>
  <c r="J711" i="10" s="1"/>
  <c r="L711" i="10" s="1"/>
  <c r="N711" i="10" s="1"/>
  <c r="AT710" i="10"/>
  <c r="AE710" i="10"/>
  <c r="AF710" i="10"/>
  <c r="H718" i="10"/>
  <c r="D718" i="10"/>
  <c r="F718" i="10" s="1"/>
  <c r="G718" i="10" s="1"/>
  <c r="V718" i="10" s="1"/>
  <c r="AU709" i="10"/>
  <c r="AZ156" i="10"/>
  <c r="BD156" i="10"/>
  <c r="A721" i="10"/>
  <c r="Y720" i="10"/>
  <c r="BB720" i="10"/>
  <c r="BC720" i="10" s="1"/>
  <c r="AS720" i="10"/>
  <c r="B720" i="10"/>
  <c r="X157" i="10"/>
  <c r="R718" i="10"/>
  <c r="K719" i="10"/>
  <c r="C719" i="10"/>
  <c r="I719" i="10" s="1"/>
  <c r="M719" i="10"/>
  <c r="E719" i="10"/>
  <c r="O711" i="10" l="1"/>
  <c r="P711" i="10" s="1"/>
  <c r="J712" i="10" s="1"/>
  <c r="L712" i="10" s="1"/>
  <c r="N712" i="10" s="1"/>
  <c r="AT711" i="10"/>
  <c r="AE711" i="10"/>
  <c r="AF711" i="10"/>
  <c r="H719" i="10"/>
  <c r="D719" i="10"/>
  <c r="F719" i="10" s="1"/>
  <c r="G719" i="10" s="1"/>
  <c r="V719" i="10" s="1"/>
  <c r="K720" i="10"/>
  <c r="C720" i="10"/>
  <c r="I720" i="10" s="1"/>
  <c r="M720" i="10"/>
  <c r="E720" i="10"/>
  <c r="AU710" i="10"/>
  <c r="A722" i="10"/>
  <c r="Y721" i="10"/>
  <c r="AS721" i="10"/>
  <c r="BB721" i="10"/>
  <c r="BC721" i="10" s="1"/>
  <c r="B721" i="10"/>
  <c r="R719" i="10"/>
  <c r="Z157" i="10"/>
  <c r="AR157" i="10" s="1"/>
  <c r="Q158" i="10" l="1"/>
  <c r="S158" i="10" s="1"/>
  <c r="AA157" i="10"/>
  <c r="AG157" i="10" s="1"/>
  <c r="O712" i="10"/>
  <c r="P712" i="10" s="1"/>
  <c r="J713" i="10" s="1"/>
  <c r="L713" i="10" s="1"/>
  <c r="N713" i="10" s="1"/>
  <c r="AT712" i="10"/>
  <c r="AE712" i="10"/>
  <c r="AF712" i="10"/>
  <c r="K721" i="10"/>
  <c r="C721" i="10"/>
  <c r="I721" i="10" s="1"/>
  <c r="M721" i="10"/>
  <c r="E721" i="10"/>
  <c r="R720" i="10"/>
  <c r="AU711" i="10"/>
  <c r="H720" i="10"/>
  <c r="D720" i="10"/>
  <c r="F720" i="10" s="1"/>
  <c r="G720" i="10" s="1"/>
  <c r="V720" i="10" s="1"/>
  <c r="A723" i="10"/>
  <c r="Y722" i="10"/>
  <c r="BB722" i="10"/>
  <c r="BC722" i="10" s="1"/>
  <c r="AS722" i="10"/>
  <c r="B722" i="10"/>
  <c r="AJ157" i="10" l="1"/>
  <c r="AB158" i="10"/>
  <c r="AV157" i="10" s="1"/>
  <c r="AM158" i="10"/>
  <c r="AC158" i="10"/>
  <c r="AK157" i="10"/>
  <c r="AX157" i="10" s="1"/>
  <c r="AI157" i="10"/>
  <c r="BA157" i="10"/>
  <c r="O713" i="10"/>
  <c r="P713" i="10" s="1"/>
  <c r="J714" i="10" s="1"/>
  <c r="L714" i="10" s="1"/>
  <c r="N714" i="10" s="1"/>
  <c r="AE713" i="10"/>
  <c r="AT713" i="10"/>
  <c r="AF713" i="10"/>
  <c r="A724" i="10"/>
  <c r="Y723" i="10"/>
  <c r="AS723" i="10"/>
  <c r="BB723" i="10"/>
  <c r="BC723" i="10" s="1"/>
  <c r="B723" i="10"/>
  <c r="H721" i="10"/>
  <c r="D721" i="10"/>
  <c r="F721" i="10" s="1"/>
  <c r="G721" i="10" s="1"/>
  <c r="V721" i="10" s="1"/>
  <c r="T158" i="10"/>
  <c r="AQ158" i="10" s="1"/>
  <c r="AD158" i="10"/>
  <c r="U158" i="10"/>
  <c r="W158" i="10" s="1"/>
  <c r="AP158" i="10" s="1"/>
  <c r="AL157" i="10"/>
  <c r="R721" i="10"/>
  <c r="AH157" i="10"/>
  <c r="AO157" i="10"/>
  <c r="AY157" i="10" s="1"/>
  <c r="AU712" i="10"/>
  <c r="K722" i="10"/>
  <c r="C722" i="10"/>
  <c r="I722" i="10" s="1"/>
  <c r="M722" i="10"/>
  <c r="E722" i="10"/>
  <c r="O714" i="10" l="1"/>
  <c r="P714" i="10" s="1"/>
  <c r="J715" i="10" s="1"/>
  <c r="L715" i="10" s="1"/>
  <c r="N715" i="10" s="1"/>
  <c r="AE714" i="10"/>
  <c r="AT714" i="10"/>
  <c r="AF714" i="10"/>
  <c r="AN157" i="10"/>
  <c r="AW157" i="10" s="1"/>
  <c r="X158" i="10"/>
  <c r="A725" i="10"/>
  <c r="Y724" i="10"/>
  <c r="BB724" i="10"/>
  <c r="BC724" i="10" s="1"/>
  <c r="AS724" i="10"/>
  <c r="B724" i="10"/>
  <c r="R722" i="10"/>
  <c r="K723" i="10"/>
  <c r="C723" i="10"/>
  <c r="I723" i="10" s="1"/>
  <c r="M723" i="10"/>
  <c r="E723" i="10"/>
  <c r="H722" i="10"/>
  <c r="D722" i="10"/>
  <c r="F722" i="10" s="1"/>
  <c r="G722" i="10" s="1"/>
  <c r="V722" i="10" s="1"/>
  <c r="AU713" i="10"/>
  <c r="O715" i="10" l="1"/>
  <c r="P715" i="10" s="1"/>
  <c r="J716" i="10" s="1"/>
  <c r="L716" i="10" s="1"/>
  <c r="N716" i="10" s="1"/>
  <c r="AE715" i="10"/>
  <c r="AT715" i="10"/>
  <c r="AF715" i="10"/>
  <c r="A726" i="10"/>
  <c r="Y725" i="10"/>
  <c r="AS725" i="10"/>
  <c r="BB725" i="10"/>
  <c r="BC725" i="10" s="1"/>
  <c r="B725" i="10"/>
  <c r="R723" i="10"/>
  <c r="AU714" i="10"/>
  <c r="Z158" i="10"/>
  <c r="AR158" i="10" s="1"/>
  <c r="H723" i="10"/>
  <c r="D723" i="10"/>
  <c r="F723" i="10" s="1"/>
  <c r="G723" i="10" s="1"/>
  <c r="V723" i="10" s="1"/>
  <c r="K724" i="10"/>
  <c r="C724" i="10"/>
  <c r="I724" i="10" s="1"/>
  <c r="M724" i="10"/>
  <c r="E724" i="10"/>
  <c r="AZ157" i="10"/>
  <c r="BD157" i="10"/>
  <c r="O716" i="10" l="1"/>
  <c r="P716" i="10" s="1"/>
  <c r="J717" i="10" s="1"/>
  <c r="L717" i="10" s="1"/>
  <c r="N717" i="10" s="1"/>
  <c r="AE716" i="10"/>
  <c r="AT716" i="10"/>
  <c r="AF716" i="10"/>
  <c r="R724" i="10"/>
  <c r="AA158" i="10"/>
  <c r="AU715" i="10"/>
  <c r="H724" i="10"/>
  <c r="D724" i="10"/>
  <c r="F724" i="10" s="1"/>
  <c r="G724" i="10" s="1"/>
  <c r="V724" i="10" s="1"/>
  <c r="A727" i="10"/>
  <c r="Y726" i="10"/>
  <c r="BB726" i="10"/>
  <c r="BC726" i="10" s="1"/>
  <c r="AS726" i="10"/>
  <c r="B726" i="10"/>
  <c r="Q159" i="10"/>
  <c r="K725" i="10"/>
  <c r="C725" i="10"/>
  <c r="I725" i="10" s="1"/>
  <c r="M725" i="10"/>
  <c r="E725" i="10"/>
  <c r="O717" i="10" l="1"/>
  <c r="P717" i="10" s="1"/>
  <c r="J718" i="10" s="1"/>
  <c r="L718" i="10" s="1"/>
  <c r="N718" i="10" s="1"/>
  <c r="AE717" i="10"/>
  <c r="AT717" i="10"/>
  <c r="AF717" i="10"/>
  <c r="H725" i="10"/>
  <c r="D725" i="10"/>
  <c r="F725" i="10" s="1"/>
  <c r="G725" i="10" s="1"/>
  <c r="V725" i="10" s="1"/>
  <c r="AB159" i="10"/>
  <c r="AV158" i="10" s="1"/>
  <c r="S159" i="10"/>
  <c r="AM159" i="10"/>
  <c r="AC159" i="10"/>
  <c r="A728" i="10"/>
  <c r="Y727" i="10"/>
  <c r="AS727" i="10"/>
  <c r="BB727" i="10"/>
  <c r="BC727" i="10" s="1"/>
  <c r="B727" i="10"/>
  <c r="AJ158" i="10"/>
  <c r="AI158" i="10"/>
  <c r="AG158" i="10"/>
  <c r="AK158" i="10"/>
  <c r="AX158" i="10" s="1"/>
  <c r="AU716" i="10"/>
  <c r="R725" i="10"/>
  <c r="K726" i="10"/>
  <c r="C726" i="10"/>
  <c r="I726" i="10" s="1"/>
  <c r="M726" i="10"/>
  <c r="E726" i="10"/>
  <c r="AL158" i="10" l="1"/>
  <c r="O718" i="10"/>
  <c r="P718" i="10" s="1"/>
  <c r="J719" i="10" s="1"/>
  <c r="L719" i="10" s="1"/>
  <c r="N719" i="10" s="1"/>
  <c r="AE718" i="10"/>
  <c r="AT718" i="10"/>
  <c r="AF718" i="10"/>
  <c r="T159" i="10"/>
  <c r="AQ159" i="10" s="1"/>
  <c r="AD159" i="10"/>
  <c r="U159" i="10"/>
  <c r="W159" i="10" s="1"/>
  <c r="AP159" i="10" s="1"/>
  <c r="R726" i="10"/>
  <c r="K727" i="10"/>
  <c r="C727" i="10"/>
  <c r="I727" i="10" s="1"/>
  <c r="M727" i="10"/>
  <c r="E727" i="10"/>
  <c r="AU717" i="10"/>
  <c r="H726" i="10"/>
  <c r="D726" i="10"/>
  <c r="F726" i="10" s="1"/>
  <c r="G726" i="10" s="1"/>
  <c r="V726" i="10" s="1"/>
  <c r="A729" i="10"/>
  <c r="Y728" i="10"/>
  <c r="BB728" i="10"/>
  <c r="BC728" i="10" s="1"/>
  <c r="AS728" i="10"/>
  <c r="B728" i="10"/>
  <c r="AH158" i="10"/>
  <c r="AN158" i="10" s="1"/>
  <c r="AW158" i="10" s="1"/>
  <c r="AO158" i="10"/>
  <c r="AY158" i="10" s="1"/>
  <c r="BA158" i="10"/>
  <c r="O719" i="10" l="1"/>
  <c r="P719" i="10" s="1"/>
  <c r="J720" i="10" s="1"/>
  <c r="L720" i="10" s="1"/>
  <c r="N720" i="10" s="1"/>
  <c r="AE719" i="10"/>
  <c r="AT719" i="10"/>
  <c r="AF719" i="10"/>
  <c r="A730" i="10"/>
  <c r="Y729" i="10"/>
  <c r="AS729" i="10"/>
  <c r="BB729" i="10"/>
  <c r="BC729" i="10" s="1"/>
  <c r="B729" i="10"/>
  <c r="AU718" i="10"/>
  <c r="R727" i="10"/>
  <c r="AZ158" i="10"/>
  <c r="BD158" i="10"/>
  <c r="X159" i="10"/>
  <c r="K728" i="10"/>
  <c r="C728" i="10"/>
  <c r="I728" i="10" s="1"/>
  <c r="M728" i="10"/>
  <c r="E728" i="10"/>
  <c r="H727" i="10"/>
  <c r="D727" i="10"/>
  <c r="F727" i="10" s="1"/>
  <c r="G727" i="10" s="1"/>
  <c r="V727" i="10" s="1"/>
  <c r="O720" i="10" l="1"/>
  <c r="P720" i="10" s="1"/>
  <c r="J721" i="10" s="1"/>
  <c r="L721" i="10" s="1"/>
  <c r="N721" i="10" s="1"/>
  <c r="AE720" i="10"/>
  <c r="AT720" i="10"/>
  <c r="AF720" i="10"/>
  <c r="R728" i="10"/>
  <c r="H728" i="10"/>
  <c r="D728" i="10"/>
  <c r="F728" i="10" s="1"/>
  <c r="G728" i="10" s="1"/>
  <c r="V728" i="10" s="1"/>
  <c r="A731" i="10"/>
  <c r="Y730" i="10"/>
  <c r="BB730" i="10"/>
  <c r="BC730" i="10" s="1"/>
  <c r="AS730" i="10"/>
  <c r="B730" i="10"/>
  <c r="AU719" i="10"/>
  <c r="Z159" i="10"/>
  <c r="AR159" i="10" s="1"/>
  <c r="K729" i="10"/>
  <c r="C729" i="10"/>
  <c r="I729" i="10" s="1"/>
  <c r="M729" i="10"/>
  <c r="E729" i="10"/>
  <c r="O721" i="10" l="1"/>
  <c r="P721" i="10" s="1"/>
  <c r="J722" i="10" s="1"/>
  <c r="L722" i="10" s="1"/>
  <c r="N722" i="10" s="1"/>
  <c r="AE721" i="10"/>
  <c r="AT721" i="10"/>
  <c r="AF721" i="10"/>
  <c r="H729" i="10"/>
  <c r="D729" i="10"/>
  <c r="F729" i="10" s="1"/>
  <c r="G729" i="10" s="1"/>
  <c r="V729" i="10" s="1"/>
  <c r="K730" i="10"/>
  <c r="C730" i="10"/>
  <c r="I730" i="10" s="1"/>
  <c r="M730" i="10"/>
  <c r="E730" i="10"/>
  <c r="AU720" i="10"/>
  <c r="Q160" i="10"/>
  <c r="R729" i="10"/>
  <c r="AA159" i="10"/>
  <c r="A732" i="10"/>
  <c r="Y731" i="10"/>
  <c r="AS731" i="10"/>
  <c r="BB731" i="10"/>
  <c r="BC731" i="10" s="1"/>
  <c r="B731" i="10"/>
  <c r="O722" i="10" l="1"/>
  <c r="P722" i="10" s="1"/>
  <c r="J723" i="10" s="1"/>
  <c r="L723" i="10" s="1"/>
  <c r="N723" i="10" s="1"/>
  <c r="AT722" i="10"/>
  <c r="AE722" i="10"/>
  <c r="AF722" i="10"/>
  <c r="K731" i="10"/>
  <c r="C731" i="10"/>
  <c r="I731" i="10" s="1"/>
  <c r="M731" i="10"/>
  <c r="E731" i="10"/>
  <c r="H730" i="10"/>
  <c r="D730" i="10"/>
  <c r="F730" i="10" s="1"/>
  <c r="G730" i="10" s="1"/>
  <c r="V730" i="10" s="1"/>
  <c r="AB160" i="10"/>
  <c r="AV159" i="10" s="1"/>
  <c r="S160" i="10"/>
  <c r="AC160" i="10"/>
  <c r="AM160" i="10"/>
  <c r="AU721" i="10"/>
  <c r="BB732" i="10"/>
  <c r="BC732" i="10" s="1"/>
  <c r="AS732" i="10"/>
  <c r="Y732" i="10"/>
  <c r="A733" i="10"/>
  <c r="B732" i="10"/>
  <c r="AJ159" i="10"/>
  <c r="AI159" i="10"/>
  <c r="AG159" i="10"/>
  <c r="AK159" i="10"/>
  <c r="AX159" i="10" s="1"/>
  <c r="R730" i="10"/>
  <c r="AL159" i="10" l="1"/>
  <c r="O723" i="10"/>
  <c r="P723" i="10" s="1"/>
  <c r="J724" i="10" s="1"/>
  <c r="L724" i="10" s="1"/>
  <c r="N724" i="10" s="1"/>
  <c r="AE723" i="10"/>
  <c r="AT723" i="10"/>
  <c r="AF723" i="10"/>
  <c r="AH159" i="10"/>
  <c r="AN159" i="10" s="1"/>
  <c r="AW159" i="10" s="1"/>
  <c r="AO159" i="10"/>
  <c r="AY159" i="10" s="1"/>
  <c r="AU722" i="10"/>
  <c r="K732" i="10"/>
  <c r="C732" i="10"/>
  <c r="I732" i="10" s="1"/>
  <c r="M732" i="10"/>
  <c r="E732" i="10"/>
  <c r="Y733" i="10"/>
  <c r="A734" i="10"/>
  <c r="AS733" i="10"/>
  <c r="BB733" i="10"/>
  <c r="BC733" i="10" s="1"/>
  <c r="B733" i="10"/>
  <c r="BA159" i="10"/>
  <c r="R731" i="10"/>
  <c r="T160" i="10"/>
  <c r="AQ160" i="10" s="1"/>
  <c r="AD160" i="10"/>
  <c r="U160" i="10"/>
  <c r="W160" i="10" s="1"/>
  <c r="AP160" i="10" s="1"/>
  <c r="H731" i="10"/>
  <c r="D731" i="10"/>
  <c r="F731" i="10" s="1"/>
  <c r="G731" i="10" s="1"/>
  <c r="V731" i="10" s="1"/>
  <c r="X160" i="10" l="1"/>
  <c r="O724" i="10"/>
  <c r="P724" i="10" s="1"/>
  <c r="J725" i="10" s="1"/>
  <c r="L725" i="10" s="1"/>
  <c r="N725" i="10" s="1"/>
  <c r="AE724" i="10"/>
  <c r="AT724" i="10"/>
  <c r="AF724" i="10"/>
  <c r="K733" i="10"/>
  <c r="C733" i="10"/>
  <c r="I733" i="10" s="1"/>
  <c r="M733" i="10"/>
  <c r="E733" i="10"/>
  <c r="AZ159" i="10"/>
  <c r="BD159" i="10"/>
  <c r="Z160" i="10"/>
  <c r="AR160" i="10" s="1"/>
  <c r="BB734" i="10"/>
  <c r="BC734" i="10" s="1"/>
  <c r="AS734" i="10"/>
  <c r="A735" i="10"/>
  <c r="Y734" i="10"/>
  <c r="B734" i="10"/>
  <c r="AU723" i="10"/>
  <c r="R732" i="10"/>
  <c r="H732" i="10"/>
  <c r="D732" i="10"/>
  <c r="F732" i="10" s="1"/>
  <c r="G732" i="10" s="1"/>
  <c r="V732" i="10" s="1"/>
  <c r="Q161" i="10" l="1"/>
  <c r="S161" i="10" s="1"/>
  <c r="AA160" i="10"/>
  <c r="AJ160" i="10" s="1"/>
  <c r="O725" i="10"/>
  <c r="P725" i="10" s="1"/>
  <c r="J726" i="10" s="1"/>
  <c r="L726" i="10" s="1"/>
  <c r="N726" i="10" s="1"/>
  <c r="AT725" i="10"/>
  <c r="AE725" i="10"/>
  <c r="AF725" i="10"/>
  <c r="K734" i="10"/>
  <c r="C734" i="10"/>
  <c r="I734" i="10" s="1"/>
  <c r="M734" i="10"/>
  <c r="E734" i="10"/>
  <c r="A736" i="10"/>
  <c r="Y735" i="10"/>
  <c r="BB735" i="10"/>
  <c r="BC735" i="10" s="1"/>
  <c r="AS735" i="10"/>
  <c r="B735" i="10"/>
  <c r="AU724" i="10"/>
  <c r="R733" i="10"/>
  <c r="H733" i="10"/>
  <c r="D733" i="10"/>
  <c r="F733" i="10" s="1"/>
  <c r="G733" i="10" s="1"/>
  <c r="V733" i="10" s="1"/>
  <c r="AB161" i="10" l="1"/>
  <c r="AV160" i="10" s="1"/>
  <c r="AK160" i="10"/>
  <c r="AX160" i="10" s="1"/>
  <c r="AM161" i="10"/>
  <c r="AG160" i="10"/>
  <c r="AO160" i="10" s="1"/>
  <c r="AY160" i="10" s="1"/>
  <c r="AI160" i="10"/>
  <c r="AC161" i="10"/>
  <c r="BA160" i="10" s="1"/>
  <c r="O726" i="10"/>
  <c r="P726" i="10" s="1"/>
  <c r="J727" i="10" s="1"/>
  <c r="L727" i="10" s="1"/>
  <c r="N727" i="10" s="1"/>
  <c r="AT726" i="10"/>
  <c r="AE726" i="10"/>
  <c r="AF726" i="10"/>
  <c r="A737" i="10"/>
  <c r="BB736" i="10"/>
  <c r="BC736" i="10" s="1"/>
  <c r="Y736" i="10"/>
  <c r="AS736" i="10"/>
  <c r="B736" i="10"/>
  <c r="AU725" i="10"/>
  <c r="R734" i="10"/>
  <c r="K735" i="10"/>
  <c r="C735" i="10"/>
  <c r="I735" i="10" s="1"/>
  <c r="M735" i="10"/>
  <c r="E735" i="10"/>
  <c r="H734" i="10"/>
  <c r="D734" i="10"/>
  <c r="F734" i="10" s="1"/>
  <c r="G734" i="10" s="1"/>
  <c r="V734" i="10" s="1"/>
  <c r="T161" i="10"/>
  <c r="AQ161" i="10" s="1"/>
  <c r="AD161" i="10"/>
  <c r="U161" i="10"/>
  <c r="W161" i="10" s="1"/>
  <c r="AP161" i="10" s="1"/>
  <c r="AL160" i="10" l="1"/>
  <c r="AH160" i="10"/>
  <c r="AN160" i="10"/>
  <c r="AW160" i="10" s="1"/>
  <c r="AZ160" i="10" s="1"/>
  <c r="O727" i="10"/>
  <c r="P727" i="10" s="1"/>
  <c r="J728" i="10" s="1"/>
  <c r="L728" i="10" s="1"/>
  <c r="N728" i="10" s="1"/>
  <c r="AT727" i="10"/>
  <c r="AE727" i="10"/>
  <c r="AF727" i="10"/>
  <c r="H735" i="10"/>
  <c r="D735" i="10"/>
  <c r="F735" i="10" s="1"/>
  <c r="G735" i="10" s="1"/>
  <c r="V735" i="10" s="1"/>
  <c r="X161" i="10"/>
  <c r="K736" i="10"/>
  <c r="C736" i="10"/>
  <c r="I736" i="10" s="1"/>
  <c r="M736" i="10"/>
  <c r="E736" i="10"/>
  <c r="AU726" i="10"/>
  <c r="R735" i="10"/>
  <c r="A738" i="10"/>
  <c r="BB737" i="10"/>
  <c r="BC737" i="10" s="1"/>
  <c r="AS737" i="10"/>
  <c r="Y737" i="10"/>
  <c r="B737" i="10"/>
  <c r="BD160" i="10" l="1"/>
  <c r="O728" i="10"/>
  <c r="P728" i="10" s="1"/>
  <c r="J729" i="10" s="1"/>
  <c r="L729" i="10" s="1"/>
  <c r="N729" i="10" s="1"/>
  <c r="AE728" i="10"/>
  <c r="AT728" i="10"/>
  <c r="AF728" i="10"/>
  <c r="K737" i="10"/>
  <c r="C737" i="10"/>
  <c r="I737" i="10" s="1"/>
  <c r="M737" i="10"/>
  <c r="E737" i="10"/>
  <c r="Z161" i="10"/>
  <c r="AR161" i="10" s="1"/>
  <c r="AU727" i="10"/>
  <c r="BB738" i="10"/>
  <c r="BC738" i="10" s="1"/>
  <c r="AS738" i="10"/>
  <c r="Y738" i="10"/>
  <c r="A739" i="10"/>
  <c r="B738" i="10"/>
  <c r="R736" i="10"/>
  <c r="H736" i="10"/>
  <c r="D736" i="10"/>
  <c r="F736" i="10" s="1"/>
  <c r="G736" i="10" s="1"/>
  <c r="V736" i="10" s="1"/>
  <c r="O729" i="10" l="1"/>
  <c r="P729" i="10" s="1"/>
  <c r="J730" i="10" s="1"/>
  <c r="L730" i="10" s="1"/>
  <c r="N730" i="10" s="1"/>
  <c r="AT729" i="10"/>
  <c r="AE729" i="10"/>
  <c r="AF729" i="10"/>
  <c r="K738" i="10"/>
  <c r="C738" i="10"/>
  <c r="I738" i="10" s="1"/>
  <c r="M738" i="10"/>
  <c r="E738" i="10"/>
  <c r="Q162" i="10"/>
  <c r="BB739" i="10"/>
  <c r="BC739" i="10" s="1"/>
  <c r="AS739" i="10"/>
  <c r="Y739" i="10"/>
  <c r="A740" i="10"/>
  <c r="B739" i="10"/>
  <c r="AA161" i="10"/>
  <c r="AU728" i="10"/>
  <c r="R737" i="10"/>
  <c r="H737" i="10"/>
  <c r="D737" i="10"/>
  <c r="F737" i="10" s="1"/>
  <c r="G737" i="10" s="1"/>
  <c r="V737" i="10" s="1"/>
  <c r="O730" i="10" l="1"/>
  <c r="P730" i="10" s="1"/>
  <c r="J731" i="10" s="1"/>
  <c r="L731" i="10" s="1"/>
  <c r="N731" i="10" s="1"/>
  <c r="AE730" i="10"/>
  <c r="AT730" i="10"/>
  <c r="AF730" i="10"/>
  <c r="AJ161" i="10"/>
  <c r="AI161" i="10"/>
  <c r="AG161" i="10"/>
  <c r="AK161" i="10"/>
  <c r="AX161" i="10" s="1"/>
  <c r="AB162" i="10"/>
  <c r="AV161" i="10" s="1"/>
  <c r="S162" i="10"/>
  <c r="AC162" i="10"/>
  <c r="AM162" i="10"/>
  <c r="K739" i="10"/>
  <c r="C739" i="10"/>
  <c r="I739" i="10" s="1"/>
  <c r="M739" i="10"/>
  <c r="E739" i="10"/>
  <c r="R738" i="10"/>
  <c r="BB740" i="10"/>
  <c r="BC740" i="10" s="1"/>
  <c r="AS740" i="10"/>
  <c r="Y740" i="10"/>
  <c r="A741" i="10"/>
  <c r="B740" i="10"/>
  <c r="AU729" i="10"/>
  <c r="H738" i="10"/>
  <c r="D738" i="10"/>
  <c r="F738" i="10" s="1"/>
  <c r="G738" i="10" s="1"/>
  <c r="V738" i="10" s="1"/>
  <c r="BA161" i="10" l="1"/>
  <c r="O731" i="10"/>
  <c r="P731" i="10" s="1"/>
  <c r="J732" i="10" s="1"/>
  <c r="L732" i="10" s="1"/>
  <c r="N732" i="10" s="1"/>
  <c r="AE731" i="10"/>
  <c r="AT731" i="10"/>
  <c r="AF731" i="10"/>
  <c r="T162" i="10"/>
  <c r="AQ162" i="10" s="1"/>
  <c r="AD162" i="10"/>
  <c r="U162" i="10"/>
  <c r="W162" i="10" s="1"/>
  <c r="AP162" i="10" s="1"/>
  <c r="K740" i="10"/>
  <c r="C740" i="10"/>
  <c r="I740" i="10" s="1"/>
  <c r="M740" i="10"/>
  <c r="E740" i="10"/>
  <c r="R739" i="10"/>
  <c r="AU730" i="10"/>
  <c r="Y741" i="10"/>
  <c r="AS741" i="10"/>
  <c r="A742" i="10"/>
  <c r="BB741" i="10"/>
  <c r="BC741" i="10" s="1"/>
  <c r="B741" i="10"/>
  <c r="AH161" i="10"/>
  <c r="AO161" i="10"/>
  <c r="AY161" i="10" s="1"/>
  <c r="H739" i="10"/>
  <c r="D739" i="10"/>
  <c r="F739" i="10" s="1"/>
  <c r="G739" i="10" s="1"/>
  <c r="V739" i="10" s="1"/>
  <c r="AL161" i="10"/>
  <c r="AN161" i="10" l="1"/>
  <c r="AW161" i="10" s="1"/>
  <c r="BD161" i="10" s="1"/>
  <c r="O732" i="10"/>
  <c r="P732" i="10" s="1"/>
  <c r="J733" i="10" s="1"/>
  <c r="L733" i="10" s="1"/>
  <c r="N733" i="10" s="1"/>
  <c r="AE732" i="10"/>
  <c r="AT732" i="10"/>
  <c r="AF732" i="10"/>
  <c r="R740" i="10"/>
  <c r="H740" i="10"/>
  <c r="D740" i="10"/>
  <c r="F740" i="10" s="1"/>
  <c r="G740" i="10" s="1"/>
  <c r="V740" i="10" s="1"/>
  <c r="AZ161" i="10"/>
  <c r="AU731" i="10"/>
  <c r="K741" i="10"/>
  <c r="C741" i="10"/>
  <c r="I741" i="10" s="1"/>
  <c r="M741" i="10"/>
  <c r="E741" i="10"/>
  <c r="X162" i="10"/>
  <c r="BB742" i="10"/>
  <c r="BC742" i="10" s="1"/>
  <c r="AS742" i="10"/>
  <c r="Y742" i="10"/>
  <c r="A743" i="10"/>
  <c r="B742" i="10"/>
  <c r="O733" i="10" l="1"/>
  <c r="P733" i="10" s="1"/>
  <c r="J734" i="10" s="1"/>
  <c r="L734" i="10" s="1"/>
  <c r="N734" i="10" s="1"/>
  <c r="AT733" i="10"/>
  <c r="AE733" i="10"/>
  <c r="AF733" i="10"/>
  <c r="R741" i="10"/>
  <c r="K742" i="10"/>
  <c r="C742" i="10"/>
  <c r="I742" i="10" s="1"/>
  <c r="M742" i="10"/>
  <c r="E742" i="10"/>
  <c r="A744" i="10"/>
  <c r="Y743" i="10"/>
  <c r="AS743" i="10"/>
  <c r="BB743" i="10"/>
  <c r="BC743" i="10" s="1"/>
  <c r="B743" i="10"/>
  <c r="H741" i="10"/>
  <c r="D741" i="10"/>
  <c r="F741" i="10" s="1"/>
  <c r="G741" i="10" s="1"/>
  <c r="V741" i="10" s="1"/>
  <c r="AU732" i="10"/>
  <c r="Z162" i="10"/>
  <c r="AR162" i="10" s="1"/>
  <c r="O734" i="10" l="1"/>
  <c r="P734" i="10" s="1"/>
  <c r="J735" i="10" s="1"/>
  <c r="L735" i="10" s="1"/>
  <c r="N735" i="10" s="1"/>
  <c r="AT734" i="10"/>
  <c r="AE734" i="10"/>
  <c r="AF734" i="10"/>
  <c r="A745" i="10"/>
  <c r="AS744" i="10"/>
  <c r="Y744" i="10"/>
  <c r="BB744" i="10"/>
  <c r="BC744" i="10" s="1"/>
  <c r="B744" i="10"/>
  <c r="R742" i="10"/>
  <c r="AU733" i="10"/>
  <c r="Q163" i="10"/>
  <c r="AA162" i="10"/>
  <c r="K743" i="10"/>
  <c r="C743" i="10"/>
  <c r="I743" i="10" s="1"/>
  <c r="M743" i="10"/>
  <c r="E743" i="10"/>
  <c r="H742" i="10"/>
  <c r="D742" i="10"/>
  <c r="F742" i="10" s="1"/>
  <c r="G742" i="10" s="1"/>
  <c r="V742" i="10" s="1"/>
  <c r="H743" i="10" l="1"/>
  <c r="D743" i="10"/>
  <c r="F743" i="10" s="1"/>
  <c r="G743" i="10" s="1"/>
  <c r="V743" i="10" s="1"/>
  <c r="A746" i="10"/>
  <c r="AS745" i="10"/>
  <c r="Y745" i="10"/>
  <c r="BB745" i="10"/>
  <c r="BC745" i="10" s="1"/>
  <c r="B745" i="10"/>
  <c r="AJ162" i="10"/>
  <c r="AI162" i="10"/>
  <c r="AG162" i="10"/>
  <c r="AK162" i="10"/>
  <c r="AX162" i="10" s="1"/>
  <c r="AU734" i="10"/>
  <c r="AB163" i="10"/>
  <c r="AV162" i="10" s="1"/>
  <c r="S163" i="10"/>
  <c r="AM163" i="10"/>
  <c r="AC163" i="10"/>
  <c r="K744" i="10"/>
  <c r="C744" i="10"/>
  <c r="I744" i="10" s="1"/>
  <c r="M744" i="10"/>
  <c r="E744" i="10"/>
  <c r="O735" i="10"/>
  <c r="P735" i="10" s="1"/>
  <c r="J736" i="10" s="1"/>
  <c r="L736" i="10" s="1"/>
  <c r="N736" i="10" s="1"/>
  <c r="AT735" i="10"/>
  <c r="AE735" i="10"/>
  <c r="AF735" i="10"/>
  <c r="R743" i="10"/>
  <c r="BA162" i="10" l="1"/>
  <c r="O736" i="10"/>
  <c r="P736" i="10" s="1"/>
  <c r="J737" i="10" s="1"/>
  <c r="L737" i="10" s="1"/>
  <c r="N737" i="10" s="1"/>
  <c r="AT736" i="10"/>
  <c r="AE736" i="10"/>
  <c r="AF736" i="10"/>
  <c r="R744" i="10"/>
  <c r="K745" i="10"/>
  <c r="C745" i="10"/>
  <c r="I745" i="10" s="1"/>
  <c r="M745" i="10"/>
  <c r="E745" i="10"/>
  <c r="AU735" i="10"/>
  <c r="H744" i="10"/>
  <c r="D744" i="10"/>
  <c r="F744" i="10" s="1"/>
  <c r="G744" i="10" s="1"/>
  <c r="V744" i="10" s="1"/>
  <c r="AH162" i="10"/>
  <c r="AO162" i="10"/>
  <c r="AY162" i="10" s="1"/>
  <c r="BB746" i="10"/>
  <c r="BC746" i="10" s="1"/>
  <c r="AS746" i="10"/>
  <c r="Y746" i="10"/>
  <c r="A747" i="10"/>
  <c r="B746" i="10"/>
  <c r="T163" i="10"/>
  <c r="AQ163" i="10" s="1"/>
  <c r="AD163" i="10"/>
  <c r="U163" i="10"/>
  <c r="W163" i="10" s="1"/>
  <c r="AP163" i="10" s="1"/>
  <c r="AL162" i="10"/>
  <c r="AN162" i="10" l="1"/>
  <c r="AW162" i="10" s="1"/>
  <c r="BD162" i="10" s="1"/>
  <c r="O737" i="10"/>
  <c r="P737" i="10" s="1"/>
  <c r="J738" i="10" s="1"/>
  <c r="L738" i="10" s="1"/>
  <c r="N738" i="10" s="1"/>
  <c r="AE737" i="10"/>
  <c r="AT737" i="10"/>
  <c r="AF737" i="10"/>
  <c r="R745" i="10"/>
  <c r="AU736" i="10"/>
  <c r="H745" i="10"/>
  <c r="D745" i="10"/>
  <c r="F745" i="10" s="1"/>
  <c r="G745" i="10" s="1"/>
  <c r="V745" i="10" s="1"/>
  <c r="K746" i="10"/>
  <c r="C746" i="10"/>
  <c r="I746" i="10" s="1"/>
  <c r="M746" i="10"/>
  <c r="E746" i="10"/>
  <c r="BB747" i="10"/>
  <c r="BC747" i="10" s="1"/>
  <c r="AS747" i="10"/>
  <c r="Y747" i="10"/>
  <c r="A748" i="10"/>
  <c r="B747" i="10"/>
  <c r="X163" i="10"/>
  <c r="AZ162" i="10" l="1"/>
  <c r="O738" i="10"/>
  <c r="P738" i="10" s="1"/>
  <c r="J739" i="10" s="1"/>
  <c r="L739" i="10" s="1"/>
  <c r="N739" i="10" s="1"/>
  <c r="AE738" i="10"/>
  <c r="AT738" i="10"/>
  <c r="AF738" i="10"/>
  <c r="R746" i="10"/>
  <c r="AU737" i="10"/>
  <c r="K747" i="10"/>
  <c r="C747" i="10"/>
  <c r="I747" i="10" s="1"/>
  <c r="M747" i="10"/>
  <c r="E747" i="10"/>
  <c r="H746" i="10"/>
  <c r="D746" i="10"/>
  <c r="F746" i="10" s="1"/>
  <c r="G746" i="10" s="1"/>
  <c r="V746" i="10" s="1"/>
  <c r="AS748" i="10"/>
  <c r="Y748" i="10"/>
  <c r="BB748" i="10"/>
  <c r="BC748" i="10" s="1"/>
  <c r="A749" i="10"/>
  <c r="B748" i="10"/>
  <c r="Z163" i="10"/>
  <c r="AR163" i="10" s="1"/>
  <c r="O739" i="10" l="1"/>
  <c r="P739" i="10" s="1"/>
  <c r="J740" i="10" s="1"/>
  <c r="L740" i="10" s="1"/>
  <c r="N740" i="10" s="1"/>
  <c r="AE739" i="10"/>
  <c r="AT739" i="10"/>
  <c r="AF739" i="10"/>
  <c r="BB749" i="10"/>
  <c r="BC749" i="10" s="1"/>
  <c r="Y749" i="10"/>
  <c r="AS749" i="10"/>
  <c r="A750" i="10"/>
  <c r="B749" i="10"/>
  <c r="H747" i="10"/>
  <c r="D747" i="10"/>
  <c r="F747" i="10" s="1"/>
  <c r="G747" i="10" s="1"/>
  <c r="V747" i="10" s="1"/>
  <c r="Q164" i="10"/>
  <c r="AA163" i="10"/>
  <c r="AU738" i="10"/>
  <c r="R747" i="10"/>
  <c r="K748" i="10"/>
  <c r="C748" i="10"/>
  <c r="I748" i="10" s="1"/>
  <c r="M748" i="10"/>
  <c r="E748" i="10"/>
  <c r="O740" i="10" l="1"/>
  <c r="P740" i="10" s="1"/>
  <c r="J741" i="10" s="1"/>
  <c r="L741" i="10" s="1"/>
  <c r="N741" i="10" s="1"/>
  <c r="AT740" i="10"/>
  <c r="AE740" i="10"/>
  <c r="AF740" i="10"/>
  <c r="R748" i="10"/>
  <c r="H748" i="10"/>
  <c r="D748" i="10"/>
  <c r="F748" i="10" s="1"/>
  <c r="G748" i="10" s="1"/>
  <c r="V748" i="10" s="1"/>
  <c r="K749" i="10"/>
  <c r="C749" i="10"/>
  <c r="I749" i="10" s="1"/>
  <c r="M749" i="10"/>
  <c r="E749" i="10"/>
  <c r="BB750" i="10"/>
  <c r="BC750" i="10" s="1"/>
  <c r="A751" i="10"/>
  <c r="Y750" i="10"/>
  <c r="AS750" i="10"/>
  <c r="B750" i="10"/>
  <c r="AU739" i="10"/>
  <c r="AJ163" i="10"/>
  <c r="AI163" i="10"/>
  <c r="AG163" i="10"/>
  <c r="AK163" i="10"/>
  <c r="AX163" i="10" s="1"/>
  <c r="AB164" i="10"/>
  <c r="AV163" i="10" s="1"/>
  <c r="S164" i="10"/>
  <c r="AC164" i="10"/>
  <c r="AM164" i="10"/>
  <c r="BA163" i="10" l="1"/>
  <c r="O741" i="10"/>
  <c r="P741" i="10" s="1"/>
  <c r="J742" i="10" s="1"/>
  <c r="L742" i="10" s="1"/>
  <c r="N742" i="10" s="1"/>
  <c r="AT741" i="10"/>
  <c r="AE741" i="10"/>
  <c r="AF741" i="10"/>
  <c r="K750" i="10"/>
  <c r="C750" i="10"/>
  <c r="I750" i="10" s="1"/>
  <c r="M750" i="10"/>
  <c r="E750" i="10"/>
  <c r="H749" i="10"/>
  <c r="D749" i="10"/>
  <c r="F749" i="10" s="1"/>
  <c r="G749" i="10" s="1"/>
  <c r="V749" i="10" s="1"/>
  <c r="AU740" i="10"/>
  <c r="AH163" i="10"/>
  <c r="AO163" i="10"/>
  <c r="AY163" i="10" s="1"/>
  <c r="A752" i="10"/>
  <c r="Y751" i="10"/>
  <c r="AS751" i="10"/>
  <c r="BB751" i="10"/>
  <c r="BC751" i="10" s="1"/>
  <c r="B751" i="10"/>
  <c r="T164" i="10"/>
  <c r="AQ164" i="10" s="1"/>
  <c r="AD164" i="10"/>
  <c r="U164" i="10"/>
  <c r="W164" i="10" s="1"/>
  <c r="AP164" i="10" s="1"/>
  <c r="AL163" i="10"/>
  <c r="R749" i="10"/>
  <c r="O742" i="10" l="1"/>
  <c r="P742" i="10"/>
  <c r="J743" i="10" s="1"/>
  <c r="L743" i="10" s="1"/>
  <c r="N743" i="10" s="1"/>
  <c r="AT742" i="10"/>
  <c r="AE742" i="10"/>
  <c r="AF742" i="10"/>
  <c r="AU741" i="10"/>
  <c r="AS752" i="10"/>
  <c r="BB752" i="10"/>
  <c r="BC752" i="10" s="1"/>
  <c r="Y752" i="10"/>
  <c r="A753" i="10"/>
  <c r="B752" i="10"/>
  <c r="X164" i="10"/>
  <c r="AN163" i="10"/>
  <c r="AW163" i="10" s="1"/>
  <c r="R750" i="10"/>
  <c r="K751" i="10"/>
  <c r="C751" i="10"/>
  <c r="I751" i="10" s="1"/>
  <c r="M751" i="10"/>
  <c r="E751" i="10"/>
  <c r="H750" i="10"/>
  <c r="D750" i="10"/>
  <c r="F750" i="10" s="1"/>
  <c r="G750" i="10" s="1"/>
  <c r="V750" i="10" s="1"/>
  <c r="O743" i="10" l="1"/>
  <c r="P743" i="10" s="1"/>
  <c r="J744" i="10" s="1"/>
  <c r="L744" i="10" s="1"/>
  <c r="N744" i="10" s="1"/>
  <c r="AT743" i="10"/>
  <c r="AE743" i="10"/>
  <c r="AF743" i="10"/>
  <c r="BB753" i="10"/>
  <c r="BC753" i="10" s="1"/>
  <c r="A754" i="10"/>
  <c r="Y753" i="10"/>
  <c r="AS753" i="10"/>
  <c r="B753" i="10"/>
  <c r="AU742" i="10"/>
  <c r="R751" i="10"/>
  <c r="AZ163" i="10"/>
  <c r="BD163" i="10"/>
  <c r="H751" i="10"/>
  <c r="D751" i="10"/>
  <c r="F751" i="10" s="1"/>
  <c r="G751" i="10" s="1"/>
  <c r="V751" i="10" s="1"/>
  <c r="Z164" i="10"/>
  <c r="AR164" i="10" s="1"/>
  <c r="K752" i="10"/>
  <c r="C752" i="10"/>
  <c r="I752" i="10" s="1"/>
  <c r="M752" i="10"/>
  <c r="E752" i="10"/>
  <c r="O744" i="10" l="1"/>
  <c r="P744" i="10"/>
  <c r="J745" i="10" s="1"/>
  <c r="L745" i="10" s="1"/>
  <c r="N745" i="10" s="1"/>
  <c r="AE744" i="10"/>
  <c r="AT744" i="10"/>
  <c r="AF744" i="10"/>
  <c r="H752" i="10"/>
  <c r="D752" i="10"/>
  <c r="F752" i="10" s="1"/>
  <c r="G752" i="10" s="1"/>
  <c r="V752" i="10" s="1"/>
  <c r="AU743" i="10"/>
  <c r="K753" i="10"/>
  <c r="C753" i="10"/>
  <c r="I753" i="10" s="1"/>
  <c r="M753" i="10"/>
  <c r="E753" i="10"/>
  <c r="Q165" i="10"/>
  <c r="AA164" i="10"/>
  <c r="R752" i="10"/>
  <c r="BB754" i="10"/>
  <c r="BC754" i="10" s="1"/>
  <c r="Y754" i="10"/>
  <c r="AS754" i="10"/>
  <c r="A755" i="10"/>
  <c r="B754" i="10"/>
  <c r="O745" i="10" l="1"/>
  <c r="P745" i="10" s="1"/>
  <c r="J746" i="10" s="1"/>
  <c r="L746" i="10" s="1"/>
  <c r="N746" i="10" s="1"/>
  <c r="AE745" i="10"/>
  <c r="AT745" i="10"/>
  <c r="AF745" i="10"/>
  <c r="K754" i="10"/>
  <c r="C754" i="10"/>
  <c r="I754" i="10" s="1"/>
  <c r="M754" i="10"/>
  <c r="E754" i="10"/>
  <c r="A756" i="10"/>
  <c r="Y755" i="10"/>
  <c r="BB755" i="10"/>
  <c r="BC755" i="10" s="1"/>
  <c r="AS755" i="10"/>
  <c r="B755" i="10"/>
  <c r="AJ164" i="10"/>
  <c r="AI164" i="10"/>
  <c r="AG164" i="10"/>
  <c r="AK164" i="10"/>
  <c r="AX164" i="10" s="1"/>
  <c r="AB165" i="10"/>
  <c r="AV164" i="10" s="1"/>
  <c r="S165" i="10"/>
  <c r="AC165" i="10"/>
  <c r="AM165" i="10"/>
  <c r="AU744" i="10"/>
  <c r="R753" i="10"/>
  <c r="H753" i="10"/>
  <c r="D753" i="10"/>
  <c r="F753" i="10" s="1"/>
  <c r="G753" i="10" s="1"/>
  <c r="V753" i="10" s="1"/>
  <c r="O746" i="10" l="1"/>
  <c r="P746" i="10" s="1"/>
  <c r="J747" i="10" s="1"/>
  <c r="L747" i="10" s="1"/>
  <c r="N747" i="10" s="1"/>
  <c r="AE746" i="10"/>
  <c r="AT746" i="10"/>
  <c r="AF746" i="10"/>
  <c r="T165" i="10"/>
  <c r="AQ165" i="10" s="1"/>
  <c r="AD165" i="10"/>
  <c r="U165" i="10"/>
  <c r="W165" i="10" s="1"/>
  <c r="AP165" i="10" s="1"/>
  <c r="AS756" i="10"/>
  <c r="BB756" i="10"/>
  <c r="BC756" i="10" s="1"/>
  <c r="A757" i="10"/>
  <c r="Y756" i="10"/>
  <c r="B756" i="10"/>
  <c r="AU745" i="10"/>
  <c r="AH164" i="10"/>
  <c r="AN164" i="10" s="1"/>
  <c r="AW164" i="10" s="1"/>
  <c r="AO164" i="10"/>
  <c r="AY164" i="10" s="1"/>
  <c r="R754" i="10"/>
  <c r="AL164" i="10"/>
  <c r="H754" i="10"/>
  <c r="D754" i="10"/>
  <c r="F754" i="10" s="1"/>
  <c r="G754" i="10" s="1"/>
  <c r="V754" i="10" s="1"/>
  <c r="BA164" i="10"/>
  <c r="K755" i="10"/>
  <c r="C755" i="10"/>
  <c r="I755" i="10" s="1"/>
  <c r="M755" i="10"/>
  <c r="E755" i="10"/>
  <c r="O747" i="10" l="1"/>
  <c r="P747" i="10" s="1"/>
  <c r="J748" i="10" s="1"/>
  <c r="L748" i="10" s="1"/>
  <c r="N748" i="10" s="1"/>
  <c r="AE747" i="10"/>
  <c r="AT747" i="10"/>
  <c r="AF747" i="10"/>
  <c r="AZ164" i="10"/>
  <c r="BD164" i="10"/>
  <c r="AU746" i="10"/>
  <c r="R755" i="10"/>
  <c r="K756" i="10"/>
  <c r="C756" i="10"/>
  <c r="I756" i="10" s="1"/>
  <c r="M756" i="10"/>
  <c r="E756" i="10"/>
  <c r="X165" i="10"/>
  <c r="H755" i="10"/>
  <c r="D755" i="10"/>
  <c r="F755" i="10" s="1"/>
  <c r="G755" i="10" s="1"/>
  <c r="V755" i="10" s="1"/>
  <c r="BB757" i="10"/>
  <c r="BC757" i="10" s="1"/>
  <c r="Y757" i="10"/>
  <c r="AS757" i="10"/>
  <c r="A758" i="10"/>
  <c r="B757" i="10"/>
  <c r="O748" i="10" l="1"/>
  <c r="P748" i="10" s="1"/>
  <c r="J749" i="10" s="1"/>
  <c r="L749" i="10" s="1"/>
  <c r="N749" i="10" s="1"/>
  <c r="AT748" i="10"/>
  <c r="AE748" i="10"/>
  <c r="AF748" i="10"/>
  <c r="A759" i="10"/>
  <c r="BB758" i="10"/>
  <c r="BC758" i="10" s="1"/>
  <c r="Y758" i="10"/>
  <c r="AS758" i="10"/>
  <c r="B758" i="10"/>
  <c r="Z165" i="10"/>
  <c r="AR165" i="10" s="1"/>
  <c r="R756" i="10"/>
  <c r="AU747" i="10"/>
  <c r="H756" i="10"/>
  <c r="D756" i="10"/>
  <c r="F756" i="10" s="1"/>
  <c r="G756" i="10" s="1"/>
  <c r="V756" i="10" s="1"/>
  <c r="K757" i="10"/>
  <c r="C757" i="10"/>
  <c r="I757" i="10" s="1"/>
  <c r="M757" i="10"/>
  <c r="E757" i="10"/>
  <c r="O749" i="10" l="1"/>
  <c r="P749" i="10" s="1"/>
  <c r="J750" i="10" s="1"/>
  <c r="L750" i="10" s="1"/>
  <c r="N750" i="10" s="1"/>
  <c r="AE749" i="10"/>
  <c r="AT749" i="10"/>
  <c r="AF749" i="10"/>
  <c r="R757" i="10"/>
  <c r="Q166" i="10"/>
  <c r="AU748" i="10"/>
  <c r="AA165" i="10"/>
  <c r="H757" i="10"/>
  <c r="D757" i="10"/>
  <c r="F757" i="10" s="1"/>
  <c r="G757" i="10" s="1"/>
  <c r="V757" i="10" s="1"/>
  <c r="K758" i="10"/>
  <c r="C758" i="10"/>
  <c r="I758" i="10" s="1"/>
  <c r="M758" i="10"/>
  <c r="E758" i="10"/>
  <c r="A760" i="10"/>
  <c r="AS759" i="10"/>
  <c r="BB759" i="10"/>
  <c r="BC759" i="10" s="1"/>
  <c r="Y759" i="10"/>
  <c r="B759" i="10"/>
  <c r="O750" i="10" l="1"/>
  <c r="P750" i="10" s="1"/>
  <c r="J751" i="10" s="1"/>
  <c r="L751" i="10" s="1"/>
  <c r="N751" i="10" s="1"/>
  <c r="AT750" i="10"/>
  <c r="AE750" i="10"/>
  <c r="AF750" i="10"/>
  <c r="R758" i="10"/>
  <c r="BB760" i="10"/>
  <c r="BC760" i="10" s="1"/>
  <c r="Y760" i="10"/>
  <c r="A761" i="10"/>
  <c r="AS760" i="10"/>
  <c r="B760" i="10"/>
  <c r="H758" i="10"/>
  <c r="D758" i="10"/>
  <c r="F758" i="10" s="1"/>
  <c r="G758" i="10" s="1"/>
  <c r="V758" i="10" s="1"/>
  <c r="AB166" i="10"/>
  <c r="AV165" i="10" s="1"/>
  <c r="S166" i="10"/>
  <c r="AM166" i="10"/>
  <c r="AC166" i="10"/>
  <c r="AU749" i="10"/>
  <c r="K759" i="10"/>
  <c r="C759" i="10"/>
  <c r="I759" i="10" s="1"/>
  <c r="M759" i="10"/>
  <c r="E759" i="10"/>
  <c r="AJ165" i="10"/>
  <c r="AI165" i="10"/>
  <c r="AG165" i="10"/>
  <c r="AK165" i="10"/>
  <c r="AX165" i="10" s="1"/>
  <c r="BA165" i="10" l="1"/>
  <c r="O751" i="10"/>
  <c r="P751" i="10" s="1"/>
  <c r="J752" i="10" s="1"/>
  <c r="L752" i="10" s="1"/>
  <c r="N752" i="10" s="1"/>
  <c r="AE751" i="10"/>
  <c r="AT751" i="10"/>
  <c r="AF751" i="10"/>
  <c r="BB761" i="10"/>
  <c r="BC761" i="10" s="1"/>
  <c r="AS761" i="10"/>
  <c r="A762" i="10"/>
  <c r="Y761" i="10"/>
  <c r="B761" i="10"/>
  <c r="H759" i="10"/>
  <c r="D759" i="10"/>
  <c r="F759" i="10" s="1"/>
  <c r="G759" i="10" s="1"/>
  <c r="V759" i="10" s="1"/>
  <c r="T166" i="10"/>
  <c r="AQ166" i="10" s="1"/>
  <c r="AD166" i="10"/>
  <c r="U166" i="10"/>
  <c r="W166" i="10" s="1"/>
  <c r="AP166" i="10" s="1"/>
  <c r="AU750" i="10"/>
  <c r="AH165" i="10"/>
  <c r="AO165" i="10"/>
  <c r="AY165" i="10" s="1"/>
  <c r="AL165" i="10"/>
  <c r="K760" i="10"/>
  <c r="C760" i="10"/>
  <c r="I760" i="10" s="1"/>
  <c r="M760" i="10"/>
  <c r="E760" i="10"/>
  <c r="R759" i="10"/>
  <c r="O752" i="10" l="1"/>
  <c r="P752" i="10" s="1"/>
  <c r="J753" i="10" s="1"/>
  <c r="L753" i="10" s="1"/>
  <c r="N753" i="10" s="1"/>
  <c r="AT752" i="10"/>
  <c r="AE752" i="10"/>
  <c r="AF752" i="10"/>
  <c r="K761" i="10"/>
  <c r="C761" i="10"/>
  <c r="I761" i="10" s="1"/>
  <c r="M761" i="10"/>
  <c r="E761" i="10"/>
  <c r="X166" i="10"/>
  <c r="AU751" i="10"/>
  <c r="A763" i="10"/>
  <c r="AS762" i="10"/>
  <c r="BB762" i="10"/>
  <c r="BC762" i="10" s="1"/>
  <c r="Y762" i="10"/>
  <c r="B762" i="10"/>
  <c r="R760" i="10"/>
  <c r="AN165" i="10"/>
  <c r="AW165" i="10" s="1"/>
  <c r="H760" i="10"/>
  <c r="D760" i="10"/>
  <c r="F760" i="10" s="1"/>
  <c r="G760" i="10" s="1"/>
  <c r="V760" i="10" s="1"/>
  <c r="O753" i="10" l="1"/>
  <c r="P753" i="10" s="1"/>
  <c r="J754" i="10" s="1"/>
  <c r="L754" i="10" s="1"/>
  <c r="N754" i="10" s="1"/>
  <c r="AE753" i="10"/>
  <c r="AT753" i="10"/>
  <c r="AF753" i="10"/>
  <c r="AZ165" i="10"/>
  <c r="BD165" i="10"/>
  <c r="R761" i="10"/>
  <c r="AU752" i="10"/>
  <c r="BB763" i="10"/>
  <c r="BC763" i="10" s="1"/>
  <c r="Y763" i="10"/>
  <c r="AS763" i="10"/>
  <c r="A764" i="10"/>
  <c r="B763" i="10"/>
  <c r="H761" i="10"/>
  <c r="D761" i="10"/>
  <c r="F761" i="10" s="1"/>
  <c r="G761" i="10" s="1"/>
  <c r="V761" i="10" s="1"/>
  <c r="K762" i="10"/>
  <c r="C762" i="10"/>
  <c r="I762" i="10" s="1"/>
  <c r="M762" i="10"/>
  <c r="E762" i="10"/>
  <c r="Z166" i="10"/>
  <c r="AR166" i="10" s="1"/>
  <c r="O754" i="10" l="1"/>
  <c r="P754" i="10" s="1"/>
  <c r="J755" i="10" s="1"/>
  <c r="L755" i="10" s="1"/>
  <c r="N755" i="10" s="1"/>
  <c r="AE754" i="10"/>
  <c r="AT754" i="10"/>
  <c r="AF754" i="10"/>
  <c r="R762" i="10"/>
  <c r="H762" i="10"/>
  <c r="D762" i="10"/>
  <c r="F762" i="10" s="1"/>
  <c r="G762" i="10" s="1"/>
  <c r="V762" i="10" s="1"/>
  <c r="K763" i="10"/>
  <c r="C763" i="10"/>
  <c r="I763" i="10" s="1"/>
  <c r="M763" i="10"/>
  <c r="E763" i="10"/>
  <c r="A765" i="10"/>
  <c r="Y764" i="10"/>
  <c r="BB764" i="10"/>
  <c r="BC764" i="10" s="1"/>
  <c r="AS764" i="10"/>
  <c r="B764" i="10"/>
  <c r="AU753" i="10"/>
  <c r="Q167" i="10"/>
  <c r="AA166" i="10"/>
  <c r="O755" i="10" l="1"/>
  <c r="P755" i="10" s="1"/>
  <c r="J756" i="10" s="1"/>
  <c r="L756" i="10" s="1"/>
  <c r="N756" i="10" s="1"/>
  <c r="AT755" i="10"/>
  <c r="AE755" i="10"/>
  <c r="AF755" i="10"/>
  <c r="AB167" i="10"/>
  <c r="AV166" i="10" s="1"/>
  <c r="S167" i="10"/>
  <c r="AC167" i="10"/>
  <c r="AM167" i="10"/>
  <c r="BB765" i="10"/>
  <c r="BC765" i="10" s="1"/>
  <c r="A766" i="10"/>
  <c r="Y765" i="10"/>
  <c r="AS765" i="10"/>
  <c r="B765" i="10"/>
  <c r="AU754" i="10"/>
  <c r="R763" i="10"/>
  <c r="AJ166" i="10"/>
  <c r="AI166" i="10"/>
  <c r="AG166" i="10"/>
  <c r="AK166" i="10"/>
  <c r="AX166" i="10" s="1"/>
  <c r="K764" i="10"/>
  <c r="C764" i="10"/>
  <c r="I764" i="10" s="1"/>
  <c r="M764" i="10"/>
  <c r="E764" i="10"/>
  <c r="H763" i="10"/>
  <c r="D763" i="10"/>
  <c r="F763" i="10" s="1"/>
  <c r="G763" i="10" s="1"/>
  <c r="V763" i="10" s="1"/>
  <c r="O756" i="10" l="1"/>
  <c r="P756" i="10" s="1"/>
  <c r="J757" i="10" s="1"/>
  <c r="L757" i="10" s="1"/>
  <c r="N757" i="10" s="1"/>
  <c r="AE756" i="10"/>
  <c r="AT756" i="10"/>
  <c r="AF756" i="10"/>
  <c r="AH166" i="10"/>
  <c r="AO166" i="10"/>
  <c r="AY166" i="10" s="1"/>
  <c r="AU755" i="10"/>
  <c r="AL166" i="10"/>
  <c r="R764" i="10"/>
  <c r="K765" i="10"/>
  <c r="C765" i="10"/>
  <c r="I765" i="10" s="1"/>
  <c r="M765" i="10"/>
  <c r="E765" i="10"/>
  <c r="BA166" i="10"/>
  <c r="T167" i="10"/>
  <c r="AQ167" i="10" s="1"/>
  <c r="AD167" i="10"/>
  <c r="U167" i="10"/>
  <c r="W167" i="10" s="1"/>
  <c r="AP167" i="10" s="1"/>
  <c r="H764" i="10"/>
  <c r="D764" i="10"/>
  <c r="F764" i="10" s="1"/>
  <c r="G764" i="10" s="1"/>
  <c r="V764" i="10" s="1"/>
  <c r="BB766" i="10"/>
  <c r="BC766" i="10" s="1"/>
  <c r="AS766" i="10"/>
  <c r="A767" i="10"/>
  <c r="Y766" i="10"/>
  <c r="B766" i="10"/>
  <c r="O757" i="10" l="1"/>
  <c r="P757" i="10" s="1"/>
  <c r="J758" i="10" s="1"/>
  <c r="L758" i="10" s="1"/>
  <c r="N758" i="10" s="1"/>
  <c r="AE757" i="10"/>
  <c r="AT757" i="10"/>
  <c r="AF757" i="10"/>
  <c r="K766" i="10"/>
  <c r="C766" i="10"/>
  <c r="I766" i="10" s="1"/>
  <c r="M766" i="10"/>
  <c r="E766" i="10"/>
  <c r="R765" i="10"/>
  <c r="AU756" i="10"/>
  <c r="BB767" i="10"/>
  <c r="BC767" i="10" s="1"/>
  <c r="AS767" i="10"/>
  <c r="A768" i="10"/>
  <c r="Y767" i="10"/>
  <c r="B767" i="10"/>
  <c r="H765" i="10"/>
  <c r="D765" i="10"/>
  <c r="F765" i="10" s="1"/>
  <c r="G765" i="10" s="1"/>
  <c r="V765" i="10" s="1"/>
  <c r="X167" i="10"/>
  <c r="AN166" i="10"/>
  <c r="AW166" i="10" s="1"/>
  <c r="O758" i="10" l="1"/>
  <c r="P758" i="10" s="1"/>
  <c r="J759" i="10" s="1"/>
  <c r="L759" i="10" s="1"/>
  <c r="N759" i="10" s="1"/>
  <c r="AE758" i="10"/>
  <c r="AT758" i="10"/>
  <c r="AF758" i="10"/>
  <c r="AZ166" i="10"/>
  <c r="BD166" i="10"/>
  <c r="BB768" i="10"/>
  <c r="BC768" i="10" s="1"/>
  <c r="AS768" i="10"/>
  <c r="A769" i="10"/>
  <c r="Y768" i="10"/>
  <c r="B768" i="10"/>
  <c r="Z167" i="10"/>
  <c r="AR167" i="10" s="1"/>
  <c r="AU757" i="10"/>
  <c r="R766" i="10"/>
  <c r="H766" i="10"/>
  <c r="D766" i="10"/>
  <c r="F766" i="10" s="1"/>
  <c r="G766" i="10" s="1"/>
  <c r="V766" i="10" s="1"/>
  <c r="K767" i="10"/>
  <c r="C767" i="10"/>
  <c r="I767" i="10" s="1"/>
  <c r="M767" i="10"/>
  <c r="E767" i="10"/>
  <c r="O759" i="10" l="1"/>
  <c r="P759" i="10" s="1"/>
  <c r="J760" i="10" s="1"/>
  <c r="L760" i="10" s="1"/>
  <c r="N760" i="10" s="1"/>
  <c r="AT759" i="10"/>
  <c r="AE759" i="10"/>
  <c r="AF759" i="10"/>
  <c r="AU758" i="10"/>
  <c r="Q168" i="10"/>
  <c r="AA167" i="10"/>
  <c r="R767" i="10"/>
  <c r="K768" i="10"/>
  <c r="C768" i="10"/>
  <c r="I768" i="10" s="1"/>
  <c r="M768" i="10"/>
  <c r="E768" i="10"/>
  <c r="BB769" i="10"/>
  <c r="BC769" i="10" s="1"/>
  <c r="A770" i="10"/>
  <c r="Y769" i="10"/>
  <c r="AS769" i="10"/>
  <c r="B769" i="10"/>
  <c r="H767" i="10"/>
  <c r="D767" i="10"/>
  <c r="F767" i="10" s="1"/>
  <c r="G767" i="10" s="1"/>
  <c r="V767" i="10" s="1"/>
  <c r="O760" i="10" l="1"/>
  <c r="P760" i="10" s="1"/>
  <c r="J761" i="10" s="1"/>
  <c r="L761" i="10" s="1"/>
  <c r="N761" i="10" s="1"/>
  <c r="AE760" i="10"/>
  <c r="AT760" i="10"/>
  <c r="AF760" i="10"/>
  <c r="H768" i="10"/>
  <c r="D768" i="10"/>
  <c r="F768" i="10" s="1"/>
  <c r="G768" i="10" s="1"/>
  <c r="V768" i="10" s="1"/>
  <c r="K769" i="10"/>
  <c r="C769" i="10"/>
  <c r="I769" i="10" s="1"/>
  <c r="M769" i="10"/>
  <c r="E769" i="10"/>
  <c r="AB168" i="10"/>
  <c r="AV167" i="10" s="1"/>
  <c r="S168" i="10"/>
  <c r="AM168" i="10"/>
  <c r="AC168" i="10"/>
  <c r="AU759" i="10"/>
  <c r="BB770" i="10"/>
  <c r="BC770" i="10" s="1"/>
  <c r="AS770" i="10"/>
  <c r="A771" i="10"/>
  <c r="Y770" i="10"/>
  <c r="B770" i="10"/>
  <c r="R768" i="10"/>
  <c r="AJ167" i="10"/>
  <c r="AI167" i="10"/>
  <c r="AG167" i="10"/>
  <c r="AK167" i="10"/>
  <c r="AX167" i="10" s="1"/>
  <c r="O761" i="10" l="1"/>
  <c r="P761" i="10"/>
  <c r="J762" i="10" s="1"/>
  <c r="L762" i="10" s="1"/>
  <c r="N762" i="10" s="1"/>
  <c r="AT761" i="10"/>
  <c r="AE761" i="10"/>
  <c r="AF761" i="10"/>
  <c r="T168" i="10"/>
  <c r="AQ168" i="10" s="1"/>
  <c r="AD168" i="10"/>
  <c r="U168" i="10"/>
  <c r="W168" i="10" s="1"/>
  <c r="AP168" i="10" s="1"/>
  <c r="R769" i="10"/>
  <c r="AH167" i="10"/>
  <c r="AO167" i="10"/>
  <c r="AY167" i="10" s="1"/>
  <c r="AU760" i="10"/>
  <c r="K770" i="10"/>
  <c r="C770" i="10"/>
  <c r="I770" i="10" s="1"/>
  <c r="M770" i="10"/>
  <c r="E770" i="10"/>
  <c r="H769" i="10"/>
  <c r="D769" i="10"/>
  <c r="F769" i="10" s="1"/>
  <c r="G769" i="10" s="1"/>
  <c r="V769" i="10" s="1"/>
  <c r="AL167" i="10"/>
  <c r="BA167" i="10"/>
  <c r="BB771" i="10"/>
  <c r="BC771" i="10" s="1"/>
  <c r="AS771" i="10"/>
  <c r="A772" i="10"/>
  <c r="Y771" i="10"/>
  <c r="B771" i="10"/>
  <c r="O762" i="10" l="1"/>
  <c r="P762" i="10" s="1"/>
  <c r="J763" i="10" s="1"/>
  <c r="L763" i="10" s="1"/>
  <c r="N763" i="10" s="1"/>
  <c r="AE762" i="10"/>
  <c r="AT762" i="10"/>
  <c r="AF762" i="10"/>
  <c r="H770" i="10"/>
  <c r="D770" i="10"/>
  <c r="F770" i="10" s="1"/>
  <c r="G770" i="10" s="1"/>
  <c r="V770" i="10" s="1"/>
  <c r="AU761" i="10"/>
  <c r="K771" i="10"/>
  <c r="C771" i="10"/>
  <c r="I771" i="10" s="1"/>
  <c r="M771" i="10"/>
  <c r="E771" i="10"/>
  <c r="X168" i="10"/>
  <c r="BB772" i="10"/>
  <c r="BC772" i="10" s="1"/>
  <c r="AS772" i="10"/>
  <c r="A773" i="10"/>
  <c r="Y772" i="10"/>
  <c r="B772" i="10"/>
  <c r="R770" i="10"/>
  <c r="AN167" i="10"/>
  <c r="AW167" i="10" s="1"/>
  <c r="O763" i="10" l="1"/>
  <c r="P763" i="10"/>
  <c r="J764" i="10" s="1"/>
  <c r="L764" i="10" s="1"/>
  <c r="N764" i="10" s="1"/>
  <c r="AT763" i="10"/>
  <c r="AE763" i="10"/>
  <c r="AF763" i="10"/>
  <c r="AZ167" i="10"/>
  <c r="BD167" i="10"/>
  <c r="Z168" i="10"/>
  <c r="AR168" i="10" s="1"/>
  <c r="AU762" i="10"/>
  <c r="K772" i="10"/>
  <c r="C772" i="10"/>
  <c r="I772" i="10" s="1"/>
  <c r="M772" i="10"/>
  <c r="E772" i="10"/>
  <c r="R771" i="10"/>
  <c r="BB773" i="10"/>
  <c r="BC773" i="10" s="1"/>
  <c r="A774" i="10"/>
  <c r="Y773" i="10"/>
  <c r="AS773" i="10"/>
  <c r="B773" i="10"/>
  <c r="H771" i="10"/>
  <c r="D771" i="10"/>
  <c r="F771" i="10" s="1"/>
  <c r="G771" i="10" s="1"/>
  <c r="V771" i="10" s="1"/>
  <c r="O764" i="10" l="1"/>
  <c r="P764" i="10" s="1"/>
  <c r="J765" i="10" s="1"/>
  <c r="L765" i="10" s="1"/>
  <c r="N765" i="10" s="1"/>
  <c r="AE764" i="10"/>
  <c r="AT764" i="10"/>
  <c r="AF764" i="10"/>
  <c r="K773" i="10"/>
  <c r="C773" i="10"/>
  <c r="I773" i="10" s="1"/>
  <c r="M773" i="10"/>
  <c r="E773" i="10"/>
  <c r="AU763" i="10"/>
  <c r="R772" i="10"/>
  <c r="Q169" i="10"/>
  <c r="BB774" i="10"/>
  <c r="BC774" i="10" s="1"/>
  <c r="AS774" i="10"/>
  <c r="A775" i="10"/>
  <c r="Y774" i="10"/>
  <c r="B774" i="10"/>
  <c r="AA168" i="10"/>
  <c r="H772" i="10"/>
  <c r="D772" i="10"/>
  <c r="F772" i="10" s="1"/>
  <c r="G772" i="10" s="1"/>
  <c r="V772" i="10" s="1"/>
  <c r="O765" i="10" l="1"/>
  <c r="P765" i="10" s="1"/>
  <c r="J766" i="10" s="1"/>
  <c r="L766" i="10" s="1"/>
  <c r="N766" i="10" s="1"/>
  <c r="AT765" i="10"/>
  <c r="AE765" i="10"/>
  <c r="AF765" i="10"/>
  <c r="BB775" i="10"/>
  <c r="BC775" i="10" s="1"/>
  <c r="AS775" i="10"/>
  <c r="A776" i="10"/>
  <c r="Y775" i="10"/>
  <c r="B775" i="10"/>
  <c r="AU764" i="10"/>
  <c r="AB169" i="10"/>
  <c r="AV168" i="10" s="1"/>
  <c r="S169" i="10"/>
  <c r="AC169" i="10"/>
  <c r="AM169" i="10"/>
  <c r="R773" i="10"/>
  <c r="AJ168" i="10"/>
  <c r="AI168" i="10"/>
  <c r="AG168" i="10"/>
  <c r="AK168" i="10"/>
  <c r="AX168" i="10" s="1"/>
  <c r="H773" i="10"/>
  <c r="D773" i="10"/>
  <c r="F773" i="10" s="1"/>
  <c r="G773" i="10" s="1"/>
  <c r="V773" i="10" s="1"/>
  <c r="K774" i="10"/>
  <c r="C774" i="10"/>
  <c r="I774" i="10" s="1"/>
  <c r="M774" i="10"/>
  <c r="E774" i="10"/>
  <c r="BA168" i="10" l="1"/>
  <c r="O766" i="10"/>
  <c r="P766" i="10" s="1"/>
  <c r="J767" i="10" s="1"/>
  <c r="L767" i="10" s="1"/>
  <c r="N767" i="10" s="1"/>
  <c r="AE766" i="10"/>
  <c r="AT766" i="10"/>
  <c r="AF766" i="10"/>
  <c r="K775" i="10"/>
  <c r="C775" i="10"/>
  <c r="I775" i="10" s="1"/>
  <c r="M775" i="10"/>
  <c r="E775" i="10"/>
  <c r="AU765" i="10"/>
  <c r="R774" i="10"/>
  <c r="BB776" i="10"/>
  <c r="BC776" i="10" s="1"/>
  <c r="AS776" i="10"/>
  <c r="A777" i="10"/>
  <c r="Y776" i="10"/>
  <c r="B776" i="10"/>
  <c r="AH168" i="10"/>
  <c r="AO168" i="10"/>
  <c r="AY168" i="10" s="1"/>
  <c r="T169" i="10"/>
  <c r="AQ169" i="10" s="1"/>
  <c r="AD169" i="10"/>
  <c r="U169" i="10"/>
  <c r="W169" i="10" s="1"/>
  <c r="AP169" i="10" s="1"/>
  <c r="H774" i="10"/>
  <c r="D774" i="10"/>
  <c r="F774" i="10" s="1"/>
  <c r="G774" i="10" s="1"/>
  <c r="V774" i="10" s="1"/>
  <c r="AL168" i="10"/>
  <c r="O767" i="10" l="1"/>
  <c r="P767" i="10" s="1"/>
  <c r="J768" i="10" s="1"/>
  <c r="L768" i="10" s="1"/>
  <c r="N768" i="10" s="1"/>
  <c r="AE767" i="10"/>
  <c r="AT767" i="10"/>
  <c r="AF767" i="10"/>
  <c r="BB777" i="10"/>
  <c r="BC777" i="10" s="1"/>
  <c r="A778" i="10"/>
  <c r="Y777" i="10"/>
  <c r="AS777" i="10"/>
  <c r="B777" i="10"/>
  <c r="R775" i="10"/>
  <c r="AU766" i="10"/>
  <c r="H775" i="10"/>
  <c r="D775" i="10"/>
  <c r="F775" i="10" s="1"/>
  <c r="G775" i="10" s="1"/>
  <c r="V775" i="10" s="1"/>
  <c r="AN168" i="10"/>
  <c r="AW168" i="10" s="1"/>
  <c r="K776" i="10"/>
  <c r="C776" i="10"/>
  <c r="I776" i="10" s="1"/>
  <c r="M776" i="10"/>
  <c r="E776" i="10"/>
  <c r="X169" i="10"/>
  <c r="O768" i="10" l="1"/>
  <c r="P768" i="10" s="1"/>
  <c r="J769" i="10" s="1"/>
  <c r="L769" i="10" s="1"/>
  <c r="N769" i="10" s="1"/>
  <c r="AT768" i="10"/>
  <c r="AE768" i="10"/>
  <c r="AF768" i="10"/>
  <c r="Z169" i="10"/>
  <c r="AR169" i="10" s="1"/>
  <c r="AZ168" i="10"/>
  <c r="BD168" i="10"/>
  <c r="R776" i="10"/>
  <c r="K777" i="10"/>
  <c r="C777" i="10"/>
  <c r="I777" i="10" s="1"/>
  <c r="M777" i="10"/>
  <c r="E777" i="10"/>
  <c r="AU767" i="10"/>
  <c r="H776" i="10"/>
  <c r="D776" i="10"/>
  <c r="F776" i="10" s="1"/>
  <c r="G776" i="10" s="1"/>
  <c r="V776" i="10" s="1"/>
  <c r="BB778" i="10"/>
  <c r="BC778" i="10" s="1"/>
  <c r="AS778" i="10"/>
  <c r="A779" i="10"/>
  <c r="Y778" i="10"/>
  <c r="B778" i="10"/>
  <c r="O769" i="10" l="1"/>
  <c r="P769" i="10" s="1"/>
  <c r="J770" i="10" s="1"/>
  <c r="L770" i="10" s="1"/>
  <c r="N770" i="10" s="1"/>
  <c r="AT769" i="10"/>
  <c r="AE769" i="10"/>
  <c r="AF769" i="10"/>
  <c r="BB779" i="10"/>
  <c r="BC779" i="10" s="1"/>
  <c r="AS779" i="10"/>
  <c r="A780" i="10"/>
  <c r="Y779" i="10"/>
  <c r="B779" i="10"/>
  <c r="R777" i="10"/>
  <c r="AU768" i="10"/>
  <c r="H777" i="10"/>
  <c r="D777" i="10"/>
  <c r="F777" i="10" s="1"/>
  <c r="G777" i="10" s="1"/>
  <c r="V777" i="10" s="1"/>
  <c r="K778" i="10"/>
  <c r="C778" i="10"/>
  <c r="I778" i="10" s="1"/>
  <c r="M778" i="10"/>
  <c r="E778" i="10"/>
  <c r="Q170" i="10"/>
  <c r="AA169" i="10"/>
  <c r="O770" i="10" l="1"/>
  <c r="P770" i="10" s="1"/>
  <c r="J771" i="10" s="1"/>
  <c r="L771" i="10" s="1"/>
  <c r="N771" i="10" s="1"/>
  <c r="AT770" i="10"/>
  <c r="AE770" i="10"/>
  <c r="AF770" i="10"/>
  <c r="AJ169" i="10"/>
  <c r="AI169" i="10"/>
  <c r="AG169" i="10"/>
  <c r="AK169" i="10"/>
  <c r="AX169" i="10" s="1"/>
  <c r="AB170" i="10"/>
  <c r="AV169" i="10" s="1"/>
  <c r="S170" i="10"/>
  <c r="AM170" i="10"/>
  <c r="AC170" i="10"/>
  <c r="AU769" i="10"/>
  <c r="K779" i="10"/>
  <c r="C779" i="10"/>
  <c r="I779" i="10" s="1"/>
  <c r="M779" i="10"/>
  <c r="E779" i="10"/>
  <c r="R778" i="10"/>
  <c r="BB780" i="10"/>
  <c r="BC780" i="10" s="1"/>
  <c r="AS780" i="10"/>
  <c r="A781" i="10"/>
  <c r="Y780" i="10"/>
  <c r="B780" i="10"/>
  <c r="H778" i="10"/>
  <c r="D778" i="10"/>
  <c r="F778" i="10" s="1"/>
  <c r="G778" i="10" s="1"/>
  <c r="V778" i="10" s="1"/>
  <c r="AL169" i="10" l="1"/>
  <c r="O771" i="10"/>
  <c r="P771" i="10" s="1"/>
  <c r="J772" i="10" s="1"/>
  <c r="L772" i="10" s="1"/>
  <c r="N772" i="10" s="1"/>
  <c r="AT771" i="10"/>
  <c r="AE771" i="10"/>
  <c r="AF771" i="10"/>
  <c r="BA169" i="10"/>
  <c r="R779" i="10"/>
  <c r="T170" i="10"/>
  <c r="AQ170" i="10" s="1"/>
  <c r="AD170" i="10"/>
  <c r="U170" i="10"/>
  <c r="W170" i="10" s="1"/>
  <c r="AP170" i="10" s="1"/>
  <c r="AH169" i="10"/>
  <c r="AN169" i="10" s="1"/>
  <c r="AW169" i="10" s="1"/>
  <c r="AO169" i="10"/>
  <c r="AY169" i="10" s="1"/>
  <c r="BB781" i="10"/>
  <c r="BC781" i="10" s="1"/>
  <c r="A782" i="10"/>
  <c r="Y781" i="10"/>
  <c r="AS781" i="10"/>
  <c r="B781" i="10"/>
  <c r="H779" i="10"/>
  <c r="D779" i="10"/>
  <c r="F779" i="10" s="1"/>
  <c r="G779" i="10" s="1"/>
  <c r="V779" i="10" s="1"/>
  <c r="AU770" i="10"/>
  <c r="K780" i="10"/>
  <c r="C780" i="10"/>
  <c r="I780" i="10" s="1"/>
  <c r="M780" i="10"/>
  <c r="E780" i="10"/>
  <c r="X170" i="10" l="1"/>
  <c r="O772" i="10"/>
  <c r="P772" i="10" s="1"/>
  <c r="J773" i="10" s="1"/>
  <c r="L773" i="10" s="1"/>
  <c r="N773" i="10" s="1"/>
  <c r="AE772" i="10"/>
  <c r="AT772" i="10"/>
  <c r="AF772" i="10"/>
  <c r="Z170" i="10"/>
  <c r="AR170" i="10" s="1"/>
  <c r="BB782" i="10"/>
  <c r="BC782" i="10" s="1"/>
  <c r="AS782" i="10"/>
  <c r="A783" i="10"/>
  <c r="Y782" i="10"/>
  <c r="B782" i="10"/>
  <c r="AU771" i="10"/>
  <c r="R780" i="10"/>
  <c r="AZ169" i="10"/>
  <c r="BD169" i="10"/>
  <c r="H780" i="10"/>
  <c r="D780" i="10"/>
  <c r="F780" i="10" s="1"/>
  <c r="G780" i="10" s="1"/>
  <c r="V780" i="10" s="1"/>
  <c r="K781" i="10"/>
  <c r="C781" i="10"/>
  <c r="I781" i="10" s="1"/>
  <c r="M781" i="10"/>
  <c r="E781" i="10"/>
  <c r="O773" i="10" l="1"/>
  <c r="P773" i="10" s="1"/>
  <c r="J774" i="10" s="1"/>
  <c r="L774" i="10" s="1"/>
  <c r="N774" i="10" s="1"/>
  <c r="AT773" i="10"/>
  <c r="AE773" i="10"/>
  <c r="AF773" i="10"/>
  <c r="H781" i="10"/>
  <c r="D781" i="10"/>
  <c r="F781" i="10" s="1"/>
  <c r="G781" i="10" s="1"/>
  <c r="V781" i="10" s="1"/>
  <c r="BB783" i="10"/>
  <c r="BC783" i="10" s="1"/>
  <c r="AS783" i="10"/>
  <c r="A784" i="10"/>
  <c r="Y783" i="10"/>
  <c r="B783" i="10"/>
  <c r="AU772" i="10"/>
  <c r="R781" i="10"/>
  <c r="K782" i="10"/>
  <c r="C782" i="10"/>
  <c r="I782" i="10" s="1"/>
  <c r="M782" i="10"/>
  <c r="E782" i="10"/>
  <c r="Q171" i="10"/>
  <c r="AA170" i="10"/>
  <c r="O774" i="10" l="1"/>
  <c r="P774" i="10" s="1"/>
  <c r="J775" i="10" s="1"/>
  <c r="L775" i="10" s="1"/>
  <c r="N775" i="10" s="1"/>
  <c r="AE774" i="10"/>
  <c r="AT774" i="10"/>
  <c r="AF774" i="10"/>
  <c r="AJ170" i="10"/>
  <c r="AI170" i="10"/>
  <c r="AG170" i="10"/>
  <c r="AK170" i="10"/>
  <c r="AX170" i="10" s="1"/>
  <c r="K783" i="10"/>
  <c r="C783" i="10"/>
  <c r="I783" i="10" s="1"/>
  <c r="M783" i="10"/>
  <c r="E783" i="10"/>
  <c r="BB784" i="10"/>
  <c r="BC784" i="10" s="1"/>
  <c r="AS784" i="10"/>
  <c r="A785" i="10"/>
  <c r="Y784" i="10"/>
  <c r="B784" i="10"/>
  <c r="AU773" i="10"/>
  <c r="AB171" i="10"/>
  <c r="AV170" i="10" s="1"/>
  <c r="S171" i="10"/>
  <c r="AC171" i="10"/>
  <c r="AM171" i="10"/>
  <c r="R782" i="10"/>
  <c r="H782" i="10"/>
  <c r="D782" i="10"/>
  <c r="F782" i="10" s="1"/>
  <c r="G782" i="10" s="1"/>
  <c r="V782" i="10" s="1"/>
  <c r="BA170" i="10" l="1"/>
  <c r="O775" i="10"/>
  <c r="P775" i="10" s="1"/>
  <c r="J776" i="10" s="1"/>
  <c r="L776" i="10" s="1"/>
  <c r="N776" i="10" s="1"/>
  <c r="AT775" i="10"/>
  <c r="AE775" i="10"/>
  <c r="AF775" i="10"/>
  <c r="C784" i="10"/>
  <c r="I784" i="10" s="1"/>
  <c r="M784" i="10"/>
  <c r="E784" i="10"/>
  <c r="H783" i="10"/>
  <c r="D783" i="10"/>
  <c r="F783" i="10" s="1"/>
  <c r="G783" i="10" s="1"/>
  <c r="V783" i="10" s="1"/>
  <c r="BB785" i="10"/>
  <c r="BC785" i="10" s="1"/>
  <c r="A786" i="10"/>
  <c r="Y785" i="10"/>
  <c r="AS785" i="10"/>
  <c r="B785" i="10"/>
  <c r="T171" i="10"/>
  <c r="AQ171" i="10" s="1"/>
  <c r="AD171" i="10"/>
  <c r="U171" i="10"/>
  <c r="W171" i="10" s="1"/>
  <c r="AP171" i="10" s="1"/>
  <c r="AH170" i="10"/>
  <c r="AO170" i="10"/>
  <c r="AY170" i="10" s="1"/>
  <c r="AU774" i="10"/>
  <c r="AL170" i="10"/>
  <c r="R783" i="10"/>
  <c r="O776" i="10" l="1"/>
  <c r="P776" i="10" s="1"/>
  <c r="J777" i="10" s="1"/>
  <c r="L777" i="10" s="1"/>
  <c r="N777" i="10" s="1"/>
  <c r="AT776" i="10"/>
  <c r="AE776" i="10"/>
  <c r="AF776" i="10"/>
  <c r="AU775" i="10"/>
  <c r="K785" i="10"/>
  <c r="C785" i="10"/>
  <c r="I785" i="10" s="1"/>
  <c r="M785" i="10"/>
  <c r="E785" i="10"/>
  <c r="AN170" i="10"/>
  <c r="AW170" i="10" s="1"/>
  <c r="R784" i="10"/>
  <c r="X171" i="10"/>
  <c r="BB786" i="10"/>
  <c r="BC786" i="10" s="1"/>
  <c r="AS786" i="10"/>
  <c r="A787" i="10"/>
  <c r="Y786" i="10"/>
  <c r="B786" i="10"/>
  <c r="H784" i="10"/>
  <c r="D784" i="10"/>
  <c r="F784" i="10" s="1"/>
  <c r="G784" i="10" s="1"/>
  <c r="V784" i="10" s="1"/>
  <c r="O777" i="10" l="1"/>
  <c r="P777" i="10" s="1"/>
  <c r="J778" i="10" s="1"/>
  <c r="L778" i="10" s="1"/>
  <c r="N778" i="10" s="1"/>
  <c r="AT777" i="10"/>
  <c r="AE777" i="10"/>
  <c r="AF777" i="10"/>
  <c r="R785" i="10"/>
  <c r="K786" i="10"/>
  <c r="C786" i="10"/>
  <c r="I786" i="10" s="1"/>
  <c r="M786" i="10"/>
  <c r="E786" i="10"/>
  <c r="H785" i="10"/>
  <c r="D785" i="10"/>
  <c r="F785" i="10" s="1"/>
  <c r="G785" i="10" s="1"/>
  <c r="V785" i="10" s="1"/>
  <c r="AU776" i="10"/>
  <c r="BB787" i="10"/>
  <c r="BC787" i="10" s="1"/>
  <c r="AS787" i="10"/>
  <c r="A788" i="10"/>
  <c r="Y787" i="10"/>
  <c r="B787" i="10"/>
  <c r="AZ170" i="10"/>
  <c r="BD170" i="10"/>
  <c r="Z171" i="10"/>
  <c r="AR171" i="10" s="1"/>
  <c r="Q172" i="10" l="1"/>
  <c r="S172" i="10" s="1"/>
  <c r="AA171" i="10"/>
  <c r="AJ171" i="10" s="1"/>
  <c r="O778" i="10"/>
  <c r="P778" i="10" s="1"/>
  <c r="J779" i="10" s="1"/>
  <c r="L779" i="10" s="1"/>
  <c r="N779" i="10" s="1"/>
  <c r="AT778" i="10"/>
  <c r="AE778" i="10"/>
  <c r="AF778" i="10"/>
  <c r="R786" i="10"/>
  <c r="H786" i="10"/>
  <c r="D786" i="10"/>
  <c r="F786" i="10" s="1"/>
  <c r="G786" i="10" s="1"/>
  <c r="V786" i="10" s="1"/>
  <c r="AU777" i="10"/>
  <c r="K787" i="10"/>
  <c r="C787" i="10"/>
  <c r="I787" i="10" s="1"/>
  <c r="M787" i="10"/>
  <c r="E787" i="10"/>
  <c r="A789" i="10"/>
  <c r="AS788" i="10"/>
  <c r="Y788" i="10"/>
  <c r="BB788" i="10"/>
  <c r="BC788" i="10" s="1"/>
  <c r="B788" i="10"/>
  <c r="AB172" i="10" l="1"/>
  <c r="AV171" i="10" s="1"/>
  <c r="AK171" i="10"/>
  <c r="AX171" i="10" s="1"/>
  <c r="AG171" i="10"/>
  <c r="AH171" i="10" s="1"/>
  <c r="AI171" i="10"/>
  <c r="AC172" i="10"/>
  <c r="BA171" i="10" s="1"/>
  <c r="AM172" i="10"/>
  <c r="O779" i="10"/>
  <c r="P779" i="10" s="1"/>
  <c r="J780" i="10" s="1"/>
  <c r="L780" i="10" s="1"/>
  <c r="N780" i="10" s="1"/>
  <c r="AE779" i="10"/>
  <c r="AT779" i="10"/>
  <c r="AF779" i="10"/>
  <c r="A790" i="10"/>
  <c r="BB789" i="10"/>
  <c r="BC789" i="10" s="1"/>
  <c r="AS789" i="10"/>
  <c r="Y789" i="10"/>
  <c r="B789" i="10"/>
  <c r="AU778" i="10"/>
  <c r="R787" i="10"/>
  <c r="K788" i="10"/>
  <c r="C788" i="10"/>
  <c r="I788" i="10" s="1"/>
  <c r="M788" i="10"/>
  <c r="E788" i="10"/>
  <c r="H787" i="10"/>
  <c r="D787" i="10"/>
  <c r="F787" i="10" s="1"/>
  <c r="G787" i="10" s="1"/>
  <c r="V787" i="10" s="1"/>
  <c r="T172" i="10"/>
  <c r="AQ172" i="10" s="1"/>
  <c r="AD172" i="10"/>
  <c r="U172" i="10"/>
  <c r="W172" i="10" s="1"/>
  <c r="AP172" i="10" s="1"/>
  <c r="AL171" i="10" l="1"/>
  <c r="AO171" i="10"/>
  <c r="AY171" i="10" s="1"/>
  <c r="AN171" i="10"/>
  <c r="AW171" i="10" s="1"/>
  <c r="AZ171" i="10" s="1"/>
  <c r="O780" i="10"/>
  <c r="P780" i="10" s="1"/>
  <c r="J781" i="10" s="1"/>
  <c r="L781" i="10" s="1"/>
  <c r="N781" i="10" s="1"/>
  <c r="AT780" i="10"/>
  <c r="AE780" i="10"/>
  <c r="AF780" i="10"/>
  <c r="H788" i="10"/>
  <c r="D788" i="10"/>
  <c r="F788" i="10" s="1"/>
  <c r="G788" i="10" s="1"/>
  <c r="V788" i="10" s="1"/>
  <c r="K789" i="10"/>
  <c r="M789" i="10"/>
  <c r="C789" i="10"/>
  <c r="I789" i="10" s="1"/>
  <c r="E789" i="10"/>
  <c r="AU779" i="10"/>
  <c r="X172" i="10"/>
  <c r="R788" i="10"/>
  <c r="BB790" i="10"/>
  <c r="BC790" i="10" s="1"/>
  <c r="AS790" i="10"/>
  <c r="Y790" i="10"/>
  <c r="A791" i="10"/>
  <c r="B790" i="10"/>
  <c r="BD171" i="10" l="1"/>
  <c r="O781" i="10"/>
  <c r="P781" i="10" s="1"/>
  <c r="J782" i="10" s="1"/>
  <c r="L782" i="10" s="1"/>
  <c r="N782" i="10" s="1"/>
  <c r="AE781" i="10"/>
  <c r="AT781" i="10"/>
  <c r="AF781" i="10"/>
  <c r="BB791" i="10"/>
  <c r="BC791" i="10" s="1"/>
  <c r="AS791" i="10"/>
  <c r="Y791" i="10"/>
  <c r="A792" i="10"/>
  <c r="B791" i="10"/>
  <c r="Z172" i="10"/>
  <c r="AR172" i="10" s="1"/>
  <c r="H789" i="10"/>
  <c r="D789" i="10"/>
  <c r="F789" i="10" s="1"/>
  <c r="G789" i="10" s="1"/>
  <c r="V789" i="10" s="1"/>
  <c r="AU780" i="10"/>
  <c r="C790" i="10"/>
  <c r="I790" i="10" s="1"/>
  <c r="K790" i="10"/>
  <c r="M790" i="10"/>
  <c r="E790" i="10"/>
  <c r="R789" i="10"/>
  <c r="O782" i="10" l="1"/>
  <c r="P782" i="10" s="1"/>
  <c r="J783" i="10" s="1"/>
  <c r="L783" i="10" s="1"/>
  <c r="N783" i="10" s="1"/>
  <c r="AT782" i="10"/>
  <c r="AE782" i="10"/>
  <c r="AF782" i="10"/>
  <c r="Q173" i="10"/>
  <c r="AA172" i="10"/>
  <c r="R790" i="10"/>
  <c r="K791" i="10"/>
  <c r="M791" i="10"/>
  <c r="C791" i="10"/>
  <c r="I791" i="10" s="1"/>
  <c r="E791" i="10"/>
  <c r="AU781" i="10"/>
  <c r="Y792" i="10"/>
  <c r="AS792" i="10"/>
  <c r="A793" i="10"/>
  <c r="BB792" i="10"/>
  <c r="BC792" i="10" s="1"/>
  <c r="B792" i="10"/>
  <c r="H790" i="10"/>
  <c r="D790" i="10"/>
  <c r="F790" i="10" s="1"/>
  <c r="G790" i="10" s="1"/>
  <c r="V790" i="10" s="1"/>
  <c r="O783" i="10" l="1"/>
  <c r="P783" i="10" s="1"/>
  <c r="J784" i="10" s="1"/>
  <c r="AE783" i="10"/>
  <c r="AT783" i="10"/>
  <c r="AF783" i="10"/>
  <c r="Y793" i="10"/>
  <c r="BB793" i="10"/>
  <c r="BC793" i="10" s="1"/>
  <c r="AS793" i="10"/>
  <c r="A794" i="10"/>
  <c r="B793" i="10"/>
  <c r="AU782" i="10"/>
  <c r="AJ172" i="10"/>
  <c r="AI172" i="10"/>
  <c r="AG172" i="10"/>
  <c r="AK172" i="10"/>
  <c r="AX172" i="10" s="1"/>
  <c r="C792" i="10"/>
  <c r="I792" i="10" s="1"/>
  <c r="M792" i="10"/>
  <c r="K792" i="10"/>
  <c r="E792" i="10"/>
  <c r="R791" i="10"/>
  <c r="AB173" i="10"/>
  <c r="AV172" i="10" s="1"/>
  <c r="S173" i="10"/>
  <c r="AC173" i="10"/>
  <c r="AM173" i="10"/>
  <c r="H791" i="10"/>
  <c r="D791" i="10"/>
  <c r="F791" i="10" s="1"/>
  <c r="G791" i="10" s="1"/>
  <c r="V791" i="10" s="1"/>
  <c r="K784" i="10" l="1"/>
  <c r="L784" i="10" s="1"/>
  <c r="N784" i="10" s="1"/>
  <c r="AL172" i="10"/>
  <c r="M793" i="10"/>
  <c r="C793" i="10"/>
  <c r="I793" i="10" s="1"/>
  <c r="K793" i="10"/>
  <c r="E793" i="10"/>
  <c r="AU783" i="10"/>
  <c r="AH172" i="10"/>
  <c r="AO172" i="10"/>
  <c r="AY172" i="10" s="1"/>
  <c r="R792" i="10"/>
  <c r="Y794" i="10"/>
  <c r="A795" i="10"/>
  <c r="BB794" i="10"/>
  <c r="BC794" i="10" s="1"/>
  <c r="AS794" i="10"/>
  <c r="B794" i="10"/>
  <c r="BA172" i="10"/>
  <c r="T173" i="10"/>
  <c r="AQ173" i="10" s="1"/>
  <c r="AD173" i="10"/>
  <c r="U173" i="10"/>
  <c r="W173" i="10" s="1"/>
  <c r="AP173" i="10" s="1"/>
  <c r="H792" i="10"/>
  <c r="D792" i="10"/>
  <c r="F792" i="10" s="1"/>
  <c r="G792" i="10" s="1"/>
  <c r="V792" i="10" s="1"/>
  <c r="AE784" i="10" l="1"/>
  <c r="AF784" i="10"/>
  <c r="AT784" i="10"/>
  <c r="O784" i="10"/>
  <c r="P784" i="10" s="1"/>
  <c r="J785" i="10" s="1"/>
  <c r="L785" i="10" s="1"/>
  <c r="N785" i="10" s="1"/>
  <c r="AF785" i="10" s="1"/>
  <c r="AE785" i="10"/>
  <c r="R793" i="10"/>
  <c r="H793" i="10"/>
  <c r="D793" i="10"/>
  <c r="F793" i="10" s="1"/>
  <c r="G793" i="10" s="1"/>
  <c r="V793" i="10" s="1"/>
  <c r="AU784" i="10"/>
  <c r="M794" i="10"/>
  <c r="C794" i="10"/>
  <c r="I794" i="10" s="1"/>
  <c r="K794" i="10"/>
  <c r="E794" i="10"/>
  <c r="X173" i="10"/>
  <c r="AN172" i="10"/>
  <c r="AW172" i="10" s="1"/>
  <c r="A796" i="10"/>
  <c r="Y795" i="10"/>
  <c r="BB795" i="10"/>
  <c r="BC795" i="10" s="1"/>
  <c r="AS795" i="10"/>
  <c r="B795" i="10"/>
  <c r="O785" i="10" l="1"/>
  <c r="P785" i="10" s="1"/>
  <c r="J786" i="10" s="1"/>
  <c r="L786" i="10" s="1"/>
  <c r="N786" i="10" s="1"/>
  <c r="AT785" i="10"/>
  <c r="O786" i="10"/>
  <c r="P786" i="10" s="1"/>
  <c r="J787" i="10" s="1"/>
  <c r="L787" i="10" s="1"/>
  <c r="N787" i="10" s="1"/>
  <c r="AT786" i="10"/>
  <c r="AE786" i="10"/>
  <c r="AF786" i="10"/>
  <c r="M795" i="10"/>
  <c r="C795" i="10"/>
  <c r="I795" i="10" s="1"/>
  <c r="K795" i="10"/>
  <c r="E795" i="10"/>
  <c r="R794" i="10"/>
  <c r="H794" i="10"/>
  <c r="D794" i="10"/>
  <c r="F794" i="10" s="1"/>
  <c r="G794" i="10" s="1"/>
  <c r="V794" i="10" s="1"/>
  <c r="AU785" i="10"/>
  <c r="A797" i="10"/>
  <c r="BB796" i="10"/>
  <c r="BC796" i="10" s="1"/>
  <c r="AS796" i="10"/>
  <c r="Y796" i="10"/>
  <c r="B796" i="10"/>
  <c r="AZ172" i="10"/>
  <c r="BD172" i="10"/>
  <c r="Z173" i="10"/>
  <c r="AR173" i="10" s="1"/>
  <c r="AA173" i="10" l="1"/>
  <c r="AG173" i="10" s="1"/>
  <c r="O787" i="10"/>
  <c r="P787" i="10" s="1"/>
  <c r="J788" i="10" s="1"/>
  <c r="L788" i="10" s="1"/>
  <c r="N788" i="10" s="1"/>
  <c r="AE787" i="10"/>
  <c r="AT787" i="10"/>
  <c r="AF787" i="10"/>
  <c r="AJ173" i="10"/>
  <c r="A798" i="10"/>
  <c r="BB797" i="10"/>
  <c r="BC797" i="10" s="1"/>
  <c r="AS797" i="10"/>
  <c r="Y797" i="10"/>
  <c r="B797" i="10"/>
  <c r="AU786" i="10"/>
  <c r="R795" i="10"/>
  <c r="C796" i="10"/>
  <c r="I796" i="10" s="1"/>
  <c r="K796" i="10"/>
  <c r="M796" i="10"/>
  <c r="E796" i="10"/>
  <c r="H795" i="10"/>
  <c r="D795" i="10"/>
  <c r="F795" i="10" s="1"/>
  <c r="G795" i="10" s="1"/>
  <c r="V795" i="10" s="1"/>
  <c r="Q174" i="10"/>
  <c r="AI173" i="10" l="1"/>
  <c r="AK173" i="10"/>
  <c r="AX173" i="10" s="1"/>
  <c r="O788" i="10"/>
  <c r="P788" i="10" s="1"/>
  <c r="J789" i="10" s="1"/>
  <c r="L789" i="10" s="1"/>
  <c r="N789" i="10" s="1"/>
  <c r="AE788" i="10"/>
  <c r="AT788" i="10"/>
  <c r="AF788" i="10"/>
  <c r="BB798" i="10"/>
  <c r="BC798" i="10" s="1"/>
  <c r="AS798" i="10"/>
  <c r="A799" i="10"/>
  <c r="Y798" i="10"/>
  <c r="B798" i="10"/>
  <c r="AU787" i="10"/>
  <c r="R796" i="10"/>
  <c r="AH173" i="10"/>
  <c r="AO173" i="10"/>
  <c r="AY173" i="10" s="1"/>
  <c r="AB174" i="10"/>
  <c r="AV173" i="10" s="1"/>
  <c r="S174" i="10"/>
  <c r="AM174" i="10"/>
  <c r="AC174" i="10"/>
  <c r="BA173" i="10" s="1"/>
  <c r="H796" i="10"/>
  <c r="D796" i="10"/>
  <c r="F796" i="10" s="1"/>
  <c r="G796" i="10" s="1"/>
  <c r="V796" i="10" s="1"/>
  <c r="K797" i="10"/>
  <c r="M797" i="10"/>
  <c r="C797" i="10"/>
  <c r="I797" i="10" s="1"/>
  <c r="E797" i="10"/>
  <c r="AL173" i="10"/>
  <c r="AN173" i="10" l="1"/>
  <c r="O789" i="10"/>
  <c r="P789" i="10" s="1"/>
  <c r="J790" i="10" s="1"/>
  <c r="L790" i="10" s="1"/>
  <c r="N790" i="10" s="1"/>
  <c r="AT789" i="10"/>
  <c r="AE789" i="10"/>
  <c r="AF789" i="10"/>
  <c r="C798" i="10"/>
  <c r="I798" i="10" s="1"/>
  <c r="M798" i="10"/>
  <c r="K798" i="10"/>
  <c r="E798" i="10"/>
  <c r="AW173" i="10"/>
  <c r="BB799" i="10"/>
  <c r="BC799" i="10" s="1"/>
  <c r="AS799" i="10"/>
  <c r="Y799" i="10"/>
  <c r="A800" i="10"/>
  <c r="B799" i="10"/>
  <c r="AU788" i="10"/>
  <c r="R797" i="10"/>
  <c r="H797" i="10"/>
  <c r="D797" i="10"/>
  <c r="F797" i="10" s="1"/>
  <c r="G797" i="10" s="1"/>
  <c r="V797" i="10" s="1"/>
  <c r="T174" i="10"/>
  <c r="AQ174" i="10" s="1"/>
  <c r="AD174" i="10"/>
  <c r="U174" i="10"/>
  <c r="W174" i="10" s="1"/>
  <c r="AP174" i="10" s="1"/>
  <c r="O790" i="10" l="1"/>
  <c r="P790" i="10" s="1"/>
  <c r="J791" i="10" s="1"/>
  <c r="L791" i="10" s="1"/>
  <c r="N791" i="10" s="1"/>
  <c r="AE790" i="10"/>
  <c r="AT790" i="10"/>
  <c r="AF790" i="10"/>
  <c r="AZ173" i="10"/>
  <c r="BD173" i="10"/>
  <c r="R798" i="10"/>
  <c r="AU789" i="10"/>
  <c r="K799" i="10"/>
  <c r="M799" i="10"/>
  <c r="C799" i="10"/>
  <c r="I799" i="10" s="1"/>
  <c r="E799" i="10"/>
  <c r="Y800" i="10"/>
  <c r="BB800" i="10"/>
  <c r="BC800" i="10" s="1"/>
  <c r="AS800" i="10"/>
  <c r="A801" i="10"/>
  <c r="B800" i="10"/>
  <c r="H798" i="10"/>
  <c r="D798" i="10"/>
  <c r="F798" i="10" s="1"/>
  <c r="G798" i="10" s="1"/>
  <c r="V798" i="10" s="1"/>
  <c r="X174" i="10"/>
  <c r="O791" i="10" l="1"/>
  <c r="P791" i="10" s="1"/>
  <c r="J792" i="10" s="1"/>
  <c r="L792" i="10" s="1"/>
  <c r="N792" i="10" s="1"/>
  <c r="AE791" i="10"/>
  <c r="AT791" i="10"/>
  <c r="AF791" i="10"/>
  <c r="AU790" i="10"/>
  <c r="R799" i="10"/>
  <c r="H799" i="10"/>
  <c r="D799" i="10"/>
  <c r="F799" i="10" s="1"/>
  <c r="G799" i="10" s="1"/>
  <c r="V799" i="10" s="1"/>
  <c r="M800" i="10"/>
  <c r="C800" i="10"/>
  <c r="I800" i="10" s="1"/>
  <c r="K800" i="10"/>
  <c r="E800" i="10"/>
  <c r="Z174" i="10"/>
  <c r="AR174" i="10" s="1"/>
  <c r="Y801" i="10"/>
  <c r="BB801" i="10"/>
  <c r="BC801" i="10" s="1"/>
  <c r="AS801" i="10"/>
  <c r="A802" i="10"/>
  <c r="B801" i="10"/>
  <c r="AA174" i="10" l="1"/>
  <c r="AG174" i="10" s="1"/>
  <c r="O792" i="10"/>
  <c r="P792" i="10" s="1"/>
  <c r="J793" i="10" s="1"/>
  <c r="L793" i="10" s="1"/>
  <c r="N793" i="10" s="1"/>
  <c r="AE792" i="10"/>
  <c r="AT792" i="10"/>
  <c r="AF792" i="10"/>
  <c r="AJ174" i="10"/>
  <c r="M801" i="10"/>
  <c r="K801" i="10"/>
  <c r="C801" i="10"/>
  <c r="I801" i="10" s="1"/>
  <c r="E801" i="10"/>
  <c r="A803" i="10"/>
  <c r="BB802" i="10"/>
  <c r="BC802" i="10" s="1"/>
  <c r="AS802" i="10"/>
  <c r="Y802" i="10"/>
  <c r="B802" i="10"/>
  <c r="R800" i="10"/>
  <c r="AU791" i="10"/>
  <c r="H800" i="10"/>
  <c r="D800" i="10"/>
  <c r="F800" i="10" s="1"/>
  <c r="G800" i="10" s="1"/>
  <c r="V800" i="10" s="1"/>
  <c r="Q175" i="10"/>
  <c r="AI174" i="10" l="1"/>
  <c r="AK174" i="10"/>
  <c r="AX174" i="10" s="1"/>
  <c r="O793" i="10"/>
  <c r="P793" i="10" s="1"/>
  <c r="J794" i="10" s="1"/>
  <c r="L794" i="10" s="1"/>
  <c r="N794" i="10" s="1"/>
  <c r="AE793" i="10"/>
  <c r="AT793" i="10"/>
  <c r="AF793" i="10"/>
  <c r="R801" i="10"/>
  <c r="H801" i="10"/>
  <c r="D801" i="10"/>
  <c r="F801" i="10" s="1"/>
  <c r="G801" i="10" s="1"/>
  <c r="V801" i="10" s="1"/>
  <c r="M802" i="10"/>
  <c r="K802" i="10"/>
  <c r="C802" i="10"/>
  <c r="I802" i="10" s="1"/>
  <c r="E802" i="10"/>
  <c r="AU792" i="10"/>
  <c r="AB175" i="10"/>
  <c r="AV174" i="10" s="1"/>
  <c r="S175" i="10"/>
  <c r="AC175" i="10"/>
  <c r="BA174" i="10" s="1"/>
  <c r="AM175" i="10"/>
  <c r="AH174" i="10"/>
  <c r="AO174" i="10"/>
  <c r="AY174" i="10" s="1"/>
  <c r="A804" i="10"/>
  <c r="AS803" i="10"/>
  <c r="Y803" i="10"/>
  <c r="BB803" i="10"/>
  <c r="BC803" i="10" s="1"/>
  <c r="B803" i="10"/>
  <c r="AL174" i="10" l="1"/>
  <c r="AN174" i="10"/>
  <c r="AW174" i="10" s="1"/>
  <c r="O794" i="10"/>
  <c r="P794" i="10" s="1"/>
  <c r="J795" i="10" s="1"/>
  <c r="L795" i="10" s="1"/>
  <c r="N795" i="10" s="1"/>
  <c r="AT794" i="10"/>
  <c r="AE794" i="10"/>
  <c r="AF794" i="10"/>
  <c r="BB804" i="10"/>
  <c r="BC804" i="10" s="1"/>
  <c r="A805" i="10"/>
  <c r="Y804" i="10"/>
  <c r="AS804" i="10"/>
  <c r="B804" i="10"/>
  <c r="AU793" i="10"/>
  <c r="M803" i="10"/>
  <c r="C803" i="10"/>
  <c r="I803" i="10" s="1"/>
  <c r="K803" i="10"/>
  <c r="E803" i="10"/>
  <c r="T175" i="10"/>
  <c r="AQ175" i="10" s="1"/>
  <c r="AD175" i="10"/>
  <c r="U175" i="10"/>
  <c r="W175" i="10" s="1"/>
  <c r="AP175" i="10" s="1"/>
  <c r="R802" i="10"/>
  <c r="H802" i="10"/>
  <c r="D802" i="10"/>
  <c r="F802" i="10" s="1"/>
  <c r="G802" i="10" s="1"/>
  <c r="V802" i="10" s="1"/>
  <c r="AZ174" i="10" l="1"/>
  <c r="BD174" i="10"/>
  <c r="O795" i="10"/>
  <c r="P795" i="10" s="1"/>
  <c r="J796" i="10" s="1"/>
  <c r="L796" i="10" s="1"/>
  <c r="N796" i="10" s="1"/>
  <c r="AT795" i="10"/>
  <c r="AE795" i="10"/>
  <c r="AF795" i="10"/>
  <c r="R803" i="10"/>
  <c r="AU794" i="10"/>
  <c r="H803" i="10"/>
  <c r="D803" i="10"/>
  <c r="F803" i="10" s="1"/>
  <c r="G803" i="10" s="1"/>
  <c r="V803" i="10" s="1"/>
  <c r="K804" i="10"/>
  <c r="M804" i="10"/>
  <c r="C804" i="10"/>
  <c r="I804" i="10" s="1"/>
  <c r="E804" i="10"/>
  <c r="X175" i="10"/>
  <c r="BB805" i="10"/>
  <c r="BC805" i="10" s="1"/>
  <c r="A806" i="10"/>
  <c r="AS805" i="10"/>
  <c r="Y805" i="10"/>
  <c r="B805" i="10"/>
  <c r="O796" i="10" l="1"/>
  <c r="P796" i="10" s="1"/>
  <c r="J797" i="10" s="1"/>
  <c r="L797" i="10" s="1"/>
  <c r="N797" i="10" s="1"/>
  <c r="AE796" i="10"/>
  <c r="AT796" i="10"/>
  <c r="AF796" i="10"/>
  <c r="M805" i="10"/>
  <c r="K805" i="10"/>
  <c r="C805" i="10"/>
  <c r="I805" i="10" s="1"/>
  <c r="E805" i="10"/>
  <c r="AU795" i="10"/>
  <c r="AS806" i="10"/>
  <c r="Y806" i="10"/>
  <c r="BB806" i="10"/>
  <c r="BC806" i="10" s="1"/>
  <c r="A807" i="10"/>
  <c r="B806" i="10"/>
  <c r="R804" i="10"/>
  <c r="H804" i="10"/>
  <c r="D804" i="10"/>
  <c r="F804" i="10" s="1"/>
  <c r="G804" i="10" s="1"/>
  <c r="V804" i="10" s="1"/>
  <c r="Z175" i="10"/>
  <c r="AR175" i="10" s="1"/>
  <c r="O797" i="10" l="1"/>
  <c r="P797" i="10" s="1"/>
  <c r="J798" i="10" s="1"/>
  <c r="L798" i="10" s="1"/>
  <c r="N798" i="10" s="1"/>
  <c r="AE797" i="10"/>
  <c r="AT797" i="10"/>
  <c r="AF797" i="10"/>
  <c r="AU796" i="10"/>
  <c r="C806" i="10"/>
  <c r="I806" i="10" s="1"/>
  <c r="M806" i="10"/>
  <c r="K806" i="10"/>
  <c r="E806" i="10"/>
  <c r="R805" i="10"/>
  <c r="Q176" i="10"/>
  <c r="AS807" i="10"/>
  <c r="Y807" i="10"/>
  <c r="A808" i="10"/>
  <c r="BB807" i="10"/>
  <c r="BC807" i="10" s="1"/>
  <c r="B807" i="10"/>
  <c r="H805" i="10"/>
  <c r="D805" i="10"/>
  <c r="F805" i="10" s="1"/>
  <c r="G805" i="10" s="1"/>
  <c r="V805" i="10" s="1"/>
  <c r="AA175" i="10"/>
  <c r="O798" i="10" l="1"/>
  <c r="P798" i="10" s="1"/>
  <c r="J799" i="10" s="1"/>
  <c r="L799" i="10" s="1"/>
  <c r="N799" i="10" s="1"/>
  <c r="AT798" i="10"/>
  <c r="AE798" i="10"/>
  <c r="AF798" i="10"/>
  <c r="R806" i="10"/>
  <c r="A809" i="10"/>
  <c r="AS808" i="10"/>
  <c r="Y808" i="10"/>
  <c r="BB808" i="10"/>
  <c r="BC808" i="10" s="1"/>
  <c r="B808" i="10"/>
  <c r="H806" i="10"/>
  <c r="D806" i="10"/>
  <c r="F806" i="10" s="1"/>
  <c r="G806" i="10" s="1"/>
  <c r="V806" i="10" s="1"/>
  <c r="AU797" i="10"/>
  <c r="AJ175" i="10"/>
  <c r="AL175" i="10" s="1"/>
  <c r="AI175" i="10"/>
  <c r="AG175" i="10"/>
  <c r="AK175" i="10"/>
  <c r="AX175" i="10" s="1"/>
  <c r="AB176" i="10"/>
  <c r="AV175" i="10" s="1"/>
  <c r="S176" i="10"/>
  <c r="AM176" i="10"/>
  <c r="AC176" i="10"/>
  <c r="M807" i="10"/>
  <c r="C807" i="10"/>
  <c r="I807" i="10" s="1"/>
  <c r="K807" i="10"/>
  <c r="E807" i="10"/>
  <c r="O799" i="10" l="1"/>
  <c r="P799" i="10" s="1"/>
  <c r="J800" i="10" s="1"/>
  <c r="L800" i="10" s="1"/>
  <c r="N800" i="10" s="1"/>
  <c r="AE799" i="10"/>
  <c r="AT799" i="10"/>
  <c r="AF799" i="10"/>
  <c r="BA175" i="10"/>
  <c r="R807" i="10"/>
  <c r="T176" i="10"/>
  <c r="AQ176" i="10" s="1"/>
  <c r="AD176" i="10"/>
  <c r="U176" i="10"/>
  <c r="W176" i="10" s="1"/>
  <c r="AP176" i="10" s="1"/>
  <c r="A810" i="10"/>
  <c r="AS809" i="10"/>
  <c r="Y809" i="10"/>
  <c r="BB809" i="10"/>
  <c r="BC809" i="10" s="1"/>
  <c r="B809" i="10"/>
  <c r="AH175" i="10"/>
  <c r="AN175" i="10" s="1"/>
  <c r="AW175" i="10" s="1"/>
  <c r="AO175" i="10"/>
  <c r="AY175" i="10" s="1"/>
  <c r="M808" i="10"/>
  <c r="C808" i="10"/>
  <c r="I808" i="10" s="1"/>
  <c r="K808" i="10"/>
  <c r="E808" i="10"/>
  <c r="AU798" i="10"/>
  <c r="H807" i="10"/>
  <c r="D807" i="10"/>
  <c r="F807" i="10" s="1"/>
  <c r="G807" i="10" s="1"/>
  <c r="V807" i="10" s="1"/>
  <c r="O800" i="10" l="1"/>
  <c r="P800" i="10" s="1"/>
  <c r="J801" i="10" s="1"/>
  <c r="L801" i="10" s="1"/>
  <c r="N801" i="10" s="1"/>
  <c r="AE800" i="10"/>
  <c r="AT800" i="10"/>
  <c r="AF800" i="10"/>
  <c r="AZ175" i="10"/>
  <c r="BD175" i="10"/>
  <c r="K809" i="10"/>
  <c r="M809" i="10"/>
  <c r="C809" i="10"/>
  <c r="I809" i="10" s="1"/>
  <c r="E809" i="10"/>
  <c r="AU799" i="10"/>
  <c r="X176" i="10"/>
  <c r="R808" i="10"/>
  <c r="H808" i="10"/>
  <c r="D808" i="10"/>
  <c r="F808" i="10" s="1"/>
  <c r="G808" i="10" s="1"/>
  <c r="V808" i="10" s="1"/>
  <c r="Y810" i="10"/>
  <c r="A811" i="10"/>
  <c r="BB810" i="10"/>
  <c r="BC810" i="10" s="1"/>
  <c r="AS810" i="10"/>
  <c r="B810" i="10"/>
  <c r="O801" i="10" l="1"/>
  <c r="P801" i="10" s="1"/>
  <c r="J802" i="10" s="1"/>
  <c r="L802" i="10" s="1"/>
  <c r="N802" i="10" s="1"/>
  <c r="AE801" i="10"/>
  <c r="AT801" i="10"/>
  <c r="AF801" i="10"/>
  <c r="K810" i="10"/>
  <c r="C810" i="10"/>
  <c r="I810" i="10" s="1"/>
  <c r="M810" i="10"/>
  <c r="E810" i="10"/>
  <c r="R809" i="10"/>
  <c r="AU800" i="10"/>
  <c r="H809" i="10"/>
  <c r="D809" i="10"/>
  <c r="F809" i="10" s="1"/>
  <c r="G809" i="10" s="1"/>
  <c r="V809" i="10" s="1"/>
  <c r="A812" i="10"/>
  <c r="BB811" i="10"/>
  <c r="BC811" i="10" s="1"/>
  <c r="AS811" i="10"/>
  <c r="Y811" i="10"/>
  <c r="B811" i="10"/>
  <c r="Z176" i="10"/>
  <c r="AR176" i="10" s="1"/>
  <c r="O802" i="10" l="1"/>
  <c r="P802" i="10" s="1"/>
  <c r="J803" i="10" s="1"/>
  <c r="L803" i="10" s="1"/>
  <c r="N803" i="10" s="1"/>
  <c r="AE802" i="10"/>
  <c r="AT802" i="10"/>
  <c r="AF802" i="10"/>
  <c r="Q177" i="10"/>
  <c r="A813" i="10"/>
  <c r="AS812" i="10"/>
  <c r="Y812" i="10"/>
  <c r="BB812" i="10"/>
  <c r="BC812" i="10" s="1"/>
  <c r="B812" i="10"/>
  <c r="AA176" i="10"/>
  <c r="R810" i="10"/>
  <c r="AU801" i="10"/>
  <c r="H810" i="10"/>
  <c r="D810" i="10"/>
  <c r="F810" i="10" s="1"/>
  <c r="G810" i="10" s="1"/>
  <c r="V810" i="10" s="1"/>
  <c r="M811" i="10"/>
  <c r="C811" i="10"/>
  <c r="I811" i="10" s="1"/>
  <c r="K811" i="10"/>
  <c r="E811" i="10"/>
  <c r="O803" i="10" l="1"/>
  <c r="P803" i="10" s="1"/>
  <c r="J804" i="10" s="1"/>
  <c r="L804" i="10" s="1"/>
  <c r="N804" i="10" s="1"/>
  <c r="AE803" i="10"/>
  <c r="AT803" i="10"/>
  <c r="AF803" i="10"/>
  <c r="M812" i="10"/>
  <c r="C812" i="10"/>
  <c r="I812" i="10" s="1"/>
  <c r="K812" i="10"/>
  <c r="E812" i="10"/>
  <c r="R811" i="10"/>
  <c r="AU802" i="10"/>
  <c r="H811" i="10"/>
  <c r="D811" i="10"/>
  <c r="F811" i="10" s="1"/>
  <c r="G811" i="10" s="1"/>
  <c r="V811" i="10" s="1"/>
  <c r="A814" i="10"/>
  <c r="AS813" i="10"/>
  <c r="Y813" i="10"/>
  <c r="BB813" i="10"/>
  <c r="BC813" i="10" s="1"/>
  <c r="B813" i="10"/>
  <c r="AB177" i="10"/>
  <c r="AV176" i="10" s="1"/>
  <c r="S177" i="10"/>
  <c r="AC177" i="10"/>
  <c r="AM177" i="10"/>
  <c r="AJ176" i="10"/>
  <c r="AI176" i="10"/>
  <c r="AG176" i="10"/>
  <c r="AK176" i="10"/>
  <c r="AX176" i="10" s="1"/>
  <c r="BA176" i="10" l="1"/>
  <c r="O804" i="10"/>
  <c r="P804" i="10" s="1"/>
  <c r="J805" i="10" s="1"/>
  <c r="L805" i="10" s="1"/>
  <c r="N805" i="10" s="1"/>
  <c r="AE804" i="10"/>
  <c r="AT804" i="10"/>
  <c r="AF804" i="10"/>
  <c r="BB814" i="10"/>
  <c r="BC814" i="10" s="1"/>
  <c r="Y814" i="10"/>
  <c r="A815" i="10"/>
  <c r="AS814" i="10"/>
  <c r="B814" i="10"/>
  <c r="T177" i="10"/>
  <c r="AQ177" i="10" s="1"/>
  <c r="AD177" i="10"/>
  <c r="U177" i="10"/>
  <c r="W177" i="10" s="1"/>
  <c r="AP177" i="10" s="1"/>
  <c r="AU803" i="10"/>
  <c r="AH176" i="10"/>
  <c r="AO176" i="10"/>
  <c r="AY176" i="10" s="1"/>
  <c r="R812" i="10"/>
  <c r="K813" i="10"/>
  <c r="M813" i="10"/>
  <c r="C813" i="10"/>
  <c r="I813" i="10" s="1"/>
  <c r="E813" i="10"/>
  <c r="AL176" i="10"/>
  <c r="H812" i="10"/>
  <c r="D812" i="10"/>
  <c r="F812" i="10" s="1"/>
  <c r="G812" i="10" s="1"/>
  <c r="V812" i="10" s="1"/>
  <c r="X177" i="10" l="1"/>
  <c r="O805" i="10"/>
  <c r="P805" i="10" s="1"/>
  <c r="J806" i="10" s="1"/>
  <c r="L806" i="10" s="1"/>
  <c r="N806" i="10" s="1"/>
  <c r="AE805" i="10"/>
  <c r="AT805" i="10"/>
  <c r="AF805" i="10"/>
  <c r="Z177" i="10"/>
  <c r="AR177" i="10" s="1"/>
  <c r="R813" i="10"/>
  <c r="AN176" i="10"/>
  <c r="AW176" i="10" s="1"/>
  <c r="H813" i="10"/>
  <c r="D813" i="10"/>
  <c r="F813" i="10" s="1"/>
  <c r="G813" i="10" s="1"/>
  <c r="V813" i="10" s="1"/>
  <c r="K814" i="10"/>
  <c r="M814" i="10"/>
  <c r="C814" i="10"/>
  <c r="I814" i="10" s="1"/>
  <c r="E814" i="10"/>
  <c r="AU804" i="10"/>
  <c r="A816" i="10"/>
  <c r="AS815" i="10"/>
  <c r="Y815" i="10"/>
  <c r="BB815" i="10"/>
  <c r="BC815" i="10" s="1"/>
  <c r="B815" i="10"/>
  <c r="O806" i="10" l="1"/>
  <c r="P806" i="10" s="1"/>
  <c r="J807" i="10" s="1"/>
  <c r="L807" i="10" s="1"/>
  <c r="N807" i="10" s="1"/>
  <c r="AT806" i="10"/>
  <c r="AE806" i="10"/>
  <c r="AF806" i="10"/>
  <c r="AZ176" i="10"/>
  <c r="BD176" i="10"/>
  <c r="M815" i="10"/>
  <c r="C815" i="10"/>
  <c r="I815" i="10" s="1"/>
  <c r="K815" i="10"/>
  <c r="E815" i="10"/>
  <c r="R814" i="10"/>
  <c r="AU805" i="10"/>
  <c r="H814" i="10"/>
  <c r="D814" i="10"/>
  <c r="F814" i="10" s="1"/>
  <c r="G814" i="10" s="1"/>
  <c r="V814" i="10" s="1"/>
  <c r="A817" i="10"/>
  <c r="AS816" i="10"/>
  <c r="Y816" i="10"/>
  <c r="BB816" i="10"/>
  <c r="BC816" i="10" s="1"/>
  <c r="B816" i="10"/>
  <c r="Q178" i="10"/>
  <c r="AA177" i="10"/>
  <c r="O807" i="10" l="1"/>
  <c r="P807" i="10" s="1"/>
  <c r="J808" i="10" s="1"/>
  <c r="L808" i="10" s="1"/>
  <c r="N808" i="10" s="1"/>
  <c r="AE807" i="10"/>
  <c r="AT807" i="10"/>
  <c r="AF807" i="10"/>
  <c r="AB178" i="10"/>
  <c r="AV177" i="10" s="1"/>
  <c r="S178" i="10"/>
  <c r="AM178" i="10"/>
  <c r="AC178" i="10"/>
  <c r="M816" i="10"/>
  <c r="C816" i="10"/>
  <c r="I816" i="10" s="1"/>
  <c r="K816" i="10"/>
  <c r="E816" i="10"/>
  <c r="R815" i="10"/>
  <c r="AU806" i="10"/>
  <c r="H815" i="10"/>
  <c r="D815" i="10"/>
  <c r="F815" i="10" s="1"/>
  <c r="G815" i="10" s="1"/>
  <c r="V815" i="10" s="1"/>
  <c r="AJ177" i="10"/>
  <c r="AI177" i="10"/>
  <c r="AG177" i="10"/>
  <c r="AK177" i="10"/>
  <c r="AX177" i="10" s="1"/>
  <c r="A818" i="10"/>
  <c r="AS817" i="10"/>
  <c r="Y817" i="10"/>
  <c r="BB817" i="10"/>
  <c r="BC817" i="10" s="1"/>
  <c r="B817" i="10"/>
  <c r="O808" i="10" l="1"/>
  <c r="P808" i="10" s="1"/>
  <c r="J809" i="10" s="1"/>
  <c r="L809" i="10" s="1"/>
  <c r="N809" i="10" s="1"/>
  <c r="AT808" i="10"/>
  <c r="AE808" i="10"/>
  <c r="AF808" i="10"/>
  <c r="Y818" i="10"/>
  <c r="A819" i="10"/>
  <c r="BB818" i="10"/>
  <c r="BC818" i="10" s="1"/>
  <c r="AS818" i="10"/>
  <c r="B818" i="10"/>
  <c r="H816" i="10"/>
  <c r="D816" i="10"/>
  <c r="F816" i="10" s="1"/>
  <c r="G816" i="10" s="1"/>
  <c r="V816" i="10" s="1"/>
  <c r="AH177" i="10"/>
  <c r="AO177" i="10"/>
  <c r="AY177" i="10" s="1"/>
  <c r="AU807" i="10"/>
  <c r="K817" i="10"/>
  <c r="M817" i="10"/>
  <c r="C817" i="10"/>
  <c r="I817" i="10" s="1"/>
  <c r="E817" i="10"/>
  <c r="BA177" i="10"/>
  <c r="AL177" i="10"/>
  <c r="T178" i="10"/>
  <c r="AQ178" i="10" s="1"/>
  <c r="AD178" i="10"/>
  <c r="U178" i="10"/>
  <c r="W178" i="10" s="1"/>
  <c r="AP178" i="10" s="1"/>
  <c r="R816" i="10"/>
  <c r="O809" i="10" l="1"/>
  <c r="P809" i="10" s="1"/>
  <c r="J810" i="10" s="1"/>
  <c r="L810" i="10" s="1"/>
  <c r="N810" i="10" s="1"/>
  <c r="AT809" i="10"/>
  <c r="AE809" i="10"/>
  <c r="AF809" i="10"/>
  <c r="AU808" i="10"/>
  <c r="K818" i="10"/>
  <c r="M818" i="10"/>
  <c r="C818" i="10"/>
  <c r="I818" i="10" s="1"/>
  <c r="E818" i="10"/>
  <c r="AN177" i="10"/>
  <c r="AW177" i="10" s="1"/>
  <c r="X178" i="10"/>
  <c r="R817" i="10"/>
  <c r="A820" i="10"/>
  <c r="AS819" i="10"/>
  <c r="Y819" i="10"/>
  <c r="BB819" i="10"/>
  <c r="BC819" i="10" s="1"/>
  <c r="B819" i="10"/>
  <c r="H817" i="10"/>
  <c r="D817" i="10"/>
  <c r="F817" i="10" s="1"/>
  <c r="G817" i="10" s="1"/>
  <c r="V817" i="10" s="1"/>
  <c r="O810" i="10" l="1"/>
  <c r="P810" i="10" s="1"/>
  <c r="J811" i="10" s="1"/>
  <c r="L811" i="10" s="1"/>
  <c r="N811" i="10" s="1"/>
  <c r="AE810" i="10"/>
  <c r="AT810" i="10"/>
  <c r="AF810" i="10"/>
  <c r="AU809" i="10"/>
  <c r="M819" i="10"/>
  <c r="C819" i="10"/>
  <c r="I819" i="10" s="1"/>
  <c r="K819" i="10"/>
  <c r="E819" i="10"/>
  <c r="Z178" i="10"/>
  <c r="AR178" i="10" s="1"/>
  <c r="AZ177" i="10"/>
  <c r="BD177" i="10"/>
  <c r="R818" i="10"/>
  <c r="A821" i="10"/>
  <c r="AS820" i="10"/>
  <c r="Y820" i="10"/>
  <c r="BB820" i="10"/>
  <c r="BC820" i="10" s="1"/>
  <c r="B820" i="10"/>
  <c r="H818" i="10"/>
  <c r="D818" i="10"/>
  <c r="F818" i="10" s="1"/>
  <c r="G818" i="10" s="1"/>
  <c r="V818" i="10" s="1"/>
  <c r="O811" i="10" l="1"/>
  <c r="P811" i="10" s="1"/>
  <c r="J812" i="10" s="1"/>
  <c r="L812" i="10" s="1"/>
  <c r="N812" i="10" s="1"/>
  <c r="AT811" i="10"/>
  <c r="AE811" i="10"/>
  <c r="AF811" i="10"/>
  <c r="M820" i="10"/>
  <c r="C820" i="10"/>
  <c r="I820" i="10" s="1"/>
  <c r="K820" i="10"/>
  <c r="E820" i="10"/>
  <c r="H819" i="10"/>
  <c r="D819" i="10"/>
  <c r="F819" i="10" s="1"/>
  <c r="G819" i="10" s="1"/>
  <c r="V819" i="10" s="1"/>
  <c r="A822" i="10"/>
  <c r="Y821" i="10"/>
  <c r="BB821" i="10"/>
  <c r="BC821" i="10" s="1"/>
  <c r="AS821" i="10"/>
  <c r="B821" i="10"/>
  <c r="AU810" i="10"/>
  <c r="Q179" i="10"/>
  <c r="AA178" i="10"/>
  <c r="R819" i="10"/>
  <c r="O812" i="10" l="1"/>
  <c r="P812" i="10" s="1"/>
  <c r="J813" i="10" s="1"/>
  <c r="L813" i="10" s="1"/>
  <c r="N813" i="10" s="1"/>
  <c r="AT812" i="10"/>
  <c r="AE812" i="10"/>
  <c r="AF812" i="10"/>
  <c r="AJ178" i="10"/>
  <c r="AI178" i="10"/>
  <c r="AG178" i="10"/>
  <c r="AK178" i="10"/>
  <c r="AX178" i="10" s="1"/>
  <c r="K821" i="10"/>
  <c r="C821" i="10"/>
  <c r="I821" i="10" s="1"/>
  <c r="M821" i="10"/>
  <c r="E821" i="10"/>
  <c r="AU811" i="10"/>
  <c r="R820" i="10"/>
  <c r="AB179" i="10"/>
  <c r="AV178" i="10" s="1"/>
  <c r="S179" i="10"/>
  <c r="AC179" i="10"/>
  <c r="AM179" i="10"/>
  <c r="A823" i="10"/>
  <c r="Y822" i="10"/>
  <c r="BB822" i="10"/>
  <c r="BC822" i="10" s="1"/>
  <c r="AS822" i="10"/>
  <c r="B822" i="10"/>
  <c r="H820" i="10"/>
  <c r="D820" i="10"/>
  <c r="F820" i="10" s="1"/>
  <c r="G820" i="10" s="1"/>
  <c r="V820" i="10" s="1"/>
  <c r="BA178" i="10" l="1"/>
  <c r="O813" i="10"/>
  <c r="P813" i="10" s="1"/>
  <c r="J814" i="10" s="1"/>
  <c r="L814" i="10" s="1"/>
  <c r="N814" i="10" s="1"/>
  <c r="AE813" i="10"/>
  <c r="AT813" i="10"/>
  <c r="AF813" i="10"/>
  <c r="H821" i="10"/>
  <c r="D821" i="10"/>
  <c r="F821" i="10" s="1"/>
  <c r="G821" i="10" s="1"/>
  <c r="V821" i="10" s="1"/>
  <c r="A824" i="10"/>
  <c r="Y823" i="10"/>
  <c r="BB823" i="10"/>
  <c r="BC823" i="10" s="1"/>
  <c r="AS823" i="10"/>
  <c r="B823" i="10"/>
  <c r="AU812" i="10"/>
  <c r="AH178" i="10"/>
  <c r="AO178" i="10"/>
  <c r="AY178" i="10" s="1"/>
  <c r="T179" i="10"/>
  <c r="AQ179" i="10" s="1"/>
  <c r="AD179" i="10"/>
  <c r="U179" i="10"/>
  <c r="W179" i="10" s="1"/>
  <c r="AP179" i="10" s="1"/>
  <c r="AL178" i="10"/>
  <c r="C822" i="10"/>
  <c r="I822" i="10" s="1"/>
  <c r="M822" i="10"/>
  <c r="K822" i="10"/>
  <c r="E822" i="10"/>
  <c r="R821" i="10"/>
  <c r="AN178" i="10" l="1"/>
  <c r="AW178" i="10" s="1"/>
  <c r="O814" i="10"/>
  <c r="P814" i="10" s="1"/>
  <c r="J815" i="10" s="1"/>
  <c r="L815" i="10" s="1"/>
  <c r="N815" i="10" s="1"/>
  <c r="AE814" i="10"/>
  <c r="AT814" i="10"/>
  <c r="AF814" i="10"/>
  <c r="K823" i="10"/>
  <c r="M823" i="10"/>
  <c r="C823" i="10"/>
  <c r="I823" i="10" s="1"/>
  <c r="E823" i="10"/>
  <c r="R822" i="10"/>
  <c r="H822" i="10"/>
  <c r="D822" i="10"/>
  <c r="F822" i="10" s="1"/>
  <c r="G822" i="10" s="1"/>
  <c r="V822" i="10" s="1"/>
  <c r="AZ178" i="10"/>
  <c r="BD178" i="10"/>
  <c r="A825" i="10"/>
  <c r="Y824" i="10"/>
  <c r="BB824" i="10"/>
  <c r="BC824" i="10" s="1"/>
  <c r="AS824" i="10"/>
  <c r="B824" i="10"/>
  <c r="AU813" i="10"/>
  <c r="X179" i="10"/>
  <c r="O815" i="10" l="1"/>
  <c r="P815" i="10" s="1"/>
  <c r="J816" i="10" s="1"/>
  <c r="L816" i="10" s="1"/>
  <c r="N816" i="10" s="1"/>
  <c r="AE815" i="10"/>
  <c r="AT815" i="10"/>
  <c r="AF815" i="10"/>
  <c r="Z179" i="10"/>
  <c r="AR179" i="10" s="1"/>
  <c r="A826" i="10"/>
  <c r="Y825" i="10"/>
  <c r="BB825" i="10"/>
  <c r="BC825" i="10" s="1"/>
  <c r="AS825" i="10"/>
  <c r="B825" i="10"/>
  <c r="AU814" i="10"/>
  <c r="R823" i="10"/>
  <c r="C824" i="10"/>
  <c r="I824" i="10" s="1"/>
  <c r="M824" i="10"/>
  <c r="K824" i="10"/>
  <c r="E824" i="10"/>
  <c r="H823" i="10"/>
  <c r="D823" i="10"/>
  <c r="F823" i="10" s="1"/>
  <c r="G823" i="10" s="1"/>
  <c r="V823" i="10" s="1"/>
  <c r="AA179" i="10" l="1"/>
  <c r="AG179" i="10" s="1"/>
  <c r="O816" i="10"/>
  <c r="P816" i="10" s="1"/>
  <c r="J817" i="10" s="1"/>
  <c r="L817" i="10" s="1"/>
  <c r="N817" i="10" s="1"/>
  <c r="AT816" i="10"/>
  <c r="AE816" i="10"/>
  <c r="AF816" i="10"/>
  <c r="AJ179" i="10"/>
  <c r="A827" i="10"/>
  <c r="Y826" i="10"/>
  <c r="BB826" i="10"/>
  <c r="BC826" i="10" s="1"/>
  <c r="AS826" i="10"/>
  <c r="B826" i="10"/>
  <c r="R824" i="10"/>
  <c r="AU815" i="10"/>
  <c r="H824" i="10"/>
  <c r="D824" i="10"/>
  <c r="F824" i="10" s="1"/>
  <c r="G824" i="10" s="1"/>
  <c r="V824" i="10" s="1"/>
  <c r="K825" i="10"/>
  <c r="M825" i="10"/>
  <c r="C825" i="10"/>
  <c r="I825" i="10" s="1"/>
  <c r="E825" i="10"/>
  <c r="Q180" i="10"/>
  <c r="AI179" i="10" l="1"/>
  <c r="AK179" i="10"/>
  <c r="AX179" i="10" s="1"/>
  <c r="AL179" i="10"/>
  <c r="O817" i="10"/>
  <c r="P817" i="10" s="1"/>
  <c r="J818" i="10" s="1"/>
  <c r="L818" i="10" s="1"/>
  <c r="N818" i="10" s="1"/>
  <c r="AT817" i="10"/>
  <c r="AE817" i="10"/>
  <c r="AF817" i="10"/>
  <c r="R825" i="10"/>
  <c r="H825" i="10"/>
  <c r="D825" i="10"/>
  <c r="F825" i="10" s="1"/>
  <c r="G825" i="10" s="1"/>
  <c r="V825" i="10" s="1"/>
  <c r="A828" i="10"/>
  <c r="Y827" i="10"/>
  <c r="BB827" i="10"/>
  <c r="BC827" i="10" s="1"/>
  <c r="AS827" i="10"/>
  <c r="B827" i="10"/>
  <c r="AU816" i="10"/>
  <c r="AB180" i="10"/>
  <c r="AV179" i="10" s="1"/>
  <c r="S180" i="10"/>
  <c r="AM180" i="10"/>
  <c r="AC180" i="10"/>
  <c r="BA179" i="10" s="1"/>
  <c r="C826" i="10"/>
  <c r="I826" i="10" s="1"/>
  <c r="M826" i="10"/>
  <c r="K826" i="10"/>
  <c r="E826" i="10"/>
  <c r="AH179" i="10"/>
  <c r="AO179" i="10"/>
  <c r="AY179" i="10" s="1"/>
  <c r="AN179" i="10" l="1"/>
  <c r="AW179" i="10" s="1"/>
  <c r="AZ179" i="10" s="1"/>
  <c r="O818" i="10"/>
  <c r="P818" i="10" s="1"/>
  <c r="J819" i="10" s="1"/>
  <c r="L819" i="10" s="1"/>
  <c r="N819" i="10" s="1"/>
  <c r="AT818" i="10"/>
  <c r="AE818" i="10"/>
  <c r="AF818" i="10"/>
  <c r="R826" i="10"/>
  <c r="A829" i="10"/>
  <c r="Y828" i="10"/>
  <c r="BB828" i="10"/>
  <c r="BC828" i="10" s="1"/>
  <c r="AS828" i="10"/>
  <c r="B828" i="10"/>
  <c r="H826" i="10"/>
  <c r="D826" i="10"/>
  <c r="F826" i="10" s="1"/>
  <c r="G826" i="10" s="1"/>
  <c r="V826" i="10" s="1"/>
  <c r="AU817" i="10"/>
  <c r="K827" i="10"/>
  <c r="M827" i="10"/>
  <c r="C827" i="10"/>
  <c r="I827" i="10" s="1"/>
  <c r="E827" i="10"/>
  <c r="T180" i="10"/>
  <c r="AQ180" i="10" s="1"/>
  <c r="AD180" i="10"/>
  <c r="U180" i="10"/>
  <c r="W180" i="10" s="1"/>
  <c r="AP180" i="10" s="1"/>
  <c r="BD179" i="10" l="1"/>
  <c r="O819" i="10"/>
  <c r="P819" i="10" s="1"/>
  <c r="J820" i="10" s="1"/>
  <c r="L820" i="10" s="1"/>
  <c r="N820" i="10" s="1"/>
  <c r="AE819" i="10"/>
  <c r="AT819" i="10"/>
  <c r="AF819" i="10"/>
  <c r="X180" i="10"/>
  <c r="AU818" i="10"/>
  <c r="A830" i="10"/>
  <c r="Y829" i="10"/>
  <c r="BB829" i="10"/>
  <c r="BC829" i="10" s="1"/>
  <c r="AS829" i="10"/>
  <c r="B829" i="10"/>
  <c r="R827" i="10"/>
  <c r="H827" i="10"/>
  <c r="D827" i="10"/>
  <c r="F827" i="10" s="1"/>
  <c r="G827" i="10" s="1"/>
  <c r="V827" i="10" s="1"/>
  <c r="C828" i="10"/>
  <c r="I828" i="10" s="1"/>
  <c r="M828" i="10"/>
  <c r="K828" i="10"/>
  <c r="E828" i="10"/>
  <c r="O820" i="10" l="1"/>
  <c r="P820" i="10" s="1"/>
  <c r="J821" i="10" s="1"/>
  <c r="L821" i="10" s="1"/>
  <c r="N821" i="10" s="1"/>
  <c r="AT820" i="10"/>
  <c r="AE820" i="10"/>
  <c r="AF820" i="10"/>
  <c r="R828" i="10"/>
  <c r="A831" i="10"/>
  <c r="Y830" i="10"/>
  <c r="BB830" i="10"/>
  <c r="BC830" i="10" s="1"/>
  <c r="AS830" i="10"/>
  <c r="B830" i="10"/>
  <c r="AU819" i="10"/>
  <c r="H828" i="10"/>
  <c r="D828" i="10"/>
  <c r="F828" i="10" s="1"/>
  <c r="G828" i="10" s="1"/>
  <c r="V828" i="10" s="1"/>
  <c r="K829" i="10"/>
  <c r="M829" i="10"/>
  <c r="C829" i="10"/>
  <c r="I829" i="10" s="1"/>
  <c r="E829" i="10"/>
  <c r="Z180" i="10"/>
  <c r="AR180" i="10" s="1"/>
  <c r="O821" i="10" l="1"/>
  <c r="P821" i="10" s="1"/>
  <c r="J822" i="10" s="1"/>
  <c r="L822" i="10" s="1"/>
  <c r="N822" i="10" s="1"/>
  <c r="AT821" i="10"/>
  <c r="AE821" i="10"/>
  <c r="AF821" i="10"/>
  <c r="Q181" i="10"/>
  <c r="R829" i="10"/>
  <c r="AA180" i="10"/>
  <c r="AU820" i="10"/>
  <c r="A832" i="10"/>
  <c r="Y831" i="10"/>
  <c r="BB831" i="10"/>
  <c r="BC831" i="10" s="1"/>
  <c r="AS831" i="10"/>
  <c r="B831" i="10"/>
  <c r="C830" i="10"/>
  <c r="I830" i="10" s="1"/>
  <c r="M830" i="10"/>
  <c r="K830" i="10"/>
  <c r="E830" i="10"/>
  <c r="H829" i="10"/>
  <c r="D829" i="10"/>
  <c r="F829" i="10" s="1"/>
  <c r="G829" i="10" s="1"/>
  <c r="V829" i="10" s="1"/>
  <c r="O822" i="10" l="1"/>
  <c r="P822" i="10" s="1"/>
  <c r="J823" i="10" s="1"/>
  <c r="L823" i="10" s="1"/>
  <c r="N823" i="10" s="1"/>
  <c r="AE822" i="10"/>
  <c r="AT822" i="10"/>
  <c r="AF822" i="10"/>
  <c r="K831" i="10"/>
  <c r="M831" i="10"/>
  <c r="C831" i="10"/>
  <c r="I831" i="10" s="1"/>
  <c r="E831" i="10"/>
  <c r="AU821" i="10"/>
  <c r="AJ180" i="10"/>
  <c r="AI180" i="10"/>
  <c r="AG180" i="10"/>
  <c r="AK180" i="10"/>
  <c r="AX180" i="10" s="1"/>
  <c r="R830" i="10"/>
  <c r="A833" i="10"/>
  <c r="Y832" i="10"/>
  <c r="BB832" i="10"/>
  <c r="BC832" i="10" s="1"/>
  <c r="AS832" i="10"/>
  <c r="B832" i="10"/>
  <c r="H830" i="10"/>
  <c r="D830" i="10"/>
  <c r="F830" i="10" s="1"/>
  <c r="G830" i="10" s="1"/>
  <c r="V830" i="10" s="1"/>
  <c r="AB181" i="10"/>
  <c r="AV180" i="10" s="1"/>
  <c r="S181" i="10"/>
  <c r="AC181" i="10"/>
  <c r="AM181" i="10"/>
  <c r="AL180" i="10" l="1"/>
  <c r="O823" i="10"/>
  <c r="P823" i="10" s="1"/>
  <c r="J824" i="10" s="1"/>
  <c r="L824" i="10" s="1"/>
  <c r="N824" i="10" s="1"/>
  <c r="AE823" i="10"/>
  <c r="AT823" i="10"/>
  <c r="AF823" i="10"/>
  <c r="C832" i="10"/>
  <c r="I832" i="10" s="1"/>
  <c r="M832" i="10"/>
  <c r="K832" i="10"/>
  <c r="E832" i="10"/>
  <c r="R831" i="10"/>
  <c r="AU822" i="10"/>
  <c r="BA180" i="10"/>
  <c r="H831" i="10"/>
  <c r="D831" i="10"/>
  <c r="F831" i="10" s="1"/>
  <c r="G831" i="10" s="1"/>
  <c r="V831" i="10" s="1"/>
  <c r="T181" i="10"/>
  <c r="AQ181" i="10" s="1"/>
  <c r="AD181" i="10"/>
  <c r="U181" i="10"/>
  <c r="W181" i="10" s="1"/>
  <c r="AP181" i="10" s="1"/>
  <c r="A834" i="10"/>
  <c r="Y833" i="10"/>
  <c r="BB833" i="10"/>
  <c r="BC833" i="10" s="1"/>
  <c r="AS833" i="10"/>
  <c r="B833" i="10"/>
  <c r="AH180" i="10"/>
  <c r="AO180" i="10"/>
  <c r="AY180" i="10" s="1"/>
  <c r="AN180" i="10" l="1"/>
  <c r="AW180" i="10" s="1"/>
  <c r="X181" i="10"/>
  <c r="O824" i="10"/>
  <c r="P824" i="10" s="1"/>
  <c r="J825" i="10" s="1"/>
  <c r="L825" i="10" s="1"/>
  <c r="N825" i="10" s="1"/>
  <c r="AT824" i="10"/>
  <c r="AE824" i="10"/>
  <c r="AF824" i="10"/>
  <c r="K833" i="10"/>
  <c r="M833" i="10"/>
  <c r="C833" i="10"/>
  <c r="I833" i="10" s="1"/>
  <c r="E833" i="10"/>
  <c r="Z181" i="10"/>
  <c r="AR181" i="10" s="1"/>
  <c r="A835" i="10"/>
  <c r="Y834" i="10"/>
  <c r="BB834" i="10"/>
  <c r="BC834" i="10" s="1"/>
  <c r="AS834" i="10"/>
  <c r="B834" i="10"/>
  <c r="R832" i="10"/>
  <c r="AU823" i="10"/>
  <c r="AZ180" i="10"/>
  <c r="BD180" i="10"/>
  <c r="H832" i="10"/>
  <c r="D832" i="10"/>
  <c r="F832" i="10" s="1"/>
  <c r="G832" i="10" s="1"/>
  <c r="V832" i="10" s="1"/>
  <c r="O825" i="10" l="1"/>
  <c r="P825" i="10" s="1"/>
  <c r="J826" i="10" s="1"/>
  <c r="L826" i="10" s="1"/>
  <c r="N826" i="10" s="1"/>
  <c r="AT825" i="10"/>
  <c r="AE825" i="10"/>
  <c r="AF825" i="10"/>
  <c r="AA181" i="10"/>
  <c r="C834" i="10"/>
  <c r="I834" i="10" s="1"/>
  <c r="M834" i="10"/>
  <c r="K834" i="10"/>
  <c r="E834" i="10"/>
  <c r="Q182" i="10"/>
  <c r="AU824" i="10"/>
  <c r="R833" i="10"/>
  <c r="A836" i="10"/>
  <c r="Y835" i="10"/>
  <c r="BB835" i="10"/>
  <c r="BC835" i="10" s="1"/>
  <c r="AS835" i="10"/>
  <c r="B835" i="10"/>
  <c r="H833" i="10"/>
  <c r="D833" i="10"/>
  <c r="F833" i="10" s="1"/>
  <c r="G833" i="10" s="1"/>
  <c r="V833" i="10" s="1"/>
  <c r="O826" i="10" l="1"/>
  <c r="P826" i="10" s="1"/>
  <c r="J827" i="10" s="1"/>
  <c r="L827" i="10" s="1"/>
  <c r="N827" i="10" s="1"/>
  <c r="AT826" i="10"/>
  <c r="AE826" i="10"/>
  <c r="AF826" i="10"/>
  <c r="AB182" i="10"/>
  <c r="AV181" i="10" s="1"/>
  <c r="S182" i="10"/>
  <c r="AM182" i="10"/>
  <c r="AC182" i="10"/>
  <c r="AU825" i="10"/>
  <c r="R834" i="10"/>
  <c r="K835" i="10"/>
  <c r="M835" i="10"/>
  <c r="C835" i="10"/>
  <c r="I835" i="10" s="1"/>
  <c r="E835" i="10"/>
  <c r="H834" i="10"/>
  <c r="D834" i="10"/>
  <c r="F834" i="10" s="1"/>
  <c r="G834" i="10" s="1"/>
  <c r="V834" i="10" s="1"/>
  <c r="AJ181" i="10"/>
  <c r="AI181" i="10"/>
  <c r="AG181" i="10"/>
  <c r="AK181" i="10"/>
  <c r="AX181" i="10" s="1"/>
  <c r="A837" i="10"/>
  <c r="Y836" i="10"/>
  <c r="BB836" i="10"/>
  <c r="BC836" i="10" s="1"/>
  <c r="AS836" i="10"/>
  <c r="B836" i="10"/>
  <c r="AL181" i="10" l="1"/>
  <c r="O827" i="10"/>
  <c r="P827" i="10" s="1"/>
  <c r="J828" i="10" s="1"/>
  <c r="L828" i="10" s="1"/>
  <c r="N828" i="10" s="1"/>
  <c r="AE827" i="10"/>
  <c r="AT827" i="10"/>
  <c r="AF827" i="10"/>
  <c r="R835" i="10"/>
  <c r="C836" i="10"/>
  <c r="I836" i="10" s="1"/>
  <c r="M836" i="10"/>
  <c r="K836" i="10"/>
  <c r="E836" i="10"/>
  <c r="BA181" i="10"/>
  <c r="A838" i="10"/>
  <c r="Y837" i="10"/>
  <c r="BB837" i="10"/>
  <c r="BC837" i="10" s="1"/>
  <c r="AS837" i="10"/>
  <c r="B837" i="10"/>
  <c r="T182" i="10"/>
  <c r="AQ182" i="10" s="1"/>
  <c r="AD182" i="10"/>
  <c r="U182" i="10"/>
  <c r="W182" i="10" s="1"/>
  <c r="AP182" i="10" s="1"/>
  <c r="H835" i="10"/>
  <c r="D835" i="10"/>
  <c r="F835" i="10" s="1"/>
  <c r="G835" i="10" s="1"/>
  <c r="V835" i="10" s="1"/>
  <c r="AH181" i="10"/>
  <c r="AN181" i="10" s="1"/>
  <c r="AW181" i="10" s="1"/>
  <c r="AO181" i="10"/>
  <c r="AY181" i="10" s="1"/>
  <c r="AU826" i="10"/>
  <c r="O828" i="10" l="1"/>
  <c r="P828" i="10" s="1"/>
  <c r="J829" i="10" s="1"/>
  <c r="L829" i="10" s="1"/>
  <c r="N829" i="10" s="1"/>
  <c r="AE828" i="10"/>
  <c r="AT828" i="10"/>
  <c r="AF828" i="10"/>
  <c r="R836" i="10"/>
  <c r="X182" i="10"/>
  <c r="A839" i="10"/>
  <c r="Y838" i="10"/>
  <c r="BB838" i="10"/>
  <c r="BC838" i="10" s="1"/>
  <c r="AS838" i="10"/>
  <c r="B838" i="10"/>
  <c r="AU827" i="10"/>
  <c r="H836" i="10"/>
  <c r="D836" i="10"/>
  <c r="F836" i="10" s="1"/>
  <c r="G836" i="10" s="1"/>
  <c r="V836" i="10" s="1"/>
  <c r="AZ181" i="10"/>
  <c r="BD181" i="10"/>
  <c r="K837" i="10"/>
  <c r="M837" i="10"/>
  <c r="C837" i="10"/>
  <c r="I837" i="10" s="1"/>
  <c r="E837" i="10"/>
  <c r="O829" i="10" l="1"/>
  <c r="P829" i="10" s="1"/>
  <c r="J830" i="10" s="1"/>
  <c r="L830" i="10" s="1"/>
  <c r="N830" i="10" s="1"/>
  <c r="AE829" i="10"/>
  <c r="AT829" i="10"/>
  <c r="AF829" i="10"/>
  <c r="R837" i="10"/>
  <c r="A840" i="10"/>
  <c r="Y839" i="10"/>
  <c r="BB839" i="10"/>
  <c r="BC839" i="10" s="1"/>
  <c r="AS839" i="10"/>
  <c r="B839" i="10"/>
  <c r="H837" i="10"/>
  <c r="D837" i="10"/>
  <c r="F837" i="10" s="1"/>
  <c r="G837" i="10" s="1"/>
  <c r="V837" i="10" s="1"/>
  <c r="Z182" i="10"/>
  <c r="AR182" i="10" s="1"/>
  <c r="AU828" i="10"/>
  <c r="C838" i="10"/>
  <c r="I838" i="10" s="1"/>
  <c r="M838" i="10"/>
  <c r="K838" i="10"/>
  <c r="E838" i="10"/>
  <c r="O830" i="10" l="1"/>
  <c r="P830" i="10" s="1"/>
  <c r="J831" i="10" s="1"/>
  <c r="L831" i="10" s="1"/>
  <c r="N831" i="10" s="1"/>
  <c r="AE830" i="10"/>
  <c r="AT830" i="10"/>
  <c r="AF830" i="10"/>
  <c r="R838" i="10"/>
  <c r="H838" i="10"/>
  <c r="D838" i="10"/>
  <c r="F838" i="10" s="1"/>
  <c r="G838" i="10" s="1"/>
  <c r="V838" i="10" s="1"/>
  <c r="Q183" i="10"/>
  <c r="A841" i="10"/>
  <c r="Y840" i="10"/>
  <c r="BB840" i="10"/>
  <c r="BC840" i="10" s="1"/>
  <c r="AS840" i="10"/>
  <c r="B840" i="10"/>
  <c r="AU829" i="10"/>
  <c r="AA182" i="10"/>
  <c r="K839" i="10"/>
  <c r="M839" i="10"/>
  <c r="C839" i="10"/>
  <c r="I839" i="10" s="1"/>
  <c r="E839" i="10"/>
  <c r="O831" i="10" l="1"/>
  <c r="P831" i="10" s="1"/>
  <c r="J832" i="10" s="1"/>
  <c r="L832" i="10" s="1"/>
  <c r="N832" i="10" s="1"/>
  <c r="AT831" i="10"/>
  <c r="AE831" i="10"/>
  <c r="AF831" i="10"/>
  <c r="H839" i="10"/>
  <c r="D839" i="10"/>
  <c r="F839" i="10" s="1"/>
  <c r="G839" i="10" s="1"/>
  <c r="V839" i="10" s="1"/>
  <c r="R839" i="10"/>
  <c r="C840" i="10"/>
  <c r="I840" i="10" s="1"/>
  <c r="M840" i="10"/>
  <c r="K840" i="10"/>
  <c r="E840" i="10"/>
  <c r="AU830" i="10"/>
  <c r="A842" i="10"/>
  <c r="Y841" i="10"/>
  <c r="BB841" i="10"/>
  <c r="BC841" i="10" s="1"/>
  <c r="AS841" i="10"/>
  <c r="B841" i="10"/>
  <c r="AJ182" i="10"/>
  <c r="AI182" i="10"/>
  <c r="AG182" i="10"/>
  <c r="AK182" i="10"/>
  <c r="AX182" i="10" s="1"/>
  <c r="AB183" i="10"/>
  <c r="AV182" i="10" s="1"/>
  <c r="S183" i="10"/>
  <c r="AC183" i="10"/>
  <c r="AM183" i="10"/>
  <c r="O832" i="10" l="1"/>
  <c r="P832" i="10" s="1"/>
  <c r="J833" i="10" s="1"/>
  <c r="L833" i="10" s="1"/>
  <c r="N833" i="10" s="1"/>
  <c r="AE832" i="10"/>
  <c r="AT832" i="10"/>
  <c r="AF832" i="10"/>
  <c r="A843" i="10"/>
  <c r="Y842" i="10"/>
  <c r="BB842" i="10"/>
  <c r="BC842" i="10" s="1"/>
  <c r="AS842" i="10"/>
  <c r="B842" i="10"/>
  <c r="AL182" i="10"/>
  <c r="AU831" i="10"/>
  <c r="AH182" i="10"/>
  <c r="AN182" i="10" s="1"/>
  <c r="AW182" i="10" s="1"/>
  <c r="AO182" i="10"/>
  <c r="AY182" i="10" s="1"/>
  <c r="R840" i="10"/>
  <c r="K841" i="10"/>
  <c r="M841" i="10"/>
  <c r="C841" i="10"/>
  <c r="I841" i="10" s="1"/>
  <c r="E841" i="10"/>
  <c r="BA182" i="10"/>
  <c r="T183" i="10"/>
  <c r="AQ183" i="10" s="1"/>
  <c r="AD183" i="10"/>
  <c r="U183" i="10"/>
  <c r="W183" i="10" s="1"/>
  <c r="AP183" i="10" s="1"/>
  <c r="H840" i="10"/>
  <c r="D840" i="10"/>
  <c r="F840" i="10" s="1"/>
  <c r="G840" i="10" s="1"/>
  <c r="V840" i="10" s="1"/>
  <c r="X183" i="10" l="1"/>
  <c r="R841" i="10"/>
  <c r="A844" i="10"/>
  <c r="Y843" i="10"/>
  <c r="BB843" i="10"/>
  <c r="BC843" i="10" s="1"/>
  <c r="AS843" i="10"/>
  <c r="B843" i="10"/>
  <c r="C842" i="10"/>
  <c r="I842" i="10" s="1"/>
  <c r="M842" i="10"/>
  <c r="K842" i="10"/>
  <c r="E842" i="10"/>
  <c r="O833" i="10"/>
  <c r="P833" i="10" s="1"/>
  <c r="J834" i="10" s="1"/>
  <c r="L834" i="10" s="1"/>
  <c r="N834" i="10" s="1"/>
  <c r="AT833" i="10"/>
  <c r="AE833" i="10"/>
  <c r="AF833" i="10"/>
  <c r="AZ182" i="10"/>
  <c r="BD182" i="10"/>
  <c r="H841" i="10"/>
  <c r="D841" i="10"/>
  <c r="F841" i="10" s="1"/>
  <c r="G841" i="10" s="1"/>
  <c r="V841" i="10" s="1"/>
  <c r="AU832" i="10"/>
  <c r="O834" i="10" l="1"/>
  <c r="P834" i="10" s="1"/>
  <c r="J835" i="10" s="1"/>
  <c r="L835" i="10" s="1"/>
  <c r="N835" i="10" s="1"/>
  <c r="AE834" i="10"/>
  <c r="AT834" i="10"/>
  <c r="AF834" i="10"/>
  <c r="R842" i="10"/>
  <c r="A845" i="10"/>
  <c r="Y844" i="10"/>
  <c r="BB844" i="10"/>
  <c r="BC844" i="10" s="1"/>
  <c r="AS844" i="10"/>
  <c r="B844" i="10"/>
  <c r="AU833" i="10"/>
  <c r="K843" i="10"/>
  <c r="M843" i="10"/>
  <c r="C843" i="10"/>
  <c r="I843" i="10" s="1"/>
  <c r="E843" i="10"/>
  <c r="Z183" i="10"/>
  <c r="AR183" i="10" s="1"/>
  <c r="H842" i="10"/>
  <c r="D842" i="10"/>
  <c r="F842" i="10" s="1"/>
  <c r="G842" i="10" s="1"/>
  <c r="V842" i="10" s="1"/>
  <c r="AA183" i="10" l="1"/>
  <c r="AI183" i="10" s="1"/>
  <c r="Q184" i="10"/>
  <c r="S184" i="10" s="1"/>
  <c r="O835" i="10"/>
  <c r="P835" i="10" s="1"/>
  <c r="J836" i="10" s="1"/>
  <c r="L836" i="10" s="1"/>
  <c r="N836" i="10" s="1"/>
  <c r="AE835" i="10"/>
  <c r="AT835" i="10"/>
  <c r="AF835" i="10"/>
  <c r="R843" i="10"/>
  <c r="C844" i="10"/>
  <c r="I844" i="10" s="1"/>
  <c r="M844" i="10"/>
  <c r="K844" i="10"/>
  <c r="E844" i="10"/>
  <c r="H843" i="10"/>
  <c r="D843" i="10"/>
  <c r="F843" i="10" s="1"/>
  <c r="G843" i="10" s="1"/>
  <c r="V843" i="10" s="1"/>
  <c r="AU834" i="10"/>
  <c r="A846" i="10"/>
  <c r="Y845" i="10"/>
  <c r="BB845" i="10"/>
  <c r="BC845" i="10" s="1"/>
  <c r="AS845" i="10"/>
  <c r="B845" i="10"/>
  <c r="AJ183" i="10" l="1"/>
  <c r="AK183" i="10"/>
  <c r="AX183" i="10" s="1"/>
  <c r="AL183" i="10"/>
  <c r="AG183" i="10"/>
  <c r="AH183" i="10" s="1"/>
  <c r="AN183" i="10" s="1"/>
  <c r="AB184" i="10"/>
  <c r="AV183" i="10" s="1"/>
  <c r="AC184" i="10"/>
  <c r="BA183" i="10" s="1"/>
  <c r="AM184" i="10"/>
  <c r="O836" i="10"/>
  <c r="P836" i="10" s="1"/>
  <c r="J837" i="10" s="1"/>
  <c r="L837" i="10" s="1"/>
  <c r="N837" i="10" s="1"/>
  <c r="AE836" i="10"/>
  <c r="AT836" i="10"/>
  <c r="AF836" i="10"/>
  <c r="K845" i="10"/>
  <c r="M845" i="10"/>
  <c r="C845" i="10"/>
  <c r="I845" i="10" s="1"/>
  <c r="E845" i="10"/>
  <c r="A847" i="10"/>
  <c r="Y846" i="10"/>
  <c r="BB846" i="10"/>
  <c r="BC846" i="10" s="1"/>
  <c r="AS846" i="10"/>
  <c r="B846" i="10"/>
  <c r="R844" i="10"/>
  <c r="T184" i="10"/>
  <c r="AQ184" i="10" s="1"/>
  <c r="AD184" i="10"/>
  <c r="U184" i="10"/>
  <c r="W184" i="10" s="1"/>
  <c r="AP184" i="10" s="1"/>
  <c r="AU835" i="10"/>
  <c r="H844" i="10"/>
  <c r="D844" i="10"/>
  <c r="F844" i="10" s="1"/>
  <c r="G844" i="10" s="1"/>
  <c r="V844" i="10" s="1"/>
  <c r="AW183" i="10" l="1"/>
  <c r="BD183" i="10" s="1"/>
  <c r="AO183" i="10"/>
  <c r="AY183" i="10" s="1"/>
  <c r="O837" i="10"/>
  <c r="P837" i="10" s="1"/>
  <c r="J838" i="10" s="1"/>
  <c r="L838" i="10" s="1"/>
  <c r="N838" i="10" s="1"/>
  <c r="AE837" i="10"/>
  <c r="AT837" i="10"/>
  <c r="AF837" i="10"/>
  <c r="R845" i="10"/>
  <c r="A848" i="10"/>
  <c r="Y847" i="10"/>
  <c r="BB847" i="10"/>
  <c r="BC847" i="10" s="1"/>
  <c r="AS847" i="10"/>
  <c r="B847" i="10"/>
  <c r="AU836" i="10"/>
  <c r="X184" i="10"/>
  <c r="C846" i="10"/>
  <c r="I846" i="10" s="1"/>
  <c r="M846" i="10"/>
  <c r="K846" i="10"/>
  <c r="E846" i="10"/>
  <c r="H845" i="10"/>
  <c r="D845" i="10"/>
  <c r="F845" i="10" s="1"/>
  <c r="G845" i="10" s="1"/>
  <c r="V845" i="10" s="1"/>
  <c r="AZ183" i="10" l="1"/>
  <c r="O838" i="10"/>
  <c r="P838" i="10" s="1"/>
  <c r="J839" i="10" s="1"/>
  <c r="L839" i="10" s="1"/>
  <c r="N839" i="10" s="1"/>
  <c r="AT838" i="10"/>
  <c r="AE838" i="10"/>
  <c r="AF838" i="10"/>
  <c r="K847" i="10"/>
  <c r="M847" i="10"/>
  <c r="C847" i="10"/>
  <c r="I847" i="10" s="1"/>
  <c r="E847" i="10"/>
  <c r="R846" i="10"/>
  <c r="AU837" i="10"/>
  <c r="A849" i="10"/>
  <c r="Y848" i="10"/>
  <c r="BB848" i="10"/>
  <c r="BC848" i="10" s="1"/>
  <c r="AS848" i="10"/>
  <c r="B848" i="10"/>
  <c r="H846" i="10"/>
  <c r="D846" i="10"/>
  <c r="F846" i="10" s="1"/>
  <c r="G846" i="10" s="1"/>
  <c r="V846" i="10" s="1"/>
  <c r="Z184" i="10"/>
  <c r="AR184" i="10" s="1"/>
  <c r="O839" i="10" l="1"/>
  <c r="P839" i="10" s="1"/>
  <c r="J840" i="10" s="1"/>
  <c r="L840" i="10" s="1"/>
  <c r="N840" i="10" s="1"/>
  <c r="AE839" i="10"/>
  <c r="AT839" i="10"/>
  <c r="AF839" i="10"/>
  <c r="Q185" i="10"/>
  <c r="AU838" i="10"/>
  <c r="H847" i="10"/>
  <c r="D847" i="10"/>
  <c r="F847" i="10" s="1"/>
  <c r="G847" i="10" s="1"/>
  <c r="V847" i="10" s="1"/>
  <c r="AA184" i="10"/>
  <c r="A850" i="10"/>
  <c r="Y849" i="10"/>
  <c r="BB849" i="10"/>
  <c r="BC849" i="10" s="1"/>
  <c r="AS849" i="10"/>
  <c r="B849" i="10"/>
  <c r="R847" i="10"/>
  <c r="C848" i="10"/>
  <c r="I848" i="10" s="1"/>
  <c r="M848" i="10"/>
  <c r="K848" i="10"/>
  <c r="E848" i="10"/>
  <c r="O840" i="10" l="1"/>
  <c r="P840" i="10" s="1"/>
  <c r="J841" i="10" s="1"/>
  <c r="L841" i="10" s="1"/>
  <c r="N841" i="10" s="1"/>
  <c r="AE840" i="10"/>
  <c r="AT840" i="10"/>
  <c r="AF840" i="10"/>
  <c r="AB185" i="10"/>
  <c r="AV184" i="10" s="1"/>
  <c r="S185" i="10"/>
  <c r="AC185" i="10"/>
  <c r="AM185" i="10"/>
  <c r="AJ184" i="10"/>
  <c r="AI184" i="10"/>
  <c r="AG184" i="10"/>
  <c r="AK184" i="10"/>
  <c r="AX184" i="10" s="1"/>
  <c r="R848" i="10"/>
  <c r="H848" i="10"/>
  <c r="D848" i="10"/>
  <c r="F848" i="10" s="1"/>
  <c r="G848" i="10" s="1"/>
  <c r="V848" i="10" s="1"/>
  <c r="K849" i="10"/>
  <c r="M849" i="10"/>
  <c r="C849" i="10"/>
  <c r="I849" i="10" s="1"/>
  <c r="E849" i="10"/>
  <c r="AU839" i="10"/>
  <c r="A851" i="10"/>
  <c r="Y850" i="10"/>
  <c r="BB850" i="10"/>
  <c r="BC850" i="10" s="1"/>
  <c r="AS850" i="10"/>
  <c r="B850" i="10"/>
  <c r="O841" i="10" l="1"/>
  <c r="P841" i="10" s="1"/>
  <c r="J842" i="10" s="1"/>
  <c r="L842" i="10" s="1"/>
  <c r="N842" i="10" s="1"/>
  <c r="AE841" i="10"/>
  <c r="AT841" i="10"/>
  <c r="AF841" i="10"/>
  <c r="R849" i="10"/>
  <c r="H849" i="10"/>
  <c r="D849" i="10"/>
  <c r="F849" i="10" s="1"/>
  <c r="G849" i="10" s="1"/>
  <c r="V849" i="10" s="1"/>
  <c r="AU840" i="10"/>
  <c r="AH184" i="10"/>
  <c r="AO184" i="10"/>
  <c r="AY184" i="10" s="1"/>
  <c r="C850" i="10"/>
  <c r="I850" i="10" s="1"/>
  <c r="M850" i="10"/>
  <c r="K850" i="10"/>
  <c r="E850" i="10"/>
  <c r="BA184" i="10"/>
  <c r="A852" i="10"/>
  <c r="Y851" i="10"/>
  <c r="BB851" i="10"/>
  <c r="BC851" i="10" s="1"/>
  <c r="AS851" i="10"/>
  <c r="B851" i="10"/>
  <c r="AL184" i="10"/>
  <c r="T185" i="10"/>
  <c r="AQ185" i="10" s="1"/>
  <c r="AD185" i="10"/>
  <c r="U185" i="10"/>
  <c r="W185" i="10" s="1"/>
  <c r="AP185" i="10" s="1"/>
  <c r="O842" i="10" l="1"/>
  <c r="P842" i="10" s="1"/>
  <c r="J843" i="10" s="1"/>
  <c r="L843" i="10" s="1"/>
  <c r="N843" i="10" s="1"/>
  <c r="AT842" i="10"/>
  <c r="AE842" i="10"/>
  <c r="AF842" i="10"/>
  <c r="R850" i="10"/>
  <c r="AU841" i="10"/>
  <c r="X185" i="10"/>
  <c r="H850" i="10"/>
  <c r="D850" i="10"/>
  <c r="F850" i="10" s="1"/>
  <c r="G850" i="10" s="1"/>
  <c r="V850" i="10" s="1"/>
  <c r="K851" i="10"/>
  <c r="M851" i="10"/>
  <c r="C851" i="10"/>
  <c r="I851" i="10" s="1"/>
  <c r="E851" i="10"/>
  <c r="A853" i="10"/>
  <c r="Y852" i="10"/>
  <c r="BB852" i="10"/>
  <c r="BC852" i="10" s="1"/>
  <c r="AS852" i="10"/>
  <c r="B852" i="10"/>
  <c r="AN184" i="10"/>
  <c r="AW184" i="10" s="1"/>
  <c r="O843" i="10" l="1"/>
  <c r="P843" i="10" s="1"/>
  <c r="J844" i="10" s="1"/>
  <c r="L844" i="10" s="1"/>
  <c r="N844" i="10" s="1"/>
  <c r="AE843" i="10"/>
  <c r="AT843" i="10"/>
  <c r="AF843" i="10"/>
  <c r="Z185" i="10"/>
  <c r="AR185" i="10" s="1"/>
  <c r="C852" i="10"/>
  <c r="I852" i="10" s="1"/>
  <c r="M852" i="10"/>
  <c r="K852" i="10"/>
  <c r="E852" i="10"/>
  <c r="H851" i="10"/>
  <c r="D851" i="10"/>
  <c r="F851" i="10" s="1"/>
  <c r="G851" i="10" s="1"/>
  <c r="V851" i="10" s="1"/>
  <c r="AZ184" i="10"/>
  <c r="BD184" i="10"/>
  <c r="R851" i="10"/>
  <c r="AU842" i="10"/>
  <c r="A854" i="10"/>
  <c r="Y853" i="10"/>
  <c r="BB853" i="10"/>
  <c r="BC853" i="10" s="1"/>
  <c r="AS853" i="10"/>
  <c r="B853" i="10"/>
  <c r="AA185" i="10" l="1"/>
  <c r="O844" i="10"/>
  <c r="P844" i="10" s="1"/>
  <c r="J845" i="10" s="1"/>
  <c r="L845" i="10" s="1"/>
  <c r="N845" i="10" s="1"/>
  <c r="AE844" i="10"/>
  <c r="AT844" i="10"/>
  <c r="AF844" i="10"/>
  <c r="A855" i="10"/>
  <c r="Y854" i="10"/>
  <c r="BB854" i="10"/>
  <c r="BC854" i="10" s="1"/>
  <c r="AS854" i="10"/>
  <c r="B854" i="10"/>
  <c r="H852" i="10"/>
  <c r="D852" i="10"/>
  <c r="F852" i="10" s="1"/>
  <c r="G852" i="10" s="1"/>
  <c r="V852" i="10" s="1"/>
  <c r="AU843" i="10"/>
  <c r="K853" i="10"/>
  <c r="M853" i="10"/>
  <c r="C853" i="10"/>
  <c r="I853" i="10" s="1"/>
  <c r="E853" i="10"/>
  <c r="AJ185" i="10"/>
  <c r="AI185" i="10"/>
  <c r="AG185" i="10"/>
  <c r="AK185" i="10"/>
  <c r="AX185" i="10" s="1"/>
  <c r="R852" i="10"/>
  <c r="Q186" i="10"/>
  <c r="O845" i="10" l="1"/>
  <c r="P845" i="10" s="1"/>
  <c r="J846" i="10" s="1"/>
  <c r="L846" i="10" s="1"/>
  <c r="N846" i="10" s="1"/>
  <c r="AT845" i="10"/>
  <c r="AE845" i="10"/>
  <c r="AF845" i="10"/>
  <c r="AH185" i="10"/>
  <c r="AO185" i="10"/>
  <c r="AY185" i="10" s="1"/>
  <c r="H853" i="10"/>
  <c r="D853" i="10"/>
  <c r="F853" i="10" s="1"/>
  <c r="G853" i="10" s="1"/>
  <c r="V853" i="10" s="1"/>
  <c r="C854" i="10"/>
  <c r="I854" i="10" s="1"/>
  <c r="M854" i="10"/>
  <c r="K854" i="10"/>
  <c r="E854" i="10"/>
  <c r="AU844" i="10"/>
  <c r="AB186" i="10"/>
  <c r="AV185" i="10" s="1"/>
  <c r="S186" i="10"/>
  <c r="AM186" i="10"/>
  <c r="AC186" i="10"/>
  <c r="BA185" i="10" s="1"/>
  <c r="AL185" i="10"/>
  <c r="A856" i="10"/>
  <c r="Y855" i="10"/>
  <c r="BB855" i="10"/>
  <c r="BC855" i="10" s="1"/>
  <c r="AS855" i="10"/>
  <c r="B855" i="10"/>
  <c r="R853" i="10"/>
  <c r="AN185" i="10" l="1"/>
  <c r="AW185" i="10"/>
  <c r="O846" i="10"/>
  <c r="P846" i="10" s="1"/>
  <c r="J847" i="10" s="1"/>
  <c r="L847" i="10" s="1"/>
  <c r="N847" i="10" s="1"/>
  <c r="AE846" i="10"/>
  <c r="AT846" i="10"/>
  <c r="AF846" i="10"/>
  <c r="K855" i="10"/>
  <c r="M855" i="10"/>
  <c r="C855" i="10"/>
  <c r="I855" i="10" s="1"/>
  <c r="E855" i="10"/>
  <c r="AZ185" i="10"/>
  <c r="BD185" i="10"/>
  <c r="AU845" i="10"/>
  <c r="H854" i="10"/>
  <c r="D854" i="10"/>
  <c r="F854" i="10" s="1"/>
  <c r="G854" i="10" s="1"/>
  <c r="V854" i="10" s="1"/>
  <c r="T186" i="10"/>
  <c r="AQ186" i="10" s="1"/>
  <c r="AD186" i="10"/>
  <c r="U186" i="10"/>
  <c r="W186" i="10" s="1"/>
  <c r="AP186" i="10" s="1"/>
  <c r="A857" i="10"/>
  <c r="Y856" i="10"/>
  <c r="BB856" i="10"/>
  <c r="BC856" i="10" s="1"/>
  <c r="AS856" i="10"/>
  <c r="B856" i="10"/>
  <c r="R854" i="10"/>
  <c r="O847" i="10" l="1"/>
  <c r="P847" i="10" s="1"/>
  <c r="J848" i="10" s="1"/>
  <c r="L848" i="10" s="1"/>
  <c r="N848" i="10" s="1"/>
  <c r="AT847" i="10"/>
  <c r="AE847" i="10"/>
  <c r="AF847" i="10"/>
  <c r="X186" i="10"/>
  <c r="C856" i="10"/>
  <c r="I856" i="10" s="1"/>
  <c r="M856" i="10"/>
  <c r="K856" i="10"/>
  <c r="E856" i="10"/>
  <c r="AU846" i="10"/>
  <c r="A858" i="10"/>
  <c r="Y857" i="10"/>
  <c r="BB857" i="10"/>
  <c r="BC857" i="10" s="1"/>
  <c r="AS857" i="10"/>
  <c r="B857" i="10"/>
  <c r="H855" i="10"/>
  <c r="D855" i="10"/>
  <c r="F855" i="10" s="1"/>
  <c r="G855" i="10" s="1"/>
  <c r="V855" i="10" s="1"/>
  <c r="R855" i="10"/>
  <c r="O848" i="10" l="1"/>
  <c r="P848" i="10" s="1"/>
  <c r="J849" i="10" s="1"/>
  <c r="L849" i="10" s="1"/>
  <c r="N849" i="10" s="1"/>
  <c r="AT848" i="10"/>
  <c r="AE848" i="10"/>
  <c r="AF848" i="10"/>
  <c r="Z186" i="10"/>
  <c r="AR186" i="10" s="1"/>
  <c r="K857" i="10"/>
  <c r="M857" i="10"/>
  <c r="C857" i="10"/>
  <c r="I857" i="10" s="1"/>
  <c r="E857" i="10"/>
  <c r="AU847" i="10"/>
  <c r="R856" i="10"/>
  <c r="A859" i="10"/>
  <c r="Y858" i="10"/>
  <c r="BB858" i="10"/>
  <c r="BC858" i="10" s="1"/>
  <c r="AS858" i="10"/>
  <c r="B858" i="10"/>
  <c r="H856" i="10"/>
  <c r="D856" i="10"/>
  <c r="F856" i="10" s="1"/>
  <c r="G856" i="10" s="1"/>
  <c r="V856" i="10" s="1"/>
  <c r="O849" i="10" l="1"/>
  <c r="P849" i="10" s="1"/>
  <c r="J850" i="10" s="1"/>
  <c r="L850" i="10" s="1"/>
  <c r="N850" i="10" s="1"/>
  <c r="AE849" i="10"/>
  <c r="AT849" i="10"/>
  <c r="AF849" i="10"/>
  <c r="R857" i="10"/>
  <c r="H857" i="10"/>
  <c r="D857" i="10"/>
  <c r="F857" i="10" s="1"/>
  <c r="G857" i="10" s="1"/>
  <c r="V857" i="10" s="1"/>
  <c r="AU848" i="10"/>
  <c r="C858" i="10"/>
  <c r="I858" i="10" s="1"/>
  <c r="M858" i="10"/>
  <c r="K858" i="10"/>
  <c r="E858" i="10"/>
  <c r="Q187" i="10"/>
  <c r="A860" i="10"/>
  <c r="Y859" i="10"/>
  <c r="BB859" i="10"/>
  <c r="BC859" i="10" s="1"/>
  <c r="AS859" i="10"/>
  <c r="B859" i="10"/>
  <c r="AA186" i="10"/>
  <c r="O850" i="10" l="1"/>
  <c r="P850" i="10" s="1"/>
  <c r="J851" i="10" s="1"/>
  <c r="L851" i="10" s="1"/>
  <c r="N851" i="10" s="1"/>
  <c r="AT850" i="10"/>
  <c r="AE850" i="10"/>
  <c r="AF850" i="10"/>
  <c r="AJ186" i="10"/>
  <c r="AI186" i="10"/>
  <c r="AG186" i="10"/>
  <c r="AK186" i="10"/>
  <c r="AX186" i="10" s="1"/>
  <c r="K859" i="10"/>
  <c r="M859" i="10"/>
  <c r="C859" i="10"/>
  <c r="I859" i="10" s="1"/>
  <c r="E859" i="10"/>
  <c r="AU849" i="10"/>
  <c r="R858" i="10"/>
  <c r="A861" i="10"/>
  <c r="Y860" i="10"/>
  <c r="BB860" i="10"/>
  <c r="BC860" i="10" s="1"/>
  <c r="AS860" i="10"/>
  <c r="B860" i="10"/>
  <c r="AB187" i="10"/>
  <c r="AV186" i="10" s="1"/>
  <c r="S187" i="10"/>
  <c r="AC187" i="10"/>
  <c r="AM187" i="10"/>
  <c r="H858" i="10"/>
  <c r="D858" i="10"/>
  <c r="F858" i="10" s="1"/>
  <c r="G858" i="10" s="1"/>
  <c r="V858" i="10" s="1"/>
  <c r="O851" i="10" l="1"/>
  <c r="P851" i="10" s="1"/>
  <c r="J852" i="10" s="1"/>
  <c r="L852" i="10" s="1"/>
  <c r="N852" i="10" s="1"/>
  <c r="AT851" i="10"/>
  <c r="AE851" i="10"/>
  <c r="AF851" i="10"/>
  <c r="T187" i="10"/>
  <c r="AQ187" i="10" s="1"/>
  <c r="AD187" i="10"/>
  <c r="U187" i="10"/>
  <c r="W187" i="10" s="1"/>
  <c r="AP187" i="10" s="1"/>
  <c r="A862" i="10"/>
  <c r="Y861" i="10"/>
  <c r="BB861" i="10"/>
  <c r="BC861" i="10" s="1"/>
  <c r="AS861" i="10"/>
  <c r="B861" i="10"/>
  <c r="R859" i="10"/>
  <c r="H859" i="10"/>
  <c r="D859" i="10"/>
  <c r="F859" i="10" s="1"/>
  <c r="G859" i="10" s="1"/>
  <c r="V859" i="10" s="1"/>
  <c r="AU850" i="10"/>
  <c r="C860" i="10"/>
  <c r="I860" i="10" s="1"/>
  <c r="M860" i="10"/>
  <c r="K860" i="10"/>
  <c r="E860" i="10"/>
  <c r="AH186" i="10"/>
  <c r="AO186" i="10"/>
  <c r="AY186" i="10" s="1"/>
  <c r="BA186" i="10"/>
  <c r="AL186" i="10"/>
  <c r="O852" i="10" l="1"/>
  <c r="P852" i="10" s="1"/>
  <c r="J853" i="10" s="1"/>
  <c r="L853" i="10" s="1"/>
  <c r="N853" i="10" s="1"/>
  <c r="AE852" i="10"/>
  <c r="AT852" i="10"/>
  <c r="AF852" i="10"/>
  <c r="R860" i="10"/>
  <c r="AU851" i="10"/>
  <c r="H860" i="10"/>
  <c r="D860" i="10"/>
  <c r="F860" i="10" s="1"/>
  <c r="G860" i="10" s="1"/>
  <c r="V860" i="10" s="1"/>
  <c r="A863" i="10"/>
  <c r="Y862" i="10"/>
  <c r="BB862" i="10"/>
  <c r="BC862" i="10" s="1"/>
  <c r="AS862" i="10"/>
  <c r="B862" i="10"/>
  <c r="X187" i="10"/>
  <c r="AN186" i="10"/>
  <c r="AW186" i="10" s="1"/>
  <c r="K861" i="10"/>
  <c r="M861" i="10"/>
  <c r="C861" i="10"/>
  <c r="I861" i="10" s="1"/>
  <c r="E861" i="10"/>
  <c r="O853" i="10" l="1"/>
  <c r="P853" i="10" s="1"/>
  <c r="J854" i="10" s="1"/>
  <c r="L854" i="10" s="1"/>
  <c r="N854" i="10" s="1"/>
  <c r="AT853" i="10"/>
  <c r="AE853" i="10"/>
  <c r="AF853" i="10"/>
  <c r="H861" i="10"/>
  <c r="D861" i="10"/>
  <c r="F861" i="10" s="1"/>
  <c r="G861" i="10" s="1"/>
  <c r="V861" i="10" s="1"/>
  <c r="C862" i="10"/>
  <c r="I862" i="10" s="1"/>
  <c r="M862" i="10"/>
  <c r="K862" i="10"/>
  <c r="E862" i="10"/>
  <c r="AZ186" i="10"/>
  <c r="BD186" i="10"/>
  <c r="AU852" i="10"/>
  <c r="Z187" i="10"/>
  <c r="AR187" i="10" s="1"/>
  <c r="A864" i="10"/>
  <c r="Y863" i="10"/>
  <c r="BB863" i="10"/>
  <c r="BC863" i="10" s="1"/>
  <c r="AS863" i="10"/>
  <c r="B863" i="10"/>
  <c r="R861" i="10"/>
  <c r="O854" i="10" l="1"/>
  <c r="P854" i="10" s="1"/>
  <c r="J855" i="10" s="1"/>
  <c r="L855" i="10" s="1"/>
  <c r="N855" i="10" s="1"/>
  <c r="AE854" i="10"/>
  <c r="AT854" i="10"/>
  <c r="AF854" i="10"/>
  <c r="A865" i="10"/>
  <c r="Y864" i="10"/>
  <c r="BB864" i="10"/>
  <c r="BC864" i="10" s="1"/>
  <c r="AS864" i="10"/>
  <c r="B864" i="10"/>
  <c r="AA187" i="10"/>
  <c r="AU853" i="10"/>
  <c r="H862" i="10"/>
  <c r="D862" i="10"/>
  <c r="F862" i="10" s="1"/>
  <c r="G862" i="10" s="1"/>
  <c r="V862" i="10" s="1"/>
  <c r="Q188" i="10"/>
  <c r="R862" i="10"/>
  <c r="K863" i="10"/>
  <c r="M863" i="10"/>
  <c r="C863" i="10"/>
  <c r="I863" i="10" s="1"/>
  <c r="E863" i="10"/>
  <c r="O855" i="10" l="1"/>
  <c r="P855" i="10" s="1"/>
  <c r="J856" i="10" s="1"/>
  <c r="L856" i="10" s="1"/>
  <c r="N856" i="10" s="1"/>
  <c r="AE855" i="10"/>
  <c r="AT855" i="10"/>
  <c r="AF855" i="10"/>
  <c r="A866" i="10"/>
  <c r="Y865" i="10"/>
  <c r="BB865" i="10"/>
  <c r="BC865" i="10" s="1"/>
  <c r="AS865" i="10"/>
  <c r="B865" i="10"/>
  <c r="AJ187" i="10"/>
  <c r="AI187" i="10"/>
  <c r="AG187" i="10"/>
  <c r="AK187" i="10"/>
  <c r="AX187" i="10" s="1"/>
  <c r="AB188" i="10"/>
  <c r="AV187" i="10" s="1"/>
  <c r="S188" i="10"/>
  <c r="AM188" i="10"/>
  <c r="AC188" i="10"/>
  <c r="C864" i="10"/>
  <c r="I864" i="10" s="1"/>
  <c r="M864" i="10"/>
  <c r="K864" i="10"/>
  <c r="E864" i="10"/>
  <c r="AU854" i="10"/>
  <c r="R863" i="10"/>
  <c r="H863" i="10"/>
  <c r="D863" i="10"/>
  <c r="F863" i="10" s="1"/>
  <c r="G863" i="10" s="1"/>
  <c r="V863" i="10" s="1"/>
  <c r="BA187" i="10" l="1"/>
  <c r="O856" i="10"/>
  <c r="P856" i="10" s="1"/>
  <c r="J857" i="10" s="1"/>
  <c r="L857" i="10" s="1"/>
  <c r="N857" i="10" s="1"/>
  <c r="AT856" i="10"/>
  <c r="AE856" i="10"/>
  <c r="AF856" i="10"/>
  <c r="T188" i="10"/>
  <c r="AQ188" i="10" s="1"/>
  <c r="AD188" i="10"/>
  <c r="U188" i="10"/>
  <c r="W188" i="10" s="1"/>
  <c r="AP188" i="10" s="1"/>
  <c r="K865" i="10"/>
  <c r="M865" i="10"/>
  <c r="C865" i="10"/>
  <c r="I865" i="10" s="1"/>
  <c r="E865" i="10"/>
  <c r="R864" i="10"/>
  <c r="AU855" i="10"/>
  <c r="AH187" i="10"/>
  <c r="AO187" i="10"/>
  <c r="AY187" i="10" s="1"/>
  <c r="H864" i="10"/>
  <c r="D864" i="10"/>
  <c r="F864" i="10" s="1"/>
  <c r="G864" i="10" s="1"/>
  <c r="V864" i="10" s="1"/>
  <c r="AL187" i="10"/>
  <c r="A867" i="10"/>
  <c r="Y866" i="10"/>
  <c r="BB866" i="10"/>
  <c r="BC866" i="10" s="1"/>
  <c r="AS866" i="10"/>
  <c r="B866" i="10"/>
  <c r="AN187" i="10" l="1"/>
  <c r="AW187" i="10" s="1"/>
  <c r="O857" i="10"/>
  <c r="P857" i="10" s="1"/>
  <c r="J858" i="10" s="1"/>
  <c r="L858" i="10" s="1"/>
  <c r="N858" i="10" s="1"/>
  <c r="AE857" i="10"/>
  <c r="AT857" i="10"/>
  <c r="AF857" i="10"/>
  <c r="A868" i="10"/>
  <c r="Y867" i="10"/>
  <c r="BB867" i="10"/>
  <c r="BC867" i="10" s="1"/>
  <c r="AS867" i="10"/>
  <c r="B867" i="10"/>
  <c r="AZ187" i="10"/>
  <c r="BD187" i="10"/>
  <c r="R865" i="10"/>
  <c r="H865" i="10"/>
  <c r="D865" i="10"/>
  <c r="F865" i="10" s="1"/>
  <c r="G865" i="10" s="1"/>
  <c r="V865" i="10" s="1"/>
  <c r="AU856" i="10"/>
  <c r="C866" i="10"/>
  <c r="I866" i="10" s="1"/>
  <c r="M866" i="10"/>
  <c r="K866" i="10"/>
  <c r="E866" i="10"/>
  <c r="X188" i="10"/>
  <c r="O858" i="10" l="1"/>
  <c r="P858" i="10" s="1"/>
  <c r="J859" i="10" s="1"/>
  <c r="L859" i="10" s="1"/>
  <c r="N859" i="10" s="1"/>
  <c r="AT858" i="10"/>
  <c r="AE858" i="10"/>
  <c r="AF858" i="10"/>
  <c r="Z188" i="10"/>
  <c r="AR188" i="10" s="1"/>
  <c r="R866" i="10"/>
  <c r="K867" i="10"/>
  <c r="M867" i="10"/>
  <c r="C867" i="10"/>
  <c r="I867" i="10" s="1"/>
  <c r="E867" i="10"/>
  <c r="AU857" i="10"/>
  <c r="H866" i="10"/>
  <c r="D866" i="10"/>
  <c r="F866" i="10" s="1"/>
  <c r="G866" i="10" s="1"/>
  <c r="V866" i="10" s="1"/>
  <c r="A869" i="10"/>
  <c r="Y868" i="10"/>
  <c r="BB868" i="10"/>
  <c r="BC868" i="10" s="1"/>
  <c r="AS868" i="10"/>
  <c r="B868" i="10"/>
  <c r="Q189" i="10" l="1"/>
  <c r="AB189" i="10" s="1"/>
  <c r="AV188" i="10" s="1"/>
  <c r="AA188" i="10"/>
  <c r="AJ188" i="10" s="1"/>
  <c r="O859" i="10"/>
  <c r="P859" i="10" s="1"/>
  <c r="J860" i="10" s="1"/>
  <c r="L860" i="10" s="1"/>
  <c r="N860" i="10" s="1"/>
  <c r="AE859" i="10"/>
  <c r="AT859" i="10"/>
  <c r="AF859" i="10"/>
  <c r="R867" i="10"/>
  <c r="C868" i="10"/>
  <c r="I868" i="10" s="1"/>
  <c r="M868" i="10"/>
  <c r="K868" i="10"/>
  <c r="E868" i="10"/>
  <c r="H867" i="10"/>
  <c r="D867" i="10"/>
  <c r="F867" i="10" s="1"/>
  <c r="G867" i="10" s="1"/>
  <c r="V867" i="10" s="1"/>
  <c r="AU858" i="10"/>
  <c r="Y869" i="10"/>
  <c r="A870" i="10"/>
  <c r="BB869" i="10"/>
  <c r="BC869" i="10" s="1"/>
  <c r="AS869" i="10"/>
  <c r="B869" i="10"/>
  <c r="AM189" i="10" l="1"/>
  <c r="AC189" i="10"/>
  <c r="AK188" i="10"/>
  <c r="AX188" i="10" s="1"/>
  <c r="S189" i="10"/>
  <c r="T189" i="10" s="1"/>
  <c r="AQ189" i="10" s="1"/>
  <c r="AG188" i="10"/>
  <c r="AO188" i="10" s="1"/>
  <c r="AY188" i="10" s="1"/>
  <c r="AI188" i="10"/>
  <c r="BA188" i="10" s="1"/>
  <c r="O860" i="10"/>
  <c r="P860" i="10" s="1"/>
  <c r="J861" i="10" s="1"/>
  <c r="L861" i="10" s="1"/>
  <c r="N861" i="10" s="1"/>
  <c r="AE860" i="10"/>
  <c r="AT860" i="10"/>
  <c r="AF860" i="10"/>
  <c r="H868" i="10"/>
  <c r="D868" i="10"/>
  <c r="F868" i="10" s="1"/>
  <c r="G868" i="10" s="1"/>
  <c r="V868" i="10" s="1"/>
  <c r="R868" i="10"/>
  <c r="K869" i="10"/>
  <c r="M869" i="10"/>
  <c r="C869" i="10"/>
  <c r="I869" i="10" s="1"/>
  <c r="E869" i="10"/>
  <c r="AU859" i="10"/>
  <c r="A871" i="10"/>
  <c r="BB870" i="10"/>
  <c r="BC870" i="10" s="1"/>
  <c r="AS870" i="10"/>
  <c r="Y870" i="10"/>
  <c r="B870" i="10"/>
  <c r="U189" i="10" l="1"/>
  <c r="W189" i="10" s="1"/>
  <c r="AP189" i="10" s="1"/>
  <c r="AD189" i="10"/>
  <c r="AL188" i="10"/>
  <c r="AH188" i="10"/>
  <c r="AN188" i="10" s="1"/>
  <c r="AW188" i="10" s="1"/>
  <c r="BD188" i="10" s="1"/>
  <c r="O861" i="10"/>
  <c r="P861" i="10" s="1"/>
  <c r="J862" i="10" s="1"/>
  <c r="L862" i="10" s="1"/>
  <c r="N862" i="10" s="1"/>
  <c r="AE861" i="10"/>
  <c r="AT861" i="10"/>
  <c r="AF861" i="10"/>
  <c r="R869" i="10"/>
  <c r="BB871" i="10"/>
  <c r="BC871" i="10" s="1"/>
  <c r="AS871" i="10"/>
  <c r="Y871" i="10"/>
  <c r="A872" i="10"/>
  <c r="B871" i="10"/>
  <c r="H869" i="10"/>
  <c r="D869" i="10"/>
  <c r="F869" i="10" s="1"/>
  <c r="G869" i="10" s="1"/>
  <c r="V869" i="10" s="1"/>
  <c r="AU860" i="10"/>
  <c r="C870" i="10"/>
  <c r="I870" i="10" s="1"/>
  <c r="K870" i="10"/>
  <c r="M870" i="10"/>
  <c r="E870" i="10"/>
  <c r="X189" i="10"/>
  <c r="AZ188" i="10" l="1"/>
  <c r="O862" i="10"/>
  <c r="P862" i="10" s="1"/>
  <c r="J863" i="10" s="1"/>
  <c r="L863" i="10" s="1"/>
  <c r="N863" i="10" s="1"/>
  <c r="AT862" i="10"/>
  <c r="AE862" i="10"/>
  <c r="AF862" i="10"/>
  <c r="BB872" i="10"/>
  <c r="BC872" i="10" s="1"/>
  <c r="AS872" i="10"/>
  <c r="Y872" i="10"/>
  <c r="A873" i="10"/>
  <c r="B872" i="10"/>
  <c r="Z189" i="10"/>
  <c r="AR189" i="10" s="1"/>
  <c r="R870" i="10"/>
  <c r="AU861" i="10"/>
  <c r="H870" i="10"/>
  <c r="D870" i="10"/>
  <c r="F870" i="10" s="1"/>
  <c r="G870" i="10" s="1"/>
  <c r="V870" i="10" s="1"/>
  <c r="K871" i="10"/>
  <c r="C871" i="10"/>
  <c r="I871" i="10" s="1"/>
  <c r="M871" i="10"/>
  <c r="E871" i="10"/>
  <c r="O863" i="10" l="1"/>
  <c r="P863" i="10" s="1"/>
  <c r="J864" i="10" s="1"/>
  <c r="L864" i="10" s="1"/>
  <c r="N864" i="10" s="1"/>
  <c r="AT863" i="10"/>
  <c r="AE863" i="10"/>
  <c r="AF863" i="10"/>
  <c r="R871" i="10"/>
  <c r="Q190" i="10"/>
  <c r="H871" i="10"/>
  <c r="D871" i="10"/>
  <c r="F871" i="10" s="1"/>
  <c r="G871" i="10" s="1"/>
  <c r="V871" i="10" s="1"/>
  <c r="AA189" i="10"/>
  <c r="AU862" i="10"/>
  <c r="C872" i="10"/>
  <c r="I872" i="10" s="1"/>
  <c r="K872" i="10"/>
  <c r="M872" i="10"/>
  <c r="E872" i="10"/>
  <c r="BB873" i="10"/>
  <c r="BC873" i="10" s="1"/>
  <c r="AS873" i="10"/>
  <c r="Y873" i="10"/>
  <c r="A874" i="10"/>
  <c r="B873" i="10"/>
  <c r="O864" i="10" l="1"/>
  <c r="P864" i="10" s="1"/>
  <c r="J865" i="10" s="1"/>
  <c r="L865" i="10" s="1"/>
  <c r="N865" i="10" s="1"/>
  <c r="AT864" i="10"/>
  <c r="AE864" i="10"/>
  <c r="AF864" i="10"/>
  <c r="AU863" i="10"/>
  <c r="M873" i="10"/>
  <c r="K873" i="10"/>
  <c r="C873" i="10"/>
  <c r="I873" i="10" s="1"/>
  <c r="E873" i="10"/>
  <c r="H872" i="10"/>
  <c r="D872" i="10"/>
  <c r="F872" i="10" s="1"/>
  <c r="G872" i="10" s="1"/>
  <c r="V872" i="10" s="1"/>
  <c r="Y874" i="10"/>
  <c r="BB874" i="10"/>
  <c r="BC874" i="10" s="1"/>
  <c r="A875" i="10"/>
  <c r="AS874" i="10"/>
  <c r="B874" i="10"/>
  <c r="AJ189" i="10"/>
  <c r="AI189" i="10"/>
  <c r="AG189" i="10"/>
  <c r="AK189" i="10"/>
  <c r="AX189" i="10" s="1"/>
  <c r="R872" i="10"/>
  <c r="AB190" i="10"/>
  <c r="AV189" i="10" s="1"/>
  <c r="S190" i="10"/>
  <c r="AM190" i="10"/>
  <c r="AC190" i="10"/>
  <c r="BA189" i="10" l="1"/>
  <c r="O865" i="10"/>
  <c r="P865" i="10" s="1"/>
  <c r="J866" i="10" s="1"/>
  <c r="L866" i="10" s="1"/>
  <c r="N866" i="10" s="1"/>
  <c r="AT865" i="10"/>
  <c r="AE865" i="10"/>
  <c r="AF865" i="10"/>
  <c r="R873" i="10"/>
  <c r="M874" i="10"/>
  <c r="C874" i="10"/>
  <c r="I874" i="10" s="1"/>
  <c r="K874" i="10"/>
  <c r="E874" i="10"/>
  <c r="H873" i="10"/>
  <c r="D873" i="10"/>
  <c r="F873" i="10" s="1"/>
  <c r="G873" i="10" s="1"/>
  <c r="V873" i="10" s="1"/>
  <c r="AU864" i="10"/>
  <c r="AH189" i="10"/>
  <c r="AO189" i="10"/>
  <c r="AY189" i="10" s="1"/>
  <c r="A876" i="10"/>
  <c r="BB875" i="10"/>
  <c r="BC875" i="10" s="1"/>
  <c r="Y875" i="10"/>
  <c r="AS875" i="10"/>
  <c r="B875" i="10"/>
  <c r="T190" i="10"/>
  <c r="AQ190" i="10" s="1"/>
  <c r="AD190" i="10"/>
  <c r="U190" i="10"/>
  <c r="W190" i="10" s="1"/>
  <c r="AP190" i="10" s="1"/>
  <c r="AL189" i="10"/>
  <c r="AN189" i="10" l="1"/>
  <c r="AW189" i="10" s="1"/>
  <c r="O866" i="10"/>
  <c r="P866" i="10" s="1"/>
  <c r="J867" i="10" s="1"/>
  <c r="L867" i="10" s="1"/>
  <c r="N867" i="10" s="1"/>
  <c r="AE866" i="10"/>
  <c r="AT866" i="10"/>
  <c r="AF866" i="10"/>
  <c r="X190" i="10"/>
  <c r="A877" i="10"/>
  <c r="AS876" i="10"/>
  <c r="BB876" i="10"/>
  <c r="BC876" i="10" s="1"/>
  <c r="Y876" i="10"/>
  <c r="B876" i="10"/>
  <c r="R874" i="10"/>
  <c r="AU865" i="10"/>
  <c r="AZ189" i="10"/>
  <c r="BD189" i="10"/>
  <c r="H874" i="10"/>
  <c r="D874" i="10"/>
  <c r="F874" i="10" s="1"/>
  <c r="G874" i="10" s="1"/>
  <c r="V874" i="10" s="1"/>
  <c r="M875" i="10"/>
  <c r="C875" i="10"/>
  <c r="I875" i="10" s="1"/>
  <c r="K875" i="10"/>
  <c r="E875" i="10"/>
  <c r="O867" i="10" l="1"/>
  <c r="P867" i="10" s="1"/>
  <c r="J868" i="10" s="1"/>
  <c r="L868" i="10" s="1"/>
  <c r="N868" i="10" s="1"/>
  <c r="AT867" i="10"/>
  <c r="AE867" i="10"/>
  <c r="AF867" i="10"/>
  <c r="R875" i="10"/>
  <c r="M876" i="10"/>
  <c r="C876" i="10"/>
  <c r="I876" i="10" s="1"/>
  <c r="K876" i="10"/>
  <c r="E876" i="10"/>
  <c r="H875" i="10"/>
  <c r="D875" i="10"/>
  <c r="F875" i="10" s="1"/>
  <c r="G875" i="10" s="1"/>
  <c r="V875" i="10" s="1"/>
  <c r="AU866" i="10"/>
  <c r="A878" i="10"/>
  <c r="AS877" i="10"/>
  <c r="BB877" i="10"/>
  <c r="BC877" i="10" s="1"/>
  <c r="Y877" i="10"/>
  <c r="B877" i="10"/>
  <c r="Z190" i="10"/>
  <c r="AR190" i="10" s="1"/>
  <c r="O868" i="10" l="1"/>
  <c r="P868" i="10" s="1"/>
  <c r="J869" i="10" s="1"/>
  <c r="L869" i="10" s="1"/>
  <c r="N869" i="10" s="1"/>
  <c r="AT868" i="10"/>
  <c r="AE868" i="10"/>
  <c r="AF868" i="10"/>
  <c r="A879" i="10"/>
  <c r="BB878" i="10"/>
  <c r="BC878" i="10" s="1"/>
  <c r="AS878" i="10"/>
  <c r="Y878" i="10"/>
  <c r="B878" i="10"/>
  <c r="R876" i="10"/>
  <c r="AU867" i="10"/>
  <c r="Q191" i="10"/>
  <c r="AA190" i="10"/>
  <c r="H876" i="10"/>
  <c r="D876" i="10"/>
  <c r="F876" i="10" s="1"/>
  <c r="G876" i="10" s="1"/>
  <c r="V876" i="10" s="1"/>
  <c r="M877" i="10"/>
  <c r="C877" i="10"/>
  <c r="I877" i="10" s="1"/>
  <c r="K877" i="10"/>
  <c r="E877" i="10"/>
  <c r="O869" i="10" l="1"/>
  <c r="P869" i="10" s="1"/>
  <c r="J870" i="10" s="1"/>
  <c r="L870" i="10" s="1"/>
  <c r="N870" i="10" s="1"/>
  <c r="AE869" i="10"/>
  <c r="AT869" i="10"/>
  <c r="AF869" i="10"/>
  <c r="BB879" i="10"/>
  <c r="BC879" i="10" s="1"/>
  <c r="AS879" i="10"/>
  <c r="Y879" i="10"/>
  <c r="A880" i="10"/>
  <c r="B879" i="10"/>
  <c r="AJ190" i="10"/>
  <c r="AI190" i="10"/>
  <c r="AG190" i="10"/>
  <c r="AK190" i="10"/>
  <c r="AX190" i="10" s="1"/>
  <c r="AU868" i="10"/>
  <c r="C878" i="10"/>
  <c r="I878" i="10" s="1"/>
  <c r="K878" i="10"/>
  <c r="M878" i="10"/>
  <c r="E878" i="10"/>
  <c r="R877" i="10"/>
  <c r="AB191" i="10"/>
  <c r="AV190" i="10" s="1"/>
  <c r="S191" i="10"/>
  <c r="AC191" i="10"/>
  <c r="AM191" i="10"/>
  <c r="H877" i="10"/>
  <c r="D877" i="10"/>
  <c r="F877" i="10" s="1"/>
  <c r="G877" i="10" s="1"/>
  <c r="V877" i="10" s="1"/>
  <c r="AL190" i="10" l="1"/>
  <c r="O870" i="10"/>
  <c r="P870" i="10" s="1"/>
  <c r="J871" i="10" s="1"/>
  <c r="L871" i="10" s="1"/>
  <c r="N871" i="10" s="1"/>
  <c r="AE870" i="10"/>
  <c r="AT870" i="10"/>
  <c r="AF870" i="10"/>
  <c r="BA190" i="10"/>
  <c r="T191" i="10"/>
  <c r="AQ191" i="10" s="1"/>
  <c r="AD191" i="10"/>
  <c r="U191" i="10"/>
  <c r="W191" i="10" s="1"/>
  <c r="AP191" i="10" s="1"/>
  <c r="H878" i="10"/>
  <c r="D878" i="10"/>
  <c r="F878" i="10" s="1"/>
  <c r="G878" i="10" s="1"/>
  <c r="V878" i="10" s="1"/>
  <c r="K879" i="10"/>
  <c r="M879" i="10"/>
  <c r="C879" i="10"/>
  <c r="I879" i="10" s="1"/>
  <c r="E879" i="10"/>
  <c r="BB880" i="10"/>
  <c r="BC880" i="10" s="1"/>
  <c r="AS880" i="10"/>
  <c r="Y880" i="10"/>
  <c r="A881" i="10"/>
  <c r="B880" i="10"/>
  <c r="AU869" i="10"/>
  <c r="AH190" i="10"/>
  <c r="AN190" i="10" s="1"/>
  <c r="AW190" i="10" s="1"/>
  <c r="AO190" i="10"/>
  <c r="AY190" i="10" s="1"/>
  <c r="R878" i="10"/>
  <c r="O871" i="10" l="1"/>
  <c r="P871" i="10" s="1"/>
  <c r="J872" i="10" s="1"/>
  <c r="L872" i="10" s="1"/>
  <c r="N872" i="10" s="1"/>
  <c r="AE871" i="10"/>
  <c r="AT871" i="10"/>
  <c r="AF871" i="10"/>
  <c r="AZ190" i="10"/>
  <c r="BD190" i="10"/>
  <c r="BB881" i="10"/>
  <c r="BC881" i="10" s="1"/>
  <c r="AS881" i="10"/>
  <c r="Y881" i="10"/>
  <c r="A882" i="10"/>
  <c r="B881" i="10"/>
  <c r="X191" i="10"/>
  <c r="R879" i="10"/>
  <c r="AU870" i="10"/>
  <c r="H879" i="10"/>
  <c r="D879" i="10"/>
  <c r="F879" i="10" s="1"/>
  <c r="G879" i="10" s="1"/>
  <c r="V879" i="10" s="1"/>
  <c r="K880" i="10"/>
  <c r="C880" i="10"/>
  <c r="I880" i="10" s="1"/>
  <c r="M880" i="10"/>
  <c r="E880" i="10"/>
  <c r="O872" i="10" l="1"/>
  <c r="P872" i="10" s="1"/>
  <c r="J873" i="10" s="1"/>
  <c r="L873" i="10" s="1"/>
  <c r="N873" i="10" s="1"/>
  <c r="AT872" i="10"/>
  <c r="AE872" i="10"/>
  <c r="AF872" i="10"/>
  <c r="R880" i="10"/>
  <c r="K881" i="10"/>
  <c r="M881" i="10"/>
  <c r="C881" i="10"/>
  <c r="I881" i="10" s="1"/>
  <c r="E881" i="10"/>
  <c r="H880" i="10"/>
  <c r="D880" i="10"/>
  <c r="F880" i="10" s="1"/>
  <c r="G880" i="10" s="1"/>
  <c r="V880" i="10" s="1"/>
  <c r="Y882" i="10"/>
  <c r="AS882" i="10"/>
  <c r="A883" i="10"/>
  <c r="BB882" i="10"/>
  <c r="BC882" i="10" s="1"/>
  <c r="B882" i="10"/>
  <c r="AU871" i="10"/>
  <c r="Z191" i="10"/>
  <c r="AR191" i="10" s="1"/>
  <c r="O873" i="10" l="1"/>
  <c r="P873" i="10" s="1"/>
  <c r="J874" i="10" s="1"/>
  <c r="L874" i="10" s="1"/>
  <c r="N874" i="10" s="1"/>
  <c r="AE873" i="10"/>
  <c r="AT873" i="10"/>
  <c r="AF873" i="10"/>
  <c r="AU872" i="10"/>
  <c r="AA191" i="10"/>
  <c r="A884" i="10"/>
  <c r="AS883" i="10"/>
  <c r="Y883" i="10"/>
  <c r="BB883" i="10"/>
  <c r="BC883" i="10" s="1"/>
  <c r="B883" i="10"/>
  <c r="R881" i="10"/>
  <c r="M882" i="10"/>
  <c r="C882" i="10"/>
  <c r="I882" i="10" s="1"/>
  <c r="K882" i="10"/>
  <c r="E882" i="10"/>
  <c r="H881" i="10"/>
  <c r="D881" i="10"/>
  <c r="F881" i="10" s="1"/>
  <c r="G881" i="10" s="1"/>
  <c r="V881" i="10" s="1"/>
  <c r="Q192" i="10"/>
  <c r="O874" i="10" l="1"/>
  <c r="P874" i="10" s="1"/>
  <c r="J875" i="10" s="1"/>
  <c r="L875" i="10" s="1"/>
  <c r="N875" i="10" s="1"/>
  <c r="AT874" i="10"/>
  <c r="AE874" i="10"/>
  <c r="AF874" i="10"/>
  <c r="R882" i="10"/>
  <c r="A885" i="10"/>
  <c r="Y884" i="10"/>
  <c r="BB884" i="10"/>
  <c r="BC884" i="10" s="1"/>
  <c r="AS884" i="10"/>
  <c r="B884" i="10"/>
  <c r="AU873" i="10"/>
  <c r="AJ191" i="10"/>
  <c r="AI191" i="10"/>
  <c r="AG191" i="10"/>
  <c r="AK191" i="10"/>
  <c r="AX191" i="10" s="1"/>
  <c r="H882" i="10"/>
  <c r="D882" i="10"/>
  <c r="F882" i="10" s="1"/>
  <c r="G882" i="10" s="1"/>
  <c r="V882" i="10" s="1"/>
  <c r="AB192" i="10"/>
  <c r="AV191" i="10" s="1"/>
  <c r="S192" i="10"/>
  <c r="AM192" i="10"/>
  <c r="AC192" i="10"/>
  <c r="M883" i="10"/>
  <c r="C883" i="10"/>
  <c r="I883" i="10" s="1"/>
  <c r="K883" i="10"/>
  <c r="E883" i="10"/>
  <c r="AL191" i="10" l="1"/>
  <c r="O875" i="10"/>
  <c r="P875" i="10"/>
  <c r="J876" i="10" s="1"/>
  <c r="L876" i="10" s="1"/>
  <c r="N876" i="10" s="1"/>
  <c r="AE875" i="10"/>
  <c r="AT875" i="10"/>
  <c r="AF875" i="10"/>
  <c r="AH191" i="10"/>
  <c r="AO191" i="10"/>
  <c r="AY191" i="10" s="1"/>
  <c r="AU874" i="10"/>
  <c r="R883" i="10"/>
  <c r="A886" i="10"/>
  <c r="BB885" i="10"/>
  <c r="BC885" i="10" s="1"/>
  <c r="AS885" i="10"/>
  <c r="Y885" i="10"/>
  <c r="B885" i="10"/>
  <c r="H883" i="10"/>
  <c r="D883" i="10"/>
  <c r="F883" i="10" s="1"/>
  <c r="G883" i="10" s="1"/>
  <c r="V883" i="10" s="1"/>
  <c r="M884" i="10"/>
  <c r="C884" i="10"/>
  <c r="I884" i="10" s="1"/>
  <c r="K884" i="10"/>
  <c r="E884" i="10"/>
  <c r="BA191" i="10"/>
  <c r="T192" i="10"/>
  <c r="AQ192" i="10" s="1"/>
  <c r="AD192" i="10"/>
  <c r="U192" i="10"/>
  <c r="W192" i="10" s="1"/>
  <c r="AP192" i="10" s="1"/>
  <c r="AN191" i="10" l="1"/>
  <c r="AW191" i="10" s="1"/>
  <c r="O876" i="10"/>
  <c r="P876" i="10" s="1"/>
  <c r="J877" i="10" s="1"/>
  <c r="L877" i="10" s="1"/>
  <c r="N877" i="10" s="1"/>
  <c r="AT876" i="10"/>
  <c r="AE876" i="10"/>
  <c r="AF876" i="10"/>
  <c r="R884" i="10"/>
  <c r="H884" i="10"/>
  <c r="D884" i="10"/>
  <c r="F884" i="10" s="1"/>
  <c r="G884" i="10" s="1"/>
  <c r="V884" i="10" s="1"/>
  <c r="M885" i="10"/>
  <c r="C885" i="10"/>
  <c r="I885" i="10" s="1"/>
  <c r="K885" i="10"/>
  <c r="E885" i="10"/>
  <c r="AU875" i="10"/>
  <c r="X192" i="10"/>
  <c r="A887" i="10"/>
  <c r="BB886" i="10"/>
  <c r="BC886" i="10" s="1"/>
  <c r="AS886" i="10"/>
  <c r="Y886" i="10"/>
  <c r="B886" i="10"/>
  <c r="AZ191" i="10"/>
  <c r="BD191" i="10"/>
  <c r="O877" i="10" l="1"/>
  <c r="P877" i="10" s="1"/>
  <c r="J878" i="10" s="1"/>
  <c r="L878" i="10" s="1"/>
  <c r="N878" i="10" s="1"/>
  <c r="AE877" i="10"/>
  <c r="AT877" i="10"/>
  <c r="AF877" i="10"/>
  <c r="Z192" i="10"/>
  <c r="AR192" i="10" s="1"/>
  <c r="C886" i="10"/>
  <c r="I886" i="10" s="1"/>
  <c r="K886" i="10"/>
  <c r="M886" i="10"/>
  <c r="E886" i="10"/>
  <c r="R885" i="10"/>
  <c r="AU876" i="10"/>
  <c r="BB887" i="10"/>
  <c r="BC887" i="10" s="1"/>
  <c r="AS887" i="10"/>
  <c r="Y887" i="10"/>
  <c r="A888" i="10"/>
  <c r="B887" i="10"/>
  <c r="H885" i="10"/>
  <c r="D885" i="10"/>
  <c r="F885" i="10" s="1"/>
  <c r="G885" i="10" s="1"/>
  <c r="V885" i="10" s="1"/>
  <c r="O878" i="10" l="1"/>
  <c r="P878" i="10" s="1"/>
  <c r="J879" i="10" s="1"/>
  <c r="L879" i="10" s="1"/>
  <c r="N879" i="10" s="1"/>
  <c r="AT878" i="10"/>
  <c r="AE878" i="10"/>
  <c r="AF878" i="10"/>
  <c r="R886" i="10"/>
  <c r="K887" i="10"/>
  <c r="C887" i="10"/>
  <c r="I887" i="10" s="1"/>
  <c r="M887" i="10"/>
  <c r="E887" i="10"/>
  <c r="AU877" i="10"/>
  <c r="BB888" i="10"/>
  <c r="BC888" i="10" s="1"/>
  <c r="AS888" i="10"/>
  <c r="Y888" i="10"/>
  <c r="A889" i="10"/>
  <c r="B888" i="10"/>
  <c r="H886" i="10"/>
  <c r="D886" i="10"/>
  <c r="F886" i="10" s="1"/>
  <c r="G886" i="10" s="1"/>
  <c r="V886" i="10" s="1"/>
  <c r="Q193" i="10"/>
  <c r="AA192" i="10"/>
  <c r="O879" i="10" l="1"/>
  <c r="P879" i="10" s="1"/>
  <c r="J880" i="10" s="1"/>
  <c r="L880" i="10" s="1"/>
  <c r="N880" i="10" s="1"/>
  <c r="AT879" i="10"/>
  <c r="AE879" i="10"/>
  <c r="AF879" i="10"/>
  <c r="BB889" i="10"/>
  <c r="BC889" i="10" s="1"/>
  <c r="AS889" i="10"/>
  <c r="Y889" i="10"/>
  <c r="A890" i="10"/>
  <c r="B889" i="10"/>
  <c r="AU878" i="10"/>
  <c r="C888" i="10"/>
  <c r="I888" i="10" s="1"/>
  <c r="M888" i="10"/>
  <c r="K888" i="10"/>
  <c r="E888" i="10"/>
  <c r="R887" i="10"/>
  <c r="H887" i="10"/>
  <c r="D887" i="10"/>
  <c r="F887" i="10" s="1"/>
  <c r="G887" i="10" s="1"/>
  <c r="V887" i="10" s="1"/>
  <c r="AJ192" i="10"/>
  <c r="AI192" i="10"/>
  <c r="AG192" i="10"/>
  <c r="AK192" i="10"/>
  <c r="AX192" i="10" s="1"/>
  <c r="AB193" i="10"/>
  <c r="AV192" i="10" s="1"/>
  <c r="S193" i="10"/>
  <c r="AC193" i="10"/>
  <c r="AM193" i="10"/>
  <c r="AL192" i="10" l="1"/>
  <c r="O880" i="10"/>
  <c r="P880" i="10" s="1"/>
  <c r="J881" i="10" s="1"/>
  <c r="L881" i="10" s="1"/>
  <c r="N881" i="10" s="1"/>
  <c r="AE880" i="10"/>
  <c r="AT880" i="10"/>
  <c r="AF880" i="10"/>
  <c r="R888" i="10"/>
  <c r="AU879" i="10"/>
  <c r="BA192" i="10"/>
  <c r="M889" i="10"/>
  <c r="C889" i="10"/>
  <c r="I889" i="10" s="1"/>
  <c r="K889" i="10"/>
  <c r="E889" i="10"/>
  <c r="T193" i="10"/>
  <c r="AQ193" i="10" s="1"/>
  <c r="AD193" i="10"/>
  <c r="U193" i="10"/>
  <c r="W193" i="10" s="1"/>
  <c r="AP193" i="10" s="1"/>
  <c r="H888" i="10"/>
  <c r="D888" i="10"/>
  <c r="F888" i="10" s="1"/>
  <c r="G888" i="10" s="1"/>
  <c r="V888" i="10" s="1"/>
  <c r="Y890" i="10"/>
  <c r="BB890" i="10"/>
  <c r="BC890" i="10" s="1"/>
  <c r="A891" i="10"/>
  <c r="AS890" i="10"/>
  <c r="B890" i="10"/>
  <c r="AH192" i="10"/>
  <c r="AO192" i="10"/>
  <c r="AY192" i="10" s="1"/>
  <c r="AN192" i="10" l="1"/>
  <c r="AW192" i="10" s="1"/>
  <c r="BD192" i="10" s="1"/>
  <c r="O881" i="10"/>
  <c r="P881" i="10" s="1"/>
  <c r="J882" i="10" s="1"/>
  <c r="L882" i="10" s="1"/>
  <c r="N882" i="10" s="1"/>
  <c r="AT881" i="10"/>
  <c r="AE881" i="10"/>
  <c r="AF881" i="10"/>
  <c r="A892" i="10"/>
  <c r="BB891" i="10"/>
  <c r="BC891" i="10" s="1"/>
  <c r="Y891" i="10"/>
  <c r="AS891" i="10"/>
  <c r="B891" i="10"/>
  <c r="R889" i="10"/>
  <c r="AU880" i="10"/>
  <c r="H889" i="10"/>
  <c r="D889" i="10"/>
  <c r="F889" i="10" s="1"/>
  <c r="G889" i="10" s="1"/>
  <c r="V889" i="10" s="1"/>
  <c r="AZ192" i="10"/>
  <c r="M890" i="10"/>
  <c r="C890" i="10"/>
  <c r="I890" i="10" s="1"/>
  <c r="K890" i="10"/>
  <c r="E890" i="10"/>
  <c r="X193" i="10"/>
  <c r="O882" i="10" l="1"/>
  <c r="P882" i="10" s="1"/>
  <c r="J883" i="10" s="1"/>
  <c r="L883" i="10" s="1"/>
  <c r="N883" i="10" s="1"/>
  <c r="AE882" i="10"/>
  <c r="AT882" i="10"/>
  <c r="AF882" i="10"/>
  <c r="H890" i="10"/>
  <c r="D890" i="10"/>
  <c r="F890" i="10" s="1"/>
  <c r="G890" i="10" s="1"/>
  <c r="V890" i="10" s="1"/>
  <c r="AU881" i="10"/>
  <c r="M891" i="10"/>
  <c r="C891" i="10"/>
  <c r="I891" i="10" s="1"/>
  <c r="K891" i="10"/>
  <c r="E891" i="10"/>
  <c r="Z193" i="10"/>
  <c r="AR193" i="10" s="1"/>
  <c r="R890" i="10"/>
  <c r="A893" i="10"/>
  <c r="Y892" i="10"/>
  <c r="AS892" i="10"/>
  <c r="BB892" i="10"/>
  <c r="BC892" i="10" s="1"/>
  <c r="B892" i="10"/>
  <c r="O883" i="10" l="1"/>
  <c r="P883" i="10"/>
  <c r="J884" i="10" s="1"/>
  <c r="L884" i="10" s="1"/>
  <c r="N884" i="10" s="1"/>
  <c r="AT883" i="10"/>
  <c r="AE883" i="10"/>
  <c r="AF883" i="10"/>
  <c r="Q194" i="10"/>
  <c r="AA193" i="10"/>
  <c r="A894" i="10"/>
  <c r="Y893" i="10"/>
  <c r="AS893" i="10"/>
  <c r="BB893" i="10"/>
  <c r="BC893" i="10" s="1"/>
  <c r="B893" i="10"/>
  <c r="AU882" i="10"/>
  <c r="R891" i="10"/>
  <c r="H891" i="10"/>
  <c r="D891" i="10"/>
  <c r="F891" i="10" s="1"/>
  <c r="G891" i="10" s="1"/>
  <c r="V891" i="10" s="1"/>
  <c r="M892" i="10"/>
  <c r="C892" i="10"/>
  <c r="I892" i="10" s="1"/>
  <c r="K892" i="10"/>
  <c r="E892" i="10"/>
  <c r="O884" i="10" l="1"/>
  <c r="P884" i="10" s="1"/>
  <c r="J885" i="10" s="1"/>
  <c r="L885" i="10" s="1"/>
  <c r="N885" i="10" s="1"/>
  <c r="AT884" i="10"/>
  <c r="AE884" i="10"/>
  <c r="AF884" i="10"/>
  <c r="R892" i="10"/>
  <c r="AU883" i="10"/>
  <c r="H892" i="10"/>
  <c r="D892" i="10"/>
  <c r="F892" i="10" s="1"/>
  <c r="G892" i="10" s="1"/>
  <c r="V892" i="10" s="1"/>
  <c r="A895" i="10"/>
  <c r="Y894" i="10"/>
  <c r="AS894" i="10"/>
  <c r="BB894" i="10"/>
  <c r="BC894" i="10" s="1"/>
  <c r="B894" i="10"/>
  <c r="AJ193" i="10"/>
  <c r="AI193" i="10"/>
  <c r="AG193" i="10"/>
  <c r="AK193" i="10"/>
  <c r="AX193" i="10" s="1"/>
  <c r="AB194" i="10"/>
  <c r="AV193" i="10" s="1"/>
  <c r="S194" i="10"/>
  <c r="AM194" i="10"/>
  <c r="AC194" i="10"/>
  <c r="M893" i="10"/>
  <c r="C893" i="10"/>
  <c r="I893" i="10" s="1"/>
  <c r="K893" i="10"/>
  <c r="E893" i="10"/>
  <c r="O885" i="10" l="1"/>
  <c r="P885" i="10" s="1"/>
  <c r="J886" i="10" s="1"/>
  <c r="L886" i="10" s="1"/>
  <c r="N886" i="10" s="1"/>
  <c r="AT885" i="10"/>
  <c r="AE885" i="10"/>
  <c r="AF885" i="10"/>
  <c r="T194" i="10"/>
  <c r="AQ194" i="10" s="1"/>
  <c r="AD194" i="10"/>
  <c r="U194" i="10"/>
  <c r="W194" i="10" s="1"/>
  <c r="AP194" i="10" s="1"/>
  <c r="M894" i="10"/>
  <c r="C894" i="10"/>
  <c r="I894" i="10" s="1"/>
  <c r="K894" i="10"/>
  <c r="E894" i="10"/>
  <c r="AU884" i="10"/>
  <c r="R893" i="10"/>
  <c r="H893" i="10"/>
  <c r="D893" i="10"/>
  <c r="F893" i="10" s="1"/>
  <c r="G893" i="10" s="1"/>
  <c r="V893" i="10" s="1"/>
  <c r="AH193" i="10"/>
  <c r="AO193" i="10"/>
  <c r="AY193" i="10" s="1"/>
  <c r="A896" i="10"/>
  <c r="Y895" i="10"/>
  <c r="AS895" i="10"/>
  <c r="BB895" i="10"/>
  <c r="BC895" i="10" s="1"/>
  <c r="B895" i="10"/>
  <c r="BA193" i="10"/>
  <c r="AL193" i="10"/>
  <c r="O886" i="10" l="1"/>
  <c r="P886" i="10" s="1"/>
  <c r="J887" i="10" s="1"/>
  <c r="L887" i="10" s="1"/>
  <c r="N887" i="10" s="1"/>
  <c r="AE886" i="10"/>
  <c r="AT886" i="10"/>
  <c r="AF886" i="10"/>
  <c r="R894" i="10"/>
  <c r="A897" i="10"/>
  <c r="Y896" i="10"/>
  <c r="AS896" i="10"/>
  <c r="BB896" i="10"/>
  <c r="BC896" i="10" s="1"/>
  <c r="B896" i="10"/>
  <c r="H894" i="10"/>
  <c r="D894" i="10"/>
  <c r="F894" i="10" s="1"/>
  <c r="G894" i="10" s="1"/>
  <c r="V894" i="10" s="1"/>
  <c r="AU885" i="10"/>
  <c r="AN193" i="10"/>
  <c r="AW193" i="10" s="1"/>
  <c r="X194" i="10"/>
  <c r="K895" i="10"/>
  <c r="C895" i="10"/>
  <c r="I895" i="10" s="1"/>
  <c r="M895" i="10"/>
  <c r="E895" i="10"/>
  <c r="O887" i="10" l="1"/>
  <c r="P887" i="10" s="1"/>
  <c r="J888" i="10" s="1"/>
  <c r="L888" i="10" s="1"/>
  <c r="N888" i="10" s="1"/>
  <c r="AT887" i="10"/>
  <c r="AE887" i="10"/>
  <c r="AF887" i="10"/>
  <c r="H895" i="10"/>
  <c r="D895" i="10"/>
  <c r="F895" i="10" s="1"/>
  <c r="G895" i="10" s="1"/>
  <c r="V895" i="10" s="1"/>
  <c r="A898" i="10"/>
  <c r="Y897" i="10"/>
  <c r="AS897" i="10"/>
  <c r="BB897" i="10"/>
  <c r="BC897" i="10" s="1"/>
  <c r="B897" i="10"/>
  <c r="Z194" i="10"/>
  <c r="AR194" i="10" s="1"/>
  <c r="AU886" i="10"/>
  <c r="AZ193" i="10"/>
  <c r="BD193" i="10"/>
  <c r="K896" i="10"/>
  <c r="C896" i="10"/>
  <c r="I896" i="10" s="1"/>
  <c r="M896" i="10"/>
  <c r="E896" i="10"/>
  <c r="R895" i="10"/>
  <c r="O888" i="10" l="1"/>
  <c r="P888" i="10" s="1"/>
  <c r="J889" i="10" s="1"/>
  <c r="L889" i="10" s="1"/>
  <c r="N889" i="10" s="1"/>
  <c r="AE888" i="10"/>
  <c r="AT888" i="10"/>
  <c r="AF888" i="10"/>
  <c r="R896" i="10"/>
  <c r="AU887" i="10"/>
  <c r="Q195" i="10"/>
  <c r="H896" i="10"/>
  <c r="D896" i="10"/>
  <c r="F896" i="10" s="1"/>
  <c r="G896" i="10" s="1"/>
  <c r="V896" i="10" s="1"/>
  <c r="AA194" i="10"/>
  <c r="A899" i="10"/>
  <c r="Y898" i="10"/>
  <c r="AS898" i="10"/>
  <c r="BB898" i="10"/>
  <c r="BC898" i="10" s="1"/>
  <c r="B898" i="10"/>
  <c r="M897" i="10"/>
  <c r="C897" i="10"/>
  <c r="I897" i="10" s="1"/>
  <c r="K897" i="10"/>
  <c r="E897" i="10"/>
  <c r="O889" i="10" l="1"/>
  <c r="P889" i="10" s="1"/>
  <c r="J890" i="10" s="1"/>
  <c r="L890" i="10" s="1"/>
  <c r="N890" i="10" s="1"/>
  <c r="AT889" i="10"/>
  <c r="AE889" i="10"/>
  <c r="AF889" i="10"/>
  <c r="AB195" i="10"/>
  <c r="AV194" i="10" s="1"/>
  <c r="S195" i="10"/>
  <c r="AC195" i="10"/>
  <c r="AM195" i="10"/>
  <c r="H897" i="10"/>
  <c r="D897" i="10"/>
  <c r="F897" i="10" s="1"/>
  <c r="G897" i="10" s="1"/>
  <c r="V897" i="10" s="1"/>
  <c r="Y899" i="10"/>
  <c r="BB899" i="10"/>
  <c r="BC899" i="10" s="1"/>
  <c r="AS899" i="10"/>
  <c r="A900" i="10"/>
  <c r="B899" i="10"/>
  <c r="AU888" i="10"/>
  <c r="AJ194" i="10"/>
  <c r="AI194" i="10"/>
  <c r="AG194" i="10"/>
  <c r="AK194" i="10"/>
  <c r="AX194" i="10" s="1"/>
  <c r="R897" i="10"/>
  <c r="C898" i="10"/>
  <c r="I898" i="10" s="1"/>
  <c r="K898" i="10"/>
  <c r="M898" i="10"/>
  <c r="E898" i="10"/>
  <c r="BA194" i="10" l="1"/>
  <c r="O890" i="10"/>
  <c r="P890" i="10" s="1"/>
  <c r="J891" i="10" s="1"/>
  <c r="L891" i="10" s="1"/>
  <c r="N891" i="10" s="1"/>
  <c r="AE890" i="10"/>
  <c r="AT890" i="10"/>
  <c r="AF890" i="10"/>
  <c r="R898" i="10"/>
  <c r="C899" i="10"/>
  <c r="I899" i="10" s="1"/>
  <c r="M899" i="10"/>
  <c r="K899" i="10"/>
  <c r="E899" i="10"/>
  <c r="AU889" i="10"/>
  <c r="A901" i="10"/>
  <c r="Y900" i="10"/>
  <c r="AS900" i="10"/>
  <c r="BB900" i="10"/>
  <c r="BC900" i="10" s="1"/>
  <c r="B900" i="10"/>
  <c r="H898" i="10"/>
  <c r="D898" i="10"/>
  <c r="F898" i="10" s="1"/>
  <c r="G898" i="10" s="1"/>
  <c r="V898" i="10" s="1"/>
  <c r="AH194" i="10"/>
  <c r="AO194" i="10"/>
  <c r="AY194" i="10" s="1"/>
  <c r="T195" i="10"/>
  <c r="AQ195" i="10" s="1"/>
  <c r="AD195" i="10"/>
  <c r="U195" i="10"/>
  <c r="W195" i="10" s="1"/>
  <c r="AP195" i="10" s="1"/>
  <c r="AL194" i="10"/>
  <c r="X195" i="10" l="1"/>
  <c r="Z195" i="10" s="1"/>
  <c r="AR195" i="10" s="1"/>
  <c r="O891" i="10"/>
  <c r="P891" i="10"/>
  <c r="J892" i="10" s="1"/>
  <c r="L892" i="10" s="1"/>
  <c r="N892" i="10" s="1"/>
  <c r="AE891" i="10"/>
  <c r="AT891" i="10"/>
  <c r="AF891" i="10"/>
  <c r="K900" i="10"/>
  <c r="C900" i="10"/>
  <c r="I900" i="10" s="1"/>
  <c r="M900" i="10"/>
  <c r="E900" i="10"/>
  <c r="R899" i="10"/>
  <c r="H899" i="10"/>
  <c r="D899" i="10"/>
  <c r="F899" i="10" s="1"/>
  <c r="G899" i="10" s="1"/>
  <c r="V899" i="10" s="1"/>
  <c r="AU890" i="10"/>
  <c r="AN194" i="10"/>
  <c r="AW194" i="10" s="1"/>
  <c r="BB901" i="10"/>
  <c r="BC901" i="10" s="1"/>
  <c r="A902" i="10"/>
  <c r="AS901" i="10"/>
  <c r="Y901" i="10"/>
  <c r="B901" i="10"/>
  <c r="O892" i="10" l="1"/>
  <c r="P892" i="10" s="1"/>
  <c r="J893" i="10" s="1"/>
  <c r="L893" i="10" s="1"/>
  <c r="N893" i="10" s="1"/>
  <c r="AE892" i="10"/>
  <c r="AT892" i="10"/>
  <c r="AF892" i="10"/>
  <c r="K901" i="10"/>
  <c r="C901" i="10"/>
  <c r="I901" i="10" s="1"/>
  <c r="M901" i="10"/>
  <c r="E901" i="10"/>
  <c r="R900" i="10"/>
  <c r="H900" i="10"/>
  <c r="D900" i="10"/>
  <c r="F900" i="10" s="1"/>
  <c r="G900" i="10" s="1"/>
  <c r="V900" i="10" s="1"/>
  <c r="AU891" i="10"/>
  <c r="BB902" i="10"/>
  <c r="BC902" i="10" s="1"/>
  <c r="Y902" i="10"/>
  <c r="A903" i="10"/>
  <c r="AS902" i="10"/>
  <c r="B902" i="10"/>
  <c r="AZ194" i="10"/>
  <c r="BD194" i="10"/>
  <c r="Q196" i="10"/>
  <c r="AA195" i="10"/>
  <c r="O893" i="10" l="1"/>
  <c r="P893" i="10"/>
  <c r="J894" i="10" s="1"/>
  <c r="L894" i="10" s="1"/>
  <c r="N894" i="10" s="1"/>
  <c r="AE893" i="10"/>
  <c r="AT893" i="10"/>
  <c r="AF893" i="10"/>
  <c r="AU892" i="10"/>
  <c r="R901" i="10"/>
  <c r="AJ195" i="10"/>
  <c r="AI195" i="10"/>
  <c r="AG195" i="10"/>
  <c r="AK195" i="10"/>
  <c r="AX195" i="10" s="1"/>
  <c r="K902" i="10"/>
  <c r="C902" i="10"/>
  <c r="I902" i="10" s="1"/>
  <c r="M902" i="10"/>
  <c r="E902" i="10"/>
  <c r="AB196" i="10"/>
  <c r="AV195" i="10" s="1"/>
  <c r="S196" i="10"/>
  <c r="AM196" i="10"/>
  <c r="AC196" i="10"/>
  <c r="H901" i="10"/>
  <c r="D901" i="10"/>
  <c r="F901" i="10" s="1"/>
  <c r="G901" i="10" s="1"/>
  <c r="V901" i="10" s="1"/>
  <c r="BB903" i="10"/>
  <c r="BC903" i="10" s="1"/>
  <c r="AS903" i="10"/>
  <c r="Y903" i="10"/>
  <c r="A904" i="10"/>
  <c r="B903" i="10"/>
  <c r="BA195" i="10" l="1"/>
  <c r="O894" i="10"/>
  <c r="P894" i="10"/>
  <c r="J895" i="10" s="1"/>
  <c r="L895" i="10" s="1"/>
  <c r="N895" i="10" s="1"/>
  <c r="AE894" i="10"/>
  <c r="AT894" i="10"/>
  <c r="AF894" i="10"/>
  <c r="R902" i="10"/>
  <c r="H902" i="10"/>
  <c r="D902" i="10"/>
  <c r="F902" i="10" s="1"/>
  <c r="G902" i="10" s="1"/>
  <c r="V902" i="10" s="1"/>
  <c r="AU893" i="10"/>
  <c r="K903" i="10"/>
  <c r="M903" i="10"/>
  <c r="C903" i="10"/>
  <c r="I903" i="10" s="1"/>
  <c r="E903" i="10"/>
  <c r="BB904" i="10"/>
  <c r="BC904" i="10" s="1"/>
  <c r="AS904" i="10"/>
  <c r="A905" i="10"/>
  <c r="Y904" i="10"/>
  <c r="B904" i="10"/>
  <c r="T196" i="10"/>
  <c r="AQ196" i="10" s="1"/>
  <c r="AD196" i="10"/>
  <c r="U196" i="10"/>
  <c r="W196" i="10" s="1"/>
  <c r="AP196" i="10" s="1"/>
  <c r="AH195" i="10"/>
  <c r="AO195" i="10"/>
  <c r="AY195" i="10" s="1"/>
  <c r="AL195" i="10"/>
  <c r="O895" i="10" l="1"/>
  <c r="P895" i="10" s="1"/>
  <c r="J896" i="10" s="1"/>
  <c r="L896" i="10" s="1"/>
  <c r="N896" i="10" s="1"/>
  <c r="AT895" i="10"/>
  <c r="AE895" i="10"/>
  <c r="AF895" i="10"/>
  <c r="X196" i="10"/>
  <c r="R903" i="10"/>
  <c r="H903" i="10"/>
  <c r="D903" i="10"/>
  <c r="F903" i="10" s="1"/>
  <c r="G903" i="10" s="1"/>
  <c r="V903" i="10" s="1"/>
  <c r="AU894" i="10"/>
  <c r="M904" i="10"/>
  <c r="C904" i="10"/>
  <c r="I904" i="10" s="1"/>
  <c r="K904" i="10"/>
  <c r="E904" i="10"/>
  <c r="BB905" i="10"/>
  <c r="BC905" i="10" s="1"/>
  <c r="Y905" i="10"/>
  <c r="A906" i="10"/>
  <c r="AS905" i="10"/>
  <c r="B905" i="10"/>
  <c r="AN195" i="10"/>
  <c r="AW195" i="10" s="1"/>
  <c r="O896" i="10" l="1"/>
  <c r="P896" i="10" s="1"/>
  <c r="J897" i="10" s="1"/>
  <c r="L897" i="10" s="1"/>
  <c r="N897" i="10" s="1"/>
  <c r="AE896" i="10"/>
  <c r="AT896" i="10"/>
  <c r="AF896" i="10"/>
  <c r="AZ195" i="10"/>
  <c r="BD195" i="10"/>
  <c r="C905" i="10"/>
  <c r="I905" i="10" s="1"/>
  <c r="M905" i="10"/>
  <c r="K905" i="10"/>
  <c r="E905" i="10"/>
  <c r="R904" i="10"/>
  <c r="AU895" i="10"/>
  <c r="BB906" i="10"/>
  <c r="BC906" i="10" s="1"/>
  <c r="A907" i="10"/>
  <c r="AS906" i="10"/>
  <c r="Y906" i="10"/>
  <c r="B906" i="10"/>
  <c r="H904" i="10"/>
  <c r="D904" i="10"/>
  <c r="F904" i="10" s="1"/>
  <c r="G904" i="10" s="1"/>
  <c r="V904" i="10" s="1"/>
  <c r="Z196" i="10"/>
  <c r="AR196" i="10" s="1"/>
  <c r="AA196" i="10" l="1"/>
  <c r="AI196" i="10" s="1"/>
  <c r="O897" i="10"/>
  <c r="P897" i="10"/>
  <c r="J898" i="10" s="1"/>
  <c r="L898" i="10" s="1"/>
  <c r="N898" i="10" s="1"/>
  <c r="AT897" i="10"/>
  <c r="AE897" i="10"/>
  <c r="AF897" i="10"/>
  <c r="AJ196" i="10"/>
  <c r="BB907" i="10"/>
  <c r="BC907" i="10" s="1"/>
  <c r="A908" i="10"/>
  <c r="AS907" i="10"/>
  <c r="Y907" i="10"/>
  <c r="B907" i="10"/>
  <c r="R905" i="10"/>
  <c r="AU896" i="10"/>
  <c r="H905" i="10"/>
  <c r="D905" i="10"/>
  <c r="F905" i="10" s="1"/>
  <c r="G905" i="10" s="1"/>
  <c r="V905" i="10" s="1"/>
  <c r="C906" i="10"/>
  <c r="I906" i="10" s="1"/>
  <c r="M906" i="10"/>
  <c r="K906" i="10"/>
  <c r="E906" i="10"/>
  <c r="Q197" i="10"/>
  <c r="AK196" i="10" l="1"/>
  <c r="AX196" i="10" s="1"/>
  <c r="AG196" i="10"/>
  <c r="AO196" i="10" s="1"/>
  <c r="AY196" i="10" s="1"/>
  <c r="O898" i="10"/>
  <c r="P898" i="10" s="1"/>
  <c r="J899" i="10" s="1"/>
  <c r="L899" i="10" s="1"/>
  <c r="N899" i="10" s="1"/>
  <c r="AE898" i="10"/>
  <c r="AT898" i="10"/>
  <c r="AF898" i="10"/>
  <c r="AU897" i="10"/>
  <c r="H906" i="10"/>
  <c r="D906" i="10"/>
  <c r="F906" i="10" s="1"/>
  <c r="G906" i="10" s="1"/>
  <c r="V906" i="10" s="1"/>
  <c r="BB908" i="10"/>
  <c r="BC908" i="10" s="1"/>
  <c r="Y908" i="10"/>
  <c r="A909" i="10"/>
  <c r="AS908" i="10"/>
  <c r="B908" i="10"/>
  <c r="AB197" i="10"/>
  <c r="AV196" i="10" s="1"/>
  <c r="S197" i="10"/>
  <c r="AC197" i="10"/>
  <c r="BA196" i="10" s="1"/>
  <c r="AM197" i="10"/>
  <c r="R906" i="10"/>
  <c r="M907" i="10"/>
  <c r="K907" i="10"/>
  <c r="C907" i="10"/>
  <c r="I907" i="10" s="1"/>
  <c r="E907" i="10"/>
  <c r="AL196" i="10" l="1"/>
  <c r="AH196" i="10"/>
  <c r="AN196" i="10"/>
  <c r="AW196" i="10"/>
  <c r="AZ196" i="10" s="1"/>
  <c r="O899" i="10"/>
  <c r="P899" i="10"/>
  <c r="J900" i="10" s="1"/>
  <c r="L900" i="10" s="1"/>
  <c r="N900" i="10" s="1"/>
  <c r="AT899" i="10"/>
  <c r="AE899" i="10"/>
  <c r="AF899" i="10"/>
  <c r="AU898" i="10"/>
  <c r="R907" i="10"/>
  <c r="C908" i="10"/>
  <c r="I908" i="10" s="1"/>
  <c r="M908" i="10"/>
  <c r="K908" i="10"/>
  <c r="E908" i="10"/>
  <c r="H907" i="10"/>
  <c r="D907" i="10"/>
  <c r="F907" i="10" s="1"/>
  <c r="G907" i="10" s="1"/>
  <c r="V907" i="10" s="1"/>
  <c r="T197" i="10"/>
  <c r="AQ197" i="10" s="1"/>
  <c r="AD197" i="10"/>
  <c r="U197" i="10"/>
  <c r="W197" i="10" s="1"/>
  <c r="AP197" i="10" s="1"/>
  <c r="BB909" i="10"/>
  <c r="BC909" i="10" s="1"/>
  <c r="A910" i="10"/>
  <c r="AS909" i="10"/>
  <c r="Y909" i="10"/>
  <c r="B909" i="10"/>
  <c r="BD196" i="10" l="1"/>
  <c r="O900" i="10"/>
  <c r="P900" i="10" s="1"/>
  <c r="J901" i="10" s="1"/>
  <c r="L901" i="10" s="1"/>
  <c r="N901" i="10" s="1"/>
  <c r="AT900" i="10"/>
  <c r="AE900" i="10"/>
  <c r="AF900" i="10"/>
  <c r="AU899" i="10"/>
  <c r="BB910" i="10"/>
  <c r="BC910" i="10" s="1"/>
  <c r="Y910" i="10"/>
  <c r="A911" i="10"/>
  <c r="AS910" i="10"/>
  <c r="B910" i="10"/>
  <c r="R908" i="10"/>
  <c r="X197" i="10"/>
  <c r="H908" i="10"/>
  <c r="D908" i="10"/>
  <c r="F908" i="10" s="1"/>
  <c r="G908" i="10" s="1"/>
  <c r="V908" i="10" s="1"/>
  <c r="K909" i="10"/>
  <c r="C909" i="10"/>
  <c r="I909" i="10" s="1"/>
  <c r="M909" i="10"/>
  <c r="E909" i="10"/>
  <c r="Z197" i="10" l="1"/>
  <c r="AR197" i="10" s="1"/>
  <c r="BB911" i="10"/>
  <c r="BC911" i="10" s="1"/>
  <c r="AS911" i="10"/>
  <c r="Y911" i="10"/>
  <c r="A912" i="10"/>
  <c r="B911" i="10"/>
  <c r="R909" i="10"/>
  <c r="AU900" i="10"/>
  <c r="H909" i="10"/>
  <c r="D909" i="10"/>
  <c r="F909" i="10" s="1"/>
  <c r="G909" i="10" s="1"/>
  <c r="V909" i="10" s="1"/>
  <c r="O901" i="10"/>
  <c r="P901" i="10"/>
  <c r="J902" i="10" s="1"/>
  <c r="L902" i="10" s="1"/>
  <c r="N902" i="10" s="1"/>
  <c r="AT901" i="10"/>
  <c r="AE901" i="10"/>
  <c r="AF901" i="10"/>
  <c r="K910" i="10"/>
  <c r="M910" i="10"/>
  <c r="C910" i="10"/>
  <c r="I910" i="10" s="1"/>
  <c r="E910" i="10"/>
  <c r="O902" i="10" l="1"/>
  <c r="P902" i="10" s="1"/>
  <c r="J903" i="10" s="1"/>
  <c r="L903" i="10" s="1"/>
  <c r="N903" i="10" s="1"/>
  <c r="AE902" i="10"/>
  <c r="AT902" i="10"/>
  <c r="AF902" i="10"/>
  <c r="R910" i="10"/>
  <c r="BB912" i="10"/>
  <c r="BC912" i="10" s="1"/>
  <c r="A913" i="10"/>
  <c r="Y912" i="10"/>
  <c r="AS912" i="10"/>
  <c r="B912" i="10"/>
  <c r="H910" i="10"/>
  <c r="D910" i="10"/>
  <c r="F910" i="10" s="1"/>
  <c r="G910" i="10" s="1"/>
  <c r="V910" i="10" s="1"/>
  <c r="AU901" i="10"/>
  <c r="Q198" i="10"/>
  <c r="AA197" i="10"/>
  <c r="K911" i="10"/>
  <c r="C911" i="10"/>
  <c r="I911" i="10" s="1"/>
  <c r="M911" i="10"/>
  <c r="E911" i="10"/>
  <c r="O903" i="10" l="1"/>
  <c r="P903" i="10" s="1"/>
  <c r="J904" i="10" s="1"/>
  <c r="L904" i="10" s="1"/>
  <c r="N904" i="10" s="1"/>
  <c r="AT903" i="10"/>
  <c r="AE903" i="10"/>
  <c r="AF903" i="10"/>
  <c r="M912" i="10"/>
  <c r="C912" i="10"/>
  <c r="I912" i="10" s="1"/>
  <c r="K912" i="10"/>
  <c r="E912" i="10"/>
  <c r="H911" i="10"/>
  <c r="D911" i="10"/>
  <c r="F911" i="10" s="1"/>
  <c r="G911" i="10" s="1"/>
  <c r="V911" i="10" s="1"/>
  <c r="AJ197" i="10"/>
  <c r="AI197" i="10"/>
  <c r="AG197" i="10"/>
  <c r="AK197" i="10"/>
  <c r="AX197" i="10" s="1"/>
  <c r="BB913" i="10"/>
  <c r="BC913" i="10" s="1"/>
  <c r="Y913" i="10"/>
  <c r="A914" i="10"/>
  <c r="AS913" i="10"/>
  <c r="B913" i="10"/>
  <c r="AU902" i="10"/>
  <c r="AB198" i="10"/>
  <c r="AV197" i="10" s="1"/>
  <c r="S198" i="10"/>
  <c r="AM198" i="10"/>
  <c r="AC198" i="10"/>
  <c r="R911" i="10"/>
  <c r="O904" i="10" l="1"/>
  <c r="P904" i="10"/>
  <c r="J905" i="10" s="1"/>
  <c r="L905" i="10" s="1"/>
  <c r="N905" i="10" s="1"/>
  <c r="AT904" i="10"/>
  <c r="AE904" i="10"/>
  <c r="AF904" i="10"/>
  <c r="BB914" i="10"/>
  <c r="BC914" i="10" s="1"/>
  <c r="Y914" i="10"/>
  <c r="A915" i="10"/>
  <c r="AS914" i="10"/>
  <c r="B914" i="10"/>
  <c r="T198" i="10"/>
  <c r="AQ198" i="10" s="1"/>
  <c r="AD198" i="10"/>
  <c r="U198" i="10"/>
  <c r="W198" i="10" s="1"/>
  <c r="AP198" i="10" s="1"/>
  <c r="AU903" i="10"/>
  <c r="R912" i="10"/>
  <c r="AH197" i="10"/>
  <c r="AO197" i="10"/>
  <c r="AY197" i="10" s="1"/>
  <c r="H912" i="10"/>
  <c r="D912" i="10"/>
  <c r="F912" i="10" s="1"/>
  <c r="G912" i="10" s="1"/>
  <c r="V912" i="10" s="1"/>
  <c r="K913" i="10"/>
  <c r="C913" i="10"/>
  <c r="I913" i="10" s="1"/>
  <c r="M913" i="10"/>
  <c r="E913" i="10"/>
  <c r="AL197" i="10"/>
  <c r="BA197" i="10"/>
  <c r="X198" i="10" l="1"/>
  <c r="Z198" i="10" s="1"/>
  <c r="AR198" i="10" s="1"/>
  <c r="O905" i="10"/>
  <c r="P905" i="10" s="1"/>
  <c r="J906" i="10" s="1"/>
  <c r="L906" i="10" s="1"/>
  <c r="N906" i="10" s="1"/>
  <c r="AE905" i="10"/>
  <c r="AT905" i="10"/>
  <c r="AF905" i="10"/>
  <c r="H913" i="10"/>
  <c r="D913" i="10"/>
  <c r="F913" i="10" s="1"/>
  <c r="G913" i="10" s="1"/>
  <c r="V913" i="10" s="1"/>
  <c r="AU904" i="10"/>
  <c r="K914" i="10"/>
  <c r="M914" i="10"/>
  <c r="C914" i="10"/>
  <c r="I914" i="10" s="1"/>
  <c r="E914" i="10"/>
  <c r="BB915" i="10"/>
  <c r="BC915" i="10" s="1"/>
  <c r="AS915" i="10"/>
  <c r="Y915" i="10"/>
  <c r="A916" i="10"/>
  <c r="B915" i="10"/>
  <c r="R913" i="10"/>
  <c r="AN197" i="10"/>
  <c r="AW197" i="10" s="1"/>
  <c r="O906" i="10" l="1"/>
  <c r="P906" i="10" s="1"/>
  <c r="J907" i="10" s="1"/>
  <c r="L907" i="10" s="1"/>
  <c r="N907" i="10" s="1"/>
  <c r="AT906" i="10"/>
  <c r="AE906" i="10"/>
  <c r="AF906" i="10"/>
  <c r="AZ197" i="10"/>
  <c r="BD197" i="10"/>
  <c r="R914" i="10"/>
  <c r="H914" i="10"/>
  <c r="D914" i="10"/>
  <c r="F914" i="10" s="1"/>
  <c r="G914" i="10" s="1"/>
  <c r="V914" i="10" s="1"/>
  <c r="Q199" i="10"/>
  <c r="AU905" i="10"/>
  <c r="M915" i="10"/>
  <c r="C915" i="10"/>
  <c r="I915" i="10" s="1"/>
  <c r="K915" i="10"/>
  <c r="E915" i="10"/>
  <c r="AA198" i="10"/>
  <c r="BB916" i="10"/>
  <c r="BC916" i="10" s="1"/>
  <c r="Y916" i="10"/>
  <c r="A917" i="10"/>
  <c r="AS916" i="10"/>
  <c r="B916" i="10"/>
  <c r="O907" i="10" l="1"/>
  <c r="P907" i="10" s="1"/>
  <c r="J908" i="10" s="1"/>
  <c r="L908" i="10" s="1"/>
  <c r="N908" i="10" s="1"/>
  <c r="AT907" i="10"/>
  <c r="AE907" i="10"/>
  <c r="AF907" i="10"/>
  <c r="R915" i="10"/>
  <c r="C916" i="10"/>
  <c r="I916" i="10" s="1"/>
  <c r="K916" i="10"/>
  <c r="M916" i="10"/>
  <c r="E916" i="10"/>
  <c r="H915" i="10"/>
  <c r="D915" i="10"/>
  <c r="F915" i="10" s="1"/>
  <c r="G915" i="10" s="1"/>
  <c r="V915" i="10" s="1"/>
  <c r="AU906" i="10"/>
  <c r="BB917" i="10"/>
  <c r="BC917" i="10" s="1"/>
  <c r="A918" i="10"/>
  <c r="Y917" i="10"/>
  <c r="AS917" i="10"/>
  <c r="B917" i="10"/>
  <c r="AJ198" i="10"/>
  <c r="AI198" i="10"/>
  <c r="AG198" i="10"/>
  <c r="AK198" i="10"/>
  <c r="AX198" i="10" s="1"/>
  <c r="AB199" i="10"/>
  <c r="AV198" i="10" s="1"/>
  <c r="S199" i="10"/>
  <c r="AC199" i="10"/>
  <c r="AM199" i="10"/>
  <c r="AH198" i="10" l="1"/>
  <c r="AO198" i="10"/>
  <c r="AY198" i="10" s="1"/>
  <c r="R916" i="10"/>
  <c r="BB918" i="10"/>
  <c r="BC918" i="10" s="1"/>
  <c r="AS918" i="10"/>
  <c r="Y918" i="10"/>
  <c r="A919" i="10"/>
  <c r="B918" i="10"/>
  <c r="AU907" i="10"/>
  <c r="AL198" i="10"/>
  <c r="H916" i="10"/>
  <c r="D916" i="10"/>
  <c r="F916" i="10" s="1"/>
  <c r="G916" i="10" s="1"/>
  <c r="V916" i="10" s="1"/>
  <c r="O908" i="10"/>
  <c r="P908" i="10"/>
  <c r="J909" i="10" s="1"/>
  <c r="L909" i="10" s="1"/>
  <c r="N909" i="10" s="1"/>
  <c r="AE908" i="10"/>
  <c r="AT908" i="10"/>
  <c r="AF908" i="10"/>
  <c r="BA198" i="10"/>
  <c r="T199" i="10"/>
  <c r="AQ199" i="10" s="1"/>
  <c r="AD199" i="10"/>
  <c r="U199" i="10"/>
  <c r="W199" i="10" s="1"/>
  <c r="AP199" i="10" s="1"/>
  <c r="K917" i="10"/>
  <c r="M917" i="10"/>
  <c r="C917" i="10"/>
  <c r="I917" i="10" s="1"/>
  <c r="E917" i="10"/>
  <c r="O909" i="10" l="1"/>
  <c r="P909" i="10" s="1"/>
  <c r="J910" i="10" s="1"/>
  <c r="L910" i="10" s="1"/>
  <c r="N910" i="10" s="1"/>
  <c r="AE909" i="10"/>
  <c r="AT909" i="10"/>
  <c r="AF909" i="10"/>
  <c r="X199" i="10"/>
  <c r="AU908" i="10"/>
  <c r="R917" i="10"/>
  <c r="H917" i="10"/>
  <c r="D917" i="10"/>
  <c r="F917" i="10" s="1"/>
  <c r="G917" i="10" s="1"/>
  <c r="V917" i="10" s="1"/>
  <c r="M918" i="10"/>
  <c r="C918" i="10"/>
  <c r="I918" i="10" s="1"/>
  <c r="K918" i="10"/>
  <c r="E918" i="10"/>
  <c r="BB919" i="10"/>
  <c r="BC919" i="10" s="1"/>
  <c r="AS919" i="10"/>
  <c r="Y919" i="10"/>
  <c r="A920" i="10"/>
  <c r="B919" i="10"/>
  <c r="AN198" i="10"/>
  <c r="AW198" i="10" s="1"/>
  <c r="O910" i="10" l="1"/>
  <c r="P910" i="10" s="1"/>
  <c r="J911" i="10" s="1"/>
  <c r="L911" i="10" s="1"/>
  <c r="N911" i="10" s="1"/>
  <c r="AE910" i="10"/>
  <c r="AT910" i="10"/>
  <c r="AF910" i="10"/>
  <c r="AZ198" i="10"/>
  <c r="BD198" i="10"/>
  <c r="R918" i="10"/>
  <c r="C919" i="10"/>
  <c r="I919" i="10" s="1"/>
  <c r="K919" i="10"/>
  <c r="M919" i="10"/>
  <c r="E919" i="10"/>
  <c r="AU909" i="10"/>
  <c r="BB920" i="10"/>
  <c r="BC920" i="10" s="1"/>
  <c r="A921" i="10"/>
  <c r="Y920" i="10"/>
  <c r="AS920" i="10"/>
  <c r="B920" i="10"/>
  <c r="H918" i="10"/>
  <c r="D918" i="10"/>
  <c r="F918" i="10" s="1"/>
  <c r="G918" i="10" s="1"/>
  <c r="V918" i="10" s="1"/>
  <c r="Z199" i="10"/>
  <c r="AR199" i="10" s="1"/>
  <c r="AA199" i="10" l="1"/>
  <c r="AI199" i="10" s="1"/>
  <c r="O911" i="10"/>
  <c r="P911" i="10" s="1"/>
  <c r="J912" i="10" s="1"/>
  <c r="L912" i="10" s="1"/>
  <c r="N912" i="10" s="1"/>
  <c r="AT911" i="10"/>
  <c r="AE911" i="10"/>
  <c r="AF911" i="10"/>
  <c r="AJ199" i="10"/>
  <c r="BB921" i="10"/>
  <c r="BC921" i="10" s="1"/>
  <c r="Y921" i="10"/>
  <c r="AS921" i="10"/>
  <c r="A922" i="10"/>
  <c r="B921" i="10"/>
  <c r="H919" i="10"/>
  <c r="D919" i="10"/>
  <c r="F919" i="10" s="1"/>
  <c r="G919" i="10" s="1"/>
  <c r="V919" i="10" s="1"/>
  <c r="AU910" i="10"/>
  <c r="M920" i="10"/>
  <c r="C920" i="10"/>
  <c r="I920" i="10" s="1"/>
  <c r="K920" i="10"/>
  <c r="E920" i="10"/>
  <c r="R919" i="10"/>
  <c r="Q200" i="10"/>
  <c r="AK199" i="10" l="1"/>
  <c r="AX199" i="10" s="1"/>
  <c r="AG199" i="10"/>
  <c r="O912" i="10"/>
  <c r="P912" i="10"/>
  <c r="J913" i="10" s="1"/>
  <c r="L913" i="10" s="1"/>
  <c r="N913" i="10" s="1"/>
  <c r="AT912" i="10"/>
  <c r="AE912" i="10"/>
  <c r="AF912" i="10"/>
  <c r="R920" i="10"/>
  <c r="AU911" i="10"/>
  <c r="H920" i="10"/>
  <c r="D920" i="10"/>
  <c r="F920" i="10" s="1"/>
  <c r="G920" i="10" s="1"/>
  <c r="V920" i="10" s="1"/>
  <c r="AB200" i="10"/>
  <c r="AV199" i="10" s="1"/>
  <c r="S200" i="10"/>
  <c r="AM200" i="10"/>
  <c r="AC200" i="10"/>
  <c r="BA199" i="10" s="1"/>
  <c r="K921" i="10"/>
  <c r="C921" i="10"/>
  <c r="I921" i="10" s="1"/>
  <c r="M921" i="10"/>
  <c r="E921" i="10"/>
  <c r="AH199" i="10"/>
  <c r="AO199" i="10"/>
  <c r="AY199" i="10" s="1"/>
  <c r="BB922" i="10"/>
  <c r="BC922" i="10" s="1"/>
  <c r="Y922" i="10"/>
  <c r="A923" i="10"/>
  <c r="AS922" i="10"/>
  <c r="B922" i="10"/>
  <c r="AL199" i="10"/>
  <c r="O913" i="10" l="1"/>
  <c r="P913" i="10" s="1"/>
  <c r="J914" i="10" s="1"/>
  <c r="L914" i="10" s="1"/>
  <c r="N914" i="10" s="1"/>
  <c r="AT913" i="10"/>
  <c r="AE913" i="10"/>
  <c r="AF913" i="10"/>
  <c r="T200" i="10"/>
  <c r="AQ200" i="10" s="1"/>
  <c r="AD200" i="10"/>
  <c r="U200" i="10"/>
  <c r="W200" i="10" s="1"/>
  <c r="AP200" i="10" s="1"/>
  <c r="AU912" i="10"/>
  <c r="AN199" i="10"/>
  <c r="AW199" i="10" s="1"/>
  <c r="R921" i="10"/>
  <c r="M922" i="10"/>
  <c r="K922" i="10"/>
  <c r="C922" i="10"/>
  <c r="I922" i="10" s="1"/>
  <c r="E922" i="10"/>
  <c r="H921" i="10"/>
  <c r="D921" i="10"/>
  <c r="F921" i="10" s="1"/>
  <c r="G921" i="10" s="1"/>
  <c r="V921" i="10" s="1"/>
  <c r="BB923" i="10"/>
  <c r="BC923" i="10" s="1"/>
  <c r="AS923" i="10"/>
  <c r="Y923" i="10"/>
  <c r="A924" i="10"/>
  <c r="B923" i="10"/>
  <c r="O914" i="10" l="1"/>
  <c r="P914" i="10"/>
  <c r="J915" i="10" s="1"/>
  <c r="L915" i="10" s="1"/>
  <c r="N915" i="10" s="1"/>
  <c r="AT914" i="10"/>
  <c r="AE914" i="10"/>
  <c r="AF914" i="10"/>
  <c r="BB924" i="10"/>
  <c r="BC924" i="10" s="1"/>
  <c r="A925" i="10"/>
  <c r="AS924" i="10"/>
  <c r="Y924" i="10"/>
  <c r="B924" i="10"/>
  <c r="R922" i="10"/>
  <c r="AZ199" i="10"/>
  <c r="BD199" i="10"/>
  <c r="H922" i="10"/>
  <c r="D922" i="10"/>
  <c r="F922" i="10" s="1"/>
  <c r="G922" i="10" s="1"/>
  <c r="V922" i="10" s="1"/>
  <c r="AU913" i="10"/>
  <c r="X200" i="10"/>
  <c r="M923" i="10"/>
  <c r="C923" i="10"/>
  <c r="I923" i="10" s="1"/>
  <c r="K923" i="10"/>
  <c r="E923" i="10"/>
  <c r="O915" i="10" l="1"/>
  <c r="P915" i="10" s="1"/>
  <c r="J916" i="10" s="1"/>
  <c r="L916" i="10" s="1"/>
  <c r="N916" i="10" s="1"/>
  <c r="AE915" i="10"/>
  <c r="AT915" i="10"/>
  <c r="AF915" i="10"/>
  <c r="H923" i="10"/>
  <c r="D923" i="10"/>
  <c r="F923" i="10" s="1"/>
  <c r="G923" i="10" s="1"/>
  <c r="V923" i="10" s="1"/>
  <c r="AU914" i="10"/>
  <c r="C924" i="10"/>
  <c r="I924" i="10" s="1"/>
  <c r="K924" i="10"/>
  <c r="M924" i="10"/>
  <c r="E924" i="10"/>
  <c r="Z200" i="10"/>
  <c r="AR200" i="10" s="1"/>
  <c r="R923" i="10"/>
  <c r="BB925" i="10"/>
  <c r="BC925" i="10" s="1"/>
  <c r="A926" i="10"/>
  <c r="Y925" i="10"/>
  <c r="AS925" i="10"/>
  <c r="B925" i="10"/>
  <c r="O916" i="10" l="1"/>
  <c r="P916" i="10"/>
  <c r="J917" i="10" s="1"/>
  <c r="L917" i="10" s="1"/>
  <c r="N917" i="10" s="1"/>
  <c r="AE916" i="10"/>
  <c r="AT916" i="10"/>
  <c r="AF916" i="10"/>
  <c r="H924" i="10"/>
  <c r="D924" i="10"/>
  <c r="F924" i="10" s="1"/>
  <c r="G924" i="10" s="1"/>
  <c r="V924" i="10" s="1"/>
  <c r="K925" i="10"/>
  <c r="C925" i="10"/>
  <c r="I925" i="10" s="1"/>
  <c r="M925" i="10"/>
  <c r="E925" i="10"/>
  <c r="Q201" i="10"/>
  <c r="AA200" i="10"/>
  <c r="AU915" i="10"/>
  <c r="BB926" i="10"/>
  <c r="BC926" i="10" s="1"/>
  <c r="AS926" i="10"/>
  <c r="A927" i="10"/>
  <c r="Y926" i="10"/>
  <c r="B926" i="10"/>
  <c r="R924" i="10"/>
  <c r="O917" i="10" l="1"/>
  <c r="P917" i="10" s="1"/>
  <c r="J918" i="10" s="1"/>
  <c r="L918" i="10" s="1"/>
  <c r="N918" i="10" s="1"/>
  <c r="AE917" i="10"/>
  <c r="AT917" i="10"/>
  <c r="AF917" i="10"/>
  <c r="AB201" i="10"/>
  <c r="AV200" i="10" s="1"/>
  <c r="S201" i="10"/>
  <c r="AC201" i="10"/>
  <c r="AM201" i="10"/>
  <c r="BB927" i="10"/>
  <c r="BC927" i="10" s="1"/>
  <c r="AS927" i="10"/>
  <c r="A928" i="10"/>
  <c r="Y927" i="10"/>
  <c r="B927" i="10"/>
  <c r="R925" i="10"/>
  <c r="AU916" i="10"/>
  <c r="H925" i="10"/>
  <c r="D925" i="10"/>
  <c r="F925" i="10" s="1"/>
  <c r="G925" i="10" s="1"/>
  <c r="V925" i="10" s="1"/>
  <c r="AJ200" i="10"/>
  <c r="AI200" i="10"/>
  <c r="AG200" i="10"/>
  <c r="AK200" i="10"/>
  <c r="AX200" i="10" s="1"/>
  <c r="M926" i="10"/>
  <c r="K926" i="10"/>
  <c r="C926" i="10"/>
  <c r="I926" i="10" s="1"/>
  <c r="E926" i="10"/>
  <c r="O918" i="10" l="1"/>
  <c r="P918" i="10" s="1"/>
  <c r="J919" i="10" s="1"/>
  <c r="L919" i="10" s="1"/>
  <c r="N919" i="10" s="1"/>
  <c r="AE918" i="10"/>
  <c r="AT918" i="10"/>
  <c r="AF918" i="10"/>
  <c r="AH200" i="10"/>
  <c r="AO200" i="10"/>
  <c r="AY200" i="10" s="1"/>
  <c r="R926" i="10"/>
  <c r="AL200" i="10"/>
  <c r="AU917" i="10"/>
  <c r="H926" i="10"/>
  <c r="D926" i="10"/>
  <c r="F926" i="10" s="1"/>
  <c r="G926" i="10" s="1"/>
  <c r="V926" i="10" s="1"/>
  <c r="BA200" i="10"/>
  <c r="T201" i="10"/>
  <c r="AQ201" i="10" s="1"/>
  <c r="AD201" i="10"/>
  <c r="U201" i="10"/>
  <c r="W201" i="10" s="1"/>
  <c r="AP201" i="10" s="1"/>
  <c r="K927" i="10"/>
  <c r="C927" i="10"/>
  <c r="I927" i="10" s="1"/>
  <c r="M927" i="10"/>
  <c r="E927" i="10"/>
  <c r="BB928" i="10"/>
  <c r="BC928" i="10" s="1"/>
  <c r="AS928" i="10"/>
  <c r="Y928" i="10"/>
  <c r="A929" i="10"/>
  <c r="B928" i="10"/>
  <c r="X201" i="10" l="1"/>
  <c r="O919" i="10"/>
  <c r="P919" i="10" s="1"/>
  <c r="J920" i="10" s="1"/>
  <c r="L920" i="10" s="1"/>
  <c r="N920" i="10" s="1"/>
  <c r="AT919" i="10"/>
  <c r="AE919" i="10"/>
  <c r="AF919" i="10"/>
  <c r="Z201" i="10"/>
  <c r="AR201" i="10" s="1"/>
  <c r="R927" i="10"/>
  <c r="M928" i="10"/>
  <c r="K928" i="10"/>
  <c r="C928" i="10"/>
  <c r="I928" i="10" s="1"/>
  <c r="E928" i="10"/>
  <c r="H927" i="10"/>
  <c r="D927" i="10"/>
  <c r="F927" i="10" s="1"/>
  <c r="G927" i="10" s="1"/>
  <c r="V927" i="10" s="1"/>
  <c r="AU918" i="10"/>
  <c r="BB929" i="10"/>
  <c r="BC929" i="10" s="1"/>
  <c r="AS929" i="10"/>
  <c r="A930" i="10"/>
  <c r="Y929" i="10"/>
  <c r="B929" i="10"/>
  <c r="AN200" i="10"/>
  <c r="AW200" i="10" s="1"/>
  <c r="O920" i="10" l="1"/>
  <c r="P920" i="10" s="1"/>
  <c r="J921" i="10" s="1"/>
  <c r="L921" i="10" s="1"/>
  <c r="N921" i="10" s="1"/>
  <c r="AE920" i="10"/>
  <c r="AT920" i="10"/>
  <c r="AF920" i="10"/>
  <c r="AU919" i="10"/>
  <c r="M929" i="10"/>
  <c r="K929" i="10"/>
  <c r="C929" i="10"/>
  <c r="I929" i="10" s="1"/>
  <c r="E929" i="10"/>
  <c r="R928" i="10"/>
  <c r="AZ200" i="10"/>
  <c r="BD200" i="10"/>
  <c r="BB930" i="10"/>
  <c r="BC930" i="10" s="1"/>
  <c r="AS930" i="10"/>
  <c r="Y930" i="10"/>
  <c r="A931" i="10"/>
  <c r="B930" i="10"/>
  <c r="H928" i="10"/>
  <c r="D928" i="10"/>
  <c r="F928" i="10" s="1"/>
  <c r="G928" i="10" s="1"/>
  <c r="V928" i="10" s="1"/>
  <c r="Q202" i="10"/>
  <c r="AA201" i="10"/>
  <c r="O921" i="10" l="1"/>
  <c r="P921" i="10" s="1"/>
  <c r="J922" i="10" s="1"/>
  <c r="L922" i="10" s="1"/>
  <c r="N922" i="10" s="1"/>
  <c r="AE921" i="10"/>
  <c r="AT921" i="10"/>
  <c r="AF921" i="10"/>
  <c r="AB202" i="10"/>
  <c r="AV201" i="10" s="1"/>
  <c r="S202" i="10"/>
  <c r="AM202" i="10"/>
  <c r="AC202" i="10"/>
  <c r="H929" i="10"/>
  <c r="D929" i="10"/>
  <c r="F929" i="10" s="1"/>
  <c r="G929" i="10" s="1"/>
  <c r="V929" i="10" s="1"/>
  <c r="M930" i="10"/>
  <c r="K930" i="10"/>
  <c r="C930" i="10"/>
  <c r="I930" i="10" s="1"/>
  <c r="E930" i="10"/>
  <c r="AU920" i="10"/>
  <c r="BB931" i="10"/>
  <c r="BC931" i="10" s="1"/>
  <c r="AS931" i="10"/>
  <c r="A932" i="10"/>
  <c r="Y931" i="10"/>
  <c r="B931" i="10"/>
  <c r="AJ201" i="10"/>
  <c r="AI201" i="10"/>
  <c r="AG201" i="10"/>
  <c r="AK201" i="10"/>
  <c r="AX201" i="10" s="1"/>
  <c r="R929" i="10"/>
  <c r="AL201" i="10" l="1"/>
  <c r="O922" i="10"/>
  <c r="P922" i="10"/>
  <c r="J923" i="10"/>
  <c r="L923" i="10" s="1"/>
  <c r="N923" i="10" s="1"/>
  <c r="AT922" i="10"/>
  <c r="AE922" i="10"/>
  <c r="AF922" i="10"/>
  <c r="R930" i="10"/>
  <c r="AU921" i="10"/>
  <c r="M931" i="10"/>
  <c r="K931" i="10"/>
  <c r="C931" i="10"/>
  <c r="I931" i="10" s="1"/>
  <c r="E931" i="10"/>
  <c r="H930" i="10"/>
  <c r="D930" i="10"/>
  <c r="F930" i="10" s="1"/>
  <c r="G930" i="10" s="1"/>
  <c r="V930" i="10" s="1"/>
  <c r="BA201" i="10"/>
  <c r="BB932" i="10"/>
  <c r="BC932" i="10" s="1"/>
  <c r="AS932" i="10"/>
  <c r="Y932" i="10"/>
  <c r="A933" i="10"/>
  <c r="B932" i="10"/>
  <c r="T202" i="10"/>
  <c r="AQ202" i="10" s="1"/>
  <c r="AD202" i="10"/>
  <c r="U202" i="10"/>
  <c r="W202" i="10" s="1"/>
  <c r="AP202" i="10" s="1"/>
  <c r="AH201" i="10"/>
  <c r="AN201" i="10" s="1"/>
  <c r="AW201" i="10" s="1"/>
  <c r="AO201" i="10"/>
  <c r="AY201" i="10" s="1"/>
  <c r="AU922" i="10" l="1"/>
  <c r="M932" i="10"/>
  <c r="K932" i="10"/>
  <c r="C932" i="10"/>
  <c r="I932" i="10" s="1"/>
  <c r="E932" i="10"/>
  <c r="BB933" i="10"/>
  <c r="BC933" i="10" s="1"/>
  <c r="AS933" i="10"/>
  <c r="A934" i="10"/>
  <c r="Y933" i="10"/>
  <c r="B933" i="10"/>
  <c r="O923" i="10"/>
  <c r="P923" i="10" s="1"/>
  <c r="J924" i="10" s="1"/>
  <c r="L924" i="10" s="1"/>
  <c r="N924" i="10" s="1"/>
  <c r="AT923" i="10"/>
  <c r="AE923" i="10"/>
  <c r="AF923" i="10"/>
  <c r="AZ201" i="10"/>
  <c r="BD201" i="10"/>
  <c r="R931" i="10"/>
  <c r="H931" i="10"/>
  <c r="D931" i="10"/>
  <c r="F931" i="10" s="1"/>
  <c r="G931" i="10" s="1"/>
  <c r="V931" i="10" s="1"/>
  <c r="X202" i="10"/>
  <c r="O924" i="10" l="1"/>
  <c r="P924" i="10" s="1"/>
  <c r="J925" i="10" s="1"/>
  <c r="L925" i="10" s="1"/>
  <c r="N925" i="10" s="1"/>
  <c r="AE924" i="10"/>
  <c r="AT924" i="10"/>
  <c r="AF924" i="10"/>
  <c r="Z202" i="10"/>
  <c r="AR202" i="10" s="1"/>
  <c r="R932" i="10"/>
  <c r="H932" i="10"/>
  <c r="D932" i="10"/>
  <c r="F932" i="10" s="1"/>
  <c r="G932" i="10" s="1"/>
  <c r="V932" i="10" s="1"/>
  <c r="M933" i="10"/>
  <c r="K933" i="10"/>
  <c r="C933" i="10"/>
  <c r="I933" i="10" s="1"/>
  <c r="E933" i="10"/>
  <c r="AU923" i="10"/>
  <c r="BB934" i="10"/>
  <c r="BC934" i="10" s="1"/>
  <c r="AS934" i="10"/>
  <c r="Y934" i="10"/>
  <c r="A935" i="10"/>
  <c r="B934" i="10"/>
  <c r="O925" i="10" l="1"/>
  <c r="P925" i="10"/>
  <c r="J926" i="10" s="1"/>
  <c r="L926" i="10" s="1"/>
  <c r="N926" i="10" s="1"/>
  <c r="AE925" i="10"/>
  <c r="AT925" i="10"/>
  <c r="AF925" i="10"/>
  <c r="M934" i="10"/>
  <c r="K934" i="10"/>
  <c r="C934" i="10"/>
  <c r="I934" i="10" s="1"/>
  <c r="E934" i="10"/>
  <c r="BB935" i="10"/>
  <c r="BC935" i="10" s="1"/>
  <c r="AS935" i="10"/>
  <c r="A936" i="10"/>
  <c r="Y935" i="10"/>
  <c r="B935" i="10"/>
  <c r="R933" i="10"/>
  <c r="AU924" i="10"/>
  <c r="H933" i="10"/>
  <c r="D933" i="10"/>
  <c r="F933" i="10" s="1"/>
  <c r="G933" i="10" s="1"/>
  <c r="V933" i="10" s="1"/>
  <c r="Q203" i="10"/>
  <c r="AA202" i="10"/>
  <c r="O926" i="10" l="1"/>
  <c r="P926" i="10" s="1"/>
  <c r="J927" i="10" s="1"/>
  <c r="L927" i="10" s="1"/>
  <c r="N927" i="10" s="1"/>
  <c r="AT926" i="10"/>
  <c r="AE926" i="10"/>
  <c r="AF926" i="10"/>
  <c r="AJ202" i="10"/>
  <c r="AI202" i="10"/>
  <c r="AG202" i="10"/>
  <c r="AK202" i="10"/>
  <c r="AX202" i="10" s="1"/>
  <c r="BB936" i="10"/>
  <c r="BC936" i="10" s="1"/>
  <c r="AS936" i="10"/>
  <c r="A937" i="10"/>
  <c r="Y936" i="10"/>
  <c r="B936" i="10"/>
  <c r="AB203" i="10"/>
  <c r="AV202" i="10" s="1"/>
  <c r="S203" i="10"/>
  <c r="AC203" i="10"/>
  <c r="AM203" i="10"/>
  <c r="AU925" i="10"/>
  <c r="R934" i="10"/>
  <c r="H934" i="10"/>
  <c r="D934" i="10"/>
  <c r="F934" i="10" s="1"/>
  <c r="G934" i="10" s="1"/>
  <c r="V934" i="10" s="1"/>
  <c r="M935" i="10"/>
  <c r="K935" i="10"/>
  <c r="C935" i="10"/>
  <c r="I935" i="10" s="1"/>
  <c r="E935" i="10"/>
  <c r="AL202" i="10" l="1"/>
  <c r="O927" i="10"/>
  <c r="P927" i="10" s="1"/>
  <c r="J928" i="10" s="1"/>
  <c r="L928" i="10" s="1"/>
  <c r="N928" i="10" s="1"/>
  <c r="AE927" i="10"/>
  <c r="AT927" i="10"/>
  <c r="AF927" i="10"/>
  <c r="BB937" i="10"/>
  <c r="BC937" i="10" s="1"/>
  <c r="AS937" i="10"/>
  <c r="A938" i="10"/>
  <c r="Y937" i="10"/>
  <c r="B937" i="10"/>
  <c r="AU926" i="10"/>
  <c r="BA202" i="10"/>
  <c r="R935" i="10"/>
  <c r="T203" i="10"/>
  <c r="AQ203" i="10" s="1"/>
  <c r="AD203" i="10"/>
  <c r="U203" i="10"/>
  <c r="W203" i="10" s="1"/>
  <c r="AP203" i="10" s="1"/>
  <c r="H935" i="10"/>
  <c r="D935" i="10"/>
  <c r="F935" i="10" s="1"/>
  <c r="G935" i="10" s="1"/>
  <c r="V935" i="10" s="1"/>
  <c r="AH202" i="10"/>
  <c r="AN202" i="10" s="1"/>
  <c r="AW202" i="10" s="1"/>
  <c r="AO202" i="10"/>
  <c r="AY202" i="10" s="1"/>
  <c r="M936" i="10"/>
  <c r="K936" i="10"/>
  <c r="C936" i="10"/>
  <c r="I936" i="10" s="1"/>
  <c r="E936" i="10"/>
  <c r="O928" i="10" l="1"/>
  <c r="P928" i="10" s="1"/>
  <c r="J929" i="10" s="1"/>
  <c r="L929" i="10" s="1"/>
  <c r="N929" i="10" s="1"/>
  <c r="AT928" i="10"/>
  <c r="AE928" i="10"/>
  <c r="AF928" i="10"/>
  <c r="M937" i="10"/>
  <c r="K937" i="10"/>
  <c r="C937" i="10"/>
  <c r="I937" i="10" s="1"/>
  <c r="E937" i="10"/>
  <c r="AZ202" i="10"/>
  <c r="BD202" i="10"/>
  <c r="BB938" i="10"/>
  <c r="BC938" i="10" s="1"/>
  <c r="AS938" i="10"/>
  <c r="A939" i="10"/>
  <c r="Y938" i="10"/>
  <c r="B938" i="10"/>
  <c r="AU927" i="10"/>
  <c r="R936" i="10"/>
  <c r="H936" i="10"/>
  <c r="D936" i="10"/>
  <c r="F936" i="10" s="1"/>
  <c r="G936" i="10" s="1"/>
  <c r="V936" i="10" s="1"/>
  <c r="X203" i="10"/>
  <c r="O929" i="10" l="1"/>
  <c r="P929" i="10" s="1"/>
  <c r="J930" i="10" s="1"/>
  <c r="L930" i="10" s="1"/>
  <c r="N930" i="10" s="1"/>
  <c r="AT929" i="10"/>
  <c r="AE929" i="10"/>
  <c r="AF929" i="10"/>
  <c r="Z203" i="10"/>
  <c r="AR203" i="10" s="1"/>
  <c r="M938" i="10"/>
  <c r="K938" i="10"/>
  <c r="C938" i="10"/>
  <c r="I938" i="10" s="1"/>
  <c r="E938" i="10"/>
  <c r="AU928" i="10"/>
  <c r="BB939" i="10"/>
  <c r="BC939" i="10" s="1"/>
  <c r="AS939" i="10"/>
  <c r="A940" i="10"/>
  <c r="Y939" i="10"/>
  <c r="B939" i="10"/>
  <c r="R937" i="10"/>
  <c r="H937" i="10"/>
  <c r="D937" i="10"/>
  <c r="F937" i="10" s="1"/>
  <c r="G937" i="10" s="1"/>
  <c r="V937" i="10" s="1"/>
  <c r="O930" i="10" l="1"/>
  <c r="P930" i="10" s="1"/>
  <c r="J931" i="10" s="1"/>
  <c r="L931" i="10" s="1"/>
  <c r="N931" i="10" s="1"/>
  <c r="AE930" i="10"/>
  <c r="AT930" i="10"/>
  <c r="AF930" i="10"/>
  <c r="M939" i="10"/>
  <c r="K939" i="10"/>
  <c r="C939" i="10"/>
  <c r="I939" i="10" s="1"/>
  <c r="E939" i="10"/>
  <c r="R938" i="10"/>
  <c r="BB940" i="10"/>
  <c r="BC940" i="10" s="1"/>
  <c r="AS940" i="10"/>
  <c r="Y940" i="10"/>
  <c r="A941" i="10"/>
  <c r="B940" i="10"/>
  <c r="H938" i="10"/>
  <c r="D938" i="10"/>
  <c r="F938" i="10" s="1"/>
  <c r="G938" i="10" s="1"/>
  <c r="V938" i="10" s="1"/>
  <c r="AU929" i="10"/>
  <c r="Q204" i="10"/>
  <c r="AA203" i="10"/>
  <c r="O931" i="10" l="1"/>
  <c r="P931" i="10"/>
  <c r="J932" i="10" s="1"/>
  <c r="L932" i="10" s="1"/>
  <c r="N932" i="10" s="1"/>
  <c r="AT931" i="10"/>
  <c r="AE931" i="10"/>
  <c r="AF931" i="10"/>
  <c r="AJ203" i="10"/>
  <c r="AI203" i="10"/>
  <c r="AG203" i="10"/>
  <c r="AK203" i="10"/>
  <c r="AX203" i="10" s="1"/>
  <c r="AB204" i="10"/>
  <c r="AV203" i="10" s="1"/>
  <c r="S204" i="10"/>
  <c r="AM204" i="10"/>
  <c r="AC204" i="10"/>
  <c r="M940" i="10"/>
  <c r="K940" i="10"/>
  <c r="C940" i="10"/>
  <c r="I940" i="10" s="1"/>
  <c r="E940" i="10"/>
  <c r="BB941" i="10"/>
  <c r="BC941" i="10" s="1"/>
  <c r="AS941" i="10"/>
  <c r="A942" i="10"/>
  <c r="Y941" i="10"/>
  <c r="B941" i="10"/>
  <c r="AU930" i="10"/>
  <c r="R939" i="10"/>
  <c r="H939" i="10"/>
  <c r="D939" i="10"/>
  <c r="F939" i="10" s="1"/>
  <c r="G939" i="10" s="1"/>
  <c r="V939" i="10" s="1"/>
  <c r="O932" i="10" l="1"/>
  <c r="P932" i="10" s="1"/>
  <c r="J933" i="10" s="1"/>
  <c r="L933" i="10" s="1"/>
  <c r="N933" i="10" s="1"/>
  <c r="AT932" i="10"/>
  <c r="AE932" i="10"/>
  <c r="AF932" i="10"/>
  <c r="T204" i="10"/>
  <c r="AQ204" i="10" s="1"/>
  <c r="AD204" i="10"/>
  <c r="U204" i="10"/>
  <c r="W204" i="10" s="1"/>
  <c r="AP204" i="10" s="1"/>
  <c r="R940" i="10"/>
  <c r="AU931" i="10"/>
  <c r="H940" i="10"/>
  <c r="D940" i="10"/>
  <c r="F940" i="10" s="1"/>
  <c r="G940" i="10" s="1"/>
  <c r="V940" i="10" s="1"/>
  <c r="M941" i="10"/>
  <c r="K941" i="10"/>
  <c r="C941" i="10"/>
  <c r="I941" i="10" s="1"/>
  <c r="E941" i="10"/>
  <c r="AH203" i="10"/>
  <c r="AO203" i="10"/>
  <c r="AY203" i="10" s="1"/>
  <c r="BB942" i="10"/>
  <c r="BC942" i="10" s="1"/>
  <c r="AS942" i="10"/>
  <c r="Y942" i="10"/>
  <c r="A943" i="10"/>
  <c r="B942" i="10"/>
  <c r="BA203" i="10"/>
  <c r="AL203" i="10"/>
  <c r="O933" i="10" l="1"/>
  <c r="P933" i="10"/>
  <c r="J934" i="10" s="1"/>
  <c r="L934" i="10" s="1"/>
  <c r="N934" i="10" s="1"/>
  <c r="AE933" i="10"/>
  <c r="AT933" i="10"/>
  <c r="AF933" i="10"/>
  <c r="AU932" i="10"/>
  <c r="AN203" i="10"/>
  <c r="AW203" i="10" s="1"/>
  <c r="X204" i="10"/>
  <c r="M942" i="10"/>
  <c r="K942" i="10"/>
  <c r="C942" i="10"/>
  <c r="I942" i="10" s="1"/>
  <c r="E942" i="10"/>
  <c r="BB943" i="10"/>
  <c r="BC943" i="10" s="1"/>
  <c r="AS943" i="10"/>
  <c r="A944" i="10"/>
  <c r="Y943" i="10"/>
  <c r="B943" i="10"/>
  <c r="R941" i="10"/>
  <c r="H941" i="10"/>
  <c r="D941" i="10"/>
  <c r="F941" i="10" s="1"/>
  <c r="G941" i="10" s="1"/>
  <c r="V941" i="10" s="1"/>
  <c r="O934" i="10" l="1"/>
  <c r="P934" i="10" s="1"/>
  <c r="J935" i="10" s="1"/>
  <c r="L935" i="10" s="1"/>
  <c r="N935" i="10" s="1"/>
  <c r="AE934" i="10"/>
  <c r="AT934" i="10"/>
  <c r="AF934" i="10"/>
  <c r="AZ203" i="10"/>
  <c r="BD203" i="10"/>
  <c r="R942" i="10"/>
  <c r="H942" i="10"/>
  <c r="D942" i="10"/>
  <c r="F942" i="10" s="1"/>
  <c r="G942" i="10" s="1"/>
  <c r="V942" i="10" s="1"/>
  <c r="AU933" i="10"/>
  <c r="M943" i="10"/>
  <c r="K943" i="10"/>
  <c r="C943" i="10"/>
  <c r="I943" i="10" s="1"/>
  <c r="E943" i="10"/>
  <c r="Z204" i="10"/>
  <c r="AR204" i="10" s="1"/>
  <c r="BB944" i="10"/>
  <c r="BC944" i="10" s="1"/>
  <c r="AS944" i="10"/>
  <c r="A945" i="10"/>
  <c r="Y944" i="10"/>
  <c r="B944" i="10"/>
  <c r="O935" i="10" l="1"/>
  <c r="P935" i="10"/>
  <c r="J936" i="10" s="1"/>
  <c r="L936" i="10" s="1"/>
  <c r="N936" i="10" s="1"/>
  <c r="AT935" i="10"/>
  <c r="AE935" i="10"/>
  <c r="AF935" i="10"/>
  <c r="BB945" i="10"/>
  <c r="BC945" i="10" s="1"/>
  <c r="AS945" i="10"/>
  <c r="A946" i="10"/>
  <c r="Y945" i="10"/>
  <c r="B945" i="10"/>
  <c r="R943" i="10"/>
  <c r="H943" i="10"/>
  <c r="D943" i="10"/>
  <c r="F943" i="10" s="1"/>
  <c r="G943" i="10" s="1"/>
  <c r="V943" i="10" s="1"/>
  <c r="AU934" i="10"/>
  <c r="Q205" i="10"/>
  <c r="M944" i="10"/>
  <c r="K944" i="10"/>
  <c r="C944" i="10"/>
  <c r="I944" i="10" s="1"/>
  <c r="E944" i="10"/>
  <c r="AA204" i="10"/>
  <c r="O936" i="10" l="1"/>
  <c r="P936" i="10" s="1"/>
  <c r="J937" i="10" s="1"/>
  <c r="L937" i="10" s="1"/>
  <c r="N937" i="10" s="1"/>
  <c r="AE936" i="10"/>
  <c r="AT936" i="10"/>
  <c r="AF936" i="10"/>
  <c r="AJ204" i="10"/>
  <c r="AI204" i="10"/>
  <c r="AG204" i="10"/>
  <c r="AK204" i="10"/>
  <c r="AX204" i="10" s="1"/>
  <c r="R944" i="10"/>
  <c r="H944" i="10"/>
  <c r="D944" i="10"/>
  <c r="F944" i="10" s="1"/>
  <c r="G944" i="10" s="1"/>
  <c r="V944" i="10" s="1"/>
  <c r="M945" i="10"/>
  <c r="K945" i="10"/>
  <c r="C945" i="10"/>
  <c r="I945" i="10" s="1"/>
  <c r="E945" i="10"/>
  <c r="AU935" i="10"/>
  <c r="A947" i="10"/>
  <c r="BB946" i="10"/>
  <c r="BC946" i="10" s="1"/>
  <c r="AS946" i="10"/>
  <c r="Y946" i="10"/>
  <c r="B946" i="10"/>
  <c r="AB205" i="10"/>
  <c r="AV204" i="10" s="1"/>
  <c r="S205" i="10"/>
  <c r="AC205" i="10"/>
  <c r="AM205" i="10"/>
  <c r="AL204" i="10" l="1"/>
  <c r="O937" i="10"/>
  <c r="P937" i="10"/>
  <c r="J938" i="10" s="1"/>
  <c r="L938" i="10" s="1"/>
  <c r="N938" i="10" s="1"/>
  <c r="AE937" i="10"/>
  <c r="AT937" i="10"/>
  <c r="AF937" i="10"/>
  <c r="M946" i="10"/>
  <c r="K946" i="10"/>
  <c r="C946" i="10"/>
  <c r="I946" i="10" s="1"/>
  <c r="E946" i="10"/>
  <c r="R945" i="10"/>
  <c r="H945" i="10"/>
  <c r="D945" i="10"/>
  <c r="F945" i="10" s="1"/>
  <c r="G945" i="10" s="1"/>
  <c r="V945" i="10" s="1"/>
  <c r="BB947" i="10"/>
  <c r="BC947" i="10" s="1"/>
  <c r="AS947" i="10"/>
  <c r="Y947" i="10"/>
  <c r="A948" i="10"/>
  <c r="B947" i="10"/>
  <c r="AU936" i="10"/>
  <c r="BA204" i="10"/>
  <c r="T205" i="10"/>
  <c r="AQ205" i="10" s="1"/>
  <c r="AD205" i="10"/>
  <c r="U205" i="10"/>
  <c r="W205" i="10" s="1"/>
  <c r="AP205" i="10" s="1"/>
  <c r="AH204" i="10"/>
  <c r="AO204" i="10"/>
  <c r="AY204" i="10" s="1"/>
  <c r="AN204" i="10" l="1"/>
  <c r="AW204" i="10" s="1"/>
  <c r="O938" i="10"/>
  <c r="P938" i="10" s="1"/>
  <c r="J939" i="10" s="1"/>
  <c r="L939" i="10" s="1"/>
  <c r="N939" i="10" s="1"/>
  <c r="AT938" i="10"/>
  <c r="AE938" i="10"/>
  <c r="AF938" i="10"/>
  <c r="K947" i="10"/>
  <c r="M947" i="10"/>
  <c r="C947" i="10"/>
  <c r="I947" i="10" s="1"/>
  <c r="E947" i="10"/>
  <c r="X205" i="10"/>
  <c r="BB948" i="10"/>
  <c r="BC948" i="10" s="1"/>
  <c r="AS948" i="10"/>
  <c r="Y948" i="10"/>
  <c r="A949" i="10"/>
  <c r="B948" i="10"/>
  <c r="AU937" i="10"/>
  <c r="R946" i="10"/>
  <c r="AZ204" i="10"/>
  <c r="BD204" i="10"/>
  <c r="H946" i="10"/>
  <c r="D946" i="10"/>
  <c r="F946" i="10" s="1"/>
  <c r="G946" i="10" s="1"/>
  <c r="V946" i="10" s="1"/>
  <c r="O939" i="10" l="1"/>
  <c r="P939" i="10"/>
  <c r="J940" i="10" s="1"/>
  <c r="L940" i="10" s="1"/>
  <c r="N940" i="10" s="1"/>
  <c r="AT939" i="10"/>
  <c r="AE939" i="10"/>
  <c r="AF939" i="10"/>
  <c r="Z205" i="10"/>
  <c r="AR205" i="10" s="1"/>
  <c r="AU938" i="10"/>
  <c r="R947" i="10"/>
  <c r="K948" i="10"/>
  <c r="M948" i="10"/>
  <c r="C948" i="10"/>
  <c r="I948" i="10" s="1"/>
  <c r="E948" i="10"/>
  <c r="H947" i="10"/>
  <c r="D947" i="10"/>
  <c r="F947" i="10" s="1"/>
  <c r="G947" i="10" s="1"/>
  <c r="V947" i="10" s="1"/>
  <c r="Y949" i="10"/>
  <c r="AS949" i="10"/>
  <c r="BB949" i="10"/>
  <c r="BC949" i="10" s="1"/>
  <c r="A950" i="10"/>
  <c r="B949" i="10"/>
  <c r="O940" i="10" l="1"/>
  <c r="P940" i="10" s="1"/>
  <c r="J941" i="10" s="1"/>
  <c r="L941" i="10" s="1"/>
  <c r="N941" i="10" s="1"/>
  <c r="AT940" i="10"/>
  <c r="AE940" i="10"/>
  <c r="AF940" i="10"/>
  <c r="AU939" i="10"/>
  <c r="R948" i="10"/>
  <c r="M949" i="10"/>
  <c r="C949" i="10"/>
  <c r="I949" i="10" s="1"/>
  <c r="K949" i="10"/>
  <c r="E949" i="10"/>
  <c r="H948" i="10"/>
  <c r="D948" i="10"/>
  <c r="F948" i="10" s="1"/>
  <c r="G948" i="10" s="1"/>
  <c r="V948" i="10" s="1"/>
  <c r="Y950" i="10"/>
  <c r="AS950" i="10"/>
  <c r="A951" i="10"/>
  <c r="BB950" i="10"/>
  <c r="BC950" i="10" s="1"/>
  <c r="B950" i="10"/>
  <c r="Q206" i="10"/>
  <c r="AA205" i="10"/>
  <c r="O941" i="10" l="1"/>
  <c r="P941" i="10" s="1"/>
  <c r="J942" i="10" s="1"/>
  <c r="L942" i="10" s="1"/>
  <c r="N942" i="10" s="1"/>
  <c r="AT941" i="10"/>
  <c r="AE941" i="10"/>
  <c r="AF941" i="10"/>
  <c r="AJ205" i="10"/>
  <c r="AI205" i="10"/>
  <c r="AG205" i="10"/>
  <c r="AK205" i="10"/>
  <c r="AX205" i="10" s="1"/>
  <c r="AB206" i="10"/>
  <c r="AV205" i="10" s="1"/>
  <c r="S206" i="10"/>
  <c r="AM206" i="10"/>
  <c r="AC206" i="10"/>
  <c r="AU940" i="10"/>
  <c r="M950" i="10"/>
  <c r="C950" i="10"/>
  <c r="I950" i="10" s="1"/>
  <c r="K950" i="10"/>
  <c r="E950" i="10"/>
  <c r="R949" i="10"/>
  <c r="A952" i="10"/>
  <c r="Y951" i="10"/>
  <c r="AS951" i="10"/>
  <c r="BB951" i="10"/>
  <c r="BC951" i="10" s="1"/>
  <c r="B951" i="10"/>
  <c r="H949" i="10"/>
  <c r="D949" i="10"/>
  <c r="F949" i="10" s="1"/>
  <c r="G949" i="10" s="1"/>
  <c r="V949" i="10" s="1"/>
  <c r="BA205" i="10" l="1"/>
  <c r="O942" i="10"/>
  <c r="P942" i="10" s="1"/>
  <c r="J943" i="10" s="1"/>
  <c r="L943" i="10" s="1"/>
  <c r="N943" i="10" s="1"/>
  <c r="AE942" i="10"/>
  <c r="AT942" i="10"/>
  <c r="AF942" i="10"/>
  <c r="T206" i="10"/>
  <c r="AQ206" i="10" s="1"/>
  <c r="AD206" i="10"/>
  <c r="U206" i="10"/>
  <c r="W206" i="10" s="1"/>
  <c r="AP206" i="10" s="1"/>
  <c r="H950" i="10"/>
  <c r="D950" i="10"/>
  <c r="F950" i="10" s="1"/>
  <c r="G950" i="10" s="1"/>
  <c r="V950" i="10" s="1"/>
  <c r="A953" i="10"/>
  <c r="Y952" i="10"/>
  <c r="BB952" i="10"/>
  <c r="BC952" i="10" s="1"/>
  <c r="AS952" i="10"/>
  <c r="B952" i="10"/>
  <c r="AU941" i="10"/>
  <c r="AH205" i="10"/>
  <c r="AO205" i="10"/>
  <c r="AY205" i="10" s="1"/>
  <c r="M951" i="10"/>
  <c r="C951" i="10"/>
  <c r="I951" i="10" s="1"/>
  <c r="K951" i="10"/>
  <c r="E951" i="10"/>
  <c r="R950" i="10"/>
  <c r="AL205" i="10"/>
  <c r="O943" i="10" l="1"/>
  <c r="P943" i="10"/>
  <c r="J944" i="10" s="1"/>
  <c r="L944" i="10" s="1"/>
  <c r="N944" i="10" s="1"/>
  <c r="AT943" i="10"/>
  <c r="AE943" i="10"/>
  <c r="AF943" i="10"/>
  <c r="R951" i="10"/>
  <c r="A954" i="10"/>
  <c r="BB953" i="10"/>
  <c r="BC953" i="10" s="1"/>
  <c r="AS953" i="10"/>
  <c r="Y953" i="10"/>
  <c r="B953" i="10"/>
  <c r="H951" i="10"/>
  <c r="D951" i="10"/>
  <c r="F951" i="10" s="1"/>
  <c r="G951" i="10" s="1"/>
  <c r="V951" i="10" s="1"/>
  <c r="M952" i="10"/>
  <c r="C952" i="10"/>
  <c r="I952" i="10" s="1"/>
  <c r="K952" i="10"/>
  <c r="E952" i="10"/>
  <c r="AU942" i="10"/>
  <c r="AN205" i="10"/>
  <c r="AW205" i="10" s="1"/>
  <c r="X206" i="10"/>
  <c r="O944" i="10" l="1"/>
  <c r="P944" i="10" s="1"/>
  <c r="J945" i="10" s="1"/>
  <c r="L945" i="10" s="1"/>
  <c r="N945" i="10" s="1"/>
  <c r="AT944" i="10"/>
  <c r="AE944" i="10"/>
  <c r="AF944" i="10"/>
  <c r="R952" i="10"/>
  <c r="C953" i="10"/>
  <c r="I953" i="10" s="1"/>
  <c r="K953" i="10"/>
  <c r="M953" i="10"/>
  <c r="E953" i="10"/>
  <c r="Z206" i="10"/>
  <c r="AR206" i="10" s="1"/>
  <c r="H952" i="10"/>
  <c r="D952" i="10"/>
  <c r="F952" i="10" s="1"/>
  <c r="G952" i="10" s="1"/>
  <c r="V952" i="10" s="1"/>
  <c r="AZ205" i="10"/>
  <c r="BD205" i="10"/>
  <c r="AU943" i="10"/>
  <c r="A955" i="10"/>
  <c r="BB954" i="10"/>
  <c r="BC954" i="10" s="1"/>
  <c r="AS954" i="10"/>
  <c r="Y954" i="10"/>
  <c r="B954" i="10"/>
  <c r="Q207" i="10" l="1"/>
  <c r="AB207" i="10" s="1"/>
  <c r="AV206" i="10" s="1"/>
  <c r="AA206" i="10"/>
  <c r="AK206" i="10" s="1"/>
  <c r="AX206" i="10" s="1"/>
  <c r="O945" i="10"/>
  <c r="P945" i="10"/>
  <c r="J946" i="10" s="1"/>
  <c r="L946" i="10" s="1"/>
  <c r="N946" i="10" s="1"/>
  <c r="AT945" i="10"/>
  <c r="AE945" i="10"/>
  <c r="AF945" i="10"/>
  <c r="AU944" i="10"/>
  <c r="BB955" i="10"/>
  <c r="BC955" i="10" s="1"/>
  <c r="AS955" i="10"/>
  <c r="Y955" i="10"/>
  <c r="A956" i="10"/>
  <c r="B955" i="10"/>
  <c r="H953" i="10"/>
  <c r="D953" i="10"/>
  <c r="F953" i="10" s="1"/>
  <c r="G953" i="10" s="1"/>
  <c r="V953" i="10" s="1"/>
  <c r="K954" i="10"/>
  <c r="C954" i="10"/>
  <c r="I954" i="10" s="1"/>
  <c r="M954" i="10"/>
  <c r="E954" i="10"/>
  <c r="AJ206" i="10"/>
  <c r="AI206" i="10"/>
  <c r="AG206" i="10"/>
  <c r="R953" i="10"/>
  <c r="AC207" i="10" l="1"/>
  <c r="BA206" i="10" s="1"/>
  <c r="AM207" i="10"/>
  <c r="S207" i="10"/>
  <c r="AL206" i="10"/>
  <c r="O946" i="10"/>
  <c r="P946" i="10" s="1"/>
  <c r="J947" i="10" s="1"/>
  <c r="L947" i="10" s="1"/>
  <c r="N947" i="10" s="1"/>
  <c r="AT946" i="10"/>
  <c r="AE946" i="10"/>
  <c r="AF946" i="10"/>
  <c r="BB956" i="10"/>
  <c r="BC956" i="10" s="1"/>
  <c r="AS956" i="10"/>
  <c r="Y956" i="10"/>
  <c r="A957" i="10"/>
  <c r="B956" i="10"/>
  <c r="R954" i="10"/>
  <c r="AU945" i="10"/>
  <c r="H954" i="10"/>
  <c r="D954" i="10"/>
  <c r="F954" i="10" s="1"/>
  <c r="G954" i="10" s="1"/>
  <c r="V954" i="10" s="1"/>
  <c r="T207" i="10"/>
  <c r="AQ207" i="10" s="1"/>
  <c r="AD207" i="10"/>
  <c r="U207" i="10"/>
  <c r="W207" i="10" s="1"/>
  <c r="AP207" i="10" s="1"/>
  <c r="AH206" i="10"/>
  <c r="AN206" i="10" s="1"/>
  <c r="AW206" i="10" s="1"/>
  <c r="AO206" i="10"/>
  <c r="AY206" i="10" s="1"/>
  <c r="C955" i="10"/>
  <c r="I955" i="10" s="1"/>
  <c r="K955" i="10"/>
  <c r="M955" i="10"/>
  <c r="E955" i="10"/>
  <c r="O947" i="10" l="1"/>
  <c r="P947" i="10" s="1"/>
  <c r="J948" i="10" s="1"/>
  <c r="L948" i="10" s="1"/>
  <c r="N948" i="10" s="1"/>
  <c r="AT947" i="10"/>
  <c r="AE947" i="10"/>
  <c r="AF947" i="10"/>
  <c r="AZ206" i="10"/>
  <c r="BD206" i="10"/>
  <c r="AU946" i="10"/>
  <c r="M956" i="10"/>
  <c r="C956" i="10"/>
  <c r="I956" i="10" s="1"/>
  <c r="K956" i="10"/>
  <c r="E956" i="10"/>
  <c r="R955" i="10"/>
  <c r="Y957" i="10"/>
  <c r="A958" i="10"/>
  <c r="BB957" i="10"/>
  <c r="BC957" i="10" s="1"/>
  <c r="AS957" i="10"/>
  <c r="B957" i="10"/>
  <c r="X207" i="10"/>
  <c r="H955" i="10"/>
  <c r="D955" i="10"/>
  <c r="F955" i="10" s="1"/>
  <c r="G955" i="10" s="1"/>
  <c r="V955" i="10" s="1"/>
  <c r="O948" i="10" l="1"/>
  <c r="P948" i="10" s="1"/>
  <c r="J949" i="10" s="1"/>
  <c r="L949" i="10" s="1"/>
  <c r="N949" i="10" s="1"/>
  <c r="AT948" i="10"/>
  <c r="AE948" i="10"/>
  <c r="AF948" i="10"/>
  <c r="Y958" i="10"/>
  <c r="AS958" i="10"/>
  <c r="A959" i="10"/>
  <c r="BB958" i="10"/>
  <c r="BC958" i="10" s="1"/>
  <c r="B958" i="10"/>
  <c r="Z207" i="10"/>
  <c r="AR207" i="10" s="1"/>
  <c r="AU947" i="10"/>
  <c r="M957" i="10"/>
  <c r="C957" i="10"/>
  <c r="I957" i="10" s="1"/>
  <c r="K957" i="10"/>
  <c r="E957" i="10"/>
  <c r="R956" i="10"/>
  <c r="H956" i="10"/>
  <c r="D956" i="10"/>
  <c r="F956" i="10" s="1"/>
  <c r="G956" i="10" s="1"/>
  <c r="V956" i="10" s="1"/>
  <c r="Q208" i="10" l="1"/>
  <c r="AM208" i="10" s="1"/>
  <c r="AA207" i="10"/>
  <c r="AK207" i="10" s="1"/>
  <c r="AX207" i="10" s="1"/>
  <c r="O949" i="10"/>
  <c r="P949" i="10" s="1"/>
  <c r="J950" i="10" s="1"/>
  <c r="L950" i="10" s="1"/>
  <c r="N950" i="10" s="1"/>
  <c r="AE949" i="10"/>
  <c r="AT949" i="10"/>
  <c r="AF949" i="10"/>
  <c r="S208" i="10"/>
  <c r="H957" i="10"/>
  <c r="D957" i="10"/>
  <c r="F957" i="10" s="1"/>
  <c r="G957" i="10" s="1"/>
  <c r="V957" i="10" s="1"/>
  <c r="AI207" i="10"/>
  <c r="AJ207" i="10"/>
  <c r="AG207" i="10"/>
  <c r="AU948" i="10"/>
  <c r="M958" i="10"/>
  <c r="C958" i="10"/>
  <c r="I958" i="10" s="1"/>
  <c r="K958" i="10"/>
  <c r="E958" i="10"/>
  <c r="A960" i="10"/>
  <c r="BB959" i="10"/>
  <c r="BC959" i="10" s="1"/>
  <c r="Y959" i="10"/>
  <c r="AS959" i="10"/>
  <c r="B959" i="10"/>
  <c r="R957" i="10"/>
  <c r="AB208" i="10" l="1"/>
  <c r="AV207" i="10" s="1"/>
  <c r="AC208" i="10"/>
  <c r="BA207" i="10"/>
  <c r="O950" i="10"/>
  <c r="P950" i="10" s="1"/>
  <c r="J951" i="10" s="1"/>
  <c r="L951" i="10" s="1"/>
  <c r="N951" i="10" s="1"/>
  <c r="AE950" i="10"/>
  <c r="AT950" i="10"/>
  <c r="AF950" i="10"/>
  <c r="A961" i="10"/>
  <c r="AS960" i="10"/>
  <c r="BB960" i="10"/>
  <c r="BC960" i="10" s="1"/>
  <c r="Y960" i="10"/>
  <c r="B960" i="10"/>
  <c r="AU949" i="10"/>
  <c r="R958" i="10"/>
  <c r="AH207" i="10"/>
  <c r="AO207" i="10"/>
  <c r="AY207" i="10" s="1"/>
  <c r="AD208" i="10"/>
  <c r="T208" i="10"/>
  <c r="AQ208" i="10" s="1"/>
  <c r="U208" i="10"/>
  <c r="W208" i="10" s="1"/>
  <c r="AP208" i="10" s="1"/>
  <c r="M959" i="10"/>
  <c r="C959" i="10"/>
  <c r="I959" i="10" s="1"/>
  <c r="K959" i="10"/>
  <c r="E959" i="10"/>
  <c r="H958" i="10"/>
  <c r="D958" i="10"/>
  <c r="F958" i="10" s="1"/>
  <c r="G958" i="10" s="1"/>
  <c r="V958" i="10" s="1"/>
  <c r="AL207" i="10"/>
  <c r="AN207" i="10" l="1"/>
  <c r="AW207" i="10" s="1"/>
  <c r="BD207" i="10" s="1"/>
  <c r="O951" i="10"/>
  <c r="P951" i="10" s="1"/>
  <c r="J952" i="10" s="1"/>
  <c r="L952" i="10" s="1"/>
  <c r="N952" i="10" s="1"/>
  <c r="AT951" i="10"/>
  <c r="AE951" i="10"/>
  <c r="AF951" i="10"/>
  <c r="R959" i="10"/>
  <c r="M960" i="10"/>
  <c r="C960" i="10"/>
  <c r="I960" i="10" s="1"/>
  <c r="K960" i="10"/>
  <c r="E960" i="10"/>
  <c r="H959" i="10"/>
  <c r="D959" i="10"/>
  <c r="F959" i="10" s="1"/>
  <c r="G959" i="10" s="1"/>
  <c r="V959" i="10" s="1"/>
  <c r="AU950" i="10"/>
  <c r="A962" i="10"/>
  <c r="BB961" i="10"/>
  <c r="BC961" i="10" s="1"/>
  <c r="AS961" i="10"/>
  <c r="Y961" i="10"/>
  <c r="B961" i="10"/>
  <c r="X208" i="10"/>
  <c r="AZ207" i="10" l="1"/>
  <c r="O952" i="10"/>
  <c r="P952" i="10" s="1"/>
  <c r="J953" i="10" s="1"/>
  <c r="L953" i="10" s="1"/>
  <c r="N953" i="10" s="1"/>
  <c r="AE952" i="10"/>
  <c r="AT952" i="10"/>
  <c r="AF952" i="10"/>
  <c r="C961" i="10"/>
  <c r="I961" i="10" s="1"/>
  <c r="K961" i="10"/>
  <c r="M961" i="10"/>
  <c r="E961" i="10"/>
  <c r="H960" i="10"/>
  <c r="D960" i="10"/>
  <c r="F960" i="10" s="1"/>
  <c r="G960" i="10" s="1"/>
  <c r="V960" i="10" s="1"/>
  <c r="AU951" i="10"/>
  <c r="A963" i="10"/>
  <c r="BB962" i="10"/>
  <c r="BC962" i="10" s="1"/>
  <c r="AS962" i="10"/>
  <c r="Y962" i="10"/>
  <c r="B962" i="10"/>
  <c r="Z208" i="10"/>
  <c r="AR208" i="10" s="1"/>
  <c r="R960" i="10"/>
  <c r="O953" i="10" l="1"/>
  <c r="P953" i="10" s="1"/>
  <c r="J954" i="10" s="1"/>
  <c r="L954" i="10" s="1"/>
  <c r="N954" i="10" s="1"/>
  <c r="AE953" i="10"/>
  <c r="AT953" i="10"/>
  <c r="AF953" i="10"/>
  <c r="K962" i="10"/>
  <c r="M962" i="10"/>
  <c r="C962" i="10"/>
  <c r="I962" i="10" s="1"/>
  <c r="E962" i="10"/>
  <c r="AU952" i="10"/>
  <c r="R961" i="10"/>
  <c r="BB963" i="10"/>
  <c r="BC963" i="10" s="1"/>
  <c r="AS963" i="10"/>
  <c r="Y963" i="10"/>
  <c r="A964" i="10"/>
  <c r="B963" i="10"/>
  <c r="Q209" i="10"/>
  <c r="AA208" i="10"/>
  <c r="H961" i="10"/>
  <c r="D961" i="10"/>
  <c r="F961" i="10" s="1"/>
  <c r="G961" i="10" s="1"/>
  <c r="V961" i="10" s="1"/>
  <c r="O954" i="10" l="1"/>
  <c r="P954" i="10" s="1"/>
  <c r="J955" i="10" s="1"/>
  <c r="L955" i="10" s="1"/>
  <c r="N955" i="10" s="1"/>
  <c r="AT954" i="10"/>
  <c r="AE954" i="10"/>
  <c r="AF954" i="10"/>
  <c r="BB964" i="10"/>
  <c r="BC964" i="10" s="1"/>
  <c r="AS964" i="10"/>
  <c r="Y964" i="10"/>
  <c r="A965" i="10"/>
  <c r="B964" i="10"/>
  <c r="AI208" i="10"/>
  <c r="AJ208" i="10"/>
  <c r="AG208" i="10"/>
  <c r="AK208" i="10"/>
  <c r="AX208" i="10" s="1"/>
  <c r="AU953" i="10"/>
  <c r="S209" i="10"/>
  <c r="AM209" i="10"/>
  <c r="AC209" i="10"/>
  <c r="AB209" i="10"/>
  <c r="AV208" i="10" s="1"/>
  <c r="R962" i="10"/>
  <c r="H962" i="10"/>
  <c r="D962" i="10"/>
  <c r="F962" i="10" s="1"/>
  <c r="G962" i="10" s="1"/>
  <c r="V962" i="10" s="1"/>
  <c r="M963" i="10"/>
  <c r="K963" i="10"/>
  <c r="C963" i="10"/>
  <c r="I963" i="10" s="1"/>
  <c r="E963" i="10"/>
  <c r="BA208" i="10" l="1"/>
  <c r="O955" i="10"/>
  <c r="P955" i="10" s="1"/>
  <c r="J956" i="10" s="1"/>
  <c r="L956" i="10" s="1"/>
  <c r="N956" i="10" s="1"/>
  <c r="AE955" i="10"/>
  <c r="AT955" i="10"/>
  <c r="AF955" i="10"/>
  <c r="AD209" i="10"/>
  <c r="T209" i="10"/>
  <c r="AQ209" i="10" s="1"/>
  <c r="U209" i="10"/>
  <c r="W209" i="10" s="1"/>
  <c r="AP209" i="10" s="1"/>
  <c r="AU954" i="10"/>
  <c r="R963" i="10"/>
  <c r="C964" i="10"/>
  <c r="I964" i="10" s="1"/>
  <c r="K964" i="10"/>
  <c r="M964" i="10"/>
  <c r="E964" i="10"/>
  <c r="H963" i="10"/>
  <c r="D963" i="10"/>
  <c r="F963" i="10" s="1"/>
  <c r="G963" i="10" s="1"/>
  <c r="V963" i="10" s="1"/>
  <c r="Y965" i="10"/>
  <c r="BB965" i="10"/>
  <c r="BC965" i="10" s="1"/>
  <c r="A966" i="10"/>
  <c r="AS965" i="10"/>
  <c r="B965" i="10"/>
  <c r="AO208" i="10"/>
  <c r="AY208" i="10" s="1"/>
  <c r="AH208" i="10"/>
  <c r="AL208" i="10"/>
  <c r="AN208" i="10" l="1"/>
  <c r="AW208" i="10" s="1"/>
  <c r="BD208" i="10" s="1"/>
  <c r="O956" i="10"/>
  <c r="P956" i="10" s="1"/>
  <c r="J957" i="10" s="1"/>
  <c r="L957" i="10" s="1"/>
  <c r="N957" i="10" s="1"/>
  <c r="AE956" i="10"/>
  <c r="AT956" i="10"/>
  <c r="AF956" i="10"/>
  <c r="AZ208" i="10"/>
  <c r="R964" i="10"/>
  <c r="M965" i="10"/>
  <c r="C965" i="10"/>
  <c r="I965" i="10" s="1"/>
  <c r="K965" i="10"/>
  <c r="E965" i="10"/>
  <c r="AU955" i="10"/>
  <c r="AS966" i="10"/>
  <c r="Y966" i="10"/>
  <c r="BB966" i="10"/>
  <c r="BC966" i="10" s="1"/>
  <c r="A967" i="10"/>
  <c r="B966" i="10"/>
  <c r="H964" i="10"/>
  <c r="D964" i="10"/>
  <c r="F964" i="10" s="1"/>
  <c r="G964" i="10" s="1"/>
  <c r="V964" i="10" s="1"/>
  <c r="X209" i="10"/>
  <c r="O957" i="10" l="1"/>
  <c r="P957" i="10" s="1"/>
  <c r="J958" i="10" s="1"/>
  <c r="L958" i="10" s="1"/>
  <c r="N958" i="10" s="1"/>
  <c r="AE957" i="10"/>
  <c r="AT957" i="10"/>
  <c r="AF957" i="10"/>
  <c r="Z209" i="10"/>
  <c r="AR209" i="10" s="1"/>
  <c r="C966" i="10"/>
  <c r="I966" i="10" s="1"/>
  <c r="M966" i="10"/>
  <c r="K966" i="10"/>
  <c r="E966" i="10"/>
  <c r="AU956" i="10"/>
  <c r="A968" i="10"/>
  <c r="AS967" i="10"/>
  <c r="Y967" i="10"/>
  <c r="BB967" i="10"/>
  <c r="BC967" i="10" s="1"/>
  <c r="B967" i="10"/>
  <c r="R965" i="10"/>
  <c r="H965" i="10"/>
  <c r="D965" i="10"/>
  <c r="F965" i="10" s="1"/>
  <c r="G965" i="10" s="1"/>
  <c r="V965" i="10" s="1"/>
  <c r="O958" i="10" l="1"/>
  <c r="P958" i="10" s="1"/>
  <c r="J959" i="10" s="1"/>
  <c r="L959" i="10" s="1"/>
  <c r="N959" i="10" s="1"/>
  <c r="AE958" i="10"/>
  <c r="AT958" i="10"/>
  <c r="AF958" i="10"/>
  <c r="H966" i="10"/>
  <c r="D966" i="10"/>
  <c r="F966" i="10" s="1"/>
  <c r="G966" i="10" s="1"/>
  <c r="V966" i="10" s="1"/>
  <c r="A969" i="10"/>
  <c r="AS968" i="10"/>
  <c r="Y968" i="10"/>
  <c r="BB968" i="10"/>
  <c r="BC968" i="10" s="1"/>
  <c r="B968" i="10"/>
  <c r="AU957" i="10"/>
  <c r="R966" i="10"/>
  <c r="Q210" i="10"/>
  <c r="M967" i="10"/>
  <c r="C967" i="10"/>
  <c r="I967" i="10" s="1"/>
  <c r="K967" i="10"/>
  <c r="E967" i="10"/>
  <c r="AA209" i="10"/>
  <c r="O959" i="10" l="1"/>
  <c r="P959" i="10" s="1"/>
  <c r="J960" i="10" s="1"/>
  <c r="L960" i="10" s="1"/>
  <c r="N960" i="10" s="1"/>
  <c r="AE959" i="10"/>
  <c r="AT959" i="10"/>
  <c r="AF959" i="10"/>
  <c r="AI209" i="10"/>
  <c r="AJ209" i="10"/>
  <c r="AG209" i="10"/>
  <c r="AK209" i="10"/>
  <c r="AX209" i="10" s="1"/>
  <c r="R967" i="10"/>
  <c r="AS969" i="10"/>
  <c r="BB969" i="10"/>
  <c r="BC969" i="10" s="1"/>
  <c r="Y969" i="10"/>
  <c r="A970" i="10"/>
  <c r="B969" i="10"/>
  <c r="AU958" i="10"/>
  <c r="H967" i="10"/>
  <c r="D967" i="10"/>
  <c r="F967" i="10" s="1"/>
  <c r="G967" i="10" s="1"/>
  <c r="V967" i="10" s="1"/>
  <c r="S210" i="10"/>
  <c r="AM210" i="10"/>
  <c r="AC210" i="10"/>
  <c r="AB210" i="10"/>
  <c r="AV209" i="10" s="1"/>
  <c r="M968" i="10"/>
  <c r="C968" i="10"/>
  <c r="I968" i="10" s="1"/>
  <c r="K968" i="10"/>
  <c r="E968" i="10"/>
  <c r="BA209" i="10" l="1"/>
  <c r="O960" i="10"/>
  <c r="P960" i="10" s="1"/>
  <c r="J961" i="10" s="1"/>
  <c r="L961" i="10" s="1"/>
  <c r="N961" i="10" s="1"/>
  <c r="AE960" i="10"/>
  <c r="AT960" i="10"/>
  <c r="AF960" i="10"/>
  <c r="AD210" i="10"/>
  <c r="T210" i="10"/>
  <c r="AQ210" i="10" s="1"/>
  <c r="U210" i="10"/>
  <c r="W210" i="10" s="1"/>
  <c r="AP210" i="10" s="1"/>
  <c r="K969" i="10"/>
  <c r="C969" i="10"/>
  <c r="I969" i="10" s="1"/>
  <c r="M969" i="10"/>
  <c r="E969" i="10"/>
  <c r="R968" i="10"/>
  <c r="A971" i="10"/>
  <c r="BB970" i="10"/>
  <c r="BC970" i="10" s="1"/>
  <c r="AS970" i="10"/>
  <c r="Y970" i="10"/>
  <c r="B970" i="10"/>
  <c r="AU959" i="10"/>
  <c r="H968" i="10"/>
  <c r="D968" i="10"/>
  <c r="F968" i="10" s="1"/>
  <c r="G968" i="10" s="1"/>
  <c r="V968" i="10" s="1"/>
  <c r="AO209" i="10"/>
  <c r="AY209" i="10" s="1"/>
  <c r="AH209" i="10"/>
  <c r="AL209" i="10"/>
  <c r="O961" i="10" l="1"/>
  <c r="P961" i="10" s="1"/>
  <c r="J962" i="10" s="1"/>
  <c r="L962" i="10" s="1"/>
  <c r="N962" i="10" s="1"/>
  <c r="AE961" i="10"/>
  <c r="AT961" i="10"/>
  <c r="AF961" i="10"/>
  <c r="H969" i="10"/>
  <c r="D969" i="10"/>
  <c r="F969" i="10" s="1"/>
  <c r="G969" i="10" s="1"/>
  <c r="V969" i="10" s="1"/>
  <c r="A972" i="10"/>
  <c r="AS971" i="10"/>
  <c r="Y971" i="10"/>
  <c r="BB971" i="10"/>
  <c r="BC971" i="10" s="1"/>
  <c r="B971" i="10"/>
  <c r="AU960" i="10"/>
  <c r="X210" i="10"/>
  <c r="AN209" i="10"/>
  <c r="AW209" i="10" s="1"/>
  <c r="M970" i="10"/>
  <c r="C970" i="10"/>
  <c r="I970" i="10" s="1"/>
  <c r="K970" i="10"/>
  <c r="E970" i="10"/>
  <c r="R969" i="10"/>
  <c r="O962" i="10" l="1"/>
  <c r="P962" i="10" s="1"/>
  <c r="J963" i="10" s="1"/>
  <c r="L963" i="10" s="1"/>
  <c r="N963" i="10" s="1"/>
  <c r="AE962" i="10"/>
  <c r="AT962" i="10"/>
  <c r="AF962" i="10"/>
  <c r="A973" i="10"/>
  <c r="AS972" i="10"/>
  <c r="Y972" i="10"/>
  <c r="BB972" i="10"/>
  <c r="BC972" i="10" s="1"/>
  <c r="B972" i="10"/>
  <c r="R970" i="10"/>
  <c r="AU961" i="10"/>
  <c r="H970" i="10"/>
  <c r="D970" i="10"/>
  <c r="F970" i="10" s="1"/>
  <c r="G970" i="10" s="1"/>
  <c r="V970" i="10" s="1"/>
  <c r="M971" i="10"/>
  <c r="C971" i="10"/>
  <c r="I971" i="10" s="1"/>
  <c r="K971" i="10"/>
  <c r="E971" i="10"/>
  <c r="AZ209" i="10"/>
  <c r="BD209" i="10"/>
  <c r="Z210" i="10"/>
  <c r="AR210" i="10" s="1"/>
  <c r="Q211" i="10" l="1"/>
  <c r="AM211" i="10" s="1"/>
  <c r="AA210" i="10"/>
  <c r="AI210" i="10" s="1"/>
  <c r="O963" i="10"/>
  <c r="P963" i="10" s="1"/>
  <c r="J964" i="10" s="1"/>
  <c r="L964" i="10" s="1"/>
  <c r="N964" i="10" s="1"/>
  <c r="AT963" i="10"/>
  <c r="AE963" i="10"/>
  <c r="AF963" i="10"/>
  <c r="M972" i="10"/>
  <c r="C972" i="10"/>
  <c r="I972" i="10" s="1"/>
  <c r="K972" i="10"/>
  <c r="E972" i="10"/>
  <c r="AU962" i="10"/>
  <c r="R971" i="10"/>
  <c r="H971" i="10"/>
  <c r="D971" i="10"/>
  <c r="F971" i="10" s="1"/>
  <c r="G971" i="10" s="1"/>
  <c r="V971" i="10" s="1"/>
  <c r="A974" i="10"/>
  <c r="BB973" i="10"/>
  <c r="BC973" i="10" s="1"/>
  <c r="Y973" i="10"/>
  <c r="AS973" i="10"/>
  <c r="B973" i="10"/>
  <c r="S211" i="10" l="1"/>
  <c r="AK210" i="10"/>
  <c r="AX210" i="10" s="1"/>
  <c r="AG210" i="10"/>
  <c r="AH210" i="10" s="1"/>
  <c r="AB211" i="10"/>
  <c r="AV210" i="10" s="1"/>
  <c r="AJ210" i="10"/>
  <c r="AL210" i="10" s="1"/>
  <c r="AC211" i="10"/>
  <c r="BA210" i="10" s="1"/>
  <c r="O964" i="10"/>
  <c r="P964" i="10" s="1"/>
  <c r="J965" i="10" s="1"/>
  <c r="L965" i="10" s="1"/>
  <c r="N965" i="10" s="1"/>
  <c r="AT964" i="10"/>
  <c r="AE964" i="10"/>
  <c r="AF964" i="10"/>
  <c r="AO210" i="10"/>
  <c r="AY210" i="10" s="1"/>
  <c r="AU963" i="10"/>
  <c r="R972" i="10"/>
  <c r="K973" i="10"/>
  <c r="M973" i="10"/>
  <c r="C973" i="10"/>
  <c r="I973" i="10" s="1"/>
  <c r="E973" i="10"/>
  <c r="H972" i="10"/>
  <c r="D972" i="10"/>
  <c r="F972" i="10" s="1"/>
  <c r="G972" i="10" s="1"/>
  <c r="V972" i="10" s="1"/>
  <c r="AS974" i="10"/>
  <c r="Y974" i="10"/>
  <c r="BB974" i="10"/>
  <c r="BC974" i="10" s="1"/>
  <c r="A975" i="10"/>
  <c r="B974" i="10"/>
  <c r="AD211" i="10"/>
  <c r="T211" i="10"/>
  <c r="AQ211" i="10" s="1"/>
  <c r="U211" i="10"/>
  <c r="W211" i="10" s="1"/>
  <c r="AP211" i="10" s="1"/>
  <c r="AN210" i="10" l="1"/>
  <c r="AW210" i="10" s="1"/>
  <c r="O965" i="10"/>
  <c r="P965" i="10" s="1"/>
  <c r="J966" i="10" s="1"/>
  <c r="L966" i="10" s="1"/>
  <c r="N966" i="10" s="1"/>
  <c r="AE965" i="10"/>
  <c r="AT965" i="10"/>
  <c r="AF965" i="10"/>
  <c r="C974" i="10"/>
  <c r="I974" i="10" s="1"/>
  <c r="M974" i="10"/>
  <c r="K974" i="10"/>
  <c r="E974" i="10"/>
  <c r="A976" i="10"/>
  <c r="AS975" i="10"/>
  <c r="Y975" i="10"/>
  <c r="BB975" i="10"/>
  <c r="BC975" i="10" s="1"/>
  <c r="B975" i="10"/>
  <c r="AU964" i="10"/>
  <c r="R973" i="10"/>
  <c r="X211" i="10"/>
  <c r="H973" i="10"/>
  <c r="D973" i="10"/>
  <c r="F973" i="10" s="1"/>
  <c r="G973" i="10" s="1"/>
  <c r="V973" i="10" s="1"/>
  <c r="BD210" i="10"/>
  <c r="AZ210" i="10"/>
  <c r="O966" i="10" l="1"/>
  <c r="P966" i="10" s="1"/>
  <c r="J967" i="10" s="1"/>
  <c r="L967" i="10" s="1"/>
  <c r="N967" i="10" s="1"/>
  <c r="AT966" i="10"/>
  <c r="AE966" i="10"/>
  <c r="AF966" i="10"/>
  <c r="A977" i="10"/>
  <c r="AS976" i="10"/>
  <c r="Y976" i="10"/>
  <c r="BB976" i="10"/>
  <c r="BC976" i="10" s="1"/>
  <c r="B976" i="10"/>
  <c r="AU965" i="10"/>
  <c r="R974" i="10"/>
  <c r="Z211" i="10"/>
  <c r="AR211" i="10" s="1"/>
  <c r="M975" i="10"/>
  <c r="C975" i="10"/>
  <c r="I975" i="10" s="1"/>
  <c r="K975" i="10"/>
  <c r="E975" i="10"/>
  <c r="H974" i="10"/>
  <c r="D974" i="10"/>
  <c r="F974" i="10" s="1"/>
  <c r="G974" i="10" s="1"/>
  <c r="V974" i="10" s="1"/>
  <c r="O967" i="10" l="1"/>
  <c r="P967" i="10" s="1"/>
  <c r="J968" i="10" s="1"/>
  <c r="L968" i="10" s="1"/>
  <c r="N968" i="10" s="1"/>
  <c r="AT967" i="10"/>
  <c r="AE967" i="10"/>
  <c r="AF967" i="10"/>
  <c r="M976" i="10"/>
  <c r="C976" i="10"/>
  <c r="I976" i="10" s="1"/>
  <c r="K976" i="10"/>
  <c r="E976" i="10"/>
  <c r="AU966" i="10"/>
  <c r="R975" i="10"/>
  <c r="Q212" i="10"/>
  <c r="AA211" i="10"/>
  <c r="H975" i="10"/>
  <c r="D975" i="10"/>
  <c r="F975" i="10" s="1"/>
  <c r="G975" i="10" s="1"/>
  <c r="V975" i="10" s="1"/>
  <c r="Y977" i="10"/>
  <c r="A978" i="10"/>
  <c r="AS977" i="10"/>
  <c r="BB977" i="10"/>
  <c r="BC977" i="10" s="1"/>
  <c r="B977" i="10"/>
  <c r="O968" i="10" l="1"/>
  <c r="P968" i="10" s="1"/>
  <c r="J969" i="10" s="1"/>
  <c r="L969" i="10" s="1"/>
  <c r="N969" i="10" s="1"/>
  <c r="AE968" i="10"/>
  <c r="AT968" i="10"/>
  <c r="AF968" i="10"/>
  <c r="K977" i="10"/>
  <c r="C977" i="10"/>
  <c r="I977" i="10" s="1"/>
  <c r="M977" i="10"/>
  <c r="E977" i="10"/>
  <c r="AU967" i="10"/>
  <c r="AI211" i="10"/>
  <c r="AJ211" i="10"/>
  <c r="AG211" i="10"/>
  <c r="AK211" i="10"/>
  <c r="AX211" i="10" s="1"/>
  <c r="R976" i="10"/>
  <c r="Y978" i="10"/>
  <c r="AS978" i="10"/>
  <c r="BB978" i="10"/>
  <c r="BC978" i="10" s="1"/>
  <c r="A979" i="10"/>
  <c r="B978" i="10"/>
  <c r="S212" i="10"/>
  <c r="AC212" i="10"/>
  <c r="AB212" i="10"/>
  <c r="AV211" i="10" s="1"/>
  <c r="AM212" i="10"/>
  <c r="H976" i="10"/>
  <c r="D976" i="10"/>
  <c r="F976" i="10" s="1"/>
  <c r="G976" i="10" s="1"/>
  <c r="V976" i="10" s="1"/>
  <c r="AL211" i="10" l="1"/>
  <c r="O969" i="10"/>
  <c r="P969" i="10" s="1"/>
  <c r="J970" i="10" s="1"/>
  <c r="L970" i="10" s="1"/>
  <c r="N970" i="10" s="1"/>
  <c r="AT969" i="10"/>
  <c r="AE969" i="10"/>
  <c r="AF969" i="10"/>
  <c r="BA211" i="10"/>
  <c r="T212" i="10"/>
  <c r="AQ212" i="10" s="1"/>
  <c r="AD212" i="10"/>
  <c r="U212" i="10"/>
  <c r="W212" i="10" s="1"/>
  <c r="AP212" i="10" s="1"/>
  <c r="AU968" i="10"/>
  <c r="R977" i="10"/>
  <c r="M978" i="10"/>
  <c r="K978" i="10"/>
  <c r="C978" i="10"/>
  <c r="I978" i="10" s="1"/>
  <c r="E978" i="10"/>
  <c r="H977" i="10"/>
  <c r="D977" i="10"/>
  <c r="F977" i="10" s="1"/>
  <c r="G977" i="10" s="1"/>
  <c r="V977" i="10" s="1"/>
  <c r="BB979" i="10"/>
  <c r="BC979" i="10" s="1"/>
  <c r="Y979" i="10"/>
  <c r="A980" i="10"/>
  <c r="AS979" i="10"/>
  <c r="B979" i="10"/>
  <c r="AO211" i="10"/>
  <c r="AY211" i="10" s="1"/>
  <c r="AH211" i="10"/>
  <c r="AN211" i="10" l="1"/>
  <c r="AW211" i="10" s="1"/>
  <c r="O970" i="10"/>
  <c r="P970" i="10" s="1"/>
  <c r="J971" i="10" s="1"/>
  <c r="L971" i="10" s="1"/>
  <c r="N971" i="10" s="1"/>
  <c r="AE970" i="10"/>
  <c r="AT970" i="10"/>
  <c r="AF970" i="10"/>
  <c r="A981" i="10"/>
  <c r="BB980" i="10"/>
  <c r="BC980" i="10" s="1"/>
  <c r="Y980" i="10"/>
  <c r="AS980" i="10"/>
  <c r="B980" i="10"/>
  <c r="AU969" i="10"/>
  <c r="X212" i="10"/>
  <c r="BD211" i="10"/>
  <c r="AZ211" i="10"/>
  <c r="R978" i="10"/>
  <c r="M979" i="10"/>
  <c r="C979" i="10"/>
  <c r="I979" i="10" s="1"/>
  <c r="K979" i="10"/>
  <c r="E979" i="10"/>
  <c r="H978" i="10"/>
  <c r="D978" i="10"/>
  <c r="F978" i="10" s="1"/>
  <c r="G978" i="10" s="1"/>
  <c r="V978" i="10" s="1"/>
  <c r="O971" i="10" l="1"/>
  <c r="P971" i="10" s="1"/>
  <c r="J972" i="10" s="1"/>
  <c r="L972" i="10" s="1"/>
  <c r="N972" i="10" s="1"/>
  <c r="AE971" i="10"/>
  <c r="AT971" i="10"/>
  <c r="AF971" i="10"/>
  <c r="R979" i="10"/>
  <c r="H979" i="10"/>
  <c r="D979" i="10"/>
  <c r="F979" i="10" s="1"/>
  <c r="G979" i="10" s="1"/>
  <c r="V979" i="10" s="1"/>
  <c r="C980" i="10"/>
  <c r="I980" i="10" s="1"/>
  <c r="K980" i="10"/>
  <c r="M980" i="10"/>
  <c r="E980" i="10"/>
  <c r="AU970" i="10"/>
  <c r="Z212" i="10"/>
  <c r="AR212" i="10" s="1"/>
  <c r="A982" i="10"/>
  <c r="BB981" i="10"/>
  <c r="BC981" i="10" s="1"/>
  <c r="AS981" i="10"/>
  <c r="Y981" i="10"/>
  <c r="B981" i="10"/>
  <c r="Q213" i="10" l="1"/>
  <c r="AA212" i="10"/>
  <c r="AJ212" i="10" s="1"/>
  <c r="O972" i="10"/>
  <c r="P972" i="10" s="1"/>
  <c r="J973" i="10" s="1"/>
  <c r="L973" i="10" s="1"/>
  <c r="N973" i="10" s="1"/>
  <c r="AT972" i="10"/>
  <c r="AE972" i="10"/>
  <c r="AF972" i="10"/>
  <c r="K981" i="10"/>
  <c r="C981" i="10"/>
  <c r="I981" i="10" s="1"/>
  <c r="M981" i="10"/>
  <c r="E981" i="10"/>
  <c r="S213" i="10"/>
  <c r="AB213" i="10"/>
  <c r="AV212" i="10" s="1"/>
  <c r="AM213" i="10"/>
  <c r="AC213" i="10"/>
  <c r="H980" i="10"/>
  <c r="D980" i="10"/>
  <c r="F980" i="10" s="1"/>
  <c r="G980" i="10" s="1"/>
  <c r="V980" i="10" s="1"/>
  <c r="AU971" i="10"/>
  <c r="BB982" i="10"/>
  <c r="BC982" i="10" s="1"/>
  <c r="AS982" i="10"/>
  <c r="Y982" i="10"/>
  <c r="A983" i="10"/>
  <c r="B982" i="10"/>
  <c r="R980" i="10"/>
  <c r="AI212" i="10" l="1"/>
  <c r="AK212" i="10"/>
  <c r="AX212" i="10" s="1"/>
  <c r="BA212" i="10"/>
  <c r="AG212" i="10"/>
  <c r="AH212" i="10" s="1"/>
  <c r="O973" i="10"/>
  <c r="P973" i="10" s="1"/>
  <c r="J974" i="10" s="1"/>
  <c r="L974" i="10" s="1"/>
  <c r="N974" i="10" s="1"/>
  <c r="AT973" i="10"/>
  <c r="AE973" i="10"/>
  <c r="AF973" i="10"/>
  <c r="K982" i="10"/>
  <c r="C982" i="10"/>
  <c r="I982" i="10" s="1"/>
  <c r="M982" i="10"/>
  <c r="E982" i="10"/>
  <c r="BB983" i="10"/>
  <c r="BC983" i="10" s="1"/>
  <c r="AS983" i="10"/>
  <c r="Y983" i="10"/>
  <c r="A984" i="10"/>
  <c r="B983" i="10"/>
  <c r="AU972" i="10"/>
  <c r="AD213" i="10"/>
  <c r="T213" i="10"/>
  <c r="AQ213" i="10" s="1"/>
  <c r="U213" i="10"/>
  <c r="W213" i="10" s="1"/>
  <c r="AP213" i="10" s="1"/>
  <c r="AL212" i="10"/>
  <c r="R981" i="10"/>
  <c r="H981" i="10"/>
  <c r="D981" i="10"/>
  <c r="F981" i="10" s="1"/>
  <c r="G981" i="10" s="1"/>
  <c r="V981" i="10" s="1"/>
  <c r="AN212" i="10" l="1"/>
  <c r="AW212" i="10" s="1"/>
  <c r="BD212" i="10" s="1"/>
  <c r="AO212" i="10"/>
  <c r="AY212" i="10" s="1"/>
  <c r="O974" i="10"/>
  <c r="P974" i="10" s="1"/>
  <c r="J975" i="10" s="1"/>
  <c r="L975" i="10" s="1"/>
  <c r="N975" i="10" s="1"/>
  <c r="AE974" i="10"/>
  <c r="AT974" i="10"/>
  <c r="AF974" i="10"/>
  <c r="AU973" i="10"/>
  <c r="R982" i="10"/>
  <c r="C983" i="10"/>
  <c r="I983" i="10" s="1"/>
  <c r="M983" i="10"/>
  <c r="K983" i="10"/>
  <c r="E983" i="10"/>
  <c r="H982" i="10"/>
  <c r="D982" i="10"/>
  <c r="F982" i="10" s="1"/>
  <c r="G982" i="10" s="1"/>
  <c r="V982" i="10" s="1"/>
  <c r="X213" i="10"/>
  <c r="Y984" i="10"/>
  <c r="AS984" i="10"/>
  <c r="A985" i="10"/>
  <c r="BB984" i="10"/>
  <c r="BC984" i="10" s="1"/>
  <c r="B984" i="10"/>
  <c r="AZ212" i="10" l="1"/>
  <c r="O975" i="10"/>
  <c r="P975" i="10" s="1"/>
  <c r="J976" i="10" s="1"/>
  <c r="L976" i="10" s="1"/>
  <c r="N976" i="10" s="1"/>
  <c r="AE975" i="10"/>
  <c r="AT975" i="10"/>
  <c r="AF975" i="10"/>
  <c r="R983" i="10"/>
  <c r="M984" i="10"/>
  <c r="C984" i="10"/>
  <c r="I984" i="10" s="1"/>
  <c r="K984" i="10"/>
  <c r="E984" i="10"/>
  <c r="Y985" i="10"/>
  <c r="A986" i="10"/>
  <c r="BB985" i="10"/>
  <c r="BC985" i="10" s="1"/>
  <c r="AS985" i="10"/>
  <c r="B985" i="10"/>
  <c r="H983" i="10"/>
  <c r="D983" i="10"/>
  <c r="F983" i="10" s="1"/>
  <c r="G983" i="10" s="1"/>
  <c r="V983" i="10" s="1"/>
  <c r="AU974" i="10"/>
  <c r="Z213" i="10"/>
  <c r="AR213" i="10" s="1"/>
  <c r="O976" i="10" l="1"/>
  <c r="P976" i="10" s="1"/>
  <c r="J977" i="10" s="1"/>
  <c r="L977" i="10" s="1"/>
  <c r="N977" i="10" s="1"/>
  <c r="AE976" i="10"/>
  <c r="AT976" i="10"/>
  <c r="AF976" i="10"/>
  <c r="R984" i="10"/>
  <c r="M985" i="10"/>
  <c r="C985" i="10"/>
  <c r="I985" i="10" s="1"/>
  <c r="K985" i="10"/>
  <c r="E985" i="10"/>
  <c r="H984" i="10"/>
  <c r="D984" i="10"/>
  <c r="F984" i="10" s="1"/>
  <c r="G984" i="10" s="1"/>
  <c r="V984" i="10" s="1"/>
  <c r="AU975" i="10"/>
  <c r="Q214" i="10"/>
  <c r="AA213" i="10"/>
  <c r="A987" i="10"/>
  <c r="Y986" i="10"/>
  <c r="BB986" i="10"/>
  <c r="BC986" i="10" s="1"/>
  <c r="AS986" i="10"/>
  <c r="B986" i="10"/>
  <c r="O977" i="10" l="1"/>
  <c r="P977" i="10" s="1"/>
  <c r="J978" i="10" s="1"/>
  <c r="L978" i="10" s="1"/>
  <c r="N978" i="10" s="1"/>
  <c r="AE977" i="10"/>
  <c r="AT977" i="10"/>
  <c r="AF977" i="10"/>
  <c r="H985" i="10"/>
  <c r="D985" i="10"/>
  <c r="F985" i="10" s="1"/>
  <c r="G985" i="10" s="1"/>
  <c r="V985" i="10" s="1"/>
  <c r="S214" i="10"/>
  <c r="AC214" i="10"/>
  <c r="AB214" i="10"/>
  <c r="AV213" i="10" s="1"/>
  <c r="AM214" i="10"/>
  <c r="M986" i="10"/>
  <c r="C986" i="10"/>
  <c r="I986" i="10" s="1"/>
  <c r="K986" i="10"/>
  <c r="E986" i="10"/>
  <c r="AU976" i="10"/>
  <c r="A988" i="10"/>
  <c r="BB987" i="10"/>
  <c r="BC987" i="10" s="1"/>
  <c r="AS987" i="10"/>
  <c r="Y987" i="10"/>
  <c r="B987" i="10"/>
  <c r="R985" i="10"/>
  <c r="AI213" i="10"/>
  <c r="AJ213" i="10"/>
  <c r="AG213" i="10"/>
  <c r="AK213" i="10"/>
  <c r="AX213" i="10" s="1"/>
  <c r="BA213" i="10" l="1"/>
  <c r="O978" i="10"/>
  <c r="P978" i="10" s="1"/>
  <c r="J979" i="10" s="1"/>
  <c r="L979" i="10" s="1"/>
  <c r="N979" i="10" s="1"/>
  <c r="AE978" i="10"/>
  <c r="AT978" i="10"/>
  <c r="AF978" i="10"/>
  <c r="M987" i="10"/>
  <c r="C987" i="10"/>
  <c r="I987" i="10" s="1"/>
  <c r="K987" i="10"/>
  <c r="E987" i="10"/>
  <c r="AU977" i="10"/>
  <c r="AH213" i="10"/>
  <c r="AO213" i="10"/>
  <c r="AY213" i="10" s="1"/>
  <c r="R986" i="10"/>
  <c r="T214" i="10"/>
  <c r="AQ214" i="10" s="1"/>
  <c r="AD214" i="10"/>
  <c r="U214" i="10"/>
  <c r="W214" i="10" s="1"/>
  <c r="AP214" i="10" s="1"/>
  <c r="AL213" i="10"/>
  <c r="A989" i="10"/>
  <c r="BB988" i="10"/>
  <c r="BC988" i="10" s="1"/>
  <c r="AS988" i="10"/>
  <c r="Y988" i="10"/>
  <c r="B988" i="10"/>
  <c r="H986" i="10"/>
  <c r="D986" i="10"/>
  <c r="F986" i="10" s="1"/>
  <c r="G986" i="10" s="1"/>
  <c r="V986" i="10" s="1"/>
  <c r="O979" i="10" l="1"/>
  <c r="P979" i="10" s="1"/>
  <c r="J980" i="10" s="1"/>
  <c r="L980" i="10" s="1"/>
  <c r="N980" i="10" s="1"/>
  <c r="AE979" i="10"/>
  <c r="AT979" i="10"/>
  <c r="AF979" i="10"/>
  <c r="X214" i="10"/>
  <c r="A990" i="10"/>
  <c r="BB989" i="10"/>
  <c r="BC989" i="10" s="1"/>
  <c r="AS989" i="10"/>
  <c r="Y989" i="10"/>
  <c r="B989" i="10"/>
  <c r="R987" i="10"/>
  <c r="AU978" i="10"/>
  <c r="H987" i="10"/>
  <c r="D987" i="10"/>
  <c r="F987" i="10" s="1"/>
  <c r="G987" i="10" s="1"/>
  <c r="V987" i="10" s="1"/>
  <c r="C988" i="10"/>
  <c r="I988" i="10" s="1"/>
  <c r="K988" i="10"/>
  <c r="M988" i="10"/>
  <c r="E988" i="10"/>
  <c r="AN213" i="10"/>
  <c r="AW213" i="10" s="1"/>
  <c r="O980" i="10" l="1"/>
  <c r="P980" i="10" s="1"/>
  <c r="J981" i="10" s="1"/>
  <c r="L981" i="10" s="1"/>
  <c r="N981" i="10" s="1"/>
  <c r="AE980" i="10"/>
  <c r="AT980" i="10"/>
  <c r="AF980" i="10"/>
  <c r="R988" i="10"/>
  <c r="K989" i="10"/>
  <c r="C989" i="10"/>
  <c r="I989" i="10" s="1"/>
  <c r="M989" i="10"/>
  <c r="E989" i="10"/>
  <c r="AU979" i="10"/>
  <c r="H988" i="10"/>
  <c r="D988" i="10"/>
  <c r="F988" i="10" s="1"/>
  <c r="G988" i="10" s="1"/>
  <c r="V988" i="10" s="1"/>
  <c r="BB990" i="10"/>
  <c r="BC990" i="10" s="1"/>
  <c r="AS990" i="10"/>
  <c r="Y990" i="10"/>
  <c r="A991" i="10"/>
  <c r="B990" i="10"/>
  <c r="Z214" i="10"/>
  <c r="AR214" i="10" s="1"/>
  <c r="AZ213" i="10"/>
  <c r="BD213" i="10"/>
  <c r="Q215" i="10" l="1"/>
  <c r="AB215" i="10" s="1"/>
  <c r="AV214" i="10" s="1"/>
  <c r="AA214" i="10"/>
  <c r="AI214" i="10" s="1"/>
  <c r="O981" i="10"/>
  <c r="P981" i="10" s="1"/>
  <c r="J982" i="10" s="1"/>
  <c r="L982" i="10" s="1"/>
  <c r="N982" i="10" s="1"/>
  <c r="AT981" i="10"/>
  <c r="AE981" i="10"/>
  <c r="AF981" i="10"/>
  <c r="R989" i="10"/>
  <c r="M990" i="10"/>
  <c r="K990" i="10"/>
  <c r="C990" i="10"/>
  <c r="I990" i="10" s="1"/>
  <c r="E990" i="10"/>
  <c r="H989" i="10"/>
  <c r="D989" i="10"/>
  <c r="F989" i="10" s="1"/>
  <c r="G989" i="10" s="1"/>
  <c r="V989" i="10" s="1"/>
  <c r="AU980" i="10"/>
  <c r="BB991" i="10"/>
  <c r="BC991" i="10" s="1"/>
  <c r="AS991" i="10"/>
  <c r="Y991" i="10"/>
  <c r="A992" i="10"/>
  <c r="B991" i="10"/>
  <c r="S215" i="10" l="1"/>
  <c r="AK214" i="10"/>
  <c r="AX214" i="10" s="1"/>
  <c r="AG214" i="10"/>
  <c r="AM215" i="10"/>
  <c r="AJ214" i="10"/>
  <c r="AL214" i="10" s="1"/>
  <c r="AC215" i="10"/>
  <c r="BA214" i="10" s="1"/>
  <c r="O982" i="10"/>
  <c r="P982" i="10" s="1"/>
  <c r="J983" i="10" s="1"/>
  <c r="L983" i="10" s="1"/>
  <c r="N983" i="10" s="1"/>
  <c r="AT982" i="10"/>
  <c r="AE982" i="10"/>
  <c r="AF982" i="10"/>
  <c r="H990" i="10"/>
  <c r="D990" i="10"/>
  <c r="F990" i="10" s="1"/>
  <c r="G990" i="10" s="1"/>
  <c r="V990" i="10" s="1"/>
  <c r="AH214" i="10"/>
  <c r="AO214" i="10"/>
  <c r="AY214" i="10" s="1"/>
  <c r="AU981" i="10"/>
  <c r="M991" i="10"/>
  <c r="K991" i="10"/>
  <c r="C991" i="10"/>
  <c r="I991" i="10" s="1"/>
  <c r="E991" i="10"/>
  <c r="Y992" i="10"/>
  <c r="BB992" i="10"/>
  <c r="BC992" i="10" s="1"/>
  <c r="AS992" i="10"/>
  <c r="A993" i="10"/>
  <c r="B992" i="10"/>
  <c r="R990" i="10"/>
  <c r="T215" i="10"/>
  <c r="AQ215" i="10" s="1"/>
  <c r="AD215" i="10"/>
  <c r="U215" i="10"/>
  <c r="W215" i="10" s="1"/>
  <c r="AP215" i="10" s="1"/>
  <c r="O983" i="10" l="1"/>
  <c r="P983" i="10" s="1"/>
  <c r="J984" i="10" s="1"/>
  <c r="L984" i="10" s="1"/>
  <c r="N984" i="10" s="1"/>
  <c r="AE983" i="10"/>
  <c r="AT983" i="10"/>
  <c r="AF983" i="10"/>
  <c r="H991" i="10"/>
  <c r="D991" i="10"/>
  <c r="F991" i="10" s="1"/>
  <c r="G991" i="10" s="1"/>
  <c r="V991" i="10" s="1"/>
  <c r="M992" i="10"/>
  <c r="K992" i="10"/>
  <c r="C992" i="10"/>
  <c r="I992" i="10" s="1"/>
  <c r="E992" i="10"/>
  <c r="Y993" i="10"/>
  <c r="AS993" i="10"/>
  <c r="A994" i="10"/>
  <c r="BB993" i="10"/>
  <c r="BC993" i="10" s="1"/>
  <c r="B993" i="10"/>
  <c r="AU982" i="10"/>
  <c r="AN214" i="10"/>
  <c r="AW214" i="10" s="1"/>
  <c r="X215" i="10"/>
  <c r="R991" i="10"/>
  <c r="O984" i="10" l="1"/>
  <c r="P984" i="10" s="1"/>
  <c r="J985" i="10" s="1"/>
  <c r="L985" i="10" s="1"/>
  <c r="N985" i="10" s="1"/>
  <c r="AE984" i="10"/>
  <c r="AT984" i="10"/>
  <c r="AF984" i="10"/>
  <c r="R992" i="10"/>
  <c r="M993" i="10"/>
  <c r="C993" i="10"/>
  <c r="I993" i="10" s="1"/>
  <c r="K993" i="10"/>
  <c r="E993" i="10"/>
  <c r="H992" i="10"/>
  <c r="D992" i="10"/>
  <c r="F992" i="10" s="1"/>
  <c r="G992" i="10" s="1"/>
  <c r="V992" i="10" s="1"/>
  <c r="AU983" i="10"/>
  <c r="Z215" i="10"/>
  <c r="AR215" i="10" s="1"/>
  <c r="A995" i="10"/>
  <c r="AS994" i="10"/>
  <c r="Y994" i="10"/>
  <c r="BB994" i="10"/>
  <c r="BC994" i="10" s="1"/>
  <c r="B994" i="10"/>
  <c r="AZ214" i="10"/>
  <c r="BD214" i="10"/>
  <c r="O985" i="10" l="1"/>
  <c r="P985" i="10" s="1"/>
  <c r="J986" i="10" s="1"/>
  <c r="L986" i="10" s="1"/>
  <c r="N986" i="10" s="1"/>
  <c r="AE985" i="10"/>
  <c r="AT985" i="10"/>
  <c r="AF985" i="10"/>
  <c r="A996" i="10"/>
  <c r="AS995" i="10"/>
  <c r="Y995" i="10"/>
  <c r="BB995" i="10"/>
  <c r="BC995" i="10" s="1"/>
  <c r="B995" i="10"/>
  <c r="R993" i="10"/>
  <c r="Q216" i="10"/>
  <c r="AA215" i="10"/>
  <c r="H993" i="10"/>
  <c r="D993" i="10"/>
  <c r="F993" i="10" s="1"/>
  <c r="G993" i="10" s="1"/>
  <c r="V993" i="10" s="1"/>
  <c r="M994" i="10"/>
  <c r="C994" i="10"/>
  <c r="I994" i="10" s="1"/>
  <c r="K994" i="10"/>
  <c r="E994" i="10"/>
  <c r="AU984" i="10"/>
  <c r="O986" i="10" l="1"/>
  <c r="P986" i="10" s="1"/>
  <c r="J987" i="10" s="1"/>
  <c r="L987" i="10" s="1"/>
  <c r="N987" i="10" s="1"/>
  <c r="AT986" i="10"/>
  <c r="AE986" i="10"/>
  <c r="AF986" i="10"/>
  <c r="H994" i="10"/>
  <c r="D994" i="10"/>
  <c r="F994" i="10" s="1"/>
  <c r="G994" i="10" s="1"/>
  <c r="V994" i="10" s="1"/>
  <c r="AU985" i="10"/>
  <c r="M995" i="10"/>
  <c r="C995" i="10"/>
  <c r="I995" i="10" s="1"/>
  <c r="K995" i="10"/>
  <c r="E995" i="10"/>
  <c r="AI215" i="10"/>
  <c r="AJ215" i="10"/>
  <c r="AG215" i="10"/>
  <c r="AK215" i="10"/>
  <c r="AX215" i="10" s="1"/>
  <c r="R994" i="10"/>
  <c r="S216" i="10"/>
  <c r="AB216" i="10"/>
  <c r="AV215" i="10" s="1"/>
  <c r="AM216" i="10"/>
  <c r="AC216" i="10"/>
  <c r="A997" i="10"/>
  <c r="BB996" i="10"/>
  <c r="BC996" i="10" s="1"/>
  <c r="AS996" i="10"/>
  <c r="Y996" i="10"/>
  <c r="B996" i="10"/>
  <c r="BA215" i="10" l="1"/>
  <c r="O987" i="10"/>
  <c r="P987" i="10" s="1"/>
  <c r="J988" i="10" s="1"/>
  <c r="L988" i="10" s="1"/>
  <c r="N988" i="10" s="1"/>
  <c r="AE987" i="10"/>
  <c r="AT987" i="10"/>
  <c r="AF987" i="10"/>
  <c r="H995" i="10"/>
  <c r="D995" i="10"/>
  <c r="F995" i="10" s="1"/>
  <c r="G995" i="10" s="1"/>
  <c r="V995" i="10" s="1"/>
  <c r="AU986" i="10"/>
  <c r="C996" i="10"/>
  <c r="I996" i="10" s="1"/>
  <c r="K996" i="10"/>
  <c r="M996" i="10"/>
  <c r="E996" i="10"/>
  <c r="AH215" i="10"/>
  <c r="AO215" i="10"/>
  <c r="AY215" i="10" s="1"/>
  <c r="AL215" i="10"/>
  <c r="T216" i="10"/>
  <c r="AQ216" i="10" s="1"/>
  <c r="AD216" i="10"/>
  <c r="U216" i="10"/>
  <c r="W216" i="10" s="1"/>
  <c r="AP216" i="10" s="1"/>
  <c r="R995" i="10"/>
  <c r="A998" i="10"/>
  <c r="BB997" i="10"/>
  <c r="BC997" i="10" s="1"/>
  <c r="AS997" i="10"/>
  <c r="Y997" i="10"/>
  <c r="B997" i="10"/>
  <c r="O988" i="10" l="1"/>
  <c r="P988" i="10" s="1"/>
  <c r="J989" i="10" s="1"/>
  <c r="L989" i="10" s="1"/>
  <c r="N989" i="10" s="1"/>
  <c r="AE988" i="10"/>
  <c r="AT988" i="10"/>
  <c r="AF988" i="10"/>
  <c r="BB998" i="10"/>
  <c r="BC998" i="10" s="1"/>
  <c r="AS998" i="10"/>
  <c r="Y998" i="10"/>
  <c r="A999" i="10"/>
  <c r="B998" i="10"/>
  <c r="X216" i="10"/>
  <c r="H996" i="10"/>
  <c r="D996" i="10"/>
  <c r="F996" i="10" s="1"/>
  <c r="G996" i="10" s="1"/>
  <c r="V996" i="10" s="1"/>
  <c r="AU987" i="10"/>
  <c r="K997" i="10"/>
  <c r="C997" i="10"/>
  <c r="I997" i="10" s="1"/>
  <c r="M997" i="10"/>
  <c r="E997" i="10"/>
  <c r="AN215" i="10"/>
  <c r="AW215" i="10" s="1"/>
  <c r="R996" i="10"/>
  <c r="O989" i="10" l="1"/>
  <c r="P989" i="10" s="1"/>
  <c r="J990" i="10" s="1"/>
  <c r="L990" i="10" s="1"/>
  <c r="N990" i="10" s="1"/>
  <c r="AE989" i="10"/>
  <c r="AT989" i="10"/>
  <c r="AF989" i="10"/>
  <c r="Z216" i="10"/>
  <c r="AR216" i="10" s="1"/>
  <c r="AU988" i="10"/>
  <c r="AZ215" i="10"/>
  <c r="BD215" i="10"/>
  <c r="R997" i="10"/>
  <c r="K998" i="10"/>
  <c r="C998" i="10"/>
  <c r="I998" i="10" s="1"/>
  <c r="M998" i="10"/>
  <c r="E998" i="10"/>
  <c r="H997" i="10"/>
  <c r="D997" i="10"/>
  <c r="F997" i="10" s="1"/>
  <c r="G997" i="10" s="1"/>
  <c r="V997" i="10" s="1"/>
  <c r="BB999" i="10"/>
  <c r="BC999" i="10" s="1"/>
  <c r="AS999" i="10"/>
  <c r="Y999" i="10"/>
  <c r="A1000" i="10"/>
  <c r="B999" i="10"/>
  <c r="O990" i="10" l="1"/>
  <c r="P990" i="10" s="1"/>
  <c r="J991" i="10" s="1"/>
  <c r="L991" i="10" s="1"/>
  <c r="N991" i="10" s="1"/>
  <c r="AT990" i="10"/>
  <c r="AE990" i="10"/>
  <c r="AF990" i="10"/>
  <c r="Q217" i="10"/>
  <c r="C999" i="10"/>
  <c r="I999" i="10" s="1"/>
  <c r="M999" i="10"/>
  <c r="K999" i="10"/>
  <c r="E999" i="10"/>
  <c r="R998" i="10"/>
  <c r="AA216" i="10"/>
  <c r="Y1000" i="10"/>
  <c r="AS1000" i="10"/>
  <c r="A1001" i="10"/>
  <c r="BB1000" i="10"/>
  <c r="BC1000" i="10" s="1"/>
  <c r="B1000" i="10"/>
  <c r="H998" i="10"/>
  <c r="D998" i="10"/>
  <c r="F998" i="10" s="1"/>
  <c r="G998" i="10" s="1"/>
  <c r="V998" i="10" s="1"/>
  <c r="AU989" i="10"/>
  <c r="O991" i="10" l="1"/>
  <c r="P991" i="10" s="1"/>
  <c r="J992" i="10" s="1"/>
  <c r="L992" i="10" s="1"/>
  <c r="N992" i="10" s="1"/>
  <c r="AT991" i="10"/>
  <c r="AE991" i="10"/>
  <c r="AF991" i="10"/>
  <c r="R999" i="10"/>
  <c r="AU990" i="10"/>
  <c r="H999" i="10"/>
  <c r="D999" i="10"/>
  <c r="F999" i="10" s="1"/>
  <c r="G999" i="10" s="1"/>
  <c r="V999" i="10" s="1"/>
  <c r="AI216" i="10"/>
  <c r="AJ216" i="10"/>
  <c r="AG216" i="10"/>
  <c r="AK216" i="10"/>
  <c r="AX216" i="10" s="1"/>
  <c r="S217" i="10"/>
  <c r="AM217" i="10"/>
  <c r="AC217" i="10"/>
  <c r="AB217" i="10"/>
  <c r="AV216" i="10" s="1"/>
  <c r="M1000" i="10"/>
  <c r="C1000" i="10"/>
  <c r="I1000" i="10" s="1"/>
  <c r="K1000" i="10"/>
  <c r="E1000" i="10"/>
  <c r="Y1001" i="10"/>
  <c r="A1002" i="10"/>
  <c r="BB1001" i="10"/>
  <c r="BC1001" i="10" s="1"/>
  <c r="AS1001" i="10"/>
  <c r="B1001" i="10"/>
  <c r="O992" i="10" l="1"/>
  <c r="P992" i="10" s="1"/>
  <c r="J993" i="10" s="1"/>
  <c r="L993" i="10" s="1"/>
  <c r="N993" i="10" s="1"/>
  <c r="AE992" i="10"/>
  <c r="AT992" i="10"/>
  <c r="AF992" i="10"/>
  <c r="AU991" i="10"/>
  <c r="R1000" i="10"/>
  <c r="AD217" i="10"/>
  <c r="T217" i="10"/>
  <c r="AQ217" i="10" s="1"/>
  <c r="U217" i="10"/>
  <c r="W217" i="10" s="1"/>
  <c r="AP217" i="10" s="1"/>
  <c r="H1000" i="10"/>
  <c r="D1000" i="10"/>
  <c r="F1000" i="10" s="1"/>
  <c r="G1000" i="10" s="1"/>
  <c r="V1000" i="10" s="1"/>
  <c r="AO216" i="10"/>
  <c r="AY216" i="10" s="1"/>
  <c r="AH216" i="10"/>
  <c r="AN216" i="10" s="1"/>
  <c r="AW216" i="10" s="1"/>
  <c r="M1001" i="10"/>
  <c r="C1001" i="10"/>
  <c r="I1001" i="10" s="1"/>
  <c r="K1001" i="10"/>
  <c r="E1001" i="10"/>
  <c r="AL216" i="10"/>
  <c r="A1003" i="10"/>
  <c r="Y1002" i="10"/>
  <c r="BB1002" i="10"/>
  <c r="BC1002" i="10" s="1"/>
  <c r="AS1002" i="10"/>
  <c r="B1002" i="10"/>
  <c r="BA216" i="10"/>
  <c r="X217" i="10" l="1"/>
  <c r="Z217" i="10" s="1"/>
  <c r="AR217" i="10" s="1"/>
  <c r="O993" i="10"/>
  <c r="P993" i="10" s="1"/>
  <c r="J994" i="10" s="1"/>
  <c r="L994" i="10" s="1"/>
  <c r="N994" i="10" s="1"/>
  <c r="AT993" i="10"/>
  <c r="AE993" i="10"/>
  <c r="AF993" i="10"/>
  <c r="AZ216" i="10"/>
  <c r="BD216" i="10"/>
  <c r="M1002" i="10"/>
  <c r="C1002" i="10"/>
  <c r="I1002" i="10" s="1"/>
  <c r="K1002" i="10"/>
  <c r="E1002" i="10"/>
  <c r="AU992" i="10"/>
  <c r="R1001" i="10"/>
  <c r="H1001" i="10"/>
  <c r="D1001" i="10"/>
  <c r="F1001" i="10" s="1"/>
  <c r="G1001" i="10" s="1"/>
  <c r="V1001" i="10" s="1"/>
  <c r="A1004" i="10"/>
  <c r="BB1003" i="10"/>
  <c r="BC1003" i="10" s="1"/>
  <c r="AS1003" i="10"/>
  <c r="Y1003" i="10"/>
  <c r="B1003" i="10"/>
  <c r="O994" i="10" l="1"/>
  <c r="P994" i="10" s="1"/>
  <c r="J995" i="10" s="1"/>
  <c r="L995" i="10" s="1"/>
  <c r="N995" i="10" s="1"/>
  <c r="AT994" i="10"/>
  <c r="AE994" i="10"/>
  <c r="AF994" i="10"/>
  <c r="A1005" i="10"/>
  <c r="AS1004" i="10"/>
  <c r="BB1004" i="10"/>
  <c r="BC1004" i="10" s="1"/>
  <c r="Y1004" i="10"/>
  <c r="B1004" i="10"/>
  <c r="AU993" i="10"/>
  <c r="Q218" i="10"/>
  <c r="M1003" i="10"/>
  <c r="C1003" i="10"/>
  <c r="I1003" i="10" s="1"/>
  <c r="K1003" i="10"/>
  <c r="E1003" i="10"/>
  <c r="R1002" i="10"/>
  <c r="AA217" i="10"/>
  <c r="H1002" i="10"/>
  <c r="D1002" i="10"/>
  <c r="F1002" i="10" s="1"/>
  <c r="G1002" i="10" s="1"/>
  <c r="V1002" i="10" s="1"/>
  <c r="O995" i="10" l="1"/>
  <c r="P995" i="10" s="1"/>
  <c r="J996" i="10" s="1"/>
  <c r="L996" i="10" s="1"/>
  <c r="N996" i="10" s="1"/>
  <c r="AE995" i="10"/>
  <c r="AT995" i="10"/>
  <c r="AF995" i="10"/>
  <c r="R1003" i="10"/>
  <c r="AU994" i="10"/>
  <c r="H1003" i="10"/>
  <c r="D1003" i="10"/>
  <c r="F1003" i="10" s="1"/>
  <c r="G1003" i="10" s="1"/>
  <c r="V1003" i="10" s="1"/>
  <c r="C1004" i="10"/>
  <c r="I1004" i="10" s="1"/>
  <c r="K1004" i="10"/>
  <c r="M1004" i="10"/>
  <c r="E1004" i="10"/>
  <c r="AI217" i="10"/>
  <c r="AJ217" i="10"/>
  <c r="AG217" i="10"/>
  <c r="AK217" i="10"/>
  <c r="AX217" i="10" s="1"/>
  <c r="S218" i="10"/>
  <c r="AM218" i="10"/>
  <c r="AC218" i="10"/>
  <c r="AB218" i="10"/>
  <c r="AV217" i="10" s="1"/>
  <c r="A1006" i="10"/>
  <c r="AS1005" i="10"/>
  <c r="Y1005" i="10"/>
  <c r="BB1005" i="10"/>
  <c r="BC1005" i="10" s="1"/>
  <c r="B1005" i="10"/>
  <c r="AL217" i="10" l="1"/>
  <c r="O996" i="10"/>
  <c r="P996" i="10" s="1"/>
  <c r="J997" i="10" s="1"/>
  <c r="L997" i="10" s="1"/>
  <c r="N997" i="10" s="1"/>
  <c r="AE996" i="10"/>
  <c r="AT996" i="10"/>
  <c r="AF996" i="10"/>
  <c r="BB1006" i="10"/>
  <c r="BC1006" i="10" s="1"/>
  <c r="A1007" i="10"/>
  <c r="AS1006" i="10"/>
  <c r="Y1006" i="10"/>
  <c r="B1006" i="10"/>
  <c r="BA217" i="10"/>
  <c r="M1005" i="10"/>
  <c r="C1005" i="10"/>
  <c r="I1005" i="10" s="1"/>
  <c r="K1005" i="10"/>
  <c r="E1005" i="10"/>
  <c r="R1004" i="10"/>
  <c r="AU995" i="10"/>
  <c r="AD218" i="10"/>
  <c r="T218" i="10"/>
  <c r="AQ218" i="10" s="1"/>
  <c r="U218" i="10"/>
  <c r="W218" i="10" s="1"/>
  <c r="AP218" i="10" s="1"/>
  <c r="AO217" i="10"/>
  <c r="AY217" i="10" s="1"/>
  <c r="AH217" i="10"/>
  <c r="AN217" i="10" s="1"/>
  <c r="AW217" i="10" s="1"/>
  <c r="H1004" i="10"/>
  <c r="D1004" i="10"/>
  <c r="F1004" i="10" s="1"/>
  <c r="G1004" i="10" s="1"/>
  <c r="V1004" i="10" s="1"/>
  <c r="O997" i="10" l="1"/>
  <c r="P997" i="10" s="1"/>
  <c r="J998" i="10" s="1"/>
  <c r="L998" i="10" s="1"/>
  <c r="N998" i="10" s="1"/>
  <c r="AE997" i="10"/>
  <c r="AT997" i="10"/>
  <c r="AF997" i="10"/>
  <c r="BD217" i="10"/>
  <c r="AZ217" i="10"/>
  <c r="H1005" i="10"/>
  <c r="D1005" i="10"/>
  <c r="F1005" i="10" s="1"/>
  <c r="G1005" i="10" s="1"/>
  <c r="V1005" i="10" s="1"/>
  <c r="K1006" i="10"/>
  <c r="M1006" i="10"/>
  <c r="C1006" i="10"/>
  <c r="I1006" i="10" s="1"/>
  <c r="E1006" i="10"/>
  <c r="AU996" i="10"/>
  <c r="X218" i="10"/>
  <c r="R1005" i="10"/>
  <c r="A1008" i="10"/>
  <c r="BB1007" i="10"/>
  <c r="BC1007" i="10" s="1"/>
  <c r="Y1007" i="10"/>
  <c r="AS1007" i="10"/>
  <c r="B1007" i="10"/>
  <c r="O998" i="10" l="1"/>
  <c r="P998" i="10" s="1"/>
  <c r="J999" i="10" s="1"/>
  <c r="L999" i="10" s="1"/>
  <c r="N999" i="10" s="1"/>
  <c r="AE998" i="10"/>
  <c r="AT998" i="10"/>
  <c r="AF998" i="10"/>
  <c r="M1007" i="10"/>
  <c r="K1007" i="10"/>
  <c r="C1007" i="10"/>
  <c r="I1007" i="10" s="1"/>
  <c r="E1007" i="10"/>
  <c r="H1006" i="10"/>
  <c r="D1006" i="10"/>
  <c r="F1006" i="10" s="1"/>
  <c r="G1006" i="10" s="1"/>
  <c r="V1006" i="10" s="1"/>
  <c r="Z218" i="10"/>
  <c r="AR218" i="10" s="1"/>
  <c r="A1009" i="10"/>
  <c r="AS1008" i="10"/>
  <c r="Y1008" i="10"/>
  <c r="BB1008" i="10"/>
  <c r="BC1008" i="10" s="1"/>
  <c r="B1008" i="10"/>
  <c r="AU997" i="10"/>
  <c r="R1006" i="10"/>
  <c r="O999" i="10" l="1"/>
  <c r="P999" i="10" s="1"/>
  <c r="J1000" i="10" s="1"/>
  <c r="L1000" i="10" s="1"/>
  <c r="N1000" i="10" s="1"/>
  <c r="AE999" i="10"/>
  <c r="AT999" i="10"/>
  <c r="AF999" i="10"/>
  <c r="M1008" i="10"/>
  <c r="C1008" i="10"/>
  <c r="I1008" i="10" s="1"/>
  <c r="K1008" i="10"/>
  <c r="E1008" i="10"/>
  <c r="Q219" i="10"/>
  <c r="AA218" i="10"/>
  <c r="A1010" i="10"/>
  <c r="AS1009" i="10"/>
  <c r="Y1009" i="10"/>
  <c r="BB1009" i="10"/>
  <c r="BC1009" i="10" s="1"/>
  <c r="B1009" i="10"/>
  <c r="AU998" i="10"/>
  <c r="R1007" i="10"/>
  <c r="H1007" i="10"/>
  <c r="D1007" i="10"/>
  <c r="F1007" i="10" s="1"/>
  <c r="G1007" i="10" s="1"/>
  <c r="V1007" i="10" s="1"/>
  <c r="O1000" i="10" l="1"/>
  <c r="P1000" i="10" s="1"/>
  <c r="J1001" i="10" s="1"/>
  <c r="L1001" i="10" s="1"/>
  <c r="N1001" i="10" s="1"/>
  <c r="AE1000" i="10"/>
  <c r="AT1000" i="10"/>
  <c r="AF1000" i="10"/>
  <c r="M1009" i="10"/>
  <c r="C1009" i="10"/>
  <c r="I1009" i="10" s="1"/>
  <c r="K1009" i="10"/>
  <c r="E1009" i="10"/>
  <c r="S219" i="10"/>
  <c r="AM219" i="10"/>
  <c r="AC219" i="10"/>
  <c r="AB219" i="10"/>
  <c r="AV218" i="10" s="1"/>
  <c r="AU999" i="10"/>
  <c r="BB1010" i="10"/>
  <c r="BC1010" i="10" s="1"/>
  <c r="AS1010" i="10"/>
  <c r="Y1010" i="10"/>
  <c r="A1011" i="10"/>
  <c r="B1010" i="10"/>
  <c r="R1008" i="10"/>
  <c r="AI218" i="10"/>
  <c r="AJ218" i="10"/>
  <c r="AG218" i="10"/>
  <c r="AK218" i="10"/>
  <c r="AX218" i="10" s="1"/>
  <c r="H1008" i="10"/>
  <c r="D1008" i="10"/>
  <c r="F1008" i="10" s="1"/>
  <c r="G1008" i="10" s="1"/>
  <c r="V1008" i="10" s="1"/>
  <c r="AL218" i="10" l="1"/>
  <c r="O1001" i="10"/>
  <c r="P1001" i="10" s="1"/>
  <c r="J1002" i="10" s="1"/>
  <c r="L1002" i="10" s="1"/>
  <c r="N1002" i="10" s="1"/>
  <c r="AT1001" i="10"/>
  <c r="AE1001" i="10"/>
  <c r="AF1001" i="10"/>
  <c r="BA218" i="10"/>
  <c r="AD219" i="10"/>
  <c r="T219" i="10"/>
  <c r="AQ219" i="10" s="1"/>
  <c r="U219" i="10"/>
  <c r="W219" i="10" s="1"/>
  <c r="AP219" i="10" s="1"/>
  <c r="R1009" i="10"/>
  <c r="AU1000" i="10"/>
  <c r="K1010" i="10"/>
  <c r="C1010" i="10"/>
  <c r="I1010" i="10" s="1"/>
  <c r="M1010" i="10"/>
  <c r="E1010" i="10"/>
  <c r="H1009" i="10"/>
  <c r="D1009" i="10"/>
  <c r="F1009" i="10" s="1"/>
  <c r="G1009" i="10" s="1"/>
  <c r="V1009" i="10" s="1"/>
  <c r="AO218" i="10"/>
  <c r="AY218" i="10" s="1"/>
  <c r="AH218" i="10"/>
  <c r="AN218" i="10" s="1"/>
  <c r="AW218" i="10" s="1"/>
  <c r="AS1011" i="10"/>
  <c r="Y1011" i="10"/>
  <c r="A1012" i="10"/>
  <c r="BB1011" i="10"/>
  <c r="BC1011" i="10" s="1"/>
  <c r="B1011" i="10"/>
  <c r="O1002" i="10" l="1"/>
  <c r="P1002" i="10" s="1"/>
  <c r="J1003" i="10" s="1"/>
  <c r="L1003" i="10" s="1"/>
  <c r="N1003" i="10" s="1"/>
  <c r="AT1002" i="10"/>
  <c r="AE1002" i="10"/>
  <c r="AF1002" i="10"/>
  <c r="A1013" i="10"/>
  <c r="AS1012" i="10"/>
  <c r="Y1012" i="10"/>
  <c r="BB1012" i="10"/>
  <c r="BC1012" i="10" s="1"/>
  <c r="B1012" i="10"/>
  <c r="H1010" i="10"/>
  <c r="D1010" i="10"/>
  <c r="F1010" i="10" s="1"/>
  <c r="G1010" i="10" s="1"/>
  <c r="V1010" i="10" s="1"/>
  <c r="AU1001" i="10"/>
  <c r="BD218" i="10"/>
  <c r="AZ218" i="10"/>
  <c r="X219" i="10"/>
  <c r="K1011" i="10"/>
  <c r="C1011" i="10"/>
  <c r="I1011" i="10" s="1"/>
  <c r="M1011" i="10"/>
  <c r="E1011" i="10"/>
  <c r="R1010" i="10"/>
  <c r="O1003" i="10" l="1"/>
  <c r="P1003" i="10" s="1"/>
  <c r="J1004" i="10" s="1"/>
  <c r="L1004" i="10" s="1"/>
  <c r="N1004" i="10" s="1"/>
  <c r="AT1003" i="10"/>
  <c r="AE1003" i="10"/>
  <c r="AF1003" i="10"/>
  <c r="R1011" i="10"/>
  <c r="AU1002" i="10"/>
  <c r="M1012" i="10"/>
  <c r="C1012" i="10"/>
  <c r="I1012" i="10" s="1"/>
  <c r="K1012" i="10"/>
  <c r="E1012" i="10"/>
  <c r="H1011" i="10"/>
  <c r="D1011" i="10"/>
  <c r="F1011" i="10" s="1"/>
  <c r="G1011" i="10" s="1"/>
  <c r="V1011" i="10" s="1"/>
  <c r="Z219" i="10"/>
  <c r="AR219" i="10" s="1"/>
  <c r="A1014" i="10"/>
  <c r="AS1013" i="10"/>
  <c r="Y1013" i="10"/>
  <c r="BB1013" i="10"/>
  <c r="BC1013" i="10" s="1"/>
  <c r="B1013" i="10"/>
  <c r="O1004" i="10" l="1"/>
  <c r="P1004" i="10" s="1"/>
  <c r="J1005" i="10" s="1"/>
  <c r="L1005" i="10" s="1"/>
  <c r="N1005" i="10" s="1"/>
  <c r="AE1004" i="10"/>
  <c r="AT1004" i="10"/>
  <c r="AF1004" i="10"/>
  <c r="H1012" i="10"/>
  <c r="D1012" i="10"/>
  <c r="F1012" i="10" s="1"/>
  <c r="G1012" i="10" s="1"/>
  <c r="V1012" i="10" s="1"/>
  <c r="Q220" i="10"/>
  <c r="AA219" i="10"/>
  <c r="AU1003" i="10"/>
  <c r="M1013" i="10"/>
  <c r="C1013" i="10"/>
  <c r="I1013" i="10" s="1"/>
  <c r="K1013" i="10"/>
  <c r="E1013" i="10"/>
  <c r="R1012" i="10"/>
  <c r="BB1014" i="10"/>
  <c r="BC1014" i="10" s="1"/>
  <c r="A1015" i="10"/>
  <c r="AS1014" i="10"/>
  <c r="Y1014" i="10"/>
  <c r="B1014" i="10"/>
  <c r="O1005" i="10" l="1"/>
  <c r="P1005" i="10" s="1"/>
  <c r="J1006" i="10" s="1"/>
  <c r="L1006" i="10" s="1"/>
  <c r="N1006" i="10" s="1"/>
  <c r="AT1005" i="10"/>
  <c r="AE1005" i="10"/>
  <c r="AF1005" i="10"/>
  <c r="K1014" i="10"/>
  <c r="M1014" i="10"/>
  <c r="C1014" i="10"/>
  <c r="I1014" i="10" s="1"/>
  <c r="E1014" i="10"/>
  <c r="AI219" i="10"/>
  <c r="AJ219" i="10"/>
  <c r="AG219" i="10"/>
  <c r="AK219" i="10"/>
  <c r="AX219" i="10" s="1"/>
  <c r="AU1004" i="10"/>
  <c r="A1016" i="10"/>
  <c r="BB1015" i="10"/>
  <c r="BC1015" i="10" s="1"/>
  <c r="AS1015" i="10"/>
  <c r="Y1015" i="10"/>
  <c r="B1015" i="10"/>
  <c r="R1013" i="10"/>
  <c r="S220" i="10"/>
  <c r="AC220" i="10"/>
  <c r="AB220" i="10"/>
  <c r="AV219" i="10" s="1"/>
  <c r="AM220" i="10"/>
  <c r="H1013" i="10"/>
  <c r="D1013" i="10"/>
  <c r="F1013" i="10" s="1"/>
  <c r="G1013" i="10" s="1"/>
  <c r="V1013" i="10" s="1"/>
  <c r="AL219" i="10" l="1"/>
  <c r="O1006" i="10"/>
  <c r="P1006" i="10" s="1"/>
  <c r="J1007" i="10" s="1"/>
  <c r="L1007" i="10" s="1"/>
  <c r="N1007" i="10" s="1"/>
  <c r="AT1006" i="10"/>
  <c r="AE1006" i="10"/>
  <c r="AF1006" i="10"/>
  <c r="AU1005" i="10"/>
  <c r="BA219" i="10"/>
  <c r="T220" i="10"/>
  <c r="AQ220" i="10" s="1"/>
  <c r="AD220" i="10"/>
  <c r="U220" i="10"/>
  <c r="W220" i="10" s="1"/>
  <c r="AP220" i="10" s="1"/>
  <c r="R1014" i="10"/>
  <c r="M1015" i="10"/>
  <c r="K1015" i="10"/>
  <c r="C1015" i="10"/>
  <c r="I1015" i="10" s="1"/>
  <c r="E1015" i="10"/>
  <c r="AO219" i="10"/>
  <c r="AY219" i="10" s="1"/>
  <c r="AH219" i="10"/>
  <c r="AN219" i="10" s="1"/>
  <c r="AW219" i="10" s="1"/>
  <c r="A1017" i="10"/>
  <c r="AS1016" i="10"/>
  <c r="Y1016" i="10"/>
  <c r="BB1016" i="10"/>
  <c r="BC1016" i="10" s="1"/>
  <c r="B1016" i="10"/>
  <c r="H1014" i="10"/>
  <c r="D1014" i="10"/>
  <c r="F1014" i="10" s="1"/>
  <c r="G1014" i="10" s="1"/>
  <c r="V1014" i="10" s="1"/>
  <c r="O1007" i="10" l="1"/>
  <c r="P1007" i="10" s="1"/>
  <c r="J1008" i="10" s="1"/>
  <c r="L1008" i="10" s="1"/>
  <c r="N1008" i="10" s="1"/>
  <c r="AE1007" i="10"/>
  <c r="AT1007" i="10"/>
  <c r="AF1007" i="10"/>
  <c r="M1016" i="10"/>
  <c r="C1016" i="10"/>
  <c r="I1016" i="10" s="1"/>
  <c r="K1016" i="10"/>
  <c r="E1016" i="10"/>
  <c r="R1015" i="10"/>
  <c r="H1015" i="10"/>
  <c r="D1015" i="10"/>
  <c r="F1015" i="10" s="1"/>
  <c r="G1015" i="10" s="1"/>
  <c r="V1015" i="10" s="1"/>
  <c r="BD219" i="10"/>
  <c r="AZ219" i="10"/>
  <c r="X220" i="10"/>
  <c r="AU1006" i="10"/>
  <c r="A1018" i="10"/>
  <c r="AS1017" i="10"/>
  <c r="Y1017" i="10"/>
  <c r="BB1017" i="10"/>
  <c r="BC1017" i="10" s="1"/>
  <c r="B1017" i="10"/>
  <c r="O1008" i="10" l="1"/>
  <c r="P1008" i="10" s="1"/>
  <c r="J1009" i="10" s="1"/>
  <c r="L1009" i="10" s="1"/>
  <c r="N1009" i="10" s="1"/>
  <c r="AE1008" i="10"/>
  <c r="AT1008" i="10"/>
  <c r="AF1008" i="10"/>
  <c r="M1017" i="10"/>
  <c r="C1017" i="10"/>
  <c r="I1017" i="10" s="1"/>
  <c r="K1017" i="10"/>
  <c r="E1017" i="10"/>
  <c r="Z220" i="10"/>
  <c r="AR220" i="10" s="1"/>
  <c r="AU1007" i="10"/>
  <c r="BB1018" i="10"/>
  <c r="BC1018" i="10" s="1"/>
  <c r="AS1018" i="10"/>
  <c r="A1019" i="10"/>
  <c r="Y1018" i="10"/>
  <c r="B1018" i="10"/>
  <c r="R1016" i="10"/>
  <c r="H1016" i="10"/>
  <c r="D1016" i="10"/>
  <c r="F1016" i="10" s="1"/>
  <c r="G1016" i="10" s="1"/>
  <c r="V1016" i="10" s="1"/>
  <c r="O1009" i="10" l="1"/>
  <c r="P1009" i="10" s="1"/>
  <c r="J1010" i="10" s="1"/>
  <c r="L1010" i="10" s="1"/>
  <c r="N1010" i="10" s="1"/>
  <c r="AT1009" i="10"/>
  <c r="AE1009" i="10"/>
  <c r="AF1009" i="10"/>
  <c r="BB1019" i="10"/>
  <c r="BC1019" i="10" s="1"/>
  <c r="AS1019" i="10"/>
  <c r="A1020" i="10"/>
  <c r="Y1019" i="10"/>
  <c r="B1019" i="10"/>
  <c r="Q221" i="10"/>
  <c r="AA220" i="10"/>
  <c r="R1017" i="10"/>
  <c r="AU1008" i="10"/>
  <c r="H1017" i="10"/>
  <c r="D1017" i="10"/>
  <c r="F1017" i="10" s="1"/>
  <c r="G1017" i="10" s="1"/>
  <c r="V1017" i="10" s="1"/>
  <c r="M1018" i="10"/>
  <c r="K1018" i="10"/>
  <c r="C1018" i="10"/>
  <c r="I1018" i="10" s="1"/>
  <c r="E1018" i="10"/>
  <c r="O1010" i="10" l="1"/>
  <c r="P1010" i="10" s="1"/>
  <c r="J1011" i="10" s="1"/>
  <c r="L1011" i="10" s="1"/>
  <c r="N1011" i="10" s="1"/>
  <c r="AT1010" i="10"/>
  <c r="AE1010" i="10"/>
  <c r="AF1010" i="10"/>
  <c r="S221" i="10"/>
  <c r="AB221" i="10"/>
  <c r="AV220" i="10" s="1"/>
  <c r="AM221" i="10"/>
  <c r="AC221" i="10"/>
  <c r="R1018" i="10"/>
  <c r="M1019" i="10"/>
  <c r="K1019" i="10"/>
  <c r="C1019" i="10"/>
  <c r="I1019" i="10" s="1"/>
  <c r="E1019" i="10"/>
  <c r="H1018" i="10"/>
  <c r="D1018" i="10"/>
  <c r="F1018" i="10" s="1"/>
  <c r="G1018" i="10" s="1"/>
  <c r="V1018" i="10" s="1"/>
  <c r="AU1009" i="10"/>
  <c r="BB1020" i="10"/>
  <c r="BC1020" i="10" s="1"/>
  <c r="AS1020" i="10"/>
  <c r="A1021" i="10"/>
  <c r="Y1020" i="10"/>
  <c r="B1020" i="10"/>
  <c r="AI220" i="10"/>
  <c r="AJ220" i="10"/>
  <c r="AG220" i="10"/>
  <c r="AK220" i="10"/>
  <c r="AX220" i="10" s="1"/>
  <c r="O1011" i="10" l="1"/>
  <c r="P1011" i="10" s="1"/>
  <c r="J1012" i="10" s="1"/>
  <c r="L1012" i="10" s="1"/>
  <c r="N1012" i="10" s="1"/>
  <c r="AE1011" i="10"/>
  <c r="AT1011" i="10"/>
  <c r="AF1011" i="10"/>
  <c r="AD221" i="10"/>
  <c r="T221" i="10"/>
  <c r="AQ221" i="10" s="1"/>
  <c r="U221" i="10"/>
  <c r="W221" i="10" s="1"/>
  <c r="AP221" i="10" s="1"/>
  <c r="M1020" i="10"/>
  <c r="C1020" i="10"/>
  <c r="I1020" i="10" s="1"/>
  <c r="K1020" i="10"/>
  <c r="E1020" i="10"/>
  <c r="AU1010" i="10"/>
  <c r="AO220" i="10"/>
  <c r="AY220" i="10" s="1"/>
  <c r="AH220" i="10"/>
  <c r="AN220" i="10" s="1"/>
  <c r="AW220" i="10" s="1"/>
  <c r="BB1021" i="10"/>
  <c r="BC1021" i="10" s="1"/>
  <c r="AS1021" i="10"/>
  <c r="Y1021" i="10"/>
  <c r="A1022" i="10"/>
  <c r="B1021" i="10"/>
  <c r="AL220" i="10"/>
  <c r="BA220" i="10"/>
  <c r="R1019" i="10"/>
  <c r="H1019" i="10"/>
  <c r="D1019" i="10"/>
  <c r="F1019" i="10" s="1"/>
  <c r="G1019" i="10" s="1"/>
  <c r="V1019" i="10" s="1"/>
  <c r="O1012" i="10" l="1"/>
  <c r="P1012" i="10" s="1"/>
  <c r="J1013" i="10" s="1"/>
  <c r="L1013" i="10" s="1"/>
  <c r="N1013" i="10" s="1"/>
  <c r="AT1012" i="10"/>
  <c r="AE1012" i="10"/>
  <c r="AF1012" i="10"/>
  <c r="BD220" i="10"/>
  <c r="AZ220" i="10"/>
  <c r="H1020" i="10"/>
  <c r="D1020" i="10"/>
  <c r="F1020" i="10" s="1"/>
  <c r="G1020" i="10" s="1"/>
  <c r="V1020" i="10" s="1"/>
  <c r="M1021" i="10"/>
  <c r="K1021" i="10"/>
  <c r="C1021" i="10"/>
  <c r="I1021" i="10" s="1"/>
  <c r="E1021" i="10"/>
  <c r="AU1011" i="10"/>
  <c r="BB1022" i="10"/>
  <c r="BC1022" i="10" s="1"/>
  <c r="AS1022" i="10"/>
  <c r="A1023" i="10"/>
  <c r="Y1022" i="10"/>
  <c r="B1022" i="10"/>
  <c r="X221" i="10"/>
  <c r="R1020" i="10"/>
  <c r="O1013" i="10" l="1"/>
  <c r="P1013" i="10" s="1"/>
  <c r="J1014" i="10" s="1"/>
  <c r="L1014" i="10" s="1"/>
  <c r="N1014" i="10" s="1"/>
  <c r="AE1013" i="10"/>
  <c r="AT1013" i="10"/>
  <c r="AF1013" i="10"/>
  <c r="AU1012" i="10"/>
  <c r="Z221" i="10"/>
  <c r="AR221" i="10" s="1"/>
  <c r="M1022" i="10"/>
  <c r="C1022" i="10"/>
  <c r="I1022" i="10" s="1"/>
  <c r="K1022" i="10"/>
  <c r="E1022" i="10"/>
  <c r="R1021" i="10"/>
  <c r="H1021" i="10"/>
  <c r="D1021" i="10"/>
  <c r="F1021" i="10" s="1"/>
  <c r="G1021" i="10" s="1"/>
  <c r="V1021" i="10" s="1"/>
  <c r="BB1023" i="10"/>
  <c r="BC1023" i="10" s="1"/>
  <c r="AS1023" i="10"/>
  <c r="A1024" i="10"/>
  <c r="Y1023" i="10"/>
  <c r="B1023" i="10"/>
  <c r="O1014" i="10" l="1"/>
  <c r="P1014" i="10" s="1"/>
  <c r="J1015" i="10" s="1"/>
  <c r="L1015" i="10" s="1"/>
  <c r="N1015" i="10" s="1"/>
  <c r="AT1014" i="10"/>
  <c r="AE1014" i="10"/>
  <c r="AF1014" i="10"/>
  <c r="AA221" i="10"/>
  <c r="A1025" i="10"/>
  <c r="BB1024" i="10"/>
  <c r="BC1024" i="10" s="1"/>
  <c r="AS1024" i="10"/>
  <c r="Y1024" i="10"/>
  <c r="B1024" i="10"/>
  <c r="AU1013" i="10"/>
  <c r="R1022" i="10"/>
  <c r="M1023" i="10"/>
  <c r="K1023" i="10"/>
  <c r="C1023" i="10"/>
  <c r="I1023" i="10" s="1"/>
  <c r="E1023" i="10"/>
  <c r="Q222" i="10"/>
  <c r="H1022" i="10"/>
  <c r="D1022" i="10"/>
  <c r="F1022" i="10" s="1"/>
  <c r="G1022" i="10" s="1"/>
  <c r="V1022" i="10" s="1"/>
  <c r="O1015" i="10" l="1"/>
  <c r="P1015" i="10" s="1"/>
  <c r="J1016" i="10" s="1"/>
  <c r="L1016" i="10" s="1"/>
  <c r="N1016" i="10" s="1"/>
  <c r="AE1015" i="10"/>
  <c r="AT1015" i="10"/>
  <c r="AF1015" i="10"/>
  <c r="M1024" i="10"/>
  <c r="C1024" i="10"/>
  <c r="I1024" i="10" s="1"/>
  <c r="K1024" i="10"/>
  <c r="E1024" i="10"/>
  <c r="BB1025" i="10"/>
  <c r="BC1025" i="10" s="1"/>
  <c r="AS1025" i="10"/>
  <c r="Y1025" i="10"/>
  <c r="A1026" i="10"/>
  <c r="B1025" i="10"/>
  <c r="AI221" i="10"/>
  <c r="AJ221" i="10"/>
  <c r="AG221" i="10"/>
  <c r="AK221" i="10"/>
  <c r="AX221" i="10" s="1"/>
  <c r="AU1014" i="10"/>
  <c r="S222" i="10"/>
  <c r="AC222" i="10"/>
  <c r="AM222" i="10"/>
  <c r="AB222" i="10"/>
  <c r="AV221" i="10" s="1"/>
  <c r="R1023" i="10"/>
  <c r="H1023" i="10"/>
  <c r="D1023" i="10"/>
  <c r="F1023" i="10" s="1"/>
  <c r="G1023" i="10" s="1"/>
  <c r="V1023" i="10" s="1"/>
  <c r="AL221" i="10" l="1"/>
  <c r="O1016" i="10"/>
  <c r="P1016" i="10" s="1"/>
  <c r="J1017" i="10" s="1"/>
  <c r="L1017" i="10" s="1"/>
  <c r="N1017" i="10" s="1"/>
  <c r="AT1016" i="10"/>
  <c r="AE1016" i="10"/>
  <c r="AF1016" i="10"/>
  <c r="BA221" i="10"/>
  <c r="R1024" i="10"/>
  <c r="T222" i="10"/>
  <c r="AQ222" i="10" s="1"/>
  <c r="AD222" i="10"/>
  <c r="U222" i="10"/>
  <c r="W222" i="10" s="1"/>
  <c r="AP222" i="10" s="1"/>
  <c r="H1024" i="10"/>
  <c r="D1024" i="10"/>
  <c r="F1024" i="10" s="1"/>
  <c r="G1024" i="10" s="1"/>
  <c r="V1024" i="10" s="1"/>
  <c r="AU1015" i="10"/>
  <c r="C1025" i="10"/>
  <c r="I1025" i="10" s="1"/>
  <c r="M1025" i="10"/>
  <c r="K1025" i="10"/>
  <c r="E1025" i="10"/>
  <c r="BB1026" i="10"/>
  <c r="BC1026" i="10" s="1"/>
  <c r="AS1026" i="10"/>
  <c r="Y1026" i="10"/>
  <c r="A1027" i="10"/>
  <c r="B1026" i="10"/>
  <c r="AH221" i="10"/>
  <c r="AN221" i="10" s="1"/>
  <c r="AW221" i="10" s="1"/>
  <c r="AO221" i="10"/>
  <c r="AY221" i="10" s="1"/>
  <c r="O1017" i="10" l="1"/>
  <c r="P1017" i="10" s="1"/>
  <c r="J1018" i="10" s="1"/>
  <c r="L1018" i="10" s="1"/>
  <c r="N1018" i="10" s="1"/>
  <c r="AE1017" i="10"/>
  <c r="AT1017" i="10"/>
  <c r="AF1017" i="10"/>
  <c r="X222" i="10"/>
  <c r="AU1016" i="10"/>
  <c r="BD221" i="10"/>
  <c r="AZ221" i="10"/>
  <c r="R1025" i="10"/>
  <c r="M1026" i="10"/>
  <c r="C1026" i="10"/>
  <c r="I1026" i="10" s="1"/>
  <c r="K1026" i="10"/>
  <c r="E1026" i="10"/>
  <c r="Y1027" i="10"/>
  <c r="BB1027" i="10"/>
  <c r="BC1027" i="10" s="1"/>
  <c r="A1028" i="10"/>
  <c r="AS1027" i="10"/>
  <c r="B1027" i="10"/>
  <c r="H1025" i="10"/>
  <c r="D1025" i="10"/>
  <c r="F1025" i="10" s="1"/>
  <c r="G1025" i="10" s="1"/>
  <c r="V1025" i="10" s="1"/>
  <c r="O1018" i="10" l="1"/>
  <c r="P1018" i="10" s="1"/>
  <c r="J1019" i="10" s="1"/>
  <c r="L1019" i="10" s="1"/>
  <c r="N1019" i="10" s="1"/>
  <c r="AE1018" i="10"/>
  <c r="AT1018" i="10"/>
  <c r="AF1018" i="10"/>
  <c r="R1026" i="10"/>
  <c r="M1027" i="10"/>
  <c r="K1027" i="10"/>
  <c r="C1027" i="10"/>
  <c r="I1027" i="10" s="1"/>
  <c r="E1027" i="10"/>
  <c r="H1026" i="10"/>
  <c r="D1026" i="10"/>
  <c r="F1026" i="10" s="1"/>
  <c r="G1026" i="10" s="1"/>
  <c r="V1026" i="10" s="1"/>
  <c r="Y1028" i="10"/>
  <c r="BB1028" i="10"/>
  <c r="BC1028" i="10" s="1"/>
  <c r="A1029" i="10"/>
  <c r="AS1028" i="10"/>
  <c r="B1028" i="10"/>
  <c r="AU1017" i="10"/>
  <c r="Z222" i="10"/>
  <c r="AR222" i="10" s="1"/>
  <c r="O1019" i="10" l="1"/>
  <c r="P1019" i="10" s="1"/>
  <c r="J1020" i="10" s="1"/>
  <c r="L1020" i="10" s="1"/>
  <c r="N1020" i="10" s="1"/>
  <c r="AT1019" i="10"/>
  <c r="AE1019" i="10"/>
  <c r="AF1019" i="10"/>
  <c r="Q223" i="10"/>
  <c r="M1028" i="10"/>
  <c r="C1028" i="10"/>
  <c r="I1028" i="10" s="1"/>
  <c r="K1028" i="10"/>
  <c r="E1028" i="10"/>
  <c r="R1027" i="10"/>
  <c r="AA222" i="10"/>
  <c r="H1027" i="10"/>
  <c r="D1027" i="10"/>
  <c r="F1027" i="10" s="1"/>
  <c r="G1027" i="10" s="1"/>
  <c r="V1027" i="10" s="1"/>
  <c r="A1030" i="10"/>
  <c r="AS1029" i="10"/>
  <c r="BB1029" i="10"/>
  <c r="BC1029" i="10" s="1"/>
  <c r="Y1029" i="10"/>
  <c r="B1029" i="10"/>
  <c r="AU1018" i="10"/>
  <c r="O1020" i="10" l="1"/>
  <c r="P1020" i="10" s="1"/>
  <c r="J1021" i="10" s="1"/>
  <c r="L1021" i="10" s="1"/>
  <c r="N1021" i="10" s="1"/>
  <c r="AT1020" i="10"/>
  <c r="AE1020" i="10"/>
  <c r="AF1020" i="10"/>
  <c r="M1029" i="10"/>
  <c r="C1029" i="10"/>
  <c r="I1029" i="10" s="1"/>
  <c r="K1029" i="10"/>
  <c r="E1029" i="10"/>
  <c r="AU1019" i="10"/>
  <c r="R1028" i="10"/>
  <c r="A1031" i="10"/>
  <c r="AS1030" i="10"/>
  <c r="Y1030" i="10"/>
  <c r="BB1030" i="10"/>
  <c r="BC1030" i="10" s="1"/>
  <c r="B1030" i="10"/>
  <c r="H1028" i="10"/>
  <c r="D1028" i="10"/>
  <c r="F1028" i="10" s="1"/>
  <c r="G1028" i="10" s="1"/>
  <c r="V1028" i="10" s="1"/>
  <c r="AI222" i="10"/>
  <c r="AJ222" i="10"/>
  <c r="AG222" i="10"/>
  <c r="AK222" i="10"/>
  <c r="AX222" i="10" s="1"/>
  <c r="S223" i="10"/>
  <c r="AB223" i="10"/>
  <c r="AV222" i="10" s="1"/>
  <c r="AC223" i="10"/>
  <c r="AM223" i="10"/>
  <c r="AL222" i="10" l="1"/>
  <c r="O1021" i="10"/>
  <c r="P1021" i="10" s="1"/>
  <c r="J1022" i="10" s="1"/>
  <c r="L1022" i="10" s="1"/>
  <c r="N1022" i="10" s="1"/>
  <c r="AT1021" i="10"/>
  <c r="AE1021" i="10"/>
  <c r="AF1021" i="10"/>
  <c r="AH222" i="10"/>
  <c r="AO222" i="10"/>
  <c r="AY222" i="10" s="1"/>
  <c r="M1030" i="10"/>
  <c r="C1030" i="10"/>
  <c r="I1030" i="10" s="1"/>
  <c r="K1030" i="10"/>
  <c r="E1030" i="10"/>
  <c r="AU1020" i="10"/>
  <c r="BA222" i="10"/>
  <c r="A1032" i="10"/>
  <c r="BB1031" i="10"/>
  <c r="BC1031" i="10" s="1"/>
  <c r="AS1031" i="10"/>
  <c r="Y1031" i="10"/>
  <c r="B1031" i="10"/>
  <c r="R1029" i="10"/>
  <c r="T223" i="10"/>
  <c r="AQ223" i="10" s="1"/>
  <c r="AD223" i="10"/>
  <c r="U223" i="10"/>
  <c r="W223" i="10" s="1"/>
  <c r="AP223" i="10" s="1"/>
  <c r="H1029" i="10"/>
  <c r="D1029" i="10"/>
  <c r="F1029" i="10" s="1"/>
  <c r="G1029" i="10" s="1"/>
  <c r="V1029" i="10" s="1"/>
  <c r="AN222" i="10" l="1"/>
  <c r="AW222" i="10" s="1"/>
  <c r="AZ222" i="10" s="1"/>
  <c r="O1022" i="10"/>
  <c r="P1022" i="10" s="1"/>
  <c r="J1023" i="10" s="1"/>
  <c r="L1023" i="10" s="1"/>
  <c r="N1023" i="10" s="1"/>
  <c r="AE1022" i="10"/>
  <c r="AT1022" i="10"/>
  <c r="AF1022" i="10"/>
  <c r="C1031" i="10"/>
  <c r="I1031" i="10" s="1"/>
  <c r="K1031" i="10"/>
  <c r="M1031" i="10"/>
  <c r="E1031" i="10"/>
  <c r="BD222" i="10"/>
  <c r="R1030" i="10"/>
  <c r="AU1021" i="10"/>
  <c r="X223" i="10"/>
  <c r="A1033" i="10"/>
  <c r="BB1032" i="10"/>
  <c r="BC1032" i="10" s="1"/>
  <c r="AS1032" i="10"/>
  <c r="Y1032" i="10"/>
  <c r="B1032" i="10"/>
  <c r="H1030" i="10"/>
  <c r="D1030" i="10"/>
  <c r="F1030" i="10" s="1"/>
  <c r="G1030" i="10" s="1"/>
  <c r="V1030" i="10" s="1"/>
  <c r="O1023" i="10" l="1"/>
  <c r="P1023" i="10" s="1"/>
  <c r="J1024" i="10" s="1"/>
  <c r="L1024" i="10" s="1"/>
  <c r="N1024" i="10" s="1"/>
  <c r="AE1023" i="10"/>
  <c r="AT1023" i="10"/>
  <c r="AF1023" i="10"/>
  <c r="H1031" i="10"/>
  <c r="D1031" i="10"/>
  <c r="F1031" i="10" s="1"/>
  <c r="G1031" i="10" s="1"/>
  <c r="V1031" i="10" s="1"/>
  <c r="BB1033" i="10"/>
  <c r="BC1033" i="10" s="1"/>
  <c r="AS1033" i="10"/>
  <c r="Y1033" i="10"/>
  <c r="A1034" i="10"/>
  <c r="B1033" i="10"/>
  <c r="Z223" i="10"/>
  <c r="AR223" i="10" s="1"/>
  <c r="AU1022" i="10"/>
  <c r="K1032" i="10"/>
  <c r="M1032" i="10"/>
  <c r="C1032" i="10"/>
  <c r="I1032" i="10" s="1"/>
  <c r="E1032" i="10"/>
  <c r="R1031" i="10"/>
  <c r="Q224" i="10" l="1"/>
  <c r="S224" i="10" s="1"/>
  <c r="AA223" i="10"/>
  <c r="AK223" i="10" s="1"/>
  <c r="AX223" i="10" s="1"/>
  <c r="O1024" i="10"/>
  <c r="P1024" i="10" s="1"/>
  <c r="J1025" i="10" s="1"/>
  <c r="L1025" i="10" s="1"/>
  <c r="N1025" i="10" s="1"/>
  <c r="AE1024" i="10"/>
  <c r="AT1024" i="10"/>
  <c r="AF1024" i="10"/>
  <c r="R1032" i="10"/>
  <c r="H1032" i="10"/>
  <c r="D1032" i="10"/>
  <c r="F1032" i="10" s="1"/>
  <c r="G1032" i="10" s="1"/>
  <c r="V1032" i="10" s="1"/>
  <c r="AI223" i="10"/>
  <c r="K1033" i="10"/>
  <c r="M1033" i="10"/>
  <c r="C1033" i="10"/>
  <c r="I1033" i="10" s="1"/>
  <c r="E1033" i="10"/>
  <c r="A1035" i="10"/>
  <c r="AS1034" i="10"/>
  <c r="Y1034" i="10"/>
  <c r="BB1034" i="10"/>
  <c r="BC1034" i="10" s="1"/>
  <c r="B1034" i="10"/>
  <c r="AU1023" i="10"/>
  <c r="AJ223" i="10" l="1"/>
  <c r="AM224" i="10"/>
  <c r="AB224" i="10"/>
  <c r="AV223" i="10" s="1"/>
  <c r="AC224" i="10"/>
  <c r="AG223" i="10"/>
  <c r="AO223" i="10" s="1"/>
  <c r="AY223" i="10" s="1"/>
  <c r="BA223" i="10"/>
  <c r="O1025" i="10"/>
  <c r="P1025" i="10" s="1"/>
  <c r="J1026" i="10" s="1"/>
  <c r="L1026" i="10" s="1"/>
  <c r="N1026" i="10" s="1"/>
  <c r="AT1025" i="10"/>
  <c r="AE1025" i="10"/>
  <c r="AF1025" i="10"/>
  <c r="H1033" i="10"/>
  <c r="D1033" i="10"/>
  <c r="F1033" i="10" s="1"/>
  <c r="G1033" i="10" s="1"/>
  <c r="V1033" i="10" s="1"/>
  <c r="K1034" i="10"/>
  <c r="C1034" i="10"/>
  <c r="I1034" i="10" s="1"/>
  <c r="M1034" i="10"/>
  <c r="E1034" i="10"/>
  <c r="AU1024" i="10"/>
  <c r="BB1035" i="10"/>
  <c r="BC1035" i="10" s="1"/>
  <c r="AS1035" i="10"/>
  <c r="A1036" i="10"/>
  <c r="Y1035" i="10"/>
  <c r="B1035" i="10"/>
  <c r="AH223" i="10"/>
  <c r="AD224" i="10"/>
  <c r="T224" i="10"/>
  <c r="AQ224" i="10" s="1"/>
  <c r="U224" i="10"/>
  <c r="W224" i="10" s="1"/>
  <c r="AP224" i="10" s="1"/>
  <c r="AL223" i="10"/>
  <c r="R1033" i="10"/>
  <c r="O1026" i="10" l="1"/>
  <c r="P1026" i="10" s="1"/>
  <c r="J1027" i="10" s="1"/>
  <c r="L1027" i="10" s="1"/>
  <c r="N1027" i="10" s="1"/>
  <c r="AT1026" i="10"/>
  <c r="AE1026" i="10"/>
  <c r="AF1026" i="10"/>
  <c r="R1034" i="10"/>
  <c r="AU1025" i="10"/>
  <c r="H1034" i="10"/>
  <c r="D1034" i="10"/>
  <c r="F1034" i="10" s="1"/>
  <c r="G1034" i="10" s="1"/>
  <c r="V1034" i="10" s="1"/>
  <c r="X224" i="10"/>
  <c r="M1035" i="10"/>
  <c r="C1035" i="10"/>
  <c r="I1035" i="10" s="1"/>
  <c r="K1035" i="10"/>
  <c r="E1035" i="10"/>
  <c r="AS1036" i="10"/>
  <c r="A1037" i="10"/>
  <c r="Y1036" i="10"/>
  <c r="BB1036" i="10"/>
  <c r="BC1036" i="10" s="1"/>
  <c r="B1036" i="10"/>
  <c r="AN223" i="10"/>
  <c r="AW223" i="10" s="1"/>
  <c r="AZ223" i="10" l="1"/>
  <c r="BD223" i="10"/>
  <c r="R1035" i="10"/>
  <c r="AU1026" i="10"/>
  <c r="K1036" i="10"/>
  <c r="C1036" i="10"/>
  <c r="I1036" i="10" s="1"/>
  <c r="M1036" i="10"/>
  <c r="E1036" i="10"/>
  <c r="H1035" i="10"/>
  <c r="D1035" i="10"/>
  <c r="F1035" i="10" s="1"/>
  <c r="G1035" i="10" s="1"/>
  <c r="V1035" i="10" s="1"/>
  <c r="O1027" i="10"/>
  <c r="P1027" i="10"/>
  <c r="J1028" i="10" s="1"/>
  <c r="L1028" i="10" s="1"/>
  <c r="N1028" i="10" s="1"/>
  <c r="AT1027" i="10"/>
  <c r="AE1027" i="10"/>
  <c r="AF1027" i="10"/>
  <c r="Y1037" i="10"/>
  <c r="A1038" i="10"/>
  <c r="AS1037" i="10"/>
  <c r="BB1037" i="10"/>
  <c r="BC1037" i="10" s="1"/>
  <c r="B1037" i="10"/>
  <c r="Z224" i="10"/>
  <c r="AR224" i="10" s="1"/>
  <c r="AA224" i="10" l="1"/>
  <c r="AJ224" i="10" s="1"/>
  <c r="AI224" i="10"/>
  <c r="AG224" i="10"/>
  <c r="AK224" i="10"/>
  <c r="AX224" i="10" s="1"/>
  <c r="M1037" i="10"/>
  <c r="C1037" i="10"/>
  <c r="I1037" i="10" s="1"/>
  <c r="K1037" i="10"/>
  <c r="E1037" i="10"/>
  <c r="AU1027" i="10"/>
  <c r="R1036" i="10"/>
  <c r="AS1038" i="10"/>
  <c r="Y1038" i="10"/>
  <c r="BB1038" i="10"/>
  <c r="BC1038" i="10" s="1"/>
  <c r="A1039" i="10"/>
  <c r="B1038" i="10"/>
  <c r="O1028" i="10"/>
  <c r="P1028" i="10" s="1"/>
  <c r="J1029" i="10" s="1"/>
  <c r="L1029" i="10" s="1"/>
  <c r="N1029" i="10" s="1"/>
  <c r="AT1028" i="10"/>
  <c r="AE1028" i="10"/>
  <c r="AF1028" i="10"/>
  <c r="H1036" i="10"/>
  <c r="D1036" i="10"/>
  <c r="F1036" i="10" s="1"/>
  <c r="G1036" i="10" s="1"/>
  <c r="V1036" i="10" s="1"/>
  <c r="Q225" i="10"/>
  <c r="O1029" i="10" l="1"/>
  <c r="P1029" i="10" s="1"/>
  <c r="J1030" i="10" s="1"/>
  <c r="L1030" i="10" s="1"/>
  <c r="N1030" i="10" s="1"/>
  <c r="AE1029" i="10"/>
  <c r="AT1029" i="10"/>
  <c r="AF1029" i="10"/>
  <c r="R1037" i="10"/>
  <c r="H1037" i="10"/>
  <c r="D1037" i="10"/>
  <c r="F1037" i="10" s="1"/>
  <c r="G1037" i="10" s="1"/>
  <c r="V1037" i="10" s="1"/>
  <c r="A1040" i="10"/>
  <c r="AS1039" i="10"/>
  <c r="Y1039" i="10"/>
  <c r="BB1039" i="10"/>
  <c r="BC1039" i="10" s="1"/>
  <c r="B1039" i="10"/>
  <c r="AO224" i="10"/>
  <c r="AY224" i="10" s="1"/>
  <c r="AH224" i="10"/>
  <c r="M1038" i="10"/>
  <c r="C1038" i="10"/>
  <c r="I1038" i="10" s="1"/>
  <c r="K1038" i="10"/>
  <c r="E1038" i="10"/>
  <c r="S225" i="10"/>
  <c r="AM225" i="10"/>
  <c r="AC225" i="10"/>
  <c r="BA224" i="10" s="1"/>
  <c r="AB225" i="10"/>
  <c r="AV224" i="10" s="1"/>
  <c r="AU1028" i="10"/>
  <c r="AL224" i="10"/>
  <c r="AN224" i="10" l="1"/>
  <c r="AW224" i="10" s="1"/>
  <c r="O1030" i="10"/>
  <c r="P1030" i="10"/>
  <c r="J1031" i="10" s="1"/>
  <c r="L1031" i="10" s="1"/>
  <c r="N1031" i="10" s="1"/>
  <c r="AT1030" i="10"/>
  <c r="AE1030" i="10"/>
  <c r="AF1030" i="10"/>
  <c r="M1039" i="10"/>
  <c r="C1039" i="10"/>
  <c r="I1039" i="10" s="1"/>
  <c r="K1039" i="10"/>
  <c r="E1039" i="10"/>
  <c r="AU1029" i="10"/>
  <c r="AD225" i="10"/>
  <c r="T225" i="10"/>
  <c r="AQ225" i="10" s="1"/>
  <c r="U225" i="10"/>
  <c r="W225" i="10" s="1"/>
  <c r="AP225" i="10" s="1"/>
  <c r="R1038" i="10"/>
  <c r="H1038" i="10"/>
  <c r="D1038" i="10"/>
  <c r="F1038" i="10" s="1"/>
  <c r="G1038" i="10" s="1"/>
  <c r="V1038" i="10" s="1"/>
  <c r="A1041" i="10"/>
  <c r="AS1040" i="10"/>
  <c r="Y1040" i="10"/>
  <c r="BB1040" i="10"/>
  <c r="BC1040" i="10" s="1"/>
  <c r="B1040" i="10"/>
  <c r="O1031" i="10" l="1"/>
  <c r="P1031" i="10"/>
  <c r="J1032" i="10" s="1"/>
  <c r="L1032" i="10" s="1"/>
  <c r="N1032" i="10" s="1"/>
  <c r="AE1031" i="10"/>
  <c r="AT1031" i="10"/>
  <c r="AF1031" i="10"/>
  <c r="R1039" i="10"/>
  <c r="AU1030" i="10"/>
  <c r="A1042" i="10"/>
  <c r="BB1041" i="10"/>
  <c r="BC1041" i="10" s="1"/>
  <c r="AS1041" i="10"/>
  <c r="Y1041" i="10"/>
  <c r="B1041" i="10"/>
  <c r="H1039" i="10"/>
  <c r="D1039" i="10"/>
  <c r="F1039" i="10" s="1"/>
  <c r="G1039" i="10" s="1"/>
  <c r="V1039" i="10" s="1"/>
  <c r="X225" i="10"/>
  <c r="AZ224" i="10"/>
  <c r="BD224" i="10"/>
  <c r="C1040" i="10"/>
  <c r="I1040" i="10" s="1"/>
  <c r="M1040" i="10"/>
  <c r="K1040" i="10"/>
  <c r="E1040" i="10"/>
  <c r="O1032" i="10" l="1"/>
  <c r="P1032" i="10" s="1"/>
  <c r="J1033" i="10" s="1"/>
  <c r="L1033" i="10" s="1"/>
  <c r="N1033" i="10" s="1"/>
  <c r="AT1032" i="10"/>
  <c r="AE1032" i="10"/>
  <c r="AF1032" i="10"/>
  <c r="A1043" i="10"/>
  <c r="BB1042" i="10"/>
  <c r="BC1042" i="10" s="1"/>
  <c r="Y1042" i="10"/>
  <c r="AS1042" i="10"/>
  <c r="B1042" i="10"/>
  <c r="H1040" i="10"/>
  <c r="D1040" i="10"/>
  <c r="F1040" i="10" s="1"/>
  <c r="G1040" i="10" s="1"/>
  <c r="V1040" i="10" s="1"/>
  <c r="AU1031" i="10"/>
  <c r="Z225" i="10"/>
  <c r="AR225" i="10" s="1"/>
  <c r="K1041" i="10"/>
  <c r="M1041" i="10"/>
  <c r="C1041" i="10"/>
  <c r="I1041" i="10" s="1"/>
  <c r="E1041" i="10"/>
  <c r="R1040" i="10"/>
  <c r="O1033" i="10" l="1"/>
  <c r="P1033" i="10" s="1"/>
  <c r="J1034" i="10" s="1"/>
  <c r="L1034" i="10" s="1"/>
  <c r="N1034" i="10" s="1"/>
  <c r="AE1033" i="10"/>
  <c r="AT1033" i="10"/>
  <c r="AF1033" i="10"/>
  <c r="M1042" i="10"/>
  <c r="C1042" i="10"/>
  <c r="I1042" i="10" s="1"/>
  <c r="K1042" i="10"/>
  <c r="E1042" i="10"/>
  <c r="AU1032" i="10"/>
  <c r="R1041" i="10"/>
  <c r="H1041" i="10"/>
  <c r="D1041" i="10"/>
  <c r="F1041" i="10" s="1"/>
  <c r="G1041" i="10" s="1"/>
  <c r="V1041" i="10" s="1"/>
  <c r="Q226" i="10"/>
  <c r="AA225" i="10"/>
  <c r="BB1043" i="10"/>
  <c r="BC1043" i="10" s="1"/>
  <c r="AS1043" i="10"/>
  <c r="A1044" i="10"/>
  <c r="Y1043" i="10"/>
  <c r="B1043" i="10"/>
  <c r="M1043" i="10" l="1"/>
  <c r="C1043" i="10"/>
  <c r="I1043" i="10" s="1"/>
  <c r="K1043" i="10"/>
  <c r="E1043" i="10"/>
  <c r="S226" i="10"/>
  <c r="AM226" i="10"/>
  <c r="AC226" i="10"/>
  <c r="AB226" i="10"/>
  <c r="AV225" i="10" s="1"/>
  <c r="A1045" i="10"/>
  <c r="AS1044" i="10"/>
  <c r="BB1044" i="10"/>
  <c r="BC1044" i="10" s="1"/>
  <c r="Y1044" i="10"/>
  <c r="B1044" i="10"/>
  <c r="R1042" i="10"/>
  <c r="AU1033" i="10"/>
  <c r="H1042" i="10"/>
  <c r="D1042" i="10"/>
  <c r="F1042" i="10" s="1"/>
  <c r="G1042" i="10" s="1"/>
  <c r="V1042" i="10" s="1"/>
  <c r="O1034" i="10"/>
  <c r="P1034" i="10"/>
  <c r="J1035" i="10"/>
  <c r="L1035" i="10" s="1"/>
  <c r="N1035" i="10" s="1"/>
  <c r="AE1034" i="10"/>
  <c r="AT1034" i="10"/>
  <c r="AF1034" i="10"/>
  <c r="AI225" i="10"/>
  <c r="AJ225" i="10"/>
  <c r="AG225" i="10"/>
  <c r="AK225" i="10"/>
  <c r="AX225" i="10" s="1"/>
  <c r="K1044" i="10" l="1"/>
  <c r="M1044" i="10"/>
  <c r="C1044" i="10"/>
  <c r="I1044" i="10" s="1"/>
  <c r="E1044" i="10"/>
  <c r="AD226" i="10"/>
  <c r="T226" i="10"/>
  <c r="AQ226" i="10" s="1"/>
  <c r="U226" i="10"/>
  <c r="W226" i="10" s="1"/>
  <c r="AP226" i="10" s="1"/>
  <c r="R1043" i="10"/>
  <c r="AO225" i="10"/>
  <c r="AY225" i="10" s="1"/>
  <c r="AH225" i="10"/>
  <c r="AU1034" i="10"/>
  <c r="AL225" i="10"/>
  <c r="O1035" i="10"/>
  <c r="P1035" i="10"/>
  <c r="J1036" i="10" s="1"/>
  <c r="L1036" i="10" s="1"/>
  <c r="N1036" i="10" s="1"/>
  <c r="AE1035" i="10"/>
  <c r="AT1035" i="10"/>
  <c r="AF1035" i="10"/>
  <c r="Y1045" i="10"/>
  <c r="A1046" i="10"/>
  <c r="AS1045" i="10"/>
  <c r="BB1045" i="10"/>
  <c r="BC1045" i="10" s="1"/>
  <c r="B1045" i="10"/>
  <c r="H1043" i="10"/>
  <c r="D1043" i="10"/>
  <c r="F1043" i="10" s="1"/>
  <c r="G1043" i="10" s="1"/>
  <c r="V1043" i="10" s="1"/>
  <c r="BA225" i="10"/>
  <c r="AN225" i="10" l="1"/>
  <c r="AW225" i="10" s="1"/>
  <c r="AZ225" i="10" s="1"/>
  <c r="O1036" i="10"/>
  <c r="P1036" i="10"/>
  <c r="J1037" i="10" s="1"/>
  <c r="L1037" i="10" s="1"/>
  <c r="N1037" i="10" s="1"/>
  <c r="AE1036" i="10"/>
  <c r="AT1036" i="10"/>
  <c r="AF1036" i="10"/>
  <c r="AU1035" i="10"/>
  <c r="BB1046" i="10"/>
  <c r="BC1046" i="10" s="1"/>
  <c r="AS1046" i="10"/>
  <c r="A1047" i="10"/>
  <c r="Y1046" i="10"/>
  <c r="B1046" i="10"/>
  <c r="R1044" i="10"/>
  <c r="H1044" i="10"/>
  <c r="D1044" i="10"/>
  <c r="F1044" i="10" s="1"/>
  <c r="G1044" i="10" s="1"/>
  <c r="V1044" i="10" s="1"/>
  <c r="M1045" i="10"/>
  <c r="K1045" i="10"/>
  <c r="C1045" i="10"/>
  <c r="I1045" i="10" s="1"/>
  <c r="E1045" i="10"/>
  <c r="X226" i="10"/>
  <c r="BD225" i="10" l="1"/>
  <c r="O1037" i="10"/>
  <c r="P1037" i="10"/>
  <c r="J1038" i="10" s="1"/>
  <c r="L1038" i="10" s="1"/>
  <c r="N1038" i="10" s="1"/>
  <c r="AT1037" i="10"/>
  <c r="AE1037" i="10"/>
  <c r="AF1037" i="10"/>
  <c r="R1045" i="10"/>
  <c r="H1045" i="10"/>
  <c r="D1045" i="10"/>
  <c r="F1045" i="10" s="1"/>
  <c r="G1045" i="10" s="1"/>
  <c r="V1045" i="10" s="1"/>
  <c r="AS1047" i="10"/>
  <c r="A1048" i="10"/>
  <c r="BB1047" i="10"/>
  <c r="BC1047" i="10" s="1"/>
  <c r="Y1047" i="10"/>
  <c r="B1047" i="10"/>
  <c r="AU1036" i="10"/>
  <c r="Z226" i="10"/>
  <c r="AR226" i="10" s="1"/>
  <c r="C1046" i="10"/>
  <c r="I1046" i="10" s="1"/>
  <c r="M1046" i="10"/>
  <c r="K1046" i="10"/>
  <c r="E1046" i="10"/>
  <c r="H1046" i="10" l="1"/>
  <c r="D1046" i="10"/>
  <c r="F1046" i="10" s="1"/>
  <c r="G1046" i="10" s="1"/>
  <c r="V1046" i="10" s="1"/>
  <c r="AU1037" i="10"/>
  <c r="Q227" i="10"/>
  <c r="C1047" i="10"/>
  <c r="I1047" i="10" s="1"/>
  <c r="M1047" i="10"/>
  <c r="K1047" i="10"/>
  <c r="E1047" i="10"/>
  <c r="O1038" i="10"/>
  <c r="P1038" i="10" s="1"/>
  <c r="J1039" i="10" s="1"/>
  <c r="L1039" i="10" s="1"/>
  <c r="N1039" i="10" s="1"/>
  <c r="AT1038" i="10"/>
  <c r="AE1038" i="10"/>
  <c r="AF1038" i="10"/>
  <c r="AA226" i="10"/>
  <c r="R1046" i="10"/>
  <c r="AS1048" i="10"/>
  <c r="A1049" i="10"/>
  <c r="BB1048" i="10"/>
  <c r="BC1048" i="10" s="1"/>
  <c r="Y1048" i="10"/>
  <c r="B1048" i="10"/>
  <c r="O1039" i="10" l="1"/>
  <c r="P1039" i="10"/>
  <c r="J1040" i="10"/>
  <c r="L1040" i="10" s="1"/>
  <c r="N1040" i="10" s="1"/>
  <c r="AT1039" i="10"/>
  <c r="AE1039" i="10"/>
  <c r="AF1039" i="10"/>
  <c r="AI226" i="10"/>
  <c r="AJ226" i="10"/>
  <c r="AG226" i="10"/>
  <c r="AK226" i="10"/>
  <c r="AX226" i="10" s="1"/>
  <c r="R1047" i="10"/>
  <c r="AS1049" i="10"/>
  <c r="BB1049" i="10"/>
  <c r="BC1049" i="10" s="1"/>
  <c r="A1050" i="10"/>
  <c r="Y1049" i="10"/>
  <c r="B1049" i="10"/>
  <c r="AU1038" i="10"/>
  <c r="H1047" i="10"/>
  <c r="D1047" i="10"/>
  <c r="F1047" i="10" s="1"/>
  <c r="G1047" i="10" s="1"/>
  <c r="V1047" i="10" s="1"/>
  <c r="S227" i="10"/>
  <c r="AM227" i="10"/>
  <c r="AC227" i="10"/>
  <c r="AB227" i="10"/>
  <c r="AV226" i="10" s="1"/>
  <c r="M1048" i="10"/>
  <c r="K1048" i="10"/>
  <c r="C1048" i="10"/>
  <c r="I1048" i="10" s="1"/>
  <c r="E1048" i="10"/>
  <c r="BA226" i="10" l="1"/>
  <c r="AU1039" i="10"/>
  <c r="R1048" i="10"/>
  <c r="AD227" i="10"/>
  <c r="T227" i="10"/>
  <c r="AQ227" i="10" s="1"/>
  <c r="U227" i="10"/>
  <c r="W227" i="10" s="1"/>
  <c r="AP227" i="10" s="1"/>
  <c r="H1048" i="10"/>
  <c r="D1048" i="10"/>
  <c r="F1048" i="10" s="1"/>
  <c r="G1048" i="10" s="1"/>
  <c r="V1048" i="10" s="1"/>
  <c r="M1049" i="10"/>
  <c r="C1049" i="10"/>
  <c r="I1049" i="10" s="1"/>
  <c r="K1049" i="10"/>
  <c r="E1049" i="10"/>
  <c r="AH226" i="10"/>
  <c r="AO226" i="10"/>
  <c r="AY226" i="10" s="1"/>
  <c r="O1040" i="10"/>
  <c r="P1040" i="10" s="1"/>
  <c r="J1041" i="10" s="1"/>
  <c r="L1041" i="10" s="1"/>
  <c r="N1041" i="10" s="1"/>
  <c r="AT1040" i="10"/>
  <c r="AE1040" i="10"/>
  <c r="AF1040" i="10"/>
  <c r="AS1050" i="10"/>
  <c r="BB1050" i="10"/>
  <c r="BC1050" i="10" s="1"/>
  <c r="Y1050" i="10"/>
  <c r="A1051" i="10"/>
  <c r="B1050" i="10"/>
  <c r="AL226" i="10"/>
  <c r="AN226" i="10" l="1"/>
  <c r="AW226" i="10" s="1"/>
  <c r="AZ226" i="10" s="1"/>
  <c r="O1041" i="10"/>
  <c r="P1041" i="10"/>
  <c r="J1042" i="10" s="1"/>
  <c r="L1042" i="10" s="1"/>
  <c r="N1042" i="10" s="1"/>
  <c r="AE1041" i="10"/>
  <c r="AT1041" i="10"/>
  <c r="AF1041" i="10"/>
  <c r="H1049" i="10"/>
  <c r="D1049" i="10"/>
  <c r="F1049" i="10" s="1"/>
  <c r="G1049" i="10" s="1"/>
  <c r="V1049" i="10" s="1"/>
  <c r="BD226" i="10"/>
  <c r="M1050" i="10"/>
  <c r="C1050" i="10"/>
  <c r="I1050" i="10" s="1"/>
  <c r="K1050" i="10"/>
  <c r="E1050" i="10"/>
  <c r="AU1040" i="10"/>
  <c r="AS1051" i="10"/>
  <c r="Y1051" i="10"/>
  <c r="A1052" i="10"/>
  <c r="BB1051" i="10"/>
  <c r="BC1051" i="10" s="1"/>
  <c r="B1051" i="10"/>
  <c r="X227" i="10"/>
  <c r="R1049" i="10"/>
  <c r="O1042" i="10" l="1"/>
  <c r="P1042" i="10"/>
  <c r="J1043" i="10"/>
  <c r="L1043" i="10" s="1"/>
  <c r="N1043" i="10" s="1"/>
  <c r="AE1042" i="10"/>
  <c r="AT1042" i="10"/>
  <c r="AF1042" i="10"/>
  <c r="Z227" i="10"/>
  <c r="AR227" i="10" s="1"/>
  <c r="AU1041" i="10"/>
  <c r="M1051" i="10"/>
  <c r="C1051" i="10"/>
  <c r="I1051" i="10" s="1"/>
  <c r="K1051" i="10"/>
  <c r="E1051" i="10"/>
  <c r="R1050" i="10"/>
  <c r="AS1052" i="10"/>
  <c r="Y1052" i="10"/>
  <c r="A1053" i="10"/>
  <c r="BB1052" i="10"/>
  <c r="BC1052" i="10" s="1"/>
  <c r="B1052" i="10"/>
  <c r="H1050" i="10"/>
  <c r="D1050" i="10"/>
  <c r="F1050" i="10" s="1"/>
  <c r="G1050" i="10" s="1"/>
  <c r="V1050" i="10" s="1"/>
  <c r="AA227" i="10" l="1"/>
  <c r="AI227" i="10" s="1"/>
  <c r="AS1053" i="10"/>
  <c r="A1054" i="10"/>
  <c r="BB1053" i="10"/>
  <c r="BC1053" i="10" s="1"/>
  <c r="Y1053" i="10"/>
  <c r="B1053" i="10"/>
  <c r="R1051" i="10"/>
  <c r="H1051" i="10"/>
  <c r="D1051" i="10"/>
  <c r="F1051" i="10" s="1"/>
  <c r="G1051" i="10" s="1"/>
  <c r="V1051" i="10" s="1"/>
  <c r="AU1042" i="10"/>
  <c r="O1043" i="10"/>
  <c r="P1043" i="10" s="1"/>
  <c r="J1044" i="10" s="1"/>
  <c r="L1044" i="10" s="1"/>
  <c r="N1044" i="10" s="1"/>
  <c r="AE1043" i="10"/>
  <c r="AT1043" i="10"/>
  <c r="AF1043" i="10"/>
  <c r="M1052" i="10"/>
  <c r="C1052" i="10"/>
  <c r="I1052" i="10" s="1"/>
  <c r="K1052" i="10"/>
  <c r="E1052" i="10"/>
  <c r="Q228" i="10"/>
  <c r="AK227" i="10" l="1"/>
  <c r="AX227" i="10" s="1"/>
  <c r="AG227" i="10"/>
  <c r="AH227" i="10" s="1"/>
  <c r="AJ227" i="10"/>
  <c r="O1044" i="10"/>
  <c r="P1044" i="10"/>
  <c r="J1045" i="10" s="1"/>
  <c r="L1045" i="10" s="1"/>
  <c r="N1045" i="10" s="1"/>
  <c r="AT1044" i="10"/>
  <c r="AE1044" i="10"/>
  <c r="AF1044" i="10"/>
  <c r="H1052" i="10"/>
  <c r="D1052" i="10"/>
  <c r="F1052" i="10" s="1"/>
  <c r="G1052" i="10" s="1"/>
  <c r="V1052" i="10" s="1"/>
  <c r="M1053" i="10"/>
  <c r="C1053" i="10"/>
  <c r="I1053" i="10" s="1"/>
  <c r="K1053" i="10"/>
  <c r="E1053" i="10"/>
  <c r="S228" i="10"/>
  <c r="AC228" i="10"/>
  <c r="AB228" i="10"/>
  <c r="AV227" i="10" s="1"/>
  <c r="AM228" i="10"/>
  <c r="AU1043" i="10"/>
  <c r="AL227" i="10"/>
  <c r="AS1054" i="10"/>
  <c r="A1055" i="10"/>
  <c r="Y1054" i="10"/>
  <c r="BB1054" i="10"/>
  <c r="BC1054" i="10" s="1"/>
  <c r="B1054" i="10"/>
  <c r="R1052" i="10"/>
  <c r="AO227" i="10" l="1"/>
  <c r="AY227" i="10" s="1"/>
  <c r="BA227" i="10"/>
  <c r="O1045" i="10"/>
  <c r="P1045" i="10" s="1"/>
  <c r="J1046" i="10" s="1"/>
  <c r="L1046" i="10" s="1"/>
  <c r="N1046" i="10" s="1"/>
  <c r="AE1045" i="10"/>
  <c r="AT1045" i="10"/>
  <c r="AF1045" i="10"/>
  <c r="H1053" i="10"/>
  <c r="D1053" i="10"/>
  <c r="F1053" i="10" s="1"/>
  <c r="G1053" i="10" s="1"/>
  <c r="V1053" i="10" s="1"/>
  <c r="AS1055" i="10"/>
  <c r="A1056" i="10"/>
  <c r="BB1055" i="10"/>
  <c r="BC1055" i="10" s="1"/>
  <c r="Y1055" i="10"/>
  <c r="B1055" i="10"/>
  <c r="AU1044" i="10"/>
  <c r="T228" i="10"/>
  <c r="AQ228" i="10" s="1"/>
  <c r="AD228" i="10"/>
  <c r="U228" i="10"/>
  <c r="W228" i="10" s="1"/>
  <c r="AP228" i="10" s="1"/>
  <c r="R1053" i="10"/>
  <c r="M1054" i="10"/>
  <c r="C1054" i="10"/>
  <c r="I1054" i="10" s="1"/>
  <c r="K1054" i="10"/>
  <c r="E1054" i="10"/>
  <c r="AN227" i="10"/>
  <c r="AW227" i="10" s="1"/>
  <c r="BD227" i="10" l="1"/>
  <c r="AZ227" i="10"/>
  <c r="M1055" i="10"/>
  <c r="K1055" i="10"/>
  <c r="C1055" i="10"/>
  <c r="I1055" i="10" s="1"/>
  <c r="E1055" i="10"/>
  <c r="R1054" i="10"/>
  <c r="X228" i="10"/>
  <c r="H1054" i="10"/>
  <c r="D1054" i="10"/>
  <c r="F1054" i="10" s="1"/>
  <c r="G1054" i="10" s="1"/>
  <c r="V1054" i="10" s="1"/>
  <c r="AS1056" i="10"/>
  <c r="Y1056" i="10"/>
  <c r="A1057" i="10"/>
  <c r="BB1056" i="10"/>
  <c r="BC1056" i="10" s="1"/>
  <c r="B1056" i="10"/>
  <c r="AU1045" i="10"/>
  <c r="O1046" i="10"/>
  <c r="P1046" i="10"/>
  <c r="J1047" i="10" s="1"/>
  <c r="L1047" i="10" s="1"/>
  <c r="N1047" i="10" s="1"/>
  <c r="AE1046" i="10"/>
  <c r="AT1046" i="10"/>
  <c r="AF1046" i="10"/>
  <c r="O1047" i="10" l="1"/>
  <c r="P1047" i="10" s="1"/>
  <c r="J1048" i="10" s="1"/>
  <c r="L1048" i="10" s="1"/>
  <c r="N1048" i="10" s="1"/>
  <c r="AT1047" i="10"/>
  <c r="AE1047" i="10"/>
  <c r="AF1047" i="10"/>
  <c r="R1055" i="10"/>
  <c r="Z228" i="10"/>
  <c r="AR228" i="10" s="1"/>
  <c r="H1055" i="10"/>
  <c r="D1055" i="10"/>
  <c r="F1055" i="10" s="1"/>
  <c r="G1055" i="10" s="1"/>
  <c r="V1055" i="10" s="1"/>
  <c r="AU1046" i="10"/>
  <c r="M1056" i="10"/>
  <c r="K1056" i="10"/>
  <c r="C1056" i="10"/>
  <c r="I1056" i="10" s="1"/>
  <c r="E1056" i="10"/>
  <c r="AS1057" i="10"/>
  <c r="BB1057" i="10"/>
  <c r="BC1057" i="10" s="1"/>
  <c r="Y1057" i="10"/>
  <c r="A1058" i="10"/>
  <c r="B1057" i="10"/>
  <c r="O1048" i="10" l="1"/>
  <c r="P1048" i="10" s="1"/>
  <c r="J1049" i="10" s="1"/>
  <c r="L1049" i="10" s="1"/>
  <c r="N1049" i="10" s="1"/>
  <c r="AE1048" i="10"/>
  <c r="AT1048" i="10"/>
  <c r="AF1048" i="10"/>
  <c r="R1056" i="10"/>
  <c r="M1057" i="10"/>
  <c r="C1057" i="10"/>
  <c r="I1057" i="10" s="1"/>
  <c r="K1057" i="10"/>
  <c r="E1057" i="10"/>
  <c r="H1056" i="10"/>
  <c r="D1056" i="10"/>
  <c r="F1056" i="10" s="1"/>
  <c r="G1056" i="10" s="1"/>
  <c r="V1056" i="10" s="1"/>
  <c r="Q229" i="10"/>
  <c r="AS1058" i="10"/>
  <c r="BB1058" i="10"/>
  <c r="BC1058" i="10" s="1"/>
  <c r="Y1058" i="10"/>
  <c r="A1059" i="10"/>
  <c r="B1058" i="10"/>
  <c r="AA228" i="10"/>
  <c r="AU1047" i="10"/>
  <c r="O1049" i="10" l="1"/>
  <c r="P1049" i="10" s="1"/>
  <c r="J1050" i="10" s="1"/>
  <c r="L1050" i="10" s="1"/>
  <c r="N1050" i="10" s="1"/>
  <c r="AT1049" i="10"/>
  <c r="AE1049" i="10"/>
  <c r="AF1049" i="10"/>
  <c r="R1057" i="10"/>
  <c r="AU1048" i="10"/>
  <c r="S229" i="10"/>
  <c r="AB229" i="10"/>
  <c r="AV228" i="10" s="1"/>
  <c r="AM229" i="10"/>
  <c r="AC229" i="10"/>
  <c r="M1058" i="10"/>
  <c r="K1058" i="10"/>
  <c r="C1058" i="10"/>
  <c r="I1058" i="10" s="1"/>
  <c r="E1058" i="10"/>
  <c r="AS1059" i="10"/>
  <c r="Y1059" i="10"/>
  <c r="A1060" i="10"/>
  <c r="BB1059" i="10"/>
  <c r="BC1059" i="10" s="1"/>
  <c r="B1059" i="10"/>
  <c r="H1057" i="10"/>
  <c r="D1057" i="10"/>
  <c r="F1057" i="10" s="1"/>
  <c r="G1057" i="10" s="1"/>
  <c r="V1057" i="10" s="1"/>
  <c r="AI228" i="10"/>
  <c r="AJ228" i="10"/>
  <c r="AG228" i="10"/>
  <c r="AK228" i="10"/>
  <c r="AX228" i="10" s="1"/>
  <c r="AL228" i="10" l="1"/>
  <c r="AD229" i="10"/>
  <c r="T229" i="10"/>
  <c r="AQ229" i="10" s="1"/>
  <c r="U229" i="10"/>
  <c r="W229" i="10" s="1"/>
  <c r="AP229" i="10" s="1"/>
  <c r="R1058" i="10"/>
  <c r="AU1049" i="10"/>
  <c r="H1058" i="10"/>
  <c r="D1058" i="10"/>
  <c r="F1058" i="10" s="1"/>
  <c r="G1058" i="10" s="1"/>
  <c r="V1058" i="10" s="1"/>
  <c r="M1059" i="10"/>
  <c r="C1059" i="10"/>
  <c r="I1059" i="10" s="1"/>
  <c r="K1059" i="10"/>
  <c r="E1059" i="10"/>
  <c r="O1050" i="10"/>
  <c r="P1050" i="10" s="1"/>
  <c r="J1051" i="10" s="1"/>
  <c r="L1051" i="10" s="1"/>
  <c r="N1051" i="10" s="1"/>
  <c r="AE1050" i="10"/>
  <c r="AT1050" i="10"/>
  <c r="AF1050" i="10"/>
  <c r="BA228" i="10"/>
  <c r="AO228" i="10"/>
  <c r="AY228" i="10" s="1"/>
  <c r="AH228" i="10"/>
  <c r="AN228" i="10" s="1"/>
  <c r="AW228" i="10" s="1"/>
  <c r="AS1060" i="10"/>
  <c r="A1061" i="10"/>
  <c r="BB1060" i="10"/>
  <c r="BC1060" i="10" s="1"/>
  <c r="Y1060" i="10"/>
  <c r="B1060" i="10"/>
  <c r="O1051" i="10" l="1"/>
  <c r="P1051" i="10" s="1"/>
  <c r="J1052" i="10" s="1"/>
  <c r="L1052" i="10" s="1"/>
  <c r="N1052" i="10" s="1"/>
  <c r="AT1051" i="10"/>
  <c r="AE1051" i="10"/>
  <c r="AF1051" i="10"/>
  <c r="AU1050" i="10"/>
  <c r="H1059" i="10"/>
  <c r="D1059" i="10"/>
  <c r="F1059" i="10" s="1"/>
  <c r="G1059" i="10" s="1"/>
  <c r="V1059" i="10" s="1"/>
  <c r="BD228" i="10"/>
  <c r="AZ228" i="10"/>
  <c r="M1060" i="10"/>
  <c r="C1060" i="10"/>
  <c r="I1060" i="10" s="1"/>
  <c r="K1060" i="10"/>
  <c r="E1060" i="10"/>
  <c r="X229" i="10"/>
  <c r="R1059" i="10"/>
  <c r="AS1061" i="10"/>
  <c r="A1062" i="10"/>
  <c r="Y1061" i="10"/>
  <c r="BB1061" i="10"/>
  <c r="BC1061" i="10" s="1"/>
  <c r="B1061" i="10"/>
  <c r="O1052" i="10" l="1"/>
  <c r="P1052" i="10"/>
  <c r="J1053" i="10" s="1"/>
  <c r="L1053" i="10" s="1"/>
  <c r="N1053" i="10" s="1"/>
  <c r="AE1052" i="10"/>
  <c r="AT1052" i="10"/>
  <c r="AF1052" i="10"/>
  <c r="M1061" i="10"/>
  <c r="C1061" i="10"/>
  <c r="I1061" i="10" s="1"/>
  <c r="K1061" i="10"/>
  <c r="E1061" i="10"/>
  <c r="Z229" i="10"/>
  <c r="AR229" i="10" s="1"/>
  <c r="R1060" i="10"/>
  <c r="AU1051" i="10"/>
  <c r="AS1062" i="10"/>
  <c r="A1063" i="10"/>
  <c r="Y1062" i="10"/>
  <c r="BB1062" i="10"/>
  <c r="BC1062" i="10" s="1"/>
  <c r="B1062" i="10"/>
  <c r="H1060" i="10"/>
  <c r="D1060" i="10"/>
  <c r="F1060" i="10" s="1"/>
  <c r="G1060" i="10" s="1"/>
  <c r="V1060" i="10" s="1"/>
  <c r="O1053" i="10" l="1"/>
  <c r="P1053" i="10"/>
  <c r="J1054" i="10" s="1"/>
  <c r="L1054" i="10" s="1"/>
  <c r="N1054" i="10" s="1"/>
  <c r="AE1053" i="10"/>
  <c r="AT1053" i="10"/>
  <c r="AF1053" i="10"/>
  <c r="AS1063" i="10"/>
  <c r="A1064" i="10"/>
  <c r="BB1063" i="10"/>
  <c r="BC1063" i="10" s="1"/>
  <c r="Y1063" i="10"/>
  <c r="B1063" i="10"/>
  <c r="Q230" i="10"/>
  <c r="AA229" i="10"/>
  <c r="AU1052" i="10"/>
  <c r="R1061" i="10"/>
  <c r="M1062" i="10"/>
  <c r="C1062" i="10"/>
  <c r="I1062" i="10" s="1"/>
  <c r="K1062" i="10"/>
  <c r="E1062" i="10"/>
  <c r="H1061" i="10"/>
  <c r="D1061" i="10"/>
  <c r="F1061" i="10" s="1"/>
  <c r="G1061" i="10" s="1"/>
  <c r="V1061" i="10" s="1"/>
  <c r="O1054" i="10" l="1"/>
  <c r="P1054" i="10" s="1"/>
  <c r="J1055" i="10" s="1"/>
  <c r="L1055" i="10" s="1"/>
  <c r="N1055" i="10" s="1"/>
  <c r="AT1054" i="10"/>
  <c r="AE1054" i="10"/>
  <c r="AF1054" i="10"/>
  <c r="S230" i="10"/>
  <c r="AC230" i="10"/>
  <c r="AB230" i="10"/>
  <c r="AV229" i="10" s="1"/>
  <c r="AM230" i="10"/>
  <c r="M1063" i="10"/>
  <c r="K1063" i="10"/>
  <c r="C1063" i="10"/>
  <c r="I1063" i="10" s="1"/>
  <c r="E1063" i="10"/>
  <c r="R1062" i="10"/>
  <c r="AU1053" i="10"/>
  <c r="H1062" i="10"/>
  <c r="D1062" i="10"/>
  <c r="F1062" i="10" s="1"/>
  <c r="G1062" i="10" s="1"/>
  <c r="V1062" i="10" s="1"/>
  <c r="AS1064" i="10"/>
  <c r="BB1064" i="10"/>
  <c r="BC1064" i="10" s="1"/>
  <c r="Y1064" i="10"/>
  <c r="A1065" i="10"/>
  <c r="B1064" i="10"/>
  <c r="AI229" i="10"/>
  <c r="AJ229" i="10"/>
  <c r="AG229" i="10"/>
  <c r="AK229" i="10"/>
  <c r="AX229" i="10" s="1"/>
  <c r="O1055" i="10" l="1"/>
  <c r="P1055" i="10" s="1"/>
  <c r="J1056" i="10" s="1"/>
  <c r="L1056" i="10" s="1"/>
  <c r="N1056" i="10" s="1"/>
  <c r="AT1055" i="10"/>
  <c r="AE1055" i="10"/>
  <c r="AF1055" i="10"/>
  <c r="H1063" i="10"/>
  <c r="D1063" i="10"/>
  <c r="F1063" i="10" s="1"/>
  <c r="G1063" i="10" s="1"/>
  <c r="V1063" i="10" s="1"/>
  <c r="T230" i="10"/>
  <c r="AQ230" i="10" s="1"/>
  <c r="AD230" i="10"/>
  <c r="U230" i="10"/>
  <c r="W230" i="10" s="1"/>
  <c r="AP230" i="10" s="1"/>
  <c r="M1064" i="10"/>
  <c r="C1064" i="10"/>
  <c r="I1064" i="10" s="1"/>
  <c r="K1064" i="10"/>
  <c r="E1064" i="10"/>
  <c r="AS1065" i="10"/>
  <c r="A1066" i="10"/>
  <c r="Y1065" i="10"/>
  <c r="BB1065" i="10"/>
  <c r="BC1065" i="10" s="1"/>
  <c r="B1065" i="10"/>
  <c r="AU1054" i="10"/>
  <c r="AH229" i="10"/>
  <c r="AO229" i="10"/>
  <c r="AY229" i="10" s="1"/>
  <c r="AL229" i="10"/>
  <c r="R1063" i="10"/>
  <c r="BA229" i="10"/>
  <c r="O1056" i="10" l="1"/>
  <c r="P1056" i="10" s="1"/>
  <c r="J1057" i="10" s="1"/>
  <c r="L1057" i="10" s="1"/>
  <c r="N1057" i="10" s="1"/>
  <c r="AE1056" i="10"/>
  <c r="AT1056" i="10"/>
  <c r="AF1056" i="10"/>
  <c r="M1065" i="10"/>
  <c r="K1065" i="10"/>
  <c r="C1065" i="10"/>
  <c r="I1065" i="10" s="1"/>
  <c r="E1065" i="10"/>
  <c r="H1064" i="10"/>
  <c r="D1064" i="10"/>
  <c r="F1064" i="10" s="1"/>
  <c r="G1064" i="10" s="1"/>
  <c r="V1064" i="10" s="1"/>
  <c r="AN229" i="10"/>
  <c r="AW229" i="10" s="1"/>
  <c r="AU1055" i="10"/>
  <c r="AS1066" i="10"/>
  <c r="BB1066" i="10"/>
  <c r="BC1066" i="10" s="1"/>
  <c r="A1067" i="10"/>
  <c r="Y1066" i="10"/>
  <c r="B1066" i="10"/>
  <c r="X230" i="10"/>
  <c r="R1064" i="10"/>
  <c r="O1057" i="10" l="1"/>
  <c r="P1057" i="10"/>
  <c r="J1058" i="10" s="1"/>
  <c r="L1058" i="10" s="1"/>
  <c r="N1058" i="10" s="1"/>
  <c r="AT1057" i="10"/>
  <c r="AE1057" i="10"/>
  <c r="AF1057" i="10"/>
  <c r="AS1067" i="10"/>
  <c r="BB1067" i="10"/>
  <c r="BC1067" i="10" s="1"/>
  <c r="A1068" i="10"/>
  <c r="Y1067" i="10"/>
  <c r="B1067" i="10"/>
  <c r="BD229" i="10"/>
  <c r="AZ229" i="10"/>
  <c r="Z230" i="10"/>
  <c r="AR230" i="10" s="1"/>
  <c r="R1065" i="10"/>
  <c r="AU1056" i="10"/>
  <c r="H1065" i="10"/>
  <c r="D1065" i="10"/>
  <c r="F1065" i="10" s="1"/>
  <c r="G1065" i="10" s="1"/>
  <c r="V1065" i="10" s="1"/>
  <c r="M1066" i="10"/>
  <c r="K1066" i="10"/>
  <c r="C1066" i="10"/>
  <c r="I1066" i="10" s="1"/>
  <c r="E1066" i="10"/>
  <c r="R1066" i="10" l="1"/>
  <c r="AU1057" i="10"/>
  <c r="H1066" i="10"/>
  <c r="D1066" i="10"/>
  <c r="F1066" i="10" s="1"/>
  <c r="G1066" i="10" s="1"/>
  <c r="V1066" i="10" s="1"/>
  <c r="M1067" i="10"/>
  <c r="C1067" i="10"/>
  <c r="I1067" i="10" s="1"/>
  <c r="K1067" i="10"/>
  <c r="E1067" i="10"/>
  <c r="O1058" i="10"/>
  <c r="P1058" i="10" s="1"/>
  <c r="J1059" i="10" s="1"/>
  <c r="L1059" i="10" s="1"/>
  <c r="N1059" i="10" s="1"/>
  <c r="AT1058" i="10"/>
  <c r="AE1058" i="10"/>
  <c r="AF1058" i="10"/>
  <c r="Q231" i="10"/>
  <c r="AS1068" i="10"/>
  <c r="A1069" i="10"/>
  <c r="Y1068" i="10"/>
  <c r="BB1068" i="10"/>
  <c r="BC1068" i="10" s="1"/>
  <c r="B1068" i="10"/>
  <c r="AA230" i="10"/>
  <c r="O1059" i="10" l="1"/>
  <c r="P1059" i="10" s="1"/>
  <c r="J1060" i="10" s="1"/>
  <c r="L1060" i="10" s="1"/>
  <c r="N1060" i="10" s="1"/>
  <c r="AT1059" i="10"/>
  <c r="AE1059" i="10"/>
  <c r="AF1059" i="10"/>
  <c r="AI230" i="10"/>
  <c r="AJ230" i="10"/>
  <c r="AG230" i="10"/>
  <c r="AK230" i="10"/>
  <c r="AX230" i="10" s="1"/>
  <c r="M1068" i="10"/>
  <c r="C1068" i="10"/>
  <c r="I1068" i="10" s="1"/>
  <c r="K1068" i="10"/>
  <c r="E1068" i="10"/>
  <c r="AU1058" i="10"/>
  <c r="R1067" i="10"/>
  <c r="AS1069" i="10"/>
  <c r="A1070" i="10"/>
  <c r="Y1069" i="10"/>
  <c r="BB1069" i="10"/>
  <c r="BC1069" i="10" s="1"/>
  <c r="B1069" i="10"/>
  <c r="H1067" i="10"/>
  <c r="D1067" i="10"/>
  <c r="F1067" i="10" s="1"/>
  <c r="G1067" i="10" s="1"/>
  <c r="V1067" i="10" s="1"/>
  <c r="S231" i="10"/>
  <c r="AB231" i="10"/>
  <c r="AV230" i="10" s="1"/>
  <c r="AC231" i="10"/>
  <c r="AM231" i="10"/>
  <c r="BA230" i="10" l="1"/>
  <c r="O1060" i="10"/>
  <c r="P1060" i="10" s="1"/>
  <c r="J1061" i="10" s="1"/>
  <c r="L1061" i="10" s="1"/>
  <c r="N1061" i="10" s="1"/>
  <c r="AT1060" i="10"/>
  <c r="AE1060" i="10"/>
  <c r="AF1060" i="10"/>
  <c r="R1068" i="10"/>
  <c r="H1068" i="10"/>
  <c r="D1068" i="10"/>
  <c r="F1068" i="10" s="1"/>
  <c r="G1068" i="10" s="1"/>
  <c r="V1068" i="10" s="1"/>
  <c r="AU1059" i="10"/>
  <c r="M1069" i="10"/>
  <c r="C1069" i="10"/>
  <c r="I1069" i="10" s="1"/>
  <c r="K1069" i="10"/>
  <c r="E1069" i="10"/>
  <c r="AH230" i="10"/>
  <c r="AO230" i="10"/>
  <c r="AY230" i="10" s="1"/>
  <c r="AL230" i="10"/>
  <c r="T231" i="10"/>
  <c r="AQ231" i="10" s="1"/>
  <c r="AD231" i="10"/>
  <c r="U231" i="10"/>
  <c r="W231" i="10" s="1"/>
  <c r="AP231" i="10" s="1"/>
  <c r="AS1070" i="10"/>
  <c r="BB1070" i="10"/>
  <c r="BC1070" i="10" s="1"/>
  <c r="Y1070" i="10"/>
  <c r="A1071" i="10"/>
  <c r="B1070" i="10"/>
  <c r="AN230" i="10" l="1"/>
  <c r="AW230" i="10" s="1"/>
  <c r="BD230" i="10" s="1"/>
  <c r="O1061" i="10"/>
  <c r="P1061" i="10" s="1"/>
  <c r="J1062" i="10" s="1"/>
  <c r="L1062" i="10" s="1"/>
  <c r="N1062" i="10" s="1"/>
  <c r="AE1061" i="10"/>
  <c r="AT1061" i="10"/>
  <c r="AF1061" i="10"/>
  <c r="AZ230" i="10"/>
  <c r="R1069" i="10"/>
  <c r="AU1060" i="10"/>
  <c r="M1070" i="10"/>
  <c r="K1070" i="10"/>
  <c r="C1070" i="10"/>
  <c r="I1070" i="10" s="1"/>
  <c r="E1070" i="10"/>
  <c r="X231" i="10"/>
  <c r="AS1071" i="10"/>
  <c r="BB1071" i="10"/>
  <c r="BC1071" i="10" s="1"/>
  <c r="Y1071" i="10"/>
  <c r="A1072" i="10"/>
  <c r="B1071" i="10"/>
  <c r="H1069" i="10"/>
  <c r="D1069" i="10"/>
  <c r="F1069" i="10" s="1"/>
  <c r="G1069" i="10" s="1"/>
  <c r="V1069" i="10" s="1"/>
  <c r="O1062" i="10" l="1"/>
  <c r="P1062" i="10" s="1"/>
  <c r="J1063" i="10" s="1"/>
  <c r="L1063" i="10" s="1"/>
  <c r="N1063" i="10" s="1"/>
  <c r="AE1062" i="10"/>
  <c r="AT1062" i="10"/>
  <c r="AF1062" i="10"/>
  <c r="Z231" i="10"/>
  <c r="AR231" i="10" s="1"/>
  <c r="AU1061" i="10"/>
  <c r="R1070" i="10"/>
  <c r="M1071" i="10"/>
  <c r="C1071" i="10"/>
  <c r="I1071" i="10" s="1"/>
  <c r="K1071" i="10"/>
  <c r="E1071" i="10"/>
  <c r="H1070" i="10"/>
  <c r="D1070" i="10"/>
  <c r="F1070" i="10" s="1"/>
  <c r="G1070" i="10" s="1"/>
  <c r="V1070" i="10" s="1"/>
  <c r="BB1072" i="10"/>
  <c r="BC1072" i="10" s="1"/>
  <c r="AS1072" i="10"/>
  <c r="Y1072" i="10"/>
  <c r="A1073" i="10"/>
  <c r="B1072" i="10"/>
  <c r="O1063" i="10" l="1"/>
  <c r="P1063" i="10" s="1"/>
  <c r="J1064" i="10" s="1"/>
  <c r="L1064" i="10" s="1"/>
  <c r="N1064" i="10" s="1"/>
  <c r="AT1063" i="10"/>
  <c r="AE1063" i="10"/>
  <c r="AF1063" i="10"/>
  <c r="R1071" i="10"/>
  <c r="M1072" i="10"/>
  <c r="C1072" i="10"/>
  <c r="I1072" i="10" s="1"/>
  <c r="K1072" i="10"/>
  <c r="E1072" i="10"/>
  <c r="AU1062" i="10"/>
  <c r="Y1073" i="10"/>
  <c r="A1074" i="10"/>
  <c r="AS1073" i="10"/>
  <c r="BB1073" i="10"/>
  <c r="BC1073" i="10" s="1"/>
  <c r="B1073" i="10"/>
  <c r="H1071" i="10"/>
  <c r="D1071" i="10"/>
  <c r="F1071" i="10" s="1"/>
  <c r="G1071" i="10" s="1"/>
  <c r="V1071" i="10" s="1"/>
  <c r="Q232" i="10"/>
  <c r="AA231" i="10"/>
  <c r="O1064" i="10" l="1"/>
  <c r="P1064" i="10" s="1"/>
  <c r="J1065" i="10" s="1"/>
  <c r="L1065" i="10" s="1"/>
  <c r="N1065" i="10" s="1"/>
  <c r="AE1064" i="10"/>
  <c r="AT1064" i="10"/>
  <c r="AF1064" i="10"/>
  <c r="C1073" i="10"/>
  <c r="I1073" i="10" s="1"/>
  <c r="K1073" i="10"/>
  <c r="M1073" i="10"/>
  <c r="E1073" i="10"/>
  <c r="R1072" i="10"/>
  <c r="AI231" i="10"/>
  <c r="AJ231" i="10"/>
  <c r="AG231" i="10"/>
  <c r="AK231" i="10"/>
  <c r="AX231" i="10" s="1"/>
  <c r="S232" i="10"/>
  <c r="AB232" i="10"/>
  <c r="AV231" i="10" s="1"/>
  <c r="AM232" i="10"/>
  <c r="AC232" i="10"/>
  <c r="H1072" i="10"/>
  <c r="D1072" i="10"/>
  <c r="F1072" i="10" s="1"/>
  <c r="G1072" i="10" s="1"/>
  <c r="V1072" i="10" s="1"/>
  <c r="BB1074" i="10"/>
  <c r="BC1074" i="10" s="1"/>
  <c r="AS1074" i="10"/>
  <c r="A1075" i="10"/>
  <c r="Y1074" i="10"/>
  <c r="B1074" i="10"/>
  <c r="AU1063" i="10"/>
  <c r="AL231" i="10" l="1"/>
  <c r="O1065" i="10"/>
  <c r="P1065" i="10" s="1"/>
  <c r="J1066" i="10" s="1"/>
  <c r="L1066" i="10" s="1"/>
  <c r="N1066" i="10" s="1"/>
  <c r="AT1065" i="10"/>
  <c r="AE1065" i="10"/>
  <c r="AF1065" i="10"/>
  <c r="H1073" i="10"/>
  <c r="D1073" i="10"/>
  <c r="F1073" i="10" s="1"/>
  <c r="G1073" i="10" s="1"/>
  <c r="V1073" i="10" s="1"/>
  <c r="BA231" i="10"/>
  <c r="K1074" i="10"/>
  <c r="M1074" i="10"/>
  <c r="C1074" i="10"/>
  <c r="I1074" i="10" s="1"/>
  <c r="E1074" i="10"/>
  <c r="A1076" i="10"/>
  <c r="BB1075" i="10"/>
  <c r="BC1075" i="10" s="1"/>
  <c r="AS1075" i="10"/>
  <c r="Y1075" i="10"/>
  <c r="B1075" i="10"/>
  <c r="T232" i="10"/>
  <c r="AQ232" i="10" s="1"/>
  <c r="AD232" i="10"/>
  <c r="U232" i="10"/>
  <c r="W232" i="10" s="1"/>
  <c r="AP232" i="10" s="1"/>
  <c r="AU1064" i="10"/>
  <c r="R1073" i="10"/>
  <c r="AH231" i="10"/>
  <c r="AN231" i="10" s="1"/>
  <c r="AW231" i="10" s="1"/>
  <c r="AO231" i="10"/>
  <c r="AY231" i="10" s="1"/>
  <c r="O1066" i="10" l="1"/>
  <c r="P1066" i="10" s="1"/>
  <c r="J1067" i="10" s="1"/>
  <c r="L1067" i="10" s="1"/>
  <c r="N1067" i="10" s="1"/>
  <c r="AE1066" i="10"/>
  <c r="AT1066" i="10"/>
  <c r="AF1066" i="10"/>
  <c r="X232" i="10"/>
  <c r="R1074" i="10"/>
  <c r="M1075" i="10"/>
  <c r="C1075" i="10"/>
  <c r="I1075" i="10" s="1"/>
  <c r="K1075" i="10"/>
  <c r="E1075" i="10"/>
  <c r="H1074" i="10"/>
  <c r="D1074" i="10"/>
  <c r="F1074" i="10" s="1"/>
  <c r="G1074" i="10" s="1"/>
  <c r="V1074" i="10" s="1"/>
  <c r="AU1065" i="10"/>
  <c r="AZ231" i="10"/>
  <c r="BD231" i="10"/>
  <c r="A1077" i="10"/>
  <c r="AS1076" i="10"/>
  <c r="Y1076" i="10"/>
  <c r="BB1076" i="10"/>
  <c r="BC1076" i="10" s="1"/>
  <c r="B1076" i="10"/>
  <c r="O1067" i="10" l="1"/>
  <c r="P1067" i="10" s="1"/>
  <c r="J1068" i="10" s="1"/>
  <c r="L1068" i="10" s="1"/>
  <c r="N1068" i="10" s="1"/>
  <c r="AE1067" i="10"/>
  <c r="AT1067" i="10"/>
  <c r="AF1067" i="10"/>
  <c r="R1075" i="10"/>
  <c r="Z232" i="10"/>
  <c r="AR232" i="10" s="1"/>
  <c r="C1076" i="10"/>
  <c r="I1076" i="10" s="1"/>
  <c r="M1076" i="10"/>
  <c r="K1076" i="10"/>
  <c r="E1076" i="10"/>
  <c r="H1075" i="10"/>
  <c r="D1075" i="10"/>
  <c r="F1075" i="10" s="1"/>
  <c r="G1075" i="10" s="1"/>
  <c r="V1075" i="10" s="1"/>
  <c r="AU1066" i="10"/>
  <c r="A1078" i="10"/>
  <c r="BB1077" i="10"/>
  <c r="BC1077" i="10" s="1"/>
  <c r="Y1077" i="10"/>
  <c r="AS1077" i="10"/>
  <c r="B1077" i="10"/>
  <c r="O1068" i="10" l="1"/>
  <c r="P1068" i="10" s="1"/>
  <c r="J1069" i="10" s="1"/>
  <c r="L1069" i="10" s="1"/>
  <c r="N1069" i="10" s="1"/>
  <c r="AT1068" i="10"/>
  <c r="AE1068" i="10"/>
  <c r="AF1068" i="10"/>
  <c r="H1076" i="10"/>
  <c r="D1076" i="10"/>
  <c r="F1076" i="10" s="1"/>
  <c r="G1076" i="10" s="1"/>
  <c r="V1076" i="10" s="1"/>
  <c r="K1077" i="10"/>
  <c r="M1077" i="10"/>
  <c r="C1077" i="10"/>
  <c r="I1077" i="10" s="1"/>
  <c r="E1077" i="10"/>
  <c r="Q233" i="10"/>
  <c r="AU1067" i="10"/>
  <c r="AA232" i="10"/>
  <c r="A1079" i="10"/>
  <c r="AS1078" i="10"/>
  <c r="Y1078" i="10"/>
  <c r="BB1078" i="10"/>
  <c r="BC1078" i="10" s="1"/>
  <c r="B1078" i="10"/>
  <c r="R1076" i="10"/>
  <c r="O1069" i="10" l="1"/>
  <c r="P1069" i="10" s="1"/>
  <c r="J1070" i="10" s="1"/>
  <c r="L1070" i="10" s="1"/>
  <c r="N1070" i="10" s="1"/>
  <c r="AE1069" i="10"/>
  <c r="AT1069" i="10"/>
  <c r="AF1069" i="10"/>
  <c r="R1077" i="10"/>
  <c r="AI232" i="10"/>
  <c r="AJ232" i="10"/>
  <c r="AG232" i="10"/>
  <c r="AK232" i="10"/>
  <c r="AX232" i="10" s="1"/>
  <c r="H1077" i="10"/>
  <c r="D1077" i="10"/>
  <c r="F1077" i="10" s="1"/>
  <c r="G1077" i="10" s="1"/>
  <c r="V1077" i="10" s="1"/>
  <c r="AU1068" i="10"/>
  <c r="M1078" i="10"/>
  <c r="K1078" i="10"/>
  <c r="C1078" i="10"/>
  <c r="I1078" i="10" s="1"/>
  <c r="E1078" i="10"/>
  <c r="S233" i="10"/>
  <c r="AM233" i="10"/>
  <c r="AC233" i="10"/>
  <c r="AB233" i="10"/>
  <c r="AV232" i="10" s="1"/>
  <c r="BB1079" i="10"/>
  <c r="BC1079" i="10" s="1"/>
  <c r="AS1079" i="10"/>
  <c r="A1080" i="10"/>
  <c r="Y1079" i="10"/>
  <c r="B1079" i="10"/>
  <c r="BA232" i="10" l="1"/>
  <c r="O1070" i="10"/>
  <c r="P1070" i="10" s="1"/>
  <c r="J1071" i="10" s="1"/>
  <c r="L1071" i="10" s="1"/>
  <c r="N1071" i="10" s="1"/>
  <c r="AE1070" i="10"/>
  <c r="AT1070" i="10"/>
  <c r="AF1070" i="10"/>
  <c r="R1078" i="10"/>
  <c r="H1078" i="10"/>
  <c r="D1078" i="10"/>
  <c r="F1078" i="10" s="1"/>
  <c r="G1078" i="10" s="1"/>
  <c r="V1078" i="10" s="1"/>
  <c r="AO232" i="10"/>
  <c r="AY232" i="10" s="1"/>
  <c r="AH232" i="10"/>
  <c r="AL232" i="10"/>
  <c r="M1079" i="10"/>
  <c r="C1079" i="10"/>
  <c r="I1079" i="10" s="1"/>
  <c r="K1079" i="10"/>
  <c r="E1079" i="10"/>
  <c r="AD233" i="10"/>
  <c r="T233" i="10"/>
  <c r="AQ233" i="10" s="1"/>
  <c r="U233" i="10"/>
  <c r="W233" i="10" s="1"/>
  <c r="AP233" i="10" s="1"/>
  <c r="AU1069" i="10"/>
  <c r="BB1080" i="10"/>
  <c r="BC1080" i="10" s="1"/>
  <c r="Y1080" i="10"/>
  <c r="A1081" i="10"/>
  <c r="AS1080" i="10"/>
  <c r="B1080" i="10"/>
  <c r="O1071" i="10" l="1"/>
  <c r="P1071" i="10" s="1"/>
  <c r="J1072" i="10" s="1"/>
  <c r="L1072" i="10" s="1"/>
  <c r="N1072" i="10" s="1"/>
  <c r="AE1071" i="10"/>
  <c r="AT1071" i="10"/>
  <c r="AF1071" i="10"/>
  <c r="X233" i="10"/>
  <c r="AN232" i="10"/>
  <c r="AW232" i="10" s="1"/>
  <c r="AU1070" i="10"/>
  <c r="R1079" i="10"/>
  <c r="Y1081" i="10"/>
  <c r="A1082" i="10"/>
  <c r="AS1081" i="10"/>
  <c r="BB1081" i="10"/>
  <c r="BC1081" i="10" s="1"/>
  <c r="B1081" i="10"/>
  <c r="K1080" i="10"/>
  <c r="M1080" i="10"/>
  <c r="C1080" i="10"/>
  <c r="I1080" i="10" s="1"/>
  <c r="E1080" i="10"/>
  <c r="H1079" i="10"/>
  <c r="D1079" i="10"/>
  <c r="F1079" i="10" s="1"/>
  <c r="G1079" i="10" s="1"/>
  <c r="V1079" i="10" s="1"/>
  <c r="O1072" i="10" l="1"/>
  <c r="P1072" i="10" s="1"/>
  <c r="J1073" i="10" s="1"/>
  <c r="L1073" i="10" s="1"/>
  <c r="N1073" i="10" s="1"/>
  <c r="AE1072" i="10"/>
  <c r="AT1072" i="10"/>
  <c r="AF1072" i="10"/>
  <c r="M1081" i="10"/>
  <c r="C1081" i="10"/>
  <c r="I1081" i="10" s="1"/>
  <c r="K1081" i="10"/>
  <c r="E1081" i="10"/>
  <c r="AU1071" i="10"/>
  <c r="R1080" i="10"/>
  <c r="H1080" i="10"/>
  <c r="D1080" i="10"/>
  <c r="F1080" i="10" s="1"/>
  <c r="G1080" i="10" s="1"/>
  <c r="V1080" i="10" s="1"/>
  <c r="AS1082" i="10"/>
  <c r="Y1082" i="10"/>
  <c r="BB1082" i="10"/>
  <c r="BC1082" i="10" s="1"/>
  <c r="A1083" i="10"/>
  <c r="B1082" i="10"/>
  <c r="AZ232" i="10"/>
  <c r="BD232" i="10"/>
  <c r="Z233" i="10"/>
  <c r="AR233" i="10" s="1"/>
  <c r="Q234" i="10" l="1"/>
  <c r="AC234" i="10" s="1"/>
  <c r="AA233" i="10"/>
  <c r="AJ233" i="10" s="1"/>
  <c r="O1073" i="10"/>
  <c r="P1073" i="10" s="1"/>
  <c r="J1074" i="10" s="1"/>
  <c r="L1074" i="10" s="1"/>
  <c r="N1074" i="10" s="1"/>
  <c r="AE1073" i="10"/>
  <c r="AT1073" i="10"/>
  <c r="AF1073" i="10"/>
  <c r="R1081" i="10"/>
  <c r="H1081" i="10"/>
  <c r="D1081" i="10"/>
  <c r="F1081" i="10" s="1"/>
  <c r="G1081" i="10" s="1"/>
  <c r="V1081" i="10" s="1"/>
  <c r="M1082" i="10"/>
  <c r="C1082" i="10"/>
  <c r="I1082" i="10" s="1"/>
  <c r="K1082" i="10"/>
  <c r="E1082" i="10"/>
  <c r="BB1083" i="10"/>
  <c r="BC1083" i="10" s="1"/>
  <c r="AS1083" i="10"/>
  <c r="Y1083" i="10"/>
  <c r="A1084" i="10"/>
  <c r="B1083" i="10"/>
  <c r="AU1072" i="10"/>
  <c r="S234" i="10"/>
  <c r="AM234" i="10"/>
  <c r="AB234" i="10" l="1"/>
  <c r="AV233" i="10" s="1"/>
  <c r="AI233" i="10"/>
  <c r="AG233" i="10"/>
  <c r="AO233" i="10" s="1"/>
  <c r="AY233" i="10" s="1"/>
  <c r="AK233" i="10"/>
  <c r="AX233" i="10" s="1"/>
  <c r="O1074" i="10"/>
  <c r="P1074" i="10" s="1"/>
  <c r="J1075" i="10" s="1"/>
  <c r="L1075" i="10" s="1"/>
  <c r="N1075" i="10" s="1"/>
  <c r="AE1074" i="10"/>
  <c r="AT1074" i="10"/>
  <c r="AF1074" i="10"/>
  <c r="R1082" i="10"/>
  <c r="M1083" i="10"/>
  <c r="K1083" i="10"/>
  <c r="C1083" i="10"/>
  <c r="I1083" i="10" s="1"/>
  <c r="E1083" i="10"/>
  <c r="H1082" i="10"/>
  <c r="D1082" i="10"/>
  <c r="F1082" i="10" s="1"/>
  <c r="G1082" i="10" s="1"/>
  <c r="V1082" i="10" s="1"/>
  <c r="BA233" i="10"/>
  <c r="A1085" i="10"/>
  <c r="AS1084" i="10"/>
  <c r="Y1084" i="10"/>
  <c r="BB1084" i="10"/>
  <c r="BC1084" i="10" s="1"/>
  <c r="B1084" i="10"/>
  <c r="AU1073" i="10"/>
  <c r="AD234" i="10"/>
  <c r="T234" i="10"/>
  <c r="AQ234" i="10" s="1"/>
  <c r="U234" i="10"/>
  <c r="W234" i="10" s="1"/>
  <c r="AP234" i="10" s="1"/>
  <c r="AL233" i="10" l="1"/>
  <c r="AH233" i="10"/>
  <c r="AN233" i="10" s="1"/>
  <c r="AW233" i="10" s="1"/>
  <c r="C1084" i="10"/>
  <c r="I1084" i="10" s="1"/>
  <c r="M1084" i="10"/>
  <c r="K1084" i="10"/>
  <c r="E1084" i="10"/>
  <c r="R1083" i="10"/>
  <c r="X234" i="10"/>
  <c r="H1083" i="10"/>
  <c r="D1083" i="10"/>
  <c r="F1083" i="10" s="1"/>
  <c r="G1083" i="10" s="1"/>
  <c r="V1083" i="10" s="1"/>
  <c r="A1086" i="10"/>
  <c r="BB1085" i="10"/>
  <c r="BC1085" i="10" s="1"/>
  <c r="AS1085" i="10"/>
  <c r="Y1085" i="10"/>
  <c r="B1085" i="10"/>
  <c r="AU1074" i="10"/>
  <c r="O1075" i="10"/>
  <c r="P1075" i="10" s="1"/>
  <c r="J1076" i="10" s="1"/>
  <c r="L1076" i="10" s="1"/>
  <c r="N1076" i="10" s="1"/>
  <c r="AT1075" i="10"/>
  <c r="AE1075" i="10"/>
  <c r="AF1075" i="10"/>
  <c r="O1076" i="10" l="1"/>
  <c r="P1076" i="10"/>
  <c r="J1077" i="10" s="1"/>
  <c r="L1077" i="10" s="1"/>
  <c r="N1077" i="10" s="1"/>
  <c r="AT1076" i="10"/>
  <c r="AE1076" i="10"/>
  <c r="AF1076" i="10"/>
  <c r="BB1086" i="10"/>
  <c r="BC1086" i="10" s="1"/>
  <c r="AS1086" i="10"/>
  <c r="A1087" i="10"/>
  <c r="Y1086" i="10"/>
  <c r="B1086" i="10"/>
  <c r="BD233" i="10"/>
  <c r="AZ233" i="10"/>
  <c r="AU1075" i="10"/>
  <c r="R1084" i="10"/>
  <c r="K1085" i="10"/>
  <c r="M1085" i="10"/>
  <c r="C1085" i="10"/>
  <c r="I1085" i="10" s="1"/>
  <c r="E1085" i="10"/>
  <c r="H1084" i="10"/>
  <c r="D1084" i="10"/>
  <c r="F1084" i="10" s="1"/>
  <c r="G1084" i="10" s="1"/>
  <c r="V1084" i="10" s="1"/>
  <c r="Z234" i="10"/>
  <c r="AR234" i="10" s="1"/>
  <c r="Q235" i="10" l="1"/>
  <c r="AA234" i="10"/>
  <c r="AI234" i="10" s="1"/>
  <c r="S235" i="10"/>
  <c r="AM235" i="10"/>
  <c r="AC235" i="10"/>
  <c r="AB235" i="10"/>
  <c r="AV234" i="10" s="1"/>
  <c r="H1085" i="10"/>
  <c r="D1085" i="10"/>
  <c r="F1085" i="10" s="1"/>
  <c r="G1085" i="10" s="1"/>
  <c r="V1085" i="10" s="1"/>
  <c r="K1086" i="10"/>
  <c r="C1086" i="10"/>
  <c r="I1086" i="10" s="1"/>
  <c r="M1086" i="10"/>
  <c r="E1086" i="10"/>
  <c r="AU1076" i="10"/>
  <c r="BB1087" i="10"/>
  <c r="BC1087" i="10" s="1"/>
  <c r="AS1087" i="10"/>
  <c r="A1088" i="10"/>
  <c r="Y1087" i="10"/>
  <c r="B1087" i="10"/>
  <c r="O1077" i="10"/>
  <c r="P1077" i="10" s="1"/>
  <c r="J1078" i="10" s="1"/>
  <c r="L1078" i="10" s="1"/>
  <c r="N1078" i="10" s="1"/>
  <c r="AE1077" i="10"/>
  <c r="AT1077" i="10"/>
  <c r="AF1077" i="10"/>
  <c r="R1085" i="10"/>
  <c r="AK234" i="10" l="1"/>
  <c r="AX234" i="10" s="1"/>
  <c r="AG234" i="10"/>
  <c r="AO234" i="10" s="1"/>
  <c r="AY234" i="10" s="1"/>
  <c r="AJ234" i="10"/>
  <c r="BA234" i="10" s="1"/>
  <c r="AL234" i="10"/>
  <c r="O1078" i="10"/>
  <c r="P1078" i="10"/>
  <c r="J1079" i="10" s="1"/>
  <c r="L1079" i="10" s="1"/>
  <c r="N1079" i="10" s="1"/>
  <c r="AT1078" i="10"/>
  <c r="AE1078" i="10"/>
  <c r="AF1078" i="10"/>
  <c r="AU1077" i="10"/>
  <c r="R1086" i="10"/>
  <c r="H1086" i="10"/>
  <c r="D1086" i="10"/>
  <c r="F1086" i="10" s="1"/>
  <c r="G1086" i="10" s="1"/>
  <c r="V1086" i="10" s="1"/>
  <c r="M1087" i="10"/>
  <c r="K1087" i="10"/>
  <c r="C1087" i="10"/>
  <c r="I1087" i="10" s="1"/>
  <c r="E1087" i="10"/>
  <c r="Y1088" i="10"/>
  <c r="A1089" i="10"/>
  <c r="BB1088" i="10"/>
  <c r="BC1088" i="10" s="1"/>
  <c r="AS1088" i="10"/>
  <c r="B1088" i="10"/>
  <c r="AD235" i="10"/>
  <c r="T235" i="10"/>
  <c r="AQ235" i="10" s="1"/>
  <c r="U235" i="10"/>
  <c r="W235" i="10" s="1"/>
  <c r="AP235" i="10" s="1"/>
  <c r="AH234" i="10" l="1"/>
  <c r="AN234" i="10"/>
  <c r="AW234" i="10" s="1"/>
  <c r="BD234" i="10" s="1"/>
  <c r="AZ234" i="10"/>
  <c r="R1087" i="10"/>
  <c r="H1087" i="10"/>
  <c r="D1087" i="10"/>
  <c r="F1087" i="10" s="1"/>
  <c r="G1087" i="10" s="1"/>
  <c r="V1087" i="10" s="1"/>
  <c r="AU1078" i="10"/>
  <c r="M1088" i="10"/>
  <c r="K1088" i="10"/>
  <c r="C1088" i="10"/>
  <c r="I1088" i="10" s="1"/>
  <c r="E1088" i="10"/>
  <c r="X235" i="10"/>
  <c r="O1079" i="10"/>
  <c r="P1079" i="10" s="1"/>
  <c r="J1080" i="10" s="1"/>
  <c r="L1080" i="10" s="1"/>
  <c r="N1080" i="10" s="1"/>
  <c r="AE1079" i="10"/>
  <c r="AT1079" i="10"/>
  <c r="AF1079" i="10"/>
  <c r="Y1089" i="10"/>
  <c r="BB1089" i="10"/>
  <c r="BC1089" i="10" s="1"/>
  <c r="A1090" i="10"/>
  <c r="AS1089" i="10"/>
  <c r="B1089" i="10"/>
  <c r="O1080" i="10" l="1"/>
  <c r="P1080" i="10" s="1"/>
  <c r="J1081" i="10" s="1"/>
  <c r="L1081" i="10" s="1"/>
  <c r="N1081" i="10" s="1"/>
  <c r="AE1080" i="10"/>
  <c r="AT1080" i="10"/>
  <c r="AF1080" i="10"/>
  <c r="R1088" i="10"/>
  <c r="H1088" i="10"/>
  <c r="D1088" i="10"/>
  <c r="F1088" i="10" s="1"/>
  <c r="G1088" i="10" s="1"/>
  <c r="V1088" i="10" s="1"/>
  <c r="Y1090" i="10"/>
  <c r="A1091" i="10"/>
  <c r="AS1090" i="10"/>
  <c r="BB1090" i="10"/>
  <c r="BC1090" i="10" s="1"/>
  <c r="B1090" i="10"/>
  <c r="Z235" i="10"/>
  <c r="AR235" i="10" s="1"/>
  <c r="C1089" i="10"/>
  <c r="I1089" i="10" s="1"/>
  <c r="M1089" i="10"/>
  <c r="K1089" i="10"/>
  <c r="E1089" i="10"/>
  <c r="AU1079" i="10"/>
  <c r="O1081" i="10" l="1"/>
  <c r="P1081" i="10" s="1"/>
  <c r="J1082" i="10" s="1"/>
  <c r="L1082" i="10" s="1"/>
  <c r="N1082" i="10" s="1"/>
  <c r="AT1081" i="10"/>
  <c r="AE1081" i="10"/>
  <c r="AF1081" i="10"/>
  <c r="H1089" i="10"/>
  <c r="D1089" i="10"/>
  <c r="F1089" i="10" s="1"/>
  <c r="G1089" i="10" s="1"/>
  <c r="V1089" i="10" s="1"/>
  <c r="Y1091" i="10"/>
  <c r="A1092" i="10"/>
  <c r="AS1091" i="10"/>
  <c r="BB1091" i="10"/>
  <c r="BC1091" i="10" s="1"/>
  <c r="B1091" i="10"/>
  <c r="Q236" i="10"/>
  <c r="AU1080" i="10"/>
  <c r="AA235" i="10"/>
  <c r="R1089" i="10"/>
  <c r="M1090" i="10"/>
  <c r="K1090" i="10"/>
  <c r="C1090" i="10"/>
  <c r="I1090" i="10" s="1"/>
  <c r="E1090" i="10"/>
  <c r="R1090" i="10" l="1"/>
  <c r="M1091" i="10"/>
  <c r="C1091" i="10"/>
  <c r="I1091" i="10" s="1"/>
  <c r="K1091" i="10"/>
  <c r="E1091" i="10"/>
  <c r="H1090" i="10"/>
  <c r="D1090" i="10"/>
  <c r="F1090" i="10" s="1"/>
  <c r="G1090" i="10" s="1"/>
  <c r="V1090" i="10" s="1"/>
  <c r="AI235" i="10"/>
  <c r="AJ235" i="10"/>
  <c r="AG235" i="10"/>
  <c r="AK235" i="10"/>
  <c r="AX235" i="10" s="1"/>
  <c r="AU1081" i="10"/>
  <c r="A1093" i="10"/>
  <c r="AS1092" i="10"/>
  <c r="BB1092" i="10"/>
  <c r="BC1092" i="10" s="1"/>
  <c r="Y1092" i="10"/>
  <c r="B1092" i="10"/>
  <c r="O1082" i="10"/>
  <c r="P1082" i="10"/>
  <c r="J1083" i="10" s="1"/>
  <c r="L1083" i="10" s="1"/>
  <c r="N1083" i="10" s="1"/>
  <c r="AT1082" i="10"/>
  <c r="AE1082" i="10"/>
  <c r="AF1082" i="10"/>
  <c r="S236" i="10"/>
  <c r="AC236" i="10"/>
  <c r="AB236" i="10"/>
  <c r="AV235" i="10" s="1"/>
  <c r="AM236" i="10"/>
  <c r="O1083" i="10" l="1"/>
  <c r="P1083" i="10"/>
  <c r="J1084" i="10" s="1"/>
  <c r="L1084" i="10" s="1"/>
  <c r="N1084" i="10" s="1"/>
  <c r="AE1083" i="10"/>
  <c r="AT1083" i="10"/>
  <c r="AF1083" i="10"/>
  <c r="T236" i="10"/>
  <c r="AQ236" i="10" s="1"/>
  <c r="AD236" i="10"/>
  <c r="U236" i="10"/>
  <c r="W236" i="10" s="1"/>
  <c r="AP236" i="10" s="1"/>
  <c r="R1091" i="10"/>
  <c r="AU1082" i="10"/>
  <c r="C1092" i="10"/>
  <c r="I1092" i="10" s="1"/>
  <c r="K1092" i="10"/>
  <c r="M1092" i="10"/>
  <c r="E1092" i="10"/>
  <c r="H1091" i="10"/>
  <c r="D1091" i="10"/>
  <c r="F1091" i="10" s="1"/>
  <c r="G1091" i="10" s="1"/>
  <c r="V1091" i="10" s="1"/>
  <c r="AO235" i="10"/>
  <c r="AY235" i="10" s="1"/>
  <c r="AH235" i="10"/>
  <c r="AL235" i="10"/>
  <c r="A1094" i="10"/>
  <c r="Y1093" i="10"/>
  <c r="AS1093" i="10"/>
  <c r="BB1093" i="10"/>
  <c r="BC1093" i="10" s="1"/>
  <c r="B1093" i="10"/>
  <c r="BA235" i="10"/>
  <c r="O1084" i="10" l="1"/>
  <c r="P1084" i="10"/>
  <c r="J1085" i="10"/>
  <c r="L1085" i="10" s="1"/>
  <c r="N1085" i="10" s="1"/>
  <c r="AE1084" i="10"/>
  <c r="AT1084" i="10"/>
  <c r="AF1084" i="10"/>
  <c r="BB1094" i="10"/>
  <c r="BC1094" i="10" s="1"/>
  <c r="AS1094" i="10"/>
  <c r="A1095" i="10"/>
  <c r="Y1094" i="10"/>
  <c r="B1094" i="10"/>
  <c r="R1092" i="10"/>
  <c r="AU1083" i="10"/>
  <c r="K1093" i="10"/>
  <c r="C1093" i="10"/>
  <c r="I1093" i="10" s="1"/>
  <c r="M1093" i="10"/>
  <c r="E1093" i="10"/>
  <c r="AN235" i="10"/>
  <c r="AW235" i="10" s="1"/>
  <c r="X236" i="10"/>
  <c r="H1092" i="10"/>
  <c r="D1092" i="10"/>
  <c r="F1092" i="10" s="1"/>
  <c r="G1092" i="10" s="1"/>
  <c r="V1092" i="10" s="1"/>
  <c r="H1093" i="10" l="1"/>
  <c r="D1093" i="10"/>
  <c r="F1093" i="10" s="1"/>
  <c r="G1093" i="10" s="1"/>
  <c r="V1093" i="10" s="1"/>
  <c r="C1094" i="10"/>
  <c r="I1094" i="10" s="1"/>
  <c r="M1094" i="10"/>
  <c r="K1094" i="10"/>
  <c r="E1094" i="10"/>
  <c r="Z236" i="10"/>
  <c r="AR236" i="10" s="1"/>
  <c r="BB1095" i="10"/>
  <c r="BC1095" i="10" s="1"/>
  <c r="AS1095" i="10"/>
  <c r="Y1095" i="10"/>
  <c r="A1096" i="10"/>
  <c r="B1095" i="10"/>
  <c r="AU1084" i="10"/>
  <c r="BD235" i="10"/>
  <c r="AZ235" i="10"/>
  <c r="O1085" i="10"/>
  <c r="P1085" i="10" s="1"/>
  <c r="J1086" i="10" s="1"/>
  <c r="L1086" i="10" s="1"/>
  <c r="N1086" i="10" s="1"/>
  <c r="AT1085" i="10"/>
  <c r="AE1085" i="10"/>
  <c r="AF1085" i="10"/>
  <c r="R1093" i="10"/>
  <c r="O1086" i="10" l="1"/>
  <c r="P1086" i="10" s="1"/>
  <c r="J1087" i="10" s="1"/>
  <c r="L1087" i="10" s="1"/>
  <c r="N1087" i="10" s="1"/>
  <c r="AE1086" i="10"/>
  <c r="AT1086" i="10"/>
  <c r="AF1086" i="10"/>
  <c r="R1094" i="10"/>
  <c r="H1094" i="10"/>
  <c r="D1094" i="10"/>
  <c r="F1094" i="10" s="1"/>
  <c r="G1094" i="10" s="1"/>
  <c r="V1094" i="10" s="1"/>
  <c r="AU1085" i="10"/>
  <c r="K1095" i="10"/>
  <c r="M1095" i="10"/>
  <c r="C1095" i="10"/>
  <c r="I1095" i="10" s="1"/>
  <c r="E1095" i="10"/>
  <c r="Q237" i="10"/>
  <c r="Y1096" i="10"/>
  <c r="BB1096" i="10"/>
  <c r="BC1096" i="10" s="1"/>
  <c r="A1097" i="10"/>
  <c r="AS1096" i="10"/>
  <c r="B1096" i="10"/>
  <c r="AA236" i="10"/>
  <c r="O1087" i="10" l="1"/>
  <c r="P1087" i="10"/>
  <c r="J1088" i="10" s="1"/>
  <c r="L1088" i="10" s="1"/>
  <c r="N1088" i="10" s="1"/>
  <c r="AT1087" i="10"/>
  <c r="AE1087" i="10"/>
  <c r="AF1087" i="10"/>
  <c r="AI236" i="10"/>
  <c r="AJ236" i="10"/>
  <c r="AG236" i="10"/>
  <c r="AK236" i="10"/>
  <c r="AX236" i="10" s="1"/>
  <c r="R1095" i="10"/>
  <c r="M1096" i="10"/>
  <c r="K1096" i="10"/>
  <c r="C1096" i="10"/>
  <c r="I1096" i="10" s="1"/>
  <c r="E1096" i="10"/>
  <c r="H1095" i="10"/>
  <c r="D1095" i="10"/>
  <c r="F1095" i="10" s="1"/>
  <c r="G1095" i="10" s="1"/>
  <c r="V1095" i="10" s="1"/>
  <c r="Y1097" i="10"/>
  <c r="BB1097" i="10"/>
  <c r="BC1097" i="10" s="1"/>
  <c r="AS1097" i="10"/>
  <c r="A1098" i="10"/>
  <c r="B1097" i="10"/>
  <c r="AU1086" i="10"/>
  <c r="S237" i="10"/>
  <c r="AB237" i="10"/>
  <c r="AV236" i="10" s="1"/>
  <c r="AM237" i="10"/>
  <c r="AC237" i="10"/>
  <c r="O1088" i="10" l="1"/>
  <c r="P1088" i="10" s="1"/>
  <c r="J1089" i="10" s="1"/>
  <c r="L1089" i="10" s="1"/>
  <c r="N1089" i="10" s="1"/>
  <c r="AT1088" i="10"/>
  <c r="AE1088" i="10"/>
  <c r="AF1088" i="10"/>
  <c r="AU1087" i="10"/>
  <c r="BA236" i="10"/>
  <c r="M1097" i="10"/>
  <c r="C1097" i="10"/>
  <c r="I1097" i="10" s="1"/>
  <c r="K1097" i="10"/>
  <c r="E1097" i="10"/>
  <c r="R1096" i="10"/>
  <c r="AD237" i="10"/>
  <c r="T237" i="10"/>
  <c r="AQ237" i="10" s="1"/>
  <c r="U237" i="10"/>
  <c r="W237" i="10" s="1"/>
  <c r="AP237" i="10" s="1"/>
  <c r="A1099" i="10"/>
  <c r="AS1098" i="10"/>
  <c r="BB1098" i="10"/>
  <c r="BC1098" i="10" s="1"/>
  <c r="Y1098" i="10"/>
  <c r="B1098" i="10"/>
  <c r="H1096" i="10"/>
  <c r="D1096" i="10"/>
  <c r="F1096" i="10" s="1"/>
  <c r="G1096" i="10" s="1"/>
  <c r="V1096" i="10" s="1"/>
  <c r="AO236" i="10"/>
  <c r="AY236" i="10" s="1"/>
  <c r="AH236" i="10"/>
  <c r="AL236" i="10"/>
  <c r="X237" i="10" l="1"/>
  <c r="Z237" i="10"/>
  <c r="AR237" i="10" s="1"/>
  <c r="H1097" i="10"/>
  <c r="D1097" i="10"/>
  <c r="F1097" i="10" s="1"/>
  <c r="G1097" i="10" s="1"/>
  <c r="V1097" i="10" s="1"/>
  <c r="M1098" i="10"/>
  <c r="C1098" i="10"/>
  <c r="I1098" i="10" s="1"/>
  <c r="K1098" i="10"/>
  <c r="E1098" i="10"/>
  <c r="AU1088" i="10"/>
  <c r="O1089" i="10"/>
  <c r="P1089" i="10" s="1"/>
  <c r="J1090" i="10" s="1"/>
  <c r="L1090" i="10" s="1"/>
  <c r="N1090" i="10" s="1"/>
  <c r="AE1089" i="10"/>
  <c r="AT1089" i="10"/>
  <c r="AF1089" i="10"/>
  <c r="AN236" i="10"/>
  <c r="AW236" i="10" s="1"/>
  <c r="A1100" i="10"/>
  <c r="AS1099" i="10"/>
  <c r="Y1099" i="10"/>
  <c r="BB1099" i="10"/>
  <c r="BC1099" i="10" s="1"/>
  <c r="B1099" i="10"/>
  <c r="R1097" i="10"/>
  <c r="O1090" i="10" l="1"/>
  <c r="P1090" i="10"/>
  <c r="J1091" i="10" s="1"/>
  <c r="L1091" i="10" s="1"/>
  <c r="N1091" i="10" s="1"/>
  <c r="AE1090" i="10"/>
  <c r="AT1090" i="10"/>
  <c r="AF1090" i="10"/>
  <c r="A1101" i="10"/>
  <c r="BB1100" i="10"/>
  <c r="BC1100" i="10" s="1"/>
  <c r="AS1100" i="10"/>
  <c r="Y1100" i="10"/>
  <c r="B1100" i="10"/>
  <c r="BD236" i="10"/>
  <c r="AZ236" i="10"/>
  <c r="M1099" i="10"/>
  <c r="C1099" i="10"/>
  <c r="I1099" i="10" s="1"/>
  <c r="K1099" i="10"/>
  <c r="E1099" i="10"/>
  <c r="AU1089" i="10"/>
  <c r="R1098" i="10"/>
  <c r="Q238" i="10"/>
  <c r="AA237" i="10"/>
  <c r="H1098" i="10"/>
  <c r="D1098" i="10"/>
  <c r="F1098" i="10" s="1"/>
  <c r="G1098" i="10" s="1"/>
  <c r="V1098" i="10" s="1"/>
  <c r="O1091" i="10" l="1"/>
  <c r="P1091" i="10"/>
  <c r="J1092" i="10" s="1"/>
  <c r="L1092" i="10" s="1"/>
  <c r="N1092" i="10" s="1"/>
  <c r="AT1091" i="10"/>
  <c r="AE1091" i="10"/>
  <c r="AF1091" i="10"/>
  <c r="A1102" i="10"/>
  <c r="BB1101" i="10"/>
  <c r="BC1101" i="10" s="1"/>
  <c r="AS1101" i="10"/>
  <c r="Y1101" i="10"/>
  <c r="B1101" i="10"/>
  <c r="R1099" i="10"/>
  <c r="AU1090" i="10"/>
  <c r="AI237" i="10"/>
  <c r="AJ237" i="10"/>
  <c r="AG237" i="10"/>
  <c r="AK237" i="10"/>
  <c r="AX237" i="10" s="1"/>
  <c r="S238" i="10"/>
  <c r="AC238" i="10"/>
  <c r="AM238" i="10"/>
  <c r="AB238" i="10"/>
  <c r="AV237" i="10" s="1"/>
  <c r="C1100" i="10"/>
  <c r="I1100" i="10" s="1"/>
  <c r="K1100" i="10"/>
  <c r="M1100" i="10"/>
  <c r="E1100" i="10"/>
  <c r="H1099" i="10"/>
  <c r="D1099" i="10"/>
  <c r="F1099" i="10" s="1"/>
  <c r="G1099" i="10" s="1"/>
  <c r="V1099" i="10" s="1"/>
  <c r="AL237" i="10" l="1"/>
  <c r="AH237" i="10"/>
  <c r="AO237" i="10"/>
  <c r="AY237" i="10" s="1"/>
  <c r="BB1102" i="10"/>
  <c r="BC1102" i="10" s="1"/>
  <c r="A1103" i="10"/>
  <c r="AS1102" i="10"/>
  <c r="Y1102" i="10"/>
  <c r="B1102" i="10"/>
  <c r="H1100" i="10"/>
  <c r="D1100" i="10"/>
  <c r="F1100" i="10" s="1"/>
  <c r="G1100" i="10" s="1"/>
  <c r="V1100" i="10" s="1"/>
  <c r="AU1091" i="10"/>
  <c r="K1101" i="10"/>
  <c r="M1101" i="10"/>
  <c r="C1101" i="10"/>
  <c r="I1101" i="10" s="1"/>
  <c r="E1101" i="10"/>
  <c r="BA237" i="10"/>
  <c r="O1092" i="10"/>
  <c r="P1092" i="10" s="1"/>
  <c r="J1093" i="10" s="1"/>
  <c r="L1093" i="10" s="1"/>
  <c r="N1093" i="10" s="1"/>
  <c r="AT1092" i="10"/>
  <c r="AE1092" i="10"/>
  <c r="AF1092" i="10"/>
  <c r="T238" i="10"/>
  <c r="AQ238" i="10" s="1"/>
  <c r="AD238" i="10"/>
  <c r="U238" i="10"/>
  <c r="W238" i="10" s="1"/>
  <c r="AP238" i="10" s="1"/>
  <c r="R1100" i="10"/>
  <c r="AN237" i="10" l="1"/>
  <c r="AW237" i="10" s="1"/>
  <c r="O1093" i="10"/>
  <c r="P1093" i="10" s="1"/>
  <c r="J1094" i="10" s="1"/>
  <c r="L1094" i="10" s="1"/>
  <c r="N1094" i="10" s="1"/>
  <c r="AT1093" i="10"/>
  <c r="AE1093" i="10"/>
  <c r="AF1093" i="10"/>
  <c r="K1102" i="10"/>
  <c r="M1102" i="10"/>
  <c r="C1102" i="10"/>
  <c r="I1102" i="10" s="1"/>
  <c r="E1102" i="10"/>
  <c r="X238" i="10"/>
  <c r="BB1103" i="10"/>
  <c r="BC1103" i="10" s="1"/>
  <c r="A1104" i="10"/>
  <c r="AS1103" i="10"/>
  <c r="Y1103" i="10"/>
  <c r="B1103" i="10"/>
  <c r="AU1092" i="10"/>
  <c r="R1101" i="10"/>
  <c r="BD237" i="10"/>
  <c r="AZ237" i="10"/>
  <c r="H1101" i="10"/>
  <c r="D1101" i="10"/>
  <c r="F1101" i="10" s="1"/>
  <c r="G1101" i="10" s="1"/>
  <c r="V1101" i="10" s="1"/>
  <c r="O1094" i="10" l="1"/>
  <c r="P1094" i="10"/>
  <c r="J1095" i="10" s="1"/>
  <c r="L1095" i="10" s="1"/>
  <c r="N1095" i="10" s="1"/>
  <c r="AE1094" i="10"/>
  <c r="AT1094" i="10"/>
  <c r="AF1094" i="10"/>
  <c r="M1103" i="10"/>
  <c r="C1103" i="10"/>
  <c r="I1103" i="10" s="1"/>
  <c r="K1103" i="10"/>
  <c r="E1103" i="10"/>
  <c r="R1102" i="10"/>
  <c r="AU1093" i="10"/>
  <c r="H1102" i="10"/>
  <c r="D1102" i="10"/>
  <c r="F1102" i="10" s="1"/>
  <c r="G1102" i="10" s="1"/>
  <c r="V1102" i="10" s="1"/>
  <c r="BB1104" i="10"/>
  <c r="BC1104" i="10" s="1"/>
  <c r="A1105" i="10"/>
  <c r="AS1104" i="10"/>
  <c r="Y1104" i="10"/>
  <c r="B1104" i="10"/>
  <c r="Z238" i="10"/>
  <c r="AR238" i="10" s="1"/>
  <c r="O1095" i="10" l="1"/>
  <c r="P1095" i="10"/>
  <c r="J1096" i="10" s="1"/>
  <c r="L1096" i="10" s="1"/>
  <c r="N1096" i="10" s="1"/>
  <c r="AE1095" i="10"/>
  <c r="AT1095" i="10"/>
  <c r="AF1095" i="10"/>
  <c r="BB1105" i="10"/>
  <c r="BC1105" i="10" s="1"/>
  <c r="Y1105" i="10"/>
  <c r="AS1105" i="10"/>
  <c r="A1106" i="10"/>
  <c r="B1105" i="10"/>
  <c r="Q239" i="10"/>
  <c r="AA238" i="10"/>
  <c r="AU1094" i="10"/>
  <c r="R1103" i="10"/>
  <c r="M1104" i="10"/>
  <c r="C1104" i="10"/>
  <c r="I1104" i="10" s="1"/>
  <c r="K1104" i="10"/>
  <c r="E1104" i="10"/>
  <c r="H1103" i="10"/>
  <c r="D1103" i="10"/>
  <c r="F1103" i="10" s="1"/>
  <c r="G1103" i="10" s="1"/>
  <c r="V1103" i="10" s="1"/>
  <c r="O1096" i="10" l="1"/>
  <c r="P1096" i="10"/>
  <c r="J1097" i="10" s="1"/>
  <c r="L1097" i="10" s="1"/>
  <c r="N1097" i="10" s="1"/>
  <c r="AE1096" i="10"/>
  <c r="AT1096" i="10"/>
  <c r="AF1096" i="10"/>
  <c r="AI238" i="10"/>
  <c r="AJ238" i="10"/>
  <c r="AG238" i="10"/>
  <c r="AK238" i="10"/>
  <c r="AX238" i="10" s="1"/>
  <c r="S239" i="10"/>
  <c r="AB239" i="10"/>
  <c r="AV238" i="10" s="1"/>
  <c r="AC239" i="10"/>
  <c r="AM239" i="10"/>
  <c r="M1105" i="10"/>
  <c r="C1105" i="10"/>
  <c r="I1105" i="10" s="1"/>
  <c r="K1105" i="10"/>
  <c r="E1105" i="10"/>
  <c r="BB1106" i="10"/>
  <c r="BC1106" i="10" s="1"/>
  <c r="AS1106" i="10"/>
  <c r="Y1106" i="10"/>
  <c r="A1107" i="10"/>
  <c r="B1106" i="10"/>
  <c r="AU1095" i="10"/>
  <c r="R1104" i="10"/>
  <c r="H1104" i="10"/>
  <c r="D1104" i="10"/>
  <c r="F1104" i="10" s="1"/>
  <c r="G1104" i="10" s="1"/>
  <c r="V1104" i="10" s="1"/>
  <c r="T239" i="10" l="1"/>
  <c r="AQ239" i="10" s="1"/>
  <c r="AD239" i="10"/>
  <c r="U239" i="10"/>
  <c r="W239" i="10" s="1"/>
  <c r="AP239" i="10" s="1"/>
  <c r="H1105" i="10"/>
  <c r="D1105" i="10"/>
  <c r="F1105" i="10" s="1"/>
  <c r="G1105" i="10" s="1"/>
  <c r="V1105" i="10" s="1"/>
  <c r="AU1096" i="10"/>
  <c r="K1106" i="10"/>
  <c r="C1106" i="10"/>
  <c r="I1106" i="10" s="1"/>
  <c r="M1106" i="10"/>
  <c r="E1106" i="10"/>
  <c r="AH238" i="10"/>
  <c r="AO238" i="10"/>
  <c r="AY238" i="10" s="1"/>
  <c r="O1097" i="10"/>
  <c r="P1097" i="10"/>
  <c r="J1098" i="10" s="1"/>
  <c r="L1098" i="10" s="1"/>
  <c r="N1098" i="10" s="1"/>
  <c r="AE1097" i="10"/>
  <c r="AT1097" i="10"/>
  <c r="AF1097" i="10"/>
  <c r="Y1107" i="10"/>
  <c r="AS1107" i="10"/>
  <c r="A1108" i="10"/>
  <c r="BB1107" i="10"/>
  <c r="BC1107" i="10" s="1"/>
  <c r="B1107" i="10"/>
  <c r="AL238" i="10"/>
  <c r="BA238" i="10"/>
  <c r="R1105" i="10"/>
  <c r="AN238" i="10" l="1"/>
  <c r="AW238" i="10" s="1"/>
  <c r="BD238" i="10" s="1"/>
  <c r="AZ238" i="10"/>
  <c r="M1107" i="10"/>
  <c r="C1107" i="10"/>
  <c r="I1107" i="10" s="1"/>
  <c r="K1107" i="10"/>
  <c r="E1107" i="10"/>
  <c r="R1106" i="10"/>
  <c r="AU1097" i="10"/>
  <c r="Y1108" i="10"/>
  <c r="AS1108" i="10"/>
  <c r="A1109" i="10"/>
  <c r="BB1108" i="10"/>
  <c r="BC1108" i="10" s="1"/>
  <c r="B1108" i="10"/>
  <c r="O1098" i="10"/>
  <c r="P1098" i="10" s="1"/>
  <c r="J1099" i="10" s="1"/>
  <c r="L1099" i="10" s="1"/>
  <c r="N1099" i="10" s="1"/>
  <c r="AE1098" i="10"/>
  <c r="AT1098" i="10"/>
  <c r="AF1098" i="10"/>
  <c r="H1106" i="10"/>
  <c r="D1106" i="10"/>
  <c r="F1106" i="10" s="1"/>
  <c r="G1106" i="10" s="1"/>
  <c r="V1106" i="10" s="1"/>
  <c r="X239" i="10"/>
  <c r="O1099" i="10" l="1"/>
  <c r="P1099" i="10"/>
  <c r="J1100" i="10" s="1"/>
  <c r="L1100" i="10" s="1"/>
  <c r="N1100" i="10" s="1"/>
  <c r="AE1099" i="10"/>
  <c r="AT1099" i="10"/>
  <c r="AF1099" i="10"/>
  <c r="AU1098" i="10"/>
  <c r="R1107" i="10"/>
  <c r="H1107" i="10"/>
  <c r="D1107" i="10"/>
  <c r="F1107" i="10" s="1"/>
  <c r="G1107" i="10" s="1"/>
  <c r="V1107" i="10" s="1"/>
  <c r="M1108" i="10"/>
  <c r="C1108" i="10"/>
  <c r="I1108" i="10" s="1"/>
  <c r="K1108" i="10"/>
  <c r="E1108" i="10"/>
  <c r="A1110" i="10"/>
  <c r="Y1109" i="10"/>
  <c r="BB1109" i="10"/>
  <c r="BC1109" i="10" s="1"/>
  <c r="AS1109" i="10"/>
  <c r="B1109" i="10"/>
  <c r="Z239" i="10"/>
  <c r="AR239" i="10" s="1"/>
  <c r="O1100" i="10" l="1"/>
  <c r="P1100" i="10"/>
  <c r="J1101" i="10" s="1"/>
  <c r="L1101" i="10" s="1"/>
  <c r="N1101" i="10" s="1"/>
  <c r="AT1100" i="10"/>
  <c r="AE1100" i="10"/>
  <c r="AF1100" i="10"/>
  <c r="BB1110" i="10"/>
  <c r="BC1110" i="10" s="1"/>
  <c r="AS1110" i="10"/>
  <c r="Y1110" i="10"/>
  <c r="A1111" i="10"/>
  <c r="B1110" i="10"/>
  <c r="Q240" i="10"/>
  <c r="R1108" i="10"/>
  <c r="AA239" i="10"/>
  <c r="H1108" i="10"/>
  <c r="D1108" i="10"/>
  <c r="F1108" i="10" s="1"/>
  <c r="G1108" i="10" s="1"/>
  <c r="V1108" i="10" s="1"/>
  <c r="AU1099" i="10"/>
  <c r="M1109" i="10"/>
  <c r="C1109" i="10"/>
  <c r="I1109" i="10" s="1"/>
  <c r="K1109" i="10"/>
  <c r="E1109" i="10"/>
  <c r="O1101" i="10" l="1"/>
  <c r="P1101" i="10"/>
  <c r="J1102" i="10" s="1"/>
  <c r="L1102" i="10" s="1"/>
  <c r="N1102" i="10" s="1"/>
  <c r="AT1101" i="10"/>
  <c r="AE1101" i="10"/>
  <c r="AF1101" i="10"/>
  <c r="S240" i="10"/>
  <c r="AC240" i="10"/>
  <c r="AB240" i="10"/>
  <c r="AV239" i="10" s="1"/>
  <c r="AM240" i="10"/>
  <c r="M1110" i="10"/>
  <c r="C1110" i="10"/>
  <c r="I1110" i="10" s="1"/>
  <c r="K1110" i="10"/>
  <c r="E1110" i="10"/>
  <c r="AU1100" i="10"/>
  <c r="R1109" i="10"/>
  <c r="BB1111" i="10"/>
  <c r="BC1111" i="10" s="1"/>
  <c r="AS1111" i="10"/>
  <c r="Y1111" i="10"/>
  <c r="A1112" i="10"/>
  <c r="B1111" i="10"/>
  <c r="H1109" i="10"/>
  <c r="D1109" i="10"/>
  <c r="F1109" i="10" s="1"/>
  <c r="G1109" i="10" s="1"/>
  <c r="V1109" i="10" s="1"/>
  <c r="AI239" i="10"/>
  <c r="AJ239" i="10"/>
  <c r="AG239" i="10"/>
  <c r="AK239" i="10"/>
  <c r="AX239" i="10" s="1"/>
  <c r="O1102" i="10" l="1"/>
  <c r="P1102" i="10"/>
  <c r="J1103" i="10"/>
  <c r="L1103" i="10" s="1"/>
  <c r="N1103" i="10" s="1"/>
  <c r="AE1102" i="10"/>
  <c r="AT1102" i="10"/>
  <c r="AF1102" i="10"/>
  <c r="H1110" i="10"/>
  <c r="D1110" i="10"/>
  <c r="F1110" i="10" s="1"/>
  <c r="G1110" i="10" s="1"/>
  <c r="V1110" i="10" s="1"/>
  <c r="AU1101" i="10"/>
  <c r="AH239" i="10"/>
  <c r="AO239" i="10"/>
  <c r="AY239" i="10" s="1"/>
  <c r="K1111" i="10"/>
  <c r="C1111" i="10"/>
  <c r="I1111" i="10" s="1"/>
  <c r="M1111" i="10"/>
  <c r="E1111" i="10"/>
  <c r="AL239" i="10"/>
  <c r="A1113" i="10"/>
  <c r="AS1112" i="10"/>
  <c r="Y1112" i="10"/>
  <c r="BB1112" i="10"/>
  <c r="BC1112" i="10" s="1"/>
  <c r="B1112" i="10"/>
  <c r="BA239" i="10"/>
  <c r="R1110" i="10"/>
  <c r="AD240" i="10"/>
  <c r="T240" i="10"/>
  <c r="AQ240" i="10" s="1"/>
  <c r="U240" i="10"/>
  <c r="W240" i="10" s="1"/>
  <c r="AP240" i="10" s="1"/>
  <c r="R1111" i="10" l="1"/>
  <c r="M1112" i="10"/>
  <c r="C1112" i="10"/>
  <c r="I1112" i="10" s="1"/>
  <c r="K1112" i="10"/>
  <c r="E1112" i="10"/>
  <c r="H1111" i="10"/>
  <c r="D1111" i="10"/>
  <c r="F1111" i="10" s="1"/>
  <c r="G1111" i="10" s="1"/>
  <c r="V1111" i="10" s="1"/>
  <c r="AU1102" i="10"/>
  <c r="O1103" i="10"/>
  <c r="P1103" i="10" s="1"/>
  <c r="J1104" i="10" s="1"/>
  <c r="L1104" i="10" s="1"/>
  <c r="N1104" i="10" s="1"/>
  <c r="AE1103" i="10"/>
  <c r="AT1103" i="10"/>
  <c r="AF1103" i="10"/>
  <c r="X240" i="10"/>
  <c r="AN239" i="10"/>
  <c r="AW239" i="10" s="1"/>
  <c r="BB1113" i="10"/>
  <c r="BC1113" i="10" s="1"/>
  <c r="Y1113" i="10"/>
  <c r="A1114" i="10"/>
  <c r="AS1113" i="10"/>
  <c r="B1113" i="10"/>
  <c r="Z240" i="10" l="1"/>
  <c r="AR240" i="10" s="1"/>
  <c r="H1112" i="10"/>
  <c r="D1112" i="10"/>
  <c r="F1112" i="10" s="1"/>
  <c r="G1112" i="10" s="1"/>
  <c r="V1112" i="10" s="1"/>
  <c r="BB1114" i="10"/>
  <c r="BC1114" i="10" s="1"/>
  <c r="AS1114" i="10"/>
  <c r="A1115" i="10"/>
  <c r="Y1114" i="10"/>
  <c r="B1114" i="10"/>
  <c r="AU1103" i="10"/>
  <c r="O1104" i="10"/>
  <c r="P1104" i="10"/>
  <c r="J1105" i="10"/>
  <c r="L1105" i="10" s="1"/>
  <c r="N1105" i="10" s="1"/>
  <c r="AE1104" i="10"/>
  <c r="AT1104" i="10"/>
  <c r="AF1104" i="10"/>
  <c r="AZ239" i="10"/>
  <c r="BD239" i="10"/>
  <c r="R1112" i="10"/>
  <c r="M1113" i="10"/>
  <c r="C1113" i="10"/>
  <c r="I1113" i="10" s="1"/>
  <c r="K1113" i="10"/>
  <c r="E1113" i="10"/>
  <c r="H1113" i="10" l="1"/>
  <c r="D1113" i="10"/>
  <c r="F1113" i="10" s="1"/>
  <c r="G1113" i="10" s="1"/>
  <c r="V1113" i="10" s="1"/>
  <c r="AU1104" i="10"/>
  <c r="O1105" i="10"/>
  <c r="P1105" i="10"/>
  <c r="J1106" i="10" s="1"/>
  <c r="L1106" i="10" s="1"/>
  <c r="N1106" i="10" s="1"/>
  <c r="AE1105" i="10"/>
  <c r="AT1105" i="10"/>
  <c r="AF1105" i="10"/>
  <c r="M1114" i="10"/>
  <c r="C1114" i="10"/>
  <c r="I1114" i="10" s="1"/>
  <c r="K1114" i="10"/>
  <c r="E1114" i="10"/>
  <c r="Q241" i="10"/>
  <c r="AA240" i="10"/>
  <c r="R1113" i="10"/>
  <c r="BB1115" i="10"/>
  <c r="BC1115" i="10" s="1"/>
  <c r="A1116" i="10"/>
  <c r="AS1115" i="10"/>
  <c r="Y1115" i="10"/>
  <c r="B1115" i="10"/>
  <c r="O1106" i="10" l="1"/>
  <c r="P1106" i="10" s="1"/>
  <c r="J1107" i="10" s="1"/>
  <c r="L1107" i="10" s="1"/>
  <c r="N1107" i="10" s="1"/>
  <c r="AE1106" i="10"/>
  <c r="AT1106" i="10"/>
  <c r="AF1106" i="10"/>
  <c r="A1117" i="10"/>
  <c r="BB1116" i="10"/>
  <c r="BC1116" i="10" s="1"/>
  <c r="Y1116" i="10"/>
  <c r="AS1116" i="10"/>
  <c r="B1116" i="10"/>
  <c r="S241" i="10"/>
  <c r="AM241" i="10"/>
  <c r="AC241" i="10"/>
  <c r="AB241" i="10"/>
  <c r="AV240" i="10" s="1"/>
  <c r="R1114" i="10"/>
  <c r="AU1105" i="10"/>
  <c r="H1114" i="10"/>
  <c r="D1114" i="10"/>
  <c r="F1114" i="10" s="1"/>
  <c r="G1114" i="10" s="1"/>
  <c r="V1114" i="10" s="1"/>
  <c r="C1115" i="10"/>
  <c r="I1115" i="10" s="1"/>
  <c r="M1115" i="10"/>
  <c r="K1115" i="10"/>
  <c r="E1115" i="10"/>
  <c r="AI240" i="10"/>
  <c r="AJ240" i="10"/>
  <c r="AG240" i="10"/>
  <c r="AK240" i="10"/>
  <c r="AX240" i="10" s="1"/>
  <c r="O1107" i="10" l="1"/>
  <c r="P1107" i="10" s="1"/>
  <c r="J1108" i="10" s="1"/>
  <c r="L1108" i="10" s="1"/>
  <c r="N1108" i="10" s="1"/>
  <c r="AT1107" i="10"/>
  <c r="AE1107" i="10"/>
  <c r="AF1107" i="10"/>
  <c r="H1115" i="10"/>
  <c r="D1115" i="10"/>
  <c r="F1115" i="10" s="1"/>
  <c r="G1115" i="10" s="1"/>
  <c r="V1115" i="10" s="1"/>
  <c r="AD241" i="10"/>
  <c r="T241" i="10"/>
  <c r="AQ241" i="10" s="1"/>
  <c r="U241" i="10"/>
  <c r="W241" i="10" s="1"/>
  <c r="AP241" i="10" s="1"/>
  <c r="K1116" i="10"/>
  <c r="M1116" i="10"/>
  <c r="C1116" i="10"/>
  <c r="I1116" i="10" s="1"/>
  <c r="E1116" i="10"/>
  <c r="AO240" i="10"/>
  <c r="AY240" i="10" s="1"/>
  <c r="AH240" i="10"/>
  <c r="AU1106" i="10"/>
  <c r="AL240" i="10"/>
  <c r="R1115" i="10"/>
  <c r="AS1117" i="10"/>
  <c r="BB1117" i="10"/>
  <c r="BC1117" i="10" s="1"/>
  <c r="A1118" i="10"/>
  <c r="Y1117" i="10"/>
  <c r="B1117" i="10"/>
  <c r="BA240" i="10"/>
  <c r="AN240" i="10" l="1"/>
  <c r="AW240" i="10" s="1"/>
  <c r="BD240" i="10" s="1"/>
  <c r="O1108" i="10"/>
  <c r="P1108" i="10" s="1"/>
  <c r="J1109" i="10" s="1"/>
  <c r="L1109" i="10" s="1"/>
  <c r="N1109" i="10" s="1"/>
  <c r="AT1108" i="10"/>
  <c r="AE1108" i="10"/>
  <c r="AF1108" i="10"/>
  <c r="AU1107" i="10"/>
  <c r="X241" i="10"/>
  <c r="M1117" i="10"/>
  <c r="K1117" i="10"/>
  <c r="C1117" i="10"/>
  <c r="I1117" i="10" s="1"/>
  <c r="E1117" i="10"/>
  <c r="R1116" i="10"/>
  <c r="H1116" i="10"/>
  <c r="D1116" i="10"/>
  <c r="F1116" i="10" s="1"/>
  <c r="G1116" i="10" s="1"/>
  <c r="V1116" i="10" s="1"/>
  <c r="A1119" i="10"/>
  <c r="AS1118" i="10"/>
  <c r="Y1118" i="10"/>
  <c r="BB1118" i="10"/>
  <c r="BC1118" i="10" s="1"/>
  <c r="B1118" i="10"/>
  <c r="AZ240" i="10" l="1"/>
  <c r="O1109" i="10"/>
  <c r="P1109" i="10" s="1"/>
  <c r="J1110" i="10" s="1"/>
  <c r="L1110" i="10" s="1"/>
  <c r="N1110" i="10" s="1"/>
  <c r="AE1109" i="10"/>
  <c r="AT1109" i="10"/>
  <c r="AF1109" i="10"/>
  <c r="Z241" i="10"/>
  <c r="AR241" i="10" s="1"/>
  <c r="AU1108" i="10"/>
  <c r="BB1119" i="10"/>
  <c r="BC1119" i="10" s="1"/>
  <c r="Y1119" i="10"/>
  <c r="A1120" i="10"/>
  <c r="AS1119" i="10"/>
  <c r="B1119" i="10"/>
  <c r="R1117" i="10"/>
  <c r="H1117" i="10"/>
  <c r="D1117" i="10"/>
  <c r="F1117" i="10" s="1"/>
  <c r="G1117" i="10" s="1"/>
  <c r="V1117" i="10" s="1"/>
  <c r="M1118" i="10"/>
  <c r="C1118" i="10"/>
  <c r="I1118" i="10" s="1"/>
  <c r="K1118" i="10"/>
  <c r="E1118" i="10"/>
  <c r="O1110" i="10" l="1"/>
  <c r="P1110" i="10" s="1"/>
  <c r="J1111" i="10" s="1"/>
  <c r="L1111" i="10" s="1"/>
  <c r="N1111" i="10" s="1"/>
  <c r="AT1110" i="10"/>
  <c r="AE1110" i="10"/>
  <c r="AF1110" i="10"/>
  <c r="R1118" i="10"/>
  <c r="H1118" i="10"/>
  <c r="D1118" i="10"/>
  <c r="F1118" i="10" s="1"/>
  <c r="G1118" i="10" s="1"/>
  <c r="V1118" i="10" s="1"/>
  <c r="AU1109" i="10"/>
  <c r="K1119" i="10"/>
  <c r="C1119" i="10"/>
  <c r="I1119" i="10" s="1"/>
  <c r="M1119" i="10"/>
  <c r="E1119" i="10"/>
  <c r="Q242" i="10"/>
  <c r="BB1120" i="10"/>
  <c r="BC1120" i="10" s="1"/>
  <c r="Y1120" i="10"/>
  <c r="A1121" i="10"/>
  <c r="AS1120" i="10"/>
  <c r="B1120" i="10"/>
  <c r="AA241" i="10"/>
  <c r="O1111" i="10" l="1"/>
  <c r="P1111" i="10" s="1"/>
  <c r="J1112" i="10" s="1"/>
  <c r="L1112" i="10" s="1"/>
  <c r="N1112" i="10" s="1"/>
  <c r="AE1111" i="10"/>
  <c r="AT1111" i="10"/>
  <c r="AF1111" i="10"/>
  <c r="AI241" i="10"/>
  <c r="AJ241" i="10"/>
  <c r="AG241" i="10"/>
  <c r="AK241" i="10"/>
  <c r="AX241" i="10" s="1"/>
  <c r="C1120" i="10"/>
  <c r="I1120" i="10" s="1"/>
  <c r="M1120" i="10"/>
  <c r="K1120" i="10"/>
  <c r="E1120" i="10"/>
  <c r="AU1110" i="10"/>
  <c r="R1119" i="10"/>
  <c r="AS1121" i="10"/>
  <c r="Y1121" i="10"/>
  <c r="A1122" i="10"/>
  <c r="BB1121" i="10"/>
  <c r="BC1121" i="10" s="1"/>
  <c r="B1121" i="10"/>
  <c r="H1119" i="10"/>
  <c r="D1119" i="10"/>
  <c r="F1119" i="10" s="1"/>
  <c r="G1119" i="10" s="1"/>
  <c r="V1119" i="10" s="1"/>
  <c r="S242" i="10"/>
  <c r="AM242" i="10"/>
  <c r="AC242" i="10"/>
  <c r="AB242" i="10"/>
  <c r="AV241" i="10" s="1"/>
  <c r="BA241" i="10" l="1"/>
  <c r="O1112" i="10"/>
  <c r="P1112" i="10" s="1"/>
  <c r="J1113" i="10" s="1"/>
  <c r="L1113" i="10" s="1"/>
  <c r="N1113" i="10" s="1"/>
  <c r="AE1112" i="10"/>
  <c r="AT1112" i="10"/>
  <c r="AF1112" i="10"/>
  <c r="R1120" i="10"/>
  <c r="H1120" i="10"/>
  <c r="D1120" i="10"/>
  <c r="F1120" i="10" s="1"/>
  <c r="G1120" i="10" s="1"/>
  <c r="V1120" i="10" s="1"/>
  <c r="AU1111" i="10"/>
  <c r="M1121" i="10"/>
  <c r="K1121" i="10"/>
  <c r="C1121" i="10"/>
  <c r="I1121" i="10" s="1"/>
  <c r="E1121" i="10"/>
  <c r="AO241" i="10"/>
  <c r="AY241" i="10" s="1"/>
  <c r="AH241" i="10"/>
  <c r="AD242" i="10"/>
  <c r="T242" i="10"/>
  <c r="AQ242" i="10" s="1"/>
  <c r="U242" i="10"/>
  <c r="W242" i="10" s="1"/>
  <c r="AP242" i="10" s="1"/>
  <c r="AL241" i="10"/>
  <c r="A1123" i="10"/>
  <c r="AS1122" i="10"/>
  <c r="Y1122" i="10"/>
  <c r="BB1122" i="10"/>
  <c r="BC1122" i="10" s="1"/>
  <c r="B1122" i="10"/>
  <c r="O1113" i="10" l="1"/>
  <c r="P1113" i="10" s="1"/>
  <c r="J1114" i="10" s="1"/>
  <c r="L1114" i="10" s="1"/>
  <c r="N1114" i="10" s="1"/>
  <c r="AE1113" i="10"/>
  <c r="AT1113" i="10"/>
  <c r="AF1113" i="10"/>
  <c r="BB1123" i="10"/>
  <c r="BC1123" i="10" s="1"/>
  <c r="Y1123" i="10"/>
  <c r="A1124" i="10"/>
  <c r="AS1123" i="10"/>
  <c r="B1123" i="10"/>
  <c r="R1121" i="10"/>
  <c r="H1121" i="10"/>
  <c r="D1121" i="10"/>
  <c r="F1121" i="10" s="1"/>
  <c r="G1121" i="10" s="1"/>
  <c r="V1121" i="10" s="1"/>
  <c r="X242" i="10"/>
  <c r="AU1112" i="10"/>
  <c r="M1122" i="10"/>
  <c r="C1122" i="10"/>
  <c r="I1122" i="10" s="1"/>
  <c r="K1122" i="10"/>
  <c r="E1122" i="10"/>
  <c r="AN241" i="10"/>
  <c r="AW241" i="10" s="1"/>
  <c r="O1114" i="10" l="1"/>
  <c r="P1114" i="10" s="1"/>
  <c r="J1115" i="10" s="1"/>
  <c r="L1115" i="10" s="1"/>
  <c r="N1115" i="10" s="1"/>
  <c r="AE1114" i="10"/>
  <c r="AT1114" i="10"/>
  <c r="AF1114" i="10"/>
  <c r="AZ241" i="10"/>
  <c r="BD241" i="10"/>
  <c r="Z242" i="10"/>
  <c r="AR242" i="10" s="1"/>
  <c r="R1122" i="10"/>
  <c r="K1123" i="10"/>
  <c r="C1123" i="10"/>
  <c r="I1123" i="10" s="1"/>
  <c r="M1123" i="10"/>
  <c r="E1123" i="10"/>
  <c r="AU1113" i="10"/>
  <c r="H1122" i="10"/>
  <c r="D1122" i="10"/>
  <c r="F1122" i="10" s="1"/>
  <c r="G1122" i="10" s="1"/>
  <c r="V1122" i="10" s="1"/>
  <c r="AS1124" i="10"/>
  <c r="Y1124" i="10"/>
  <c r="A1125" i="10"/>
  <c r="BB1124" i="10"/>
  <c r="BC1124" i="10" s="1"/>
  <c r="B1124" i="10"/>
  <c r="O1115" i="10" l="1"/>
  <c r="P1115" i="10" s="1"/>
  <c r="J1116" i="10" s="1"/>
  <c r="L1116" i="10" s="1"/>
  <c r="N1116" i="10" s="1"/>
  <c r="AT1115" i="10"/>
  <c r="AE1115" i="10"/>
  <c r="AF1115" i="10"/>
  <c r="M1124" i="10"/>
  <c r="C1124" i="10"/>
  <c r="I1124" i="10" s="1"/>
  <c r="K1124" i="10"/>
  <c r="E1124" i="10"/>
  <c r="AS1125" i="10"/>
  <c r="Y1125" i="10"/>
  <c r="A1126" i="10"/>
  <c r="BB1125" i="10"/>
  <c r="BC1125" i="10" s="1"/>
  <c r="B1125" i="10"/>
  <c r="R1123" i="10"/>
  <c r="Q243" i="10"/>
  <c r="AU1114" i="10"/>
  <c r="AA242" i="10"/>
  <c r="H1123" i="10"/>
  <c r="D1123" i="10"/>
  <c r="F1123" i="10" s="1"/>
  <c r="G1123" i="10" s="1"/>
  <c r="V1123" i="10" s="1"/>
  <c r="O1116" i="10" l="1"/>
  <c r="P1116" i="10" s="1"/>
  <c r="J1117" i="10" s="1"/>
  <c r="L1117" i="10" s="1"/>
  <c r="N1117" i="10" s="1"/>
  <c r="AT1116" i="10"/>
  <c r="AE1116" i="10"/>
  <c r="AF1116" i="10"/>
  <c r="S243" i="10"/>
  <c r="AM243" i="10"/>
  <c r="AC243" i="10"/>
  <c r="AB243" i="10"/>
  <c r="AV242" i="10" s="1"/>
  <c r="BB1126" i="10"/>
  <c r="BC1126" i="10" s="1"/>
  <c r="AS1126" i="10"/>
  <c r="Y1126" i="10"/>
  <c r="A1127" i="10"/>
  <c r="B1126" i="10"/>
  <c r="AU1115" i="10"/>
  <c r="R1124" i="10"/>
  <c r="AI242" i="10"/>
  <c r="AJ242" i="10"/>
  <c r="AG242" i="10"/>
  <c r="AK242" i="10"/>
  <c r="AX242" i="10" s="1"/>
  <c r="H1124" i="10"/>
  <c r="D1124" i="10"/>
  <c r="F1124" i="10" s="1"/>
  <c r="G1124" i="10" s="1"/>
  <c r="V1124" i="10" s="1"/>
  <c r="K1125" i="10"/>
  <c r="M1125" i="10"/>
  <c r="C1125" i="10"/>
  <c r="I1125" i="10" s="1"/>
  <c r="E1125" i="10"/>
  <c r="O1117" i="10" l="1"/>
  <c r="P1117" i="10" s="1"/>
  <c r="J1118" i="10" s="1"/>
  <c r="L1118" i="10" s="1"/>
  <c r="N1118" i="10" s="1"/>
  <c r="AT1117" i="10"/>
  <c r="AE1117" i="10"/>
  <c r="AF1117" i="10"/>
  <c r="BB1127" i="10"/>
  <c r="BC1127" i="10" s="1"/>
  <c r="AS1127" i="10"/>
  <c r="A1128" i="10"/>
  <c r="Y1127" i="10"/>
  <c r="B1127" i="10"/>
  <c r="AU1116" i="10"/>
  <c r="R1125" i="10"/>
  <c r="AH242" i="10"/>
  <c r="AO242" i="10"/>
  <c r="AY242" i="10" s="1"/>
  <c r="H1125" i="10"/>
  <c r="D1125" i="10"/>
  <c r="F1125" i="10" s="1"/>
  <c r="G1125" i="10" s="1"/>
  <c r="V1125" i="10" s="1"/>
  <c r="AL242" i="10"/>
  <c r="BA242" i="10"/>
  <c r="M1126" i="10"/>
  <c r="C1126" i="10"/>
  <c r="I1126" i="10" s="1"/>
  <c r="K1126" i="10"/>
  <c r="E1126" i="10"/>
  <c r="AD243" i="10"/>
  <c r="T243" i="10"/>
  <c r="AQ243" i="10" s="1"/>
  <c r="U243" i="10"/>
  <c r="W243" i="10" s="1"/>
  <c r="AP243" i="10" s="1"/>
  <c r="AN242" i="10" l="1"/>
  <c r="AW242" i="10" s="1"/>
  <c r="O1118" i="10"/>
  <c r="P1118" i="10" s="1"/>
  <c r="J1119" i="10" s="1"/>
  <c r="L1119" i="10" s="1"/>
  <c r="N1119" i="10" s="1"/>
  <c r="AE1118" i="10"/>
  <c r="AT1118" i="10"/>
  <c r="AF1118" i="10"/>
  <c r="H1126" i="10"/>
  <c r="D1126" i="10"/>
  <c r="F1126" i="10" s="1"/>
  <c r="G1126" i="10" s="1"/>
  <c r="V1126" i="10" s="1"/>
  <c r="M1127" i="10"/>
  <c r="K1127" i="10"/>
  <c r="C1127" i="10"/>
  <c r="I1127" i="10" s="1"/>
  <c r="E1127" i="10"/>
  <c r="AU1117" i="10"/>
  <c r="BD242" i="10"/>
  <c r="AZ242" i="10"/>
  <c r="X243" i="10"/>
  <c r="A1129" i="10"/>
  <c r="AS1128" i="10"/>
  <c r="BB1128" i="10"/>
  <c r="BC1128" i="10" s="1"/>
  <c r="Y1128" i="10"/>
  <c r="B1128" i="10"/>
  <c r="R1126" i="10"/>
  <c r="O1119" i="10" l="1"/>
  <c r="P1119" i="10" s="1"/>
  <c r="J1120" i="10" s="1"/>
  <c r="L1120" i="10" s="1"/>
  <c r="N1120" i="10" s="1"/>
  <c r="AE1119" i="10"/>
  <c r="AT1119" i="10"/>
  <c r="AF1119" i="10"/>
  <c r="Z243" i="10"/>
  <c r="AR243" i="10" s="1"/>
  <c r="H1127" i="10"/>
  <c r="D1127" i="10"/>
  <c r="F1127" i="10" s="1"/>
  <c r="G1127" i="10" s="1"/>
  <c r="V1127" i="10" s="1"/>
  <c r="M1128" i="10"/>
  <c r="C1128" i="10"/>
  <c r="I1128" i="10" s="1"/>
  <c r="K1128" i="10"/>
  <c r="E1128" i="10"/>
  <c r="AU1118" i="10"/>
  <c r="A1130" i="10"/>
  <c r="BB1129" i="10"/>
  <c r="BC1129" i="10" s="1"/>
  <c r="AS1129" i="10"/>
  <c r="Y1129" i="10"/>
  <c r="B1129" i="10"/>
  <c r="R1127" i="10"/>
  <c r="O1120" i="10" l="1"/>
  <c r="P1120" i="10" s="1"/>
  <c r="J1121" i="10" s="1"/>
  <c r="L1121" i="10" s="1"/>
  <c r="N1121" i="10" s="1"/>
  <c r="AE1120" i="10"/>
  <c r="AT1120" i="10"/>
  <c r="AF1120" i="10"/>
  <c r="BB1130" i="10"/>
  <c r="BC1130" i="10" s="1"/>
  <c r="A1131" i="10"/>
  <c r="AS1130" i="10"/>
  <c r="Y1130" i="10"/>
  <c r="B1130" i="10"/>
  <c r="H1128" i="10"/>
  <c r="D1128" i="10"/>
  <c r="F1128" i="10" s="1"/>
  <c r="G1128" i="10" s="1"/>
  <c r="V1128" i="10" s="1"/>
  <c r="AU1119" i="10"/>
  <c r="K1129" i="10"/>
  <c r="M1129" i="10"/>
  <c r="C1129" i="10"/>
  <c r="I1129" i="10" s="1"/>
  <c r="E1129" i="10"/>
  <c r="Q244" i="10"/>
  <c r="R1128" i="10"/>
  <c r="AA243" i="10"/>
  <c r="O1121" i="10" l="1"/>
  <c r="P1121" i="10" s="1"/>
  <c r="J1122" i="10" s="1"/>
  <c r="L1122" i="10" s="1"/>
  <c r="N1122" i="10" s="1"/>
  <c r="AE1121" i="10"/>
  <c r="AT1121" i="10"/>
  <c r="AF1121" i="10"/>
  <c r="H1129" i="10"/>
  <c r="D1129" i="10"/>
  <c r="F1129" i="10" s="1"/>
  <c r="G1129" i="10" s="1"/>
  <c r="V1129" i="10" s="1"/>
  <c r="S244" i="10"/>
  <c r="AC244" i="10"/>
  <c r="AB244" i="10"/>
  <c r="AV243" i="10" s="1"/>
  <c r="AM244" i="10"/>
  <c r="M1130" i="10"/>
  <c r="K1130" i="10"/>
  <c r="C1130" i="10"/>
  <c r="I1130" i="10" s="1"/>
  <c r="E1130" i="10"/>
  <c r="AU1120" i="10"/>
  <c r="BB1131" i="10"/>
  <c r="BC1131" i="10" s="1"/>
  <c r="AS1131" i="10"/>
  <c r="A1132" i="10"/>
  <c r="Y1131" i="10"/>
  <c r="B1131" i="10"/>
  <c r="AI243" i="10"/>
  <c r="AJ243" i="10"/>
  <c r="AG243" i="10"/>
  <c r="AK243" i="10"/>
  <c r="AX243" i="10" s="1"/>
  <c r="R1129" i="10"/>
  <c r="AL243" i="10" l="1"/>
  <c r="O1122" i="10"/>
  <c r="P1122" i="10" s="1"/>
  <c r="J1123" i="10" s="1"/>
  <c r="L1123" i="10" s="1"/>
  <c r="N1123" i="10" s="1"/>
  <c r="AT1122" i="10"/>
  <c r="AE1122" i="10"/>
  <c r="AF1122" i="10"/>
  <c r="BA243" i="10"/>
  <c r="T244" i="10"/>
  <c r="AQ244" i="10" s="1"/>
  <c r="AD244" i="10"/>
  <c r="U244" i="10"/>
  <c r="W244" i="10" s="1"/>
  <c r="AP244" i="10" s="1"/>
  <c r="M1131" i="10"/>
  <c r="C1131" i="10"/>
  <c r="I1131" i="10" s="1"/>
  <c r="K1131" i="10"/>
  <c r="E1131" i="10"/>
  <c r="R1130" i="10"/>
  <c r="H1130" i="10"/>
  <c r="D1130" i="10"/>
  <c r="F1130" i="10" s="1"/>
  <c r="G1130" i="10" s="1"/>
  <c r="V1130" i="10" s="1"/>
  <c r="AU1121" i="10"/>
  <c r="BB1132" i="10"/>
  <c r="BC1132" i="10" s="1"/>
  <c r="AS1132" i="10"/>
  <c r="A1133" i="10"/>
  <c r="Y1132" i="10"/>
  <c r="B1132" i="10"/>
  <c r="AO243" i="10"/>
  <c r="AY243" i="10" s="1"/>
  <c r="AH243" i="10"/>
  <c r="AN243" i="10" l="1"/>
  <c r="AW243" i="10" s="1"/>
  <c r="O1123" i="10"/>
  <c r="P1123" i="10" s="1"/>
  <c r="J1124" i="10" s="1"/>
  <c r="L1124" i="10" s="1"/>
  <c r="N1124" i="10" s="1"/>
  <c r="AT1123" i="10"/>
  <c r="AE1123" i="10"/>
  <c r="AF1123" i="10"/>
  <c r="K1132" i="10"/>
  <c r="C1132" i="10"/>
  <c r="I1132" i="10" s="1"/>
  <c r="M1132" i="10"/>
  <c r="E1132" i="10"/>
  <c r="H1131" i="10"/>
  <c r="D1131" i="10"/>
  <c r="F1131" i="10" s="1"/>
  <c r="G1131" i="10" s="1"/>
  <c r="V1131" i="10" s="1"/>
  <c r="AU1122" i="10"/>
  <c r="BB1133" i="10"/>
  <c r="BC1133" i="10" s="1"/>
  <c r="Y1133" i="10"/>
  <c r="A1134" i="10"/>
  <c r="AS1133" i="10"/>
  <c r="B1133" i="10"/>
  <c r="BD243" i="10"/>
  <c r="AZ243" i="10"/>
  <c r="X244" i="10"/>
  <c r="R1131" i="10"/>
  <c r="O1124" i="10" l="1"/>
  <c r="P1124" i="10" s="1"/>
  <c r="J1125" i="10" s="1"/>
  <c r="L1125" i="10" s="1"/>
  <c r="N1125" i="10" s="1"/>
  <c r="AT1124" i="10"/>
  <c r="AE1124" i="10"/>
  <c r="AF1124" i="10"/>
  <c r="Y1134" i="10"/>
  <c r="A1135" i="10"/>
  <c r="AS1134" i="10"/>
  <c r="BB1134" i="10"/>
  <c r="BC1134" i="10" s="1"/>
  <c r="B1134" i="10"/>
  <c r="Z244" i="10"/>
  <c r="AR244" i="10" s="1"/>
  <c r="R1132" i="10"/>
  <c r="AU1123" i="10"/>
  <c r="H1132" i="10"/>
  <c r="D1132" i="10"/>
  <c r="F1132" i="10" s="1"/>
  <c r="G1132" i="10" s="1"/>
  <c r="V1132" i="10" s="1"/>
  <c r="M1133" i="10"/>
  <c r="C1133" i="10"/>
  <c r="I1133" i="10" s="1"/>
  <c r="K1133" i="10"/>
  <c r="E1133" i="10"/>
  <c r="Q245" i="10" l="1"/>
  <c r="AB245" i="10" s="1"/>
  <c r="AV244" i="10" s="1"/>
  <c r="AA244" i="10"/>
  <c r="AK244" i="10" s="1"/>
  <c r="AX244" i="10" s="1"/>
  <c r="O1125" i="10"/>
  <c r="P1125" i="10" s="1"/>
  <c r="J1126" i="10" s="1"/>
  <c r="L1126" i="10" s="1"/>
  <c r="N1126" i="10" s="1"/>
  <c r="AE1125" i="10"/>
  <c r="AT1125" i="10"/>
  <c r="AF1125" i="10"/>
  <c r="H1133" i="10"/>
  <c r="D1133" i="10"/>
  <c r="F1133" i="10" s="1"/>
  <c r="G1133" i="10" s="1"/>
  <c r="V1133" i="10" s="1"/>
  <c r="M1134" i="10"/>
  <c r="C1134" i="10"/>
  <c r="I1134" i="10" s="1"/>
  <c r="K1134" i="10"/>
  <c r="E1134" i="10"/>
  <c r="AU1124" i="10"/>
  <c r="BB1135" i="10"/>
  <c r="BC1135" i="10" s="1"/>
  <c r="Y1135" i="10"/>
  <c r="A1136" i="10"/>
  <c r="AS1135" i="10"/>
  <c r="B1135" i="10"/>
  <c r="R1133" i="10"/>
  <c r="AG244" i="10" l="1"/>
  <c r="AJ244" i="10"/>
  <c r="AI244" i="10"/>
  <c r="S245" i="10"/>
  <c r="T245" i="10" s="1"/>
  <c r="AQ245" i="10" s="1"/>
  <c r="AC245" i="10"/>
  <c r="BA244" i="10" s="1"/>
  <c r="AM245" i="10"/>
  <c r="O1126" i="10"/>
  <c r="P1126" i="10" s="1"/>
  <c r="J1127" i="10" s="1"/>
  <c r="L1127" i="10" s="1"/>
  <c r="N1127" i="10" s="1"/>
  <c r="AT1126" i="10"/>
  <c r="AE1126" i="10"/>
  <c r="AF1126" i="10"/>
  <c r="R1134" i="10"/>
  <c r="A1137" i="10"/>
  <c r="AS1136" i="10"/>
  <c r="BB1136" i="10"/>
  <c r="BC1136" i="10" s="1"/>
  <c r="Y1136" i="10"/>
  <c r="B1136" i="10"/>
  <c r="H1134" i="10"/>
  <c r="D1134" i="10"/>
  <c r="F1134" i="10" s="1"/>
  <c r="G1134" i="10" s="1"/>
  <c r="V1134" i="10" s="1"/>
  <c r="AU1125" i="10"/>
  <c r="AO244" i="10"/>
  <c r="AY244" i="10" s="1"/>
  <c r="AH244" i="10"/>
  <c r="AD245" i="10"/>
  <c r="K1135" i="10"/>
  <c r="C1135" i="10"/>
  <c r="I1135" i="10" s="1"/>
  <c r="M1135" i="10"/>
  <c r="E1135" i="10"/>
  <c r="AL244" i="10"/>
  <c r="U245" i="10" l="1"/>
  <c r="W245" i="10" s="1"/>
  <c r="AP245" i="10" s="1"/>
  <c r="O1127" i="10"/>
  <c r="P1127" i="10" s="1"/>
  <c r="J1128" i="10" s="1"/>
  <c r="L1128" i="10" s="1"/>
  <c r="N1128" i="10" s="1"/>
  <c r="AT1127" i="10"/>
  <c r="AE1127" i="10"/>
  <c r="AF1127" i="10"/>
  <c r="K1136" i="10"/>
  <c r="C1136" i="10"/>
  <c r="I1136" i="10" s="1"/>
  <c r="M1136" i="10"/>
  <c r="E1136" i="10"/>
  <c r="AU1126" i="10"/>
  <c r="X245" i="10"/>
  <c r="R1135" i="10"/>
  <c r="AN244" i="10"/>
  <c r="AW244" i="10" s="1"/>
  <c r="Y1137" i="10"/>
  <c r="A1138" i="10"/>
  <c r="BB1137" i="10"/>
  <c r="BC1137" i="10" s="1"/>
  <c r="AS1137" i="10"/>
  <c r="B1137" i="10"/>
  <c r="H1135" i="10"/>
  <c r="D1135" i="10"/>
  <c r="F1135" i="10" s="1"/>
  <c r="G1135" i="10" s="1"/>
  <c r="V1135" i="10" s="1"/>
  <c r="O1128" i="10" l="1"/>
  <c r="P1128" i="10" s="1"/>
  <c r="J1129" i="10" s="1"/>
  <c r="L1129" i="10" s="1"/>
  <c r="N1129" i="10" s="1"/>
  <c r="AT1128" i="10"/>
  <c r="AE1128" i="10"/>
  <c r="AF1128" i="10"/>
  <c r="BD244" i="10"/>
  <c r="AZ244" i="10"/>
  <c r="R1136" i="10"/>
  <c r="AU1127" i="10"/>
  <c r="K1137" i="10"/>
  <c r="C1137" i="10"/>
  <c r="I1137" i="10" s="1"/>
  <c r="M1137" i="10"/>
  <c r="E1137" i="10"/>
  <c r="H1136" i="10"/>
  <c r="D1136" i="10"/>
  <c r="F1136" i="10" s="1"/>
  <c r="G1136" i="10" s="1"/>
  <c r="V1136" i="10" s="1"/>
  <c r="Z245" i="10"/>
  <c r="AR245" i="10" s="1"/>
  <c r="Y1138" i="10"/>
  <c r="A1139" i="10"/>
  <c r="BB1138" i="10"/>
  <c r="BC1138" i="10" s="1"/>
  <c r="AS1138" i="10"/>
  <c r="B1138" i="10"/>
  <c r="O1129" i="10" l="1"/>
  <c r="P1129" i="10"/>
  <c r="J1130" i="10" s="1"/>
  <c r="L1130" i="10" s="1"/>
  <c r="N1130" i="10" s="1"/>
  <c r="AE1129" i="10"/>
  <c r="AT1129" i="10"/>
  <c r="AF1129" i="10"/>
  <c r="K1138" i="10"/>
  <c r="C1138" i="10"/>
  <c r="I1138" i="10" s="1"/>
  <c r="M1138" i="10"/>
  <c r="E1138" i="10"/>
  <c r="AU1128" i="10"/>
  <c r="A1140" i="10"/>
  <c r="BB1139" i="10"/>
  <c r="BC1139" i="10" s="1"/>
  <c r="Y1139" i="10"/>
  <c r="AS1139" i="10"/>
  <c r="B1139" i="10"/>
  <c r="R1137" i="10"/>
  <c r="H1137" i="10"/>
  <c r="D1137" i="10"/>
  <c r="F1137" i="10" s="1"/>
  <c r="G1137" i="10" s="1"/>
  <c r="V1137" i="10" s="1"/>
  <c r="Q246" i="10"/>
  <c r="AA245" i="10"/>
  <c r="O1130" i="10" l="1"/>
  <c r="P1130" i="10" s="1"/>
  <c r="J1131" i="10" s="1"/>
  <c r="L1131" i="10" s="1"/>
  <c r="N1131" i="10" s="1"/>
  <c r="AT1130" i="10"/>
  <c r="AE1130" i="10"/>
  <c r="AF1130" i="10"/>
  <c r="AI245" i="10"/>
  <c r="AJ245" i="10"/>
  <c r="AG245" i="10"/>
  <c r="AK245" i="10"/>
  <c r="AX245" i="10" s="1"/>
  <c r="BB1140" i="10"/>
  <c r="BC1140" i="10" s="1"/>
  <c r="A1141" i="10"/>
  <c r="AS1140" i="10"/>
  <c r="Y1140" i="10"/>
  <c r="B1140" i="10"/>
  <c r="S246" i="10"/>
  <c r="AC246" i="10"/>
  <c r="BA245" i="10" s="1"/>
  <c r="AB246" i="10"/>
  <c r="AV245" i="10" s="1"/>
  <c r="AM246" i="10"/>
  <c r="AU1129" i="10"/>
  <c r="K1139" i="10"/>
  <c r="C1139" i="10"/>
  <c r="I1139" i="10" s="1"/>
  <c r="M1139" i="10"/>
  <c r="E1139" i="10"/>
  <c r="R1138" i="10"/>
  <c r="H1138" i="10"/>
  <c r="D1138" i="10"/>
  <c r="F1138" i="10" s="1"/>
  <c r="G1138" i="10" s="1"/>
  <c r="V1138" i="10" s="1"/>
  <c r="O1131" i="10" l="1"/>
  <c r="P1131" i="10"/>
  <c r="J1132" i="10" s="1"/>
  <c r="L1132" i="10" s="1"/>
  <c r="N1132" i="10" s="1"/>
  <c r="AT1131" i="10"/>
  <c r="AE1131" i="10"/>
  <c r="AF1131" i="10"/>
  <c r="AS1141" i="10"/>
  <c r="Y1141" i="10"/>
  <c r="A1142" i="10"/>
  <c r="BB1141" i="10"/>
  <c r="BC1141" i="10" s="1"/>
  <c r="B1141" i="10"/>
  <c r="AU1130" i="10"/>
  <c r="R1139" i="10"/>
  <c r="H1139" i="10"/>
  <c r="D1139" i="10"/>
  <c r="F1139" i="10" s="1"/>
  <c r="G1139" i="10" s="1"/>
  <c r="V1139" i="10" s="1"/>
  <c r="AH245" i="10"/>
  <c r="AO245" i="10"/>
  <c r="AY245" i="10" s="1"/>
  <c r="T246" i="10"/>
  <c r="AQ246" i="10" s="1"/>
  <c r="AD246" i="10"/>
  <c r="U246" i="10"/>
  <c r="W246" i="10" s="1"/>
  <c r="AP246" i="10" s="1"/>
  <c r="AL245" i="10"/>
  <c r="K1140" i="10"/>
  <c r="C1140" i="10"/>
  <c r="I1140" i="10" s="1"/>
  <c r="M1140" i="10"/>
  <c r="E1140" i="10"/>
  <c r="O1132" i="10" l="1"/>
  <c r="P1132" i="10" s="1"/>
  <c r="J1133" i="10" s="1"/>
  <c r="L1133" i="10" s="1"/>
  <c r="N1133" i="10" s="1"/>
  <c r="AE1132" i="10"/>
  <c r="AT1132" i="10"/>
  <c r="AF1132" i="10"/>
  <c r="K1141" i="10"/>
  <c r="C1141" i="10"/>
  <c r="I1141" i="10" s="1"/>
  <c r="M1141" i="10"/>
  <c r="E1141" i="10"/>
  <c r="AU1131" i="10"/>
  <c r="A1143" i="10"/>
  <c r="AS1142" i="10"/>
  <c r="Y1142" i="10"/>
  <c r="BB1142" i="10"/>
  <c r="BC1142" i="10" s="1"/>
  <c r="B1142" i="10"/>
  <c r="R1140" i="10"/>
  <c r="X246" i="10"/>
  <c r="H1140" i="10"/>
  <c r="D1140" i="10"/>
  <c r="F1140" i="10" s="1"/>
  <c r="G1140" i="10" s="1"/>
  <c r="V1140" i="10" s="1"/>
  <c r="AN245" i="10"/>
  <c r="AW245" i="10" s="1"/>
  <c r="O1133" i="10" l="1"/>
  <c r="P1133" i="10" s="1"/>
  <c r="J1134" i="10" s="1"/>
  <c r="L1134" i="10" s="1"/>
  <c r="N1134" i="10" s="1"/>
  <c r="AT1133" i="10"/>
  <c r="AE1133" i="10"/>
  <c r="AF1133" i="10"/>
  <c r="BD245" i="10"/>
  <c r="AZ245" i="10"/>
  <c r="R1141" i="10"/>
  <c r="K1142" i="10"/>
  <c r="C1142" i="10"/>
  <c r="I1142" i="10" s="1"/>
  <c r="M1142" i="10"/>
  <c r="E1142" i="10"/>
  <c r="AU1132" i="10"/>
  <c r="H1141" i="10"/>
  <c r="D1141" i="10"/>
  <c r="F1141" i="10" s="1"/>
  <c r="G1141" i="10" s="1"/>
  <c r="V1141" i="10" s="1"/>
  <c r="Z246" i="10"/>
  <c r="AR246" i="10" s="1"/>
  <c r="BB1143" i="10"/>
  <c r="BC1143" i="10" s="1"/>
  <c r="AS1143" i="10"/>
  <c r="Y1143" i="10"/>
  <c r="A1144" i="10"/>
  <c r="B1143" i="10"/>
  <c r="O1134" i="10" l="1"/>
  <c r="P1134" i="10"/>
  <c r="J1135" i="10" s="1"/>
  <c r="L1135" i="10" s="1"/>
  <c r="N1135" i="10" s="1"/>
  <c r="AT1134" i="10"/>
  <c r="AE1134" i="10"/>
  <c r="AF1134" i="10"/>
  <c r="AU1133" i="10"/>
  <c r="Q247" i="10"/>
  <c r="AA246" i="10"/>
  <c r="R1142" i="10"/>
  <c r="K1143" i="10"/>
  <c r="C1143" i="10"/>
  <c r="I1143" i="10" s="1"/>
  <c r="M1143" i="10"/>
  <c r="E1143" i="10"/>
  <c r="BB1144" i="10"/>
  <c r="BC1144" i="10" s="1"/>
  <c r="Y1144" i="10"/>
  <c r="AS1144" i="10"/>
  <c r="A1145" i="10"/>
  <c r="B1144" i="10"/>
  <c r="H1142" i="10"/>
  <c r="D1142" i="10"/>
  <c r="F1142" i="10" s="1"/>
  <c r="G1142" i="10" s="1"/>
  <c r="V1142" i="10" s="1"/>
  <c r="O1135" i="10" l="1"/>
  <c r="P1135" i="10" s="1"/>
  <c r="J1136" i="10" s="1"/>
  <c r="L1136" i="10" s="1"/>
  <c r="N1136" i="10" s="1"/>
  <c r="AE1135" i="10"/>
  <c r="AT1135" i="10"/>
  <c r="AF1135" i="10"/>
  <c r="R1143" i="10"/>
  <c r="S247" i="10"/>
  <c r="AB247" i="10"/>
  <c r="AV246" i="10" s="1"/>
  <c r="AC247" i="10"/>
  <c r="AM247" i="10"/>
  <c r="C1144" i="10"/>
  <c r="I1144" i="10" s="1"/>
  <c r="M1144" i="10"/>
  <c r="E1144" i="10"/>
  <c r="AU1134" i="10"/>
  <c r="AS1145" i="10"/>
  <c r="BB1145" i="10"/>
  <c r="BC1145" i="10" s="1"/>
  <c r="Y1145" i="10"/>
  <c r="B1145" i="10"/>
  <c r="H1143" i="10"/>
  <c r="D1143" i="10"/>
  <c r="F1143" i="10" s="1"/>
  <c r="G1143" i="10" s="1"/>
  <c r="V1143" i="10" s="1"/>
  <c r="AI246" i="10"/>
  <c r="AJ246" i="10"/>
  <c r="AG246" i="10"/>
  <c r="AK246" i="10"/>
  <c r="AX246" i="10" s="1"/>
  <c r="BA246" i="10" l="1"/>
  <c r="O1136" i="10"/>
  <c r="P1136" i="10" s="1"/>
  <c r="J1137" i="10" s="1"/>
  <c r="L1137" i="10" s="1"/>
  <c r="N1137" i="10" s="1"/>
  <c r="AE1136" i="10"/>
  <c r="AT1136" i="10"/>
  <c r="AF1136" i="10"/>
  <c r="AU1135" i="10"/>
  <c r="AH246" i="10"/>
  <c r="AN246" i="10" s="1"/>
  <c r="AW246" i="10" s="1"/>
  <c r="AO246" i="10"/>
  <c r="AY246" i="10" s="1"/>
  <c r="T247" i="10"/>
  <c r="AQ247" i="10" s="1"/>
  <c r="AD247" i="10"/>
  <c r="U247" i="10"/>
  <c r="W247" i="10" s="1"/>
  <c r="AP247" i="10" s="1"/>
  <c r="AL246" i="10"/>
  <c r="R1144" i="10"/>
  <c r="K1145" i="10"/>
  <c r="C1145" i="10"/>
  <c r="I1145" i="10" s="1"/>
  <c r="M1145" i="10"/>
  <c r="E1145" i="10"/>
  <c r="H1144" i="10"/>
  <c r="D1144" i="10"/>
  <c r="F1144" i="10" s="1"/>
  <c r="G1144" i="10" s="1"/>
  <c r="V1144" i="10" s="1"/>
  <c r="X247" i="10" l="1"/>
  <c r="Z247" i="10" s="1"/>
  <c r="AR247" i="10" s="1"/>
  <c r="O1137" i="10"/>
  <c r="AT1137" i="10"/>
  <c r="AE1137" i="10"/>
  <c r="AF1137" i="10"/>
  <c r="AZ246" i="10"/>
  <c r="BD246" i="10"/>
  <c r="AU1136" i="10"/>
  <c r="R1145" i="10"/>
  <c r="H1145" i="10"/>
  <c r="D1145" i="10"/>
  <c r="F1145" i="10" s="1"/>
  <c r="G1145" i="10" s="1"/>
  <c r="V1145" i="10" s="1"/>
  <c r="Q248" i="10" l="1"/>
  <c r="S248" i="10" s="1"/>
  <c r="AA247" i="10"/>
  <c r="AI247" i="10" s="1"/>
  <c r="AG247" i="10"/>
  <c r="AK247" i="10"/>
  <c r="AX247" i="10" s="1"/>
  <c r="AU1137" i="10"/>
  <c r="P1137" i="10"/>
  <c r="J1138" i="10" s="1"/>
  <c r="L1138" i="10" s="1"/>
  <c r="N1138" i="10" s="1"/>
  <c r="AJ247" i="10" l="1"/>
  <c r="AL247" i="10" s="1"/>
  <c r="AC248" i="10"/>
  <c r="AM248" i="10"/>
  <c r="AB248" i="10"/>
  <c r="AV247" i="10" s="1"/>
  <c r="BA247" i="10"/>
  <c r="AH247" i="10"/>
  <c r="AO247" i="10"/>
  <c r="AY247" i="10" s="1"/>
  <c r="T248" i="10"/>
  <c r="AQ248" i="10" s="1"/>
  <c r="AD248" i="10"/>
  <c r="U248" i="10"/>
  <c r="W248" i="10" s="1"/>
  <c r="AP248" i="10" s="1"/>
  <c r="O1138" i="10"/>
  <c r="AT1138" i="10"/>
  <c r="AE1138" i="10"/>
  <c r="AF1138" i="10"/>
  <c r="AU1138" i="10" l="1"/>
  <c r="X248" i="10"/>
  <c r="P1138" i="10"/>
  <c r="J1139" i="10" s="1"/>
  <c r="L1139" i="10" s="1"/>
  <c r="N1139" i="10" s="1"/>
  <c r="AN247" i="10"/>
  <c r="AW247" i="10" s="1"/>
  <c r="Z248" i="10" l="1"/>
  <c r="AR248" i="10" s="1"/>
  <c r="AZ247" i="10"/>
  <c r="BD247" i="10"/>
  <c r="O1139" i="10"/>
  <c r="P1139" i="10" s="1"/>
  <c r="J1140" i="10" s="1"/>
  <c r="L1140" i="10" s="1"/>
  <c r="N1140" i="10" s="1"/>
  <c r="AE1139" i="10"/>
  <c r="AT1139" i="10"/>
  <c r="AF1139" i="10"/>
  <c r="O1140" i="10" l="1"/>
  <c r="P1140" i="10" s="1"/>
  <c r="J1141" i="10" s="1"/>
  <c r="L1141" i="10" s="1"/>
  <c r="N1141" i="10" s="1"/>
  <c r="AT1140" i="10"/>
  <c r="AE1140" i="10"/>
  <c r="AF1140" i="10"/>
  <c r="Q249" i="10"/>
  <c r="AU1139" i="10"/>
  <c r="AA248" i="10"/>
  <c r="O1141" i="10" l="1"/>
  <c r="P1141" i="10" s="1"/>
  <c r="J1142" i="10" s="1"/>
  <c r="L1142" i="10" s="1"/>
  <c r="N1142" i="10" s="1"/>
  <c r="AT1141" i="10"/>
  <c r="AE1141" i="10"/>
  <c r="AF1141" i="10"/>
  <c r="AU1140" i="10"/>
  <c r="AI248" i="10"/>
  <c r="AJ248" i="10"/>
  <c r="AG248" i="10"/>
  <c r="AK248" i="10"/>
  <c r="AX248" i="10" s="1"/>
  <c r="S249" i="10"/>
  <c r="AM249" i="10"/>
  <c r="AC249" i="10"/>
  <c r="AB249" i="10"/>
  <c r="AV248" i="10" s="1"/>
  <c r="O1142" i="10" l="1"/>
  <c r="P1142" i="10" s="1"/>
  <c r="J1143" i="10" s="1"/>
  <c r="L1143" i="10" s="1"/>
  <c r="N1143" i="10" s="1"/>
  <c r="AE1142" i="10"/>
  <c r="AT1142" i="10"/>
  <c r="AF1142" i="10"/>
  <c r="AD249" i="10"/>
  <c r="T249" i="10"/>
  <c r="AQ249" i="10" s="1"/>
  <c r="U249" i="10"/>
  <c r="W249" i="10" s="1"/>
  <c r="AP249" i="10" s="1"/>
  <c r="AL248" i="10"/>
  <c r="BA248" i="10"/>
  <c r="AO248" i="10"/>
  <c r="AY248" i="10" s="1"/>
  <c r="AH248" i="10"/>
  <c r="AU1141" i="10"/>
  <c r="AN248" i="10" l="1"/>
  <c r="AW248" i="10" s="1"/>
  <c r="BD248" i="10" s="1"/>
  <c r="O1143" i="10"/>
  <c r="P1143" i="10" s="1"/>
  <c r="J1144" i="10" s="1"/>
  <c r="K1144" i="10" s="1"/>
  <c r="AE1143" i="10"/>
  <c r="AT1143" i="10"/>
  <c r="AF1143" i="10"/>
  <c r="AZ248" i="10"/>
  <c r="AU1142" i="10"/>
  <c r="X249" i="10"/>
  <c r="L1144" i="10" l="1"/>
  <c r="N1144" i="10" s="1"/>
  <c r="C19" i="11"/>
  <c r="C7" i="12"/>
  <c r="C9" i="12"/>
  <c r="Z249" i="10"/>
  <c r="AR249" i="10" s="1"/>
  <c r="AU1143" i="10"/>
  <c r="Q250" i="10" l="1"/>
  <c r="AB250" i="10" s="1"/>
  <c r="AV249" i="10" s="1"/>
  <c r="AA249" i="10"/>
  <c r="AI249" i="10" s="1"/>
  <c r="O1144" i="10"/>
  <c r="AE1144" i="10"/>
  <c r="AT1144" i="10"/>
  <c r="C15" i="11" s="1"/>
  <c r="AF1144" i="10"/>
  <c r="AM250" i="10" l="1"/>
  <c r="AK249" i="10"/>
  <c r="AX249" i="10" s="1"/>
  <c r="AC250" i="10"/>
  <c r="S250" i="10"/>
  <c r="AD250" i="10" s="1"/>
  <c r="AG249" i="10"/>
  <c r="AO249" i="10" s="1"/>
  <c r="AY249" i="10" s="1"/>
  <c r="AJ249" i="10"/>
  <c r="AU1144" i="10"/>
  <c r="C16" i="11" s="1"/>
  <c r="C10" i="11"/>
  <c r="P1144" i="10"/>
  <c r="J1145" i="10" s="1"/>
  <c r="L1145" i="10" s="1"/>
  <c r="N1145" i="10" s="1"/>
  <c r="C8" i="12" l="1"/>
  <c r="U250" i="10"/>
  <c r="W250" i="10" s="1"/>
  <c r="AP250" i="10" s="1"/>
  <c r="BA249" i="10"/>
  <c r="T250" i="10"/>
  <c r="AQ250" i="10" s="1"/>
  <c r="AH249" i="10"/>
  <c r="AL249" i="10"/>
  <c r="O1145" i="10"/>
  <c r="P1145" i="10" s="1"/>
  <c r="AT1145" i="10"/>
  <c r="AE1145" i="10"/>
  <c r="AF1145" i="10"/>
  <c r="AN249" i="10" l="1"/>
  <c r="AW249" i="10" s="1"/>
  <c r="X250" i="10"/>
  <c r="BD249" i="10"/>
  <c r="AZ249" i="10"/>
  <c r="AU1145" i="10"/>
  <c r="Z250" i="10"/>
  <c r="AR250" i="10" s="1"/>
  <c r="Q251" i="10" l="1"/>
  <c r="AA250" i="10"/>
  <c r="AI250" i="10" l="1"/>
  <c r="AJ250" i="10"/>
  <c r="AG250" i="10"/>
  <c r="AK250" i="10"/>
  <c r="AX250" i="10" s="1"/>
  <c r="S251" i="10"/>
  <c r="AM251" i="10"/>
  <c r="AC251" i="10"/>
  <c r="AB251" i="10"/>
  <c r="AV250" i="10" s="1"/>
  <c r="AD251" i="10" l="1"/>
  <c r="T251" i="10"/>
  <c r="AQ251" i="10" s="1"/>
  <c r="U251" i="10"/>
  <c r="W251" i="10" s="1"/>
  <c r="AP251" i="10" s="1"/>
  <c r="AO250" i="10"/>
  <c r="AY250" i="10" s="1"/>
  <c r="AH250" i="10"/>
  <c r="AL250" i="10"/>
  <c r="BA250" i="10"/>
  <c r="AN250" i="10" l="1"/>
  <c r="AW250" i="10" s="1"/>
  <c r="X251" i="10"/>
  <c r="Z251" i="10" l="1"/>
  <c r="AR251" i="10" s="1"/>
  <c r="BD250" i="10"/>
  <c r="AZ250" i="10"/>
  <c r="Q252" i="10" l="1"/>
  <c r="AA251" i="10"/>
  <c r="AI251" i="10" l="1"/>
  <c r="AJ251" i="10"/>
  <c r="AG251" i="10"/>
  <c r="AK251" i="10"/>
  <c r="AX251" i="10" s="1"/>
  <c r="S252" i="10"/>
  <c r="AC252" i="10"/>
  <c r="AB252" i="10"/>
  <c r="AV251" i="10" s="1"/>
  <c r="AM252" i="10"/>
  <c r="BA251" i="10" l="1"/>
  <c r="T252" i="10"/>
  <c r="AQ252" i="10" s="1"/>
  <c r="AD252" i="10"/>
  <c r="U252" i="10"/>
  <c r="W252" i="10" s="1"/>
  <c r="AP252" i="10" s="1"/>
  <c r="AO251" i="10"/>
  <c r="AY251" i="10" s="1"/>
  <c r="AH251" i="10"/>
  <c r="AL251" i="10"/>
  <c r="AN251" i="10" l="1"/>
  <c r="AW251" i="10" s="1"/>
  <c r="X252" i="10"/>
  <c r="Z252" i="10" l="1"/>
  <c r="AR252" i="10" s="1"/>
  <c r="BD251" i="10"/>
  <c r="AZ251" i="10"/>
  <c r="Q253" i="10" l="1"/>
  <c r="AA252" i="10"/>
  <c r="AI252" i="10" l="1"/>
  <c r="AJ252" i="10"/>
  <c r="AG252" i="10"/>
  <c r="AK252" i="10"/>
  <c r="AX252" i="10" s="1"/>
  <c r="S253" i="10"/>
  <c r="AB253" i="10"/>
  <c r="AV252" i="10" s="1"/>
  <c r="AM253" i="10"/>
  <c r="AC253" i="10"/>
  <c r="BA252" i="10" l="1"/>
  <c r="AD253" i="10"/>
  <c r="T253" i="10"/>
  <c r="AQ253" i="10" s="1"/>
  <c r="U253" i="10"/>
  <c r="W253" i="10" s="1"/>
  <c r="AP253" i="10" s="1"/>
  <c r="AO252" i="10"/>
  <c r="AY252" i="10" s="1"/>
  <c r="AH252" i="10"/>
  <c r="AL252" i="10"/>
  <c r="X253" i="10" l="1"/>
  <c r="AN252" i="10"/>
  <c r="AW252" i="10" s="1"/>
  <c r="BD252" i="10" l="1"/>
  <c r="AZ252" i="10"/>
  <c r="Z253" i="10"/>
  <c r="AR253" i="10" s="1"/>
  <c r="Q254" i="10" l="1"/>
  <c r="AA253" i="10"/>
  <c r="AI253" i="10" l="1"/>
  <c r="AJ253" i="10"/>
  <c r="AG253" i="10"/>
  <c r="AK253" i="10"/>
  <c r="AX253" i="10" s="1"/>
  <c r="S254" i="10"/>
  <c r="AC254" i="10"/>
  <c r="BA253" i="10" s="1"/>
  <c r="AM254" i="10"/>
  <c r="AB254" i="10"/>
  <c r="AV253" i="10" s="1"/>
  <c r="T254" i="10" l="1"/>
  <c r="AQ254" i="10" s="1"/>
  <c r="AD254" i="10"/>
  <c r="U254" i="10"/>
  <c r="W254" i="10" s="1"/>
  <c r="AP254" i="10" s="1"/>
  <c r="AH253" i="10"/>
  <c r="AO253" i="10"/>
  <c r="AY253" i="10" s="1"/>
  <c r="AL253" i="10"/>
  <c r="AN253" i="10" l="1"/>
  <c r="AW253" i="10" s="1"/>
  <c r="X254" i="10"/>
  <c r="Z254" i="10" l="1"/>
  <c r="AR254" i="10" s="1"/>
  <c r="BD253" i="10"/>
  <c r="AZ253" i="10"/>
  <c r="Q255" i="10" l="1"/>
  <c r="AA254" i="10"/>
  <c r="AI254" i="10" l="1"/>
  <c r="AJ254" i="10"/>
  <c r="AG254" i="10"/>
  <c r="AK254" i="10"/>
  <c r="AX254" i="10" s="1"/>
  <c r="S255" i="10"/>
  <c r="AB255" i="10"/>
  <c r="AV254" i="10" s="1"/>
  <c r="AC255" i="10"/>
  <c r="AM255" i="10"/>
  <c r="BA254" i="10" l="1"/>
  <c r="T255" i="10"/>
  <c r="AQ255" i="10" s="1"/>
  <c r="AD255" i="10"/>
  <c r="U255" i="10"/>
  <c r="W255" i="10" s="1"/>
  <c r="AP255" i="10" s="1"/>
  <c r="AH254" i="10"/>
  <c r="AO254" i="10"/>
  <c r="AY254" i="10" s="1"/>
  <c r="AL254" i="10"/>
  <c r="AN254" i="10" l="1"/>
  <c r="AW254" i="10" s="1"/>
  <c r="X255" i="10"/>
  <c r="Z255" i="10" l="1"/>
  <c r="AR255" i="10" s="1"/>
  <c r="AZ254" i="10"/>
  <c r="BD254" i="10"/>
  <c r="Q256" i="10" l="1"/>
  <c r="AA255" i="10"/>
  <c r="AI255" i="10" l="1"/>
  <c r="AJ255" i="10"/>
  <c r="AG255" i="10"/>
  <c r="AK255" i="10"/>
  <c r="AX255" i="10" s="1"/>
  <c r="S256" i="10"/>
  <c r="AC256" i="10"/>
  <c r="BA255" i="10" s="1"/>
  <c r="AB256" i="10"/>
  <c r="AV255" i="10" s="1"/>
  <c r="AM256" i="10"/>
  <c r="AD256" i="10" l="1"/>
  <c r="T256" i="10"/>
  <c r="AQ256" i="10" s="1"/>
  <c r="U256" i="10"/>
  <c r="W256" i="10" s="1"/>
  <c r="AP256" i="10" s="1"/>
  <c r="AH255" i="10"/>
  <c r="AO255" i="10"/>
  <c r="AY255" i="10" s="1"/>
  <c r="AL255" i="10"/>
  <c r="AN255" i="10" l="1"/>
  <c r="AW255" i="10" s="1"/>
  <c r="X256" i="10"/>
  <c r="Z256" i="10" l="1"/>
  <c r="AR256" i="10" s="1"/>
  <c r="AZ255" i="10"/>
  <c r="BD255" i="10"/>
  <c r="Q257" i="10" l="1"/>
  <c r="AA256" i="10"/>
  <c r="AI256" i="10" l="1"/>
  <c r="AJ256" i="10"/>
  <c r="AG256" i="10"/>
  <c r="AK256" i="10"/>
  <c r="AX256" i="10" s="1"/>
  <c r="S257" i="10"/>
  <c r="AM257" i="10"/>
  <c r="AC257" i="10"/>
  <c r="AB257" i="10"/>
  <c r="AV256" i="10" s="1"/>
  <c r="BA256" i="10" l="1"/>
  <c r="AD257" i="10"/>
  <c r="T257" i="10"/>
  <c r="AQ257" i="10" s="1"/>
  <c r="U257" i="10"/>
  <c r="W257" i="10" s="1"/>
  <c r="AP257" i="10" s="1"/>
  <c r="AO256" i="10"/>
  <c r="AY256" i="10" s="1"/>
  <c r="AH256" i="10"/>
  <c r="AL256" i="10"/>
  <c r="AN256" i="10" l="1"/>
  <c r="AW256" i="10" s="1"/>
  <c r="X257" i="10"/>
  <c r="Z257" i="10" l="1"/>
  <c r="AR257" i="10" s="1"/>
  <c r="AZ256" i="10"/>
  <c r="BD256" i="10"/>
  <c r="Q258" i="10" l="1"/>
  <c r="AA257" i="10"/>
  <c r="AI257" i="10" l="1"/>
  <c r="AJ257" i="10"/>
  <c r="AG257" i="10"/>
  <c r="AK257" i="10"/>
  <c r="AX257" i="10" s="1"/>
  <c r="S258" i="10"/>
  <c r="AM258" i="10"/>
  <c r="AC258" i="10"/>
  <c r="AB258" i="10"/>
  <c r="AV257" i="10" s="1"/>
  <c r="BA257" i="10" l="1"/>
  <c r="AD258" i="10"/>
  <c r="T258" i="10"/>
  <c r="AQ258" i="10" s="1"/>
  <c r="U258" i="10"/>
  <c r="W258" i="10" s="1"/>
  <c r="AP258" i="10" s="1"/>
  <c r="AL257" i="10"/>
  <c r="AO257" i="10"/>
  <c r="AY257" i="10" s="1"/>
  <c r="AH257" i="10"/>
  <c r="AN257" i="10" l="1"/>
  <c r="AW257" i="10" s="1"/>
  <c r="AZ257" i="10" s="1"/>
  <c r="X258" i="10"/>
  <c r="BD257" i="10" l="1"/>
  <c r="Z258" i="10"/>
  <c r="AR258" i="10" s="1"/>
  <c r="Q259" i="10" l="1"/>
  <c r="AA258" i="10"/>
  <c r="AI258" i="10" l="1"/>
  <c r="AJ258" i="10"/>
  <c r="AG258" i="10"/>
  <c r="AK258" i="10"/>
  <c r="AX258" i="10" s="1"/>
  <c r="S259" i="10"/>
  <c r="AM259" i="10"/>
  <c r="AC259" i="10"/>
  <c r="AB259" i="10"/>
  <c r="AV258" i="10" s="1"/>
  <c r="BA258" i="10" l="1"/>
  <c r="AD259" i="10"/>
  <c r="T259" i="10"/>
  <c r="AQ259" i="10" s="1"/>
  <c r="U259" i="10"/>
  <c r="W259" i="10" s="1"/>
  <c r="AP259" i="10" s="1"/>
  <c r="AH258" i="10"/>
  <c r="AO258" i="10"/>
  <c r="AY258" i="10" s="1"/>
  <c r="AL258" i="10"/>
  <c r="AN258" i="10" l="1"/>
  <c r="AW258" i="10" s="1"/>
  <c r="X259" i="10"/>
  <c r="Z259" i="10" l="1"/>
  <c r="AR259" i="10" s="1"/>
  <c r="BD258" i="10"/>
  <c r="AZ258" i="10"/>
  <c r="Q260" i="10" l="1"/>
  <c r="AA259" i="10"/>
  <c r="AI259" i="10" l="1"/>
  <c r="AJ259" i="10"/>
  <c r="AG259" i="10"/>
  <c r="AK259" i="10"/>
  <c r="AX259" i="10" s="1"/>
  <c r="S260" i="10"/>
  <c r="AC260" i="10"/>
  <c r="BA259" i="10" s="1"/>
  <c r="AB260" i="10"/>
  <c r="AV259" i="10" s="1"/>
  <c r="AM260" i="10"/>
  <c r="T260" i="10" l="1"/>
  <c r="AQ260" i="10" s="1"/>
  <c r="AD260" i="10"/>
  <c r="U260" i="10"/>
  <c r="W260" i="10" s="1"/>
  <c r="AP260" i="10" s="1"/>
  <c r="AO259" i="10"/>
  <c r="AY259" i="10" s="1"/>
  <c r="AH259" i="10"/>
  <c r="AL259" i="10"/>
  <c r="AN259" i="10" l="1"/>
  <c r="AW259" i="10" s="1"/>
  <c r="BD259" i="10" s="1"/>
  <c r="X260" i="10"/>
  <c r="AZ259" i="10" l="1"/>
  <c r="Z260" i="10"/>
  <c r="AR260" i="10" s="1"/>
  <c r="Q261" i="10" l="1"/>
  <c r="AA260" i="10"/>
  <c r="AI260" i="10" l="1"/>
  <c r="AJ260" i="10"/>
  <c r="AG260" i="10"/>
  <c r="AK260" i="10"/>
  <c r="AX260" i="10" s="1"/>
  <c r="S261" i="10"/>
  <c r="AB261" i="10"/>
  <c r="AV260" i="10" s="1"/>
  <c r="AM261" i="10"/>
  <c r="AC261" i="10"/>
  <c r="AD261" i="10" l="1"/>
  <c r="T261" i="10"/>
  <c r="AQ261" i="10" s="1"/>
  <c r="U261" i="10"/>
  <c r="W261" i="10" s="1"/>
  <c r="AP261" i="10" s="1"/>
  <c r="AO260" i="10"/>
  <c r="AY260" i="10" s="1"/>
  <c r="AH260" i="10"/>
  <c r="AL260" i="10"/>
  <c r="BA260" i="10"/>
  <c r="AN260" i="10" l="1"/>
  <c r="AW260" i="10" s="1"/>
  <c r="X261" i="10"/>
  <c r="Z261" i="10" l="1"/>
  <c r="AR261" i="10" s="1"/>
  <c r="BD260" i="10"/>
  <c r="AZ260" i="10"/>
  <c r="Q262" i="10" l="1"/>
  <c r="AA261" i="10"/>
  <c r="AI261" i="10" l="1"/>
  <c r="AJ261" i="10"/>
  <c r="AG261" i="10"/>
  <c r="AK261" i="10"/>
  <c r="AX261" i="10" s="1"/>
  <c r="S262" i="10"/>
  <c r="AC262" i="10"/>
  <c r="BA261" i="10" s="1"/>
  <c r="AB262" i="10"/>
  <c r="AV261" i="10" s="1"/>
  <c r="AM262" i="10"/>
  <c r="T262" i="10" l="1"/>
  <c r="AQ262" i="10" s="1"/>
  <c r="AD262" i="10"/>
  <c r="U262" i="10"/>
  <c r="W262" i="10" s="1"/>
  <c r="AP262" i="10" s="1"/>
  <c r="AH261" i="10"/>
  <c r="AO261" i="10"/>
  <c r="AY261" i="10" s="1"/>
  <c r="AL261" i="10"/>
  <c r="AN261" i="10" l="1"/>
  <c r="AW261" i="10" s="1"/>
  <c r="X262" i="10"/>
  <c r="Z262" i="10" l="1"/>
  <c r="AR262" i="10" s="1"/>
  <c r="BD261" i="10"/>
  <c r="AZ261" i="10"/>
  <c r="Q263" i="10" l="1"/>
  <c r="AA262" i="10"/>
  <c r="AI262" i="10" l="1"/>
  <c r="AJ262" i="10"/>
  <c r="AG262" i="10"/>
  <c r="AK262" i="10"/>
  <c r="AX262" i="10" s="1"/>
  <c r="S263" i="10"/>
  <c r="AB263" i="10"/>
  <c r="AV262" i="10" s="1"/>
  <c r="AC263" i="10"/>
  <c r="AM263" i="10"/>
  <c r="BA262" i="10" l="1"/>
  <c r="T263" i="10"/>
  <c r="AQ263" i="10" s="1"/>
  <c r="AD263" i="10"/>
  <c r="U263" i="10"/>
  <c r="W263" i="10" s="1"/>
  <c r="AP263" i="10" s="1"/>
  <c r="AH262" i="10"/>
  <c r="AO262" i="10"/>
  <c r="AY262" i="10" s="1"/>
  <c r="AL262" i="10"/>
  <c r="AN262" i="10" l="1"/>
  <c r="AW262" i="10" s="1"/>
  <c r="AZ262" i="10" s="1"/>
  <c r="X263" i="10"/>
  <c r="BD262" i="10" l="1"/>
  <c r="Z263" i="10"/>
  <c r="AR263" i="10" s="1"/>
  <c r="Q264" i="10" l="1"/>
  <c r="AA263" i="10"/>
  <c r="AI263" i="10" l="1"/>
  <c r="AJ263" i="10"/>
  <c r="AG263" i="10"/>
  <c r="AK263" i="10"/>
  <c r="AX263" i="10" s="1"/>
  <c r="S264" i="10"/>
  <c r="AB264" i="10"/>
  <c r="AV263" i="10" s="1"/>
  <c r="AM264" i="10"/>
  <c r="AC264" i="10"/>
  <c r="T264" i="10" l="1"/>
  <c r="AQ264" i="10" s="1"/>
  <c r="AD264" i="10"/>
  <c r="U264" i="10"/>
  <c r="W264" i="10" s="1"/>
  <c r="AP264" i="10" s="1"/>
  <c r="AH263" i="10"/>
  <c r="AO263" i="10"/>
  <c r="AY263" i="10" s="1"/>
  <c r="AL263" i="10"/>
  <c r="BA263" i="10"/>
  <c r="AN263" i="10" l="1"/>
  <c r="AW263" i="10" s="1"/>
  <c r="AZ263" i="10" s="1"/>
  <c r="X264" i="10"/>
  <c r="BD263" i="10" l="1"/>
  <c r="Z264" i="10"/>
  <c r="AR264" i="10" s="1"/>
  <c r="Q265" i="10" l="1"/>
  <c r="AA264" i="10"/>
  <c r="AI264" i="10" l="1"/>
  <c r="AJ264" i="10"/>
  <c r="AG264" i="10"/>
  <c r="AK264" i="10"/>
  <c r="AX264" i="10" s="1"/>
  <c r="S265" i="10"/>
  <c r="AM265" i="10"/>
  <c r="AC265" i="10"/>
  <c r="AB265" i="10"/>
  <c r="AV264" i="10" s="1"/>
  <c r="BA264" i="10" l="1"/>
  <c r="AD265" i="10"/>
  <c r="T265" i="10"/>
  <c r="AQ265" i="10" s="1"/>
  <c r="U265" i="10"/>
  <c r="W265" i="10" s="1"/>
  <c r="AP265" i="10" s="1"/>
  <c r="AO264" i="10"/>
  <c r="AY264" i="10" s="1"/>
  <c r="AH264" i="10"/>
  <c r="AL264" i="10"/>
  <c r="AN264" i="10" l="1"/>
  <c r="AW264" i="10" s="1"/>
  <c r="AZ264" i="10" s="1"/>
  <c r="X265" i="10"/>
  <c r="BD264" i="10" l="1"/>
  <c r="Z265" i="10"/>
  <c r="AR265" i="10" s="1"/>
  <c r="Q266" i="10" l="1"/>
  <c r="AA265" i="10"/>
  <c r="AI265" i="10" l="1"/>
  <c r="AJ265" i="10"/>
  <c r="AG265" i="10"/>
  <c r="AK265" i="10"/>
  <c r="AX265" i="10" s="1"/>
  <c r="S266" i="10"/>
  <c r="AM266" i="10"/>
  <c r="AC266" i="10"/>
  <c r="AB266" i="10"/>
  <c r="AV265" i="10" s="1"/>
  <c r="AD266" i="10" l="1"/>
  <c r="T266" i="10"/>
  <c r="AQ266" i="10" s="1"/>
  <c r="U266" i="10"/>
  <c r="W266" i="10" s="1"/>
  <c r="AP266" i="10" s="1"/>
  <c r="AO265" i="10"/>
  <c r="AY265" i="10" s="1"/>
  <c r="AH265" i="10"/>
  <c r="AL265" i="10"/>
  <c r="BA265" i="10"/>
  <c r="AN265" i="10" l="1"/>
  <c r="AW265" i="10" s="1"/>
  <c r="X266" i="10"/>
  <c r="Z266" i="10" l="1"/>
  <c r="AR266" i="10" s="1"/>
  <c r="BD265" i="10"/>
  <c r="AZ265" i="10"/>
  <c r="Q267" i="10" l="1"/>
  <c r="AA266" i="10"/>
  <c r="AI266" i="10" l="1"/>
  <c r="AJ266" i="10"/>
  <c r="AG266" i="10"/>
  <c r="AK266" i="10"/>
  <c r="AX266" i="10" s="1"/>
  <c r="S267" i="10"/>
  <c r="AM267" i="10"/>
  <c r="AC267" i="10"/>
  <c r="AB267" i="10"/>
  <c r="AV266" i="10" s="1"/>
  <c r="BA266" i="10" l="1"/>
  <c r="AD267" i="10"/>
  <c r="T267" i="10"/>
  <c r="AQ267" i="10" s="1"/>
  <c r="U267" i="10"/>
  <c r="W267" i="10" s="1"/>
  <c r="AP267" i="10" s="1"/>
  <c r="AO266" i="10"/>
  <c r="AY266" i="10" s="1"/>
  <c r="AH266" i="10"/>
  <c r="AL266" i="10"/>
  <c r="AN266" i="10" l="1"/>
  <c r="AW266" i="10" s="1"/>
  <c r="X267" i="10"/>
  <c r="Z267" i="10" l="1"/>
  <c r="AR267" i="10" s="1"/>
  <c r="BD266" i="10"/>
  <c r="AZ266" i="10"/>
  <c r="Q268" i="10" l="1"/>
  <c r="AA267" i="10"/>
  <c r="AI267" i="10" l="1"/>
  <c r="AJ267" i="10"/>
  <c r="AG267" i="10"/>
  <c r="AK267" i="10"/>
  <c r="AX267" i="10" s="1"/>
  <c r="S268" i="10"/>
  <c r="AC268" i="10"/>
  <c r="AB268" i="10"/>
  <c r="AV267" i="10" s="1"/>
  <c r="AM268" i="10"/>
  <c r="BA267" i="10" l="1"/>
  <c r="T268" i="10"/>
  <c r="AQ268" i="10" s="1"/>
  <c r="AD268" i="10"/>
  <c r="U268" i="10"/>
  <c r="W268" i="10" s="1"/>
  <c r="AP268" i="10" s="1"/>
  <c r="AO267" i="10"/>
  <c r="AY267" i="10" s="1"/>
  <c r="AH267" i="10"/>
  <c r="AL267" i="10"/>
  <c r="AN267" i="10" l="1"/>
  <c r="AW267" i="10" s="1"/>
  <c r="X268" i="10"/>
  <c r="Z268" i="10" l="1"/>
  <c r="AR268" i="10" s="1"/>
  <c r="BD267" i="10"/>
  <c r="AZ267" i="10"/>
  <c r="Q269" i="10" l="1"/>
  <c r="AA268" i="10"/>
  <c r="AI268" i="10" l="1"/>
  <c r="AJ268" i="10"/>
  <c r="AG268" i="10"/>
  <c r="AK268" i="10"/>
  <c r="AX268" i="10" s="1"/>
  <c r="S269" i="10"/>
  <c r="AB269" i="10"/>
  <c r="AV268" i="10" s="1"/>
  <c r="AM269" i="10"/>
  <c r="AC269" i="10"/>
  <c r="AD269" i="10" l="1"/>
  <c r="T269" i="10"/>
  <c r="AQ269" i="10" s="1"/>
  <c r="U269" i="10"/>
  <c r="W269" i="10" s="1"/>
  <c r="AP269" i="10" s="1"/>
  <c r="AO268" i="10"/>
  <c r="AY268" i="10" s="1"/>
  <c r="AH268" i="10"/>
  <c r="AL268" i="10"/>
  <c r="BA268" i="10"/>
  <c r="AN268" i="10" l="1"/>
  <c r="AW268" i="10" s="1"/>
  <c r="BD268" i="10"/>
  <c r="AZ268" i="10"/>
  <c r="X269" i="10"/>
  <c r="Z269" i="10" l="1"/>
  <c r="AR269" i="10" s="1"/>
  <c r="Q270" i="10" l="1"/>
  <c r="AA269" i="10"/>
  <c r="AI269" i="10" l="1"/>
  <c r="AJ269" i="10"/>
  <c r="AG269" i="10"/>
  <c r="AK269" i="10"/>
  <c r="AX269" i="10" s="1"/>
  <c r="S270" i="10"/>
  <c r="AM270" i="10"/>
  <c r="AC270" i="10"/>
  <c r="AB270" i="10"/>
  <c r="AV269" i="10" s="1"/>
  <c r="AD270" i="10" l="1"/>
  <c r="T270" i="10"/>
  <c r="AQ270" i="10" s="1"/>
  <c r="U270" i="10"/>
  <c r="W270" i="10" s="1"/>
  <c r="AP270" i="10" s="1"/>
  <c r="AH269" i="10"/>
  <c r="AO269" i="10"/>
  <c r="AY269" i="10" s="1"/>
  <c r="AL269" i="10"/>
  <c r="BA269" i="10"/>
  <c r="X270" i="10" l="1"/>
  <c r="AN269" i="10"/>
  <c r="AW269" i="10" s="1"/>
  <c r="BD269" i="10" l="1"/>
  <c r="AZ269" i="10"/>
  <c r="Z270" i="10"/>
  <c r="AR270" i="10" s="1"/>
  <c r="Q271" i="10" l="1"/>
  <c r="AA270" i="10"/>
  <c r="AI270" i="10" l="1"/>
  <c r="AJ270" i="10"/>
  <c r="AG270" i="10"/>
  <c r="AK270" i="10"/>
  <c r="AX270" i="10" s="1"/>
  <c r="S271" i="10"/>
  <c r="AM271" i="10"/>
  <c r="AC271" i="10"/>
  <c r="AB271" i="10"/>
  <c r="AV270" i="10" s="1"/>
  <c r="AD271" i="10" l="1"/>
  <c r="T271" i="10"/>
  <c r="AQ271" i="10" s="1"/>
  <c r="U271" i="10"/>
  <c r="W271" i="10" s="1"/>
  <c r="AP271" i="10" s="1"/>
  <c r="AO270" i="10"/>
  <c r="AY270" i="10" s="1"/>
  <c r="AH270" i="10"/>
  <c r="AL270" i="10"/>
  <c r="BA270" i="10"/>
  <c r="AN270" i="10" l="1"/>
  <c r="AW270" i="10" s="1"/>
  <c r="X271" i="10"/>
  <c r="Z271" i="10" l="1"/>
  <c r="AR271" i="10" s="1"/>
  <c r="AZ270" i="10"/>
  <c r="BD270" i="10"/>
  <c r="Q272" i="10" l="1"/>
  <c r="AA271" i="10"/>
  <c r="AI271" i="10" l="1"/>
  <c r="AJ271" i="10"/>
  <c r="AG271" i="10"/>
  <c r="AK271" i="10"/>
  <c r="AX271" i="10" s="1"/>
  <c r="S272" i="10"/>
  <c r="AM272" i="10"/>
  <c r="AC272" i="10"/>
  <c r="AB272" i="10"/>
  <c r="AV271" i="10" s="1"/>
  <c r="BA271" i="10" l="1"/>
  <c r="T272" i="10"/>
  <c r="AQ272" i="10" s="1"/>
  <c r="AD272" i="10"/>
  <c r="U272" i="10"/>
  <c r="W272" i="10" s="1"/>
  <c r="AP272" i="10" s="1"/>
  <c r="AO271" i="10"/>
  <c r="AY271" i="10" s="1"/>
  <c r="AH271" i="10"/>
  <c r="AL271" i="10"/>
  <c r="AN271" i="10" l="1"/>
  <c r="AW271" i="10" s="1"/>
  <c r="X272" i="10"/>
  <c r="Z272" i="10" l="1"/>
  <c r="AR272" i="10" s="1"/>
  <c r="AZ271" i="10"/>
  <c r="BD271" i="10"/>
  <c r="Q273" i="10" l="1"/>
  <c r="AA272" i="10"/>
  <c r="AI272" i="10" l="1"/>
  <c r="AJ272" i="10"/>
  <c r="AG272" i="10"/>
  <c r="AK272" i="10"/>
  <c r="AX272" i="10" s="1"/>
  <c r="S273" i="10"/>
  <c r="AB273" i="10"/>
  <c r="AV272" i="10" s="1"/>
  <c r="AM273" i="10"/>
  <c r="AC273" i="10"/>
  <c r="BA272" i="10" l="1"/>
  <c r="T273" i="10"/>
  <c r="AQ273" i="10" s="1"/>
  <c r="AD273" i="10"/>
  <c r="U273" i="10"/>
  <c r="W273" i="10" s="1"/>
  <c r="AP273" i="10" s="1"/>
  <c r="AO272" i="10"/>
  <c r="AY272" i="10" s="1"/>
  <c r="AH272" i="10"/>
  <c r="AL272" i="10"/>
  <c r="AN272" i="10" l="1"/>
  <c r="AW272" i="10" s="1"/>
  <c r="X273" i="10"/>
  <c r="Z273" i="10" l="1"/>
  <c r="AR273" i="10" s="1"/>
  <c r="BD272" i="10"/>
  <c r="AZ272" i="10"/>
  <c r="Q274" i="10" l="1"/>
  <c r="AA273" i="10"/>
  <c r="AI273" i="10" l="1"/>
  <c r="AJ273" i="10"/>
  <c r="AG273" i="10"/>
  <c r="AK273" i="10"/>
  <c r="AX273" i="10" s="1"/>
  <c r="S274" i="10"/>
  <c r="AM274" i="10"/>
  <c r="AC274" i="10"/>
  <c r="AB274" i="10"/>
  <c r="AV273" i="10" s="1"/>
  <c r="AD274" i="10" l="1"/>
  <c r="T274" i="10"/>
  <c r="AQ274" i="10" s="1"/>
  <c r="U274" i="10"/>
  <c r="W274" i="10" s="1"/>
  <c r="AP274" i="10" s="1"/>
  <c r="AO273" i="10"/>
  <c r="AY273" i="10" s="1"/>
  <c r="AH273" i="10"/>
  <c r="AL273" i="10"/>
  <c r="BA273" i="10"/>
  <c r="AN273" i="10" l="1"/>
  <c r="AW273" i="10" s="1"/>
  <c r="X274" i="10"/>
  <c r="Z274" i="10" l="1"/>
  <c r="AR274" i="10" s="1"/>
  <c r="BD273" i="10"/>
  <c r="AZ273" i="10"/>
  <c r="Q275" i="10" l="1"/>
  <c r="AA274" i="10"/>
  <c r="AI274" i="10" l="1"/>
  <c r="AJ274" i="10"/>
  <c r="AG274" i="10"/>
  <c r="AK274" i="10"/>
  <c r="AX274" i="10" s="1"/>
  <c r="S275" i="10"/>
  <c r="AC275" i="10"/>
  <c r="BA274" i="10" s="1"/>
  <c r="AM275" i="10"/>
  <c r="AB275" i="10"/>
  <c r="AV274" i="10" s="1"/>
  <c r="T275" i="10" l="1"/>
  <c r="AQ275" i="10" s="1"/>
  <c r="AD275" i="10"/>
  <c r="U275" i="10"/>
  <c r="W275" i="10" s="1"/>
  <c r="AP275" i="10" s="1"/>
  <c r="AO274" i="10"/>
  <c r="AY274" i="10" s="1"/>
  <c r="AH274" i="10"/>
  <c r="AL274" i="10"/>
  <c r="AN274" i="10" l="1"/>
  <c r="AW274" i="10" s="1"/>
  <c r="X275" i="10"/>
  <c r="Z275" i="10" l="1"/>
  <c r="AR275" i="10" s="1"/>
  <c r="AZ274" i="10"/>
  <c r="BD274" i="10"/>
  <c r="Q276" i="10" l="1"/>
  <c r="AA275" i="10"/>
  <c r="AI275" i="10" l="1"/>
  <c r="AJ275" i="10"/>
  <c r="AG275" i="10"/>
  <c r="AK275" i="10"/>
  <c r="AX275" i="10" s="1"/>
  <c r="S276" i="10"/>
  <c r="AC276" i="10"/>
  <c r="BA275" i="10" s="1"/>
  <c r="AB276" i="10"/>
  <c r="AV275" i="10" s="1"/>
  <c r="AM276" i="10"/>
  <c r="AD276" i="10" l="1"/>
  <c r="T276" i="10"/>
  <c r="AQ276" i="10" s="1"/>
  <c r="U276" i="10"/>
  <c r="W276" i="10" s="1"/>
  <c r="AP276" i="10" s="1"/>
  <c r="AH275" i="10"/>
  <c r="AO275" i="10"/>
  <c r="AY275" i="10" s="1"/>
  <c r="AL275" i="10"/>
  <c r="AN275" i="10" l="1"/>
  <c r="AW275" i="10" s="1"/>
  <c r="X276" i="10"/>
  <c r="Z276" i="10" l="1"/>
  <c r="AR276" i="10" s="1"/>
  <c r="AZ275" i="10"/>
  <c r="BD275" i="10"/>
  <c r="Q277" i="10" l="1"/>
  <c r="AA276" i="10"/>
  <c r="AI276" i="10" l="1"/>
  <c r="AJ276" i="10"/>
  <c r="AG276" i="10"/>
  <c r="AK276" i="10"/>
  <c r="AX276" i="10" s="1"/>
  <c r="S277" i="10"/>
  <c r="AC277" i="10"/>
  <c r="BA276" i="10" s="1"/>
  <c r="AM277" i="10"/>
  <c r="AB277" i="10"/>
  <c r="AV276" i="10" s="1"/>
  <c r="T277" i="10" l="1"/>
  <c r="AQ277" i="10" s="1"/>
  <c r="AD277" i="10"/>
  <c r="U277" i="10"/>
  <c r="W277" i="10" s="1"/>
  <c r="AP277" i="10" s="1"/>
  <c r="AH276" i="10"/>
  <c r="AO276" i="10"/>
  <c r="AY276" i="10" s="1"/>
  <c r="AL276" i="10"/>
  <c r="AN276" i="10" l="1"/>
  <c r="AW276" i="10" s="1"/>
  <c r="X277" i="10"/>
  <c r="Z277" i="10" l="1"/>
  <c r="AR277" i="10" s="1"/>
  <c r="BD276" i="10"/>
  <c r="AZ276" i="10"/>
  <c r="Q278" i="10" l="1"/>
  <c r="AA277" i="10"/>
  <c r="AI277" i="10" l="1"/>
  <c r="AJ277" i="10"/>
  <c r="AG277" i="10"/>
  <c r="AK277" i="10"/>
  <c r="AX277" i="10" s="1"/>
  <c r="S278" i="10"/>
  <c r="AC278" i="10"/>
  <c r="BA277" i="10" s="1"/>
  <c r="AB278" i="10"/>
  <c r="AV277" i="10" s="1"/>
  <c r="AM278" i="10"/>
  <c r="AD278" i="10" l="1"/>
  <c r="T278" i="10"/>
  <c r="AQ278" i="10" s="1"/>
  <c r="U278" i="10"/>
  <c r="W278" i="10" s="1"/>
  <c r="AP278" i="10" s="1"/>
  <c r="AH277" i="10"/>
  <c r="AO277" i="10"/>
  <c r="AY277" i="10" s="1"/>
  <c r="AL277" i="10"/>
  <c r="AN277" i="10" l="1"/>
  <c r="AW277" i="10" s="1"/>
  <c r="X278" i="10"/>
  <c r="Z278" i="10" l="1"/>
  <c r="AR278" i="10" s="1"/>
  <c r="AZ277" i="10"/>
  <c r="BD277" i="10"/>
  <c r="Q279" i="10" l="1"/>
  <c r="AA278" i="10"/>
  <c r="AI278" i="10" l="1"/>
  <c r="AJ278" i="10"/>
  <c r="AG278" i="10"/>
  <c r="AK278" i="10"/>
  <c r="AX278" i="10" s="1"/>
  <c r="S279" i="10"/>
  <c r="AC279" i="10"/>
  <c r="BA278" i="10" s="1"/>
  <c r="AM279" i="10"/>
  <c r="AB279" i="10"/>
  <c r="AV278" i="10" s="1"/>
  <c r="T279" i="10" l="1"/>
  <c r="AQ279" i="10" s="1"/>
  <c r="AD279" i="10"/>
  <c r="U279" i="10"/>
  <c r="W279" i="10" s="1"/>
  <c r="AP279" i="10" s="1"/>
  <c r="AH278" i="10"/>
  <c r="AO278" i="10"/>
  <c r="AY278" i="10" s="1"/>
  <c r="AL278" i="10"/>
  <c r="AN278" i="10" l="1"/>
  <c r="AW278" i="10" s="1"/>
  <c r="X279" i="10"/>
  <c r="Z279" i="10" l="1"/>
  <c r="AR279" i="10" s="1"/>
  <c r="BD278" i="10"/>
  <c r="AZ278" i="10"/>
  <c r="Q280" i="10" l="1"/>
  <c r="AA279" i="10"/>
  <c r="AI279" i="10" l="1"/>
  <c r="AJ279" i="10"/>
  <c r="AG279" i="10"/>
  <c r="AK279" i="10"/>
  <c r="AX279" i="10" s="1"/>
  <c r="S280" i="10"/>
  <c r="AC280" i="10"/>
  <c r="BA279" i="10" s="1"/>
  <c r="AB280" i="10"/>
  <c r="AV279" i="10" s="1"/>
  <c r="AM280" i="10"/>
  <c r="AD280" i="10" l="1"/>
  <c r="T280" i="10"/>
  <c r="AQ280" i="10" s="1"/>
  <c r="U280" i="10"/>
  <c r="W280" i="10" s="1"/>
  <c r="AP280" i="10" s="1"/>
  <c r="AH279" i="10"/>
  <c r="AO279" i="10"/>
  <c r="AY279" i="10" s="1"/>
  <c r="AL279" i="10"/>
  <c r="AN279" i="10" l="1"/>
  <c r="AW279" i="10" s="1"/>
  <c r="AZ279" i="10"/>
  <c r="BD279" i="10"/>
  <c r="X280" i="10"/>
  <c r="Z280" i="10" l="1"/>
  <c r="AR280" i="10" s="1"/>
  <c r="Q281" i="10" l="1"/>
  <c r="AA280" i="10"/>
  <c r="AI280" i="10" l="1"/>
  <c r="AJ280" i="10"/>
  <c r="AG280" i="10"/>
  <c r="AK280" i="10"/>
  <c r="AX280" i="10" s="1"/>
  <c r="S281" i="10"/>
  <c r="AC281" i="10"/>
  <c r="AM281" i="10"/>
  <c r="AB281" i="10"/>
  <c r="AV280" i="10" s="1"/>
  <c r="BA280" i="10" l="1"/>
  <c r="T281" i="10"/>
  <c r="AQ281" i="10" s="1"/>
  <c r="AD281" i="10"/>
  <c r="U281" i="10"/>
  <c r="W281" i="10" s="1"/>
  <c r="AP281" i="10" s="1"/>
  <c r="AH280" i="10"/>
  <c r="AO280" i="10"/>
  <c r="AY280" i="10" s="1"/>
  <c r="AL280" i="10"/>
  <c r="AN280" i="10" l="1"/>
  <c r="AW280" i="10" s="1"/>
  <c r="X281" i="10"/>
  <c r="Z281" i="10" l="1"/>
  <c r="AR281" i="10" s="1"/>
  <c r="BD280" i="10"/>
  <c r="AZ280" i="10"/>
  <c r="Q282" i="10" l="1"/>
  <c r="AA281" i="10"/>
  <c r="AI281" i="10" l="1"/>
  <c r="AJ281" i="10"/>
  <c r="AG281" i="10"/>
  <c r="AK281" i="10"/>
  <c r="AX281" i="10" s="1"/>
  <c r="S282" i="10"/>
  <c r="AC282" i="10"/>
  <c r="BA281" i="10" s="1"/>
  <c r="AB282" i="10"/>
  <c r="AV281" i="10" s="1"/>
  <c r="AM282" i="10"/>
  <c r="AD282" i="10" l="1"/>
  <c r="T282" i="10"/>
  <c r="AQ282" i="10" s="1"/>
  <c r="U282" i="10"/>
  <c r="W282" i="10" s="1"/>
  <c r="AP282" i="10" s="1"/>
  <c r="AH281" i="10"/>
  <c r="AO281" i="10"/>
  <c r="AY281" i="10" s="1"/>
  <c r="AL281" i="10"/>
  <c r="AN281" i="10" l="1"/>
  <c r="AW281" i="10" s="1"/>
  <c r="AZ281" i="10" s="1"/>
  <c r="X282" i="10"/>
  <c r="BD281" i="10" l="1"/>
  <c r="Z282" i="10"/>
  <c r="AR282" i="10" s="1"/>
  <c r="Q283" i="10" l="1"/>
  <c r="AA282" i="10"/>
  <c r="S283" i="10" l="1"/>
  <c r="AC283" i="10"/>
  <c r="AM283" i="10"/>
  <c r="AB283" i="10"/>
  <c r="AV282" i="10" s="1"/>
  <c r="AI282" i="10"/>
  <c r="AJ282" i="10"/>
  <c r="AG282" i="10"/>
  <c r="AK282" i="10"/>
  <c r="AX282" i="10" s="1"/>
  <c r="AL282" i="10" l="1"/>
  <c r="AH282" i="10"/>
  <c r="AO282" i="10"/>
  <c r="AY282" i="10" s="1"/>
  <c r="BA282" i="10"/>
  <c r="T283" i="10"/>
  <c r="AQ283" i="10" s="1"/>
  <c r="AD283" i="10"/>
  <c r="U283" i="10"/>
  <c r="W283" i="10" s="1"/>
  <c r="AP283" i="10" s="1"/>
  <c r="AN282" i="10" l="1"/>
  <c r="AW282" i="10" s="1"/>
  <c r="X283" i="10"/>
  <c r="Z283" i="10" s="1"/>
  <c r="AR283" i="10" s="1"/>
  <c r="BD282" i="10"/>
  <c r="AZ282" i="10"/>
  <c r="Q284" i="10" l="1"/>
  <c r="AA283" i="10"/>
  <c r="AI283" i="10" l="1"/>
  <c r="AJ283" i="10"/>
  <c r="AG283" i="10"/>
  <c r="AK283" i="10"/>
  <c r="AX283" i="10" s="1"/>
  <c r="S284" i="10"/>
  <c r="AC284" i="10"/>
  <c r="BA283" i="10" s="1"/>
  <c r="AB284" i="10"/>
  <c r="AV283" i="10" s="1"/>
  <c r="AM284" i="10"/>
  <c r="AD284" i="10" l="1"/>
  <c r="T284" i="10"/>
  <c r="AQ284" i="10" s="1"/>
  <c r="U284" i="10"/>
  <c r="W284" i="10" s="1"/>
  <c r="AP284" i="10" s="1"/>
  <c r="AH283" i="10"/>
  <c r="AO283" i="10"/>
  <c r="AY283" i="10" s="1"/>
  <c r="AL283" i="10"/>
  <c r="AN283" i="10" l="1"/>
  <c r="AW283" i="10" s="1"/>
  <c r="X284" i="10"/>
  <c r="Z284" i="10" l="1"/>
  <c r="AR284" i="10" s="1"/>
  <c r="AZ283" i="10"/>
  <c r="BD283" i="10"/>
  <c r="Q285" i="10" l="1"/>
  <c r="AA284" i="10"/>
  <c r="AI284" i="10" l="1"/>
  <c r="AJ284" i="10"/>
  <c r="AG284" i="10"/>
  <c r="AK284" i="10"/>
  <c r="AX284" i="10" s="1"/>
  <c r="S285" i="10"/>
  <c r="AC285" i="10"/>
  <c r="BA284" i="10" s="1"/>
  <c r="AM285" i="10"/>
  <c r="AB285" i="10"/>
  <c r="AV284" i="10" s="1"/>
  <c r="T285" i="10" l="1"/>
  <c r="AQ285" i="10" s="1"/>
  <c r="AD285" i="10"/>
  <c r="U285" i="10"/>
  <c r="W285" i="10" s="1"/>
  <c r="AP285" i="10" s="1"/>
  <c r="AH284" i="10"/>
  <c r="AO284" i="10"/>
  <c r="AY284" i="10" s="1"/>
  <c r="AL284" i="10"/>
  <c r="AN284" i="10" l="1"/>
  <c r="AW284" i="10" s="1"/>
  <c r="X285" i="10"/>
  <c r="Z285" i="10" l="1"/>
  <c r="AR285" i="10" s="1"/>
  <c r="BD284" i="10"/>
  <c r="AZ284" i="10"/>
  <c r="Q286" i="10" l="1"/>
  <c r="AA285" i="10"/>
  <c r="AI285" i="10" l="1"/>
  <c r="AJ285" i="10"/>
  <c r="AG285" i="10"/>
  <c r="AK285" i="10"/>
  <c r="AX285" i="10" s="1"/>
  <c r="S286" i="10"/>
  <c r="AC286" i="10"/>
  <c r="AB286" i="10"/>
  <c r="AV285" i="10" s="1"/>
  <c r="AM286" i="10"/>
  <c r="BA285" i="10" l="1"/>
  <c r="AL285" i="10"/>
  <c r="AD286" i="10"/>
  <c r="T286" i="10"/>
  <c r="AQ286" i="10" s="1"/>
  <c r="U286" i="10"/>
  <c r="W286" i="10" s="1"/>
  <c r="AP286" i="10" s="1"/>
  <c r="AH285" i="10"/>
  <c r="AN285" i="10" s="1"/>
  <c r="AW285" i="10" s="1"/>
  <c r="AO285" i="10"/>
  <c r="AY285" i="10" s="1"/>
  <c r="AZ285" i="10" l="1"/>
  <c r="BD285" i="10"/>
  <c r="X286" i="10"/>
  <c r="Z286" i="10" l="1"/>
  <c r="AR286" i="10" s="1"/>
  <c r="Q287" i="10" l="1"/>
  <c r="AA286" i="10"/>
  <c r="AI286" i="10" l="1"/>
  <c r="AJ286" i="10"/>
  <c r="AG286" i="10"/>
  <c r="AK286" i="10"/>
  <c r="AX286" i="10" s="1"/>
  <c r="S287" i="10"/>
  <c r="AC287" i="10"/>
  <c r="BA286" i="10" s="1"/>
  <c r="AM287" i="10"/>
  <c r="AB287" i="10"/>
  <c r="AV286" i="10" s="1"/>
  <c r="T287" i="10" l="1"/>
  <c r="AQ287" i="10" s="1"/>
  <c r="AD287" i="10"/>
  <c r="U287" i="10"/>
  <c r="W287" i="10" s="1"/>
  <c r="AP287" i="10" s="1"/>
  <c r="AH286" i="10"/>
  <c r="AO286" i="10"/>
  <c r="AY286" i="10" s="1"/>
  <c r="AL286" i="10"/>
  <c r="AN286" i="10" l="1"/>
  <c r="AW286" i="10" s="1"/>
  <c r="X287" i="10"/>
  <c r="Z287" i="10" l="1"/>
  <c r="AR287" i="10" s="1"/>
  <c r="BD286" i="10"/>
  <c r="AZ286" i="10"/>
  <c r="Q288" i="10" l="1"/>
  <c r="AA287" i="10"/>
  <c r="AI287" i="10" l="1"/>
  <c r="AJ287" i="10"/>
  <c r="AG287" i="10"/>
  <c r="AK287" i="10"/>
  <c r="AX287" i="10" s="1"/>
  <c r="S288" i="10"/>
  <c r="AC288" i="10"/>
  <c r="BA287" i="10" s="1"/>
  <c r="AB288" i="10"/>
  <c r="AV287" i="10" s="1"/>
  <c r="AM288" i="10"/>
  <c r="AD288" i="10" l="1"/>
  <c r="T288" i="10"/>
  <c r="AQ288" i="10" s="1"/>
  <c r="U288" i="10"/>
  <c r="W288" i="10" s="1"/>
  <c r="AP288" i="10" s="1"/>
  <c r="AH287" i="10"/>
  <c r="AO287" i="10"/>
  <c r="AY287" i="10" s="1"/>
  <c r="AL287" i="10"/>
  <c r="AN287" i="10" l="1"/>
  <c r="AW287" i="10" s="1"/>
  <c r="X288" i="10"/>
  <c r="AZ287" i="10"/>
  <c r="BD287" i="10"/>
  <c r="Z288" i="10" l="1"/>
  <c r="AR288" i="10" s="1"/>
  <c r="Q289" i="10" l="1"/>
  <c r="AA288" i="10"/>
  <c r="AI288" i="10" l="1"/>
  <c r="AJ288" i="10"/>
  <c r="AG288" i="10"/>
  <c r="AK288" i="10"/>
  <c r="AX288" i="10" s="1"/>
  <c r="S289" i="10"/>
  <c r="AC289" i="10"/>
  <c r="AM289" i="10"/>
  <c r="AB289" i="10"/>
  <c r="AV288" i="10" s="1"/>
  <c r="BA288" i="10" l="1"/>
  <c r="T289" i="10"/>
  <c r="AQ289" i="10" s="1"/>
  <c r="AD289" i="10"/>
  <c r="U289" i="10"/>
  <c r="W289" i="10" s="1"/>
  <c r="AP289" i="10" s="1"/>
  <c r="AH288" i="10"/>
  <c r="AO288" i="10"/>
  <c r="AY288" i="10" s="1"/>
  <c r="AL288" i="10"/>
  <c r="AN288" i="10" l="1"/>
  <c r="AW288" i="10" s="1"/>
  <c r="X289" i="10"/>
  <c r="Z289" i="10" l="1"/>
  <c r="AR289" i="10" s="1"/>
  <c r="BD288" i="10"/>
  <c r="AZ288" i="10"/>
  <c r="Q290" i="10" l="1"/>
  <c r="AA289" i="10"/>
  <c r="AI289" i="10" l="1"/>
  <c r="AJ289" i="10"/>
  <c r="AG289" i="10"/>
  <c r="AK289" i="10"/>
  <c r="AX289" i="10" s="1"/>
  <c r="S290" i="10"/>
  <c r="AC290" i="10"/>
  <c r="BA289" i="10" s="1"/>
  <c r="AB290" i="10"/>
  <c r="AV289" i="10" s="1"/>
  <c r="AM290" i="10"/>
  <c r="AD290" i="10" l="1"/>
  <c r="T290" i="10"/>
  <c r="AQ290" i="10" s="1"/>
  <c r="U290" i="10"/>
  <c r="W290" i="10" s="1"/>
  <c r="AP290" i="10" s="1"/>
  <c r="AL289" i="10"/>
  <c r="AH289" i="10"/>
  <c r="AN289" i="10" s="1"/>
  <c r="AW289" i="10" s="1"/>
  <c r="AO289" i="10"/>
  <c r="AY289" i="10" s="1"/>
  <c r="AZ289" i="10" l="1"/>
  <c r="BD289" i="10"/>
  <c r="X290" i="10"/>
  <c r="Z290" i="10" l="1"/>
  <c r="AR290" i="10" s="1"/>
  <c r="Q291" i="10" l="1"/>
  <c r="AA290" i="10"/>
  <c r="AI290" i="10" l="1"/>
  <c r="AJ290" i="10"/>
  <c r="AG290" i="10"/>
  <c r="AK290" i="10"/>
  <c r="AX290" i="10" s="1"/>
  <c r="S291" i="10"/>
  <c r="AC291" i="10"/>
  <c r="BA290" i="10" s="1"/>
  <c r="AM291" i="10"/>
  <c r="AB291" i="10"/>
  <c r="AV290" i="10" s="1"/>
  <c r="T291" i="10" l="1"/>
  <c r="AQ291" i="10" s="1"/>
  <c r="AD291" i="10"/>
  <c r="U291" i="10"/>
  <c r="W291" i="10" s="1"/>
  <c r="AP291" i="10" s="1"/>
  <c r="AH290" i="10"/>
  <c r="AO290" i="10"/>
  <c r="AY290" i="10" s="1"/>
  <c r="AL290" i="10"/>
  <c r="AN290" i="10" l="1"/>
  <c r="AW290" i="10" s="1"/>
  <c r="X291" i="10"/>
  <c r="Z291" i="10" l="1"/>
  <c r="AR291" i="10" s="1"/>
  <c r="BD290" i="10"/>
  <c r="AZ290" i="10"/>
  <c r="Q292" i="10" l="1"/>
  <c r="AA291" i="10"/>
  <c r="AI291" i="10" l="1"/>
  <c r="AJ291" i="10"/>
  <c r="AG291" i="10"/>
  <c r="AK291" i="10"/>
  <c r="AX291" i="10" s="1"/>
  <c r="S292" i="10"/>
  <c r="AC292" i="10"/>
  <c r="BA291" i="10" s="1"/>
  <c r="AB292" i="10"/>
  <c r="AV291" i="10" s="1"/>
  <c r="AM292" i="10"/>
  <c r="AD292" i="10" l="1"/>
  <c r="T292" i="10"/>
  <c r="AQ292" i="10" s="1"/>
  <c r="U292" i="10"/>
  <c r="W292" i="10" s="1"/>
  <c r="AP292" i="10" s="1"/>
  <c r="AH291" i="10"/>
  <c r="AO291" i="10"/>
  <c r="AY291" i="10" s="1"/>
  <c r="AL291" i="10"/>
  <c r="AN291" i="10" l="1"/>
  <c r="AW291" i="10" s="1"/>
  <c r="AZ291" i="10" s="1"/>
  <c r="X292" i="10"/>
  <c r="BD291" i="10" l="1"/>
  <c r="Z292" i="10"/>
  <c r="AR292" i="10" s="1"/>
  <c r="Q293" i="10" l="1"/>
  <c r="AA292" i="10"/>
  <c r="AI292" i="10" l="1"/>
  <c r="AJ292" i="10"/>
  <c r="AG292" i="10"/>
  <c r="AK292" i="10"/>
  <c r="AX292" i="10" s="1"/>
  <c r="S293" i="10"/>
  <c r="AC293" i="10"/>
  <c r="BA292" i="10" s="1"/>
  <c r="AM293" i="10"/>
  <c r="AB293" i="10"/>
  <c r="AV292" i="10" s="1"/>
  <c r="T293" i="10" l="1"/>
  <c r="AQ293" i="10" s="1"/>
  <c r="AD293" i="10"/>
  <c r="U293" i="10"/>
  <c r="W293" i="10" s="1"/>
  <c r="AP293" i="10" s="1"/>
  <c r="AH292" i="10"/>
  <c r="AO292" i="10"/>
  <c r="AY292" i="10" s="1"/>
  <c r="AL292" i="10"/>
  <c r="AN292" i="10" l="1"/>
  <c r="AW292" i="10" s="1"/>
  <c r="X293" i="10"/>
  <c r="Z293" i="10" l="1"/>
  <c r="AR293" i="10" s="1"/>
  <c r="BD292" i="10"/>
  <c r="AZ292" i="10"/>
  <c r="Q294" i="10" l="1"/>
  <c r="AA293" i="10"/>
  <c r="AI293" i="10" l="1"/>
  <c r="AJ293" i="10"/>
  <c r="AG293" i="10"/>
  <c r="AK293" i="10"/>
  <c r="AX293" i="10" s="1"/>
  <c r="S294" i="10"/>
  <c r="AC294" i="10"/>
  <c r="BA293" i="10" s="1"/>
  <c r="AB294" i="10"/>
  <c r="AV293" i="10" s="1"/>
  <c r="AM294" i="10"/>
  <c r="AD294" i="10" l="1"/>
  <c r="T294" i="10"/>
  <c r="AQ294" i="10" s="1"/>
  <c r="U294" i="10"/>
  <c r="W294" i="10" s="1"/>
  <c r="AP294" i="10" s="1"/>
  <c r="AH293" i="10"/>
  <c r="AO293" i="10"/>
  <c r="AY293" i="10" s="1"/>
  <c r="AL293" i="10"/>
  <c r="AN293" i="10" l="1"/>
  <c r="AW293" i="10" s="1"/>
  <c r="X294" i="10"/>
  <c r="Z294" i="10" l="1"/>
  <c r="AR294" i="10" s="1"/>
  <c r="AZ293" i="10"/>
  <c r="BD293" i="10"/>
  <c r="Q295" i="10" l="1"/>
  <c r="AA294" i="10"/>
  <c r="AI294" i="10" l="1"/>
  <c r="AJ294" i="10"/>
  <c r="AG294" i="10"/>
  <c r="AK294" i="10"/>
  <c r="AX294" i="10" s="1"/>
  <c r="S295" i="10"/>
  <c r="AC295" i="10"/>
  <c r="BA294" i="10" s="1"/>
  <c r="AM295" i="10"/>
  <c r="AB295" i="10"/>
  <c r="AV294" i="10" s="1"/>
  <c r="T295" i="10" l="1"/>
  <c r="AQ295" i="10" s="1"/>
  <c r="AD295" i="10"/>
  <c r="U295" i="10"/>
  <c r="W295" i="10" s="1"/>
  <c r="AP295" i="10" s="1"/>
  <c r="AH294" i="10"/>
  <c r="AO294" i="10"/>
  <c r="AY294" i="10" s="1"/>
  <c r="AL294" i="10"/>
  <c r="AN294" i="10" l="1"/>
  <c r="AW294" i="10" s="1"/>
  <c r="X295" i="10"/>
  <c r="Z295" i="10" l="1"/>
  <c r="AR295" i="10" s="1"/>
  <c r="BD294" i="10"/>
  <c r="AZ294" i="10"/>
  <c r="Q296" i="10" l="1"/>
  <c r="AA295" i="10"/>
  <c r="AI295" i="10" l="1"/>
  <c r="AJ295" i="10"/>
  <c r="AG295" i="10"/>
  <c r="AK295" i="10"/>
  <c r="AX295" i="10" s="1"/>
  <c r="S296" i="10"/>
  <c r="AC296" i="10"/>
  <c r="BA295" i="10" s="1"/>
  <c r="AB296" i="10"/>
  <c r="AV295" i="10" s="1"/>
  <c r="AM296" i="10"/>
  <c r="AD296" i="10" l="1"/>
  <c r="T296" i="10"/>
  <c r="AQ296" i="10" s="1"/>
  <c r="U296" i="10"/>
  <c r="W296" i="10" s="1"/>
  <c r="AP296" i="10" s="1"/>
  <c r="AH295" i="10"/>
  <c r="AO295" i="10"/>
  <c r="AY295" i="10" s="1"/>
  <c r="AL295" i="10"/>
  <c r="AN295" i="10" l="1"/>
  <c r="AW295" i="10" s="1"/>
  <c r="X296" i="10"/>
  <c r="Z296" i="10" l="1"/>
  <c r="AR296" i="10" s="1"/>
  <c r="AZ295" i="10"/>
  <c r="BD295" i="10"/>
  <c r="Q297" i="10" l="1"/>
  <c r="AA296" i="10"/>
  <c r="AI296" i="10" l="1"/>
  <c r="AJ296" i="10"/>
  <c r="AG296" i="10"/>
  <c r="AK296" i="10"/>
  <c r="AX296" i="10" s="1"/>
  <c r="S297" i="10"/>
  <c r="AC297" i="10"/>
  <c r="BA296" i="10" s="1"/>
  <c r="AM297" i="10"/>
  <c r="AB297" i="10"/>
  <c r="AV296" i="10" s="1"/>
  <c r="T297" i="10" l="1"/>
  <c r="AQ297" i="10" s="1"/>
  <c r="AD297" i="10"/>
  <c r="U297" i="10"/>
  <c r="W297" i="10" s="1"/>
  <c r="AP297" i="10" s="1"/>
  <c r="AH296" i="10"/>
  <c r="AO296" i="10"/>
  <c r="AY296" i="10" s="1"/>
  <c r="AL296" i="10"/>
  <c r="AN296" i="10" l="1"/>
  <c r="AW296" i="10" s="1"/>
  <c r="X297" i="10"/>
  <c r="BD296" i="10" l="1"/>
  <c r="AZ296" i="10"/>
  <c r="Z297" i="10"/>
  <c r="AR297" i="10" s="1"/>
  <c r="Q298" i="10" l="1"/>
  <c r="AA297" i="10"/>
  <c r="AI297" i="10" l="1"/>
  <c r="AJ297" i="10"/>
  <c r="AG297" i="10"/>
  <c r="AK297" i="10"/>
  <c r="AX297" i="10" s="1"/>
  <c r="S298" i="10"/>
  <c r="AC298" i="10"/>
  <c r="BA297" i="10" s="1"/>
  <c r="AB298" i="10"/>
  <c r="AV297" i="10" s="1"/>
  <c r="AM298" i="10"/>
  <c r="AD298" i="10" l="1"/>
  <c r="T298" i="10"/>
  <c r="AQ298" i="10" s="1"/>
  <c r="U298" i="10"/>
  <c r="W298" i="10" s="1"/>
  <c r="AP298" i="10" s="1"/>
  <c r="AH297" i="10"/>
  <c r="AO297" i="10"/>
  <c r="AY297" i="10" s="1"/>
  <c r="AL297" i="10"/>
  <c r="X298" i="10" l="1"/>
  <c r="AN297" i="10"/>
  <c r="AW297" i="10" s="1"/>
  <c r="AZ297" i="10" l="1"/>
  <c r="BD297" i="10"/>
  <c r="Z298" i="10"/>
  <c r="AR298" i="10" s="1"/>
  <c r="Q299" i="10" l="1"/>
  <c r="AA298" i="10"/>
  <c r="AI298" i="10" l="1"/>
  <c r="AJ298" i="10"/>
  <c r="AG298" i="10"/>
  <c r="AK298" i="10"/>
  <c r="AX298" i="10" s="1"/>
  <c r="S299" i="10"/>
  <c r="AC299" i="10"/>
  <c r="BA298" i="10" s="1"/>
  <c r="AM299" i="10"/>
  <c r="AB299" i="10"/>
  <c r="AV298" i="10" s="1"/>
  <c r="T299" i="10" l="1"/>
  <c r="AQ299" i="10" s="1"/>
  <c r="AD299" i="10"/>
  <c r="U299" i="10"/>
  <c r="W299" i="10" s="1"/>
  <c r="AP299" i="10" s="1"/>
  <c r="AH298" i="10"/>
  <c r="AO298" i="10"/>
  <c r="AY298" i="10" s="1"/>
  <c r="AL298" i="10"/>
  <c r="AN298" i="10" l="1"/>
  <c r="AW298" i="10" s="1"/>
  <c r="X299" i="10"/>
  <c r="Z299" i="10" l="1"/>
  <c r="AR299" i="10" s="1"/>
  <c r="BD298" i="10"/>
  <c r="AZ298" i="10"/>
  <c r="Q300" i="10" l="1"/>
  <c r="AA299" i="10"/>
  <c r="AI299" i="10" l="1"/>
  <c r="AJ299" i="10"/>
  <c r="AG299" i="10"/>
  <c r="AK299" i="10"/>
  <c r="AX299" i="10" s="1"/>
  <c r="S300" i="10"/>
  <c r="AC300" i="10"/>
  <c r="BA299" i="10" s="1"/>
  <c r="AB300" i="10"/>
  <c r="AV299" i="10" s="1"/>
  <c r="AM300" i="10"/>
  <c r="AD300" i="10" l="1"/>
  <c r="T300" i="10"/>
  <c r="AQ300" i="10" s="1"/>
  <c r="U300" i="10"/>
  <c r="W300" i="10" s="1"/>
  <c r="AP300" i="10" s="1"/>
  <c r="AH299" i="10"/>
  <c r="AO299" i="10"/>
  <c r="AY299" i="10" s="1"/>
  <c r="AL299" i="10"/>
  <c r="AN299" i="10" l="1"/>
  <c r="AW299" i="10" s="1"/>
  <c r="X300" i="10"/>
  <c r="Z300" i="10" l="1"/>
  <c r="AR300" i="10" s="1"/>
  <c r="AZ299" i="10"/>
  <c r="BD299" i="10"/>
  <c r="Q301" i="10" l="1"/>
  <c r="AA300" i="10"/>
  <c r="AI300" i="10" l="1"/>
  <c r="AJ300" i="10"/>
  <c r="AG300" i="10"/>
  <c r="AK300" i="10"/>
  <c r="AX300" i="10" s="1"/>
  <c r="S301" i="10"/>
  <c r="AC301" i="10"/>
  <c r="BA300" i="10" s="1"/>
  <c r="AM301" i="10"/>
  <c r="AB301" i="10"/>
  <c r="AV300" i="10" s="1"/>
  <c r="T301" i="10" l="1"/>
  <c r="AQ301" i="10" s="1"/>
  <c r="AD301" i="10"/>
  <c r="U301" i="10"/>
  <c r="W301" i="10" s="1"/>
  <c r="AP301" i="10" s="1"/>
  <c r="AH300" i="10"/>
  <c r="AO300" i="10"/>
  <c r="AY300" i="10" s="1"/>
  <c r="AL300" i="10"/>
  <c r="AN300" i="10" l="1"/>
  <c r="AW300" i="10" s="1"/>
  <c r="BD300" i="10" s="1"/>
  <c r="X301" i="10"/>
  <c r="AZ300" i="10" l="1"/>
  <c r="Z301" i="10"/>
  <c r="AR301" i="10" s="1"/>
  <c r="Q302" i="10" l="1"/>
  <c r="AA301" i="10"/>
  <c r="AI301" i="10" l="1"/>
  <c r="AJ301" i="10"/>
  <c r="AG301" i="10"/>
  <c r="AK301" i="10"/>
  <c r="AX301" i="10" s="1"/>
  <c r="S302" i="10"/>
  <c r="AC302" i="10"/>
  <c r="BA301" i="10" s="1"/>
  <c r="AB302" i="10"/>
  <c r="AV301" i="10" s="1"/>
  <c r="AM302" i="10"/>
  <c r="AD302" i="10" l="1"/>
  <c r="T302" i="10"/>
  <c r="AQ302" i="10" s="1"/>
  <c r="U302" i="10"/>
  <c r="W302" i="10" s="1"/>
  <c r="AP302" i="10" s="1"/>
  <c r="AH301" i="10"/>
  <c r="AO301" i="10"/>
  <c r="AY301" i="10" s="1"/>
  <c r="AL301" i="10"/>
  <c r="AN301" i="10" l="1"/>
  <c r="AW301" i="10" s="1"/>
  <c r="X302" i="10"/>
  <c r="Z302" i="10" l="1"/>
  <c r="AR302" i="10" s="1"/>
  <c r="AZ301" i="10"/>
  <c r="BD301" i="10"/>
  <c r="Q303" i="10" l="1"/>
  <c r="AA302" i="10"/>
  <c r="AI302" i="10" l="1"/>
  <c r="AJ302" i="10"/>
  <c r="AG302" i="10"/>
  <c r="AK302" i="10"/>
  <c r="AX302" i="10" s="1"/>
  <c r="S303" i="10"/>
  <c r="AC303" i="10"/>
  <c r="BA302" i="10" s="1"/>
  <c r="AM303" i="10"/>
  <c r="AB303" i="10"/>
  <c r="AV302" i="10" s="1"/>
  <c r="T303" i="10" l="1"/>
  <c r="AQ303" i="10" s="1"/>
  <c r="AD303" i="10"/>
  <c r="U303" i="10"/>
  <c r="W303" i="10" s="1"/>
  <c r="AP303" i="10" s="1"/>
  <c r="AH302" i="10"/>
  <c r="AO302" i="10"/>
  <c r="AY302" i="10" s="1"/>
  <c r="AL302" i="10"/>
  <c r="AN302" i="10" l="1"/>
  <c r="AW302" i="10" s="1"/>
  <c r="X303" i="10"/>
  <c r="Z303" i="10" l="1"/>
  <c r="AR303" i="10" s="1"/>
  <c r="BD302" i="10"/>
  <c r="AZ302" i="10"/>
  <c r="Q304" i="10" l="1"/>
  <c r="AA303" i="10"/>
  <c r="AI303" i="10" l="1"/>
  <c r="AJ303" i="10"/>
  <c r="AG303" i="10"/>
  <c r="AK303" i="10"/>
  <c r="AX303" i="10" s="1"/>
  <c r="S304" i="10"/>
  <c r="AC304" i="10"/>
  <c r="BA303" i="10" s="1"/>
  <c r="AB304" i="10"/>
  <c r="AV303" i="10" s="1"/>
  <c r="AM304" i="10"/>
  <c r="AD304" i="10" l="1"/>
  <c r="T304" i="10"/>
  <c r="AQ304" i="10" s="1"/>
  <c r="U304" i="10"/>
  <c r="W304" i="10" s="1"/>
  <c r="AP304" i="10" s="1"/>
  <c r="AH303" i="10"/>
  <c r="AO303" i="10"/>
  <c r="AY303" i="10" s="1"/>
  <c r="AL303" i="10"/>
  <c r="AN303" i="10" l="1"/>
  <c r="AW303" i="10" s="1"/>
  <c r="BD303" i="10" s="1"/>
  <c r="X304" i="10"/>
  <c r="AZ303" i="10" l="1"/>
  <c r="Z304" i="10"/>
  <c r="AR304" i="10" s="1"/>
  <c r="Q305" i="10" l="1"/>
  <c r="AA304" i="10"/>
  <c r="AI304" i="10" l="1"/>
  <c r="AJ304" i="10"/>
  <c r="AG304" i="10"/>
  <c r="AK304" i="10"/>
  <c r="AX304" i="10" s="1"/>
  <c r="S305" i="10"/>
  <c r="AC305" i="10"/>
  <c r="BA304" i="10" s="1"/>
  <c r="AM305" i="10"/>
  <c r="AB305" i="10"/>
  <c r="AV304" i="10" s="1"/>
  <c r="T305" i="10" l="1"/>
  <c r="AQ305" i="10" s="1"/>
  <c r="AD305" i="10"/>
  <c r="U305" i="10"/>
  <c r="W305" i="10" s="1"/>
  <c r="AP305" i="10" s="1"/>
  <c r="AH304" i="10"/>
  <c r="AO304" i="10"/>
  <c r="AY304" i="10" s="1"/>
  <c r="AL304" i="10"/>
  <c r="AN304" i="10" l="1"/>
  <c r="AW304" i="10" s="1"/>
  <c r="X305" i="10"/>
  <c r="Z305" i="10" l="1"/>
  <c r="AR305" i="10" s="1"/>
  <c r="BD304" i="10"/>
  <c r="AZ304" i="10"/>
  <c r="Q306" i="10" l="1"/>
  <c r="AA305" i="10"/>
  <c r="AI305" i="10" l="1"/>
  <c r="AJ305" i="10"/>
  <c r="AG305" i="10"/>
  <c r="AK305" i="10"/>
  <c r="AX305" i="10" s="1"/>
  <c r="S306" i="10"/>
  <c r="AC306" i="10"/>
  <c r="BA305" i="10" s="1"/>
  <c r="AB306" i="10"/>
  <c r="AV305" i="10" s="1"/>
  <c r="AM306" i="10"/>
  <c r="AD306" i="10" l="1"/>
  <c r="T306" i="10"/>
  <c r="AQ306" i="10" s="1"/>
  <c r="U306" i="10"/>
  <c r="W306" i="10" s="1"/>
  <c r="AP306" i="10" s="1"/>
  <c r="AH305" i="10"/>
  <c r="AO305" i="10"/>
  <c r="AY305" i="10" s="1"/>
  <c r="AL305" i="10"/>
  <c r="AN305" i="10" l="1"/>
  <c r="AW305" i="10" s="1"/>
  <c r="X306" i="10"/>
  <c r="Z306" i="10" l="1"/>
  <c r="AR306" i="10" s="1"/>
  <c r="AZ305" i="10"/>
  <c r="BD305" i="10"/>
  <c r="Q307" i="10" l="1"/>
  <c r="AA306" i="10"/>
  <c r="AI306" i="10" l="1"/>
  <c r="AJ306" i="10"/>
  <c r="AG306" i="10"/>
  <c r="AK306" i="10"/>
  <c r="AX306" i="10" s="1"/>
  <c r="S307" i="10"/>
  <c r="AC307" i="10"/>
  <c r="BA306" i="10" s="1"/>
  <c r="AM307" i="10"/>
  <c r="AB307" i="10"/>
  <c r="AV306" i="10" s="1"/>
  <c r="T307" i="10" l="1"/>
  <c r="AQ307" i="10" s="1"/>
  <c r="AD307" i="10"/>
  <c r="U307" i="10"/>
  <c r="W307" i="10" s="1"/>
  <c r="AP307" i="10" s="1"/>
  <c r="AH306" i="10"/>
  <c r="AO306" i="10"/>
  <c r="AY306" i="10" s="1"/>
  <c r="AL306" i="10"/>
  <c r="AN306" i="10" l="1"/>
  <c r="AW306" i="10" s="1"/>
  <c r="BD306" i="10" s="1"/>
  <c r="X307" i="10"/>
  <c r="AZ306" i="10" l="1"/>
  <c r="Z307" i="10"/>
  <c r="AR307" i="10" s="1"/>
  <c r="Q308" i="10" l="1"/>
  <c r="AA307" i="10"/>
  <c r="AI307" i="10" l="1"/>
  <c r="AJ307" i="10"/>
  <c r="AG307" i="10"/>
  <c r="AK307" i="10"/>
  <c r="AX307" i="10" s="1"/>
  <c r="S308" i="10"/>
  <c r="AC308" i="10"/>
  <c r="BA307" i="10" s="1"/>
  <c r="AB308" i="10"/>
  <c r="AV307" i="10" s="1"/>
  <c r="AM308" i="10"/>
  <c r="AD308" i="10" l="1"/>
  <c r="T308" i="10"/>
  <c r="AQ308" i="10" s="1"/>
  <c r="U308" i="10"/>
  <c r="W308" i="10" s="1"/>
  <c r="AP308" i="10" s="1"/>
  <c r="AH307" i="10"/>
  <c r="AO307" i="10"/>
  <c r="AY307" i="10" s="1"/>
  <c r="AL307" i="10"/>
  <c r="AN307" i="10" l="1"/>
  <c r="AW307" i="10" s="1"/>
  <c r="X308" i="10"/>
  <c r="Z308" i="10" l="1"/>
  <c r="AR308" i="10" s="1"/>
  <c r="AZ307" i="10"/>
  <c r="BD307" i="10"/>
  <c r="Q309" i="10" l="1"/>
  <c r="AA308" i="10"/>
  <c r="AI308" i="10" l="1"/>
  <c r="AJ308" i="10"/>
  <c r="AG308" i="10"/>
  <c r="AK308" i="10"/>
  <c r="AX308" i="10" s="1"/>
  <c r="S309" i="10"/>
  <c r="AC309" i="10"/>
  <c r="BA308" i="10" s="1"/>
  <c r="AM309" i="10"/>
  <c r="AB309" i="10"/>
  <c r="AV308" i="10" s="1"/>
  <c r="T309" i="10" l="1"/>
  <c r="AQ309" i="10" s="1"/>
  <c r="AD309" i="10"/>
  <c r="U309" i="10"/>
  <c r="W309" i="10" s="1"/>
  <c r="AP309" i="10" s="1"/>
  <c r="AH308" i="10"/>
  <c r="AO308" i="10"/>
  <c r="AY308" i="10" s="1"/>
  <c r="AL308" i="10"/>
  <c r="AN308" i="10" l="1"/>
  <c r="AW308" i="10" s="1"/>
  <c r="X309" i="10"/>
  <c r="Z309" i="10" l="1"/>
  <c r="AR309" i="10" s="1"/>
  <c r="BD308" i="10"/>
  <c r="AZ308" i="10"/>
  <c r="Q310" i="10" l="1"/>
  <c r="AA309" i="10"/>
  <c r="AI309" i="10" l="1"/>
  <c r="AJ309" i="10"/>
  <c r="AG309" i="10"/>
  <c r="AK309" i="10"/>
  <c r="AX309" i="10" s="1"/>
  <c r="S310" i="10"/>
  <c r="AC310" i="10"/>
  <c r="BA309" i="10" s="1"/>
  <c r="AB310" i="10"/>
  <c r="AV309" i="10" s="1"/>
  <c r="AM310" i="10"/>
  <c r="AD310" i="10" l="1"/>
  <c r="T310" i="10"/>
  <c r="AQ310" i="10" s="1"/>
  <c r="U310" i="10"/>
  <c r="W310" i="10" s="1"/>
  <c r="AP310" i="10" s="1"/>
  <c r="AH309" i="10"/>
  <c r="AO309" i="10"/>
  <c r="AY309" i="10" s="1"/>
  <c r="AL309" i="10"/>
  <c r="AN309" i="10" l="1"/>
  <c r="AW309" i="10" s="1"/>
  <c r="X310" i="10"/>
  <c r="Z310" i="10" l="1"/>
  <c r="AR310" i="10" s="1"/>
  <c r="AZ309" i="10"/>
  <c r="BD309" i="10"/>
  <c r="Q311" i="10" l="1"/>
  <c r="AA310" i="10"/>
  <c r="AI310" i="10" l="1"/>
  <c r="AJ310" i="10"/>
  <c r="AG310" i="10"/>
  <c r="AK310" i="10"/>
  <c r="AX310" i="10" s="1"/>
  <c r="S311" i="10"/>
  <c r="AC311" i="10"/>
  <c r="BA310" i="10" s="1"/>
  <c r="AM311" i="10"/>
  <c r="AB311" i="10"/>
  <c r="AV310" i="10" s="1"/>
  <c r="T311" i="10" l="1"/>
  <c r="AQ311" i="10" s="1"/>
  <c r="AD311" i="10"/>
  <c r="U311" i="10"/>
  <c r="W311" i="10" s="1"/>
  <c r="AP311" i="10" s="1"/>
  <c r="AH310" i="10"/>
  <c r="AO310" i="10"/>
  <c r="AY310" i="10" s="1"/>
  <c r="AL310" i="10"/>
  <c r="AN310" i="10" l="1"/>
  <c r="AW310" i="10" s="1"/>
  <c r="X311" i="10"/>
  <c r="Z311" i="10" l="1"/>
  <c r="AR311" i="10" s="1"/>
  <c r="BD310" i="10"/>
  <c r="AZ310" i="10"/>
  <c r="Q312" i="10" l="1"/>
  <c r="AA311" i="10"/>
  <c r="AI311" i="10" l="1"/>
  <c r="AJ311" i="10"/>
  <c r="AG311" i="10"/>
  <c r="AK311" i="10"/>
  <c r="AX311" i="10" s="1"/>
  <c r="S312" i="10"/>
  <c r="AC312" i="10"/>
  <c r="BA311" i="10" s="1"/>
  <c r="AB312" i="10"/>
  <c r="AV311" i="10" s="1"/>
  <c r="AM312" i="10"/>
  <c r="AD312" i="10" l="1"/>
  <c r="T312" i="10"/>
  <c r="AQ312" i="10" s="1"/>
  <c r="U312" i="10"/>
  <c r="W312" i="10" s="1"/>
  <c r="AP312" i="10" s="1"/>
  <c r="AH311" i="10"/>
  <c r="AO311" i="10"/>
  <c r="AY311" i="10" s="1"/>
  <c r="AL311" i="10"/>
  <c r="AN311" i="10" l="1"/>
  <c r="AW311" i="10" s="1"/>
  <c r="X312" i="10"/>
  <c r="Z312" i="10" l="1"/>
  <c r="AR312" i="10" s="1"/>
  <c r="AZ311" i="10"/>
  <c r="BD311" i="10"/>
  <c r="Q313" i="10" l="1"/>
  <c r="AA312" i="10"/>
  <c r="AI312" i="10" l="1"/>
  <c r="AJ312" i="10"/>
  <c r="AG312" i="10"/>
  <c r="AK312" i="10"/>
  <c r="AX312" i="10" s="1"/>
  <c r="S313" i="10"/>
  <c r="AC313" i="10"/>
  <c r="BA312" i="10" s="1"/>
  <c r="AM313" i="10"/>
  <c r="AB313" i="10"/>
  <c r="AV312" i="10" s="1"/>
  <c r="AL312" i="10" l="1"/>
  <c r="T313" i="10"/>
  <c r="AQ313" i="10" s="1"/>
  <c r="AD313" i="10"/>
  <c r="U313" i="10"/>
  <c r="W313" i="10" s="1"/>
  <c r="AP313" i="10" s="1"/>
  <c r="AH312" i="10"/>
  <c r="AN312" i="10" s="1"/>
  <c r="AW312" i="10" s="1"/>
  <c r="AO312" i="10"/>
  <c r="AY312" i="10" s="1"/>
  <c r="BD312" i="10" l="1"/>
  <c r="AZ312" i="10"/>
  <c r="X313" i="10"/>
  <c r="Z313" i="10" l="1"/>
  <c r="AR313" i="10" s="1"/>
  <c r="Q314" i="10" l="1"/>
  <c r="AA313" i="10"/>
  <c r="AI313" i="10" l="1"/>
  <c r="AJ313" i="10"/>
  <c r="AG313" i="10"/>
  <c r="AK313" i="10"/>
  <c r="AX313" i="10" s="1"/>
  <c r="S314" i="10"/>
  <c r="AC314" i="10"/>
  <c r="BA313" i="10" s="1"/>
  <c r="AB314" i="10"/>
  <c r="AV313" i="10" s="1"/>
  <c r="AM314" i="10"/>
  <c r="AD314" i="10" l="1"/>
  <c r="T314" i="10"/>
  <c r="AQ314" i="10" s="1"/>
  <c r="U314" i="10"/>
  <c r="W314" i="10" s="1"/>
  <c r="AP314" i="10" s="1"/>
  <c r="AH313" i="10"/>
  <c r="AO313" i="10"/>
  <c r="AY313" i="10" s="1"/>
  <c r="AL313" i="10"/>
  <c r="AN313" i="10" l="1"/>
  <c r="AW313" i="10" s="1"/>
  <c r="AZ313" i="10" s="1"/>
  <c r="X314" i="10"/>
  <c r="BD313" i="10" l="1"/>
  <c r="Z314" i="10"/>
  <c r="AR314" i="10" s="1"/>
  <c r="Q315" i="10" l="1"/>
  <c r="AA314" i="10"/>
  <c r="AI314" i="10" l="1"/>
  <c r="AJ314" i="10"/>
  <c r="AG314" i="10"/>
  <c r="AK314" i="10"/>
  <c r="AX314" i="10" s="1"/>
  <c r="S315" i="10"/>
  <c r="AC315" i="10"/>
  <c r="BA314" i="10" s="1"/>
  <c r="AM315" i="10"/>
  <c r="AB315" i="10"/>
  <c r="AV314" i="10" s="1"/>
  <c r="T315" i="10" l="1"/>
  <c r="AQ315" i="10" s="1"/>
  <c r="AD315" i="10"/>
  <c r="U315" i="10"/>
  <c r="W315" i="10" s="1"/>
  <c r="AP315" i="10" s="1"/>
  <c r="AH314" i="10"/>
  <c r="AO314" i="10"/>
  <c r="AY314" i="10" s="1"/>
  <c r="AL314" i="10"/>
  <c r="X315" i="10" l="1"/>
  <c r="AN314" i="10"/>
  <c r="AW314" i="10" s="1"/>
  <c r="BD314" i="10" l="1"/>
  <c r="AZ314" i="10"/>
  <c r="Z315" i="10"/>
  <c r="AR315" i="10" s="1"/>
  <c r="Q316" i="10" l="1"/>
  <c r="AA315" i="10"/>
  <c r="AI315" i="10" l="1"/>
  <c r="AJ315" i="10"/>
  <c r="AG315" i="10"/>
  <c r="AK315" i="10"/>
  <c r="AX315" i="10" s="1"/>
  <c r="S316" i="10"/>
  <c r="AC316" i="10"/>
  <c r="BA315" i="10" s="1"/>
  <c r="AB316" i="10"/>
  <c r="AV315" i="10" s="1"/>
  <c r="AM316" i="10"/>
  <c r="AD316" i="10" l="1"/>
  <c r="T316" i="10"/>
  <c r="AQ316" i="10" s="1"/>
  <c r="U316" i="10"/>
  <c r="W316" i="10" s="1"/>
  <c r="AP316" i="10" s="1"/>
  <c r="AH315" i="10"/>
  <c r="AO315" i="10"/>
  <c r="AY315" i="10" s="1"/>
  <c r="AL315" i="10"/>
  <c r="AN315" i="10" l="1"/>
  <c r="AW315" i="10" s="1"/>
  <c r="X316" i="10"/>
  <c r="Z316" i="10" l="1"/>
  <c r="AR316" i="10" s="1"/>
  <c r="AZ315" i="10"/>
  <c r="BD315" i="10"/>
  <c r="Q317" i="10" l="1"/>
  <c r="AA316" i="10"/>
  <c r="AI316" i="10" l="1"/>
  <c r="AJ316" i="10"/>
  <c r="AG316" i="10"/>
  <c r="AK316" i="10"/>
  <c r="AX316" i="10" s="1"/>
  <c r="S317" i="10"/>
  <c r="AC317" i="10"/>
  <c r="BA316" i="10" s="1"/>
  <c r="AM317" i="10"/>
  <c r="AB317" i="10"/>
  <c r="AV316" i="10" s="1"/>
  <c r="T317" i="10" l="1"/>
  <c r="AQ317" i="10" s="1"/>
  <c r="AD317" i="10"/>
  <c r="U317" i="10"/>
  <c r="W317" i="10" s="1"/>
  <c r="AP317" i="10" s="1"/>
  <c r="AH316" i="10"/>
  <c r="AO316" i="10"/>
  <c r="AY316" i="10" s="1"/>
  <c r="AL316" i="10"/>
  <c r="X317" i="10" l="1"/>
  <c r="AN316" i="10"/>
  <c r="AW316" i="10" s="1"/>
  <c r="BD316" i="10" l="1"/>
  <c r="AZ316" i="10"/>
  <c r="Z317" i="10"/>
  <c r="AR317" i="10" s="1"/>
  <c r="Q318" i="10" l="1"/>
  <c r="AA317" i="10"/>
  <c r="AI317" i="10" l="1"/>
  <c r="AJ317" i="10"/>
  <c r="AG317" i="10"/>
  <c r="AK317" i="10"/>
  <c r="AX317" i="10" s="1"/>
  <c r="S318" i="10"/>
  <c r="AC318" i="10"/>
  <c r="BA317" i="10" s="1"/>
  <c r="AB318" i="10"/>
  <c r="AV317" i="10" s="1"/>
  <c r="AM318" i="10"/>
  <c r="AD318" i="10" l="1"/>
  <c r="T318" i="10"/>
  <c r="AQ318" i="10" s="1"/>
  <c r="U318" i="10"/>
  <c r="W318" i="10" s="1"/>
  <c r="AP318" i="10" s="1"/>
  <c r="AH317" i="10"/>
  <c r="AO317" i="10"/>
  <c r="AY317" i="10" s="1"/>
  <c r="AL317" i="10"/>
  <c r="AN317" i="10" l="1"/>
  <c r="AW317" i="10" s="1"/>
  <c r="X318" i="10"/>
  <c r="Z318" i="10" l="1"/>
  <c r="AR318" i="10" s="1"/>
  <c r="AZ317" i="10"/>
  <c r="BD317" i="10"/>
  <c r="Q319" i="10" l="1"/>
  <c r="AA318" i="10"/>
  <c r="AI318" i="10" l="1"/>
  <c r="AJ318" i="10"/>
  <c r="AG318" i="10"/>
  <c r="AK318" i="10"/>
  <c r="AX318" i="10" s="1"/>
  <c r="S319" i="10"/>
  <c r="AC319" i="10"/>
  <c r="BA318" i="10" s="1"/>
  <c r="AM319" i="10"/>
  <c r="AB319" i="10"/>
  <c r="AV318" i="10" s="1"/>
  <c r="T319" i="10" l="1"/>
  <c r="AQ319" i="10" s="1"/>
  <c r="AD319" i="10"/>
  <c r="U319" i="10"/>
  <c r="W319" i="10" s="1"/>
  <c r="AP319" i="10" s="1"/>
  <c r="AH318" i="10"/>
  <c r="AO318" i="10"/>
  <c r="AY318" i="10" s="1"/>
  <c r="AL318" i="10"/>
  <c r="AN318" i="10" l="1"/>
  <c r="AW318" i="10" s="1"/>
  <c r="X319" i="10"/>
  <c r="Z319" i="10" l="1"/>
  <c r="AR319" i="10" s="1"/>
  <c r="BD318" i="10"/>
  <c r="AZ318" i="10"/>
  <c r="Q320" i="10" l="1"/>
  <c r="AA319" i="10"/>
  <c r="AI319" i="10" l="1"/>
  <c r="AJ319" i="10"/>
  <c r="AG319" i="10"/>
  <c r="AK319" i="10"/>
  <c r="AX319" i="10" s="1"/>
  <c r="S320" i="10"/>
  <c r="AC320" i="10"/>
  <c r="BA319" i="10" s="1"/>
  <c r="AB320" i="10"/>
  <c r="AV319" i="10" s="1"/>
  <c r="AM320" i="10"/>
  <c r="AD320" i="10" l="1"/>
  <c r="T320" i="10"/>
  <c r="AQ320" i="10" s="1"/>
  <c r="U320" i="10"/>
  <c r="W320" i="10" s="1"/>
  <c r="AP320" i="10" s="1"/>
  <c r="AH319" i="10"/>
  <c r="AO319" i="10"/>
  <c r="AY319" i="10" s="1"/>
  <c r="AL319" i="10"/>
  <c r="AN319" i="10" l="1"/>
  <c r="AW319" i="10" s="1"/>
  <c r="X320" i="10"/>
  <c r="Z320" i="10" l="1"/>
  <c r="AR320" i="10" s="1"/>
  <c r="AZ319" i="10"/>
  <c r="BD319" i="10"/>
  <c r="Q321" i="10" l="1"/>
  <c r="AA320" i="10"/>
  <c r="AI320" i="10" l="1"/>
  <c r="AJ320" i="10"/>
  <c r="AG320" i="10"/>
  <c r="AK320" i="10"/>
  <c r="AX320" i="10" s="1"/>
  <c r="S321" i="10"/>
  <c r="AC321" i="10"/>
  <c r="BA320" i="10" s="1"/>
  <c r="AM321" i="10"/>
  <c r="AB321" i="10"/>
  <c r="AV320" i="10" s="1"/>
  <c r="T321" i="10" l="1"/>
  <c r="AQ321" i="10" s="1"/>
  <c r="AD321" i="10"/>
  <c r="U321" i="10"/>
  <c r="W321" i="10" s="1"/>
  <c r="AP321" i="10" s="1"/>
  <c r="AH320" i="10"/>
  <c r="AO320" i="10"/>
  <c r="AY320" i="10" s="1"/>
  <c r="AL320" i="10"/>
  <c r="X321" i="10" l="1"/>
  <c r="AN320" i="10"/>
  <c r="AW320" i="10" s="1"/>
  <c r="BD320" i="10" l="1"/>
  <c r="AZ320" i="10"/>
  <c r="Z321" i="10"/>
  <c r="AR321" i="10" s="1"/>
  <c r="Q322" i="10" l="1"/>
  <c r="AA321" i="10"/>
  <c r="AI321" i="10" l="1"/>
  <c r="AJ321" i="10"/>
  <c r="AG321" i="10"/>
  <c r="AK321" i="10"/>
  <c r="AX321" i="10" s="1"/>
  <c r="S322" i="10"/>
  <c r="AC322" i="10"/>
  <c r="BA321" i="10" s="1"/>
  <c r="AB322" i="10"/>
  <c r="AV321" i="10" s="1"/>
  <c r="AM322" i="10"/>
  <c r="AD322" i="10" l="1"/>
  <c r="T322" i="10"/>
  <c r="AQ322" i="10" s="1"/>
  <c r="U322" i="10"/>
  <c r="W322" i="10" s="1"/>
  <c r="AP322" i="10" s="1"/>
  <c r="AH321" i="10"/>
  <c r="AO321" i="10"/>
  <c r="AY321" i="10" s="1"/>
  <c r="AL321" i="10"/>
  <c r="AN321" i="10" l="1"/>
  <c r="AW321" i="10" s="1"/>
  <c r="X322" i="10"/>
  <c r="Z322" i="10" l="1"/>
  <c r="AR322" i="10" s="1"/>
  <c r="AZ321" i="10"/>
  <c r="BD321" i="10"/>
  <c r="Q323" i="10" l="1"/>
  <c r="AA322" i="10"/>
  <c r="AI322" i="10" l="1"/>
  <c r="AJ322" i="10"/>
  <c r="AG322" i="10"/>
  <c r="AK322" i="10"/>
  <c r="AX322" i="10" s="1"/>
  <c r="S323" i="10"/>
  <c r="AC323" i="10"/>
  <c r="BA322" i="10" s="1"/>
  <c r="AM323" i="10"/>
  <c r="AB323" i="10"/>
  <c r="AV322" i="10" s="1"/>
  <c r="T323" i="10" l="1"/>
  <c r="AQ323" i="10" s="1"/>
  <c r="AD323" i="10"/>
  <c r="U323" i="10"/>
  <c r="W323" i="10" s="1"/>
  <c r="AP323" i="10" s="1"/>
  <c r="AH322" i="10"/>
  <c r="AO322" i="10"/>
  <c r="AY322" i="10" s="1"/>
  <c r="AL322" i="10"/>
  <c r="AN322" i="10" l="1"/>
  <c r="AW322" i="10" s="1"/>
  <c r="X323" i="10"/>
  <c r="Z323" i="10" l="1"/>
  <c r="AR323" i="10" s="1"/>
  <c r="BD322" i="10"/>
  <c r="AZ322" i="10"/>
  <c r="Q324" i="10" l="1"/>
  <c r="AA323" i="10"/>
  <c r="AI323" i="10" l="1"/>
  <c r="AJ323" i="10"/>
  <c r="AG323" i="10"/>
  <c r="AK323" i="10"/>
  <c r="AX323" i="10" s="1"/>
  <c r="S324" i="10"/>
  <c r="AC324" i="10"/>
  <c r="BA323" i="10" s="1"/>
  <c r="AB324" i="10"/>
  <c r="AV323" i="10" s="1"/>
  <c r="AM324" i="10"/>
  <c r="AD324" i="10" l="1"/>
  <c r="T324" i="10"/>
  <c r="AQ324" i="10" s="1"/>
  <c r="U324" i="10"/>
  <c r="W324" i="10" s="1"/>
  <c r="AP324" i="10" s="1"/>
  <c r="AH323" i="10"/>
  <c r="AO323" i="10"/>
  <c r="AY323" i="10" s="1"/>
  <c r="AL323" i="10"/>
  <c r="AN323" i="10" l="1"/>
  <c r="AW323" i="10" s="1"/>
  <c r="AZ323" i="10" s="1"/>
  <c r="X324" i="10"/>
  <c r="BD323" i="10" l="1"/>
  <c r="Z324" i="10"/>
  <c r="AR324" i="10" s="1"/>
  <c r="AA324" i="10" l="1"/>
  <c r="Q325" i="10"/>
  <c r="S325" i="10" l="1"/>
  <c r="AC325" i="10"/>
  <c r="AM325" i="10"/>
  <c r="AB325" i="10"/>
  <c r="AV324" i="10" s="1"/>
  <c r="AI324" i="10"/>
  <c r="AJ324" i="10"/>
  <c r="AG324" i="10"/>
  <c r="AK324" i="10"/>
  <c r="AX324" i="10" s="1"/>
  <c r="AL324" i="10" l="1"/>
  <c r="BA324" i="10"/>
  <c r="T325" i="10"/>
  <c r="AQ325" i="10" s="1"/>
  <c r="AD325" i="10"/>
  <c r="U325" i="10"/>
  <c r="W325" i="10" s="1"/>
  <c r="AP325" i="10" s="1"/>
  <c r="AH324" i="10"/>
  <c r="AN324" i="10" s="1"/>
  <c r="AW324" i="10" s="1"/>
  <c r="AO324" i="10"/>
  <c r="AY324" i="10" s="1"/>
  <c r="BD324" i="10" l="1"/>
  <c r="AZ324" i="10"/>
  <c r="X325" i="10"/>
  <c r="Z325" i="10" l="1"/>
  <c r="AR325" i="10" s="1"/>
  <c r="Q326" i="10" l="1"/>
  <c r="AA325" i="10"/>
  <c r="AI325" i="10" l="1"/>
  <c r="AJ325" i="10"/>
  <c r="AG325" i="10"/>
  <c r="AK325" i="10"/>
  <c r="AX325" i="10" s="1"/>
  <c r="S326" i="10"/>
  <c r="AC326" i="10"/>
  <c r="BA325" i="10" s="1"/>
  <c r="AB326" i="10"/>
  <c r="AV325" i="10" s="1"/>
  <c r="AM326" i="10"/>
  <c r="AD326" i="10" l="1"/>
  <c r="T326" i="10"/>
  <c r="AQ326" i="10" s="1"/>
  <c r="U326" i="10"/>
  <c r="W326" i="10" s="1"/>
  <c r="AP326" i="10" s="1"/>
  <c r="AH325" i="10"/>
  <c r="AO325" i="10"/>
  <c r="AY325" i="10" s="1"/>
  <c r="AL325" i="10"/>
  <c r="AN325" i="10" l="1"/>
  <c r="AW325" i="10" s="1"/>
  <c r="X326" i="10"/>
  <c r="Z326" i="10" l="1"/>
  <c r="AR326" i="10" s="1"/>
  <c r="AZ325" i="10"/>
  <c r="BD325" i="10"/>
  <c r="AA326" i="10" l="1"/>
  <c r="Q327" i="10"/>
  <c r="S327" i="10" l="1"/>
  <c r="AC327" i="10"/>
  <c r="AM327" i="10"/>
  <c r="AB327" i="10"/>
  <c r="AV326" i="10" s="1"/>
  <c r="AI326" i="10"/>
  <c r="AJ326" i="10"/>
  <c r="AG326" i="10"/>
  <c r="AK326" i="10"/>
  <c r="AX326" i="10" s="1"/>
  <c r="AH326" i="10" l="1"/>
  <c r="AO326" i="10"/>
  <c r="AY326" i="10" s="1"/>
  <c r="AL326" i="10"/>
  <c r="BA326" i="10"/>
  <c r="T327" i="10"/>
  <c r="AQ327" i="10" s="1"/>
  <c r="AD327" i="10"/>
  <c r="U327" i="10"/>
  <c r="W327" i="10" s="1"/>
  <c r="AP327" i="10" s="1"/>
  <c r="X327" i="10" l="1"/>
  <c r="AN326" i="10"/>
  <c r="AW326" i="10" s="1"/>
  <c r="BD326" i="10" l="1"/>
  <c r="AZ326" i="10"/>
  <c r="Z327" i="10"/>
  <c r="AR327" i="10" s="1"/>
  <c r="Q328" i="10" l="1"/>
  <c r="AA327" i="10"/>
  <c r="AI327" i="10" l="1"/>
  <c r="AJ327" i="10"/>
  <c r="AG327" i="10"/>
  <c r="AK327" i="10"/>
  <c r="AX327" i="10" s="1"/>
  <c r="S328" i="10"/>
  <c r="AC328" i="10"/>
  <c r="BA327" i="10" s="1"/>
  <c r="AB328" i="10"/>
  <c r="AV327" i="10" s="1"/>
  <c r="AM328" i="10"/>
  <c r="AD328" i="10" l="1"/>
  <c r="T328" i="10"/>
  <c r="AQ328" i="10" s="1"/>
  <c r="U328" i="10"/>
  <c r="W328" i="10" s="1"/>
  <c r="AP328" i="10" s="1"/>
  <c r="AH327" i="10"/>
  <c r="AO327" i="10"/>
  <c r="AY327" i="10" s="1"/>
  <c r="AL327" i="10"/>
  <c r="AN327" i="10" l="1"/>
  <c r="AW327" i="10" s="1"/>
  <c r="X328" i="10"/>
  <c r="Z328" i="10" l="1"/>
  <c r="AR328" i="10" s="1"/>
  <c r="AZ327" i="10"/>
  <c r="BD327" i="10"/>
  <c r="Q329" i="10" l="1"/>
  <c r="AA328" i="10"/>
  <c r="AI328" i="10" l="1"/>
  <c r="AJ328" i="10"/>
  <c r="AG328" i="10"/>
  <c r="AK328" i="10"/>
  <c r="AX328" i="10" s="1"/>
  <c r="S329" i="10"/>
  <c r="AC329" i="10"/>
  <c r="BA328" i="10" s="1"/>
  <c r="AM329" i="10"/>
  <c r="AB329" i="10"/>
  <c r="AV328" i="10" s="1"/>
  <c r="T329" i="10" l="1"/>
  <c r="AQ329" i="10" s="1"/>
  <c r="AD329" i="10"/>
  <c r="U329" i="10"/>
  <c r="W329" i="10" s="1"/>
  <c r="AP329" i="10" s="1"/>
  <c r="AH328" i="10"/>
  <c r="AO328" i="10"/>
  <c r="AY328" i="10" s="1"/>
  <c r="AL328" i="10"/>
  <c r="AN328" i="10" l="1"/>
  <c r="AW328" i="10" s="1"/>
  <c r="BD328" i="10"/>
  <c r="AZ328" i="10"/>
  <c r="X329" i="10"/>
  <c r="Z329" i="10" l="1"/>
  <c r="AR329" i="10" s="1"/>
  <c r="Q330" i="10" l="1"/>
  <c r="AA329" i="10"/>
  <c r="AI329" i="10" l="1"/>
  <c r="AJ329" i="10"/>
  <c r="AG329" i="10"/>
  <c r="AK329" i="10"/>
  <c r="AX329" i="10" s="1"/>
  <c r="S330" i="10"/>
  <c r="AC330" i="10"/>
  <c r="BA329" i="10" s="1"/>
  <c r="AB330" i="10"/>
  <c r="AV329" i="10" s="1"/>
  <c r="AM330" i="10"/>
  <c r="AD330" i="10" l="1"/>
  <c r="T330" i="10"/>
  <c r="AQ330" i="10" s="1"/>
  <c r="U330" i="10"/>
  <c r="W330" i="10" s="1"/>
  <c r="AP330" i="10" s="1"/>
  <c r="AH329" i="10"/>
  <c r="AO329" i="10"/>
  <c r="AY329" i="10" s="1"/>
  <c r="AL329" i="10"/>
  <c r="AN329" i="10" l="1"/>
  <c r="AW329" i="10" s="1"/>
  <c r="X330" i="10"/>
  <c r="Z330" i="10" l="1"/>
  <c r="AR330" i="10" s="1"/>
  <c r="AZ329" i="10"/>
  <c r="BD329" i="10"/>
  <c r="Q331" i="10" l="1"/>
  <c r="AA330" i="10"/>
  <c r="AI330" i="10" l="1"/>
  <c r="AJ330" i="10"/>
  <c r="AG330" i="10"/>
  <c r="AK330" i="10"/>
  <c r="AX330" i="10" s="1"/>
  <c r="S331" i="10"/>
  <c r="AC331" i="10"/>
  <c r="BA330" i="10" s="1"/>
  <c r="AM331" i="10"/>
  <c r="AB331" i="10"/>
  <c r="AV330" i="10" s="1"/>
  <c r="T331" i="10" l="1"/>
  <c r="AQ331" i="10" s="1"/>
  <c r="AD331" i="10"/>
  <c r="U331" i="10"/>
  <c r="W331" i="10" s="1"/>
  <c r="AP331" i="10" s="1"/>
  <c r="AH330" i="10"/>
  <c r="AO330" i="10"/>
  <c r="AY330" i="10" s="1"/>
  <c r="AL330" i="10"/>
  <c r="AN330" i="10" l="1"/>
  <c r="AW330" i="10" s="1"/>
  <c r="X331" i="10"/>
  <c r="Z331" i="10" l="1"/>
  <c r="AR331" i="10" s="1"/>
  <c r="BD330" i="10"/>
  <c r="AZ330" i="10"/>
  <c r="Q332" i="10" l="1"/>
  <c r="AA331" i="10"/>
  <c r="AI331" i="10" l="1"/>
  <c r="AJ331" i="10"/>
  <c r="AG331" i="10"/>
  <c r="AK331" i="10"/>
  <c r="AX331" i="10" s="1"/>
  <c r="S332" i="10"/>
  <c r="AC332" i="10"/>
  <c r="BA331" i="10" s="1"/>
  <c r="AB332" i="10"/>
  <c r="AV331" i="10" s="1"/>
  <c r="AM332" i="10"/>
  <c r="AD332" i="10" l="1"/>
  <c r="T332" i="10"/>
  <c r="AQ332" i="10" s="1"/>
  <c r="U332" i="10"/>
  <c r="W332" i="10" s="1"/>
  <c r="AP332" i="10" s="1"/>
  <c r="AH331" i="10"/>
  <c r="AO331" i="10"/>
  <c r="AY331" i="10" s="1"/>
  <c r="AL331" i="10"/>
  <c r="AN331" i="10" l="1"/>
  <c r="AW331" i="10" s="1"/>
  <c r="BD331" i="10" s="1"/>
  <c r="X332" i="10"/>
  <c r="AZ331" i="10" l="1"/>
  <c r="Z332" i="10"/>
  <c r="AR332" i="10" s="1"/>
  <c r="Q333" i="10" l="1"/>
  <c r="AA332" i="10"/>
  <c r="AI332" i="10" l="1"/>
  <c r="AJ332" i="10"/>
  <c r="AG332" i="10"/>
  <c r="AK332" i="10"/>
  <c r="AX332" i="10" s="1"/>
  <c r="S333" i="10"/>
  <c r="AC333" i="10"/>
  <c r="BA332" i="10" s="1"/>
  <c r="AM333" i="10"/>
  <c r="AB333" i="10"/>
  <c r="AV332" i="10" s="1"/>
  <c r="T333" i="10" l="1"/>
  <c r="AQ333" i="10" s="1"/>
  <c r="AD333" i="10"/>
  <c r="U333" i="10"/>
  <c r="W333" i="10" s="1"/>
  <c r="AP333" i="10" s="1"/>
  <c r="AH332" i="10"/>
  <c r="AO332" i="10"/>
  <c r="AY332" i="10" s="1"/>
  <c r="AL332" i="10"/>
  <c r="AN332" i="10" l="1"/>
  <c r="AW332" i="10" s="1"/>
  <c r="X333" i="10"/>
  <c r="Z333" i="10" l="1"/>
  <c r="AR333" i="10" s="1"/>
  <c r="BD332" i="10"/>
  <c r="AZ332" i="10"/>
  <c r="Q334" i="10" l="1"/>
  <c r="AA333" i="10"/>
  <c r="AI333" i="10" l="1"/>
  <c r="AJ333" i="10"/>
  <c r="AG333" i="10"/>
  <c r="AK333" i="10"/>
  <c r="AX333" i="10" s="1"/>
  <c r="S334" i="10"/>
  <c r="AC334" i="10"/>
  <c r="BA333" i="10" s="1"/>
  <c r="AB334" i="10"/>
  <c r="AV333" i="10" s="1"/>
  <c r="AM334" i="10"/>
  <c r="AD334" i="10" l="1"/>
  <c r="T334" i="10"/>
  <c r="AQ334" i="10" s="1"/>
  <c r="U334" i="10"/>
  <c r="W334" i="10" s="1"/>
  <c r="AP334" i="10" s="1"/>
  <c r="AH333" i="10"/>
  <c r="AO333" i="10"/>
  <c r="AY333" i="10" s="1"/>
  <c r="AL333" i="10"/>
  <c r="AN333" i="10" l="1"/>
  <c r="AW333" i="10" s="1"/>
  <c r="X334" i="10"/>
  <c r="Z334" i="10" l="1"/>
  <c r="AR334" i="10" s="1"/>
  <c r="AZ333" i="10"/>
  <c r="BD333" i="10"/>
  <c r="Q335" i="10" l="1"/>
  <c r="AA334" i="10"/>
  <c r="AI334" i="10" l="1"/>
  <c r="AJ334" i="10"/>
  <c r="AG334" i="10"/>
  <c r="AK334" i="10"/>
  <c r="AX334" i="10" s="1"/>
  <c r="S335" i="10"/>
  <c r="AC335" i="10"/>
  <c r="AM335" i="10"/>
  <c r="AB335" i="10"/>
  <c r="AV334" i="10" s="1"/>
  <c r="BA334" i="10" l="1"/>
  <c r="T335" i="10"/>
  <c r="AQ335" i="10" s="1"/>
  <c r="AD335" i="10"/>
  <c r="U335" i="10"/>
  <c r="W335" i="10" s="1"/>
  <c r="AP335" i="10" s="1"/>
  <c r="AH334" i="10"/>
  <c r="AO334" i="10"/>
  <c r="AY334" i="10" s="1"/>
  <c r="AL334" i="10"/>
  <c r="AN334" i="10" l="1"/>
  <c r="AW334" i="10" s="1"/>
  <c r="X335" i="10"/>
  <c r="Z335" i="10" l="1"/>
  <c r="AR335" i="10" s="1"/>
  <c r="BD334" i="10"/>
  <c r="AZ334" i="10"/>
  <c r="Q336" i="10" l="1"/>
  <c r="AA335" i="10"/>
  <c r="AI335" i="10" l="1"/>
  <c r="AJ335" i="10"/>
  <c r="AG335" i="10"/>
  <c r="AK335" i="10"/>
  <c r="AX335" i="10" s="1"/>
  <c r="S336" i="10"/>
  <c r="AC336" i="10"/>
  <c r="BA335" i="10" s="1"/>
  <c r="AB336" i="10"/>
  <c r="AV335" i="10" s="1"/>
  <c r="AM336" i="10"/>
  <c r="AD336" i="10" l="1"/>
  <c r="T336" i="10"/>
  <c r="AQ336" i="10" s="1"/>
  <c r="U336" i="10"/>
  <c r="W336" i="10" s="1"/>
  <c r="AP336" i="10" s="1"/>
  <c r="AH335" i="10"/>
  <c r="AO335" i="10"/>
  <c r="AY335" i="10" s="1"/>
  <c r="AL335" i="10"/>
  <c r="AN335" i="10" l="1"/>
  <c r="AW335" i="10" s="1"/>
  <c r="X336" i="10"/>
  <c r="Z336" i="10" l="1"/>
  <c r="AR336" i="10" s="1"/>
  <c r="AZ335" i="10"/>
  <c r="BD335" i="10"/>
  <c r="Q337" i="10" l="1"/>
  <c r="AA336" i="10"/>
  <c r="AI336" i="10" l="1"/>
  <c r="AJ336" i="10"/>
  <c r="AG336" i="10"/>
  <c r="AK336" i="10"/>
  <c r="AX336" i="10" s="1"/>
  <c r="S337" i="10"/>
  <c r="AC337" i="10"/>
  <c r="BA336" i="10" s="1"/>
  <c r="AM337" i="10"/>
  <c r="AB337" i="10"/>
  <c r="AV336" i="10" s="1"/>
  <c r="T337" i="10" l="1"/>
  <c r="AQ337" i="10" s="1"/>
  <c r="AD337" i="10"/>
  <c r="U337" i="10"/>
  <c r="W337" i="10" s="1"/>
  <c r="AP337" i="10" s="1"/>
  <c r="AH336" i="10"/>
  <c r="AO336" i="10"/>
  <c r="AY336" i="10" s="1"/>
  <c r="AL336" i="10"/>
  <c r="AN336" i="10" l="1"/>
  <c r="AW336" i="10" s="1"/>
  <c r="BD336" i="10" s="1"/>
  <c r="AZ336" i="10"/>
  <c r="X337" i="10"/>
  <c r="Z337" i="10" l="1"/>
  <c r="AR337" i="10" s="1"/>
  <c r="Q338" i="10" l="1"/>
  <c r="AA337" i="10"/>
  <c r="S338" i="10" l="1"/>
  <c r="AC338" i="10"/>
  <c r="AB338" i="10"/>
  <c r="AV337" i="10" s="1"/>
  <c r="AM338" i="10"/>
  <c r="AI337" i="10"/>
  <c r="AJ337" i="10"/>
  <c r="AG337" i="10"/>
  <c r="AK337" i="10"/>
  <c r="AX337" i="10" s="1"/>
  <c r="AL337" i="10" l="1"/>
  <c r="AH337" i="10"/>
  <c r="AN337" i="10" s="1"/>
  <c r="AW337" i="10" s="1"/>
  <c r="AO337" i="10"/>
  <c r="AY337" i="10" s="1"/>
  <c r="BA337" i="10"/>
  <c r="AD338" i="10"/>
  <c r="T338" i="10"/>
  <c r="AQ338" i="10" s="1"/>
  <c r="U338" i="10"/>
  <c r="W338" i="10" s="1"/>
  <c r="AP338" i="10" s="1"/>
  <c r="X338" i="10" l="1"/>
  <c r="AZ337" i="10"/>
  <c r="BD337" i="10"/>
  <c r="Z338" i="10" l="1"/>
  <c r="AR338" i="10" s="1"/>
  <c r="Q339" i="10" l="1"/>
  <c r="AA338" i="10"/>
  <c r="AI338" i="10" l="1"/>
  <c r="AJ338" i="10"/>
  <c r="AG338" i="10"/>
  <c r="AK338" i="10"/>
  <c r="AX338" i="10" s="1"/>
  <c r="S339" i="10"/>
  <c r="AC339" i="10"/>
  <c r="BA338" i="10" s="1"/>
  <c r="AM339" i="10"/>
  <c r="AB339" i="10"/>
  <c r="AV338" i="10" s="1"/>
  <c r="T339" i="10" l="1"/>
  <c r="AQ339" i="10" s="1"/>
  <c r="AD339" i="10"/>
  <c r="U339" i="10"/>
  <c r="W339" i="10" s="1"/>
  <c r="AP339" i="10" s="1"/>
  <c r="AH338" i="10"/>
  <c r="AO338" i="10"/>
  <c r="AY338" i="10" s="1"/>
  <c r="AL338" i="10"/>
  <c r="AN338" i="10" l="1"/>
  <c r="AW338" i="10" s="1"/>
  <c r="X339" i="10"/>
  <c r="Z339" i="10" l="1"/>
  <c r="AR339" i="10" s="1"/>
  <c r="BD338" i="10"/>
  <c r="AZ338" i="10"/>
  <c r="Q340" i="10" l="1"/>
  <c r="AA339" i="10"/>
  <c r="AI339" i="10" l="1"/>
  <c r="AJ339" i="10"/>
  <c r="AG339" i="10"/>
  <c r="AK339" i="10"/>
  <c r="AX339" i="10" s="1"/>
  <c r="S340" i="10"/>
  <c r="AC340" i="10"/>
  <c r="AB340" i="10"/>
  <c r="AV339" i="10" s="1"/>
  <c r="AM340" i="10"/>
  <c r="BA339" i="10" l="1"/>
  <c r="AD340" i="10"/>
  <c r="T340" i="10"/>
  <c r="AQ340" i="10" s="1"/>
  <c r="U340" i="10"/>
  <c r="W340" i="10" s="1"/>
  <c r="AP340" i="10" s="1"/>
  <c r="AH339" i="10"/>
  <c r="AO339" i="10"/>
  <c r="AY339" i="10" s="1"/>
  <c r="AL339" i="10"/>
  <c r="AN339" i="10" l="1"/>
  <c r="AW339" i="10" s="1"/>
  <c r="BD339" i="10" s="1"/>
  <c r="X340" i="10"/>
  <c r="AZ339" i="10" l="1"/>
  <c r="Z340" i="10"/>
  <c r="AR340" i="10" s="1"/>
  <c r="Q341" i="10" l="1"/>
  <c r="AA340" i="10"/>
  <c r="AI340" i="10" l="1"/>
  <c r="AJ340" i="10"/>
  <c r="AG340" i="10"/>
  <c r="AK340" i="10"/>
  <c r="AX340" i="10" s="1"/>
  <c r="S341" i="10"/>
  <c r="AC341" i="10"/>
  <c r="AB341" i="10"/>
  <c r="AV340" i="10" s="1"/>
  <c r="AM341" i="10"/>
  <c r="BA340" i="10" l="1"/>
  <c r="T341" i="10"/>
  <c r="AQ341" i="10" s="1"/>
  <c r="AD341" i="10"/>
  <c r="U341" i="10"/>
  <c r="W341" i="10" s="1"/>
  <c r="AP341" i="10" s="1"/>
  <c r="AH340" i="10"/>
  <c r="AO340" i="10"/>
  <c r="AY340" i="10" s="1"/>
  <c r="AL340" i="10"/>
  <c r="AN340" i="10" l="1"/>
  <c r="AW340" i="10" s="1"/>
  <c r="X341" i="10"/>
  <c r="Z341" i="10" l="1"/>
  <c r="AR341" i="10" s="1"/>
  <c r="BD340" i="10"/>
  <c r="AZ340" i="10"/>
  <c r="Q342" i="10" l="1"/>
  <c r="AA341" i="10"/>
  <c r="AI341" i="10" l="1"/>
  <c r="AJ341" i="10"/>
  <c r="AG341" i="10"/>
  <c r="AK341" i="10"/>
  <c r="AX341" i="10" s="1"/>
  <c r="S342" i="10"/>
  <c r="AC342" i="10"/>
  <c r="BA341" i="10" s="1"/>
  <c r="AB342" i="10"/>
  <c r="AV341" i="10" s="1"/>
  <c r="AM342" i="10"/>
  <c r="T342" i="10" l="1"/>
  <c r="AQ342" i="10" s="1"/>
  <c r="AD342" i="10"/>
  <c r="U342" i="10"/>
  <c r="W342" i="10" s="1"/>
  <c r="AP342" i="10" s="1"/>
  <c r="AH341" i="10"/>
  <c r="AO341" i="10"/>
  <c r="AY341" i="10" s="1"/>
  <c r="AL341" i="10"/>
  <c r="AN341" i="10" l="1"/>
  <c r="AW341" i="10" s="1"/>
  <c r="X342" i="10"/>
  <c r="Z342" i="10" l="1"/>
  <c r="AR342" i="10" s="1"/>
  <c r="AZ341" i="10"/>
  <c r="BD341" i="10"/>
  <c r="Q343" i="10" l="1"/>
  <c r="AA342" i="10"/>
  <c r="AI342" i="10" l="1"/>
  <c r="AJ342" i="10"/>
  <c r="AG342" i="10"/>
  <c r="AK342" i="10"/>
  <c r="AX342" i="10" s="1"/>
  <c r="S343" i="10"/>
  <c r="AC343" i="10"/>
  <c r="BA342" i="10" s="1"/>
  <c r="AB343" i="10"/>
  <c r="AV342" i="10" s="1"/>
  <c r="AM343" i="10"/>
  <c r="T343" i="10" l="1"/>
  <c r="AQ343" i="10" s="1"/>
  <c r="AD343" i="10"/>
  <c r="U343" i="10"/>
  <c r="W343" i="10" s="1"/>
  <c r="AP343" i="10" s="1"/>
  <c r="AH342" i="10"/>
  <c r="AO342" i="10"/>
  <c r="AY342" i="10" s="1"/>
  <c r="AL342" i="10"/>
  <c r="AN342" i="10" l="1"/>
  <c r="AW342" i="10" s="1"/>
  <c r="BD342" i="10" s="1"/>
  <c r="AZ342" i="10"/>
  <c r="X343" i="10"/>
  <c r="Z343" i="10" l="1"/>
  <c r="AR343" i="10" s="1"/>
  <c r="Q344" i="10" l="1"/>
  <c r="AA343" i="10"/>
  <c r="AI343" i="10" l="1"/>
  <c r="AJ343" i="10"/>
  <c r="AG343" i="10"/>
  <c r="AK343" i="10"/>
  <c r="AX343" i="10" s="1"/>
  <c r="S344" i="10"/>
  <c r="AC344" i="10"/>
  <c r="BA343" i="10" s="1"/>
  <c r="AB344" i="10"/>
  <c r="AV343" i="10" s="1"/>
  <c r="AM344" i="10"/>
  <c r="T344" i="10" l="1"/>
  <c r="AQ344" i="10" s="1"/>
  <c r="AD344" i="10"/>
  <c r="U344" i="10"/>
  <c r="W344" i="10" s="1"/>
  <c r="AP344" i="10" s="1"/>
  <c r="AH343" i="10"/>
  <c r="AO343" i="10"/>
  <c r="AY343" i="10" s="1"/>
  <c r="AL343" i="10"/>
  <c r="AN343" i="10" l="1"/>
  <c r="AW343" i="10" s="1"/>
  <c r="X344" i="10"/>
  <c r="Z344" i="10" l="1"/>
  <c r="AR344" i="10" s="1"/>
  <c r="AZ343" i="10"/>
  <c r="BD343" i="10"/>
  <c r="Q345" i="10" l="1"/>
  <c r="AA344" i="10"/>
  <c r="AI344" i="10" l="1"/>
  <c r="AJ344" i="10"/>
  <c r="AG344" i="10"/>
  <c r="AK344" i="10"/>
  <c r="AX344" i="10" s="1"/>
  <c r="S345" i="10"/>
  <c r="AC345" i="10"/>
  <c r="BA344" i="10" s="1"/>
  <c r="AB345" i="10"/>
  <c r="AV344" i="10" s="1"/>
  <c r="AM345" i="10"/>
  <c r="AL344" i="10" l="1"/>
  <c r="T345" i="10"/>
  <c r="AQ345" i="10" s="1"/>
  <c r="AD345" i="10"/>
  <c r="U345" i="10"/>
  <c r="W345" i="10" s="1"/>
  <c r="AP345" i="10" s="1"/>
  <c r="AH344" i="10"/>
  <c r="AN344" i="10" s="1"/>
  <c r="AW344" i="10" s="1"/>
  <c r="AO344" i="10"/>
  <c r="AY344" i="10" s="1"/>
  <c r="BD344" i="10" l="1"/>
  <c r="AZ344" i="10"/>
  <c r="X345" i="10"/>
  <c r="Z345" i="10" l="1"/>
  <c r="AR345" i="10" s="1"/>
  <c r="Q346" i="10" l="1"/>
  <c r="AA345" i="10"/>
  <c r="AI345" i="10" l="1"/>
  <c r="AJ345" i="10"/>
  <c r="AG345" i="10"/>
  <c r="AK345" i="10"/>
  <c r="AX345" i="10" s="1"/>
  <c r="S346" i="10"/>
  <c r="AC346" i="10"/>
  <c r="BA345" i="10" s="1"/>
  <c r="AB346" i="10"/>
  <c r="AV345" i="10" s="1"/>
  <c r="AM346" i="10"/>
  <c r="T346" i="10" l="1"/>
  <c r="AQ346" i="10" s="1"/>
  <c r="AD346" i="10"/>
  <c r="U346" i="10"/>
  <c r="W346" i="10" s="1"/>
  <c r="AP346" i="10" s="1"/>
  <c r="AH345" i="10"/>
  <c r="AO345" i="10"/>
  <c r="AY345" i="10" s="1"/>
  <c r="AL345" i="10"/>
  <c r="AN345" i="10" l="1"/>
  <c r="AW345" i="10" s="1"/>
  <c r="AZ345" i="10" s="1"/>
  <c r="X346" i="10"/>
  <c r="BD345" i="10" l="1"/>
  <c r="Z346" i="10"/>
  <c r="AR346" i="10" s="1"/>
  <c r="Q347" i="10" l="1"/>
  <c r="AA346" i="10"/>
  <c r="S347" i="10" l="1"/>
  <c r="AC347" i="10"/>
  <c r="AB347" i="10"/>
  <c r="AV346" i="10" s="1"/>
  <c r="AM347" i="10"/>
  <c r="AI346" i="10"/>
  <c r="AJ346" i="10"/>
  <c r="AG346" i="10"/>
  <c r="AK346" i="10"/>
  <c r="AX346" i="10" s="1"/>
  <c r="AH346" i="10" l="1"/>
  <c r="AO346" i="10"/>
  <c r="AY346" i="10" s="1"/>
  <c r="AL346" i="10"/>
  <c r="BA346" i="10"/>
  <c r="T347" i="10"/>
  <c r="AQ347" i="10" s="1"/>
  <c r="AD347" i="10"/>
  <c r="U347" i="10"/>
  <c r="W347" i="10" s="1"/>
  <c r="AP347" i="10" s="1"/>
  <c r="X347" i="10" l="1"/>
  <c r="AN346" i="10"/>
  <c r="AW346" i="10" s="1"/>
  <c r="BD346" i="10" l="1"/>
  <c r="AZ346" i="10"/>
  <c r="Z347" i="10"/>
  <c r="AR347" i="10" s="1"/>
  <c r="Q348" i="10" l="1"/>
  <c r="AA347" i="10"/>
  <c r="AI347" i="10" l="1"/>
  <c r="AJ347" i="10"/>
  <c r="AG347" i="10"/>
  <c r="AK347" i="10"/>
  <c r="AX347" i="10" s="1"/>
  <c r="S348" i="10"/>
  <c r="AC348" i="10"/>
  <c r="BA347" i="10" s="1"/>
  <c r="AB348" i="10"/>
  <c r="AV347" i="10" s="1"/>
  <c r="AM348" i="10"/>
  <c r="T348" i="10" l="1"/>
  <c r="AQ348" i="10" s="1"/>
  <c r="AD348" i="10"/>
  <c r="U348" i="10"/>
  <c r="W348" i="10" s="1"/>
  <c r="AP348" i="10" s="1"/>
  <c r="AH347" i="10"/>
  <c r="AO347" i="10"/>
  <c r="AY347" i="10" s="1"/>
  <c r="AL347" i="10"/>
  <c r="AN347" i="10" l="1"/>
  <c r="AW347" i="10" s="1"/>
  <c r="X348" i="10"/>
  <c r="Z348" i="10" l="1"/>
  <c r="AR348" i="10" s="1"/>
  <c r="AZ347" i="10"/>
  <c r="BD347" i="10"/>
  <c r="Q349" i="10" l="1"/>
  <c r="AA348" i="10"/>
  <c r="AI348" i="10" l="1"/>
  <c r="AJ348" i="10"/>
  <c r="AG348" i="10"/>
  <c r="AK348" i="10"/>
  <c r="AX348" i="10" s="1"/>
  <c r="S349" i="10"/>
  <c r="AC349" i="10"/>
  <c r="BA348" i="10" s="1"/>
  <c r="AB349" i="10"/>
  <c r="AV348" i="10" s="1"/>
  <c r="AM349" i="10"/>
  <c r="T349" i="10" l="1"/>
  <c r="AQ349" i="10" s="1"/>
  <c r="AD349" i="10"/>
  <c r="U349" i="10"/>
  <c r="W349" i="10" s="1"/>
  <c r="AP349" i="10" s="1"/>
  <c r="AH348" i="10"/>
  <c r="AO348" i="10"/>
  <c r="AY348" i="10" s="1"/>
  <c r="AL348" i="10"/>
  <c r="AN348" i="10" l="1"/>
  <c r="AW348" i="10" s="1"/>
  <c r="BD348" i="10" s="1"/>
  <c r="AZ348" i="10"/>
  <c r="X349" i="10"/>
  <c r="Z349" i="10" l="1"/>
  <c r="AR349" i="10" s="1"/>
  <c r="Q350" i="10" l="1"/>
  <c r="AA349" i="10"/>
  <c r="AI349" i="10" l="1"/>
  <c r="AJ349" i="10"/>
  <c r="AG349" i="10"/>
  <c r="AK349" i="10"/>
  <c r="AX349" i="10" s="1"/>
  <c r="S350" i="10"/>
  <c r="AC350" i="10"/>
  <c r="BA349" i="10" s="1"/>
  <c r="AB350" i="10"/>
  <c r="AV349" i="10" s="1"/>
  <c r="AM350" i="10"/>
  <c r="T350" i="10" l="1"/>
  <c r="AQ350" i="10" s="1"/>
  <c r="AD350" i="10"/>
  <c r="U350" i="10"/>
  <c r="W350" i="10" s="1"/>
  <c r="AP350" i="10" s="1"/>
  <c r="AH349" i="10"/>
  <c r="AO349" i="10"/>
  <c r="AY349" i="10" s="1"/>
  <c r="AL349" i="10"/>
  <c r="AN349" i="10" l="1"/>
  <c r="AW349" i="10" s="1"/>
  <c r="X350" i="10"/>
  <c r="Z350" i="10" l="1"/>
  <c r="AR350" i="10" s="1"/>
  <c r="AZ349" i="10"/>
  <c r="BD349" i="10"/>
  <c r="Q351" i="10" l="1"/>
  <c r="AA350" i="10"/>
  <c r="AI350" i="10" l="1"/>
  <c r="AJ350" i="10"/>
  <c r="AG350" i="10"/>
  <c r="AK350" i="10"/>
  <c r="AX350" i="10" s="1"/>
  <c r="S351" i="10"/>
  <c r="AC351" i="10"/>
  <c r="BA350" i="10" s="1"/>
  <c r="AB351" i="10"/>
  <c r="AV350" i="10" s="1"/>
  <c r="AM351" i="10"/>
  <c r="T351" i="10" l="1"/>
  <c r="AQ351" i="10" s="1"/>
  <c r="AD351" i="10"/>
  <c r="U351" i="10"/>
  <c r="W351" i="10" s="1"/>
  <c r="AP351" i="10" s="1"/>
  <c r="AH350" i="10"/>
  <c r="AO350" i="10"/>
  <c r="AY350" i="10" s="1"/>
  <c r="AL350" i="10"/>
  <c r="AN350" i="10" l="1"/>
  <c r="AW350" i="10" s="1"/>
  <c r="X351" i="10"/>
  <c r="Z351" i="10" l="1"/>
  <c r="AR351" i="10" s="1"/>
  <c r="BD350" i="10"/>
  <c r="AZ350" i="10"/>
  <c r="Q352" i="10" l="1"/>
  <c r="AA351" i="10"/>
  <c r="AI351" i="10" l="1"/>
  <c r="AJ351" i="10"/>
  <c r="AG351" i="10"/>
  <c r="AK351" i="10"/>
  <c r="AX351" i="10" s="1"/>
  <c r="S352" i="10"/>
  <c r="AC352" i="10"/>
  <c r="BA351" i="10" s="1"/>
  <c r="AB352" i="10"/>
  <c r="AV351" i="10" s="1"/>
  <c r="AM352" i="10"/>
  <c r="T352" i="10" l="1"/>
  <c r="AQ352" i="10" s="1"/>
  <c r="AD352" i="10"/>
  <c r="U352" i="10"/>
  <c r="W352" i="10" s="1"/>
  <c r="AP352" i="10" s="1"/>
  <c r="AH351" i="10"/>
  <c r="AO351" i="10"/>
  <c r="AY351" i="10" s="1"/>
  <c r="AL351" i="10"/>
  <c r="AN351" i="10" l="1"/>
  <c r="AW351" i="10" s="1"/>
  <c r="BD351" i="10" s="1"/>
  <c r="X352" i="10"/>
  <c r="AZ351" i="10" l="1"/>
  <c r="Z352" i="10"/>
  <c r="AR352" i="10" s="1"/>
  <c r="Q353" i="10" l="1"/>
  <c r="AA352" i="10"/>
  <c r="AI352" i="10" l="1"/>
  <c r="AJ352" i="10"/>
  <c r="AG352" i="10"/>
  <c r="AK352" i="10"/>
  <c r="AX352" i="10" s="1"/>
  <c r="S353" i="10"/>
  <c r="AC353" i="10"/>
  <c r="BA352" i="10" s="1"/>
  <c r="AB353" i="10"/>
  <c r="AV352" i="10" s="1"/>
  <c r="AM353" i="10"/>
  <c r="T353" i="10" l="1"/>
  <c r="AQ353" i="10" s="1"/>
  <c r="AD353" i="10"/>
  <c r="U353" i="10"/>
  <c r="W353" i="10" s="1"/>
  <c r="AP353" i="10" s="1"/>
  <c r="AH352" i="10"/>
  <c r="AO352" i="10"/>
  <c r="AY352" i="10" s="1"/>
  <c r="AL352" i="10"/>
  <c r="X353" i="10" l="1"/>
  <c r="AN352" i="10"/>
  <c r="AW352" i="10" s="1"/>
  <c r="BD352" i="10" l="1"/>
  <c r="AZ352" i="10"/>
  <c r="Z353" i="10"/>
  <c r="AR353" i="10" s="1"/>
  <c r="Q354" i="10" l="1"/>
  <c r="AA353" i="10"/>
  <c r="AI353" i="10" l="1"/>
  <c r="AJ353" i="10"/>
  <c r="AG353" i="10"/>
  <c r="AK353" i="10"/>
  <c r="AX353" i="10" s="1"/>
  <c r="S354" i="10"/>
  <c r="AC354" i="10"/>
  <c r="BA353" i="10" s="1"/>
  <c r="AB354" i="10"/>
  <c r="AV353" i="10" s="1"/>
  <c r="AM354" i="10"/>
  <c r="AL353" i="10" l="1"/>
  <c r="T354" i="10"/>
  <c r="AQ354" i="10" s="1"/>
  <c r="AD354" i="10"/>
  <c r="U354" i="10"/>
  <c r="W354" i="10" s="1"/>
  <c r="AP354" i="10" s="1"/>
  <c r="AH353" i="10"/>
  <c r="AN353" i="10" s="1"/>
  <c r="AW353" i="10" s="1"/>
  <c r="AO353" i="10"/>
  <c r="AY353" i="10" s="1"/>
  <c r="AZ353" i="10" l="1"/>
  <c r="BD353" i="10"/>
  <c r="X354" i="10"/>
  <c r="Z354" i="10" l="1"/>
  <c r="AR354" i="10" s="1"/>
  <c r="Q355" i="10" l="1"/>
  <c r="AA354" i="10"/>
  <c r="AI354" i="10" l="1"/>
  <c r="AJ354" i="10"/>
  <c r="AG354" i="10"/>
  <c r="AK354" i="10"/>
  <c r="AX354" i="10" s="1"/>
  <c r="S355" i="10"/>
  <c r="AC355" i="10"/>
  <c r="BA354" i="10" s="1"/>
  <c r="AB355" i="10"/>
  <c r="AV354" i="10" s="1"/>
  <c r="AM355" i="10"/>
  <c r="T355" i="10" l="1"/>
  <c r="AQ355" i="10" s="1"/>
  <c r="AD355" i="10"/>
  <c r="U355" i="10"/>
  <c r="W355" i="10" s="1"/>
  <c r="AP355" i="10" s="1"/>
  <c r="AH354" i="10"/>
  <c r="AO354" i="10"/>
  <c r="AY354" i="10" s="1"/>
  <c r="AL354" i="10"/>
  <c r="AN354" i="10" l="1"/>
  <c r="AW354" i="10" s="1"/>
  <c r="BD354" i="10" s="1"/>
  <c r="X355" i="10"/>
  <c r="AZ354" i="10" l="1"/>
  <c r="Z355" i="10"/>
  <c r="AR355" i="10" s="1"/>
  <c r="Q356" i="10" l="1"/>
  <c r="AA355" i="10"/>
  <c r="AI355" i="10" l="1"/>
  <c r="AJ355" i="10"/>
  <c r="AG355" i="10"/>
  <c r="AK355" i="10"/>
  <c r="AX355" i="10" s="1"/>
  <c r="S356" i="10"/>
  <c r="AC356" i="10"/>
  <c r="BA355" i="10" s="1"/>
  <c r="AB356" i="10"/>
  <c r="AV355" i="10" s="1"/>
  <c r="AM356" i="10"/>
  <c r="T356" i="10" l="1"/>
  <c r="AQ356" i="10" s="1"/>
  <c r="AD356" i="10"/>
  <c r="U356" i="10"/>
  <c r="W356" i="10" s="1"/>
  <c r="AP356" i="10" s="1"/>
  <c r="AH355" i="10"/>
  <c r="AO355" i="10"/>
  <c r="AY355" i="10" s="1"/>
  <c r="AL355" i="10"/>
  <c r="AN355" i="10" l="1"/>
  <c r="AW355" i="10" s="1"/>
  <c r="X356" i="10"/>
  <c r="Z356" i="10" l="1"/>
  <c r="AR356" i="10" s="1"/>
  <c r="AZ355" i="10"/>
  <c r="BD355" i="10"/>
  <c r="Q357" i="10" l="1"/>
  <c r="AA356" i="10"/>
  <c r="AI356" i="10" l="1"/>
  <c r="AJ356" i="10"/>
  <c r="AG356" i="10"/>
  <c r="AK356" i="10"/>
  <c r="AX356" i="10" s="1"/>
  <c r="S357" i="10"/>
  <c r="AC357" i="10"/>
  <c r="BA356" i="10" s="1"/>
  <c r="AB357" i="10"/>
  <c r="AV356" i="10" s="1"/>
  <c r="AM357" i="10"/>
  <c r="T357" i="10" l="1"/>
  <c r="AQ357" i="10" s="1"/>
  <c r="AD357" i="10"/>
  <c r="U357" i="10"/>
  <c r="W357" i="10" s="1"/>
  <c r="AP357" i="10" s="1"/>
  <c r="AH356" i="10"/>
  <c r="AO356" i="10"/>
  <c r="AY356" i="10" s="1"/>
  <c r="AL356" i="10"/>
  <c r="AN356" i="10" l="1"/>
  <c r="AW356" i="10" s="1"/>
  <c r="X357" i="10"/>
  <c r="Z357" i="10" l="1"/>
  <c r="AR357" i="10" s="1"/>
  <c r="BD356" i="10"/>
  <c r="AZ356" i="10"/>
  <c r="Q358" i="10" l="1"/>
  <c r="AA357" i="10"/>
  <c r="AI357" i="10" l="1"/>
  <c r="AJ357" i="10"/>
  <c r="AG357" i="10"/>
  <c r="AK357" i="10"/>
  <c r="AX357" i="10" s="1"/>
  <c r="AM358" i="10"/>
  <c r="AC358" i="10"/>
  <c r="BA357" i="10" s="1"/>
  <c r="AB358" i="10"/>
  <c r="AV357" i="10" s="1"/>
  <c r="S358" i="10"/>
  <c r="AH357" i="10" l="1"/>
  <c r="AO357" i="10"/>
  <c r="AY357" i="10" s="1"/>
  <c r="AL357" i="10"/>
  <c r="AD358" i="10"/>
  <c r="T358" i="10"/>
  <c r="AQ358" i="10" s="1"/>
  <c r="U358" i="10"/>
  <c r="W358" i="10" s="1"/>
  <c r="AP358" i="10" s="1"/>
  <c r="X358" i="10" l="1"/>
  <c r="AN357" i="10"/>
  <c r="AW357" i="10" s="1"/>
  <c r="AZ357" i="10" l="1"/>
  <c r="BD357" i="10"/>
  <c r="Z358" i="10"/>
  <c r="AR358" i="10" s="1"/>
  <c r="Q359" i="10" l="1"/>
  <c r="AA358" i="10"/>
  <c r="AI358" i="10" l="1"/>
  <c r="AJ358" i="10"/>
  <c r="AG358" i="10"/>
  <c r="AK358" i="10"/>
  <c r="AX358" i="10" s="1"/>
  <c r="AM359" i="10"/>
  <c r="AC359" i="10"/>
  <c r="BA358" i="10" s="1"/>
  <c r="AB359" i="10"/>
  <c r="AV358" i="10" s="1"/>
  <c r="S359" i="10"/>
  <c r="AH358" i="10" l="1"/>
  <c r="AO358" i="10"/>
  <c r="AY358" i="10" s="1"/>
  <c r="AL358" i="10"/>
  <c r="AD359" i="10"/>
  <c r="T359" i="10"/>
  <c r="AQ359" i="10" s="1"/>
  <c r="U359" i="10"/>
  <c r="W359" i="10" s="1"/>
  <c r="AP359" i="10" s="1"/>
  <c r="X359" i="10" l="1"/>
  <c r="AN358" i="10"/>
  <c r="AW358" i="10" s="1"/>
  <c r="AZ358" i="10" l="1"/>
  <c r="BD358" i="10"/>
  <c r="Z359" i="10"/>
  <c r="AR359" i="10" s="1"/>
  <c r="Q360" i="10" l="1"/>
  <c r="AA359" i="10"/>
  <c r="AJ359" i="10" l="1"/>
  <c r="AI359" i="10"/>
  <c r="AG359" i="10"/>
  <c r="AK359" i="10"/>
  <c r="AX359" i="10" s="1"/>
  <c r="AM360" i="10"/>
  <c r="AC360" i="10"/>
  <c r="BA359" i="10" s="1"/>
  <c r="AB360" i="10"/>
  <c r="AV359" i="10" s="1"/>
  <c r="S360" i="10"/>
  <c r="AD360" i="10" l="1"/>
  <c r="T360" i="10"/>
  <c r="AQ360" i="10" s="1"/>
  <c r="U360" i="10"/>
  <c r="W360" i="10" s="1"/>
  <c r="AP360" i="10" s="1"/>
  <c r="AH359" i="10"/>
  <c r="AO359" i="10"/>
  <c r="AY359" i="10" s="1"/>
  <c r="AL359" i="10"/>
  <c r="AN359" i="10" l="1"/>
  <c r="AW359" i="10" s="1"/>
  <c r="X360" i="10"/>
  <c r="BD359" i="10" l="1"/>
  <c r="AZ359" i="10"/>
  <c r="Z360" i="10"/>
  <c r="AR360" i="10" s="1"/>
  <c r="AA360" i="10" l="1"/>
  <c r="Q361" i="10"/>
  <c r="AC361" i="10" l="1"/>
  <c r="AB361" i="10"/>
  <c r="AV360" i="10" s="1"/>
  <c r="S361" i="10"/>
  <c r="AM361" i="10"/>
  <c r="AJ360" i="10"/>
  <c r="AI360" i="10"/>
  <c r="AG360" i="10"/>
  <c r="AK360" i="10"/>
  <c r="AX360" i="10" s="1"/>
  <c r="AH360" i="10" l="1"/>
  <c r="AO360" i="10"/>
  <c r="AY360" i="10" s="1"/>
  <c r="AL360" i="10"/>
  <c r="T361" i="10"/>
  <c r="AQ361" i="10" s="1"/>
  <c r="AD361" i="10"/>
  <c r="U361" i="10"/>
  <c r="W361" i="10" s="1"/>
  <c r="AP361" i="10" s="1"/>
  <c r="BA360" i="10"/>
  <c r="X361" i="10" l="1"/>
  <c r="AN360" i="10"/>
  <c r="AW360" i="10" s="1"/>
  <c r="BD360" i="10" l="1"/>
  <c r="AZ360" i="10"/>
  <c r="Z361" i="10"/>
  <c r="AR361" i="10" s="1"/>
  <c r="AA361" i="10" l="1"/>
  <c r="Q362" i="10"/>
  <c r="AB362" i="10" l="1"/>
  <c r="AV361" i="10" s="1"/>
  <c r="S362" i="10"/>
  <c r="AM362" i="10"/>
  <c r="AC362" i="10"/>
  <c r="AJ361" i="10"/>
  <c r="AI361" i="10"/>
  <c r="AG361" i="10"/>
  <c r="AK361" i="10"/>
  <c r="AX361" i="10" s="1"/>
  <c r="AL361" i="10" l="1"/>
  <c r="BA361" i="10"/>
  <c r="AD362" i="10"/>
  <c r="T362" i="10"/>
  <c r="AQ362" i="10" s="1"/>
  <c r="U362" i="10"/>
  <c r="W362" i="10" s="1"/>
  <c r="AP362" i="10" s="1"/>
  <c r="AH361" i="10"/>
  <c r="AN361" i="10" s="1"/>
  <c r="AW361" i="10" s="1"/>
  <c r="AO361" i="10"/>
  <c r="AY361" i="10" s="1"/>
  <c r="BD361" i="10" l="1"/>
  <c r="AZ361" i="10"/>
  <c r="X362" i="10"/>
  <c r="Z362" i="10" l="1"/>
  <c r="AR362" i="10" s="1"/>
  <c r="AA362" i="10" l="1"/>
  <c r="Q363" i="10"/>
  <c r="AC363" i="10" l="1"/>
  <c r="AB363" i="10"/>
  <c r="AV362" i="10" s="1"/>
  <c r="AM363" i="10"/>
  <c r="S363" i="10"/>
  <c r="AJ362" i="10"/>
  <c r="AI362" i="10"/>
  <c r="AG362" i="10"/>
  <c r="AK362" i="10"/>
  <c r="AX362" i="10" s="1"/>
  <c r="AH362" i="10" l="1"/>
  <c r="AO362" i="10"/>
  <c r="AY362" i="10" s="1"/>
  <c r="AL362" i="10"/>
  <c r="T363" i="10"/>
  <c r="AQ363" i="10" s="1"/>
  <c r="AD363" i="10"/>
  <c r="U363" i="10"/>
  <c r="W363" i="10" s="1"/>
  <c r="AP363" i="10" s="1"/>
  <c r="BA362" i="10"/>
  <c r="X363" i="10" l="1"/>
  <c r="AN362" i="10"/>
  <c r="AW362" i="10" s="1"/>
  <c r="Z363" i="10" l="1"/>
  <c r="AR363" i="10" s="1"/>
  <c r="BD362" i="10"/>
  <c r="AZ362" i="10"/>
  <c r="Q364" i="10" l="1"/>
  <c r="AA363" i="10"/>
  <c r="AJ363" i="10" l="1"/>
  <c r="AI363" i="10"/>
  <c r="AG363" i="10"/>
  <c r="AK363" i="10"/>
  <c r="AX363" i="10" s="1"/>
  <c r="AB364" i="10"/>
  <c r="AV363" i="10" s="1"/>
  <c r="S364" i="10"/>
  <c r="AM364" i="10"/>
  <c r="AC364" i="10"/>
  <c r="BA363" i="10" l="1"/>
  <c r="T364" i="10"/>
  <c r="AQ364" i="10" s="1"/>
  <c r="AD364" i="10"/>
  <c r="U364" i="10"/>
  <c r="W364" i="10" s="1"/>
  <c r="AP364" i="10" s="1"/>
  <c r="AH363" i="10"/>
  <c r="AO363" i="10"/>
  <c r="AY363" i="10" s="1"/>
  <c r="AL363" i="10"/>
  <c r="AN363" i="10" l="1"/>
  <c r="AW363" i="10" s="1"/>
  <c r="X364" i="10"/>
  <c r="Z364" i="10" l="1"/>
  <c r="AR364" i="10" s="1"/>
  <c r="AZ363" i="10"/>
  <c r="BD363" i="10"/>
  <c r="AA364" i="10" l="1"/>
  <c r="Q365" i="10"/>
  <c r="AM365" i="10" l="1"/>
  <c r="S365" i="10"/>
  <c r="AC365" i="10"/>
  <c r="AB365" i="10"/>
  <c r="AV364" i="10" s="1"/>
  <c r="AI364" i="10"/>
  <c r="AJ364" i="10"/>
  <c r="AG364" i="10"/>
  <c r="AK364" i="10"/>
  <c r="AX364" i="10" s="1"/>
  <c r="AL364" i="10" l="1"/>
  <c r="AH364" i="10"/>
  <c r="AN364" i="10" s="1"/>
  <c r="AW364" i="10" s="1"/>
  <c r="AO364" i="10"/>
  <c r="AY364" i="10" s="1"/>
  <c r="BA364" i="10"/>
  <c r="T365" i="10"/>
  <c r="AQ365" i="10" s="1"/>
  <c r="AD365" i="10"/>
  <c r="U365" i="10"/>
  <c r="W365" i="10" s="1"/>
  <c r="AP365" i="10" s="1"/>
  <c r="X365" i="10" l="1"/>
  <c r="AZ364" i="10"/>
  <c r="BD364" i="10"/>
  <c r="Z365" i="10" l="1"/>
  <c r="AR365" i="10" s="1"/>
  <c r="Q366" i="10" l="1"/>
  <c r="AA365" i="10"/>
  <c r="AJ365" i="10" l="1"/>
  <c r="AI365" i="10"/>
  <c r="AG365" i="10"/>
  <c r="AK365" i="10"/>
  <c r="AX365" i="10" s="1"/>
  <c r="AM366" i="10"/>
  <c r="S366" i="10"/>
  <c r="AC366" i="10"/>
  <c r="AB366" i="10"/>
  <c r="AV365" i="10" s="1"/>
  <c r="AD366" i="10" l="1"/>
  <c r="T366" i="10"/>
  <c r="AQ366" i="10" s="1"/>
  <c r="U366" i="10"/>
  <c r="W366" i="10" s="1"/>
  <c r="AP366" i="10" s="1"/>
  <c r="AH365" i="10"/>
  <c r="AO365" i="10"/>
  <c r="AY365" i="10" s="1"/>
  <c r="AL365" i="10"/>
  <c r="BA365" i="10"/>
  <c r="AN365" i="10" l="1"/>
  <c r="AW365" i="10" s="1"/>
  <c r="X366" i="10"/>
  <c r="Z366" i="10" l="1"/>
  <c r="AR366" i="10" s="1"/>
  <c r="AZ365" i="10"/>
  <c r="BD365" i="10"/>
  <c r="AA366" i="10" l="1"/>
  <c r="Q367" i="10"/>
  <c r="AM367" i="10" l="1"/>
  <c r="AC367" i="10"/>
  <c r="S367" i="10"/>
  <c r="AB367" i="10"/>
  <c r="AV366" i="10" s="1"/>
  <c r="AI366" i="10"/>
  <c r="AJ366" i="10"/>
  <c r="AG366" i="10"/>
  <c r="AK366" i="10"/>
  <c r="AX366" i="10" s="1"/>
  <c r="AL366" i="10" l="1"/>
  <c r="AH366" i="10"/>
  <c r="AN366" i="10" s="1"/>
  <c r="AW366" i="10" s="1"/>
  <c r="AO366" i="10"/>
  <c r="AY366" i="10" s="1"/>
  <c r="AD367" i="10"/>
  <c r="T367" i="10"/>
  <c r="AQ367" i="10" s="1"/>
  <c r="U367" i="10"/>
  <c r="W367" i="10" s="1"/>
  <c r="AP367" i="10" s="1"/>
  <c r="BA366" i="10"/>
  <c r="X367" i="10" l="1"/>
  <c r="BD366" i="10"/>
  <c r="AZ366" i="10"/>
  <c r="Z367" i="10" l="1"/>
  <c r="AR367" i="10" s="1"/>
  <c r="AA367" i="10" l="1"/>
  <c r="Q368" i="10"/>
  <c r="AM368" i="10" l="1"/>
  <c r="AC368" i="10"/>
  <c r="AB368" i="10"/>
  <c r="AV367" i="10" s="1"/>
  <c r="S368" i="10"/>
  <c r="AJ367" i="10"/>
  <c r="AI367" i="10"/>
  <c r="AG367" i="10"/>
  <c r="AK367" i="10"/>
  <c r="AX367" i="10" s="1"/>
  <c r="AH367" i="10" l="1"/>
  <c r="AO367" i="10"/>
  <c r="AY367" i="10" s="1"/>
  <c r="AL367" i="10"/>
  <c r="AD368" i="10"/>
  <c r="T368" i="10"/>
  <c r="AQ368" i="10" s="1"/>
  <c r="U368" i="10"/>
  <c r="W368" i="10" s="1"/>
  <c r="AP368" i="10" s="1"/>
  <c r="BA367" i="10"/>
  <c r="X368" i="10" l="1"/>
  <c r="AN367" i="10"/>
  <c r="AW367" i="10" s="1"/>
  <c r="BD367" i="10" l="1"/>
  <c r="AZ367" i="10"/>
  <c r="Z368" i="10"/>
  <c r="AR368" i="10" s="1"/>
  <c r="AA368" i="10" l="1"/>
  <c r="Q369" i="10"/>
  <c r="AC369" i="10" l="1"/>
  <c r="AB369" i="10"/>
  <c r="AV368" i="10" s="1"/>
  <c r="S369" i="10"/>
  <c r="AM369" i="10"/>
  <c r="AJ368" i="10"/>
  <c r="AI368" i="10"/>
  <c r="AG368" i="10"/>
  <c r="AK368" i="10"/>
  <c r="AX368" i="10" s="1"/>
  <c r="AL368" i="10" l="1"/>
  <c r="T369" i="10"/>
  <c r="AQ369" i="10" s="1"/>
  <c r="AD369" i="10"/>
  <c r="U369" i="10"/>
  <c r="W369" i="10" s="1"/>
  <c r="AP369" i="10" s="1"/>
  <c r="BA368" i="10"/>
  <c r="AH368" i="10"/>
  <c r="AN368" i="10" s="1"/>
  <c r="AW368" i="10" s="1"/>
  <c r="AO368" i="10"/>
  <c r="AY368" i="10" s="1"/>
  <c r="BD368" i="10" l="1"/>
  <c r="AZ368" i="10"/>
  <c r="X369" i="10"/>
  <c r="Z369" i="10" l="1"/>
  <c r="AR369" i="10" s="1"/>
  <c r="AA369" i="10" l="1"/>
  <c r="Q370" i="10"/>
  <c r="AB370" i="10" l="1"/>
  <c r="AV369" i="10" s="1"/>
  <c r="S370" i="10"/>
  <c r="AM370" i="10"/>
  <c r="AC370" i="10"/>
  <c r="AJ369" i="10"/>
  <c r="AI369" i="10"/>
  <c r="AG369" i="10"/>
  <c r="AK369" i="10"/>
  <c r="AX369" i="10" s="1"/>
  <c r="AH369" i="10" l="1"/>
  <c r="AO369" i="10"/>
  <c r="AY369" i="10" s="1"/>
  <c r="AL369" i="10"/>
  <c r="BA369" i="10"/>
  <c r="AD370" i="10"/>
  <c r="T370" i="10"/>
  <c r="AQ370" i="10" s="1"/>
  <c r="U370" i="10"/>
  <c r="W370" i="10" s="1"/>
  <c r="AP370" i="10" s="1"/>
  <c r="X370" i="10" l="1"/>
  <c r="Z370" i="10" s="1"/>
  <c r="AR370" i="10" s="1"/>
  <c r="AN369" i="10"/>
  <c r="AW369" i="10" s="1"/>
  <c r="AA370" i="10" l="1"/>
  <c r="BD369" i="10"/>
  <c r="AZ369" i="10"/>
  <c r="Q371" i="10"/>
  <c r="AC371" i="10" l="1"/>
  <c r="S371" i="10"/>
  <c r="AB371" i="10"/>
  <c r="AV370" i="10" s="1"/>
  <c r="AM371" i="10"/>
  <c r="AJ370" i="10"/>
  <c r="AI370" i="10"/>
  <c r="AG370" i="10"/>
  <c r="AK370" i="10"/>
  <c r="AX370" i="10" s="1"/>
  <c r="AH370" i="10" l="1"/>
  <c r="AO370" i="10"/>
  <c r="AY370" i="10" s="1"/>
  <c r="AL370" i="10"/>
  <c r="T371" i="10"/>
  <c r="AQ371" i="10" s="1"/>
  <c r="AD371" i="10"/>
  <c r="U371" i="10"/>
  <c r="W371" i="10" s="1"/>
  <c r="AP371" i="10" s="1"/>
  <c r="BA370" i="10"/>
  <c r="X371" i="10" l="1"/>
  <c r="AN370" i="10"/>
  <c r="AW370" i="10" s="1"/>
  <c r="BD370" i="10" l="1"/>
  <c r="AZ370" i="10"/>
  <c r="Z371" i="10"/>
  <c r="AR371" i="10" s="1"/>
  <c r="Q372" i="10" l="1"/>
  <c r="AA371" i="10"/>
  <c r="AJ371" i="10" l="1"/>
  <c r="AI371" i="10"/>
  <c r="AG371" i="10"/>
  <c r="AK371" i="10"/>
  <c r="AX371" i="10" s="1"/>
  <c r="AB372" i="10"/>
  <c r="AV371" i="10" s="1"/>
  <c r="S372" i="10"/>
  <c r="AC372" i="10"/>
  <c r="AM372" i="10"/>
  <c r="BA371" i="10" l="1"/>
  <c r="AD372" i="10"/>
  <c r="T372" i="10"/>
  <c r="AQ372" i="10" s="1"/>
  <c r="U372" i="10"/>
  <c r="W372" i="10" s="1"/>
  <c r="AP372" i="10" s="1"/>
  <c r="AH371" i="10"/>
  <c r="AO371" i="10"/>
  <c r="AY371" i="10" s="1"/>
  <c r="AL371" i="10"/>
  <c r="AN371" i="10" l="1"/>
  <c r="AW371" i="10" s="1"/>
  <c r="AZ371" i="10" s="1"/>
  <c r="X372" i="10"/>
  <c r="BD371" i="10" l="1"/>
  <c r="Z372" i="10"/>
  <c r="AR372" i="10" s="1"/>
  <c r="AA372" i="10" l="1"/>
  <c r="Q373" i="10"/>
  <c r="AC373" i="10" l="1"/>
  <c r="AB373" i="10"/>
  <c r="AV372" i="10" s="1"/>
  <c r="AM373" i="10"/>
  <c r="S373" i="10"/>
  <c r="AI372" i="10"/>
  <c r="AJ372" i="10"/>
  <c r="AG372" i="10"/>
  <c r="AK372" i="10"/>
  <c r="AX372" i="10" s="1"/>
  <c r="AL372" i="10" l="1"/>
  <c r="AD373" i="10"/>
  <c r="T373" i="10"/>
  <c r="AQ373" i="10" s="1"/>
  <c r="U373" i="10"/>
  <c r="W373" i="10" s="1"/>
  <c r="AP373" i="10" s="1"/>
  <c r="BA372" i="10"/>
  <c r="AH372" i="10"/>
  <c r="AN372" i="10" s="1"/>
  <c r="AW372" i="10" s="1"/>
  <c r="AO372" i="10"/>
  <c r="AY372" i="10" s="1"/>
  <c r="AZ372" i="10" l="1"/>
  <c r="BD372" i="10"/>
  <c r="X373" i="10"/>
  <c r="Z373" i="10" l="1"/>
  <c r="AR373" i="10" s="1"/>
  <c r="Q374" i="10" l="1"/>
  <c r="AA373" i="10"/>
  <c r="AJ373" i="10" l="1"/>
  <c r="AI373" i="10"/>
  <c r="AG373" i="10"/>
  <c r="AK373" i="10"/>
  <c r="AX373" i="10" s="1"/>
  <c r="AM374" i="10"/>
  <c r="AC374" i="10"/>
  <c r="BA373" i="10" s="1"/>
  <c r="AB374" i="10"/>
  <c r="AV373" i="10" s="1"/>
  <c r="S374" i="10"/>
  <c r="AD374" i="10" l="1"/>
  <c r="T374" i="10"/>
  <c r="AQ374" i="10" s="1"/>
  <c r="U374" i="10"/>
  <c r="W374" i="10" s="1"/>
  <c r="AP374" i="10" s="1"/>
  <c r="AH373" i="10"/>
  <c r="AO373" i="10"/>
  <c r="AY373" i="10" s="1"/>
  <c r="AL373" i="10"/>
  <c r="AN373" i="10" l="1"/>
  <c r="AW373" i="10" s="1"/>
  <c r="X374" i="10"/>
  <c r="AZ373" i="10" l="1"/>
  <c r="BD373" i="10"/>
  <c r="Z374" i="10"/>
  <c r="AR374" i="10" s="1"/>
  <c r="Q375" i="10" l="1"/>
  <c r="AA374" i="10"/>
  <c r="AI374" i="10" l="1"/>
  <c r="AJ374" i="10"/>
  <c r="AG374" i="10"/>
  <c r="AK374" i="10"/>
  <c r="AX374" i="10" s="1"/>
  <c r="AM375" i="10"/>
  <c r="AC375" i="10"/>
  <c r="BA374" i="10" s="1"/>
  <c r="AB375" i="10"/>
  <c r="AV374" i="10" s="1"/>
  <c r="S375" i="10"/>
  <c r="AH374" i="10" l="1"/>
  <c r="AO374" i="10"/>
  <c r="AY374" i="10" s="1"/>
  <c r="AL374" i="10"/>
  <c r="AD375" i="10"/>
  <c r="T375" i="10"/>
  <c r="AQ375" i="10" s="1"/>
  <c r="U375" i="10"/>
  <c r="W375" i="10" s="1"/>
  <c r="AP375" i="10" s="1"/>
  <c r="X375" i="10" l="1"/>
  <c r="Z375" i="10"/>
  <c r="AR375" i="10" s="1"/>
  <c r="AN374" i="10"/>
  <c r="AW374" i="10" s="1"/>
  <c r="AZ374" i="10" l="1"/>
  <c r="BD374" i="10"/>
  <c r="Q376" i="10"/>
  <c r="AA375" i="10"/>
  <c r="AJ375" i="10" l="1"/>
  <c r="AI375" i="10"/>
  <c r="AG375" i="10"/>
  <c r="AK375" i="10"/>
  <c r="AX375" i="10" s="1"/>
  <c r="AM376" i="10"/>
  <c r="AC376" i="10"/>
  <c r="BA375" i="10" s="1"/>
  <c r="AB376" i="10"/>
  <c r="AV375" i="10" s="1"/>
  <c r="S376" i="10"/>
  <c r="AD376" i="10" l="1"/>
  <c r="T376" i="10"/>
  <c r="AQ376" i="10" s="1"/>
  <c r="U376" i="10"/>
  <c r="W376" i="10" s="1"/>
  <c r="AP376" i="10" s="1"/>
  <c r="AH375" i="10"/>
  <c r="AO375" i="10"/>
  <c r="AY375" i="10" s="1"/>
  <c r="AL375" i="10"/>
  <c r="AN375" i="10" l="1"/>
  <c r="AW375" i="10" s="1"/>
  <c r="X376" i="10"/>
  <c r="Z376" i="10" l="1"/>
  <c r="AR376" i="10" s="1"/>
  <c r="BD375" i="10"/>
  <c r="AZ375" i="10"/>
  <c r="AA376" i="10" l="1"/>
  <c r="Q377" i="10"/>
  <c r="AJ376" i="10" l="1"/>
  <c r="AI376" i="10"/>
  <c r="AG376" i="10"/>
  <c r="AK376" i="10"/>
  <c r="AX376" i="10" s="1"/>
  <c r="AC377" i="10"/>
  <c r="BA376" i="10" s="1"/>
  <c r="AB377" i="10"/>
  <c r="AV376" i="10" s="1"/>
  <c r="S377" i="10"/>
  <c r="AM377" i="10"/>
  <c r="T377" i="10" l="1"/>
  <c r="AQ377" i="10" s="1"/>
  <c r="AD377" i="10"/>
  <c r="U377" i="10"/>
  <c r="W377" i="10" s="1"/>
  <c r="AP377" i="10" s="1"/>
  <c r="AH376" i="10"/>
  <c r="AO376" i="10"/>
  <c r="AY376" i="10" s="1"/>
  <c r="AL376" i="10"/>
  <c r="AN376" i="10" l="1"/>
  <c r="AW376" i="10" s="1"/>
  <c r="X377" i="10"/>
  <c r="Z377" i="10" l="1"/>
  <c r="AR377" i="10" s="1"/>
  <c r="BD376" i="10"/>
  <c r="AZ376" i="10"/>
  <c r="AA377" i="10" l="1"/>
  <c r="Q378" i="10"/>
  <c r="AB378" i="10" l="1"/>
  <c r="AV377" i="10" s="1"/>
  <c r="S378" i="10"/>
  <c r="AM378" i="10"/>
  <c r="AC378" i="10"/>
  <c r="AJ377" i="10"/>
  <c r="AI377" i="10"/>
  <c r="AG377" i="10"/>
  <c r="AK377" i="10"/>
  <c r="AX377" i="10" s="1"/>
  <c r="AH377" i="10" l="1"/>
  <c r="AO377" i="10"/>
  <c r="AY377" i="10" s="1"/>
  <c r="AL377" i="10"/>
  <c r="BA377" i="10"/>
  <c r="AD378" i="10"/>
  <c r="T378" i="10"/>
  <c r="AQ378" i="10" s="1"/>
  <c r="U378" i="10"/>
  <c r="W378" i="10" s="1"/>
  <c r="AP378" i="10" s="1"/>
  <c r="X378" i="10" l="1"/>
  <c r="AN377" i="10"/>
  <c r="AW377" i="10" s="1"/>
  <c r="BD377" i="10" l="1"/>
  <c r="AZ377" i="10"/>
  <c r="Z378" i="10"/>
  <c r="AR378" i="10" s="1"/>
  <c r="AA378" i="10" l="1"/>
  <c r="Q379" i="10"/>
  <c r="AC379" i="10" l="1"/>
  <c r="AB379" i="10"/>
  <c r="AV378" i="10" s="1"/>
  <c r="AM379" i="10"/>
  <c r="S379" i="10"/>
  <c r="AJ378" i="10"/>
  <c r="AI378" i="10"/>
  <c r="AG378" i="10"/>
  <c r="AK378" i="10"/>
  <c r="AX378" i="10" s="1"/>
  <c r="AH378" i="10" l="1"/>
  <c r="AO378" i="10"/>
  <c r="AY378" i="10" s="1"/>
  <c r="AL378" i="10"/>
  <c r="T379" i="10"/>
  <c r="AQ379" i="10" s="1"/>
  <c r="AD379" i="10"/>
  <c r="U379" i="10"/>
  <c r="W379" i="10" s="1"/>
  <c r="AP379" i="10" s="1"/>
  <c r="BA378" i="10"/>
  <c r="X379" i="10" l="1"/>
  <c r="AN378" i="10"/>
  <c r="AW378" i="10" s="1"/>
  <c r="BD378" i="10" l="1"/>
  <c r="AZ378" i="10"/>
  <c r="Z379" i="10"/>
  <c r="AR379" i="10" s="1"/>
  <c r="Q380" i="10" l="1"/>
  <c r="AA379" i="10"/>
  <c r="AB380" i="10" l="1"/>
  <c r="AV379" i="10" s="1"/>
  <c r="S380" i="10"/>
  <c r="AM380" i="10"/>
  <c r="AC380" i="10"/>
  <c r="AJ379" i="10"/>
  <c r="AI379" i="10"/>
  <c r="AG379" i="10"/>
  <c r="AK379" i="10"/>
  <c r="AX379" i="10" s="1"/>
  <c r="AL379" i="10" l="1"/>
  <c r="AH379" i="10"/>
  <c r="AO379" i="10"/>
  <c r="AY379" i="10" s="1"/>
  <c r="BA379" i="10"/>
  <c r="T380" i="10"/>
  <c r="AQ380" i="10" s="1"/>
  <c r="AD380" i="10"/>
  <c r="U380" i="10"/>
  <c r="W380" i="10" s="1"/>
  <c r="AP380" i="10" s="1"/>
  <c r="AN379" i="10" l="1"/>
  <c r="AW379" i="10" s="1"/>
  <c r="AZ379" i="10" s="1"/>
  <c r="X380" i="10"/>
  <c r="BD379" i="10"/>
  <c r="Z380" i="10" l="1"/>
  <c r="AR380" i="10" s="1"/>
  <c r="AA380" i="10" l="1"/>
  <c r="Q381" i="10"/>
  <c r="AM381" i="10" l="1"/>
  <c r="S381" i="10"/>
  <c r="AC381" i="10"/>
  <c r="AB381" i="10"/>
  <c r="AV380" i="10" s="1"/>
  <c r="AI380" i="10"/>
  <c r="AJ380" i="10"/>
  <c r="AG380" i="10"/>
  <c r="AK380" i="10"/>
  <c r="AX380" i="10" s="1"/>
  <c r="AL380" i="10" l="1"/>
  <c r="BA380" i="10"/>
  <c r="T381" i="10"/>
  <c r="AQ381" i="10" s="1"/>
  <c r="AD381" i="10"/>
  <c r="U381" i="10"/>
  <c r="W381" i="10" s="1"/>
  <c r="AP381" i="10" s="1"/>
  <c r="AH380" i="10"/>
  <c r="AN380" i="10" s="1"/>
  <c r="AW380" i="10" s="1"/>
  <c r="AO380" i="10"/>
  <c r="AY380" i="10" s="1"/>
  <c r="AZ380" i="10" l="1"/>
  <c r="BD380" i="10"/>
  <c r="X381" i="10"/>
  <c r="Z381" i="10" l="1"/>
  <c r="AR381" i="10" s="1"/>
  <c r="Q382" i="10" l="1"/>
  <c r="AA381" i="10"/>
  <c r="AJ381" i="10" l="1"/>
  <c r="AI381" i="10"/>
  <c r="AG381" i="10"/>
  <c r="AK381" i="10"/>
  <c r="AX381" i="10" s="1"/>
  <c r="AM382" i="10"/>
  <c r="S382" i="10"/>
  <c r="AC382" i="10"/>
  <c r="AB382" i="10"/>
  <c r="AV381" i="10" s="1"/>
  <c r="BA381" i="10" l="1"/>
  <c r="AD382" i="10"/>
  <c r="T382" i="10"/>
  <c r="AQ382" i="10" s="1"/>
  <c r="U382" i="10"/>
  <c r="W382" i="10" s="1"/>
  <c r="AP382" i="10" s="1"/>
  <c r="AH381" i="10"/>
  <c r="AO381" i="10"/>
  <c r="AY381" i="10" s="1"/>
  <c r="AL381" i="10"/>
  <c r="AN381" i="10" l="1"/>
  <c r="AW381" i="10" s="1"/>
  <c r="X382" i="10"/>
  <c r="Z382" i="10" l="1"/>
  <c r="AR382" i="10" s="1"/>
  <c r="AZ381" i="10"/>
  <c r="BD381" i="10"/>
  <c r="AA382" i="10" l="1"/>
  <c r="Q383" i="10"/>
  <c r="AM383" i="10" l="1"/>
  <c r="AC383" i="10"/>
  <c r="S383" i="10"/>
  <c r="AB383" i="10"/>
  <c r="AV382" i="10" s="1"/>
  <c r="AI382" i="10"/>
  <c r="AJ382" i="10"/>
  <c r="AG382" i="10"/>
  <c r="AK382" i="10"/>
  <c r="AX382" i="10" s="1"/>
  <c r="AH382" i="10" l="1"/>
  <c r="AO382" i="10"/>
  <c r="AY382" i="10" s="1"/>
  <c r="AL382" i="10"/>
  <c r="AD383" i="10"/>
  <c r="T383" i="10"/>
  <c r="AQ383" i="10" s="1"/>
  <c r="U383" i="10"/>
  <c r="W383" i="10" s="1"/>
  <c r="AP383" i="10" s="1"/>
  <c r="BA382" i="10"/>
  <c r="X383" i="10" l="1"/>
  <c r="AN382" i="10"/>
  <c r="AW382" i="10" s="1"/>
  <c r="BD382" i="10" l="1"/>
  <c r="AZ382" i="10"/>
  <c r="Z383" i="10"/>
  <c r="AR383" i="10" s="1"/>
  <c r="AA383" i="10" l="1"/>
  <c r="Q384" i="10"/>
  <c r="AM384" i="10" l="1"/>
  <c r="AC384" i="10"/>
  <c r="AB384" i="10"/>
  <c r="AV383" i="10" s="1"/>
  <c r="S384" i="10"/>
  <c r="AJ383" i="10"/>
  <c r="AI383" i="10"/>
  <c r="AG383" i="10"/>
  <c r="AK383" i="10"/>
  <c r="AX383" i="10" s="1"/>
  <c r="AL383" i="10" l="1"/>
  <c r="AH383" i="10"/>
  <c r="AO383" i="10"/>
  <c r="AY383" i="10" s="1"/>
  <c r="AD384" i="10"/>
  <c r="T384" i="10"/>
  <c r="AQ384" i="10" s="1"/>
  <c r="U384" i="10"/>
  <c r="W384" i="10" s="1"/>
  <c r="AP384" i="10" s="1"/>
  <c r="BA383" i="10"/>
  <c r="AN383" i="10" l="1"/>
  <c r="AW383" i="10" s="1"/>
  <c r="BD383" i="10" s="1"/>
  <c r="X384" i="10"/>
  <c r="AZ383" i="10" l="1"/>
  <c r="Z384" i="10"/>
  <c r="AR384" i="10" s="1"/>
  <c r="AA384" i="10" l="1"/>
  <c r="Q385" i="10"/>
  <c r="S385" i="10" l="1"/>
  <c r="AM385" i="10"/>
  <c r="AC385" i="10"/>
  <c r="AB385" i="10"/>
  <c r="AV384" i="10" s="1"/>
  <c r="AJ384" i="10"/>
  <c r="AI384" i="10"/>
  <c r="AG384" i="10"/>
  <c r="AK384" i="10"/>
  <c r="AX384" i="10" s="1"/>
  <c r="AH384" i="10" l="1"/>
  <c r="AO384" i="10"/>
  <c r="AY384" i="10" s="1"/>
  <c r="AL384" i="10"/>
  <c r="BA384" i="10"/>
  <c r="T385" i="10"/>
  <c r="AQ385" i="10" s="1"/>
  <c r="AD385" i="10"/>
  <c r="U385" i="10"/>
  <c r="W385" i="10" s="1"/>
  <c r="AP385" i="10" s="1"/>
  <c r="X385" i="10" l="1"/>
  <c r="AN384" i="10"/>
  <c r="AW384" i="10" s="1"/>
  <c r="BD384" i="10" l="1"/>
  <c r="AZ384" i="10"/>
  <c r="Z385" i="10"/>
  <c r="AR385" i="10" s="1"/>
  <c r="Q386" i="10" l="1"/>
  <c r="AA385" i="10"/>
  <c r="AI385" i="10" l="1"/>
  <c r="AJ385" i="10"/>
  <c r="AG385" i="10"/>
  <c r="AK385" i="10"/>
  <c r="AX385" i="10" s="1"/>
  <c r="S386" i="10"/>
  <c r="AC386" i="10"/>
  <c r="BA385" i="10" s="1"/>
  <c r="AB386" i="10"/>
  <c r="AV385" i="10" s="1"/>
  <c r="AM386" i="10"/>
  <c r="AD386" i="10" l="1"/>
  <c r="T386" i="10"/>
  <c r="AQ386" i="10" s="1"/>
  <c r="U386" i="10"/>
  <c r="W386" i="10" s="1"/>
  <c r="AP386" i="10" s="1"/>
  <c r="AH385" i="10"/>
  <c r="AO385" i="10"/>
  <c r="AY385" i="10" s="1"/>
  <c r="AL385" i="10"/>
  <c r="AN385" i="10" l="1"/>
  <c r="AW385" i="10" s="1"/>
  <c r="X386" i="10"/>
  <c r="Z386" i="10" l="1"/>
  <c r="AR386" i="10" s="1"/>
  <c r="BD385" i="10"/>
  <c r="AZ385" i="10"/>
  <c r="Q387" i="10" l="1"/>
  <c r="AA386" i="10"/>
  <c r="AI386" i="10" l="1"/>
  <c r="AJ386" i="10"/>
  <c r="AG386" i="10"/>
  <c r="AK386" i="10"/>
  <c r="AX386" i="10" s="1"/>
  <c r="S387" i="10"/>
  <c r="AM387" i="10"/>
  <c r="AC387" i="10"/>
  <c r="AB387" i="10"/>
  <c r="AV386" i="10" s="1"/>
  <c r="BA386" i="10" l="1"/>
  <c r="AL386" i="10"/>
  <c r="AD387" i="10"/>
  <c r="T387" i="10"/>
  <c r="AQ387" i="10" s="1"/>
  <c r="U387" i="10"/>
  <c r="W387" i="10" s="1"/>
  <c r="AP387" i="10" s="1"/>
  <c r="AH386" i="10"/>
  <c r="AN386" i="10" s="1"/>
  <c r="AW386" i="10" s="1"/>
  <c r="AO386" i="10"/>
  <c r="AY386" i="10" s="1"/>
  <c r="BD386" i="10" l="1"/>
  <c r="AZ386" i="10"/>
  <c r="X387" i="10"/>
  <c r="Z387" i="10" l="1"/>
  <c r="AR387" i="10" s="1"/>
  <c r="Q388" i="10" l="1"/>
  <c r="AA387" i="10"/>
  <c r="AI387" i="10" l="1"/>
  <c r="AJ387" i="10"/>
  <c r="AG387" i="10"/>
  <c r="AK387" i="10"/>
  <c r="AX387" i="10" s="1"/>
  <c r="S388" i="10"/>
  <c r="AM388" i="10"/>
  <c r="AC388" i="10"/>
  <c r="AB388" i="10"/>
  <c r="AV387" i="10" s="1"/>
  <c r="BA387" i="10" l="1"/>
  <c r="AD388" i="10"/>
  <c r="T388" i="10"/>
  <c r="AQ388" i="10" s="1"/>
  <c r="U388" i="10"/>
  <c r="W388" i="10" s="1"/>
  <c r="AP388" i="10" s="1"/>
  <c r="AH387" i="10"/>
  <c r="AO387" i="10"/>
  <c r="AY387" i="10" s="1"/>
  <c r="AL387" i="10"/>
  <c r="AN387" i="10" l="1"/>
  <c r="AW387" i="10" s="1"/>
  <c r="X388" i="10"/>
  <c r="AZ387" i="10" l="1"/>
  <c r="BD387" i="10"/>
  <c r="Z388" i="10"/>
  <c r="AR388" i="10" s="1"/>
  <c r="Q389" i="10" l="1"/>
  <c r="AA388" i="10"/>
  <c r="AI388" i="10" l="1"/>
  <c r="AJ388" i="10"/>
  <c r="AG388" i="10"/>
  <c r="AK388" i="10"/>
  <c r="AX388" i="10" s="1"/>
  <c r="S389" i="10"/>
  <c r="AM389" i="10"/>
  <c r="AC389" i="10"/>
  <c r="AB389" i="10"/>
  <c r="AV388" i="10" s="1"/>
  <c r="BA388" i="10" l="1"/>
  <c r="AD389" i="10"/>
  <c r="T389" i="10"/>
  <c r="AQ389" i="10" s="1"/>
  <c r="U389" i="10"/>
  <c r="W389" i="10" s="1"/>
  <c r="AP389" i="10" s="1"/>
  <c r="AH388" i="10"/>
  <c r="AO388" i="10"/>
  <c r="AY388" i="10" s="1"/>
  <c r="AL388" i="10"/>
  <c r="AN388" i="10" l="1"/>
  <c r="AW388" i="10" s="1"/>
  <c r="AZ388" i="10" s="1"/>
  <c r="BD388" i="10"/>
  <c r="X389" i="10"/>
  <c r="Z389" i="10" l="1"/>
  <c r="AR389" i="10" s="1"/>
  <c r="Q390" i="10" l="1"/>
  <c r="AA389" i="10"/>
  <c r="AI389" i="10" l="1"/>
  <c r="AJ389" i="10"/>
  <c r="AG389" i="10"/>
  <c r="AK389" i="10"/>
  <c r="AX389" i="10" s="1"/>
  <c r="S390" i="10"/>
  <c r="AM390" i="10"/>
  <c r="AC390" i="10"/>
  <c r="AB390" i="10"/>
  <c r="AV389" i="10" s="1"/>
  <c r="T390" i="10" l="1"/>
  <c r="AQ390" i="10" s="1"/>
  <c r="AD390" i="10"/>
  <c r="U390" i="10"/>
  <c r="W390" i="10" s="1"/>
  <c r="AP390" i="10" s="1"/>
  <c r="AH389" i="10"/>
  <c r="AO389" i="10"/>
  <c r="AY389" i="10" s="1"/>
  <c r="AL389" i="10"/>
  <c r="BA389" i="10"/>
  <c r="AN389" i="10" l="1"/>
  <c r="AW389" i="10" s="1"/>
  <c r="X390" i="10"/>
  <c r="Z390" i="10" l="1"/>
  <c r="AR390" i="10" s="1"/>
  <c r="BD389" i="10"/>
  <c r="AZ389" i="10"/>
  <c r="Q391" i="10" l="1"/>
  <c r="AA390" i="10"/>
  <c r="AI390" i="10" l="1"/>
  <c r="AJ390" i="10"/>
  <c r="AG390" i="10"/>
  <c r="AK390" i="10"/>
  <c r="AX390" i="10" s="1"/>
  <c r="S391" i="10"/>
  <c r="AM391" i="10"/>
  <c r="AC391" i="10"/>
  <c r="AB391" i="10"/>
  <c r="AV390" i="10" s="1"/>
  <c r="BA390" i="10" l="1"/>
  <c r="AD391" i="10"/>
  <c r="T391" i="10"/>
  <c r="AQ391" i="10" s="1"/>
  <c r="U391" i="10"/>
  <c r="W391" i="10" s="1"/>
  <c r="AP391" i="10" s="1"/>
  <c r="AH390" i="10"/>
  <c r="AO390" i="10"/>
  <c r="AY390" i="10" s="1"/>
  <c r="AL390" i="10"/>
  <c r="AN390" i="10" l="1"/>
  <c r="AW390" i="10" s="1"/>
  <c r="X391" i="10"/>
  <c r="Z391" i="10" l="1"/>
  <c r="AR391" i="10" s="1"/>
  <c r="BD390" i="10"/>
  <c r="AZ390" i="10"/>
  <c r="Q392" i="10" l="1"/>
  <c r="AA391" i="10"/>
  <c r="AI391" i="10" l="1"/>
  <c r="AJ391" i="10"/>
  <c r="AG391" i="10"/>
  <c r="AK391" i="10"/>
  <c r="AX391" i="10" s="1"/>
  <c r="S392" i="10"/>
  <c r="AM392" i="10"/>
  <c r="AC392" i="10"/>
  <c r="AB392" i="10"/>
  <c r="AV391" i="10" s="1"/>
  <c r="BA391" i="10" l="1"/>
  <c r="T392" i="10"/>
  <c r="AQ392" i="10" s="1"/>
  <c r="AD392" i="10"/>
  <c r="U392" i="10"/>
  <c r="W392" i="10" s="1"/>
  <c r="AP392" i="10" s="1"/>
  <c r="AH391" i="10"/>
  <c r="AO391" i="10"/>
  <c r="AY391" i="10" s="1"/>
  <c r="AL391" i="10"/>
  <c r="AN391" i="10" l="1"/>
  <c r="AW391" i="10" s="1"/>
  <c r="AZ391" i="10" s="1"/>
  <c r="X392" i="10"/>
  <c r="BD391" i="10" l="1"/>
  <c r="Z392" i="10"/>
  <c r="AR392" i="10" s="1"/>
  <c r="Q393" i="10" l="1"/>
  <c r="AA392" i="10"/>
  <c r="AI392" i="10" l="1"/>
  <c r="AJ392" i="10"/>
  <c r="AG392" i="10"/>
  <c r="AK392" i="10"/>
  <c r="AX392" i="10" s="1"/>
  <c r="S393" i="10"/>
  <c r="AM393" i="10"/>
  <c r="AC393" i="10"/>
  <c r="AB393" i="10"/>
  <c r="AV392" i="10" s="1"/>
  <c r="T393" i="10" l="1"/>
  <c r="AQ393" i="10" s="1"/>
  <c r="AD393" i="10"/>
  <c r="U393" i="10"/>
  <c r="W393" i="10" s="1"/>
  <c r="AP393" i="10" s="1"/>
  <c r="AH392" i="10"/>
  <c r="AO392" i="10"/>
  <c r="AY392" i="10" s="1"/>
  <c r="AL392" i="10"/>
  <c r="BA392" i="10"/>
  <c r="AN392" i="10" l="1"/>
  <c r="AW392" i="10" s="1"/>
  <c r="X393" i="10"/>
  <c r="Z393" i="10" l="1"/>
  <c r="AR393" i="10" s="1"/>
  <c r="BD392" i="10"/>
  <c r="AZ392" i="10"/>
  <c r="Q394" i="10" l="1"/>
  <c r="AA393" i="10"/>
  <c r="AI393" i="10" l="1"/>
  <c r="AJ393" i="10"/>
  <c r="AG393" i="10"/>
  <c r="AK393" i="10"/>
  <c r="AX393" i="10" s="1"/>
  <c r="S394" i="10"/>
  <c r="AC394" i="10"/>
  <c r="BA393" i="10" s="1"/>
  <c r="AB394" i="10"/>
  <c r="AV393" i="10" s="1"/>
  <c r="AM394" i="10"/>
  <c r="AD394" i="10" l="1"/>
  <c r="T394" i="10"/>
  <c r="AQ394" i="10" s="1"/>
  <c r="U394" i="10"/>
  <c r="W394" i="10" s="1"/>
  <c r="AP394" i="10" s="1"/>
  <c r="AH393" i="10"/>
  <c r="AO393" i="10"/>
  <c r="AY393" i="10" s="1"/>
  <c r="AL393" i="10"/>
  <c r="AN393" i="10" l="1"/>
  <c r="AW393" i="10" s="1"/>
  <c r="X394" i="10"/>
  <c r="Z394" i="10" l="1"/>
  <c r="AR394" i="10" s="1"/>
  <c r="BD393" i="10"/>
  <c r="AZ393" i="10"/>
  <c r="Q395" i="10" l="1"/>
  <c r="AA394" i="10"/>
  <c r="AI394" i="10" l="1"/>
  <c r="AJ394" i="10"/>
  <c r="AG394" i="10"/>
  <c r="AK394" i="10"/>
  <c r="AX394" i="10" s="1"/>
  <c r="S395" i="10"/>
  <c r="AM395" i="10"/>
  <c r="AC395" i="10"/>
  <c r="AB395" i="10"/>
  <c r="AV394" i="10" s="1"/>
  <c r="BA394" i="10" l="1"/>
  <c r="AD395" i="10"/>
  <c r="T395" i="10"/>
  <c r="AQ395" i="10" s="1"/>
  <c r="U395" i="10"/>
  <c r="W395" i="10" s="1"/>
  <c r="AP395" i="10" s="1"/>
  <c r="AH394" i="10"/>
  <c r="AO394" i="10"/>
  <c r="AY394" i="10" s="1"/>
  <c r="AL394" i="10"/>
  <c r="AN394" i="10" l="1"/>
  <c r="AW394" i="10" s="1"/>
  <c r="BD394" i="10" s="1"/>
  <c r="X395" i="10"/>
  <c r="AZ394" i="10" l="1"/>
  <c r="Z395" i="10"/>
  <c r="AR395" i="10" s="1"/>
  <c r="Q396" i="10" l="1"/>
  <c r="AA395" i="10"/>
  <c r="AI395" i="10" l="1"/>
  <c r="AJ395" i="10"/>
  <c r="AG395" i="10"/>
  <c r="AK395" i="10"/>
  <c r="AX395" i="10" s="1"/>
  <c r="S396" i="10"/>
  <c r="AM396" i="10"/>
  <c r="AC396" i="10"/>
  <c r="AB396" i="10"/>
  <c r="AV395" i="10" s="1"/>
  <c r="AD396" i="10" l="1"/>
  <c r="T396" i="10"/>
  <c r="AQ396" i="10" s="1"/>
  <c r="U396" i="10"/>
  <c r="W396" i="10" s="1"/>
  <c r="AP396" i="10" s="1"/>
  <c r="AH395" i="10"/>
  <c r="AO395" i="10"/>
  <c r="AY395" i="10" s="1"/>
  <c r="AL395" i="10"/>
  <c r="BA395" i="10"/>
  <c r="AN395" i="10" l="1"/>
  <c r="AW395" i="10" s="1"/>
  <c r="BD395" i="10" s="1"/>
  <c r="X396" i="10"/>
  <c r="AZ395" i="10" l="1"/>
  <c r="Z396" i="10"/>
  <c r="AR396" i="10" s="1"/>
  <c r="Q397" i="10" l="1"/>
  <c r="AA396" i="10"/>
  <c r="AI396" i="10" l="1"/>
  <c r="AJ396" i="10"/>
  <c r="AG396" i="10"/>
  <c r="AK396" i="10"/>
  <c r="AX396" i="10" s="1"/>
  <c r="S397" i="10"/>
  <c r="AM397" i="10"/>
  <c r="AC397" i="10"/>
  <c r="AB397" i="10"/>
  <c r="AV396" i="10" s="1"/>
  <c r="AD397" i="10" l="1"/>
  <c r="T397" i="10"/>
  <c r="AQ397" i="10" s="1"/>
  <c r="U397" i="10"/>
  <c r="W397" i="10" s="1"/>
  <c r="AP397" i="10" s="1"/>
  <c r="AH396" i="10"/>
  <c r="AO396" i="10"/>
  <c r="AY396" i="10" s="1"/>
  <c r="AL396" i="10"/>
  <c r="BA396" i="10"/>
  <c r="AN396" i="10" l="1"/>
  <c r="AW396" i="10" s="1"/>
  <c r="X397" i="10"/>
  <c r="Z397" i="10" l="1"/>
  <c r="AR397" i="10" s="1"/>
  <c r="AZ396" i="10"/>
  <c r="BD396" i="10"/>
  <c r="Q398" i="10" l="1"/>
  <c r="AA397" i="10"/>
  <c r="AI397" i="10" l="1"/>
  <c r="AJ397" i="10"/>
  <c r="AG397" i="10"/>
  <c r="AK397" i="10"/>
  <c r="AX397" i="10" s="1"/>
  <c r="S398" i="10"/>
  <c r="AM398" i="10"/>
  <c r="AC398" i="10"/>
  <c r="AB398" i="10"/>
  <c r="AV397" i="10" s="1"/>
  <c r="BA397" i="10" l="1"/>
  <c r="T398" i="10"/>
  <c r="AQ398" i="10" s="1"/>
  <c r="AD398" i="10"/>
  <c r="U398" i="10"/>
  <c r="W398" i="10" s="1"/>
  <c r="AP398" i="10" s="1"/>
  <c r="AH397" i="10"/>
  <c r="AO397" i="10"/>
  <c r="AY397" i="10" s="1"/>
  <c r="AL397" i="10"/>
  <c r="AN397" i="10" l="1"/>
  <c r="AW397" i="10" s="1"/>
  <c r="X398" i="10"/>
  <c r="BD397" i="10" l="1"/>
  <c r="AZ397" i="10"/>
  <c r="Z398" i="10"/>
  <c r="AR398" i="10" s="1"/>
  <c r="Q399" i="10" l="1"/>
  <c r="AA398" i="10"/>
  <c r="AI398" i="10" l="1"/>
  <c r="AJ398" i="10"/>
  <c r="AG398" i="10"/>
  <c r="AK398" i="10"/>
  <c r="AX398" i="10" s="1"/>
  <c r="S399" i="10"/>
  <c r="AM399" i="10"/>
  <c r="AC399" i="10"/>
  <c r="AB399" i="10"/>
  <c r="AV398" i="10" s="1"/>
  <c r="BA398" i="10" l="1"/>
  <c r="AD399" i="10"/>
  <c r="T399" i="10"/>
  <c r="AQ399" i="10" s="1"/>
  <c r="U399" i="10"/>
  <c r="W399" i="10" s="1"/>
  <c r="AP399" i="10" s="1"/>
  <c r="AH398" i="10"/>
  <c r="AO398" i="10"/>
  <c r="AY398" i="10" s="1"/>
  <c r="AL398" i="10"/>
  <c r="AN398" i="10" l="1"/>
  <c r="AW398" i="10" s="1"/>
  <c r="X399" i="10"/>
  <c r="Z399" i="10" l="1"/>
  <c r="AR399" i="10" s="1"/>
  <c r="BD398" i="10"/>
  <c r="AZ398" i="10"/>
  <c r="Q400" i="10" l="1"/>
  <c r="AA399" i="10"/>
  <c r="AI399" i="10" l="1"/>
  <c r="AJ399" i="10"/>
  <c r="AG399" i="10"/>
  <c r="AK399" i="10"/>
  <c r="AX399" i="10" s="1"/>
  <c r="S400" i="10"/>
  <c r="AM400" i="10"/>
  <c r="AC400" i="10"/>
  <c r="AB400" i="10"/>
  <c r="AV399" i="10" s="1"/>
  <c r="T400" i="10" l="1"/>
  <c r="AQ400" i="10" s="1"/>
  <c r="AD400" i="10"/>
  <c r="U400" i="10"/>
  <c r="W400" i="10" s="1"/>
  <c r="AP400" i="10" s="1"/>
  <c r="AH399" i="10"/>
  <c r="AO399" i="10"/>
  <c r="AY399" i="10" s="1"/>
  <c r="AL399" i="10"/>
  <c r="BA399" i="10"/>
  <c r="AN399" i="10" l="1"/>
  <c r="AW399" i="10" s="1"/>
  <c r="X400" i="10"/>
  <c r="Z400" i="10" l="1"/>
  <c r="AR400" i="10" s="1"/>
  <c r="AZ399" i="10"/>
  <c r="BD399" i="10"/>
  <c r="Q401" i="10" l="1"/>
  <c r="AA400" i="10"/>
  <c r="AI400" i="10" l="1"/>
  <c r="AJ400" i="10"/>
  <c r="AG400" i="10"/>
  <c r="AK400" i="10"/>
  <c r="AX400" i="10" s="1"/>
  <c r="S401" i="10"/>
  <c r="AM401" i="10"/>
  <c r="AC401" i="10"/>
  <c r="AB401" i="10"/>
  <c r="AV400" i="10" s="1"/>
  <c r="BA400" i="10" l="1"/>
  <c r="T401" i="10"/>
  <c r="AQ401" i="10" s="1"/>
  <c r="AD401" i="10"/>
  <c r="U401" i="10"/>
  <c r="W401" i="10" s="1"/>
  <c r="AP401" i="10" s="1"/>
  <c r="AH400" i="10"/>
  <c r="AO400" i="10"/>
  <c r="AY400" i="10" s="1"/>
  <c r="AL400" i="10"/>
  <c r="AN400" i="10" l="1"/>
  <c r="AW400" i="10" s="1"/>
  <c r="X401" i="10"/>
  <c r="Z401" i="10" l="1"/>
  <c r="AR401" i="10" s="1"/>
  <c r="BD400" i="10"/>
  <c r="AZ400" i="10"/>
  <c r="Q402" i="10" l="1"/>
  <c r="AA401" i="10"/>
  <c r="AI401" i="10" l="1"/>
  <c r="AJ401" i="10"/>
  <c r="AG401" i="10"/>
  <c r="AK401" i="10"/>
  <c r="AX401" i="10" s="1"/>
  <c r="S402" i="10"/>
  <c r="AC402" i="10"/>
  <c r="BA401" i="10" s="1"/>
  <c r="AB402" i="10"/>
  <c r="AV401" i="10" s="1"/>
  <c r="AM402" i="10"/>
  <c r="AD402" i="10" l="1"/>
  <c r="T402" i="10"/>
  <c r="AQ402" i="10" s="1"/>
  <c r="U402" i="10"/>
  <c r="W402" i="10" s="1"/>
  <c r="AP402" i="10" s="1"/>
  <c r="AH401" i="10"/>
  <c r="AO401" i="10"/>
  <c r="AY401" i="10" s="1"/>
  <c r="AL401" i="10"/>
  <c r="AN401" i="10" l="1"/>
  <c r="AW401" i="10" s="1"/>
  <c r="BD401" i="10" s="1"/>
  <c r="AZ401" i="10"/>
  <c r="X402" i="10"/>
  <c r="Z402" i="10" l="1"/>
  <c r="AR402" i="10" s="1"/>
  <c r="Q403" i="10" l="1"/>
  <c r="AA402" i="10"/>
  <c r="AI402" i="10" l="1"/>
  <c r="AJ402" i="10"/>
  <c r="AG402" i="10"/>
  <c r="AK402" i="10"/>
  <c r="AX402" i="10" s="1"/>
  <c r="S403" i="10"/>
  <c r="AM403" i="10"/>
  <c r="AC403" i="10"/>
  <c r="AB403" i="10"/>
  <c r="AV402" i="10" s="1"/>
  <c r="AD403" i="10" l="1"/>
  <c r="T403" i="10"/>
  <c r="AQ403" i="10" s="1"/>
  <c r="U403" i="10"/>
  <c r="W403" i="10" s="1"/>
  <c r="AP403" i="10" s="1"/>
  <c r="AH402" i="10"/>
  <c r="AO402" i="10"/>
  <c r="AY402" i="10" s="1"/>
  <c r="AL402" i="10"/>
  <c r="BA402" i="10"/>
  <c r="AN402" i="10" l="1"/>
  <c r="AW402" i="10" s="1"/>
  <c r="X403" i="10"/>
  <c r="Z403" i="10" l="1"/>
  <c r="AR403" i="10" s="1"/>
  <c r="BD402" i="10"/>
  <c r="AZ402" i="10"/>
  <c r="Q404" i="10" l="1"/>
  <c r="AA403" i="10"/>
  <c r="AI403" i="10" l="1"/>
  <c r="AJ403" i="10"/>
  <c r="AG403" i="10"/>
  <c r="AK403" i="10"/>
  <c r="AX403" i="10" s="1"/>
  <c r="S404" i="10"/>
  <c r="AM404" i="10"/>
  <c r="AC404" i="10"/>
  <c r="AB404" i="10"/>
  <c r="AV403" i="10" s="1"/>
  <c r="BA403" i="10" l="1"/>
  <c r="AD404" i="10"/>
  <c r="T404" i="10"/>
  <c r="AQ404" i="10" s="1"/>
  <c r="U404" i="10"/>
  <c r="W404" i="10" s="1"/>
  <c r="AP404" i="10" s="1"/>
  <c r="AH403" i="10"/>
  <c r="AO403" i="10"/>
  <c r="AY403" i="10" s="1"/>
  <c r="AL403" i="10"/>
  <c r="AN403" i="10" l="1"/>
  <c r="AW403" i="10" s="1"/>
  <c r="X404" i="10"/>
  <c r="Z404" i="10" l="1"/>
  <c r="AR404" i="10" s="1"/>
  <c r="AZ403" i="10"/>
  <c r="BD403" i="10"/>
  <c r="Q405" i="10" l="1"/>
  <c r="AA404" i="10"/>
  <c r="AI404" i="10" l="1"/>
  <c r="AJ404" i="10"/>
  <c r="AG404" i="10"/>
  <c r="AK404" i="10"/>
  <c r="AX404" i="10" s="1"/>
  <c r="S405" i="10"/>
  <c r="AM405" i="10"/>
  <c r="AC405" i="10"/>
  <c r="AB405" i="10"/>
  <c r="AV404" i="10" s="1"/>
  <c r="BA404" i="10" l="1"/>
  <c r="AD405" i="10"/>
  <c r="T405" i="10"/>
  <c r="AQ405" i="10" s="1"/>
  <c r="U405" i="10"/>
  <c r="W405" i="10" s="1"/>
  <c r="AP405" i="10" s="1"/>
  <c r="AH404" i="10"/>
  <c r="AO404" i="10"/>
  <c r="AY404" i="10" s="1"/>
  <c r="AL404" i="10"/>
  <c r="AN404" i="10" l="1"/>
  <c r="AW404" i="10" s="1"/>
  <c r="AZ404" i="10" s="1"/>
  <c r="BD404" i="10"/>
  <c r="X405" i="10"/>
  <c r="Z405" i="10" l="1"/>
  <c r="AR405" i="10" s="1"/>
  <c r="Q406" i="10" l="1"/>
  <c r="AA405" i="10"/>
  <c r="AI405" i="10" l="1"/>
  <c r="AJ405" i="10"/>
  <c r="AG405" i="10"/>
  <c r="AK405" i="10"/>
  <c r="AX405" i="10" s="1"/>
  <c r="S406" i="10"/>
  <c r="AM406" i="10"/>
  <c r="AC406" i="10"/>
  <c r="AB406" i="10"/>
  <c r="AV405" i="10" s="1"/>
  <c r="T406" i="10" l="1"/>
  <c r="AQ406" i="10" s="1"/>
  <c r="AD406" i="10"/>
  <c r="U406" i="10"/>
  <c r="W406" i="10" s="1"/>
  <c r="AP406" i="10" s="1"/>
  <c r="AH405" i="10"/>
  <c r="AO405" i="10"/>
  <c r="AY405" i="10" s="1"/>
  <c r="AL405" i="10"/>
  <c r="BA405" i="10"/>
  <c r="AN405" i="10" l="1"/>
  <c r="AW405" i="10" s="1"/>
  <c r="X406" i="10"/>
  <c r="Z406" i="10" l="1"/>
  <c r="AR406" i="10" s="1"/>
  <c r="BD405" i="10"/>
  <c r="AZ405" i="10"/>
  <c r="Q407" i="10" l="1"/>
  <c r="AA406" i="10"/>
  <c r="AI406" i="10" l="1"/>
  <c r="AJ406" i="10"/>
  <c r="AG406" i="10"/>
  <c r="AK406" i="10"/>
  <c r="AX406" i="10" s="1"/>
  <c r="S407" i="10"/>
  <c r="AM407" i="10"/>
  <c r="AC407" i="10"/>
  <c r="AB407" i="10"/>
  <c r="AV406" i="10" s="1"/>
  <c r="BA406" i="10" l="1"/>
  <c r="AD407" i="10"/>
  <c r="T407" i="10"/>
  <c r="AQ407" i="10" s="1"/>
  <c r="U407" i="10"/>
  <c r="W407" i="10" s="1"/>
  <c r="AP407" i="10" s="1"/>
  <c r="AH406" i="10"/>
  <c r="AO406" i="10"/>
  <c r="AY406" i="10" s="1"/>
  <c r="AL406" i="10"/>
  <c r="AN406" i="10" l="1"/>
  <c r="AW406" i="10" s="1"/>
  <c r="X407" i="10"/>
  <c r="Z407" i="10" l="1"/>
  <c r="AR407" i="10" s="1"/>
  <c r="BD406" i="10"/>
  <c r="AZ406" i="10"/>
  <c r="Q408" i="10" l="1"/>
  <c r="AA407" i="10"/>
  <c r="AI407" i="10" l="1"/>
  <c r="AJ407" i="10"/>
  <c r="AG407" i="10"/>
  <c r="AK407" i="10"/>
  <c r="AX407" i="10" s="1"/>
  <c r="S408" i="10"/>
  <c r="AC408" i="10"/>
  <c r="BA407" i="10" s="1"/>
  <c r="AM408" i="10"/>
  <c r="AB408" i="10"/>
  <c r="AV407" i="10" s="1"/>
  <c r="T408" i="10" l="1"/>
  <c r="AQ408" i="10" s="1"/>
  <c r="AD408" i="10"/>
  <c r="U408" i="10"/>
  <c r="W408" i="10" s="1"/>
  <c r="AP408" i="10" s="1"/>
  <c r="AH407" i="10"/>
  <c r="AO407" i="10"/>
  <c r="AY407" i="10" s="1"/>
  <c r="AL407" i="10"/>
  <c r="AN407" i="10" l="1"/>
  <c r="AW407" i="10" s="1"/>
  <c r="AZ407" i="10" s="1"/>
  <c r="X408" i="10"/>
  <c r="BD407" i="10" l="1"/>
  <c r="Z408" i="10"/>
  <c r="AR408" i="10" s="1"/>
  <c r="Q409" i="10" l="1"/>
  <c r="AA408" i="10"/>
  <c r="AI408" i="10" l="1"/>
  <c r="AJ408" i="10"/>
  <c r="AG408" i="10"/>
  <c r="AK408" i="10"/>
  <c r="AX408" i="10" s="1"/>
  <c r="S409" i="10"/>
  <c r="AC409" i="10"/>
  <c r="BA408" i="10" s="1"/>
  <c r="AB409" i="10"/>
  <c r="AV408" i="10" s="1"/>
  <c r="AM409" i="10"/>
  <c r="AD409" i="10" l="1"/>
  <c r="T409" i="10"/>
  <c r="AQ409" i="10" s="1"/>
  <c r="U409" i="10"/>
  <c r="W409" i="10" s="1"/>
  <c r="AP409" i="10" s="1"/>
  <c r="AH408" i="10"/>
  <c r="AO408" i="10"/>
  <c r="AY408" i="10" s="1"/>
  <c r="AL408" i="10"/>
  <c r="AN408" i="10" l="1"/>
  <c r="AW408" i="10" s="1"/>
  <c r="X409" i="10"/>
  <c r="Z409" i="10" l="1"/>
  <c r="AR409" i="10" s="1"/>
  <c r="BD408" i="10"/>
  <c r="AZ408" i="10"/>
  <c r="Q410" i="10" l="1"/>
  <c r="AA409" i="10"/>
  <c r="AI409" i="10" l="1"/>
  <c r="AJ409" i="10"/>
  <c r="AG409" i="10"/>
  <c r="AK409" i="10"/>
  <c r="AX409" i="10" s="1"/>
  <c r="S410" i="10"/>
  <c r="AC410" i="10"/>
  <c r="BA409" i="10" s="1"/>
  <c r="AM410" i="10"/>
  <c r="AB410" i="10"/>
  <c r="AV409" i="10" s="1"/>
  <c r="AL409" i="10" l="1"/>
  <c r="T410" i="10"/>
  <c r="AQ410" i="10" s="1"/>
  <c r="AD410" i="10"/>
  <c r="U410" i="10"/>
  <c r="W410" i="10" s="1"/>
  <c r="AP410" i="10" s="1"/>
  <c r="AH409" i="10"/>
  <c r="AO409" i="10"/>
  <c r="AY409" i="10" s="1"/>
  <c r="AN409" i="10" l="1"/>
  <c r="AW409" i="10" s="1"/>
  <c r="AZ409" i="10"/>
  <c r="BD409" i="10"/>
  <c r="X410" i="10"/>
  <c r="Z410" i="10" l="1"/>
  <c r="AR410" i="10" s="1"/>
  <c r="Q411" i="10" l="1"/>
  <c r="AA410" i="10"/>
  <c r="AI410" i="10" l="1"/>
  <c r="AJ410" i="10"/>
  <c r="AG410" i="10"/>
  <c r="AK410" i="10"/>
  <c r="AX410" i="10" s="1"/>
  <c r="S411" i="10"/>
  <c r="AC411" i="10"/>
  <c r="BA410" i="10" s="1"/>
  <c r="AB411" i="10"/>
  <c r="AV410" i="10" s="1"/>
  <c r="AM411" i="10"/>
  <c r="AD411" i="10" l="1"/>
  <c r="T411" i="10"/>
  <c r="AQ411" i="10" s="1"/>
  <c r="U411" i="10"/>
  <c r="W411" i="10" s="1"/>
  <c r="AP411" i="10" s="1"/>
  <c r="AH410" i="10"/>
  <c r="AO410" i="10"/>
  <c r="AY410" i="10" s="1"/>
  <c r="AL410" i="10"/>
  <c r="AN410" i="10" l="1"/>
  <c r="AW410" i="10" s="1"/>
  <c r="AZ410" i="10" s="1"/>
  <c r="X411" i="10"/>
  <c r="BD410" i="10" l="1"/>
  <c r="Z411" i="10"/>
  <c r="AR411" i="10" s="1"/>
  <c r="Q412" i="10" l="1"/>
  <c r="AA411" i="10"/>
  <c r="AI411" i="10" l="1"/>
  <c r="AJ411" i="10"/>
  <c r="AG411" i="10"/>
  <c r="AK411" i="10"/>
  <c r="AX411" i="10" s="1"/>
  <c r="S412" i="10"/>
  <c r="AC412" i="10"/>
  <c r="BA411" i="10" s="1"/>
  <c r="AM412" i="10"/>
  <c r="AB412" i="10"/>
  <c r="AV411" i="10" s="1"/>
  <c r="AD412" i="10" l="1"/>
  <c r="T412" i="10"/>
  <c r="AQ412" i="10" s="1"/>
  <c r="U412" i="10"/>
  <c r="W412" i="10" s="1"/>
  <c r="AP412" i="10" s="1"/>
  <c r="AH411" i="10"/>
  <c r="AO411" i="10"/>
  <c r="AY411" i="10" s="1"/>
  <c r="AL411" i="10"/>
  <c r="AN411" i="10" l="1"/>
  <c r="AW411" i="10" s="1"/>
  <c r="X412" i="10"/>
  <c r="Z412" i="10" l="1"/>
  <c r="AR412" i="10" s="1"/>
  <c r="BD411" i="10"/>
  <c r="AZ411" i="10"/>
  <c r="Q413" i="10" l="1"/>
  <c r="AA412" i="10"/>
  <c r="AI412" i="10" l="1"/>
  <c r="AJ412" i="10"/>
  <c r="AG412" i="10"/>
  <c r="AK412" i="10"/>
  <c r="AX412" i="10" s="1"/>
  <c r="S413" i="10"/>
  <c r="AC413" i="10"/>
  <c r="BA412" i="10" s="1"/>
  <c r="AM413" i="10"/>
  <c r="AB413" i="10"/>
  <c r="AV412" i="10" s="1"/>
  <c r="T413" i="10" l="1"/>
  <c r="AQ413" i="10" s="1"/>
  <c r="AD413" i="10"/>
  <c r="U413" i="10"/>
  <c r="W413" i="10" s="1"/>
  <c r="AP413" i="10" s="1"/>
  <c r="AH412" i="10"/>
  <c r="AO412" i="10"/>
  <c r="AY412" i="10" s="1"/>
  <c r="AL412" i="10"/>
  <c r="AN412" i="10" l="1"/>
  <c r="AW412" i="10" s="1"/>
  <c r="AZ412" i="10"/>
  <c r="BD412" i="10"/>
  <c r="X413" i="10"/>
  <c r="Z413" i="10" l="1"/>
  <c r="AR413" i="10" s="1"/>
  <c r="Q414" i="10" l="1"/>
  <c r="AA413" i="10"/>
  <c r="AI413" i="10" l="1"/>
  <c r="AJ413" i="10"/>
  <c r="AG413" i="10"/>
  <c r="AK413" i="10"/>
  <c r="AX413" i="10" s="1"/>
  <c r="S414" i="10"/>
  <c r="AC414" i="10"/>
  <c r="BA413" i="10" s="1"/>
  <c r="AB414" i="10"/>
  <c r="AV413" i="10" s="1"/>
  <c r="AM414" i="10"/>
  <c r="AD414" i="10" l="1"/>
  <c r="T414" i="10"/>
  <c r="AQ414" i="10" s="1"/>
  <c r="U414" i="10"/>
  <c r="W414" i="10" s="1"/>
  <c r="AP414" i="10" s="1"/>
  <c r="AH413" i="10"/>
  <c r="AO413" i="10"/>
  <c r="AY413" i="10" s="1"/>
  <c r="AL413" i="10"/>
  <c r="AN413" i="10" l="1"/>
  <c r="AW413" i="10" s="1"/>
  <c r="BD413" i="10" s="1"/>
  <c r="X414" i="10"/>
  <c r="AZ413" i="10" l="1"/>
  <c r="Z414" i="10"/>
  <c r="AR414" i="10" s="1"/>
  <c r="Q415" i="10" l="1"/>
  <c r="AA414" i="10"/>
  <c r="AI414" i="10" l="1"/>
  <c r="AJ414" i="10"/>
  <c r="AG414" i="10"/>
  <c r="AK414" i="10"/>
  <c r="AX414" i="10" s="1"/>
  <c r="S415" i="10"/>
  <c r="AC415" i="10"/>
  <c r="BA414" i="10" s="1"/>
  <c r="AB415" i="10"/>
  <c r="AV414" i="10" s="1"/>
  <c r="AM415" i="10"/>
  <c r="AD415" i="10" l="1"/>
  <c r="T415" i="10"/>
  <c r="AQ415" i="10" s="1"/>
  <c r="U415" i="10"/>
  <c r="W415" i="10" s="1"/>
  <c r="AP415" i="10" s="1"/>
  <c r="AH414" i="10"/>
  <c r="AO414" i="10"/>
  <c r="AY414" i="10" s="1"/>
  <c r="AL414" i="10"/>
  <c r="AN414" i="10" l="1"/>
  <c r="AW414" i="10" s="1"/>
  <c r="X415" i="10"/>
  <c r="Z415" i="10" l="1"/>
  <c r="AR415" i="10" s="1"/>
  <c r="AZ414" i="10"/>
  <c r="BD414" i="10"/>
  <c r="Q416" i="10" l="1"/>
  <c r="AA415" i="10"/>
  <c r="AI415" i="10" l="1"/>
  <c r="AJ415" i="10"/>
  <c r="AG415" i="10"/>
  <c r="AK415" i="10"/>
  <c r="AX415" i="10" s="1"/>
  <c r="S416" i="10"/>
  <c r="AC416" i="10"/>
  <c r="BA415" i="10" s="1"/>
  <c r="AB416" i="10"/>
  <c r="AV415" i="10" s="1"/>
  <c r="AM416" i="10"/>
  <c r="T416" i="10" l="1"/>
  <c r="AQ416" i="10" s="1"/>
  <c r="AD416" i="10"/>
  <c r="U416" i="10"/>
  <c r="W416" i="10" s="1"/>
  <c r="AP416" i="10" s="1"/>
  <c r="AH415" i="10"/>
  <c r="AO415" i="10"/>
  <c r="AY415" i="10" s="1"/>
  <c r="AL415" i="10"/>
  <c r="AN415" i="10" l="1"/>
  <c r="AW415" i="10" s="1"/>
  <c r="X416" i="10"/>
  <c r="BD415" i="10" l="1"/>
  <c r="AZ415" i="10"/>
  <c r="Z416" i="10"/>
  <c r="AR416" i="10" s="1"/>
  <c r="Q417" i="10" l="1"/>
  <c r="AA416" i="10"/>
  <c r="AI416" i="10" l="1"/>
  <c r="AJ416" i="10"/>
  <c r="AG416" i="10"/>
  <c r="AK416" i="10"/>
  <c r="AX416" i="10" s="1"/>
  <c r="S417" i="10"/>
  <c r="AC417" i="10"/>
  <c r="BA416" i="10" s="1"/>
  <c r="AB417" i="10"/>
  <c r="AV416" i="10" s="1"/>
  <c r="AM417" i="10"/>
  <c r="AD417" i="10" l="1"/>
  <c r="T417" i="10"/>
  <c r="AQ417" i="10" s="1"/>
  <c r="U417" i="10"/>
  <c r="W417" i="10" s="1"/>
  <c r="AP417" i="10" s="1"/>
  <c r="AH416" i="10"/>
  <c r="AO416" i="10"/>
  <c r="AY416" i="10" s="1"/>
  <c r="AL416" i="10"/>
  <c r="AN416" i="10" l="1"/>
  <c r="AW416" i="10" s="1"/>
  <c r="X417" i="10"/>
  <c r="Z417" i="10" l="1"/>
  <c r="AR417" i="10" s="1"/>
  <c r="BD416" i="10"/>
  <c r="AZ416" i="10"/>
  <c r="Q418" i="10" l="1"/>
  <c r="AA417" i="10"/>
  <c r="AI417" i="10" l="1"/>
  <c r="AJ417" i="10"/>
  <c r="AG417" i="10"/>
  <c r="AK417" i="10"/>
  <c r="AX417" i="10" s="1"/>
  <c r="S418" i="10"/>
  <c r="AC418" i="10"/>
  <c r="BA417" i="10" s="1"/>
  <c r="AM418" i="10"/>
  <c r="AB418" i="10"/>
  <c r="AV417" i="10" s="1"/>
  <c r="T418" i="10" l="1"/>
  <c r="AQ418" i="10" s="1"/>
  <c r="AD418" i="10"/>
  <c r="U418" i="10"/>
  <c r="W418" i="10" s="1"/>
  <c r="AP418" i="10" s="1"/>
  <c r="AH417" i="10"/>
  <c r="AO417" i="10"/>
  <c r="AY417" i="10" s="1"/>
  <c r="AL417" i="10"/>
  <c r="AN417" i="10" l="1"/>
  <c r="AW417" i="10" s="1"/>
  <c r="X418" i="10"/>
  <c r="Z418" i="10" l="1"/>
  <c r="AR418" i="10" s="1"/>
  <c r="AZ417" i="10"/>
  <c r="BD417" i="10"/>
  <c r="Q419" i="10" l="1"/>
  <c r="AA418" i="10"/>
  <c r="AI418" i="10" l="1"/>
  <c r="AJ418" i="10"/>
  <c r="AG418" i="10"/>
  <c r="AK418" i="10"/>
  <c r="AX418" i="10" s="1"/>
  <c r="S419" i="10"/>
  <c r="AC419" i="10"/>
  <c r="BA418" i="10" s="1"/>
  <c r="AB419" i="10"/>
  <c r="AV418" i="10" s="1"/>
  <c r="AM419" i="10"/>
  <c r="AL418" i="10" l="1"/>
  <c r="AD419" i="10"/>
  <c r="T419" i="10"/>
  <c r="AQ419" i="10" s="1"/>
  <c r="U419" i="10"/>
  <c r="W419" i="10" s="1"/>
  <c r="AP419" i="10" s="1"/>
  <c r="AH418" i="10"/>
  <c r="AN418" i="10" s="1"/>
  <c r="AW418" i="10" s="1"/>
  <c r="AO418" i="10"/>
  <c r="AY418" i="10" s="1"/>
  <c r="AZ418" i="10" l="1"/>
  <c r="BD418" i="10"/>
  <c r="X419" i="10"/>
  <c r="Z419" i="10" l="1"/>
  <c r="AR419" i="10" s="1"/>
  <c r="Q420" i="10" l="1"/>
  <c r="AA419" i="10"/>
  <c r="AI419" i="10" l="1"/>
  <c r="AJ419" i="10"/>
  <c r="AG419" i="10"/>
  <c r="AK419" i="10"/>
  <c r="AX419" i="10" s="1"/>
  <c r="S420" i="10"/>
  <c r="AC420" i="10"/>
  <c r="BA419" i="10" s="1"/>
  <c r="AM420" i="10"/>
  <c r="AB420" i="10"/>
  <c r="AV419" i="10" s="1"/>
  <c r="AL419" i="10" l="1"/>
  <c r="AD420" i="10"/>
  <c r="T420" i="10"/>
  <c r="AQ420" i="10" s="1"/>
  <c r="U420" i="10"/>
  <c r="W420" i="10" s="1"/>
  <c r="AP420" i="10" s="1"/>
  <c r="AH419" i="10"/>
  <c r="AN419" i="10" s="1"/>
  <c r="AW419" i="10" s="1"/>
  <c r="AO419" i="10"/>
  <c r="AY419" i="10" s="1"/>
  <c r="BD419" i="10" l="1"/>
  <c r="AZ419" i="10"/>
  <c r="X420" i="10"/>
  <c r="Z420" i="10" l="1"/>
  <c r="AR420" i="10" s="1"/>
  <c r="Q421" i="10" l="1"/>
  <c r="AA420" i="10"/>
  <c r="AI420" i="10" l="1"/>
  <c r="AJ420" i="10"/>
  <c r="AG420" i="10"/>
  <c r="AK420" i="10"/>
  <c r="AX420" i="10" s="1"/>
  <c r="S421" i="10"/>
  <c r="AC421" i="10"/>
  <c r="BA420" i="10" s="1"/>
  <c r="AB421" i="10"/>
  <c r="AV420" i="10" s="1"/>
  <c r="AM421" i="10"/>
  <c r="T421" i="10" l="1"/>
  <c r="AQ421" i="10" s="1"/>
  <c r="AD421" i="10"/>
  <c r="U421" i="10"/>
  <c r="W421" i="10" s="1"/>
  <c r="AP421" i="10" s="1"/>
  <c r="AH420" i="10"/>
  <c r="AO420" i="10"/>
  <c r="AY420" i="10" s="1"/>
  <c r="AL420" i="10"/>
  <c r="AN420" i="10" l="1"/>
  <c r="AW420" i="10" s="1"/>
  <c r="X421" i="10"/>
  <c r="AZ420" i="10" l="1"/>
  <c r="BD420" i="10"/>
  <c r="Z421" i="10"/>
  <c r="AR421" i="10" s="1"/>
  <c r="Q422" i="10" l="1"/>
  <c r="AA421" i="10"/>
  <c r="AI421" i="10" l="1"/>
  <c r="AJ421" i="10"/>
  <c r="AG421" i="10"/>
  <c r="AK421" i="10"/>
  <c r="AX421" i="10" s="1"/>
  <c r="S422" i="10"/>
  <c r="AC422" i="10"/>
  <c r="BA421" i="10" s="1"/>
  <c r="AB422" i="10"/>
  <c r="AV421" i="10" s="1"/>
  <c r="AM422" i="10"/>
  <c r="AD422" i="10" l="1"/>
  <c r="T422" i="10"/>
  <c r="AQ422" i="10" s="1"/>
  <c r="U422" i="10"/>
  <c r="W422" i="10" s="1"/>
  <c r="AP422" i="10" s="1"/>
  <c r="AH421" i="10"/>
  <c r="AO421" i="10"/>
  <c r="AY421" i="10" s="1"/>
  <c r="AL421" i="10"/>
  <c r="AN421" i="10" l="1"/>
  <c r="AW421" i="10" s="1"/>
  <c r="BD421" i="10" s="1"/>
  <c r="X422" i="10"/>
  <c r="AZ421" i="10" l="1"/>
  <c r="Z422" i="10"/>
  <c r="AR422" i="10" s="1"/>
  <c r="Q423" i="10" l="1"/>
  <c r="AA422" i="10"/>
  <c r="AI422" i="10" l="1"/>
  <c r="AJ422" i="10"/>
  <c r="AG422" i="10"/>
  <c r="AK422" i="10"/>
  <c r="AX422" i="10" s="1"/>
  <c r="S423" i="10"/>
  <c r="AC423" i="10"/>
  <c r="BA422" i="10" s="1"/>
  <c r="AM423" i="10"/>
  <c r="AB423" i="10"/>
  <c r="AV422" i="10" s="1"/>
  <c r="AH422" i="10" l="1"/>
  <c r="AO422" i="10"/>
  <c r="AY422" i="10" s="1"/>
  <c r="AL422" i="10"/>
  <c r="T423" i="10"/>
  <c r="AQ423" i="10" s="1"/>
  <c r="AD423" i="10"/>
  <c r="U423" i="10"/>
  <c r="W423" i="10" s="1"/>
  <c r="AP423" i="10" s="1"/>
  <c r="X423" i="10" l="1"/>
  <c r="AN422" i="10"/>
  <c r="AW422" i="10" s="1"/>
  <c r="AZ422" i="10" l="1"/>
  <c r="BD422" i="10"/>
  <c r="Z423" i="10"/>
  <c r="AR423" i="10" s="1"/>
  <c r="AA423" i="10" l="1"/>
  <c r="Q424" i="10"/>
  <c r="S424" i="10" l="1"/>
  <c r="AC424" i="10"/>
  <c r="AB424" i="10"/>
  <c r="AV423" i="10" s="1"/>
  <c r="AM424" i="10"/>
  <c r="AI423" i="10"/>
  <c r="AJ423" i="10"/>
  <c r="AG423" i="10"/>
  <c r="AK423" i="10"/>
  <c r="AX423" i="10" s="1"/>
  <c r="AH423" i="10" l="1"/>
  <c r="AO423" i="10"/>
  <c r="AY423" i="10" s="1"/>
  <c r="AL423" i="10"/>
  <c r="BA423" i="10"/>
  <c r="AD424" i="10"/>
  <c r="T424" i="10"/>
  <c r="AQ424" i="10" s="1"/>
  <c r="U424" i="10"/>
  <c r="W424" i="10" s="1"/>
  <c r="AP424" i="10" s="1"/>
  <c r="X424" i="10" l="1"/>
  <c r="Z424" i="10" s="1"/>
  <c r="AR424" i="10" s="1"/>
  <c r="AN423" i="10"/>
  <c r="AW423" i="10" s="1"/>
  <c r="AZ423" i="10" l="1"/>
  <c r="BD423" i="10"/>
  <c r="Q425" i="10"/>
  <c r="AA424" i="10"/>
  <c r="AI424" i="10" l="1"/>
  <c r="AJ424" i="10"/>
  <c r="AG424" i="10"/>
  <c r="AK424" i="10"/>
  <c r="AX424" i="10" s="1"/>
  <c r="S425" i="10"/>
  <c r="AC425" i="10"/>
  <c r="BA424" i="10" s="1"/>
  <c r="AM425" i="10"/>
  <c r="AB425" i="10"/>
  <c r="AV424" i="10" s="1"/>
  <c r="T425" i="10" l="1"/>
  <c r="AQ425" i="10" s="1"/>
  <c r="AD425" i="10"/>
  <c r="U425" i="10"/>
  <c r="W425" i="10" s="1"/>
  <c r="AP425" i="10" s="1"/>
  <c r="AH424" i="10"/>
  <c r="AO424" i="10"/>
  <c r="AY424" i="10" s="1"/>
  <c r="AL424" i="10"/>
  <c r="AN424" i="10" l="1"/>
  <c r="AW424" i="10" s="1"/>
  <c r="X425" i="10"/>
  <c r="Z425" i="10" l="1"/>
  <c r="AR425" i="10" s="1"/>
  <c r="AZ424" i="10"/>
  <c r="BD424" i="10"/>
  <c r="Q426" i="10" l="1"/>
  <c r="AA425" i="10"/>
  <c r="AI425" i="10" l="1"/>
  <c r="AJ425" i="10"/>
  <c r="AG425" i="10"/>
  <c r="AK425" i="10"/>
  <c r="AX425" i="10" s="1"/>
  <c r="S426" i="10"/>
  <c r="AC426" i="10"/>
  <c r="BA425" i="10" s="1"/>
  <c r="AB426" i="10"/>
  <c r="AV425" i="10" s="1"/>
  <c r="AM426" i="10"/>
  <c r="AD426" i="10" l="1"/>
  <c r="T426" i="10"/>
  <c r="AQ426" i="10" s="1"/>
  <c r="U426" i="10"/>
  <c r="W426" i="10" s="1"/>
  <c r="AP426" i="10" s="1"/>
  <c r="AH425" i="10"/>
  <c r="AO425" i="10"/>
  <c r="AY425" i="10" s="1"/>
  <c r="AL425" i="10"/>
  <c r="AN425" i="10" l="1"/>
  <c r="AW425" i="10" s="1"/>
  <c r="AZ425" i="10" s="1"/>
  <c r="BD425" i="10"/>
  <c r="X426" i="10"/>
  <c r="Z426" i="10" l="1"/>
  <c r="AR426" i="10" s="1"/>
  <c r="Q427" i="10" l="1"/>
  <c r="AA426" i="10"/>
  <c r="AI426" i="10" l="1"/>
  <c r="AJ426" i="10"/>
  <c r="AG426" i="10"/>
  <c r="AK426" i="10"/>
  <c r="AX426" i="10" s="1"/>
  <c r="S427" i="10"/>
  <c r="AC427" i="10"/>
  <c r="BA426" i="10" s="1"/>
  <c r="AM427" i="10"/>
  <c r="AB427" i="10"/>
  <c r="AV426" i="10" s="1"/>
  <c r="T427" i="10" l="1"/>
  <c r="AQ427" i="10" s="1"/>
  <c r="AD427" i="10"/>
  <c r="U427" i="10"/>
  <c r="W427" i="10" s="1"/>
  <c r="AP427" i="10" s="1"/>
  <c r="AH426" i="10"/>
  <c r="AO426" i="10"/>
  <c r="AY426" i="10" s="1"/>
  <c r="AL426" i="10"/>
  <c r="AN426" i="10" l="1"/>
  <c r="AW426" i="10" s="1"/>
  <c r="X427" i="10"/>
  <c r="Z427" i="10" l="1"/>
  <c r="AR427" i="10" s="1"/>
  <c r="AZ426" i="10"/>
  <c r="BD426" i="10"/>
  <c r="Q428" i="10" l="1"/>
  <c r="AA427" i="10"/>
  <c r="AI427" i="10" l="1"/>
  <c r="AJ427" i="10"/>
  <c r="AG427" i="10"/>
  <c r="AK427" i="10"/>
  <c r="AX427" i="10" s="1"/>
  <c r="S428" i="10"/>
  <c r="AC428" i="10"/>
  <c r="BA427" i="10" s="1"/>
  <c r="AB428" i="10"/>
  <c r="AV427" i="10" s="1"/>
  <c r="AM428" i="10"/>
  <c r="AD428" i="10" l="1"/>
  <c r="T428" i="10"/>
  <c r="AQ428" i="10" s="1"/>
  <c r="U428" i="10"/>
  <c r="W428" i="10" s="1"/>
  <c r="AP428" i="10" s="1"/>
  <c r="AH427" i="10"/>
  <c r="AO427" i="10"/>
  <c r="AY427" i="10" s="1"/>
  <c r="AL427" i="10"/>
  <c r="AN427" i="10" l="1"/>
  <c r="AW427" i="10" s="1"/>
  <c r="X428" i="10"/>
  <c r="Z428" i="10" l="1"/>
  <c r="AR428" i="10" s="1"/>
  <c r="AZ427" i="10"/>
  <c r="BD427" i="10"/>
  <c r="Q429" i="10" l="1"/>
  <c r="AA428" i="10"/>
  <c r="AI428" i="10" l="1"/>
  <c r="AJ428" i="10"/>
  <c r="AG428" i="10"/>
  <c r="AK428" i="10"/>
  <c r="AX428" i="10" s="1"/>
  <c r="S429" i="10"/>
  <c r="AC429" i="10"/>
  <c r="BA428" i="10" s="1"/>
  <c r="AM429" i="10"/>
  <c r="AB429" i="10"/>
  <c r="AV428" i="10" s="1"/>
  <c r="T429" i="10" l="1"/>
  <c r="AQ429" i="10" s="1"/>
  <c r="AD429" i="10"/>
  <c r="U429" i="10"/>
  <c r="W429" i="10" s="1"/>
  <c r="AP429" i="10" s="1"/>
  <c r="AH428" i="10"/>
  <c r="AO428" i="10"/>
  <c r="AY428" i="10" s="1"/>
  <c r="AL428" i="10"/>
  <c r="AN428" i="10" l="1"/>
  <c r="AW428" i="10" s="1"/>
  <c r="X429" i="10"/>
  <c r="AZ428" i="10"/>
  <c r="BD428" i="10"/>
  <c r="Z429" i="10" l="1"/>
  <c r="AR429" i="10" s="1"/>
  <c r="Q430" i="10" l="1"/>
  <c r="AA429" i="10"/>
  <c r="AI429" i="10" l="1"/>
  <c r="AJ429" i="10"/>
  <c r="AG429" i="10"/>
  <c r="AK429" i="10"/>
  <c r="AX429" i="10" s="1"/>
  <c r="S430" i="10"/>
  <c r="AC430" i="10"/>
  <c r="BA429" i="10" s="1"/>
  <c r="AB430" i="10"/>
  <c r="AV429" i="10" s="1"/>
  <c r="AM430" i="10"/>
  <c r="AD430" i="10" l="1"/>
  <c r="T430" i="10"/>
  <c r="AQ430" i="10" s="1"/>
  <c r="U430" i="10"/>
  <c r="W430" i="10" s="1"/>
  <c r="AP430" i="10" s="1"/>
  <c r="AH429" i="10"/>
  <c r="AO429" i="10"/>
  <c r="AY429" i="10" s="1"/>
  <c r="AL429" i="10"/>
  <c r="AN429" i="10" l="1"/>
  <c r="AW429" i="10" s="1"/>
  <c r="X430" i="10"/>
  <c r="Z430" i="10" l="1"/>
  <c r="AR430" i="10" s="1"/>
  <c r="AZ429" i="10"/>
  <c r="BD429" i="10"/>
  <c r="Q431" i="10" l="1"/>
  <c r="AA430" i="10"/>
  <c r="AI430" i="10" l="1"/>
  <c r="AJ430" i="10"/>
  <c r="AG430" i="10"/>
  <c r="AK430" i="10"/>
  <c r="AX430" i="10" s="1"/>
  <c r="S431" i="10"/>
  <c r="AC431" i="10"/>
  <c r="BA430" i="10" s="1"/>
  <c r="AM431" i="10"/>
  <c r="AB431" i="10"/>
  <c r="AV430" i="10" s="1"/>
  <c r="AL430" i="10" l="1"/>
  <c r="T431" i="10"/>
  <c r="AQ431" i="10" s="1"/>
  <c r="AD431" i="10"/>
  <c r="U431" i="10"/>
  <c r="W431" i="10" s="1"/>
  <c r="AP431" i="10" s="1"/>
  <c r="AH430" i="10"/>
  <c r="AN430" i="10" s="1"/>
  <c r="AW430" i="10" s="1"/>
  <c r="AO430" i="10"/>
  <c r="AY430" i="10" s="1"/>
  <c r="AZ430" i="10" l="1"/>
  <c r="BD430" i="10"/>
  <c r="X431" i="10"/>
  <c r="Z431" i="10" l="1"/>
  <c r="AR431" i="10" s="1"/>
  <c r="Q432" i="10" l="1"/>
  <c r="AA431" i="10"/>
  <c r="AI431" i="10" l="1"/>
  <c r="AJ431" i="10"/>
  <c r="AG431" i="10"/>
  <c r="AK431" i="10"/>
  <c r="AX431" i="10" s="1"/>
  <c r="S432" i="10"/>
  <c r="AC432" i="10"/>
  <c r="BA431" i="10" s="1"/>
  <c r="AB432" i="10"/>
  <c r="AV431" i="10" s="1"/>
  <c r="AM432" i="10"/>
  <c r="AD432" i="10" l="1"/>
  <c r="T432" i="10"/>
  <c r="AQ432" i="10" s="1"/>
  <c r="U432" i="10"/>
  <c r="W432" i="10" s="1"/>
  <c r="AP432" i="10" s="1"/>
  <c r="AH431" i="10"/>
  <c r="AO431" i="10"/>
  <c r="AY431" i="10" s="1"/>
  <c r="AL431" i="10"/>
  <c r="AN431" i="10" l="1"/>
  <c r="AW431" i="10" s="1"/>
  <c r="X432" i="10"/>
  <c r="Z432" i="10" l="1"/>
  <c r="AR432" i="10" s="1"/>
  <c r="AZ431" i="10"/>
  <c r="BD431" i="10"/>
  <c r="Q433" i="10" l="1"/>
  <c r="AA432" i="10"/>
  <c r="AI432" i="10" l="1"/>
  <c r="AJ432" i="10"/>
  <c r="AG432" i="10"/>
  <c r="AK432" i="10"/>
  <c r="AX432" i="10" s="1"/>
  <c r="S433" i="10"/>
  <c r="AC433" i="10"/>
  <c r="BA432" i="10" s="1"/>
  <c r="AM433" i="10"/>
  <c r="AB433" i="10"/>
  <c r="AV432" i="10" s="1"/>
  <c r="T433" i="10" l="1"/>
  <c r="AQ433" i="10" s="1"/>
  <c r="AD433" i="10"/>
  <c r="U433" i="10"/>
  <c r="W433" i="10" s="1"/>
  <c r="AP433" i="10" s="1"/>
  <c r="AL432" i="10"/>
  <c r="AH432" i="10"/>
  <c r="AO432" i="10"/>
  <c r="AY432" i="10" s="1"/>
  <c r="AN432" i="10" l="1"/>
  <c r="AW432" i="10" s="1"/>
  <c r="AZ432" i="10"/>
  <c r="BD432" i="10"/>
  <c r="X433" i="10"/>
  <c r="Z433" i="10" l="1"/>
  <c r="AR433" i="10" s="1"/>
  <c r="Q434" i="10" l="1"/>
  <c r="AA433" i="10"/>
  <c r="AI433" i="10" l="1"/>
  <c r="AJ433" i="10"/>
  <c r="AG433" i="10"/>
  <c r="AK433" i="10"/>
  <c r="AX433" i="10" s="1"/>
  <c r="S434" i="10"/>
  <c r="AC434" i="10"/>
  <c r="BA433" i="10" s="1"/>
  <c r="AB434" i="10"/>
  <c r="AV433" i="10" s="1"/>
  <c r="AM434" i="10"/>
  <c r="AD434" i="10" l="1"/>
  <c r="T434" i="10"/>
  <c r="AQ434" i="10" s="1"/>
  <c r="U434" i="10"/>
  <c r="W434" i="10" s="1"/>
  <c r="AP434" i="10" s="1"/>
  <c r="AH433" i="10"/>
  <c r="AO433" i="10"/>
  <c r="AY433" i="10" s="1"/>
  <c r="AL433" i="10"/>
  <c r="AN433" i="10" l="1"/>
  <c r="AW433" i="10" s="1"/>
  <c r="X434" i="10"/>
  <c r="Z434" i="10" l="1"/>
  <c r="AR434" i="10" s="1"/>
  <c r="AZ433" i="10"/>
  <c r="BD433" i="10"/>
  <c r="Q435" i="10" l="1"/>
  <c r="AA434" i="10"/>
  <c r="AI434" i="10" l="1"/>
  <c r="AJ434" i="10"/>
  <c r="AG434" i="10"/>
  <c r="AK434" i="10"/>
  <c r="AX434" i="10" s="1"/>
  <c r="S435" i="10"/>
  <c r="AC435" i="10"/>
  <c r="BA434" i="10" s="1"/>
  <c r="AM435" i="10"/>
  <c r="AB435" i="10"/>
  <c r="AV434" i="10" s="1"/>
  <c r="T435" i="10" l="1"/>
  <c r="AQ435" i="10" s="1"/>
  <c r="AD435" i="10"/>
  <c r="U435" i="10"/>
  <c r="W435" i="10" s="1"/>
  <c r="AP435" i="10" s="1"/>
  <c r="AH434" i="10"/>
  <c r="AO434" i="10"/>
  <c r="AY434" i="10" s="1"/>
  <c r="AL434" i="10"/>
  <c r="AN434" i="10" l="1"/>
  <c r="AW434" i="10" s="1"/>
  <c r="AZ434" i="10" s="1"/>
  <c r="X435" i="10"/>
  <c r="BD434" i="10" l="1"/>
  <c r="Z435" i="10"/>
  <c r="AR435" i="10" s="1"/>
  <c r="Q436" i="10" l="1"/>
  <c r="AA435" i="10"/>
  <c r="AI435" i="10" l="1"/>
  <c r="AJ435" i="10"/>
  <c r="AG435" i="10"/>
  <c r="AK435" i="10"/>
  <c r="AX435" i="10" s="1"/>
  <c r="S436" i="10"/>
  <c r="AC436" i="10"/>
  <c r="BA435" i="10" s="1"/>
  <c r="AB436" i="10"/>
  <c r="AV435" i="10" s="1"/>
  <c r="AM436" i="10"/>
  <c r="AD436" i="10" l="1"/>
  <c r="T436" i="10"/>
  <c r="AQ436" i="10" s="1"/>
  <c r="U436" i="10"/>
  <c r="W436" i="10" s="1"/>
  <c r="AP436" i="10" s="1"/>
  <c r="AH435" i="10"/>
  <c r="AO435" i="10"/>
  <c r="AY435" i="10" s="1"/>
  <c r="AL435" i="10"/>
  <c r="AN435" i="10" l="1"/>
  <c r="AW435" i="10" s="1"/>
  <c r="X436" i="10"/>
  <c r="Z436" i="10" l="1"/>
  <c r="AR436" i="10" s="1"/>
  <c r="AZ435" i="10"/>
  <c r="BD435" i="10"/>
  <c r="Q437" i="10" l="1"/>
  <c r="AA436" i="10"/>
  <c r="AI436" i="10" l="1"/>
  <c r="AJ436" i="10"/>
  <c r="AG436" i="10"/>
  <c r="AK436" i="10"/>
  <c r="AX436" i="10" s="1"/>
  <c r="S437" i="10"/>
  <c r="AC437" i="10"/>
  <c r="BA436" i="10" s="1"/>
  <c r="AM437" i="10"/>
  <c r="AB437" i="10"/>
  <c r="AV436" i="10" s="1"/>
  <c r="T437" i="10" l="1"/>
  <c r="AQ437" i="10" s="1"/>
  <c r="AD437" i="10"/>
  <c r="U437" i="10"/>
  <c r="W437" i="10" s="1"/>
  <c r="AP437" i="10" s="1"/>
  <c r="AH436" i="10"/>
  <c r="AO436" i="10"/>
  <c r="AY436" i="10" s="1"/>
  <c r="AL436" i="10"/>
  <c r="AN436" i="10" l="1"/>
  <c r="AW436" i="10" s="1"/>
  <c r="X437" i="10"/>
  <c r="Z437" i="10" l="1"/>
  <c r="AR437" i="10" s="1"/>
  <c r="AZ436" i="10"/>
  <c r="BD436" i="10"/>
  <c r="Q438" i="10" l="1"/>
  <c r="AA437" i="10"/>
  <c r="AI437" i="10" l="1"/>
  <c r="AJ437" i="10"/>
  <c r="AG437" i="10"/>
  <c r="AK437" i="10"/>
  <c r="AX437" i="10" s="1"/>
  <c r="S438" i="10"/>
  <c r="AC438" i="10"/>
  <c r="BA437" i="10" s="1"/>
  <c r="AB438" i="10"/>
  <c r="AV437" i="10" s="1"/>
  <c r="AM438" i="10"/>
  <c r="AD438" i="10" l="1"/>
  <c r="T438" i="10"/>
  <c r="AQ438" i="10" s="1"/>
  <c r="U438" i="10"/>
  <c r="W438" i="10" s="1"/>
  <c r="AP438" i="10" s="1"/>
  <c r="AH437" i="10"/>
  <c r="AO437" i="10"/>
  <c r="AY437" i="10" s="1"/>
  <c r="AL437" i="10"/>
  <c r="AN437" i="10" l="1"/>
  <c r="AW437" i="10" s="1"/>
  <c r="X438" i="10"/>
  <c r="Z438" i="10" l="1"/>
  <c r="AR438" i="10" s="1"/>
  <c r="AZ437" i="10"/>
  <c r="BD437" i="10"/>
  <c r="Q439" i="10" l="1"/>
  <c r="AA438" i="10"/>
  <c r="AI438" i="10" l="1"/>
  <c r="AJ438" i="10"/>
  <c r="AG438" i="10"/>
  <c r="AK438" i="10"/>
  <c r="AX438" i="10" s="1"/>
  <c r="S439" i="10"/>
  <c r="AC439" i="10"/>
  <c r="AM439" i="10"/>
  <c r="AB439" i="10"/>
  <c r="AV438" i="10" s="1"/>
  <c r="BA438" i="10" l="1"/>
  <c r="AL438" i="10"/>
  <c r="T439" i="10"/>
  <c r="AQ439" i="10" s="1"/>
  <c r="AD439" i="10"/>
  <c r="U439" i="10"/>
  <c r="W439" i="10" s="1"/>
  <c r="AP439" i="10" s="1"/>
  <c r="AH438" i="10"/>
  <c r="AO438" i="10"/>
  <c r="AY438" i="10" s="1"/>
  <c r="AN438" i="10" l="1"/>
  <c r="AW438" i="10" s="1"/>
  <c r="AZ438" i="10" s="1"/>
  <c r="X439" i="10"/>
  <c r="BD438" i="10" l="1"/>
  <c r="Z439" i="10"/>
  <c r="AR439" i="10" s="1"/>
  <c r="Q440" i="10" l="1"/>
  <c r="AA439" i="10"/>
  <c r="AI439" i="10" l="1"/>
  <c r="AJ439" i="10"/>
  <c r="AG439" i="10"/>
  <c r="AK439" i="10"/>
  <c r="AX439" i="10" s="1"/>
  <c r="S440" i="10"/>
  <c r="AC440" i="10"/>
  <c r="BA439" i="10" s="1"/>
  <c r="AB440" i="10"/>
  <c r="AV439" i="10" s="1"/>
  <c r="AM440" i="10"/>
  <c r="AD440" i="10" l="1"/>
  <c r="T440" i="10"/>
  <c r="AQ440" i="10" s="1"/>
  <c r="U440" i="10"/>
  <c r="W440" i="10" s="1"/>
  <c r="AP440" i="10" s="1"/>
  <c r="AH439" i="10"/>
  <c r="AO439" i="10"/>
  <c r="AY439" i="10" s="1"/>
  <c r="AL439" i="10"/>
  <c r="AN439" i="10" l="1"/>
  <c r="AW439" i="10" s="1"/>
  <c r="AZ439" i="10" s="1"/>
  <c r="X440" i="10"/>
  <c r="BD439" i="10" l="1"/>
  <c r="Z440" i="10"/>
  <c r="AR440" i="10" s="1"/>
  <c r="Q441" i="10" l="1"/>
  <c r="AA440" i="10"/>
  <c r="AI440" i="10" l="1"/>
  <c r="AJ440" i="10"/>
  <c r="AG440" i="10"/>
  <c r="AK440" i="10"/>
  <c r="AX440" i="10" s="1"/>
  <c r="S441" i="10"/>
  <c r="AC441" i="10"/>
  <c r="BA440" i="10" s="1"/>
  <c r="AM441" i="10"/>
  <c r="AB441" i="10"/>
  <c r="AV440" i="10" s="1"/>
  <c r="T441" i="10" l="1"/>
  <c r="AQ441" i="10" s="1"/>
  <c r="AD441" i="10"/>
  <c r="U441" i="10"/>
  <c r="W441" i="10" s="1"/>
  <c r="AP441" i="10" s="1"/>
  <c r="AH440" i="10"/>
  <c r="AO440" i="10"/>
  <c r="AY440" i="10" s="1"/>
  <c r="AL440" i="10"/>
  <c r="AN440" i="10" l="1"/>
  <c r="AW440" i="10" s="1"/>
  <c r="X441" i="10"/>
  <c r="Z441" i="10" l="1"/>
  <c r="AR441" i="10" s="1"/>
  <c r="AZ440" i="10"/>
  <c r="BD440" i="10"/>
  <c r="Q442" i="10" l="1"/>
  <c r="AA441" i="10"/>
  <c r="AI441" i="10" l="1"/>
  <c r="AJ441" i="10"/>
  <c r="AG441" i="10"/>
  <c r="AK441" i="10"/>
  <c r="AX441" i="10" s="1"/>
  <c r="S442" i="10"/>
  <c r="AC442" i="10"/>
  <c r="BA441" i="10" s="1"/>
  <c r="AB442" i="10"/>
  <c r="AV441" i="10" s="1"/>
  <c r="AM442" i="10"/>
  <c r="AD442" i="10" l="1"/>
  <c r="T442" i="10"/>
  <c r="AQ442" i="10" s="1"/>
  <c r="U442" i="10"/>
  <c r="W442" i="10" s="1"/>
  <c r="AP442" i="10" s="1"/>
  <c r="AH441" i="10"/>
  <c r="AO441" i="10"/>
  <c r="AY441" i="10" s="1"/>
  <c r="AL441" i="10"/>
  <c r="AN441" i="10" l="1"/>
  <c r="AW441" i="10" s="1"/>
  <c r="X442" i="10"/>
  <c r="Z442" i="10" l="1"/>
  <c r="AR442" i="10" s="1"/>
  <c r="AZ441" i="10"/>
  <c r="BD441" i="10"/>
  <c r="Q443" i="10" l="1"/>
  <c r="AA442" i="10"/>
  <c r="AI442" i="10" l="1"/>
  <c r="AJ442" i="10"/>
  <c r="AG442" i="10"/>
  <c r="AK442" i="10"/>
  <c r="AX442" i="10" s="1"/>
  <c r="S443" i="10"/>
  <c r="AC443" i="10"/>
  <c r="BA442" i="10" s="1"/>
  <c r="AM443" i="10"/>
  <c r="AB443" i="10"/>
  <c r="AV442" i="10" s="1"/>
  <c r="T443" i="10" l="1"/>
  <c r="AQ443" i="10" s="1"/>
  <c r="AD443" i="10"/>
  <c r="U443" i="10"/>
  <c r="W443" i="10" s="1"/>
  <c r="AP443" i="10" s="1"/>
  <c r="AH442" i="10"/>
  <c r="AO442" i="10"/>
  <c r="AY442" i="10" s="1"/>
  <c r="AL442" i="10"/>
  <c r="X443" i="10" l="1"/>
  <c r="AN442" i="10"/>
  <c r="AW442" i="10" s="1"/>
  <c r="AZ442" i="10" l="1"/>
  <c r="BD442" i="10"/>
  <c r="Z443" i="10"/>
  <c r="AR443" i="10" s="1"/>
  <c r="Q444" i="10" l="1"/>
  <c r="AA443" i="10"/>
  <c r="AI443" i="10" l="1"/>
  <c r="AJ443" i="10"/>
  <c r="AG443" i="10"/>
  <c r="AK443" i="10"/>
  <c r="AX443" i="10" s="1"/>
  <c r="S444" i="10"/>
  <c r="AC444" i="10"/>
  <c r="BA443" i="10" s="1"/>
  <c r="AB444" i="10"/>
  <c r="AV443" i="10" s="1"/>
  <c r="AM444" i="10"/>
  <c r="AD444" i="10" l="1"/>
  <c r="T444" i="10"/>
  <c r="AQ444" i="10" s="1"/>
  <c r="U444" i="10"/>
  <c r="W444" i="10" s="1"/>
  <c r="AP444" i="10" s="1"/>
  <c r="AH443" i="10"/>
  <c r="AO443" i="10"/>
  <c r="AY443" i="10" s="1"/>
  <c r="AL443" i="10"/>
  <c r="AN443" i="10" l="1"/>
  <c r="AW443" i="10" s="1"/>
  <c r="X444" i="10"/>
  <c r="Z444" i="10" l="1"/>
  <c r="AR444" i="10" s="1"/>
  <c r="AZ443" i="10"/>
  <c r="BD443" i="10"/>
  <c r="Q445" i="10" l="1"/>
  <c r="AA444" i="10"/>
  <c r="AI444" i="10" l="1"/>
  <c r="AJ444" i="10"/>
  <c r="AG444" i="10"/>
  <c r="AK444" i="10"/>
  <c r="AX444" i="10" s="1"/>
  <c r="S445" i="10"/>
  <c r="AC445" i="10"/>
  <c r="BA444" i="10" s="1"/>
  <c r="AM445" i="10"/>
  <c r="AB445" i="10"/>
  <c r="AV444" i="10" s="1"/>
  <c r="T445" i="10" l="1"/>
  <c r="AQ445" i="10" s="1"/>
  <c r="AD445" i="10"/>
  <c r="U445" i="10"/>
  <c r="W445" i="10" s="1"/>
  <c r="AP445" i="10" s="1"/>
  <c r="AH444" i="10"/>
  <c r="AO444" i="10"/>
  <c r="AY444" i="10" s="1"/>
  <c r="AL444" i="10"/>
  <c r="AN444" i="10" l="1"/>
  <c r="AW444" i="10" s="1"/>
  <c r="AZ444" i="10"/>
  <c r="BD444" i="10"/>
  <c r="X445" i="10"/>
  <c r="Z445" i="10" l="1"/>
  <c r="AR445" i="10" s="1"/>
  <c r="Q446" i="10" l="1"/>
  <c r="AA445" i="10"/>
  <c r="AI445" i="10" l="1"/>
  <c r="AJ445" i="10"/>
  <c r="AG445" i="10"/>
  <c r="AK445" i="10"/>
  <c r="AX445" i="10" s="1"/>
  <c r="S446" i="10"/>
  <c r="AC446" i="10"/>
  <c r="BA445" i="10" s="1"/>
  <c r="AB446" i="10"/>
  <c r="AV445" i="10" s="1"/>
  <c r="AM446" i="10"/>
  <c r="AD446" i="10" l="1"/>
  <c r="T446" i="10"/>
  <c r="AQ446" i="10" s="1"/>
  <c r="U446" i="10"/>
  <c r="W446" i="10" s="1"/>
  <c r="AP446" i="10" s="1"/>
  <c r="AH445" i="10"/>
  <c r="AO445" i="10"/>
  <c r="AY445" i="10" s="1"/>
  <c r="AL445" i="10"/>
  <c r="AN445" i="10" l="1"/>
  <c r="AW445" i="10" s="1"/>
  <c r="X446" i="10"/>
  <c r="Z446" i="10" l="1"/>
  <c r="AR446" i="10" s="1"/>
  <c r="AZ445" i="10"/>
  <c r="BD445" i="10"/>
  <c r="Q447" i="10" l="1"/>
  <c r="AA446" i="10"/>
  <c r="AI446" i="10" l="1"/>
  <c r="AJ446" i="10"/>
  <c r="AG446" i="10"/>
  <c r="AK446" i="10"/>
  <c r="AX446" i="10" s="1"/>
  <c r="S447" i="10"/>
  <c r="AC447" i="10"/>
  <c r="BA446" i="10" s="1"/>
  <c r="AM447" i="10"/>
  <c r="AB447" i="10"/>
  <c r="AV446" i="10" s="1"/>
  <c r="T447" i="10" l="1"/>
  <c r="AQ447" i="10" s="1"/>
  <c r="AD447" i="10"/>
  <c r="U447" i="10"/>
  <c r="W447" i="10" s="1"/>
  <c r="AP447" i="10" s="1"/>
  <c r="AH446" i="10"/>
  <c r="AO446" i="10"/>
  <c r="AY446" i="10" s="1"/>
  <c r="AL446" i="10"/>
  <c r="AN446" i="10" l="1"/>
  <c r="AW446" i="10" s="1"/>
  <c r="X447" i="10"/>
  <c r="Z447" i="10" l="1"/>
  <c r="AR447" i="10" s="1"/>
  <c r="AZ446" i="10"/>
  <c r="BD446" i="10"/>
  <c r="Q448" i="10" l="1"/>
  <c r="AA447" i="10"/>
  <c r="AI447" i="10" l="1"/>
  <c r="AJ447" i="10"/>
  <c r="AG447" i="10"/>
  <c r="AK447" i="10"/>
  <c r="AX447" i="10" s="1"/>
  <c r="S448" i="10"/>
  <c r="AC448" i="10"/>
  <c r="BA447" i="10" s="1"/>
  <c r="AB448" i="10"/>
  <c r="AV447" i="10" s="1"/>
  <c r="AM448" i="10"/>
  <c r="AD448" i="10" l="1"/>
  <c r="T448" i="10"/>
  <c r="AQ448" i="10" s="1"/>
  <c r="U448" i="10"/>
  <c r="W448" i="10" s="1"/>
  <c r="AP448" i="10" s="1"/>
  <c r="AH447" i="10"/>
  <c r="AO447" i="10"/>
  <c r="AY447" i="10" s="1"/>
  <c r="AL447" i="10"/>
  <c r="AN447" i="10" l="1"/>
  <c r="AW447" i="10" s="1"/>
  <c r="AZ447" i="10" s="1"/>
  <c r="X448" i="10"/>
  <c r="BD447" i="10" l="1"/>
  <c r="Z448" i="10"/>
  <c r="AR448" i="10" s="1"/>
  <c r="Q449" i="10" l="1"/>
  <c r="AA448" i="10"/>
  <c r="S449" i="10" l="1"/>
  <c r="AC449" i="10"/>
  <c r="AM449" i="10"/>
  <c r="AB449" i="10"/>
  <c r="AV448" i="10" s="1"/>
  <c r="AI448" i="10"/>
  <c r="AJ448" i="10"/>
  <c r="AG448" i="10"/>
  <c r="AK448" i="10"/>
  <c r="AX448" i="10" s="1"/>
  <c r="AH448" i="10" l="1"/>
  <c r="AO448" i="10"/>
  <c r="AY448" i="10" s="1"/>
  <c r="AL448" i="10"/>
  <c r="BA448" i="10"/>
  <c r="T449" i="10"/>
  <c r="AQ449" i="10" s="1"/>
  <c r="AD449" i="10"/>
  <c r="U449" i="10"/>
  <c r="W449" i="10" s="1"/>
  <c r="AP449" i="10" s="1"/>
  <c r="X449" i="10" l="1"/>
  <c r="Z449" i="10" s="1"/>
  <c r="AR449" i="10" s="1"/>
  <c r="AN448" i="10"/>
  <c r="AW448" i="10" s="1"/>
  <c r="AZ448" i="10" l="1"/>
  <c r="BD448" i="10"/>
  <c r="Q450" i="10"/>
  <c r="AA449" i="10"/>
  <c r="AI449" i="10" l="1"/>
  <c r="AJ449" i="10"/>
  <c r="AG449" i="10"/>
  <c r="AK449" i="10"/>
  <c r="AX449" i="10" s="1"/>
  <c r="S450" i="10"/>
  <c r="AC450" i="10"/>
  <c r="BA449" i="10" s="1"/>
  <c r="AB450" i="10"/>
  <c r="AV449" i="10" s="1"/>
  <c r="AM450" i="10"/>
  <c r="AD450" i="10" l="1"/>
  <c r="T450" i="10"/>
  <c r="AQ450" i="10" s="1"/>
  <c r="U450" i="10"/>
  <c r="W450" i="10" s="1"/>
  <c r="AP450" i="10" s="1"/>
  <c r="AH449" i="10"/>
  <c r="AO449" i="10"/>
  <c r="AY449" i="10" s="1"/>
  <c r="AL449" i="10"/>
  <c r="AN449" i="10" l="1"/>
  <c r="AW449" i="10" s="1"/>
  <c r="AZ449" i="10" s="1"/>
  <c r="BD449" i="10"/>
  <c r="X450" i="10"/>
  <c r="Z450" i="10" l="1"/>
  <c r="AR450" i="10" s="1"/>
  <c r="Q451" i="10" l="1"/>
  <c r="AA450" i="10"/>
  <c r="AI450" i="10" l="1"/>
  <c r="AJ450" i="10"/>
  <c r="AG450" i="10"/>
  <c r="AK450" i="10"/>
  <c r="AX450" i="10" s="1"/>
  <c r="S451" i="10"/>
  <c r="AC451" i="10"/>
  <c r="BA450" i="10" s="1"/>
  <c r="AM451" i="10"/>
  <c r="AB451" i="10"/>
  <c r="AV450" i="10" s="1"/>
  <c r="T451" i="10" l="1"/>
  <c r="AQ451" i="10" s="1"/>
  <c r="AD451" i="10"/>
  <c r="U451" i="10"/>
  <c r="W451" i="10" s="1"/>
  <c r="AP451" i="10" s="1"/>
  <c r="AH450" i="10"/>
  <c r="AO450" i="10"/>
  <c r="AY450" i="10" s="1"/>
  <c r="AL450" i="10"/>
  <c r="AN450" i="10" l="1"/>
  <c r="AW450" i="10" s="1"/>
  <c r="X451" i="10"/>
  <c r="Z451" i="10" l="1"/>
  <c r="AR451" i="10" s="1"/>
  <c r="AZ450" i="10"/>
  <c r="BD450" i="10"/>
  <c r="Q452" i="10" l="1"/>
  <c r="AA451" i="10"/>
  <c r="AI451" i="10" l="1"/>
  <c r="AJ451" i="10"/>
  <c r="AG451" i="10"/>
  <c r="AK451" i="10"/>
  <c r="AX451" i="10" s="1"/>
  <c r="S452" i="10"/>
  <c r="AC452" i="10"/>
  <c r="BA451" i="10" s="1"/>
  <c r="AB452" i="10"/>
  <c r="AV451" i="10" s="1"/>
  <c r="AM452" i="10"/>
  <c r="AD452" i="10" l="1"/>
  <c r="T452" i="10"/>
  <c r="AQ452" i="10" s="1"/>
  <c r="U452" i="10"/>
  <c r="W452" i="10" s="1"/>
  <c r="AP452" i="10" s="1"/>
  <c r="AH451" i="10"/>
  <c r="AO451" i="10"/>
  <c r="AY451" i="10" s="1"/>
  <c r="AL451" i="10"/>
  <c r="AN451" i="10" l="1"/>
  <c r="AW451" i="10" s="1"/>
  <c r="X452" i="10"/>
  <c r="AZ451" i="10" l="1"/>
  <c r="BD451" i="10"/>
  <c r="Z452" i="10"/>
  <c r="AR452" i="10" s="1"/>
  <c r="Q453" i="10" l="1"/>
  <c r="AA452" i="10"/>
  <c r="AI452" i="10" l="1"/>
  <c r="AJ452" i="10"/>
  <c r="AG452" i="10"/>
  <c r="AK452" i="10"/>
  <c r="AX452" i="10" s="1"/>
  <c r="S453" i="10"/>
  <c r="AC453" i="10"/>
  <c r="BA452" i="10" s="1"/>
  <c r="AM453" i="10"/>
  <c r="AB453" i="10"/>
  <c r="AV452" i="10" s="1"/>
  <c r="T453" i="10" l="1"/>
  <c r="AQ453" i="10" s="1"/>
  <c r="AD453" i="10"/>
  <c r="U453" i="10"/>
  <c r="W453" i="10" s="1"/>
  <c r="AP453" i="10" s="1"/>
  <c r="AH452" i="10"/>
  <c r="AO452" i="10"/>
  <c r="AY452" i="10" s="1"/>
  <c r="AL452" i="10"/>
  <c r="AN452" i="10" l="1"/>
  <c r="AW452" i="10" s="1"/>
  <c r="X453" i="10"/>
  <c r="Z453" i="10" l="1"/>
  <c r="AR453" i="10" s="1"/>
  <c r="AZ452" i="10"/>
  <c r="BD452" i="10"/>
  <c r="Q454" i="10" l="1"/>
  <c r="AA453" i="10"/>
  <c r="S454" i="10" l="1"/>
  <c r="AC454" i="10"/>
  <c r="AB454" i="10"/>
  <c r="AV453" i="10" s="1"/>
  <c r="AM454" i="10"/>
  <c r="AI453" i="10"/>
  <c r="AJ453" i="10"/>
  <c r="AG453" i="10"/>
  <c r="AK453" i="10"/>
  <c r="AX453" i="10" s="1"/>
  <c r="AL453" i="10" l="1"/>
  <c r="AH453" i="10"/>
  <c r="AO453" i="10"/>
  <c r="AY453" i="10" s="1"/>
  <c r="BA453" i="10"/>
  <c r="AD454" i="10"/>
  <c r="T454" i="10"/>
  <c r="AQ454" i="10" s="1"/>
  <c r="U454" i="10"/>
  <c r="W454" i="10" s="1"/>
  <c r="AP454" i="10" s="1"/>
  <c r="AN453" i="10" l="1"/>
  <c r="AW453" i="10" s="1"/>
  <c r="X454" i="10"/>
  <c r="AZ453" i="10"/>
  <c r="BD453" i="10"/>
  <c r="Z454" i="10" l="1"/>
  <c r="AR454" i="10" s="1"/>
  <c r="Q455" i="10" l="1"/>
  <c r="AA454" i="10"/>
  <c r="AI454" i="10" l="1"/>
  <c r="AJ454" i="10"/>
  <c r="AG454" i="10"/>
  <c r="AK454" i="10"/>
  <c r="AX454" i="10" s="1"/>
  <c r="S455" i="10"/>
  <c r="AC455" i="10"/>
  <c r="BA454" i="10" s="1"/>
  <c r="AM455" i="10"/>
  <c r="AB455" i="10"/>
  <c r="AV454" i="10" s="1"/>
  <c r="T455" i="10" l="1"/>
  <c r="AQ455" i="10" s="1"/>
  <c r="AD455" i="10"/>
  <c r="U455" i="10"/>
  <c r="W455" i="10" s="1"/>
  <c r="AP455" i="10" s="1"/>
  <c r="AH454" i="10"/>
  <c r="AO454" i="10"/>
  <c r="AY454" i="10" s="1"/>
  <c r="AL454" i="10"/>
  <c r="AN454" i="10" l="1"/>
  <c r="AW454" i="10" s="1"/>
  <c r="X455" i="10"/>
  <c r="AZ454" i="10" l="1"/>
  <c r="BD454" i="10"/>
  <c r="Z455" i="10"/>
  <c r="AR455" i="10" s="1"/>
  <c r="Q456" i="10" l="1"/>
  <c r="AA455" i="10"/>
  <c r="AI455" i="10" l="1"/>
  <c r="AJ455" i="10"/>
  <c r="AG455" i="10"/>
  <c r="AK455" i="10"/>
  <c r="AX455" i="10" s="1"/>
  <c r="S456" i="10"/>
  <c r="AC456" i="10"/>
  <c r="BA455" i="10" s="1"/>
  <c r="AB456" i="10"/>
  <c r="AV455" i="10" s="1"/>
  <c r="AM456" i="10"/>
  <c r="AD456" i="10" l="1"/>
  <c r="T456" i="10"/>
  <c r="AQ456" i="10" s="1"/>
  <c r="U456" i="10"/>
  <c r="W456" i="10" s="1"/>
  <c r="AP456" i="10" s="1"/>
  <c r="AH455" i="10"/>
  <c r="AO455" i="10"/>
  <c r="AY455" i="10" s="1"/>
  <c r="AL455" i="10"/>
  <c r="AN455" i="10" l="1"/>
  <c r="AW455" i="10" s="1"/>
  <c r="AZ455" i="10" s="1"/>
  <c r="X456" i="10"/>
  <c r="BD455" i="10" l="1"/>
  <c r="Z456" i="10"/>
  <c r="AR456" i="10" s="1"/>
  <c r="Q457" i="10" l="1"/>
  <c r="AA456" i="10"/>
  <c r="AI456" i="10" l="1"/>
  <c r="AJ456" i="10"/>
  <c r="AG456" i="10"/>
  <c r="AK456" i="10"/>
  <c r="AX456" i="10" s="1"/>
  <c r="AM457" i="10"/>
  <c r="AC457" i="10"/>
  <c r="BA456" i="10" s="1"/>
  <c r="AB457" i="10"/>
  <c r="AV456" i="10" s="1"/>
  <c r="S457" i="10"/>
  <c r="AH456" i="10" l="1"/>
  <c r="AO456" i="10"/>
  <c r="AY456" i="10" s="1"/>
  <c r="AL456" i="10"/>
  <c r="AD457" i="10"/>
  <c r="T457" i="10"/>
  <c r="AQ457" i="10" s="1"/>
  <c r="U457" i="10"/>
  <c r="W457" i="10" s="1"/>
  <c r="AP457" i="10" s="1"/>
  <c r="X457" i="10" l="1"/>
  <c r="AN456" i="10"/>
  <c r="AW456" i="10" s="1"/>
  <c r="AZ456" i="10" l="1"/>
  <c r="BD456" i="10"/>
  <c r="Z457" i="10"/>
  <c r="AR457" i="10" s="1"/>
  <c r="AA457" i="10" l="1"/>
  <c r="Q458" i="10"/>
  <c r="AC458" i="10" l="1"/>
  <c r="AB458" i="10"/>
  <c r="AV457" i="10" s="1"/>
  <c r="S458" i="10"/>
  <c r="AM458" i="10"/>
  <c r="AJ457" i="10"/>
  <c r="AI457" i="10"/>
  <c r="AG457" i="10"/>
  <c r="AK457" i="10"/>
  <c r="AX457" i="10" s="1"/>
  <c r="AL457" i="10" l="1"/>
  <c r="AO457" i="10"/>
  <c r="AY457" i="10" s="1"/>
  <c r="AH457" i="10"/>
  <c r="AN457" i="10" s="1"/>
  <c r="AW457" i="10" s="1"/>
  <c r="T458" i="10"/>
  <c r="AQ458" i="10" s="1"/>
  <c r="AD458" i="10"/>
  <c r="U458" i="10"/>
  <c r="W458" i="10" s="1"/>
  <c r="AP458" i="10" s="1"/>
  <c r="BA457" i="10"/>
  <c r="X458" i="10" l="1"/>
  <c r="BD457" i="10"/>
  <c r="AZ457" i="10"/>
  <c r="Z458" i="10" l="1"/>
  <c r="AR458" i="10" s="1"/>
  <c r="AA458" i="10" l="1"/>
  <c r="Q459" i="10"/>
  <c r="AB459" i="10" l="1"/>
  <c r="AV458" i="10" s="1"/>
  <c r="S459" i="10"/>
  <c r="AM459" i="10"/>
  <c r="AC459" i="10"/>
  <c r="AJ458" i="10"/>
  <c r="AI458" i="10"/>
  <c r="AG458" i="10"/>
  <c r="AK458" i="10"/>
  <c r="AX458" i="10" s="1"/>
  <c r="AL458" i="10" l="1"/>
  <c r="BA458" i="10"/>
  <c r="AD459" i="10"/>
  <c r="T459" i="10"/>
  <c r="AQ459" i="10" s="1"/>
  <c r="U459" i="10"/>
  <c r="W459" i="10" s="1"/>
  <c r="AP459" i="10" s="1"/>
  <c r="AO458" i="10"/>
  <c r="AY458" i="10" s="1"/>
  <c r="AH458" i="10"/>
  <c r="AN458" i="10" l="1"/>
  <c r="AW458" i="10" s="1"/>
  <c r="BD458" i="10" s="1"/>
  <c r="AZ458" i="10"/>
  <c r="X459" i="10"/>
  <c r="Z459" i="10" l="1"/>
  <c r="AR459" i="10" s="1"/>
  <c r="AA459" i="10" l="1"/>
  <c r="Q460" i="10"/>
  <c r="AC460" i="10" l="1"/>
  <c r="AM460" i="10"/>
  <c r="S460" i="10"/>
  <c r="AB460" i="10"/>
  <c r="AV459" i="10" s="1"/>
  <c r="AJ459" i="10"/>
  <c r="AI459" i="10"/>
  <c r="AG459" i="10"/>
  <c r="AK459" i="10"/>
  <c r="AX459" i="10" s="1"/>
  <c r="AO459" i="10" l="1"/>
  <c r="AY459" i="10" s="1"/>
  <c r="AH459" i="10"/>
  <c r="AL459" i="10"/>
  <c r="T460" i="10"/>
  <c r="AQ460" i="10" s="1"/>
  <c r="AD460" i="10"/>
  <c r="U460" i="10"/>
  <c r="W460" i="10" s="1"/>
  <c r="AP460" i="10" s="1"/>
  <c r="BA459" i="10"/>
  <c r="X460" i="10" l="1"/>
  <c r="AN459" i="10"/>
  <c r="AW459" i="10" s="1"/>
  <c r="Z460" i="10" l="1"/>
  <c r="AR460" i="10" s="1"/>
  <c r="BD459" i="10"/>
  <c r="AZ459" i="10"/>
  <c r="AA460" i="10" l="1"/>
  <c r="Q461" i="10"/>
  <c r="AB461" i="10" l="1"/>
  <c r="AV460" i="10" s="1"/>
  <c r="S461" i="10"/>
  <c r="AM461" i="10"/>
  <c r="AC461" i="10"/>
  <c r="AJ460" i="10"/>
  <c r="AI460" i="10"/>
  <c r="AG460" i="10"/>
  <c r="AK460" i="10"/>
  <c r="AX460" i="10" s="1"/>
  <c r="AL460" i="10" l="1"/>
  <c r="AH460" i="10"/>
  <c r="AO460" i="10"/>
  <c r="AY460" i="10" s="1"/>
  <c r="BA460" i="10"/>
  <c r="T461" i="10"/>
  <c r="AQ461" i="10" s="1"/>
  <c r="AD461" i="10"/>
  <c r="U461" i="10"/>
  <c r="W461" i="10" s="1"/>
  <c r="AP461" i="10" s="1"/>
  <c r="AN460" i="10" l="1"/>
  <c r="AW460" i="10" s="1"/>
  <c r="BD460" i="10" s="1"/>
  <c r="AZ460" i="10"/>
  <c r="X461" i="10"/>
  <c r="Z461" i="10" l="1"/>
  <c r="AR461" i="10" s="1"/>
  <c r="AA461" i="10" l="1"/>
  <c r="Q462" i="10"/>
  <c r="S462" i="10" l="1"/>
  <c r="AC462" i="10"/>
  <c r="AM462" i="10"/>
  <c r="AB462" i="10"/>
  <c r="AV461" i="10" s="1"/>
  <c r="AI461" i="10"/>
  <c r="AJ461" i="10"/>
  <c r="AG461" i="10"/>
  <c r="AK461" i="10"/>
  <c r="AX461" i="10" s="1"/>
  <c r="AL461" i="10" l="1"/>
  <c r="AH461" i="10"/>
  <c r="AN461" i="10" s="1"/>
  <c r="AW461" i="10" s="1"/>
  <c r="AO461" i="10"/>
  <c r="AY461" i="10" s="1"/>
  <c r="BA461" i="10"/>
  <c r="T462" i="10"/>
  <c r="AQ462" i="10" s="1"/>
  <c r="AD462" i="10"/>
  <c r="U462" i="10"/>
  <c r="W462" i="10" s="1"/>
  <c r="AP462" i="10" s="1"/>
  <c r="X462" i="10" l="1"/>
  <c r="BD461" i="10"/>
  <c r="AZ461" i="10"/>
  <c r="Z462" i="10" l="1"/>
  <c r="AR462" i="10" s="1"/>
  <c r="AA462" i="10" l="1"/>
  <c r="Q463" i="10"/>
  <c r="AM463" i="10" l="1"/>
  <c r="S463" i="10"/>
  <c r="AC463" i="10"/>
  <c r="AB463" i="10"/>
  <c r="AV462" i="10" s="1"/>
  <c r="AJ462" i="10"/>
  <c r="AI462" i="10"/>
  <c r="AG462" i="10"/>
  <c r="AK462" i="10"/>
  <c r="AX462" i="10" s="1"/>
  <c r="AH462" i="10" l="1"/>
  <c r="AO462" i="10"/>
  <c r="AY462" i="10" s="1"/>
  <c r="AL462" i="10"/>
  <c r="BA462" i="10"/>
  <c r="AD463" i="10"/>
  <c r="T463" i="10"/>
  <c r="AQ463" i="10" s="1"/>
  <c r="U463" i="10"/>
  <c r="W463" i="10" s="1"/>
  <c r="AP463" i="10" s="1"/>
  <c r="X463" i="10" l="1"/>
  <c r="AN462" i="10"/>
  <c r="AW462" i="10" s="1"/>
  <c r="BD462" i="10" l="1"/>
  <c r="AZ462" i="10"/>
  <c r="Z463" i="10"/>
  <c r="AR463" i="10" s="1"/>
  <c r="AA463" i="10" l="1"/>
  <c r="Q464" i="10"/>
  <c r="AI463" i="10" l="1"/>
  <c r="AJ463" i="10"/>
  <c r="AG463" i="10"/>
  <c r="AK463" i="10"/>
  <c r="AX463" i="10" s="1"/>
  <c r="AM464" i="10"/>
  <c r="AC464" i="10"/>
  <c r="BA463" i="10" s="1"/>
  <c r="AB464" i="10"/>
  <c r="AV463" i="10" s="1"/>
  <c r="S464" i="10"/>
  <c r="AD464" i="10" l="1"/>
  <c r="T464" i="10"/>
  <c r="AQ464" i="10" s="1"/>
  <c r="U464" i="10"/>
  <c r="W464" i="10" s="1"/>
  <c r="AP464" i="10" s="1"/>
  <c r="AO463" i="10"/>
  <c r="AY463" i="10" s="1"/>
  <c r="AH463" i="10"/>
  <c r="AL463" i="10"/>
  <c r="AN463" i="10" l="1"/>
  <c r="AW463" i="10" s="1"/>
  <c r="X464" i="10"/>
  <c r="Z464" i="10" l="1"/>
  <c r="AR464" i="10" s="1"/>
  <c r="BD463" i="10"/>
  <c r="AZ463" i="10"/>
  <c r="AA464" i="10" l="1"/>
  <c r="Q465" i="10"/>
  <c r="AM465" i="10" l="1"/>
  <c r="AC465" i="10"/>
  <c r="AB465" i="10"/>
  <c r="AV464" i="10" s="1"/>
  <c r="S465" i="10"/>
  <c r="AJ464" i="10"/>
  <c r="AI464" i="10"/>
  <c r="AG464" i="10"/>
  <c r="AK464" i="10"/>
  <c r="AX464" i="10" s="1"/>
  <c r="AL464" i="10" l="1"/>
  <c r="AO464" i="10"/>
  <c r="AY464" i="10" s="1"/>
  <c r="AH464" i="10"/>
  <c r="AD465" i="10"/>
  <c r="T465" i="10"/>
  <c r="AQ465" i="10" s="1"/>
  <c r="U465" i="10"/>
  <c r="W465" i="10" s="1"/>
  <c r="AP465" i="10" s="1"/>
  <c r="BA464" i="10"/>
  <c r="AN464" i="10" l="1"/>
  <c r="AW464" i="10" s="1"/>
  <c r="BD464" i="10" s="1"/>
  <c r="X465" i="10"/>
  <c r="AZ464" i="10" l="1"/>
  <c r="Z465" i="10"/>
  <c r="AR465" i="10" s="1"/>
  <c r="Q466" i="10" l="1"/>
  <c r="AA465" i="10"/>
  <c r="AI465" i="10" l="1"/>
  <c r="AJ465" i="10"/>
  <c r="AG465" i="10"/>
  <c r="AK465" i="10"/>
  <c r="AX465" i="10" s="1"/>
  <c r="AC466" i="10"/>
  <c r="BA465" i="10" s="1"/>
  <c r="AB466" i="10"/>
  <c r="AV465" i="10" s="1"/>
  <c r="S466" i="10"/>
  <c r="AM466" i="10"/>
  <c r="AH465" i="10" l="1"/>
  <c r="AO465" i="10"/>
  <c r="AY465" i="10" s="1"/>
  <c r="AL465" i="10"/>
  <c r="T466" i="10"/>
  <c r="AQ466" i="10" s="1"/>
  <c r="AD466" i="10"/>
  <c r="U466" i="10"/>
  <c r="W466" i="10" s="1"/>
  <c r="AP466" i="10" s="1"/>
  <c r="X466" i="10" l="1"/>
  <c r="AN465" i="10"/>
  <c r="AW465" i="10" s="1"/>
  <c r="BD465" i="10" l="1"/>
  <c r="AZ465" i="10"/>
  <c r="Z466" i="10"/>
  <c r="AR466" i="10" s="1"/>
  <c r="AA466" i="10" l="1"/>
  <c r="Q467" i="10"/>
  <c r="AB467" i="10" l="1"/>
  <c r="AV466" i="10" s="1"/>
  <c r="S467" i="10"/>
  <c r="AM467" i="10"/>
  <c r="AC467" i="10"/>
  <c r="AJ466" i="10"/>
  <c r="AI466" i="10"/>
  <c r="AG466" i="10"/>
  <c r="AK466" i="10"/>
  <c r="AX466" i="10" s="1"/>
  <c r="AO466" i="10" l="1"/>
  <c r="AY466" i="10" s="1"/>
  <c r="AH466" i="10"/>
  <c r="AL466" i="10"/>
  <c r="BA466" i="10"/>
  <c r="AD467" i="10"/>
  <c r="T467" i="10"/>
  <c r="AQ467" i="10" s="1"/>
  <c r="U467" i="10"/>
  <c r="W467" i="10" s="1"/>
  <c r="AP467" i="10" s="1"/>
  <c r="X467" i="10" l="1"/>
  <c r="AN466" i="10"/>
  <c r="AW466" i="10" s="1"/>
  <c r="BD466" i="10" l="1"/>
  <c r="AZ466" i="10"/>
  <c r="Z467" i="10"/>
  <c r="AR467" i="10" s="1"/>
  <c r="AA467" i="10" l="1"/>
  <c r="Q468" i="10"/>
  <c r="AC468" i="10" l="1"/>
  <c r="AB468" i="10"/>
  <c r="AV467" i="10" s="1"/>
  <c r="S468" i="10"/>
  <c r="AM468" i="10"/>
  <c r="AJ467" i="10"/>
  <c r="AI467" i="10"/>
  <c r="AG467" i="10"/>
  <c r="AK467" i="10"/>
  <c r="AX467" i="10" s="1"/>
  <c r="AH467" i="10" l="1"/>
  <c r="AO467" i="10"/>
  <c r="AY467" i="10" s="1"/>
  <c r="AL467" i="10"/>
  <c r="T468" i="10"/>
  <c r="AQ468" i="10" s="1"/>
  <c r="AD468" i="10"/>
  <c r="U468" i="10"/>
  <c r="W468" i="10" s="1"/>
  <c r="AP468" i="10" s="1"/>
  <c r="BA467" i="10"/>
  <c r="X468" i="10" l="1"/>
  <c r="AN467" i="10"/>
  <c r="AW467" i="10" s="1"/>
  <c r="BD467" i="10" l="1"/>
  <c r="AZ467" i="10"/>
  <c r="Z468" i="10"/>
  <c r="AR468" i="10" s="1"/>
  <c r="AA468" i="10" l="1"/>
  <c r="Q469" i="10"/>
  <c r="AB469" i="10" l="1"/>
  <c r="AV468" i="10" s="1"/>
  <c r="S469" i="10"/>
  <c r="AC469" i="10"/>
  <c r="AM469" i="10"/>
  <c r="AJ468" i="10"/>
  <c r="AI468" i="10"/>
  <c r="AG468" i="10"/>
  <c r="AK468" i="10"/>
  <c r="AX468" i="10" s="1"/>
  <c r="AL468" i="10" l="1"/>
  <c r="BA468" i="10"/>
  <c r="AD469" i="10"/>
  <c r="T469" i="10"/>
  <c r="AQ469" i="10" s="1"/>
  <c r="U469" i="10"/>
  <c r="W469" i="10" s="1"/>
  <c r="AP469" i="10" s="1"/>
  <c r="AH468" i="10"/>
  <c r="AN468" i="10" s="1"/>
  <c r="AW468" i="10" s="1"/>
  <c r="AO468" i="10"/>
  <c r="AY468" i="10" s="1"/>
  <c r="BD468" i="10" l="1"/>
  <c r="AZ468" i="10"/>
  <c r="X469" i="10"/>
  <c r="Z469" i="10" l="1"/>
  <c r="AR469" i="10" s="1"/>
  <c r="Q470" i="10" l="1"/>
  <c r="AA469" i="10"/>
  <c r="AI469" i="10" l="1"/>
  <c r="AJ469" i="10"/>
  <c r="AG469" i="10"/>
  <c r="AK469" i="10"/>
  <c r="AX469" i="10" s="1"/>
  <c r="AC470" i="10"/>
  <c r="BA469" i="10" s="1"/>
  <c r="AB470" i="10"/>
  <c r="AV469" i="10" s="1"/>
  <c r="AM470" i="10"/>
  <c r="S470" i="10"/>
  <c r="T470" i="10" l="1"/>
  <c r="AQ470" i="10" s="1"/>
  <c r="AD470" i="10"/>
  <c r="U470" i="10"/>
  <c r="W470" i="10" s="1"/>
  <c r="AP470" i="10" s="1"/>
  <c r="AH469" i="10"/>
  <c r="AO469" i="10"/>
  <c r="AY469" i="10" s="1"/>
  <c r="AL469" i="10"/>
  <c r="AN469" i="10" l="1"/>
  <c r="AW469" i="10" s="1"/>
  <c r="X470" i="10"/>
  <c r="Z470" i="10" l="1"/>
  <c r="AR470" i="10" s="1"/>
  <c r="BD469" i="10"/>
  <c r="AZ469" i="10"/>
  <c r="AA470" i="10" l="1"/>
  <c r="Q471" i="10"/>
  <c r="AM471" i="10" l="1"/>
  <c r="AB471" i="10"/>
  <c r="AV470" i="10" s="1"/>
  <c r="S471" i="10"/>
  <c r="AC471" i="10"/>
  <c r="AJ470" i="10"/>
  <c r="AI470" i="10"/>
  <c r="AG470" i="10"/>
  <c r="AK470" i="10"/>
  <c r="AX470" i="10" s="1"/>
  <c r="AL470" i="10" l="1"/>
  <c r="AH470" i="10"/>
  <c r="AN470" i="10" s="1"/>
  <c r="AW470" i="10" s="1"/>
  <c r="AO470" i="10"/>
  <c r="AY470" i="10" s="1"/>
  <c r="BA470" i="10"/>
  <c r="AD471" i="10"/>
  <c r="T471" i="10"/>
  <c r="AQ471" i="10" s="1"/>
  <c r="U471" i="10"/>
  <c r="W471" i="10" s="1"/>
  <c r="AP471" i="10" s="1"/>
  <c r="X471" i="10" l="1"/>
  <c r="BD470" i="10"/>
  <c r="AZ470" i="10"/>
  <c r="Z471" i="10" l="1"/>
  <c r="AR471" i="10" s="1"/>
  <c r="Q472" i="10" l="1"/>
  <c r="AA471" i="10"/>
  <c r="AI471" i="10" l="1"/>
  <c r="AJ471" i="10"/>
  <c r="AG471" i="10"/>
  <c r="AK471" i="10"/>
  <c r="AX471" i="10" s="1"/>
  <c r="AM472" i="10"/>
  <c r="AC472" i="10"/>
  <c r="BA471" i="10" s="1"/>
  <c r="S472" i="10"/>
  <c r="AB472" i="10"/>
  <c r="AV471" i="10" s="1"/>
  <c r="AO471" i="10" l="1"/>
  <c r="AY471" i="10" s="1"/>
  <c r="AH471" i="10"/>
  <c r="AL471" i="10"/>
  <c r="AD472" i="10"/>
  <c r="T472" i="10"/>
  <c r="AQ472" i="10" s="1"/>
  <c r="U472" i="10"/>
  <c r="W472" i="10" s="1"/>
  <c r="AP472" i="10" s="1"/>
  <c r="X472" i="10" l="1"/>
  <c r="AN471" i="10"/>
  <c r="AW471" i="10" s="1"/>
  <c r="BD471" i="10" l="1"/>
  <c r="AZ471" i="10"/>
  <c r="Z472" i="10"/>
  <c r="AR472" i="10" s="1"/>
  <c r="Q473" i="10" l="1"/>
  <c r="AA472" i="10"/>
  <c r="AJ472" i="10" l="1"/>
  <c r="AI472" i="10"/>
  <c r="AG472" i="10"/>
  <c r="AK472" i="10"/>
  <c r="AX472" i="10" s="1"/>
  <c r="AM473" i="10"/>
  <c r="AC473" i="10"/>
  <c r="BA472" i="10" s="1"/>
  <c r="AB473" i="10"/>
  <c r="AV472" i="10" s="1"/>
  <c r="S473" i="10"/>
  <c r="AD473" i="10" l="1"/>
  <c r="T473" i="10"/>
  <c r="AQ473" i="10" s="1"/>
  <c r="U473" i="10"/>
  <c r="W473" i="10" s="1"/>
  <c r="AP473" i="10" s="1"/>
  <c r="AO472" i="10"/>
  <c r="AY472" i="10" s="1"/>
  <c r="AH472" i="10"/>
  <c r="AL472" i="10"/>
  <c r="AN472" i="10" l="1"/>
  <c r="AW472" i="10" s="1"/>
  <c r="X473" i="10"/>
  <c r="Z473" i="10" l="1"/>
  <c r="AR473" i="10" s="1"/>
  <c r="BD472" i="10"/>
  <c r="AZ472" i="10"/>
  <c r="AA473" i="10" l="1"/>
  <c r="Q474" i="10"/>
  <c r="AC474" i="10" l="1"/>
  <c r="AB474" i="10"/>
  <c r="AV473" i="10" s="1"/>
  <c r="S474" i="10"/>
  <c r="AM474" i="10"/>
  <c r="AJ473" i="10"/>
  <c r="AI473" i="10"/>
  <c r="AG473" i="10"/>
  <c r="AK473" i="10"/>
  <c r="AX473" i="10" s="1"/>
  <c r="AL473" i="10" l="1"/>
  <c r="T474" i="10"/>
  <c r="AQ474" i="10" s="1"/>
  <c r="AD474" i="10"/>
  <c r="U474" i="10"/>
  <c r="W474" i="10" s="1"/>
  <c r="AP474" i="10" s="1"/>
  <c r="AO473" i="10"/>
  <c r="AY473" i="10" s="1"/>
  <c r="AH473" i="10"/>
  <c r="AN473" i="10" s="1"/>
  <c r="AW473" i="10" s="1"/>
  <c r="BA473" i="10"/>
  <c r="BD473" i="10" l="1"/>
  <c r="AZ473" i="10"/>
  <c r="X474" i="10"/>
  <c r="Z474" i="10" l="1"/>
  <c r="AR474" i="10" s="1"/>
  <c r="AA474" i="10" l="1"/>
  <c r="Q475" i="10"/>
  <c r="AB475" i="10" l="1"/>
  <c r="AV474" i="10" s="1"/>
  <c r="S475" i="10"/>
  <c r="AM475" i="10"/>
  <c r="AC475" i="10"/>
  <c r="AJ474" i="10"/>
  <c r="AI474" i="10"/>
  <c r="AG474" i="10"/>
  <c r="AK474" i="10"/>
  <c r="AX474" i="10" s="1"/>
  <c r="AO474" i="10" l="1"/>
  <c r="AY474" i="10" s="1"/>
  <c r="AH474" i="10"/>
  <c r="AL474" i="10"/>
  <c r="AD475" i="10"/>
  <c r="T475" i="10"/>
  <c r="AQ475" i="10" s="1"/>
  <c r="U475" i="10"/>
  <c r="W475" i="10" s="1"/>
  <c r="AP475" i="10" s="1"/>
  <c r="BA474" i="10"/>
  <c r="X475" i="10" l="1"/>
  <c r="AN474" i="10"/>
  <c r="AW474" i="10" s="1"/>
  <c r="BD474" i="10" l="1"/>
  <c r="AZ474" i="10"/>
  <c r="Z475" i="10"/>
  <c r="AR475" i="10" s="1"/>
  <c r="AA475" i="10" l="1"/>
  <c r="Q476" i="10"/>
  <c r="AC476" i="10" l="1"/>
  <c r="AM476" i="10"/>
  <c r="S476" i="10"/>
  <c r="AB476" i="10"/>
  <c r="AV475" i="10" s="1"/>
  <c r="AJ475" i="10"/>
  <c r="AI475" i="10"/>
  <c r="AG475" i="10"/>
  <c r="AK475" i="10"/>
  <c r="AX475" i="10" s="1"/>
  <c r="AL475" i="10" l="1"/>
  <c r="T476" i="10"/>
  <c r="AQ476" i="10" s="1"/>
  <c r="AD476" i="10"/>
  <c r="U476" i="10"/>
  <c r="W476" i="10" s="1"/>
  <c r="AP476" i="10" s="1"/>
  <c r="BA475" i="10"/>
  <c r="AO475" i="10"/>
  <c r="AY475" i="10" s="1"/>
  <c r="AH475" i="10"/>
  <c r="AN475" i="10" l="1"/>
  <c r="AW475" i="10" s="1"/>
  <c r="BD475" i="10" s="1"/>
  <c r="AZ475" i="10"/>
  <c r="X476" i="10"/>
  <c r="Z476" i="10" l="1"/>
  <c r="AR476" i="10" s="1"/>
  <c r="AA476" i="10" l="1"/>
  <c r="Q477" i="10"/>
  <c r="AM477" i="10" l="1"/>
  <c r="AC477" i="10"/>
  <c r="S477" i="10"/>
  <c r="AB477" i="10"/>
  <c r="AV476" i="10" s="1"/>
  <c r="AJ476" i="10"/>
  <c r="AI476" i="10"/>
  <c r="AG476" i="10"/>
  <c r="AK476" i="10"/>
  <c r="AX476" i="10" s="1"/>
  <c r="T477" i="10" l="1"/>
  <c r="AQ477" i="10" s="1"/>
  <c r="AD477" i="10"/>
  <c r="U477" i="10"/>
  <c r="W477" i="10" s="1"/>
  <c r="AP477" i="10" s="1"/>
  <c r="AL476" i="10"/>
  <c r="AH476" i="10"/>
  <c r="AO476" i="10"/>
  <c r="AY476" i="10" s="1"/>
  <c r="BA476" i="10"/>
  <c r="AN476" i="10" l="1"/>
  <c r="AW476" i="10" s="1"/>
  <c r="BD476" i="10"/>
  <c r="AZ476" i="10"/>
  <c r="X477" i="10"/>
  <c r="Z477" i="10" l="1"/>
  <c r="AR477" i="10" s="1"/>
  <c r="Q478" i="10" l="1"/>
  <c r="AA477" i="10"/>
  <c r="AJ477" i="10" l="1"/>
  <c r="AI477" i="10"/>
  <c r="AG477" i="10"/>
  <c r="AK477" i="10"/>
  <c r="AX477" i="10" s="1"/>
  <c r="AM478" i="10"/>
  <c r="AC478" i="10"/>
  <c r="BA477" i="10" s="1"/>
  <c r="AB478" i="10"/>
  <c r="AV477" i="10" s="1"/>
  <c r="S478" i="10"/>
  <c r="T478" i="10" l="1"/>
  <c r="AQ478" i="10" s="1"/>
  <c r="AD478" i="10"/>
  <c r="U478" i="10"/>
  <c r="W478" i="10" s="1"/>
  <c r="AP478" i="10" s="1"/>
  <c r="AO477" i="10"/>
  <c r="AY477" i="10" s="1"/>
  <c r="AH477" i="10"/>
  <c r="AL477" i="10"/>
  <c r="AN477" i="10" l="1"/>
  <c r="AW477" i="10" s="1"/>
  <c r="X478" i="10"/>
  <c r="Z478" i="10" l="1"/>
  <c r="AR478" i="10" s="1"/>
  <c r="BD477" i="10"/>
  <c r="AZ477" i="10"/>
  <c r="Q479" i="10" l="1"/>
  <c r="AA478" i="10"/>
  <c r="AI478" i="10" l="1"/>
  <c r="AJ478" i="10"/>
  <c r="AG478" i="10"/>
  <c r="AK478" i="10"/>
  <c r="AX478" i="10" s="1"/>
  <c r="AM479" i="10"/>
  <c r="AC479" i="10"/>
  <c r="S479" i="10"/>
  <c r="AB479" i="10"/>
  <c r="AV478" i="10" s="1"/>
  <c r="BA478" i="10" l="1"/>
  <c r="AD479" i="10"/>
  <c r="T479" i="10"/>
  <c r="AQ479" i="10" s="1"/>
  <c r="U479" i="10"/>
  <c r="W479" i="10" s="1"/>
  <c r="AP479" i="10" s="1"/>
  <c r="AH478" i="10"/>
  <c r="AO478" i="10"/>
  <c r="AY478" i="10" s="1"/>
  <c r="AL478" i="10"/>
  <c r="AN478" i="10" l="1"/>
  <c r="AW478" i="10" s="1"/>
  <c r="BD478" i="10" s="1"/>
  <c r="X479" i="10"/>
  <c r="AZ478" i="10" l="1"/>
  <c r="Z479" i="10"/>
  <c r="AR479" i="10" s="1"/>
  <c r="AA479" i="10" l="1"/>
  <c r="Q480" i="10"/>
  <c r="AM480" i="10" l="1"/>
  <c r="AC480" i="10"/>
  <c r="S480" i="10"/>
  <c r="AB480" i="10"/>
  <c r="AV479" i="10" s="1"/>
  <c r="AI479" i="10"/>
  <c r="AJ479" i="10"/>
  <c r="AG479" i="10"/>
  <c r="AK479" i="10"/>
  <c r="AX479" i="10" s="1"/>
  <c r="AO479" i="10" l="1"/>
  <c r="AY479" i="10" s="1"/>
  <c r="AH479" i="10"/>
  <c r="BA479" i="10"/>
  <c r="AL479" i="10"/>
  <c r="T480" i="10"/>
  <c r="AQ480" i="10" s="1"/>
  <c r="AD480" i="10"/>
  <c r="U480" i="10"/>
  <c r="W480" i="10" s="1"/>
  <c r="AP480" i="10" s="1"/>
  <c r="X480" i="10" l="1"/>
  <c r="AN479" i="10"/>
  <c r="AW479" i="10" s="1"/>
  <c r="BD479" i="10" l="1"/>
  <c r="AZ479" i="10"/>
  <c r="Z480" i="10"/>
  <c r="AR480" i="10" s="1"/>
  <c r="AA480" i="10" l="1"/>
  <c r="Q481" i="10"/>
  <c r="AM481" i="10" l="1"/>
  <c r="AC481" i="10"/>
  <c r="S481" i="10"/>
  <c r="AB481" i="10"/>
  <c r="AV480" i="10" s="1"/>
  <c r="AJ480" i="10"/>
  <c r="AI480" i="10"/>
  <c r="AG480" i="10"/>
  <c r="AK480" i="10"/>
  <c r="AX480" i="10" s="1"/>
  <c r="AO480" i="10" l="1"/>
  <c r="AY480" i="10" s="1"/>
  <c r="AH480" i="10"/>
  <c r="AL480" i="10"/>
  <c r="AD481" i="10"/>
  <c r="T481" i="10"/>
  <c r="AQ481" i="10" s="1"/>
  <c r="U481" i="10"/>
  <c r="W481" i="10" s="1"/>
  <c r="AP481" i="10" s="1"/>
  <c r="BA480" i="10"/>
  <c r="X481" i="10" l="1"/>
  <c r="AN480" i="10"/>
  <c r="AW480" i="10" s="1"/>
  <c r="Z481" i="10" l="1"/>
  <c r="AR481" i="10" s="1"/>
  <c r="BD480" i="10"/>
  <c r="AZ480" i="10"/>
  <c r="Q482" i="10" l="1"/>
  <c r="AA481" i="10"/>
  <c r="AJ481" i="10" l="1"/>
  <c r="AI481" i="10"/>
  <c r="AG481" i="10"/>
  <c r="AK481" i="10"/>
  <c r="AX481" i="10" s="1"/>
  <c r="AM482" i="10"/>
  <c r="S482" i="10"/>
  <c r="AC482" i="10"/>
  <c r="AB482" i="10"/>
  <c r="AV481" i="10" s="1"/>
  <c r="BA481" i="10" l="1"/>
  <c r="AD482" i="10"/>
  <c r="T482" i="10"/>
  <c r="AQ482" i="10" s="1"/>
  <c r="U482" i="10"/>
  <c r="W482" i="10" s="1"/>
  <c r="AP482" i="10" s="1"/>
  <c r="AO481" i="10"/>
  <c r="AY481" i="10" s="1"/>
  <c r="AH481" i="10"/>
  <c r="AL481" i="10"/>
  <c r="AN481" i="10" l="1"/>
  <c r="AW481" i="10" s="1"/>
  <c r="X482" i="10"/>
  <c r="Z482" i="10" l="1"/>
  <c r="AR482" i="10" s="1"/>
  <c r="BD481" i="10"/>
  <c r="AZ481" i="10"/>
  <c r="Q483" i="10" l="1"/>
  <c r="AA482" i="10"/>
  <c r="AI482" i="10" l="1"/>
  <c r="AJ482" i="10"/>
  <c r="AG482" i="10"/>
  <c r="AK482" i="10"/>
  <c r="AX482" i="10" s="1"/>
  <c r="AM483" i="10"/>
  <c r="AC483" i="10"/>
  <c r="BA482" i="10" s="1"/>
  <c r="S483" i="10"/>
  <c r="AB483" i="10"/>
  <c r="AV482" i="10" s="1"/>
  <c r="AD483" i="10" l="1"/>
  <c r="T483" i="10"/>
  <c r="AQ483" i="10" s="1"/>
  <c r="U483" i="10"/>
  <c r="W483" i="10" s="1"/>
  <c r="AP483" i="10" s="1"/>
  <c r="AL482" i="10"/>
  <c r="AH482" i="10"/>
  <c r="AO482" i="10"/>
  <c r="AY482" i="10" s="1"/>
  <c r="AN482" i="10" l="1"/>
  <c r="AW482" i="10" s="1"/>
  <c r="BD482" i="10"/>
  <c r="AZ482" i="10"/>
  <c r="X483" i="10"/>
  <c r="Z483" i="10" l="1"/>
  <c r="AR483" i="10" s="1"/>
  <c r="AA483" i="10" l="1"/>
  <c r="Q484" i="10"/>
  <c r="AM484" i="10" l="1"/>
  <c r="AC484" i="10"/>
  <c r="S484" i="10"/>
  <c r="AB484" i="10"/>
  <c r="AV483" i="10" s="1"/>
  <c r="AI483" i="10"/>
  <c r="AJ483" i="10"/>
  <c r="AG483" i="10"/>
  <c r="AK483" i="10"/>
  <c r="AX483" i="10" s="1"/>
  <c r="AL483" i="10" l="1"/>
  <c r="AO483" i="10"/>
  <c r="AY483" i="10" s="1"/>
  <c r="AH483" i="10"/>
  <c r="AN483" i="10" s="1"/>
  <c r="AW483" i="10" s="1"/>
  <c r="AD484" i="10"/>
  <c r="T484" i="10"/>
  <c r="AQ484" i="10" s="1"/>
  <c r="U484" i="10"/>
  <c r="W484" i="10" s="1"/>
  <c r="AP484" i="10" s="1"/>
  <c r="BA483" i="10"/>
  <c r="X484" i="10" l="1"/>
  <c r="BD483" i="10"/>
  <c r="AZ483" i="10"/>
  <c r="Z484" i="10" l="1"/>
  <c r="AR484" i="10" s="1"/>
  <c r="AA484" i="10" l="1"/>
  <c r="Q485" i="10"/>
  <c r="AM485" i="10" l="1"/>
  <c r="AC485" i="10"/>
  <c r="S485" i="10"/>
  <c r="AB485" i="10"/>
  <c r="AV484" i="10" s="1"/>
  <c r="AI484" i="10"/>
  <c r="AJ484" i="10"/>
  <c r="AG484" i="10"/>
  <c r="AK484" i="10"/>
  <c r="AX484" i="10" s="1"/>
  <c r="AL484" i="10" l="1"/>
  <c r="T485" i="10"/>
  <c r="AQ485" i="10" s="1"/>
  <c r="AD485" i="10"/>
  <c r="U485" i="10"/>
  <c r="W485" i="10" s="1"/>
  <c r="AP485" i="10" s="1"/>
  <c r="BA484" i="10"/>
  <c r="AO484" i="10"/>
  <c r="AY484" i="10" s="1"/>
  <c r="AH484" i="10"/>
  <c r="AN484" i="10" l="1"/>
  <c r="AW484" i="10" s="1"/>
  <c r="BD484" i="10" s="1"/>
  <c r="AZ484" i="10"/>
  <c r="X485" i="10"/>
  <c r="Z485" i="10" l="1"/>
  <c r="AR485" i="10" s="1"/>
  <c r="Q486" i="10" l="1"/>
  <c r="AA485" i="10"/>
  <c r="AJ485" i="10" l="1"/>
  <c r="AI485" i="10"/>
  <c r="AG485" i="10"/>
  <c r="AK485" i="10"/>
  <c r="AX485" i="10" s="1"/>
  <c r="AM486" i="10"/>
  <c r="AC486" i="10"/>
  <c r="BA485" i="10" s="1"/>
  <c r="AB486" i="10"/>
  <c r="AV485" i="10" s="1"/>
  <c r="S486" i="10"/>
  <c r="T486" i="10" l="1"/>
  <c r="AQ486" i="10" s="1"/>
  <c r="AD486" i="10"/>
  <c r="U486" i="10"/>
  <c r="W486" i="10" s="1"/>
  <c r="AP486" i="10" s="1"/>
  <c r="AO485" i="10"/>
  <c r="AY485" i="10" s="1"/>
  <c r="AH485" i="10"/>
  <c r="AL485" i="10"/>
  <c r="AN485" i="10" l="1"/>
  <c r="AW485" i="10" s="1"/>
  <c r="X486" i="10"/>
  <c r="Z486" i="10" l="1"/>
  <c r="AR486" i="10" s="1"/>
  <c r="BD485" i="10"/>
  <c r="AZ485" i="10"/>
  <c r="Q487" i="10" l="1"/>
  <c r="AA486" i="10"/>
  <c r="AI486" i="10" l="1"/>
  <c r="AJ486" i="10"/>
  <c r="AG486" i="10"/>
  <c r="AK486" i="10"/>
  <c r="AX486" i="10" s="1"/>
  <c r="AM487" i="10"/>
  <c r="AC487" i="10"/>
  <c r="BA486" i="10" s="1"/>
  <c r="S487" i="10"/>
  <c r="AB487" i="10"/>
  <c r="AV486" i="10" s="1"/>
  <c r="AD487" i="10" l="1"/>
  <c r="T487" i="10"/>
  <c r="AQ487" i="10" s="1"/>
  <c r="U487" i="10"/>
  <c r="W487" i="10" s="1"/>
  <c r="AP487" i="10" s="1"/>
  <c r="AH486" i="10"/>
  <c r="AO486" i="10"/>
  <c r="AY486" i="10" s="1"/>
  <c r="AL486" i="10"/>
  <c r="AN486" i="10" l="1"/>
  <c r="AW486" i="10" s="1"/>
  <c r="X487" i="10"/>
  <c r="Z487" i="10" l="1"/>
  <c r="AR487" i="10" s="1"/>
  <c r="BD486" i="10"/>
  <c r="AZ486" i="10"/>
  <c r="AA487" i="10" l="1"/>
  <c r="Q488" i="10"/>
  <c r="AM488" i="10" l="1"/>
  <c r="AC488" i="10"/>
  <c r="S488" i="10"/>
  <c r="AB488" i="10"/>
  <c r="AV487" i="10" s="1"/>
  <c r="AI487" i="10"/>
  <c r="AJ487" i="10"/>
  <c r="AG487" i="10"/>
  <c r="AK487" i="10"/>
  <c r="AX487" i="10" s="1"/>
  <c r="AO487" i="10" l="1"/>
  <c r="AY487" i="10" s="1"/>
  <c r="AH487" i="10"/>
  <c r="AL487" i="10"/>
  <c r="T488" i="10"/>
  <c r="AQ488" i="10" s="1"/>
  <c r="AD488" i="10"/>
  <c r="U488" i="10"/>
  <c r="W488" i="10" s="1"/>
  <c r="AP488" i="10" s="1"/>
  <c r="BA487" i="10"/>
  <c r="X488" i="10" l="1"/>
  <c r="AN487" i="10"/>
  <c r="AW487" i="10" s="1"/>
  <c r="BD487" i="10" l="1"/>
  <c r="AZ487" i="10"/>
  <c r="Z488" i="10"/>
  <c r="AR488" i="10" s="1"/>
  <c r="AA488" i="10" l="1"/>
  <c r="Q489" i="10"/>
  <c r="AJ488" i="10" l="1"/>
  <c r="AI488" i="10"/>
  <c r="AG488" i="10"/>
  <c r="AK488" i="10"/>
  <c r="AX488" i="10" s="1"/>
  <c r="AM489" i="10"/>
  <c r="AC489" i="10"/>
  <c r="BA488" i="10" s="1"/>
  <c r="S489" i="10"/>
  <c r="AB489" i="10"/>
  <c r="AV488" i="10" s="1"/>
  <c r="AD489" i="10" l="1"/>
  <c r="T489" i="10"/>
  <c r="AQ489" i="10" s="1"/>
  <c r="U489" i="10"/>
  <c r="W489" i="10" s="1"/>
  <c r="AP489" i="10" s="1"/>
  <c r="AO488" i="10"/>
  <c r="AY488" i="10" s="1"/>
  <c r="AH488" i="10"/>
  <c r="AL488" i="10"/>
  <c r="AN488" i="10" l="1"/>
  <c r="AW488" i="10" s="1"/>
  <c r="X489" i="10"/>
  <c r="Z489" i="10" l="1"/>
  <c r="AR489" i="10" s="1"/>
  <c r="BD488" i="10"/>
  <c r="AZ488" i="10"/>
  <c r="Q490" i="10" l="1"/>
  <c r="AA489" i="10"/>
  <c r="AJ489" i="10" l="1"/>
  <c r="AI489" i="10"/>
  <c r="AG489" i="10"/>
  <c r="AK489" i="10"/>
  <c r="AX489" i="10" s="1"/>
  <c r="AM490" i="10"/>
  <c r="S490" i="10"/>
  <c r="AC490" i="10"/>
  <c r="AB490" i="10"/>
  <c r="AV489" i="10" s="1"/>
  <c r="BA489" i="10" l="1"/>
  <c r="AD490" i="10"/>
  <c r="T490" i="10"/>
  <c r="AQ490" i="10" s="1"/>
  <c r="U490" i="10"/>
  <c r="W490" i="10" s="1"/>
  <c r="AP490" i="10" s="1"/>
  <c r="AO489" i="10"/>
  <c r="AY489" i="10" s="1"/>
  <c r="AH489" i="10"/>
  <c r="AL489" i="10"/>
  <c r="AN489" i="10" l="1"/>
  <c r="AW489" i="10" s="1"/>
  <c r="X490" i="10"/>
  <c r="Z490" i="10" l="1"/>
  <c r="AR490" i="10" s="1"/>
  <c r="BD489" i="10"/>
  <c r="AZ489" i="10"/>
  <c r="Q491" i="10" l="1"/>
  <c r="AA490" i="10"/>
  <c r="AI490" i="10" l="1"/>
  <c r="AJ490" i="10"/>
  <c r="AG490" i="10"/>
  <c r="AK490" i="10"/>
  <c r="AX490" i="10" s="1"/>
  <c r="AM491" i="10"/>
  <c r="AC491" i="10"/>
  <c r="BA490" i="10" s="1"/>
  <c r="S491" i="10"/>
  <c r="AB491" i="10"/>
  <c r="AV490" i="10" s="1"/>
  <c r="AD491" i="10" l="1"/>
  <c r="T491" i="10"/>
  <c r="AQ491" i="10" s="1"/>
  <c r="U491" i="10"/>
  <c r="W491" i="10" s="1"/>
  <c r="AP491" i="10" s="1"/>
  <c r="AH490" i="10"/>
  <c r="AO490" i="10"/>
  <c r="AY490" i="10" s="1"/>
  <c r="AL490" i="10"/>
  <c r="AN490" i="10" l="1"/>
  <c r="AW490" i="10" s="1"/>
  <c r="BD490" i="10" s="1"/>
  <c r="AZ490" i="10"/>
  <c r="X491" i="10"/>
  <c r="Z491" i="10" l="1"/>
  <c r="AR491" i="10" s="1"/>
  <c r="AA491" i="10" l="1"/>
  <c r="Q492" i="10"/>
  <c r="AI491" i="10" l="1"/>
  <c r="AJ491" i="10"/>
  <c r="AG491" i="10"/>
  <c r="AK491" i="10"/>
  <c r="AX491" i="10" s="1"/>
  <c r="AM492" i="10"/>
  <c r="AC492" i="10"/>
  <c r="S492" i="10"/>
  <c r="AB492" i="10"/>
  <c r="AV491" i="10" s="1"/>
  <c r="BA491" i="10" l="1"/>
  <c r="AD492" i="10"/>
  <c r="T492" i="10"/>
  <c r="AQ492" i="10" s="1"/>
  <c r="U492" i="10"/>
  <c r="W492" i="10" s="1"/>
  <c r="AP492" i="10" s="1"/>
  <c r="AO491" i="10"/>
  <c r="AY491" i="10" s="1"/>
  <c r="AH491" i="10"/>
  <c r="AL491" i="10"/>
  <c r="AN491" i="10" l="1"/>
  <c r="AW491" i="10" s="1"/>
  <c r="X492" i="10"/>
  <c r="Z492" i="10" l="1"/>
  <c r="AR492" i="10" s="1"/>
  <c r="BD491" i="10"/>
  <c r="AZ491" i="10"/>
  <c r="AA492" i="10" l="1"/>
  <c r="Q493" i="10"/>
  <c r="AM493" i="10" l="1"/>
  <c r="AC493" i="10"/>
  <c r="S493" i="10"/>
  <c r="AB493" i="10"/>
  <c r="AV492" i="10" s="1"/>
  <c r="AI492" i="10"/>
  <c r="AJ492" i="10"/>
  <c r="AG492" i="10"/>
  <c r="AK492" i="10"/>
  <c r="AX492" i="10" s="1"/>
  <c r="AO492" i="10" l="1"/>
  <c r="AY492" i="10" s="1"/>
  <c r="AH492" i="10"/>
  <c r="AL492" i="10"/>
  <c r="T493" i="10"/>
  <c r="AQ493" i="10" s="1"/>
  <c r="AD493" i="10"/>
  <c r="U493" i="10"/>
  <c r="W493" i="10" s="1"/>
  <c r="AP493" i="10" s="1"/>
  <c r="BA492" i="10"/>
  <c r="X493" i="10" l="1"/>
  <c r="AN492" i="10"/>
  <c r="AW492" i="10" s="1"/>
  <c r="BD492" i="10" l="1"/>
  <c r="AZ492" i="10"/>
  <c r="Z493" i="10"/>
  <c r="AR493" i="10" s="1"/>
  <c r="Q494" i="10" l="1"/>
  <c r="AA493" i="10"/>
  <c r="AJ493" i="10" l="1"/>
  <c r="AI493" i="10"/>
  <c r="AG493" i="10"/>
  <c r="AK493" i="10"/>
  <c r="AX493" i="10" s="1"/>
  <c r="AM494" i="10"/>
  <c r="AC494" i="10"/>
  <c r="BA493" i="10" s="1"/>
  <c r="AB494" i="10"/>
  <c r="AV493" i="10" s="1"/>
  <c r="S494" i="10"/>
  <c r="T494" i="10" l="1"/>
  <c r="AQ494" i="10" s="1"/>
  <c r="AD494" i="10"/>
  <c r="U494" i="10"/>
  <c r="W494" i="10" s="1"/>
  <c r="AP494" i="10" s="1"/>
  <c r="AO493" i="10"/>
  <c r="AY493" i="10" s="1"/>
  <c r="AH493" i="10"/>
  <c r="AL493" i="10"/>
  <c r="AN493" i="10" l="1"/>
  <c r="AW493" i="10" s="1"/>
  <c r="X494" i="10"/>
  <c r="Z494" i="10" l="1"/>
  <c r="AR494" i="10" s="1"/>
  <c r="BD493" i="10"/>
  <c r="AZ493" i="10"/>
  <c r="Q495" i="10" l="1"/>
  <c r="AA494" i="10"/>
  <c r="AI494" i="10" l="1"/>
  <c r="AJ494" i="10"/>
  <c r="AG494" i="10"/>
  <c r="AK494" i="10"/>
  <c r="AX494" i="10" s="1"/>
  <c r="AM495" i="10"/>
  <c r="AC495" i="10"/>
  <c r="BA494" i="10" s="1"/>
  <c r="S495" i="10"/>
  <c r="AB495" i="10"/>
  <c r="AV494" i="10" s="1"/>
  <c r="AD495" i="10" l="1"/>
  <c r="T495" i="10"/>
  <c r="AQ495" i="10" s="1"/>
  <c r="U495" i="10"/>
  <c r="W495" i="10" s="1"/>
  <c r="AP495" i="10" s="1"/>
  <c r="AH494" i="10"/>
  <c r="AO494" i="10"/>
  <c r="AY494" i="10" s="1"/>
  <c r="AL494" i="10"/>
  <c r="AN494" i="10" l="1"/>
  <c r="AW494" i="10" s="1"/>
  <c r="X495" i="10"/>
  <c r="Z495" i="10" l="1"/>
  <c r="AR495" i="10" s="1"/>
  <c r="BD494" i="10"/>
  <c r="AZ494" i="10"/>
  <c r="AA495" i="10" l="1"/>
  <c r="Q496" i="10"/>
  <c r="AM496" i="10" l="1"/>
  <c r="AC496" i="10"/>
  <c r="S496" i="10"/>
  <c r="AB496" i="10"/>
  <c r="AV495" i="10" s="1"/>
  <c r="AI495" i="10"/>
  <c r="AJ495" i="10"/>
  <c r="AG495" i="10"/>
  <c r="AK495" i="10"/>
  <c r="AX495" i="10" s="1"/>
  <c r="AL495" i="10" l="1"/>
  <c r="T496" i="10"/>
  <c r="AQ496" i="10" s="1"/>
  <c r="AD496" i="10"/>
  <c r="U496" i="10"/>
  <c r="W496" i="10" s="1"/>
  <c r="AP496" i="10" s="1"/>
  <c r="BA495" i="10"/>
  <c r="AO495" i="10"/>
  <c r="AY495" i="10" s="1"/>
  <c r="AH495" i="10"/>
  <c r="AN495" i="10" l="1"/>
  <c r="AW495" i="10" s="1"/>
  <c r="BD495" i="10" s="1"/>
  <c r="X496" i="10"/>
  <c r="AZ495" i="10" l="1"/>
  <c r="Z496" i="10"/>
  <c r="AR496" i="10" s="1"/>
  <c r="AA496" i="10" l="1"/>
  <c r="Q497" i="10"/>
  <c r="AM497" i="10" l="1"/>
  <c r="AC497" i="10"/>
  <c r="S497" i="10"/>
  <c r="AB497" i="10"/>
  <c r="AV496" i="10" s="1"/>
  <c r="AJ496" i="10"/>
  <c r="AI496" i="10"/>
  <c r="AG496" i="10"/>
  <c r="AK496" i="10"/>
  <c r="AX496" i="10" s="1"/>
  <c r="AL496" i="10" l="1"/>
  <c r="AO496" i="10"/>
  <c r="AY496" i="10" s="1"/>
  <c r="AH496" i="10"/>
  <c r="AN496" i="10" s="1"/>
  <c r="AW496" i="10" s="1"/>
  <c r="AD497" i="10"/>
  <c r="T497" i="10"/>
  <c r="AQ497" i="10" s="1"/>
  <c r="U497" i="10"/>
  <c r="W497" i="10" s="1"/>
  <c r="AP497" i="10" s="1"/>
  <c r="BA496" i="10"/>
  <c r="X497" i="10" l="1"/>
  <c r="BD496" i="10"/>
  <c r="AZ496" i="10"/>
  <c r="Z497" i="10" l="1"/>
  <c r="AR497" i="10" s="1"/>
  <c r="Q498" i="10" l="1"/>
  <c r="AA497" i="10"/>
  <c r="AJ497" i="10" l="1"/>
  <c r="AI497" i="10"/>
  <c r="AG497" i="10"/>
  <c r="AK497" i="10"/>
  <c r="AX497" i="10" s="1"/>
  <c r="AM498" i="10"/>
  <c r="AB498" i="10"/>
  <c r="AV497" i="10" s="1"/>
  <c r="S498" i="10"/>
  <c r="AC498" i="10"/>
  <c r="BA497" i="10" l="1"/>
  <c r="AO497" i="10"/>
  <c r="AY497" i="10" s="1"/>
  <c r="AH497" i="10"/>
  <c r="AD498" i="10"/>
  <c r="T498" i="10"/>
  <c r="AQ498" i="10" s="1"/>
  <c r="U498" i="10"/>
  <c r="W498" i="10" s="1"/>
  <c r="AP498" i="10" s="1"/>
  <c r="AL497" i="10"/>
  <c r="X498" i="10" l="1"/>
  <c r="AN497" i="10"/>
  <c r="AW497" i="10" s="1"/>
  <c r="BD497" i="10" l="1"/>
  <c r="AZ497" i="10"/>
  <c r="Z498" i="10"/>
  <c r="AR498" i="10" s="1"/>
  <c r="Q499" i="10" l="1"/>
  <c r="AA498" i="10"/>
  <c r="AJ498" i="10" l="1"/>
  <c r="AI498" i="10"/>
  <c r="AG498" i="10"/>
  <c r="AK498" i="10"/>
  <c r="AX498" i="10" s="1"/>
  <c r="AM499" i="10"/>
  <c r="AC499" i="10"/>
  <c r="BA498" i="10" s="1"/>
  <c r="AB499" i="10"/>
  <c r="AV498" i="10" s="1"/>
  <c r="S499" i="10"/>
  <c r="AH498" i="10" l="1"/>
  <c r="AO498" i="10"/>
  <c r="AY498" i="10" s="1"/>
  <c r="AL498" i="10"/>
  <c r="T499" i="10"/>
  <c r="AQ499" i="10" s="1"/>
  <c r="AD499" i="10"/>
  <c r="U499" i="10"/>
  <c r="W499" i="10" s="1"/>
  <c r="AP499" i="10" s="1"/>
  <c r="X499" i="10" l="1"/>
  <c r="AN498" i="10"/>
  <c r="AW498" i="10" s="1"/>
  <c r="BD498" i="10" l="1"/>
  <c r="AZ498" i="10"/>
  <c r="Z499" i="10"/>
  <c r="AR499" i="10" s="1"/>
  <c r="AA499" i="10" l="1"/>
  <c r="Q500" i="10"/>
  <c r="AM500" i="10" l="1"/>
  <c r="S500" i="10"/>
  <c r="AC500" i="10"/>
  <c r="AB500" i="10"/>
  <c r="AV499" i="10" s="1"/>
  <c r="AJ499" i="10"/>
  <c r="AI499" i="10"/>
  <c r="AG499" i="10"/>
  <c r="AK499" i="10"/>
  <c r="AX499" i="10" s="1"/>
  <c r="AL499" i="10" l="1"/>
  <c r="BA499" i="10"/>
  <c r="AD500" i="10"/>
  <c r="T500" i="10"/>
  <c r="AQ500" i="10" s="1"/>
  <c r="U500" i="10"/>
  <c r="W500" i="10" s="1"/>
  <c r="AP500" i="10" s="1"/>
  <c r="AH499" i="10"/>
  <c r="AN499" i="10" s="1"/>
  <c r="AW499" i="10" s="1"/>
  <c r="AO499" i="10"/>
  <c r="AY499" i="10" s="1"/>
  <c r="BD499" i="10" l="1"/>
  <c r="AZ499" i="10"/>
  <c r="X500" i="10"/>
  <c r="Z500" i="10" l="1"/>
  <c r="AR500" i="10" s="1"/>
  <c r="AA500" i="10" l="1"/>
  <c r="Q501" i="10"/>
  <c r="AM501" i="10" l="1"/>
  <c r="AC501" i="10"/>
  <c r="AB501" i="10"/>
  <c r="AV500" i="10" s="1"/>
  <c r="S501" i="10"/>
  <c r="AI500" i="10"/>
  <c r="AJ500" i="10"/>
  <c r="AG500" i="10"/>
  <c r="AK500" i="10"/>
  <c r="AX500" i="10" s="1"/>
  <c r="AH500" i="10" l="1"/>
  <c r="AO500" i="10"/>
  <c r="AY500" i="10" s="1"/>
  <c r="AL500" i="10"/>
  <c r="AD501" i="10"/>
  <c r="T501" i="10"/>
  <c r="AQ501" i="10" s="1"/>
  <c r="U501" i="10"/>
  <c r="W501" i="10" s="1"/>
  <c r="AP501" i="10" s="1"/>
  <c r="BA500" i="10"/>
  <c r="X501" i="10" l="1"/>
  <c r="AN500" i="10"/>
  <c r="AW500" i="10" s="1"/>
  <c r="Z501" i="10" l="1"/>
  <c r="AR501" i="10" s="1"/>
  <c r="BD500" i="10"/>
  <c r="AZ500" i="10"/>
  <c r="Q502" i="10" l="1"/>
  <c r="AA501" i="10"/>
  <c r="AJ501" i="10" l="1"/>
  <c r="AI501" i="10"/>
  <c r="AG501" i="10"/>
  <c r="AK501" i="10"/>
  <c r="AX501" i="10" s="1"/>
  <c r="AM502" i="10"/>
  <c r="S502" i="10"/>
  <c r="AB502" i="10"/>
  <c r="AV501" i="10" s="1"/>
  <c r="AC502" i="10"/>
  <c r="T502" i="10" l="1"/>
  <c r="AQ502" i="10" s="1"/>
  <c r="AD502" i="10"/>
  <c r="U502" i="10"/>
  <c r="W502" i="10" s="1"/>
  <c r="AP502" i="10" s="1"/>
  <c r="AH501" i="10"/>
  <c r="AO501" i="10"/>
  <c r="AY501" i="10" s="1"/>
  <c r="AL501" i="10"/>
  <c r="BA501" i="10"/>
  <c r="AN501" i="10" l="1"/>
  <c r="AW501" i="10" s="1"/>
  <c r="BD501" i="10" s="1"/>
  <c r="X502" i="10"/>
  <c r="AZ501" i="10" l="1"/>
  <c r="Z502" i="10"/>
  <c r="AR502" i="10" s="1"/>
  <c r="AA502" i="10" l="1"/>
  <c r="Q503" i="10"/>
  <c r="AM503" i="10" l="1"/>
  <c r="AC503" i="10"/>
  <c r="AB503" i="10"/>
  <c r="AV502" i="10" s="1"/>
  <c r="S503" i="10"/>
  <c r="AI502" i="10"/>
  <c r="AJ502" i="10"/>
  <c r="AG502" i="10"/>
  <c r="AK502" i="10"/>
  <c r="AX502" i="10" s="1"/>
  <c r="AL502" i="10" l="1"/>
  <c r="T503" i="10"/>
  <c r="AQ503" i="10" s="1"/>
  <c r="AD503" i="10"/>
  <c r="U503" i="10"/>
  <c r="W503" i="10" s="1"/>
  <c r="AP503" i="10" s="1"/>
  <c r="BA502" i="10"/>
  <c r="AH502" i="10"/>
  <c r="AN502" i="10" s="1"/>
  <c r="AW502" i="10" s="1"/>
  <c r="AO502" i="10"/>
  <c r="AY502" i="10" s="1"/>
  <c r="BD502" i="10" l="1"/>
  <c r="AZ502" i="10"/>
  <c r="X503" i="10"/>
  <c r="Z503" i="10" l="1"/>
  <c r="AR503" i="10" s="1"/>
  <c r="Q504" i="10" l="1"/>
  <c r="AA503" i="10"/>
  <c r="AJ503" i="10" l="1"/>
  <c r="AI503" i="10"/>
  <c r="AG503" i="10"/>
  <c r="AK503" i="10"/>
  <c r="AX503" i="10" s="1"/>
  <c r="AM504" i="10"/>
  <c r="AB504" i="10"/>
  <c r="AV503" i="10" s="1"/>
  <c r="S504" i="10"/>
  <c r="AC504" i="10"/>
  <c r="BA503" i="10" l="1"/>
  <c r="AD504" i="10"/>
  <c r="T504" i="10"/>
  <c r="AQ504" i="10" s="1"/>
  <c r="U504" i="10"/>
  <c r="W504" i="10" s="1"/>
  <c r="AP504" i="10" s="1"/>
  <c r="AH503" i="10"/>
  <c r="AO503" i="10"/>
  <c r="AY503" i="10" s="1"/>
  <c r="AL503" i="10"/>
  <c r="AN503" i="10" l="1"/>
  <c r="AW503" i="10" s="1"/>
  <c r="X504" i="10"/>
  <c r="Z504" i="10" l="1"/>
  <c r="AR504" i="10" s="1"/>
  <c r="BD503" i="10"/>
  <c r="AZ503" i="10"/>
  <c r="AA504" i="10" l="1"/>
  <c r="Q505" i="10"/>
  <c r="AM505" i="10" l="1"/>
  <c r="S505" i="10"/>
  <c r="AC505" i="10"/>
  <c r="AB505" i="10"/>
  <c r="AV504" i="10" s="1"/>
  <c r="AJ504" i="10"/>
  <c r="AI504" i="10"/>
  <c r="AG504" i="10"/>
  <c r="AK504" i="10"/>
  <c r="AX504" i="10" s="1"/>
  <c r="AH504" i="10" l="1"/>
  <c r="AO504" i="10"/>
  <c r="AY504" i="10" s="1"/>
  <c r="AL504" i="10"/>
  <c r="T505" i="10"/>
  <c r="AQ505" i="10" s="1"/>
  <c r="AD505" i="10"/>
  <c r="U505" i="10"/>
  <c r="W505" i="10" s="1"/>
  <c r="AP505" i="10" s="1"/>
  <c r="BA504" i="10"/>
  <c r="X505" i="10" l="1"/>
  <c r="AN504" i="10"/>
  <c r="AW504" i="10" s="1"/>
  <c r="BD504" i="10" l="1"/>
  <c r="AZ504" i="10"/>
  <c r="Z505" i="10"/>
  <c r="AR505" i="10" s="1"/>
  <c r="Q506" i="10" l="1"/>
  <c r="AA505" i="10"/>
  <c r="AJ505" i="10" l="1"/>
  <c r="AI505" i="10"/>
  <c r="AG505" i="10"/>
  <c r="AK505" i="10"/>
  <c r="AX505" i="10" s="1"/>
  <c r="AM506" i="10"/>
  <c r="AB506" i="10"/>
  <c r="AV505" i="10" s="1"/>
  <c r="S506" i="10"/>
  <c r="AC506" i="10"/>
  <c r="AD506" i="10" l="1"/>
  <c r="T506" i="10"/>
  <c r="AQ506" i="10" s="1"/>
  <c r="U506" i="10"/>
  <c r="W506" i="10" s="1"/>
  <c r="AP506" i="10" s="1"/>
  <c r="AH505" i="10"/>
  <c r="AO505" i="10"/>
  <c r="AY505" i="10" s="1"/>
  <c r="AL505" i="10"/>
  <c r="BA505" i="10"/>
  <c r="AN505" i="10" l="1"/>
  <c r="AW505" i="10" s="1"/>
  <c r="BD505" i="10" s="1"/>
  <c r="X506" i="10"/>
  <c r="AZ505" i="10" l="1"/>
  <c r="Z506" i="10"/>
  <c r="AR506" i="10" s="1"/>
  <c r="Q507" i="10" l="1"/>
  <c r="AA506" i="10"/>
  <c r="AI506" i="10" l="1"/>
  <c r="AJ506" i="10"/>
  <c r="AG506" i="10"/>
  <c r="AK506" i="10"/>
  <c r="AX506" i="10" s="1"/>
  <c r="AM507" i="10"/>
  <c r="AC507" i="10"/>
  <c r="BA506" i="10" s="1"/>
  <c r="AB507" i="10"/>
  <c r="AV506" i="10" s="1"/>
  <c r="S507" i="10"/>
  <c r="AH506" i="10" l="1"/>
  <c r="AO506" i="10"/>
  <c r="AY506" i="10" s="1"/>
  <c r="AL506" i="10"/>
  <c r="T507" i="10"/>
  <c r="AQ507" i="10" s="1"/>
  <c r="AD507" i="10"/>
  <c r="U507" i="10"/>
  <c r="W507" i="10" s="1"/>
  <c r="AP507" i="10" s="1"/>
  <c r="X507" i="10" l="1"/>
  <c r="AN506" i="10"/>
  <c r="AW506" i="10" s="1"/>
  <c r="BD506" i="10" l="1"/>
  <c r="AZ506" i="10"/>
  <c r="Z507" i="10"/>
  <c r="AR507" i="10" s="1"/>
  <c r="AA507" i="10" l="1"/>
  <c r="Q508" i="10"/>
  <c r="AM508" i="10" l="1"/>
  <c r="S508" i="10"/>
  <c r="AC508" i="10"/>
  <c r="AB508" i="10"/>
  <c r="AV507" i="10" s="1"/>
  <c r="AJ507" i="10"/>
  <c r="AI507" i="10"/>
  <c r="AG507" i="10"/>
  <c r="AK507" i="10"/>
  <c r="AX507" i="10" s="1"/>
  <c r="AH507" i="10" l="1"/>
  <c r="AO507" i="10"/>
  <c r="AY507" i="10" s="1"/>
  <c r="AL507" i="10"/>
  <c r="BA507" i="10"/>
  <c r="AD508" i="10"/>
  <c r="T508" i="10"/>
  <c r="AQ508" i="10" s="1"/>
  <c r="U508" i="10"/>
  <c r="W508" i="10" s="1"/>
  <c r="AP508" i="10" s="1"/>
  <c r="X508" i="10" l="1"/>
  <c r="AN507" i="10"/>
  <c r="AW507" i="10" s="1"/>
  <c r="Z508" i="10" l="1"/>
  <c r="AR508" i="10" s="1"/>
  <c r="BD507" i="10"/>
  <c r="AZ507" i="10"/>
  <c r="AA508" i="10" l="1"/>
  <c r="Q509" i="10"/>
  <c r="AM509" i="10" l="1"/>
  <c r="AC509" i="10"/>
  <c r="S509" i="10"/>
  <c r="AB509" i="10"/>
  <c r="AV508" i="10" s="1"/>
  <c r="AI508" i="10"/>
  <c r="AJ508" i="10"/>
  <c r="AG508" i="10"/>
  <c r="AK508" i="10"/>
  <c r="AX508" i="10" s="1"/>
  <c r="AL508" i="10" l="1"/>
  <c r="AH508" i="10"/>
  <c r="AO508" i="10"/>
  <c r="AY508" i="10" s="1"/>
  <c r="T509" i="10"/>
  <c r="AQ509" i="10" s="1"/>
  <c r="AD509" i="10"/>
  <c r="U509" i="10"/>
  <c r="W509" i="10" s="1"/>
  <c r="AP509" i="10" s="1"/>
  <c r="BA508" i="10"/>
  <c r="AN508" i="10" l="1"/>
  <c r="AW508" i="10" s="1"/>
  <c r="X509" i="10"/>
  <c r="BD508" i="10"/>
  <c r="AZ508" i="10"/>
  <c r="Z509" i="10" l="1"/>
  <c r="AR509" i="10" s="1"/>
  <c r="Q510" i="10" l="1"/>
  <c r="AA509" i="10"/>
  <c r="AJ509" i="10" l="1"/>
  <c r="AI509" i="10"/>
  <c r="AG509" i="10"/>
  <c r="AK509" i="10"/>
  <c r="AX509" i="10" s="1"/>
  <c r="AM510" i="10"/>
  <c r="S510" i="10"/>
  <c r="AC510" i="10"/>
  <c r="AB510" i="10"/>
  <c r="AV509" i="10" s="1"/>
  <c r="T510" i="10" l="1"/>
  <c r="AQ510" i="10" s="1"/>
  <c r="AD510" i="10"/>
  <c r="U510" i="10"/>
  <c r="W510" i="10" s="1"/>
  <c r="AP510" i="10" s="1"/>
  <c r="AH509" i="10"/>
  <c r="AO509" i="10"/>
  <c r="AY509" i="10" s="1"/>
  <c r="AL509" i="10"/>
  <c r="BA509" i="10"/>
  <c r="AN509" i="10" l="1"/>
  <c r="AW509" i="10" s="1"/>
  <c r="X510" i="10"/>
  <c r="Z510" i="10" l="1"/>
  <c r="AR510" i="10" s="1"/>
  <c r="BD509" i="10"/>
  <c r="AZ509" i="10"/>
  <c r="AA510" i="10" l="1"/>
  <c r="Q511" i="10"/>
  <c r="AM511" i="10" l="1"/>
  <c r="AC511" i="10"/>
  <c r="AB511" i="10"/>
  <c r="AV510" i="10" s="1"/>
  <c r="S511" i="10"/>
  <c r="AI510" i="10"/>
  <c r="AJ510" i="10"/>
  <c r="AG510" i="10"/>
  <c r="AK510" i="10"/>
  <c r="AX510" i="10" s="1"/>
  <c r="AL510" i="10" l="1"/>
  <c r="AH510" i="10"/>
  <c r="AN510" i="10" s="1"/>
  <c r="AW510" i="10" s="1"/>
  <c r="AO510" i="10"/>
  <c r="AY510" i="10" s="1"/>
  <c r="T511" i="10"/>
  <c r="AQ511" i="10" s="1"/>
  <c r="AD511" i="10"/>
  <c r="U511" i="10"/>
  <c r="W511" i="10" s="1"/>
  <c r="AP511" i="10" s="1"/>
  <c r="BA510" i="10"/>
  <c r="X511" i="10" l="1"/>
  <c r="BD510" i="10"/>
  <c r="AZ510" i="10"/>
  <c r="Z511" i="10" l="1"/>
  <c r="AR511" i="10" s="1"/>
  <c r="AA511" i="10" l="1"/>
  <c r="Q512" i="10"/>
  <c r="AM512" i="10" l="1"/>
  <c r="S512" i="10"/>
  <c r="AC512" i="10"/>
  <c r="AB512" i="10"/>
  <c r="AV511" i="10" s="1"/>
  <c r="AJ511" i="10"/>
  <c r="AI511" i="10"/>
  <c r="AG511" i="10"/>
  <c r="AK511" i="10"/>
  <c r="AX511" i="10" s="1"/>
  <c r="AH511" i="10" l="1"/>
  <c r="AO511" i="10"/>
  <c r="AY511" i="10" s="1"/>
  <c r="AL511" i="10"/>
  <c r="BA511" i="10"/>
  <c r="AD512" i="10"/>
  <c r="T512" i="10"/>
  <c r="AQ512" i="10" s="1"/>
  <c r="U512" i="10"/>
  <c r="W512" i="10" s="1"/>
  <c r="AP512" i="10" s="1"/>
  <c r="X512" i="10" l="1"/>
  <c r="AN511" i="10"/>
  <c r="AW511" i="10" s="1"/>
  <c r="BD511" i="10" l="1"/>
  <c r="AZ511" i="10"/>
  <c r="Z512" i="10"/>
  <c r="AR512" i="10" s="1"/>
  <c r="AA512" i="10" l="1"/>
  <c r="Q513" i="10"/>
  <c r="AM513" i="10" l="1"/>
  <c r="AB513" i="10"/>
  <c r="AV512" i="10" s="1"/>
  <c r="S513" i="10"/>
  <c r="AC513" i="10"/>
  <c r="AJ512" i="10"/>
  <c r="AI512" i="10"/>
  <c r="AG512" i="10"/>
  <c r="AK512" i="10"/>
  <c r="AX512" i="10" s="1"/>
  <c r="AH512" i="10" l="1"/>
  <c r="AO512" i="10"/>
  <c r="AY512" i="10" s="1"/>
  <c r="AL512" i="10"/>
  <c r="BA512" i="10"/>
  <c r="AD513" i="10"/>
  <c r="T513" i="10"/>
  <c r="AQ513" i="10" s="1"/>
  <c r="U513" i="10"/>
  <c r="W513" i="10" s="1"/>
  <c r="AP513" i="10" s="1"/>
  <c r="X513" i="10" l="1"/>
  <c r="AN512" i="10"/>
  <c r="AW512" i="10" s="1"/>
  <c r="BD512" i="10" l="1"/>
  <c r="AZ512" i="10"/>
  <c r="Z513" i="10"/>
  <c r="AR513" i="10" s="1"/>
  <c r="Q514" i="10" l="1"/>
  <c r="AA513" i="10"/>
  <c r="AM514" i="10" l="1"/>
  <c r="S514" i="10"/>
  <c r="AB514" i="10"/>
  <c r="AV513" i="10" s="1"/>
  <c r="AC514" i="10"/>
  <c r="AJ513" i="10"/>
  <c r="AI513" i="10"/>
  <c r="AG513" i="10"/>
  <c r="AK513" i="10"/>
  <c r="AX513" i="10" s="1"/>
  <c r="AL513" i="10" l="1"/>
  <c r="AH513" i="10"/>
  <c r="AN513" i="10" s="1"/>
  <c r="AW513" i="10" s="1"/>
  <c r="AO513" i="10"/>
  <c r="AY513" i="10" s="1"/>
  <c r="BA513" i="10"/>
  <c r="AD514" i="10"/>
  <c r="T514" i="10"/>
  <c r="AQ514" i="10" s="1"/>
  <c r="U514" i="10"/>
  <c r="W514" i="10" s="1"/>
  <c r="AP514" i="10" s="1"/>
  <c r="X514" i="10" l="1"/>
  <c r="BD513" i="10"/>
  <c r="AZ513" i="10"/>
  <c r="Z514" i="10" l="1"/>
  <c r="AR514" i="10" s="1"/>
  <c r="AA514" i="10" l="1"/>
  <c r="Q515" i="10"/>
  <c r="AM515" i="10" l="1"/>
  <c r="AB515" i="10"/>
  <c r="AV514" i="10" s="1"/>
  <c r="AC515" i="10"/>
  <c r="S515" i="10"/>
  <c r="AJ514" i="10"/>
  <c r="AI514" i="10"/>
  <c r="AG514" i="10"/>
  <c r="AK514" i="10"/>
  <c r="AX514" i="10" s="1"/>
  <c r="AH514" i="10" l="1"/>
  <c r="AO514" i="10"/>
  <c r="AY514" i="10" s="1"/>
  <c r="AL514" i="10"/>
  <c r="AD515" i="10"/>
  <c r="T515" i="10"/>
  <c r="AQ515" i="10" s="1"/>
  <c r="U515" i="10"/>
  <c r="W515" i="10" s="1"/>
  <c r="AP515" i="10" s="1"/>
  <c r="BA514" i="10"/>
  <c r="X515" i="10" l="1"/>
  <c r="AN514" i="10"/>
  <c r="AW514" i="10" s="1"/>
  <c r="Z515" i="10" l="1"/>
  <c r="AR515" i="10" s="1"/>
  <c r="BD514" i="10"/>
  <c r="AZ514" i="10"/>
  <c r="Q516" i="10" l="1"/>
  <c r="AA515" i="10"/>
  <c r="AJ515" i="10" l="1"/>
  <c r="AI515" i="10"/>
  <c r="AG515" i="10"/>
  <c r="AK515" i="10"/>
  <c r="AX515" i="10" s="1"/>
  <c r="AM516" i="10"/>
  <c r="S516" i="10"/>
  <c r="AC516" i="10"/>
  <c r="AB516" i="10"/>
  <c r="AV515" i="10" s="1"/>
  <c r="BA515" i="10" l="1"/>
  <c r="AD516" i="10"/>
  <c r="T516" i="10"/>
  <c r="AQ516" i="10" s="1"/>
  <c r="U516" i="10"/>
  <c r="W516" i="10" s="1"/>
  <c r="AP516" i="10" s="1"/>
  <c r="AH515" i="10"/>
  <c r="AO515" i="10"/>
  <c r="AY515" i="10" s="1"/>
  <c r="AL515" i="10"/>
  <c r="AN515" i="10" l="1"/>
  <c r="AW515" i="10" s="1"/>
  <c r="BD515" i="10" s="1"/>
  <c r="X516" i="10"/>
  <c r="AZ515" i="10" l="1"/>
  <c r="Z516" i="10"/>
  <c r="AR516" i="10" s="1"/>
  <c r="AA516" i="10" l="1"/>
  <c r="Q517" i="10"/>
  <c r="AM517" i="10" l="1"/>
  <c r="AB517" i="10"/>
  <c r="AV516" i="10" s="1"/>
  <c r="S517" i="10"/>
  <c r="AC517" i="10"/>
  <c r="AJ516" i="10"/>
  <c r="AI516" i="10"/>
  <c r="AG516" i="10"/>
  <c r="AK516" i="10"/>
  <c r="AX516" i="10" s="1"/>
  <c r="AL516" i="10" l="1"/>
  <c r="AH516" i="10"/>
  <c r="AO516" i="10"/>
  <c r="AY516" i="10" s="1"/>
  <c r="BA516" i="10"/>
  <c r="AD517" i="10"/>
  <c r="T517" i="10"/>
  <c r="AQ517" i="10" s="1"/>
  <c r="U517" i="10"/>
  <c r="W517" i="10" s="1"/>
  <c r="AP517" i="10" s="1"/>
  <c r="AN516" i="10" l="1"/>
  <c r="AW516" i="10" s="1"/>
  <c r="BD516" i="10" s="1"/>
  <c r="X517" i="10"/>
  <c r="AZ516" i="10"/>
  <c r="Z517" i="10" l="1"/>
  <c r="AR517" i="10" s="1"/>
  <c r="Q518" i="10" l="1"/>
  <c r="AA517" i="10"/>
  <c r="AJ517" i="10" l="1"/>
  <c r="AI517" i="10"/>
  <c r="AG517" i="10"/>
  <c r="AK517" i="10"/>
  <c r="AX517" i="10" s="1"/>
  <c r="AM518" i="10"/>
  <c r="S518" i="10"/>
  <c r="AB518" i="10"/>
  <c r="AV517" i="10" s="1"/>
  <c r="AC518" i="10"/>
  <c r="BA517" i="10" l="1"/>
  <c r="AD518" i="10"/>
  <c r="T518" i="10"/>
  <c r="AQ518" i="10" s="1"/>
  <c r="U518" i="10"/>
  <c r="W518" i="10" s="1"/>
  <c r="AP518" i="10" s="1"/>
  <c r="AH517" i="10"/>
  <c r="AO517" i="10"/>
  <c r="AY517" i="10" s="1"/>
  <c r="AL517" i="10"/>
  <c r="AN517" i="10" l="1"/>
  <c r="AW517" i="10" s="1"/>
  <c r="X518" i="10"/>
  <c r="BD517" i="10" l="1"/>
  <c r="AZ517" i="10"/>
  <c r="Z518" i="10"/>
  <c r="AR518" i="10" s="1"/>
  <c r="AA518" i="10" l="1"/>
  <c r="Q519" i="10"/>
  <c r="AM519" i="10" l="1"/>
  <c r="AB519" i="10"/>
  <c r="AV518" i="10" s="1"/>
  <c r="AC519" i="10"/>
  <c r="S519" i="10"/>
  <c r="AJ518" i="10"/>
  <c r="AI518" i="10"/>
  <c r="AG518" i="10"/>
  <c r="AK518" i="10"/>
  <c r="AX518" i="10" s="1"/>
  <c r="AL518" i="10" l="1"/>
  <c r="AH518" i="10"/>
  <c r="AO518" i="10"/>
  <c r="AY518" i="10" s="1"/>
  <c r="AD519" i="10"/>
  <c r="T519" i="10"/>
  <c r="AQ519" i="10" s="1"/>
  <c r="U519" i="10"/>
  <c r="W519" i="10" s="1"/>
  <c r="AP519" i="10" s="1"/>
  <c r="BA518" i="10"/>
  <c r="AN518" i="10" l="1"/>
  <c r="AW518" i="10" s="1"/>
  <c r="X519" i="10"/>
  <c r="BD518" i="10"/>
  <c r="AZ518" i="10"/>
  <c r="Z519" i="10" l="1"/>
  <c r="AR519" i="10" s="1"/>
  <c r="Q520" i="10" l="1"/>
  <c r="AA519" i="10"/>
  <c r="AJ519" i="10" l="1"/>
  <c r="AI519" i="10"/>
  <c r="AG519" i="10"/>
  <c r="AK519" i="10"/>
  <c r="AX519" i="10" s="1"/>
  <c r="AM520" i="10"/>
  <c r="S520" i="10"/>
  <c r="AC520" i="10"/>
  <c r="AB520" i="10"/>
  <c r="AV519" i="10" s="1"/>
  <c r="AD520" i="10" l="1"/>
  <c r="T520" i="10"/>
  <c r="AQ520" i="10" s="1"/>
  <c r="U520" i="10"/>
  <c r="W520" i="10" s="1"/>
  <c r="AP520" i="10" s="1"/>
  <c r="AH519" i="10"/>
  <c r="AO519" i="10"/>
  <c r="AY519" i="10" s="1"/>
  <c r="AL519" i="10"/>
  <c r="BA519" i="10"/>
  <c r="AN519" i="10" l="1"/>
  <c r="AW519" i="10" s="1"/>
  <c r="X520" i="10"/>
  <c r="Z520" i="10" l="1"/>
  <c r="AR520" i="10" s="1"/>
  <c r="BD519" i="10"/>
  <c r="AZ519" i="10"/>
  <c r="AA520" i="10" l="1"/>
  <c r="Q521" i="10"/>
  <c r="AM521" i="10" l="1"/>
  <c r="AB521" i="10"/>
  <c r="AV520" i="10" s="1"/>
  <c r="S521" i="10"/>
  <c r="AC521" i="10"/>
  <c r="AJ520" i="10"/>
  <c r="AI520" i="10"/>
  <c r="AG520" i="10"/>
  <c r="AK520" i="10"/>
  <c r="AX520" i="10" s="1"/>
  <c r="AH520" i="10" l="1"/>
  <c r="AO520" i="10"/>
  <c r="AY520" i="10" s="1"/>
  <c r="AL520" i="10"/>
  <c r="BA520" i="10"/>
  <c r="AD521" i="10"/>
  <c r="T521" i="10"/>
  <c r="AQ521" i="10" s="1"/>
  <c r="U521" i="10"/>
  <c r="W521" i="10" s="1"/>
  <c r="AP521" i="10" s="1"/>
  <c r="X521" i="10" l="1"/>
  <c r="AN520" i="10"/>
  <c r="AW520" i="10" s="1"/>
  <c r="BD520" i="10" l="1"/>
  <c r="AZ520" i="10"/>
  <c r="Z521" i="10"/>
  <c r="AR521" i="10" s="1"/>
  <c r="Q522" i="10" l="1"/>
  <c r="AA521" i="10"/>
  <c r="AJ521" i="10" l="1"/>
  <c r="AI521" i="10"/>
  <c r="AG521" i="10"/>
  <c r="AK521" i="10"/>
  <c r="AX521" i="10" s="1"/>
  <c r="AM522" i="10"/>
  <c r="S522" i="10"/>
  <c r="AB522" i="10"/>
  <c r="AV521" i="10" s="1"/>
  <c r="AC522" i="10"/>
  <c r="AD522" i="10" l="1"/>
  <c r="T522" i="10"/>
  <c r="AQ522" i="10" s="1"/>
  <c r="U522" i="10"/>
  <c r="W522" i="10" s="1"/>
  <c r="AP522" i="10" s="1"/>
  <c r="AH521" i="10"/>
  <c r="AO521" i="10"/>
  <c r="AY521" i="10" s="1"/>
  <c r="AL521" i="10"/>
  <c r="BA521" i="10"/>
  <c r="AN521" i="10" l="1"/>
  <c r="AW521" i="10" s="1"/>
  <c r="BD521" i="10" s="1"/>
  <c r="AZ521" i="10"/>
  <c r="X522" i="10"/>
  <c r="Z522" i="10" l="1"/>
  <c r="AR522" i="10" s="1"/>
  <c r="AA522" i="10" l="1"/>
  <c r="Q523" i="10"/>
  <c r="AM523" i="10" l="1"/>
  <c r="AB523" i="10"/>
  <c r="AV522" i="10" s="1"/>
  <c r="AC523" i="10"/>
  <c r="S523" i="10"/>
  <c r="AJ522" i="10"/>
  <c r="AI522" i="10"/>
  <c r="AG522" i="10"/>
  <c r="AK522" i="10"/>
  <c r="AX522" i="10" s="1"/>
  <c r="AL522" i="10" l="1"/>
  <c r="AD523" i="10"/>
  <c r="T523" i="10"/>
  <c r="AQ523" i="10" s="1"/>
  <c r="U523" i="10"/>
  <c r="W523" i="10" s="1"/>
  <c r="AP523" i="10" s="1"/>
  <c r="BA522" i="10"/>
  <c r="AH522" i="10"/>
  <c r="AN522" i="10" s="1"/>
  <c r="AW522" i="10" s="1"/>
  <c r="AO522" i="10"/>
  <c r="AY522" i="10" s="1"/>
  <c r="BD522" i="10" l="1"/>
  <c r="AZ522" i="10"/>
  <c r="X523" i="10"/>
  <c r="Z523" i="10" l="1"/>
  <c r="AR523" i="10" s="1"/>
  <c r="Q524" i="10" l="1"/>
  <c r="AA523" i="10"/>
  <c r="AJ523" i="10" l="1"/>
  <c r="AI523" i="10"/>
  <c r="AG523" i="10"/>
  <c r="AK523" i="10"/>
  <c r="AX523" i="10" s="1"/>
  <c r="AM524" i="10"/>
  <c r="S524" i="10"/>
  <c r="AC524" i="10"/>
  <c r="AB524" i="10"/>
  <c r="AV523" i="10" s="1"/>
  <c r="BA523" i="10" l="1"/>
  <c r="AD524" i="10"/>
  <c r="T524" i="10"/>
  <c r="AQ524" i="10" s="1"/>
  <c r="U524" i="10"/>
  <c r="W524" i="10" s="1"/>
  <c r="AP524" i="10" s="1"/>
  <c r="AH523" i="10"/>
  <c r="AO523" i="10"/>
  <c r="AY523" i="10" s="1"/>
  <c r="AL523" i="10"/>
  <c r="AN523" i="10" l="1"/>
  <c r="AW523" i="10" s="1"/>
  <c r="X524" i="10"/>
  <c r="Z524" i="10" l="1"/>
  <c r="AR524" i="10" s="1"/>
  <c r="BD523" i="10"/>
  <c r="AZ523" i="10"/>
  <c r="AA524" i="10" l="1"/>
  <c r="Q525" i="10"/>
  <c r="AM525" i="10" l="1"/>
  <c r="AB525" i="10"/>
  <c r="AV524" i="10" s="1"/>
  <c r="S525" i="10"/>
  <c r="AC525" i="10"/>
  <c r="AJ524" i="10"/>
  <c r="AI524" i="10"/>
  <c r="AG524" i="10"/>
  <c r="AK524" i="10"/>
  <c r="AX524" i="10" s="1"/>
  <c r="AH524" i="10" l="1"/>
  <c r="AO524" i="10"/>
  <c r="AY524" i="10" s="1"/>
  <c r="AL524" i="10"/>
  <c r="BA524" i="10"/>
  <c r="AD525" i="10"/>
  <c r="T525" i="10"/>
  <c r="AQ525" i="10" s="1"/>
  <c r="U525" i="10"/>
  <c r="W525" i="10" s="1"/>
  <c r="AP525" i="10" s="1"/>
  <c r="X525" i="10" l="1"/>
  <c r="AN524" i="10"/>
  <c r="AW524" i="10" s="1"/>
  <c r="BD524" i="10" l="1"/>
  <c r="AZ524" i="10"/>
  <c r="Z525" i="10"/>
  <c r="AR525" i="10" s="1"/>
  <c r="Q526" i="10" l="1"/>
  <c r="AA525" i="10"/>
  <c r="AJ525" i="10" l="1"/>
  <c r="AI525" i="10"/>
  <c r="AG525" i="10"/>
  <c r="AK525" i="10"/>
  <c r="AX525" i="10" s="1"/>
  <c r="AM526" i="10"/>
  <c r="S526" i="10"/>
  <c r="AB526" i="10"/>
  <c r="AV525" i="10" s="1"/>
  <c r="AC526" i="10"/>
  <c r="AD526" i="10" l="1"/>
  <c r="T526" i="10"/>
  <c r="AQ526" i="10" s="1"/>
  <c r="U526" i="10"/>
  <c r="W526" i="10" s="1"/>
  <c r="AP526" i="10" s="1"/>
  <c r="AH525" i="10"/>
  <c r="AO525" i="10"/>
  <c r="AY525" i="10" s="1"/>
  <c r="AL525" i="10"/>
  <c r="BA525" i="10"/>
  <c r="AN525" i="10" l="1"/>
  <c r="AW525" i="10" s="1"/>
  <c r="BD525" i="10" s="1"/>
  <c r="X526" i="10"/>
  <c r="AZ525" i="10" l="1"/>
  <c r="Z526" i="10"/>
  <c r="AR526" i="10" s="1"/>
  <c r="AA526" i="10" l="1"/>
  <c r="Q527" i="10"/>
  <c r="AM527" i="10" l="1"/>
  <c r="AB527" i="10"/>
  <c r="AV526" i="10" s="1"/>
  <c r="AC527" i="10"/>
  <c r="S527" i="10"/>
  <c r="AJ526" i="10"/>
  <c r="AI526" i="10"/>
  <c r="AG526" i="10"/>
  <c r="AK526" i="10"/>
  <c r="AX526" i="10" s="1"/>
  <c r="AL526" i="10" l="1"/>
  <c r="AD527" i="10"/>
  <c r="T527" i="10"/>
  <c r="AQ527" i="10" s="1"/>
  <c r="U527" i="10"/>
  <c r="W527" i="10" s="1"/>
  <c r="AP527" i="10" s="1"/>
  <c r="BA526" i="10"/>
  <c r="AH526" i="10"/>
  <c r="AN526" i="10" s="1"/>
  <c r="AW526" i="10" s="1"/>
  <c r="AO526" i="10"/>
  <c r="AY526" i="10" s="1"/>
  <c r="BD526" i="10" l="1"/>
  <c r="AZ526" i="10"/>
  <c r="X527" i="10"/>
  <c r="Z527" i="10" l="1"/>
  <c r="AR527" i="10" s="1"/>
  <c r="Q528" i="10" l="1"/>
  <c r="AA527" i="10"/>
  <c r="AJ527" i="10" l="1"/>
  <c r="AI527" i="10"/>
  <c r="AG527" i="10"/>
  <c r="AK527" i="10"/>
  <c r="AX527" i="10" s="1"/>
  <c r="AM528" i="10"/>
  <c r="S528" i="10"/>
  <c r="AC528" i="10"/>
  <c r="AB528" i="10"/>
  <c r="AV527" i="10" s="1"/>
  <c r="BA527" i="10" l="1"/>
  <c r="AD528" i="10"/>
  <c r="T528" i="10"/>
  <c r="AQ528" i="10" s="1"/>
  <c r="U528" i="10"/>
  <c r="W528" i="10" s="1"/>
  <c r="AP528" i="10" s="1"/>
  <c r="AH527" i="10"/>
  <c r="AO527" i="10"/>
  <c r="AY527" i="10" s="1"/>
  <c r="AL527" i="10"/>
  <c r="AN527" i="10" l="1"/>
  <c r="AW527" i="10" s="1"/>
  <c r="X528" i="10"/>
  <c r="BD527" i="10" l="1"/>
  <c r="AZ527" i="10"/>
  <c r="Z528" i="10"/>
  <c r="AR528" i="10" s="1"/>
  <c r="AA528" i="10" l="1"/>
  <c r="Q529" i="10"/>
  <c r="AM529" i="10" l="1"/>
  <c r="AB529" i="10"/>
  <c r="AV528" i="10" s="1"/>
  <c r="S529" i="10"/>
  <c r="AC529" i="10"/>
  <c r="AJ528" i="10"/>
  <c r="AI528" i="10"/>
  <c r="AG528" i="10"/>
  <c r="AK528" i="10"/>
  <c r="AX528" i="10" s="1"/>
  <c r="AL528" i="10" l="1"/>
  <c r="AH528" i="10"/>
  <c r="AN528" i="10" s="1"/>
  <c r="AW528" i="10" s="1"/>
  <c r="AO528" i="10"/>
  <c r="AY528" i="10" s="1"/>
  <c r="BA528" i="10"/>
  <c r="AD529" i="10"/>
  <c r="T529" i="10"/>
  <c r="AQ529" i="10" s="1"/>
  <c r="U529" i="10"/>
  <c r="W529" i="10" s="1"/>
  <c r="AP529" i="10" s="1"/>
  <c r="X529" i="10" l="1"/>
  <c r="BD528" i="10"/>
  <c r="AZ528" i="10"/>
  <c r="Z529" i="10" l="1"/>
  <c r="AR529" i="10" s="1"/>
  <c r="Q530" i="10" l="1"/>
  <c r="AA529" i="10"/>
  <c r="AJ529" i="10" l="1"/>
  <c r="AI529" i="10"/>
  <c r="AG529" i="10"/>
  <c r="AK529" i="10"/>
  <c r="AX529" i="10" s="1"/>
  <c r="AM530" i="10"/>
  <c r="S530" i="10"/>
  <c r="AB530" i="10"/>
  <c r="AV529" i="10" s="1"/>
  <c r="AC530" i="10"/>
  <c r="AD530" i="10" l="1"/>
  <c r="T530" i="10"/>
  <c r="AQ530" i="10" s="1"/>
  <c r="U530" i="10"/>
  <c r="W530" i="10" s="1"/>
  <c r="AP530" i="10" s="1"/>
  <c r="AH529" i="10"/>
  <c r="AO529" i="10"/>
  <c r="AY529" i="10" s="1"/>
  <c r="AL529" i="10"/>
  <c r="BA529" i="10"/>
  <c r="AN529" i="10" l="1"/>
  <c r="AW529" i="10" s="1"/>
  <c r="X530" i="10"/>
  <c r="Z530" i="10" l="1"/>
  <c r="AR530" i="10" s="1"/>
  <c r="BD529" i="10"/>
  <c r="AZ529" i="10"/>
  <c r="AA530" i="10" l="1"/>
  <c r="Q531" i="10"/>
  <c r="AM531" i="10" l="1"/>
  <c r="AB531" i="10"/>
  <c r="AV530" i="10" s="1"/>
  <c r="AC531" i="10"/>
  <c r="S531" i="10"/>
  <c r="AJ530" i="10"/>
  <c r="AI530" i="10"/>
  <c r="AG530" i="10"/>
  <c r="AK530" i="10"/>
  <c r="AX530" i="10" s="1"/>
  <c r="AH530" i="10" l="1"/>
  <c r="AO530" i="10"/>
  <c r="AY530" i="10" s="1"/>
  <c r="AL530" i="10"/>
  <c r="AD531" i="10"/>
  <c r="T531" i="10"/>
  <c r="AQ531" i="10" s="1"/>
  <c r="U531" i="10"/>
  <c r="W531" i="10" s="1"/>
  <c r="AP531" i="10" s="1"/>
  <c r="BA530" i="10"/>
  <c r="X531" i="10" l="1"/>
  <c r="AN530" i="10"/>
  <c r="AW530" i="10" s="1"/>
  <c r="BD530" i="10" l="1"/>
  <c r="AZ530" i="10"/>
  <c r="Z531" i="10"/>
  <c r="AR531" i="10" s="1"/>
  <c r="Q532" i="10" l="1"/>
  <c r="AA531" i="10"/>
  <c r="AJ531" i="10" l="1"/>
  <c r="AI531" i="10"/>
  <c r="AG531" i="10"/>
  <c r="AK531" i="10"/>
  <c r="AX531" i="10" s="1"/>
  <c r="AM532" i="10"/>
  <c r="S532" i="10"/>
  <c r="AC532" i="10"/>
  <c r="AB532" i="10"/>
  <c r="AV531" i="10" s="1"/>
  <c r="BA531" i="10" l="1"/>
  <c r="AD532" i="10"/>
  <c r="T532" i="10"/>
  <c r="AQ532" i="10" s="1"/>
  <c r="U532" i="10"/>
  <c r="W532" i="10" s="1"/>
  <c r="AP532" i="10" s="1"/>
  <c r="AH531" i="10"/>
  <c r="AO531" i="10"/>
  <c r="AY531" i="10" s="1"/>
  <c r="AL531" i="10"/>
  <c r="AN531" i="10" l="1"/>
  <c r="AW531" i="10" s="1"/>
  <c r="BD531" i="10" s="1"/>
  <c r="AZ531" i="10"/>
  <c r="X532" i="10"/>
  <c r="Z532" i="10" l="1"/>
  <c r="AR532" i="10" s="1"/>
  <c r="AA532" i="10" l="1"/>
  <c r="Q533" i="10"/>
  <c r="AM533" i="10" l="1"/>
  <c r="AB533" i="10"/>
  <c r="AV532" i="10" s="1"/>
  <c r="S533" i="10"/>
  <c r="AC533" i="10"/>
  <c r="AJ532" i="10"/>
  <c r="AI532" i="10"/>
  <c r="AG532" i="10"/>
  <c r="AK532" i="10"/>
  <c r="AX532" i="10" s="1"/>
  <c r="AL532" i="10" l="1"/>
  <c r="BA532" i="10"/>
  <c r="AD533" i="10"/>
  <c r="T533" i="10"/>
  <c r="AQ533" i="10" s="1"/>
  <c r="U533" i="10"/>
  <c r="W533" i="10" s="1"/>
  <c r="AP533" i="10" s="1"/>
  <c r="AH532" i="10"/>
  <c r="AN532" i="10" s="1"/>
  <c r="AW532" i="10" s="1"/>
  <c r="AO532" i="10"/>
  <c r="AY532" i="10" s="1"/>
  <c r="BD532" i="10" l="1"/>
  <c r="AZ532" i="10"/>
  <c r="X533" i="10"/>
  <c r="Z533" i="10" l="1"/>
  <c r="AR533" i="10" s="1"/>
  <c r="Q534" i="10" l="1"/>
  <c r="AA533" i="10"/>
  <c r="AJ533" i="10" l="1"/>
  <c r="AI533" i="10"/>
  <c r="AG533" i="10"/>
  <c r="AK533" i="10"/>
  <c r="AX533" i="10" s="1"/>
  <c r="AM534" i="10"/>
  <c r="S534" i="10"/>
  <c r="AB534" i="10"/>
  <c r="AV533" i="10" s="1"/>
  <c r="AC534" i="10"/>
  <c r="BA533" i="10" l="1"/>
  <c r="AD534" i="10"/>
  <c r="T534" i="10"/>
  <c r="AQ534" i="10" s="1"/>
  <c r="U534" i="10"/>
  <c r="W534" i="10" s="1"/>
  <c r="AP534" i="10" s="1"/>
  <c r="AH533" i="10"/>
  <c r="AO533" i="10"/>
  <c r="AY533" i="10" s="1"/>
  <c r="AL533" i="10"/>
  <c r="AN533" i="10" l="1"/>
  <c r="AW533" i="10" s="1"/>
  <c r="X534" i="10"/>
  <c r="Z534" i="10" l="1"/>
  <c r="AR534" i="10" s="1"/>
  <c r="BD533" i="10"/>
  <c r="AZ533" i="10"/>
  <c r="AA534" i="10" l="1"/>
  <c r="Q535" i="10"/>
  <c r="AM535" i="10" l="1"/>
  <c r="AB535" i="10"/>
  <c r="AV534" i="10" s="1"/>
  <c r="AC535" i="10"/>
  <c r="S535" i="10"/>
  <c r="AJ534" i="10"/>
  <c r="AI534" i="10"/>
  <c r="AG534" i="10"/>
  <c r="AK534" i="10"/>
  <c r="AX534" i="10" s="1"/>
  <c r="AL534" i="10" l="1"/>
  <c r="AH534" i="10"/>
  <c r="AN534" i="10" s="1"/>
  <c r="AW534" i="10" s="1"/>
  <c r="AO534" i="10"/>
  <c r="AY534" i="10" s="1"/>
  <c r="AD535" i="10"/>
  <c r="T535" i="10"/>
  <c r="AQ535" i="10" s="1"/>
  <c r="U535" i="10"/>
  <c r="W535" i="10" s="1"/>
  <c r="AP535" i="10" s="1"/>
  <c r="BA534" i="10"/>
  <c r="X535" i="10" l="1"/>
  <c r="BD534" i="10"/>
  <c r="AZ534" i="10"/>
  <c r="Z535" i="10" l="1"/>
  <c r="AR535" i="10" s="1"/>
  <c r="Q536" i="10" l="1"/>
  <c r="AA535" i="10"/>
  <c r="AJ535" i="10" l="1"/>
  <c r="AI535" i="10"/>
  <c r="AG535" i="10"/>
  <c r="AK535" i="10"/>
  <c r="AX535" i="10" s="1"/>
  <c r="AM536" i="10"/>
  <c r="S536" i="10"/>
  <c r="AC536" i="10"/>
  <c r="AB536" i="10"/>
  <c r="AV535" i="10" s="1"/>
  <c r="AD536" i="10" l="1"/>
  <c r="T536" i="10"/>
  <c r="AQ536" i="10" s="1"/>
  <c r="U536" i="10"/>
  <c r="W536" i="10" s="1"/>
  <c r="AP536" i="10" s="1"/>
  <c r="AH535" i="10"/>
  <c r="AO535" i="10"/>
  <c r="AY535" i="10" s="1"/>
  <c r="AL535" i="10"/>
  <c r="BA535" i="10"/>
  <c r="AN535" i="10" l="1"/>
  <c r="AW535" i="10" s="1"/>
  <c r="X536" i="10"/>
  <c r="Z536" i="10" l="1"/>
  <c r="AR536" i="10" s="1"/>
  <c r="BD535" i="10"/>
  <c r="AZ535" i="10"/>
  <c r="AA536" i="10" l="1"/>
  <c r="Q537" i="10"/>
  <c r="AM537" i="10" l="1"/>
  <c r="AB537" i="10"/>
  <c r="AV536" i="10" s="1"/>
  <c r="S537" i="10"/>
  <c r="AC537" i="10"/>
  <c r="AJ536" i="10"/>
  <c r="AI536" i="10"/>
  <c r="AG536" i="10"/>
  <c r="AK536" i="10"/>
  <c r="AX536" i="10" s="1"/>
  <c r="AH536" i="10" l="1"/>
  <c r="AO536" i="10"/>
  <c r="AY536" i="10" s="1"/>
  <c r="AL536" i="10"/>
  <c r="BA536" i="10"/>
  <c r="AD537" i="10"/>
  <c r="T537" i="10"/>
  <c r="AQ537" i="10" s="1"/>
  <c r="U537" i="10"/>
  <c r="W537" i="10" s="1"/>
  <c r="AP537" i="10" s="1"/>
  <c r="X537" i="10" l="1"/>
  <c r="AN536" i="10"/>
  <c r="AW536" i="10" s="1"/>
  <c r="BD536" i="10" l="1"/>
  <c r="AZ536" i="10"/>
  <c r="Z537" i="10"/>
  <c r="AR537" i="10" s="1"/>
  <c r="Q538" i="10" l="1"/>
  <c r="AA537" i="10"/>
  <c r="AJ537" i="10" l="1"/>
  <c r="AI537" i="10"/>
  <c r="AG537" i="10"/>
  <c r="AK537" i="10"/>
  <c r="AX537" i="10" s="1"/>
  <c r="AM538" i="10"/>
  <c r="S538" i="10"/>
  <c r="AB538" i="10"/>
  <c r="AV537" i="10" s="1"/>
  <c r="AC538" i="10"/>
  <c r="AD538" i="10" l="1"/>
  <c r="T538" i="10"/>
  <c r="AQ538" i="10" s="1"/>
  <c r="U538" i="10"/>
  <c r="W538" i="10" s="1"/>
  <c r="AP538" i="10" s="1"/>
  <c r="AH537" i="10"/>
  <c r="AO537" i="10"/>
  <c r="AY537" i="10" s="1"/>
  <c r="AL537" i="10"/>
  <c r="BA537" i="10"/>
  <c r="AN537" i="10" l="1"/>
  <c r="AW537" i="10" s="1"/>
  <c r="BD537" i="10" s="1"/>
  <c r="X538" i="10"/>
  <c r="AZ537" i="10" l="1"/>
  <c r="Z538" i="10"/>
  <c r="AR538" i="10" s="1"/>
  <c r="AA538" i="10" l="1"/>
  <c r="Q539" i="10"/>
  <c r="AM539" i="10" l="1"/>
  <c r="AB539" i="10"/>
  <c r="AV538" i="10" s="1"/>
  <c r="AC539" i="10"/>
  <c r="S539" i="10"/>
  <c r="AJ538" i="10"/>
  <c r="AI538" i="10"/>
  <c r="AG538" i="10"/>
  <c r="AK538" i="10"/>
  <c r="AX538" i="10" s="1"/>
  <c r="AL538" i="10" l="1"/>
  <c r="AD539" i="10"/>
  <c r="T539" i="10"/>
  <c r="AQ539" i="10" s="1"/>
  <c r="U539" i="10"/>
  <c r="W539" i="10" s="1"/>
  <c r="AP539" i="10" s="1"/>
  <c r="BA538" i="10"/>
  <c r="AH538" i="10"/>
  <c r="AN538" i="10" s="1"/>
  <c r="AW538" i="10" s="1"/>
  <c r="AO538" i="10"/>
  <c r="AY538" i="10" s="1"/>
  <c r="BD538" i="10" l="1"/>
  <c r="AZ538" i="10"/>
  <c r="X539" i="10"/>
  <c r="Z539" i="10" l="1"/>
  <c r="AR539" i="10" s="1"/>
  <c r="Q540" i="10" l="1"/>
  <c r="AA539" i="10"/>
  <c r="AJ539" i="10" l="1"/>
  <c r="AI539" i="10"/>
  <c r="AG539" i="10"/>
  <c r="AK539" i="10"/>
  <c r="AX539" i="10" s="1"/>
  <c r="AM540" i="10"/>
  <c r="S540" i="10"/>
  <c r="AC540" i="10"/>
  <c r="AB540" i="10"/>
  <c r="AV539" i="10" s="1"/>
  <c r="BA539" i="10" l="1"/>
  <c r="AD540" i="10"/>
  <c r="T540" i="10"/>
  <c r="AQ540" i="10" s="1"/>
  <c r="U540" i="10"/>
  <c r="W540" i="10" s="1"/>
  <c r="AP540" i="10" s="1"/>
  <c r="AH539" i="10"/>
  <c r="AO539" i="10"/>
  <c r="AY539" i="10" s="1"/>
  <c r="AL539" i="10"/>
  <c r="AN539" i="10" l="1"/>
  <c r="AW539" i="10" s="1"/>
  <c r="X540" i="10"/>
  <c r="Z540" i="10" l="1"/>
  <c r="AR540" i="10" s="1"/>
  <c r="BD539" i="10"/>
  <c r="AZ539" i="10"/>
  <c r="AA540" i="10" l="1"/>
  <c r="Q541" i="10"/>
  <c r="AM541" i="10" l="1"/>
  <c r="AB541" i="10"/>
  <c r="AV540" i="10" s="1"/>
  <c r="S541" i="10"/>
  <c r="AC541" i="10"/>
  <c r="AJ540" i="10"/>
  <c r="AI540" i="10"/>
  <c r="AG540" i="10"/>
  <c r="AK540" i="10"/>
  <c r="AX540" i="10" s="1"/>
  <c r="AL540" i="10" l="1"/>
  <c r="AH540" i="10"/>
  <c r="AO540" i="10"/>
  <c r="AY540" i="10" s="1"/>
  <c r="BA540" i="10"/>
  <c r="AD541" i="10"/>
  <c r="T541" i="10"/>
  <c r="AQ541" i="10" s="1"/>
  <c r="U541" i="10"/>
  <c r="W541" i="10" s="1"/>
  <c r="AP541" i="10" s="1"/>
  <c r="AN540" i="10" l="1"/>
  <c r="AW540" i="10" s="1"/>
  <c r="BD540" i="10" s="1"/>
  <c r="X541" i="10"/>
  <c r="AZ540" i="10"/>
  <c r="Z541" i="10" l="1"/>
  <c r="AR541" i="10" s="1"/>
  <c r="Q542" i="10" l="1"/>
  <c r="AA541" i="10"/>
  <c r="AJ541" i="10" l="1"/>
  <c r="AI541" i="10"/>
  <c r="AG541" i="10"/>
  <c r="AK541" i="10"/>
  <c r="AX541" i="10" s="1"/>
  <c r="AM542" i="10"/>
  <c r="S542" i="10"/>
  <c r="AB542" i="10"/>
  <c r="AV541" i="10" s="1"/>
  <c r="AC542" i="10"/>
  <c r="AD542" i="10" l="1"/>
  <c r="T542" i="10"/>
  <c r="AQ542" i="10" s="1"/>
  <c r="U542" i="10"/>
  <c r="W542" i="10" s="1"/>
  <c r="AP542" i="10" s="1"/>
  <c r="AH541" i="10"/>
  <c r="AO541" i="10"/>
  <c r="AY541" i="10" s="1"/>
  <c r="AL541" i="10"/>
  <c r="BA541" i="10"/>
  <c r="AN541" i="10" l="1"/>
  <c r="AW541" i="10" s="1"/>
  <c r="X542" i="10"/>
  <c r="Z542" i="10" l="1"/>
  <c r="AR542" i="10" s="1"/>
  <c r="BD541" i="10"/>
  <c r="AZ541" i="10"/>
  <c r="AA542" i="10" l="1"/>
  <c r="Q543" i="10"/>
  <c r="AM543" i="10" l="1"/>
  <c r="AB543" i="10"/>
  <c r="AV542" i="10" s="1"/>
  <c r="AC543" i="10"/>
  <c r="S543" i="10"/>
  <c r="AJ542" i="10"/>
  <c r="AI542" i="10"/>
  <c r="AG542" i="10"/>
  <c r="AK542" i="10"/>
  <c r="AX542" i="10" s="1"/>
  <c r="AH542" i="10" l="1"/>
  <c r="AO542" i="10"/>
  <c r="AY542" i="10" s="1"/>
  <c r="AL542" i="10"/>
  <c r="AD543" i="10"/>
  <c r="T543" i="10"/>
  <c r="AQ543" i="10" s="1"/>
  <c r="U543" i="10"/>
  <c r="W543" i="10" s="1"/>
  <c r="AP543" i="10" s="1"/>
  <c r="BA542" i="10"/>
  <c r="X543" i="10" l="1"/>
  <c r="AN542" i="10"/>
  <c r="AW542" i="10" s="1"/>
  <c r="Z543" i="10" l="1"/>
  <c r="AR543" i="10" s="1"/>
  <c r="BD542" i="10"/>
  <c r="AZ542" i="10"/>
  <c r="Q544" i="10" l="1"/>
  <c r="AA543" i="10"/>
  <c r="AJ543" i="10" l="1"/>
  <c r="AI543" i="10"/>
  <c r="AG543" i="10"/>
  <c r="AK543" i="10"/>
  <c r="AX543" i="10" s="1"/>
  <c r="AM544" i="10"/>
  <c r="S544" i="10"/>
  <c r="AC544" i="10"/>
  <c r="AB544" i="10"/>
  <c r="AV543" i="10" s="1"/>
  <c r="BA543" i="10" l="1"/>
  <c r="AD544" i="10"/>
  <c r="T544" i="10"/>
  <c r="AQ544" i="10" s="1"/>
  <c r="U544" i="10"/>
  <c r="W544" i="10" s="1"/>
  <c r="AP544" i="10" s="1"/>
  <c r="AH543" i="10"/>
  <c r="AO543" i="10"/>
  <c r="AY543" i="10" s="1"/>
  <c r="AL543" i="10"/>
  <c r="AN543" i="10" l="1"/>
  <c r="AW543" i="10" s="1"/>
  <c r="BD543" i="10" s="1"/>
  <c r="AZ543" i="10"/>
  <c r="X544" i="10"/>
  <c r="Z544" i="10" l="1"/>
  <c r="AR544" i="10" s="1"/>
  <c r="AA544" i="10" l="1"/>
  <c r="Q545" i="10"/>
  <c r="AM545" i="10" l="1"/>
  <c r="AB545" i="10"/>
  <c r="AV544" i="10" s="1"/>
  <c r="S545" i="10"/>
  <c r="AC545" i="10"/>
  <c r="AJ544" i="10"/>
  <c r="AI544" i="10"/>
  <c r="AG544" i="10"/>
  <c r="AK544" i="10"/>
  <c r="AX544" i="10" s="1"/>
  <c r="AL544" i="10" l="1"/>
  <c r="BA544" i="10"/>
  <c r="AD545" i="10"/>
  <c r="T545" i="10"/>
  <c r="AQ545" i="10" s="1"/>
  <c r="U545" i="10"/>
  <c r="W545" i="10" s="1"/>
  <c r="AP545" i="10" s="1"/>
  <c r="AH544" i="10"/>
  <c r="AN544" i="10" s="1"/>
  <c r="AW544" i="10" s="1"/>
  <c r="AO544" i="10"/>
  <c r="AY544" i="10" s="1"/>
  <c r="BD544" i="10" l="1"/>
  <c r="AZ544" i="10"/>
  <c r="X545" i="10"/>
  <c r="Z545" i="10" l="1"/>
  <c r="AR545" i="10" s="1"/>
  <c r="Q546" i="10" l="1"/>
  <c r="AA545" i="10"/>
  <c r="AJ545" i="10" l="1"/>
  <c r="AI545" i="10"/>
  <c r="AG545" i="10"/>
  <c r="AK545" i="10"/>
  <c r="AX545" i="10" s="1"/>
  <c r="AM546" i="10"/>
  <c r="S546" i="10"/>
  <c r="AB546" i="10"/>
  <c r="AV545" i="10" s="1"/>
  <c r="AC546" i="10"/>
  <c r="BA545" i="10" l="1"/>
  <c r="AD546" i="10"/>
  <c r="T546" i="10"/>
  <c r="AQ546" i="10" s="1"/>
  <c r="U546" i="10"/>
  <c r="W546" i="10" s="1"/>
  <c r="AP546" i="10" s="1"/>
  <c r="AH545" i="10"/>
  <c r="AO545" i="10"/>
  <c r="AY545" i="10" s="1"/>
  <c r="AL545" i="10"/>
  <c r="AN545" i="10" l="1"/>
  <c r="AW545" i="10" s="1"/>
  <c r="X546" i="10"/>
  <c r="Z546" i="10" l="1"/>
  <c r="AR546" i="10" s="1"/>
  <c r="BD545" i="10"/>
  <c r="AZ545" i="10"/>
  <c r="AA546" i="10" l="1"/>
  <c r="Q547" i="10"/>
  <c r="AM547" i="10" l="1"/>
  <c r="AB547" i="10"/>
  <c r="AV546" i="10" s="1"/>
  <c r="AC547" i="10"/>
  <c r="S547" i="10"/>
  <c r="AJ546" i="10"/>
  <c r="AI546" i="10"/>
  <c r="AG546" i="10"/>
  <c r="AK546" i="10"/>
  <c r="AX546" i="10" s="1"/>
  <c r="AH546" i="10" l="1"/>
  <c r="AO546" i="10"/>
  <c r="AY546" i="10" s="1"/>
  <c r="AL546" i="10"/>
  <c r="AD547" i="10"/>
  <c r="T547" i="10"/>
  <c r="AQ547" i="10" s="1"/>
  <c r="U547" i="10"/>
  <c r="W547" i="10" s="1"/>
  <c r="AP547" i="10" s="1"/>
  <c r="BA546" i="10"/>
  <c r="AN546" i="10" l="1"/>
  <c r="AW546" i="10" s="1"/>
  <c r="X547" i="10"/>
  <c r="Z547" i="10" l="1"/>
  <c r="AR547" i="10" s="1"/>
  <c r="BD546" i="10"/>
  <c r="AZ546" i="10"/>
  <c r="Q548" i="10" l="1"/>
  <c r="AA547" i="10"/>
  <c r="AM548" i="10" l="1"/>
  <c r="S548" i="10"/>
  <c r="AC548" i="10"/>
  <c r="AB548" i="10"/>
  <c r="AV547" i="10" s="1"/>
  <c r="AJ547" i="10"/>
  <c r="AI547" i="10"/>
  <c r="AG547" i="10"/>
  <c r="AK547" i="10"/>
  <c r="AX547" i="10" s="1"/>
  <c r="AL547" i="10" l="1"/>
  <c r="AH547" i="10"/>
  <c r="AN547" i="10" s="1"/>
  <c r="AW547" i="10" s="1"/>
  <c r="AO547" i="10"/>
  <c r="AY547" i="10" s="1"/>
  <c r="BA547" i="10"/>
  <c r="AD548" i="10"/>
  <c r="T548" i="10"/>
  <c r="AQ548" i="10" s="1"/>
  <c r="U548" i="10"/>
  <c r="W548" i="10" s="1"/>
  <c r="AP548" i="10" s="1"/>
  <c r="X548" i="10" l="1"/>
  <c r="BD547" i="10"/>
  <c r="AZ547" i="10"/>
  <c r="Z548" i="10" l="1"/>
  <c r="AR548" i="10" s="1"/>
  <c r="AA548" i="10" l="1"/>
  <c r="Q549" i="10"/>
  <c r="AM549" i="10" l="1"/>
  <c r="AB549" i="10"/>
  <c r="AV548" i="10" s="1"/>
  <c r="S549" i="10"/>
  <c r="AC549" i="10"/>
  <c r="AJ548" i="10"/>
  <c r="AI548" i="10"/>
  <c r="AG548" i="10"/>
  <c r="AK548" i="10"/>
  <c r="AX548" i="10" s="1"/>
  <c r="AH548" i="10" l="1"/>
  <c r="AO548" i="10"/>
  <c r="AY548" i="10" s="1"/>
  <c r="AL548" i="10"/>
  <c r="BA548" i="10"/>
  <c r="AD549" i="10"/>
  <c r="T549" i="10"/>
  <c r="AQ549" i="10" s="1"/>
  <c r="U549" i="10"/>
  <c r="W549" i="10" s="1"/>
  <c r="AP549" i="10" s="1"/>
  <c r="X549" i="10" l="1"/>
  <c r="AN548" i="10"/>
  <c r="AW548" i="10" s="1"/>
  <c r="BD548" i="10" l="1"/>
  <c r="AZ548" i="10"/>
  <c r="Z549" i="10"/>
  <c r="AR549" i="10" s="1"/>
  <c r="Q550" i="10" l="1"/>
  <c r="AA549" i="10"/>
  <c r="AJ549" i="10" l="1"/>
  <c r="AI549" i="10"/>
  <c r="AG549" i="10"/>
  <c r="AK549" i="10"/>
  <c r="AX549" i="10" s="1"/>
  <c r="AM550" i="10"/>
  <c r="S550" i="10"/>
  <c r="AB550" i="10"/>
  <c r="AV549" i="10" s="1"/>
  <c r="AC550" i="10"/>
  <c r="BA549" i="10" l="1"/>
  <c r="AD550" i="10"/>
  <c r="T550" i="10"/>
  <c r="AQ550" i="10" s="1"/>
  <c r="U550" i="10"/>
  <c r="W550" i="10" s="1"/>
  <c r="AP550" i="10" s="1"/>
  <c r="AH549" i="10"/>
  <c r="AO549" i="10"/>
  <c r="AY549" i="10" s="1"/>
  <c r="AL549" i="10"/>
  <c r="AN549" i="10" l="1"/>
  <c r="AW549" i="10" s="1"/>
  <c r="X550" i="10"/>
  <c r="Z550" i="10" l="1"/>
  <c r="AR550" i="10" s="1"/>
  <c r="BD549" i="10"/>
  <c r="AZ549" i="10"/>
  <c r="AA550" i="10" l="1"/>
  <c r="Q551" i="10"/>
  <c r="AM551" i="10" l="1"/>
  <c r="AB551" i="10"/>
  <c r="AV550" i="10" s="1"/>
  <c r="AC551" i="10"/>
  <c r="S551" i="10"/>
  <c r="AJ550" i="10"/>
  <c r="AI550" i="10"/>
  <c r="AG550" i="10"/>
  <c r="AK550" i="10"/>
  <c r="AX550" i="10" s="1"/>
  <c r="AL550" i="10" l="1"/>
  <c r="AD551" i="10"/>
  <c r="T551" i="10"/>
  <c r="AQ551" i="10" s="1"/>
  <c r="U551" i="10"/>
  <c r="W551" i="10" s="1"/>
  <c r="AP551" i="10" s="1"/>
  <c r="BA550" i="10"/>
  <c r="AH550" i="10"/>
  <c r="AN550" i="10" s="1"/>
  <c r="AW550" i="10" s="1"/>
  <c r="AO550" i="10"/>
  <c r="AY550" i="10" s="1"/>
  <c r="BD550" i="10" l="1"/>
  <c r="AZ550" i="10"/>
  <c r="X551" i="10"/>
  <c r="Z551" i="10" l="1"/>
  <c r="AR551" i="10" s="1"/>
  <c r="Q552" i="10" l="1"/>
  <c r="AA551" i="10"/>
  <c r="AJ551" i="10" l="1"/>
  <c r="AI551" i="10"/>
  <c r="AG551" i="10"/>
  <c r="AK551" i="10"/>
  <c r="AX551" i="10" s="1"/>
  <c r="AM552" i="10"/>
  <c r="S552" i="10"/>
  <c r="AC552" i="10"/>
  <c r="AB552" i="10"/>
  <c r="AV551" i="10" s="1"/>
  <c r="BA551" i="10" l="1"/>
  <c r="AD552" i="10"/>
  <c r="T552" i="10"/>
  <c r="AQ552" i="10" s="1"/>
  <c r="U552" i="10"/>
  <c r="W552" i="10" s="1"/>
  <c r="AP552" i="10" s="1"/>
  <c r="AH551" i="10"/>
  <c r="AO551" i="10"/>
  <c r="AY551" i="10" s="1"/>
  <c r="AL551" i="10"/>
  <c r="AN551" i="10" l="1"/>
  <c r="AW551" i="10" s="1"/>
  <c r="X552" i="10"/>
  <c r="Z552" i="10" l="1"/>
  <c r="AR552" i="10" s="1"/>
  <c r="BD551" i="10"/>
  <c r="AZ551" i="10"/>
  <c r="AA552" i="10" l="1"/>
  <c r="Q553" i="10"/>
  <c r="AM553" i="10" l="1"/>
  <c r="AB553" i="10"/>
  <c r="AV552" i="10" s="1"/>
  <c r="S553" i="10"/>
  <c r="AC553" i="10"/>
  <c r="AJ552" i="10"/>
  <c r="AI552" i="10"/>
  <c r="AG552" i="10"/>
  <c r="AK552" i="10"/>
  <c r="AX552" i="10" s="1"/>
  <c r="AL552" i="10" l="1"/>
  <c r="AH552" i="10"/>
  <c r="AN552" i="10" s="1"/>
  <c r="AW552" i="10" s="1"/>
  <c r="AO552" i="10"/>
  <c r="AY552" i="10" s="1"/>
  <c r="BA552" i="10"/>
  <c r="AD553" i="10"/>
  <c r="T553" i="10"/>
  <c r="AQ553" i="10" s="1"/>
  <c r="U553" i="10"/>
  <c r="W553" i="10" s="1"/>
  <c r="AP553" i="10" s="1"/>
  <c r="X553" i="10" l="1"/>
  <c r="BD552" i="10"/>
  <c r="AZ552" i="10"/>
  <c r="Z553" i="10" l="1"/>
  <c r="AR553" i="10" s="1"/>
  <c r="Q554" i="10" l="1"/>
  <c r="AA553" i="10"/>
  <c r="AJ553" i="10" l="1"/>
  <c r="AI553" i="10"/>
  <c r="AG553" i="10"/>
  <c r="AK553" i="10"/>
  <c r="AX553" i="10" s="1"/>
  <c r="AM554" i="10"/>
  <c r="S554" i="10"/>
  <c r="AB554" i="10"/>
  <c r="AV553" i="10" s="1"/>
  <c r="AC554" i="10"/>
  <c r="AD554" i="10" l="1"/>
  <c r="T554" i="10"/>
  <c r="AQ554" i="10" s="1"/>
  <c r="U554" i="10"/>
  <c r="W554" i="10" s="1"/>
  <c r="AP554" i="10" s="1"/>
  <c r="AH553" i="10"/>
  <c r="AO553" i="10"/>
  <c r="AY553" i="10" s="1"/>
  <c r="AL553" i="10"/>
  <c r="BA553" i="10"/>
  <c r="AN553" i="10" l="1"/>
  <c r="AW553" i="10" s="1"/>
  <c r="X554" i="10"/>
  <c r="Z554" i="10" l="1"/>
  <c r="AR554" i="10" s="1"/>
  <c r="BD553" i="10"/>
  <c r="AZ553" i="10"/>
  <c r="AA554" i="10" l="1"/>
  <c r="Q555" i="10"/>
  <c r="AM555" i="10" l="1"/>
  <c r="AB555" i="10"/>
  <c r="AV554" i="10" s="1"/>
  <c r="AC555" i="10"/>
  <c r="S555" i="10"/>
  <c r="AJ554" i="10"/>
  <c r="AI554" i="10"/>
  <c r="AG554" i="10"/>
  <c r="AK554" i="10"/>
  <c r="AX554" i="10" s="1"/>
  <c r="AH554" i="10" l="1"/>
  <c r="AO554" i="10"/>
  <c r="AY554" i="10" s="1"/>
  <c r="AL554" i="10"/>
  <c r="AD555" i="10"/>
  <c r="T555" i="10"/>
  <c r="AQ555" i="10" s="1"/>
  <c r="U555" i="10"/>
  <c r="W555" i="10" s="1"/>
  <c r="AP555" i="10" s="1"/>
  <c r="BA554" i="10"/>
  <c r="X555" i="10" l="1"/>
  <c r="AN554" i="10"/>
  <c r="AW554" i="10" s="1"/>
  <c r="BD554" i="10" l="1"/>
  <c r="AZ554" i="10"/>
  <c r="Z555" i="10"/>
  <c r="AR555" i="10" s="1"/>
  <c r="Q556" i="10" l="1"/>
  <c r="AA555" i="10"/>
  <c r="AJ555" i="10" l="1"/>
  <c r="AI555" i="10"/>
  <c r="AG555" i="10"/>
  <c r="AK555" i="10"/>
  <c r="AX555" i="10" s="1"/>
  <c r="AM556" i="10"/>
  <c r="S556" i="10"/>
  <c r="AC556" i="10"/>
  <c r="AB556" i="10"/>
  <c r="AV555" i="10" s="1"/>
  <c r="BA555" i="10" l="1"/>
  <c r="AD556" i="10"/>
  <c r="T556" i="10"/>
  <c r="AQ556" i="10" s="1"/>
  <c r="U556" i="10"/>
  <c r="W556" i="10" s="1"/>
  <c r="AP556" i="10" s="1"/>
  <c r="AH555" i="10"/>
  <c r="AO555" i="10"/>
  <c r="AY555" i="10" s="1"/>
  <c r="AL555" i="10"/>
  <c r="AN555" i="10" l="1"/>
  <c r="AW555" i="10" s="1"/>
  <c r="BD555" i="10" s="1"/>
  <c r="X556" i="10"/>
  <c r="AZ555" i="10" l="1"/>
  <c r="Z556" i="10"/>
  <c r="AR556" i="10" s="1"/>
  <c r="AA556" i="10" l="1"/>
  <c r="Q557" i="10"/>
  <c r="AM557" i="10" l="1"/>
  <c r="AB557" i="10"/>
  <c r="AV556" i="10" s="1"/>
  <c r="S557" i="10"/>
  <c r="AC557" i="10"/>
  <c r="AJ556" i="10"/>
  <c r="AI556" i="10"/>
  <c r="AG556" i="10"/>
  <c r="AK556" i="10"/>
  <c r="AX556" i="10" s="1"/>
  <c r="AL556" i="10" l="1"/>
  <c r="BA556" i="10"/>
  <c r="AD557" i="10"/>
  <c r="T557" i="10"/>
  <c r="AQ557" i="10" s="1"/>
  <c r="U557" i="10"/>
  <c r="W557" i="10" s="1"/>
  <c r="AP557" i="10" s="1"/>
  <c r="AH556" i="10"/>
  <c r="AN556" i="10" s="1"/>
  <c r="AW556" i="10" s="1"/>
  <c r="AO556" i="10"/>
  <c r="AY556" i="10" s="1"/>
  <c r="BD556" i="10" l="1"/>
  <c r="AZ556" i="10"/>
  <c r="X557" i="10"/>
  <c r="Z557" i="10" l="1"/>
  <c r="AR557" i="10" s="1"/>
  <c r="Q558" i="10" l="1"/>
  <c r="AA557" i="10"/>
  <c r="AJ557" i="10" l="1"/>
  <c r="AI557" i="10"/>
  <c r="AG557" i="10"/>
  <c r="AK557" i="10"/>
  <c r="AX557" i="10" s="1"/>
  <c r="AM558" i="10"/>
  <c r="S558" i="10"/>
  <c r="AB558" i="10"/>
  <c r="AV557" i="10" s="1"/>
  <c r="AC558" i="10"/>
  <c r="BA557" i="10" l="1"/>
  <c r="AD558" i="10"/>
  <c r="T558" i="10"/>
  <c r="AQ558" i="10" s="1"/>
  <c r="U558" i="10"/>
  <c r="W558" i="10" s="1"/>
  <c r="AP558" i="10" s="1"/>
  <c r="AH557" i="10"/>
  <c r="AO557" i="10"/>
  <c r="AY557" i="10" s="1"/>
  <c r="AL557" i="10"/>
  <c r="AN557" i="10" l="1"/>
  <c r="AW557" i="10" s="1"/>
  <c r="X558" i="10"/>
  <c r="BD557" i="10" l="1"/>
  <c r="AZ557" i="10"/>
  <c r="Z558" i="10"/>
  <c r="AR558" i="10" s="1"/>
  <c r="AA558" i="10" l="1"/>
  <c r="Q559" i="10"/>
  <c r="AM559" i="10" l="1"/>
  <c r="AB559" i="10"/>
  <c r="AV558" i="10" s="1"/>
  <c r="AC559" i="10"/>
  <c r="S559" i="10"/>
  <c r="AJ558" i="10"/>
  <c r="AI558" i="10"/>
  <c r="AG558" i="10"/>
  <c r="AK558" i="10"/>
  <c r="AX558" i="10" s="1"/>
  <c r="AH558" i="10" l="1"/>
  <c r="AO558" i="10"/>
  <c r="AY558" i="10" s="1"/>
  <c r="AL558" i="10"/>
  <c r="AD559" i="10"/>
  <c r="T559" i="10"/>
  <c r="AQ559" i="10" s="1"/>
  <c r="U559" i="10"/>
  <c r="W559" i="10" s="1"/>
  <c r="AP559" i="10" s="1"/>
  <c r="BA558" i="10"/>
  <c r="X559" i="10" l="1"/>
  <c r="AN558" i="10"/>
  <c r="AW558" i="10" s="1"/>
  <c r="BD558" i="10" l="1"/>
  <c r="AZ558" i="10"/>
  <c r="Z559" i="10"/>
  <c r="AR559" i="10" s="1"/>
  <c r="Q560" i="10" l="1"/>
  <c r="AA559" i="10"/>
  <c r="AJ559" i="10" l="1"/>
  <c r="AI559" i="10"/>
  <c r="AG559" i="10"/>
  <c r="AK559" i="10"/>
  <c r="AX559" i="10" s="1"/>
  <c r="AM560" i="10"/>
  <c r="S560" i="10"/>
  <c r="AC560" i="10"/>
  <c r="AB560" i="10"/>
  <c r="AV559" i="10" s="1"/>
  <c r="AD560" i="10" l="1"/>
  <c r="T560" i="10"/>
  <c r="AQ560" i="10" s="1"/>
  <c r="U560" i="10"/>
  <c r="W560" i="10" s="1"/>
  <c r="AP560" i="10" s="1"/>
  <c r="AH559" i="10"/>
  <c r="AO559" i="10"/>
  <c r="AY559" i="10" s="1"/>
  <c r="AL559" i="10"/>
  <c r="BA559" i="10"/>
  <c r="AN559" i="10" l="1"/>
  <c r="AW559" i="10" s="1"/>
  <c r="X560" i="10"/>
  <c r="Z560" i="10" l="1"/>
  <c r="AR560" i="10" s="1"/>
  <c r="BD559" i="10"/>
  <c r="AZ559" i="10"/>
  <c r="AA560" i="10" l="1"/>
  <c r="Q561" i="10"/>
  <c r="AM561" i="10" l="1"/>
  <c r="AB561" i="10"/>
  <c r="AV560" i="10" s="1"/>
  <c r="S561" i="10"/>
  <c r="AC561" i="10"/>
  <c r="AJ560" i="10"/>
  <c r="AI560" i="10"/>
  <c r="AG560" i="10"/>
  <c r="AK560" i="10"/>
  <c r="AX560" i="10" s="1"/>
  <c r="AH560" i="10" l="1"/>
  <c r="AO560" i="10"/>
  <c r="AY560" i="10" s="1"/>
  <c r="AL560" i="10"/>
  <c r="BA560" i="10"/>
  <c r="AD561" i="10"/>
  <c r="T561" i="10"/>
  <c r="AQ561" i="10" s="1"/>
  <c r="U561" i="10"/>
  <c r="W561" i="10" s="1"/>
  <c r="AP561" i="10" s="1"/>
  <c r="X561" i="10" l="1"/>
  <c r="AN560" i="10"/>
  <c r="AW560" i="10" s="1"/>
  <c r="BD560" i="10" l="1"/>
  <c r="AZ560" i="10"/>
  <c r="Z561" i="10"/>
  <c r="AR561" i="10" s="1"/>
  <c r="Q562" i="10" l="1"/>
  <c r="AA561" i="10"/>
  <c r="AJ561" i="10" l="1"/>
  <c r="AI561" i="10"/>
  <c r="AG561" i="10"/>
  <c r="AK561" i="10"/>
  <c r="AX561" i="10" s="1"/>
  <c r="AM562" i="10"/>
  <c r="S562" i="10"/>
  <c r="AB562" i="10"/>
  <c r="AV561" i="10" s="1"/>
  <c r="AC562" i="10"/>
  <c r="AD562" i="10" l="1"/>
  <c r="T562" i="10"/>
  <c r="AQ562" i="10" s="1"/>
  <c r="U562" i="10"/>
  <c r="W562" i="10" s="1"/>
  <c r="AP562" i="10" s="1"/>
  <c r="AH561" i="10"/>
  <c r="AO561" i="10"/>
  <c r="AY561" i="10" s="1"/>
  <c r="AL561" i="10"/>
  <c r="BA561" i="10"/>
  <c r="AN561" i="10" l="1"/>
  <c r="AW561" i="10" s="1"/>
  <c r="BD561" i="10" s="1"/>
  <c r="AZ561" i="10"/>
  <c r="X562" i="10"/>
  <c r="Z562" i="10" l="1"/>
  <c r="AR562" i="10" s="1"/>
  <c r="AA562" i="10" l="1"/>
  <c r="Q563" i="10"/>
  <c r="AM563" i="10" l="1"/>
  <c r="AB563" i="10"/>
  <c r="AV562" i="10" s="1"/>
  <c r="AC563" i="10"/>
  <c r="S563" i="10"/>
  <c r="AJ562" i="10"/>
  <c r="AI562" i="10"/>
  <c r="AG562" i="10"/>
  <c r="AK562" i="10"/>
  <c r="AX562" i="10" s="1"/>
  <c r="AL562" i="10" l="1"/>
  <c r="AD563" i="10"/>
  <c r="T563" i="10"/>
  <c r="AQ563" i="10" s="1"/>
  <c r="U563" i="10"/>
  <c r="W563" i="10" s="1"/>
  <c r="AP563" i="10" s="1"/>
  <c r="BA562" i="10"/>
  <c r="AH562" i="10"/>
  <c r="AN562" i="10" s="1"/>
  <c r="AW562" i="10" s="1"/>
  <c r="AO562" i="10"/>
  <c r="AY562" i="10" s="1"/>
  <c r="BD562" i="10" l="1"/>
  <c r="AZ562" i="10"/>
  <c r="X563" i="10"/>
  <c r="Z563" i="10" l="1"/>
  <c r="AR563" i="10" s="1"/>
  <c r="Q564" i="10" l="1"/>
  <c r="AA563" i="10"/>
  <c r="AJ563" i="10" l="1"/>
  <c r="AI563" i="10"/>
  <c r="AG563" i="10"/>
  <c r="AK563" i="10"/>
  <c r="AX563" i="10" s="1"/>
  <c r="AM564" i="10"/>
  <c r="S564" i="10"/>
  <c r="AC564" i="10"/>
  <c r="AB564" i="10"/>
  <c r="AV563" i="10" s="1"/>
  <c r="BA563" i="10" l="1"/>
  <c r="AD564" i="10"/>
  <c r="T564" i="10"/>
  <c r="AQ564" i="10" s="1"/>
  <c r="U564" i="10"/>
  <c r="W564" i="10" s="1"/>
  <c r="AP564" i="10" s="1"/>
  <c r="AH563" i="10"/>
  <c r="AO563" i="10"/>
  <c r="AY563" i="10" s="1"/>
  <c r="AL563" i="10"/>
  <c r="AN563" i="10" l="1"/>
  <c r="AW563" i="10" s="1"/>
  <c r="X564" i="10"/>
  <c r="Z564" i="10" l="1"/>
  <c r="AR564" i="10" s="1"/>
  <c r="BD563" i="10"/>
  <c r="AZ563" i="10"/>
  <c r="AA564" i="10" l="1"/>
  <c r="Q565" i="10"/>
  <c r="AC565" i="10" l="1"/>
  <c r="AB565" i="10"/>
  <c r="AV564" i="10" s="1"/>
  <c r="S565" i="10"/>
  <c r="AM565" i="10"/>
  <c r="AJ564" i="10"/>
  <c r="AI564" i="10"/>
  <c r="AG564" i="10"/>
  <c r="AK564" i="10"/>
  <c r="AX564" i="10" s="1"/>
  <c r="AH564" i="10" l="1"/>
  <c r="AO564" i="10"/>
  <c r="AY564" i="10" s="1"/>
  <c r="AL564" i="10"/>
  <c r="AD565" i="10"/>
  <c r="T565" i="10"/>
  <c r="AQ565" i="10" s="1"/>
  <c r="U565" i="10"/>
  <c r="W565" i="10" s="1"/>
  <c r="AP565" i="10" s="1"/>
  <c r="BA564" i="10"/>
  <c r="X565" i="10" l="1"/>
  <c r="AN564" i="10"/>
  <c r="AW564" i="10" s="1"/>
  <c r="BD564" i="10" l="1"/>
  <c r="AZ564" i="10"/>
  <c r="Z565" i="10"/>
  <c r="AR565" i="10" s="1"/>
  <c r="AA565" i="10" l="1"/>
  <c r="Q566" i="10"/>
  <c r="AC566" i="10" l="1"/>
  <c r="AB566" i="10"/>
  <c r="AV565" i="10" s="1"/>
  <c r="S566" i="10"/>
  <c r="AM566" i="10"/>
  <c r="AJ565" i="10"/>
  <c r="AI565" i="10"/>
  <c r="AG565" i="10"/>
  <c r="AK565" i="10"/>
  <c r="AX565" i="10" s="1"/>
  <c r="AL565" i="10" l="1"/>
  <c r="AH565" i="10"/>
  <c r="AN565" i="10" s="1"/>
  <c r="AW565" i="10" s="1"/>
  <c r="AO565" i="10"/>
  <c r="AY565" i="10" s="1"/>
  <c r="AD566" i="10"/>
  <c r="T566" i="10"/>
  <c r="AQ566" i="10" s="1"/>
  <c r="U566" i="10"/>
  <c r="W566" i="10" s="1"/>
  <c r="AP566" i="10" s="1"/>
  <c r="BA565" i="10"/>
  <c r="X566" i="10" l="1"/>
  <c r="AZ565" i="10"/>
  <c r="BD565" i="10"/>
  <c r="Z566" i="10" l="1"/>
  <c r="AR566" i="10" s="1"/>
  <c r="Q567" i="10" l="1"/>
  <c r="AA566" i="10"/>
  <c r="AI566" i="10" l="1"/>
  <c r="AJ566" i="10"/>
  <c r="AG566" i="10"/>
  <c r="AK566" i="10"/>
  <c r="AX566" i="10" s="1"/>
  <c r="AC567" i="10"/>
  <c r="BA566" i="10" s="1"/>
  <c r="AM567" i="10"/>
  <c r="AB567" i="10"/>
  <c r="AV566" i="10" s="1"/>
  <c r="S567" i="10"/>
  <c r="AD567" i="10" l="1"/>
  <c r="T567" i="10"/>
  <c r="AQ567" i="10" s="1"/>
  <c r="U567" i="10"/>
  <c r="W567" i="10" s="1"/>
  <c r="AP567" i="10" s="1"/>
  <c r="AO566" i="10"/>
  <c r="AY566" i="10" s="1"/>
  <c r="AH566" i="10"/>
  <c r="AL566" i="10"/>
  <c r="AN566" i="10" l="1"/>
  <c r="AW566" i="10" s="1"/>
  <c r="X567" i="10"/>
  <c r="Z567" i="10" l="1"/>
  <c r="AR567" i="10" s="1"/>
  <c r="AZ566" i="10"/>
  <c r="BD566" i="10"/>
  <c r="Q568" i="10" l="1"/>
  <c r="AA567" i="10"/>
  <c r="AJ567" i="10" l="1"/>
  <c r="AI567" i="10"/>
  <c r="AG567" i="10"/>
  <c r="AK567" i="10"/>
  <c r="AX567" i="10" s="1"/>
  <c r="AC568" i="10"/>
  <c r="BA567" i="10" s="1"/>
  <c r="AM568" i="10"/>
  <c r="AB568" i="10"/>
  <c r="AV567" i="10" s="1"/>
  <c r="S568" i="10"/>
  <c r="AO567" i="10" l="1"/>
  <c r="AY567" i="10" s="1"/>
  <c r="AH567" i="10"/>
  <c r="AL567" i="10"/>
  <c r="AD568" i="10"/>
  <c r="T568" i="10"/>
  <c r="AQ568" i="10" s="1"/>
  <c r="U568" i="10"/>
  <c r="W568" i="10" s="1"/>
  <c r="AP568" i="10" s="1"/>
  <c r="X568" i="10" l="1"/>
  <c r="AN567" i="10"/>
  <c r="AW567" i="10" s="1"/>
  <c r="AZ567" i="10" l="1"/>
  <c r="BD567" i="10"/>
  <c r="Z568" i="10"/>
  <c r="AR568" i="10" s="1"/>
  <c r="Q569" i="10" l="1"/>
  <c r="AA568" i="10"/>
  <c r="AI568" i="10" l="1"/>
  <c r="AJ568" i="10"/>
  <c r="AG568" i="10"/>
  <c r="AK568" i="10"/>
  <c r="AX568" i="10" s="1"/>
  <c r="AC569" i="10"/>
  <c r="BA568" i="10" s="1"/>
  <c r="AM569" i="10"/>
  <c r="AB569" i="10"/>
  <c r="AV568" i="10" s="1"/>
  <c r="S569" i="10"/>
  <c r="AD569" i="10" l="1"/>
  <c r="T569" i="10"/>
  <c r="AQ569" i="10" s="1"/>
  <c r="U569" i="10"/>
  <c r="W569" i="10" s="1"/>
  <c r="AP569" i="10" s="1"/>
  <c r="AO568" i="10"/>
  <c r="AY568" i="10" s="1"/>
  <c r="AH568" i="10"/>
  <c r="AL568" i="10"/>
  <c r="AN568" i="10" l="1"/>
  <c r="AW568" i="10" s="1"/>
  <c r="X569" i="10"/>
  <c r="BD568" i="10" l="1"/>
  <c r="AZ568" i="10"/>
  <c r="Z569" i="10"/>
  <c r="AR569" i="10" s="1"/>
  <c r="AA569" i="10" l="1"/>
  <c r="Q570" i="10"/>
  <c r="AC570" i="10" l="1"/>
  <c r="AB570" i="10"/>
  <c r="AV569" i="10" s="1"/>
  <c r="S570" i="10"/>
  <c r="AM570" i="10"/>
  <c r="AJ569" i="10"/>
  <c r="AI569" i="10"/>
  <c r="AG569" i="10"/>
  <c r="AK569" i="10"/>
  <c r="AX569" i="10" s="1"/>
  <c r="AL569" i="10" l="1"/>
  <c r="AO569" i="10"/>
  <c r="AY569" i="10" s="1"/>
  <c r="AH569" i="10"/>
  <c r="T570" i="10"/>
  <c r="AQ570" i="10" s="1"/>
  <c r="AD570" i="10"/>
  <c r="U570" i="10"/>
  <c r="W570" i="10" s="1"/>
  <c r="AP570" i="10" s="1"/>
  <c r="BA569" i="10"/>
  <c r="AN569" i="10" l="1"/>
  <c r="AW569" i="10" s="1"/>
  <c r="BD569" i="10"/>
  <c r="AZ569" i="10"/>
  <c r="X570" i="10"/>
  <c r="Z570" i="10" l="1"/>
  <c r="AR570" i="10" s="1"/>
  <c r="AA570" i="10" l="1"/>
  <c r="Q571" i="10"/>
  <c r="AC571" i="10" l="1"/>
  <c r="AM571" i="10"/>
  <c r="S571" i="10"/>
  <c r="AB571" i="10"/>
  <c r="AV570" i="10" s="1"/>
  <c r="AJ570" i="10"/>
  <c r="AI570" i="10"/>
  <c r="AG570" i="10"/>
  <c r="AK570" i="10"/>
  <c r="AX570" i="10" s="1"/>
  <c r="AL570" i="10" l="1"/>
  <c r="AO570" i="10"/>
  <c r="AY570" i="10" s="1"/>
  <c r="AH570" i="10"/>
  <c r="AD571" i="10"/>
  <c r="T571" i="10"/>
  <c r="AQ571" i="10" s="1"/>
  <c r="U571" i="10"/>
  <c r="W571" i="10" s="1"/>
  <c r="AP571" i="10" s="1"/>
  <c r="BA570" i="10"/>
  <c r="AN570" i="10" l="1"/>
  <c r="AW570" i="10" s="1"/>
  <c r="X571" i="10"/>
  <c r="BD570" i="10"/>
  <c r="AZ570" i="10"/>
  <c r="Z571" i="10" l="1"/>
  <c r="AR571" i="10" s="1"/>
  <c r="AA571" i="10" l="1"/>
  <c r="Q572" i="10"/>
  <c r="AC572" i="10" l="1"/>
  <c r="AB572" i="10"/>
  <c r="AV571" i="10" s="1"/>
  <c r="S572" i="10"/>
  <c r="AM572" i="10"/>
  <c r="AJ571" i="10"/>
  <c r="AI571" i="10"/>
  <c r="AG571" i="10"/>
  <c r="AK571" i="10"/>
  <c r="AX571" i="10" s="1"/>
  <c r="AH571" i="10" l="1"/>
  <c r="AO571" i="10"/>
  <c r="AY571" i="10" s="1"/>
  <c r="AL571" i="10"/>
  <c r="T572" i="10"/>
  <c r="AQ572" i="10" s="1"/>
  <c r="AD572" i="10"/>
  <c r="U572" i="10"/>
  <c r="W572" i="10" s="1"/>
  <c r="AP572" i="10" s="1"/>
  <c r="BA571" i="10"/>
  <c r="X572" i="10" l="1"/>
  <c r="AN571" i="10"/>
  <c r="AW571" i="10" s="1"/>
  <c r="AZ571" i="10" l="1"/>
  <c r="BD571" i="10"/>
  <c r="Z572" i="10"/>
  <c r="AR572" i="10" s="1"/>
  <c r="AA572" i="10" l="1"/>
  <c r="Q573" i="10"/>
  <c r="AC573" i="10" l="1"/>
  <c r="AM573" i="10"/>
  <c r="S573" i="10"/>
  <c r="AB573" i="10"/>
  <c r="AV572" i="10" s="1"/>
  <c r="AI572" i="10"/>
  <c r="AJ572" i="10"/>
  <c r="AG572" i="10"/>
  <c r="AK572" i="10"/>
  <c r="AX572" i="10" s="1"/>
  <c r="AL572" i="10" l="1"/>
  <c r="AH572" i="10"/>
  <c r="AO572" i="10"/>
  <c r="AY572" i="10" s="1"/>
  <c r="T573" i="10"/>
  <c r="AQ573" i="10" s="1"/>
  <c r="AD573" i="10"/>
  <c r="U573" i="10"/>
  <c r="W573" i="10" s="1"/>
  <c r="AP573" i="10" s="1"/>
  <c r="BA572" i="10"/>
  <c r="AN572" i="10" l="1"/>
  <c r="AW572" i="10" s="1"/>
  <c r="X573" i="10"/>
  <c r="AZ572" i="10"/>
  <c r="BD572" i="10"/>
  <c r="Z573" i="10" l="1"/>
  <c r="AR573" i="10" s="1"/>
  <c r="AA573" i="10" l="1"/>
  <c r="Q574" i="10"/>
  <c r="AC574" i="10" l="1"/>
  <c r="S574" i="10"/>
  <c r="AB574" i="10"/>
  <c r="AV573" i="10" s="1"/>
  <c r="AM574" i="10"/>
  <c r="AJ573" i="10"/>
  <c r="AI573" i="10"/>
  <c r="AG573" i="10"/>
  <c r="AK573" i="10"/>
  <c r="AX573" i="10" s="1"/>
  <c r="AL573" i="10" l="1"/>
  <c r="T574" i="10"/>
  <c r="AQ574" i="10" s="1"/>
  <c r="AD574" i="10"/>
  <c r="U574" i="10"/>
  <c r="W574" i="10" s="1"/>
  <c r="AP574" i="10" s="1"/>
  <c r="BA573" i="10"/>
  <c r="AH573" i="10"/>
  <c r="AN573" i="10" s="1"/>
  <c r="AW573" i="10" s="1"/>
  <c r="AO573" i="10"/>
  <c r="AY573" i="10" s="1"/>
  <c r="AZ573" i="10" l="1"/>
  <c r="BD573" i="10"/>
  <c r="X574" i="10"/>
  <c r="Z574" i="10" l="1"/>
  <c r="AR574" i="10" s="1"/>
  <c r="AA574" i="10" l="1"/>
  <c r="Q575" i="10"/>
  <c r="AC575" i="10" l="1"/>
  <c r="AM575" i="10"/>
  <c r="AB575" i="10"/>
  <c r="AV574" i="10" s="1"/>
  <c r="S575" i="10"/>
  <c r="AI574" i="10"/>
  <c r="AJ574" i="10"/>
  <c r="AG574" i="10"/>
  <c r="AK574" i="10"/>
  <c r="AX574" i="10" s="1"/>
  <c r="AO574" i="10" l="1"/>
  <c r="AY574" i="10" s="1"/>
  <c r="AH574" i="10"/>
  <c r="AL574" i="10"/>
  <c r="AD575" i="10"/>
  <c r="T575" i="10"/>
  <c r="AQ575" i="10" s="1"/>
  <c r="U575" i="10"/>
  <c r="W575" i="10" s="1"/>
  <c r="AP575" i="10" s="1"/>
  <c r="BA574" i="10"/>
  <c r="X575" i="10" l="1"/>
  <c r="AN574" i="10"/>
  <c r="AW574" i="10" s="1"/>
  <c r="BD574" i="10" l="1"/>
  <c r="AZ574" i="10"/>
  <c r="Z575" i="10"/>
  <c r="AR575" i="10" s="1"/>
  <c r="AA575" i="10" l="1"/>
  <c r="Q576" i="10"/>
  <c r="AC576" i="10" l="1"/>
  <c r="AM576" i="10"/>
  <c r="AB576" i="10"/>
  <c r="AV575" i="10" s="1"/>
  <c r="S576" i="10"/>
  <c r="AJ575" i="10"/>
  <c r="AI575" i="10"/>
  <c r="AG575" i="10"/>
  <c r="AK575" i="10"/>
  <c r="AX575" i="10" s="1"/>
  <c r="AO575" i="10" l="1"/>
  <c r="AY575" i="10" s="1"/>
  <c r="AH575" i="10"/>
  <c r="AL575" i="10"/>
  <c r="AD576" i="10"/>
  <c r="T576" i="10"/>
  <c r="AQ576" i="10" s="1"/>
  <c r="U576" i="10"/>
  <c r="W576" i="10" s="1"/>
  <c r="AP576" i="10" s="1"/>
  <c r="BA575" i="10"/>
  <c r="X576" i="10" l="1"/>
  <c r="AN575" i="10"/>
  <c r="AW575" i="10" s="1"/>
  <c r="Z576" i="10" l="1"/>
  <c r="AR576" i="10" s="1"/>
  <c r="AZ575" i="10"/>
  <c r="BD575" i="10"/>
  <c r="AA576" i="10" l="1"/>
  <c r="Q577" i="10"/>
  <c r="AC577" i="10" l="1"/>
  <c r="AM577" i="10"/>
  <c r="S577" i="10"/>
  <c r="AB577" i="10"/>
  <c r="AV576" i="10" s="1"/>
  <c r="AI576" i="10"/>
  <c r="AJ576" i="10"/>
  <c r="AG576" i="10"/>
  <c r="AK576" i="10"/>
  <c r="AX576" i="10" s="1"/>
  <c r="AL576" i="10" l="1"/>
  <c r="AH576" i="10"/>
  <c r="AN576" i="10" s="1"/>
  <c r="AW576" i="10" s="1"/>
  <c r="AO576" i="10"/>
  <c r="AY576" i="10" s="1"/>
  <c r="AD577" i="10"/>
  <c r="T577" i="10"/>
  <c r="AQ577" i="10" s="1"/>
  <c r="U577" i="10"/>
  <c r="W577" i="10" s="1"/>
  <c r="AP577" i="10" s="1"/>
  <c r="BA576" i="10"/>
  <c r="X577" i="10" l="1"/>
  <c r="AZ576" i="10"/>
  <c r="BD576" i="10"/>
  <c r="Z577" i="10" l="1"/>
  <c r="AR577" i="10" s="1"/>
  <c r="Q578" i="10" l="1"/>
  <c r="AA577" i="10"/>
  <c r="AI577" i="10" l="1"/>
  <c r="AJ577" i="10"/>
  <c r="AG577" i="10"/>
  <c r="AK577" i="10"/>
  <c r="AX577" i="10" s="1"/>
  <c r="AC578" i="10"/>
  <c r="BA577" i="10" s="1"/>
  <c r="S578" i="10"/>
  <c r="AM578" i="10"/>
  <c r="AB578" i="10"/>
  <c r="AV577" i="10" s="1"/>
  <c r="AD578" i="10" l="1"/>
  <c r="T578" i="10"/>
  <c r="AQ578" i="10" s="1"/>
  <c r="U578" i="10"/>
  <c r="W578" i="10" s="1"/>
  <c r="AP578" i="10" s="1"/>
  <c r="AH577" i="10"/>
  <c r="AO577" i="10"/>
  <c r="AY577" i="10" s="1"/>
  <c r="AL577" i="10"/>
  <c r="AN577" i="10" l="1"/>
  <c r="AW577" i="10" s="1"/>
  <c r="X578" i="10"/>
  <c r="Z578" i="10" l="1"/>
  <c r="AR578" i="10" s="1"/>
  <c r="BD577" i="10"/>
  <c r="AZ577" i="10"/>
  <c r="AA578" i="10" l="1"/>
  <c r="Q579" i="10"/>
  <c r="AC579" i="10" l="1"/>
  <c r="S579" i="10"/>
  <c r="AB579" i="10"/>
  <c r="AV578" i="10" s="1"/>
  <c r="AM579" i="10"/>
  <c r="AI578" i="10"/>
  <c r="AJ578" i="10"/>
  <c r="AG578" i="10"/>
  <c r="AK578" i="10"/>
  <c r="AX578" i="10" s="1"/>
  <c r="AO578" i="10" l="1"/>
  <c r="AY578" i="10" s="1"/>
  <c r="AH578" i="10"/>
  <c r="AL578" i="10"/>
  <c r="AD579" i="10"/>
  <c r="T579" i="10"/>
  <c r="AQ579" i="10" s="1"/>
  <c r="U579" i="10"/>
  <c r="W579" i="10" s="1"/>
  <c r="AP579" i="10" s="1"/>
  <c r="BA578" i="10"/>
  <c r="X579" i="10" l="1"/>
  <c r="AN578" i="10"/>
  <c r="AW578" i="10" s="1"/>
  <c r="AZ578" i="10" l="1"/>
  <c r="BD578" i="10"/>
  <c r="Z579" i="10"/>
  <c r="AR579" i="10" s="1"/>
  <c r="AA579" i="10" l="1"/>
  <c r="Q580" i="10"/>
  <c r="AC580" i="10" l="1"/>
  <c r="AM580" i="10"/>
  <c r="S580" i="10"/>
  <c r="AB580" i="10"/>
  <c r="AV579" i="10" s="1"/>
  <c r="AI579" i="10"/>
  <c r="AJ579" i="10"/>
  <c r="AG579" i="10"/>
  <c r="AK579" i="10"/>
  <c r="AX579" i="10" s="1"/>
  <c r="AL579" i="10" l="1"/>
  <c r="AO579" i="10"/>
  <c r="AY579" i="10" s="1"/>
  <c r="AH579" i="10"/>
  <c r="AN579" i="10" s="1"/>
  <c r="AW579" i="10" s="1"/>
  <c r="AD580" i="10"/>
  <c r="T580" i="10"/>
  <c r="AQ580" i="10" s="1"/>
  <c r="U580" i="10"/>
  <c r="W580" i="10" s="1"/>
  <c r="AP580" i="10" s="1"/>
  <c r="BA579" i="10"/>
  <c r="X580" i="10" l="1"/>
  <c r="BD579" i="10"/>
  <c r="AZ579" i="10"/>
  <c r="Z580" i="10" l="1"/>
  <c r="AR580" i="10" s="1"/>
  <c r="Q581" i="10" l="1"/>
  <c r="AA580" i="10"/>
  <c r="AJ580" i="10" l="1"/>
  <c r="AI580" i="10"/>
  <c r="AG580" i="10"/>
  <c r="AK580" i="10"/>
  <c r="AX580" i="10" s="1"/>
  <c r="AC581" i="10"/>
  <c r="BA580" i="10" s="1"/>
  <c r="AM581" i="10"/>
  <c r="AB581" i="10"/>
  <c r="AV580" i="10" s="1"/>
  <c r="S581" i="10"/>
  <c r="AO580" i="10" l="1"/>
  <c r="AY580" i="10" s="1"/>
  <c r="AH580" i="10"/>
  <c r="AL580" i="10"/>
  <c r="AD581" i="10"/>
  <c r="T581" i="10"/>
  <c r="AQ581" i="10" s="1"/>
  <c r="U581" i="10"/>
  <c r="W581" i="10" s="1"/>
  <c r="AP581" i="10" s="1"/>
  <c r="AN580" i="10" l="1"/>
  <c r="AW580" i="10" s="1"/>
  <c r="X581" i="10"/>
  <c r="Z581" i="10" l="1"/>
  <c r="AR581" i="10" s="1"/>
  <c r="BD580" i="10"/>
  <c r="AZ580" i="10"/>
  <c r="Q582" i="10" l="1"/>
  <c r="AA581" i="10"/>
  <c r="AI581" i="10" l="1"/>
  <c r="AJ581" i="10"/>
  <c r="AG581" i="10"/>
  <c r="AK581" i="10"/>
  <c r="AX581" i="10" s="1"/>
  <c r="AC582" i="10"/>
  <c r="BA581" i="10" s="1"/>
  <c r="S582" i="10"/>
  <c r="AM582" i="10"/>
  <c r="AB582" i="10"/>
  <c r="AV581" i="10" s="1"/>
  <c r="AD582" i="10" l="1"/>
  <c r="T582" i="10"/>
  <c r="AQ582" i="10" s="1"/>
  <c r="U582" i="10"/>
  <c r="W582" i="10" s="1"/>
  <c r="AP582" i="10" s="1"/>
  <c r="AH581" i="10"/>
  <c r="AO581" i="10"/>
  <c r="AY581" i="10" s="1"/>
  <c r="AL581" i="10"/>
  <c r="AN581" i="10" l="1"/>
  <c r="AW581" i="10" s="1"/>
  <c r="X582" i="10"/>
  <c r="BD581" i="10" l="1"/>
  <c r="AZ581" i="10"/>
  <c r="Z582" i="10"/>
  <c r="AR582" i="10" s="1"/>
  <c r="AA582" i="10" l="1"/>
  <c r="Q583" i="10"/>
  <c r="AC583" i="10" l="1"/>
  <c r="S583" i="10"/>
  <c r="AB583" i="10"/>
  <c r="AV582" i="10" s="1"/>
  <c r="AM583" i="10"/>
  <c r="AI582" i="10"/>
  <c r="AJ582" i="10"/>
  <c r="AG582" i="10"/>
  <c r="AK582" i="10"/>
  <c r="AX582" i="10" s="1"/>
  <c r="AO582" i="10" l="1"/>
  <c r="AY582" i="10" s="1"/>
  <c r="AH582" i="10"/>
  <c r="AL582" i="10"/>
  <c r="AD583" i="10"/>
  <c r="T583" i="10"/>
  <c r="AQ583" i="10" s="1"/>
  <c r="U583" i="10"/>
  <c r="W583" i="10" s="1"/>
  <c r="AP583" i="10" s="1"/>
  <c r="BA582" i="10"/>
  <c r="X583" i="10" l="1"/>
  <c r="AN582" i="10"/>
  <c r="AW582" i="10" s="1"/>
  <c r="AZ582" i="10" l="1"/>
  <c r="BD582" i="10"/>
  <c r="Z583" i="10"/>
  <c r="AR583" i="10" s="1"/>
  <c r="AA583" i="10" l="1"/>
  <c r="Q584" i="10"/>
  <c r="AC584" i="10" l="1"/>
  <c r="AM584" i="10"/>
  <c r="S584" i="10"/>
  <c r="AB584" i="10"/>
  <c r="AV583" i="10" s="1"/>
  <c r="AJ583" i="10"/>
  <c r="AI583" i="10"/>
  <c r="AG583" i="10"/>
  <c r="AK583" i="10"/>
  <c r="AX583" i="10" s="1"/>
  <c r="AL583" i="10" l="1"/>
  <c r="AD584" i="10"/>
  <c r="T584" i="10"/>
  <c r="AQ584" i="10" s="1"/>
  <c r="U584" i="10"/>
  <c r="W584" i="10" s="1"/>
  <c r="AP584" i="10" s="1"/>
  <c r="BA583" i="10"/>
  <c r="AO583" i="10"/>
  <c r="AY583" i="10" s="1"/>
  <c r="AH583" i="10"/>
  <c r="AN583" i="10" l="1"/>
  <c r="AW583" i="10" s="1"/>
  <c r="BD583" i="10" s="1"/>
  <c r="AZ583" i="10"/>
  <c r="X584" i="10"/>
  <c r="Z584" i="10" l="1"/>
  <c r="AR584" i="10" s="1"/>
  <c r="Q585" i="10" l="1"/>
  <c r="AA584" i="10"/>
  <c r="AJ584" i="10" l="1"/>
  <c r="AI584" i="10"/>
  <c r="AG584" i="10"/>
  <c r="AK584" i="10"/>
  <c r="AX584" i="10" s="1"/>
  <c r="AC585" i="10"/>
  <c r="BA584" i="10" s="1"/>
  <c r="AM585" i="10"/>
  <c r="S585" i="10"/>
  <c r="AB585" i="10"/>
  <c r="AV584" i="10" s="1"/>
  <c r="AD585" i="10" l="1"/>
  <c r="T585" i="10"/>
  <c r="AQ585" i="10" s="1"/>
  <c r="U585" i="10"/>
  <c r="W585" i="10" s="1"/>
  <c r="AP585" i="10" s="1"/>
  <c r="AO584" i="10"/>
  <c r="AY584" i="10" s="1"/>
  <c r="AH584" i="10"/>
  <c r="AL584" i="10"/>
  <c r="AN584" i="10" l="1"/>
  <c r="AW584" i="10" s="1"/>
  <c r="X585" i="10"/>
  <c r="Z585" i="10" l="1"/>
  <c r="AR585" i="10" s="1"/>
  <c r="AZ584" i="10"/>
  <c r="BD584" i="10"/>
  <c r="Q586" i="10" l="1"/>
  <c r="AA585" i="10"/>
  <c r="AI585" i="10" l="1"/>
  <c r="AJ585" i="10"/>
  <c r="AG585" i="10"/>
  <c r="AK585" i="10"/>
  <c r="AX585" i="10" s="1"/>
  <c r="AC586" i="10"/>
  <c r="BA585" i="10" s="1"/>
  <c r="S586" i="10"/>
  <c r="AM586" i="10"/>
  <c r="AB586" i="10"/>
  <c r="AV585" i="10" s="1"/>
  <c r="AD586" i="10" l="1"/>
  <c r="T586" i="10"/>
  <c r="AQ586" i="10" s="1"/>
  <c r="U586" i="10"/>
  <c r="W586" i="10" s="1"/>
  <c r="AP586" i="10" s="1"/>
  <c r="AH585" i="10"/>
  <c r="AO585" i="10"/>
  <c r="AY585" i="10" s="1"/>
  <c r="AL585" i="10"/>
  <c r="AN585" i="10" l="1"/>
  <c r="AW585" i="10" s="1"/>
  <c r="BD585" i="10" s="1"/>
  <c r="AZ585" i="10"/>
  <c r="X586" i="10"/>
  <c r="Z586" i="10" l="1"/>
  <c r="AR586" i="10" s="1"/>
  <c r="AA586" i="10" l="1"/>
  <c r="Q587" i="10"/>
  <c r="AC587" i="10" l="1"/>
  <c r="S587" i="10"/>
  <c r="AB587" i="10"/>
  <c r="AV586" i="10" s="1"/>
  <c r="AM587" i="10"/>
  <c r="AI586" i="10"/>
  <c r="AJ586" i="10"/>
  <c r="AG586" i="10"/>
  <c r="AK586" i="10"/>
  <c r="AX586" i="10" s="1"/>
  <c r="AL586" i="10" l="1"/>
  <c r="AD587" i="10"/>
  <c r="T587" i="10"/>
  <c r="AQ587" i="10" s="1"/>
  <c r="U587" i="10"/>
  <c r="W587" i="10" s="1"/>
  <c r="AP587" i="10" s="1"/>
  <c r="BA586" i="10"/>
  <c r="AO586" i="10"/>
  <c r="AY586" i="10" s="1"/>
  <c r="AH586" i="10"/>
  <c r="AN586" i="10" l="1"/>
  <c r="AW586" i="10" s="1"/>
  <c r="AZ586" i="10"/>
  <c r="BD586" i="10"/>
  <c r="X587" i="10"/>
  <c r="Z587" i="10" l="1"/>
  <c r="AR587" i="10" s="1"/>
  <c r="AA587" i="10" l="1"/>
  <c r="Q588" i="10"/>
  <c r="AC588" i="10" l="1"/>
  <c r="AM588" i="10"/>
  <c r="S588" i="10"/>
  <c r="AB588" i="10"/>
  <c r="AV587" i="10" s="1"/>
  <c r="AI587" i="10"/>
  <c r="AJ587" i="10"/>
  <c r="AG587" i="10"/>
  <c r="AK587" i="10"/>
  <c r="AX587" i="10" s="1"/>
  <c r="AO587" i="10" l="1"/>
  <c r="AY587" i="10" s="1"/>
  <c r="AH587" i="10"/>
  <c r="AL587" i="10"/>
  <c r="AD588" i="10"/>
  <c r="T588" i="10"/>
  <c r="AQ588" i="10" s="1"/>
  <c r="U588" i="10"/>
  <c r="W588" i="10" s="1"/>
  <c r="AP588" i="10" s="1"/>
  <c r="BA587" i="10"/>
  <c r="X588" i="10" l="1"/>
  <c r="AN587" i="10"/>
  <c r="AW587" i="10" s="1"/>
  <c r="Z588" i="10" l="1"/>
  <c r="AR588" i="10" s="1"/>
  <c r="BD587" i="10"/>
  <c r="AZ587" i="10"/>
  <c r="Q589" i="10" l="1"/>
  <c r="AA588" i="10"/>
  <c r="AJ588" i="10" l="1"/>
  <c r="AI588" i="10"/>
  <c r="AG588" i="10"/>
  <c r="AK588" i="10"/>
  <c r="AX588" i="10" s="1"/>
  <c r="AC589" i="10"/>
  <c r="BA588" i="10" s="1"/>
  <c r="AM589" i="10"/>
  <c r="AB589" i="10"/>
  <c r="AV588" i="10" s="1"/>
  <c r="S589" i="10"/>
  <c r="AO588" i="10" l="1"/>
  <c r="AY588" i="10" s="1"/>
  <c r="AH588" i="10"/>
  <c r="AL588" i="10"/>
  <c r="AD589" i="10"/>
  <c r="T589" i="10"/>
  <c r="AQ589" i="10" s="1"/>
  <c r="U589" i="10"/>
  <c r="W589" i="10" s="1"/>
  <c r="AP589" i="10" s="1"/>
  <c r="X589" i="10" l="1"/>
  <c r="AN588" i="10"/>
  <c r="AW588" i="10" s="1"/>
  <c r="BD588" i="10" l="1"/>
  <c r="AZ588" i="10"/>
  <c r="Z589" i="10"/>
  <c r="AR589" i="10" s="1"/>
  <c r="Q590" i="10" l="1"/>
  <c r="AA589" i="10"/>
  <c r="AC590" i="10" l="1"/>
  <c r="S590" i="10"/>
  <c r="AM590" i="10"/>
  <c r="AB590" i="10"/>
  <c r="AV589" i="10" s="1"/>
  <c r="AI589" i="10"/>
  <c r="AJ589" i="10"/>
  <c r="AG589" i="10"/>
  <c r="AK589" i="10"/>
  <c r="AX589" i="10" s="1"/>
  <c r="AL589" i="10" l="1"/>
  <c r="AH589" i="10"/>
  <c r="AO589" i="10"/>
  <c r="AY589" i="10" s="1"/>
  <c r="AD590" i="10"/>
  <c r="T590" i="10"/>
  <c r="AQ590" i="10" s="1"/>
  <c r="U590" i="10"/>
  <c r="W590" i="10" s="1"/>
  <c r="AP590" i="10" s="1"/>
  <c r="BA589" i="10"/>
  <c r="AN589" i="10" l="1"/>
  <c r="AW589" i="10" s="1"/>
  <c r="BD589" i="10" s="1"/>
  <c r="X590" i="10"/>
  <c r="AZ589" i="10" l="1"/>
  <c r="Z590" i="10"/>
  <c r="AR590" i="10" s="1"/>
  <c r="AA590" i="10" l="1"/>
  <c r="Q591" i="10"/>
  <c r="AC591" i="10" l="1"/>
  <c r="S591" i="10"/>
  <c r="AB591" i="10"/>
  <c r="AV590" i="10" s="1"/>
  <c r="AM591" i="10"/>
  <c r="AI590" i="10"/>
  <c r="AJ590" i="10"/>
  <c r="AG590" i="10"/>
  <c r="AK590" i="10"/>
  <c r="AX590" i="10" s="1"/>
  <c r="AO590" i="10" l="1"/>
  <c r="AY590" i="10" s="1"/>
  <c r="AH590" i="10"/>
  <c r="AL590" i="10"/>
  <c r="AD591" i="10"/>
  <c r="T591" i="10"/>
  <c r="AQ591" i="10" s="1"/>
  <c r="U591" i="10"/>
  <c r="W591" i="10" s="1"/>
  <c r="AP591" i="10" s="1"/>
  <c r="BA590" i="10"/>
  <c r="X591" i="10" l="1"/>
  <c r="AN590" i="10"/>
  <c r="AW590" i="10" s="1"/>
  <c r="AZ590" i="10" l="1"/>
  <c r="BD590" i="10"/>
  <c r="Z591" i="10"/>
  <c r="AR591" i="10" s="1"/>
  <c r="AA591" i="10" l="1"/>
  <c r="Q592" i="10"/>
  <c r="AC592" i="10" l="1"/>
  <c r="AM592" i="10"/>
  <c r="S592" i="10"/>
  <c r="AB592" i="10"/>
  <c r="AV591" i="10" s="1"/>
  <c r="AJ591" i="10"/>
  <c r="AI591" i="10"/>
  <c r="AG591" i="10"/>
  <c r="AK591" i="10"/>
  <c r="AX591" i="10" s="1"/>
  <c r="AL591" i="10" l="1"/>
  <c r="AO591" i="10"/>
  <c r="AY591" i="10" s="1"/>
  <c r="AH591" i="10"/>
  <c r="AD592" i="10"/>
  <c r="T592" i="10"/>
  <c r="AQ592" i="10" s="1"/>
  <c r="U592" i="10"/>
  <c r="W592" i="10" s="1"/>
  <c r="AP592" i="10" s="1"/>
  <c r="BA591" i="10"/>
  <c r="AN591" i="10" l="1"/>
  <c r="AW591" i="10" s="1"/>
  <c r="BD591" i="10" s="1"/>
  <c r="X592" i="10"/>
  <c r="AZ591" i="10" l="1"/>
  <c r="Z592" i="10"/>
  <c r="AR592" i="10" s="1"/>
  <c r="Q593" i="10" l="1"/>
  <c r="AA592" i="10"/>
  <c r="AJ592" i="10" l="1"/>
  <c r="AI592" i="10"/>
  <c r="AG592" i="10"/>
  <c r="AK592" i="10"/>
  <c r="AX592" i="10" s="1"/>
  <c r="AC593" i="10"/>
  <c r="BA592" i="10" s="1"/>
  <c r="AM593" i="10"/>
  <c r="S593" i="10"/>
  <c r="AB593" i="10"/>
  <c r="AV592" i="10" s="1"/>
  <c r="AD593" i="10" l="1"/>
  <c r="T593" i="10"/>
  <c r="AQ593" i="10" s="1"/>
  <c r="U593" i="10"/>
  <c r="W593" i="10" s="1"/>
  <c r="AP593" i="10" s="1"/>
  <c r="AO592" i="10"/>
  <c r="AY592" i="10" s="1"/>
  <c r="AH592" i="10"/>
  <c r="AL592" i="10"/>
  <c r="AN592" i="10" l="1"/>
  <c r="AW592" i="10" s="1"/>
  <c r="X593" i="10"/>
  <c r="Z593" i="10" l="1"/>
  <c r="AR593" i="10" s="1"/>
  <c r="AZ592" i="10"/>
  <c r="BD592" i="10"/>
  <c r="Q594" i="10" l="1"/>
  <c r="AA593" i="10"/>
  <c r="AC594" i="10" l="1"/>
  <c r="AB594" i="10"/>
  <c r="AV593" i="10" s="1"/>
  <c r="AM594" i="10"/>
  <c r="S594" i="10"/>
  <c r="AI593" i="10"/>
  <c r="AJ593" i="10"/>
  <c r="AG593" i="10"/>
  <c r="AK593" i="10"/>
  <c r="AX593" i="10" s="1"/>
  <c r="AL593" i="10" l="1"/>
  <c r="AH593" i="10"/>
  <c r="AN593" i="10" s="1"/>
  <c r="AW593" i="10" s="1"/>
  <c r="AO593" i="10"/>
  <c r="AY593" i="10" s="1"/>
  <c r="AD594" i="10"/>
  <c r="T594" i="10"/>
  <c r="AQ594" i="10" s="1"/>
  <c r="U594" i="10"/>
  <c r="W594" i="10" s="1"/>
  <c r="AP594" i="10" s="1"/>
  <c r="BA593" i="10"/>
  <c r="X594" i="10" l="1"/>
  <c r="BD593" i="10"/>
  <c r="AZ593" i="10"/>
  <c r="Z594" i="10" l="1"/>
  <c r="AR594" i="10" s="1"/>
  <c r="Q595" i="10" l="1"/>
  <c r="AA594" i="10"/>
  <c r="AJ594" i="10" l="1"/>
  <c r="AI594" i="10"/>
  <c r="AG594" i="10"/>
  <c r="AK594" i="10"/>
  <c r="AX594" i="10" s="1"/>
  <c r="AC595" i="10"/>
  <c r="BA594" i="10" s="1"/>
  <c r="AB595" i="10"/>
  <c r="AV594" i="10" s="1"/>
  <c r="AM595" i="10"/>
  <c r="S595" i="10"/>
  <c r="AD595" i="10" l="1"/>
  <c r="T595" i="10"/>
  <c r="AQ595" i="10" s="1"/>
  <c r="U595" i="10"/>
  <c r="W595" i="10" s="1"/>
  <c r="AP595" i="10" s="1"/>
  <c r="AH594" i="10"/>
  <c r="AO594" i="10"/>
  <c r="AY594" i="10" s="1"/>
  <c r="AL594" i="10"/>
  <c r="AN594" i="10" l="1"/>
  <c r="AW594" i="10" s="1"/>
  <c r="X595" i="10"/>
  <c r="Z595" i="10" l="1"/>
  <c r="AR595" i="10" s="1"/>
  <c r="AZ594" i="10"/>
  <c r="BD594" i="10"/>
  <c r="AA595" i="10" l="1"/>
  <c r="Q596" i="10"/>
  <c r="AC596" i="10" l="1"/>
  <c r="AB596" i="10"/>
  <c r="AV595" i="10" s="1"/>
  <c r="S596" i="10"/>
  <c r="AM596" i="10"/>
  <c r="AJ595" i="10"/>
  <c r="AI595" i="10"/>
  <c r="AG595" i="10"/>
  <c r="AK595" i="10"/>
  <c r="AX595" i="10" s="1"/>
  <c r="AL595" i="10" l="1"/>
  <c r="AH595" i="10"/>
  <c r="AO595" i="10"/>
  <c r="AY595" i="10" s="1"/>
  <c r="AD596" i="10"/>
  <c r="T596" i="10"/>
  <c r="AQ596" i="10" s="1"/>
  <c r="U596" i="10"/>
  <c r="W596" i="10" s="1"/>
  <c r="AP596" i="10" s="1"/>
  <c r="BA595" i="10"/>
  <c r="AN595" i="10" l="1"/>
  <c r="AW595" i="10" s="1"/>
  <c r="X596" i="10"/>
  <c r="AZ595" i="10"/>
  <c r="BD595" i="10"/>
  <c r="Z596" i="10" l="1"/>
  <c r="AR596" i="10" s="1"/>
  <c r="Q597" i="10" l="1"/>
  <c r="AA596" i="10"/>
  <c r="AJ596" i="10" l="1"/>
  <c r="AI596" i="10"/>
  <c r="AG596" i="10"/>
  <c r="AK596" i="10"/>
  <c r="AX596" i="10" s="1"/>
  <c r="AC597" i="10"/>
  <c r="BA596" i="10" s="1"/>
  <c r="AB597" i="10"/>
  <c r="AV596" i="10" s="1"/>
  <c r="AM597" i="10"/>
  <c r="S597" i="10"/>
  <c r="AH596" i="10" l="1"/>
  <c r="AO596" i="10"/>
  <c r="AY596" i="10" s="1"/>
  <c r="AL596" i="10"/>
  <c r="AD597" i="10"/>
  <c r="T597" i="10"/>
  <c r="AQ597" i="10" s="1"/>
  <c r="U597" i="10"/>
  <c r="W597" i="10" s="1"/>
  <c r="AP597" i="10" s="1"/>
  <c r="X597" i="10" l="1"/>
  <c r="AN596" i="10"/>
  <c r="AW596" i="10" s="1"/>
  <c r="AZ596" i="10" l="1"/>
  <c r="BD596" i="10"/>
  <c r="Z597" i="10"/>
  <c r="AR597" i="10" s="1"/>
  <c r="Q598" i="10" l="1"/>
  <c r="AA597" i="10"/>
  <c r="AJ597" i="10" l="1"/>
  <c r="AI597" i="10"/>
  <c r="AG597" i="10"/>
  <c r="AK597" i="10"/>
  <c r="AX597" i="10" s="1"/>
  <c r="AC598" i="10"/>
  <c r="BA597" i="10" s="1"/>
  <c r="AB598" i="10"/>
  <c r="AV597" i="10" s="1"/>
  <c r="AM598" i="10"/>
  <c r="S598" i="10"/>
  <c r="AD598" i="10" l="1"/>
  <c r="T598" i="10"/>
  <c r="AQ598" i="10" s="1"/>
  <c r="U598" i="10"/>
  <c r="W598" i="10" s="1"/>
  <c r="AP598" i="10" s="1"/>
  <c r="AH597" i="10"/>
  <c r="AO597" i="10"/>
  <c r="AY597" i="10" s="1"/>
  <c r="AL597" i="10"/>
  <c r="AN597" i="10" l="1"/>
  <c r="AW597" i="10" s="1"/>
  <c r="X598" i="10"/>
  <c r="Z598" i="10" l="1"/>
  <c r="AR598" i="10" s="1"/>
  <c r="AZ597" i="10"/>
  <c r="BD597" i="10"/>
  <c r="Q599" i="10" l="1"/>
  <c r="AA598" i="10"/>
  <c r="AJ598" i="10" l="1"/>
  <c r="AI598" i="10"/>
  <c r="AG598" i="10"/>
  <c r="AK598" i="10"/>
  <c r="AX598" i="10" s="1"/>
  <c r="AC599" i="10"/>
  <c r="BA598" i="10" s="1"/>
  <c r="AB599" i="10"/>
  <c r="AV598" i="10" s="1"/>
  <c r="AM599" i="10"/>
  <c r="S599" i="10"/>
  <c r="AH598" i="10" l="1"/>
  <c r="AO598" i="10"/>
  <c r="AY598" i="10" s="1"/>
  <c r="AL598" i="10"/>
  <c r="AD599" i="10"/>
  <c r="T599" i="10"/>
  <c r="AQ599" i="10" s="1"/>
  <c r="U599" i="10"/>
  <c r="W599" i="10" s="1"/>
  <c r="AP599" i="10" s="1"/>
  <c r="X599" i="10" l="1"/>
  <c r="Z599" i="10" s="1"/>
  <c r="AR599" i="10" s="1"/>
  <c r="AN598" i="10"/>
  <c r="AW598" i="10" s="1"/>
  <c r="AZ598" i="10" l="1"/>
  <c r="BD598" i="10"/>
  <c r="AA599" i="10"/>
  <c r="Q600" i="10"/>
  <c r="AC600" i="10" l="1"/>
  <c r="AB600" i="10"/>
  <c r="AV599" i="10" s="1"/>
  <c r="S600" i="10"/>
  <c r="AM600" i="10"/>
  <c r="AJ599" i="10"/>
  <c r="AI599" i="10"/>
  <c r="AG599" i="10"/>
  <c r="AK599" i="10"/>
  <c r="AX599" i="10" s="1"/>
  <c r="AL599" i="10" l="1"/>
  <c r="AH599" i="10"/>
  <c r="AO599" i="10"/>
  <c r="AY599" i="10" s="1"/>
  <c r="AD600" i="10"/>
  <c r="T600" i="10"/>
  <c r="AQ600" i="10" s="1"/>
  <c r="U600" i="10"/>
  <c r="W600" i="10" s="1"/>
  <c r="AP600" i="10" s="1"/>
  <c r="BA599" i="10"/>
  <c r="AN599" i="10" l="1"/>
  <c r="AW599" i="10" s="1"/>
  <c r="X600" i="10"/>
  <c r="AZ599" i="10"/>
  <c r="BD599" i="10"/>
  <c r="Z600" i="10" l="1"/>
  <c r="AR600" i="10" s="1"/>
  <c r="Q601" i="10" l="1"/>
  <c r="AA600" i="10"/>
  <c r="AC601" i="10" l="1"/>
  <c r="AB601" i="10"/>
  <c r="AV600" i="10" s="1"/>
  <c r="AM601" i="10"/>
  <c r="S601" i="10"/>
  <c r="AJ600" i="10"/>
  <c r="AI600" i="10"/>
  <c r="AG600" i="10"/>
  <c r="AK600" i="10"/>
  <c r="AX600" i="10" s="1"/>
  <c r="AL600" i="10" l="1"/>
  <c r="AH600" i="10"/>
  <c r="AN600" i="10" s="1"/>
  <c r="AW600" i="10" s="1"/>
  <c r="AO600" i="10"/>
  <c r="AY600" i="10" s="1"/>
  <c r="AD601" i="10"/>
  <c r="T601" i="10"/>
  <c r="AQ601" i="10" s="1"/>
  <c r="U601" i="10"/>
  <c r="W601" i="10" s="1"/>
  <c r="AP601" i="10" s="1"/>
  <c r="BA600" i="10"/>
  <c r="X601" i="10" l="1"/>
  <c r="AZ600" i="10"/>
  <c r="BD600" i="10"/>
  <c r="Z601" i="10" l="1"/>
  <c r="AR601" i="10" s="1"/>
  <c r="Q602" i="10" l="1"/>
  <c r="AA601" i="10"/>
  <c r="AJ601" i="10" l="1"/>
  <c r="AI601" i="10"/>
  <c r="AG601" i="10"/>
  <c r="AK601" i="10"/>
  <c r="AX601" i="10" s="1"/>
  <c r="AC602" i="10"/>
  <c r="BA601" i="10" s="1"/>
  <c r="AB602" i="10"/>
  <c r="AV601" i="10" s="1"/>
  <c r="AM602" i="10"/>
  <c r="S602" i="10"/>
  <c r="AH601" i="10" l="1"/>
  <c r="AO601" i="10"/>
  <c r="AY601" i="10" s="1"/>
  <c r="AL601" i="10"/>
  <c r="AD602" i="10"/>
  <c r="T602" i="10"/>
  <c r="AQ602" i="10" s="1"/>
  <c r="U602" i="10"/>
  <c r="W602" i="10" s="1"/>
  <c r="AP602" i="10" s="1"/>
  <c r="X602" i="10" l="1"/>
  <c r="AN601" i="10"/>
  <c r="AW601" i="10" s="1"/>
  <c r="AZ601" i="10" l="1"/>
  <c r="BD601" i="10"/>
  <c r="Z602" i="10"/>
  <c r="AR602" i="10" s="1"/>
  <c r="Q603" i="10" l="1"/>
  <c r="AA602" i="10"/>
  <c r="AJ602" i="10" l="1"/>
  <c r="AI602" i="10"/>
  <c r="AG602" i="10"/>
  <c r="AK602" i="10"/>
  <c r="AX602" i="10" s="1"/>
  <c r="AC603" i="10"/>
  <c r="BA602" i="10" s="1"/>
  <c r="AB603" i="10"/>
  <c r="AV602" i="10" s="1"/>
  <c r="AM603" i="10"/>
  <c r="S603" i="10"/>
  <c r="AD603" i="10" l="1"/>
  <c r="T603" i="10"/>
  <c r="AQ603" i="10" s="1"/>
  <c r="U603" i="10"/>
  <c r="W603" i="10" s="1"/>
  <c r="AP603" i="10" s="1"/>
  <c r="AH602" i="10"/>
  <c r="AO602" i="10"/>
  <c r="AY602" i="10" s="1"/>
  <c r="AL602" i="10"/>
  <c r="AN602" i="10" l="1"/>
  <c r="AW602" i="10" s="1"/>
  <c r="X603" i="10"/>
  <c r="Z603" i="10" l="1"/>
  <c r="AR603" i="10" s="1"/>
  <c r="AZ602" i="10"/>
  <c r="BD602" i="10"/>
  <c r="AA603" i="10" l="1"/>
  <c r="Q604" i="10"/>
  <c r="AC604" i="10" l="1"/>
  <c r="AB604" i="10"/>
  <c r="AV603" i="10" s="1"/>
  <c r="S604" i="10"/>
  <c r="AM604" i="10"/>
  <c r="AJ603" i="10"/>
  <c r="AI603" i="10"/>
  <c r="AG603" i="10"/>
  <c r="AK603" i="10"/>
  <c r="AX603" i="10" s="1"/>
  <c r="AL603" i="10" l="1"/>
  <c r="AH603" i="10"/>
  <c r="AN603" i="10" s="1"/>
  <c r="AW603" i="10" s="1"/>
  <c r="AO603" i="10"/>
  <c r="AY603" i="10" s="1"/>
  <c r="AD604" i="10"/>
  <c r="T604" i="10"/>
  <c r="AQ604" i="10" s="1"/>
  <c r="U604" i="10"/>
  <c r="W604" i="10" s="1"/>
  <c r="AP604" i="10" s="1"/>
  <c r="BA603" i="10"/>
  <c r="X604" i="10" l="1"/>
  <c r="AZ603" i="10"/>
  <c r="BD603" i="10"/>
  <c r="Z604" i="10" l="1"/>
  <c r="AR604" i="10" s="1"/>
  <c r="Q605" i="10" l="1"/>
  <c r="AA604" i="10"/>
  <c r="AJ604" i="10" l="1"/>
  <c r="AI604" i="10"/>
  <c r="AG604" i="10"/>
  <c r="AK604" i="10"/>
  <c r="AX604" i="10" s="1"/>
  <c r="AC605" i="10"/>
  <c r="BA604" i="10" s="1"/>
  <c r="AB605" i="10"/>
  <c r="AV604" i="10" s="1"/>
  <c r="AM605" i="10"/>
  <c r="S605" i="10"/>
  <c r="AH604" i="10" l="1"/>
  <c r="AO604" i="10"/>
  <c r="AY604" i="10" s="1"/>
  <c r="AL604" i="10"/>
  <c r="AD605" i="10"/>
  <c r="T605" i="10"/>
  <c r="AQ605" i="10" s="1"/>
  <c r="U605" i="10"/>
  <c r="W605" i="10" s="1"/>
  <c r="AP605" i="10" s="1"/>
  <c r="X605" i="10" l="1"/>
  <c r="AN604" i="10"/>
  <c r="AW604" i="10" s="1"/>
  <c r="AZ604" i="10" l="1"/>
  <c r="BD604" i="10"/>
  <c r="Z605" i="10"/>
  <c r="AR605" i="10" s="1"/>
  <c r="Q606" i="10" l="1"/>
  <c r="AA605" i="10"/>
  <c r="AJ605" i="10" l="1"/>
  <c r="AI605" i="10"/>
  <c r="AG605" i="10"/>
  <c r="AK605" i="10"/>
  <c r="AX605" i="10" s="1"/>
  <c r="AC606" i="10"/>
  <c r="BA605" i="10" s="1"/>
  <c r="AB606" i="10"/>
  <c r="AV605" i="10" s="1"/>
  <c r="AM606" i="10"/>
  <c r="S606" i="10"/>
  <c r="AD606" i="10" l="1"/>
  <c r="T606" i="10"/>
  <c r="AQ606" i="10" s="1"/>
  <c r="U606" i="10"/>
  <c r="W606" i="10" s="1"/>
  <c r="AP606" i="10" s="1"/>
  <c r="AH605" i="10"/>
  <c r="AO605" i="10"/>
  <c r="AY605" i="10" s="1"/>
  <c r="AL605" i="10"/>
  <c r="AN605" i="10" l="1"/>
  <c r="AW605" i="10" s="1"/>
  <c r="X606" i="10"/>
  <c r="Z606" i="10" l="1"/>
  <c r="AR606" i="10" s="1"/>
  <c r="AZ605" i="10"/>
  <c r="BD605" i="10"/>
  <c r="Q607" i="10" l="1"/>
  <c r="AA606" i="10"/>
  <c r="AJ606" i="10" l="1"/>
  <c r="AI606" i="10"/>
  <c r="AG606" i="10"/>
  <c r="AK606" i="10"/>
  <c r="AX606" i="10" s="1"/>
  <c r="AC607" i="10"/>
  <c r="BA606" i="10" s="1"/>
  <c r="AB607" i="10"/>
  <c r="AV606" i="10" s="1"/>
  <c r="AM607" i="10"/>
  <c r="S607" i="10"/>
  <c r="AH606" i="10" l="1"/>
  <c r="AO606" i="10"/>
  <c r="AY606" i="10" s="1"/>
  <c r="AL606" i="10"/>
  <c r="AD607" i="10"/>
  <c r="T607" i="10"/>
  <c r="AQ607" i="10" s="1"/>
  <c r="U607" i="10"/>
  <c r="W607" i="10" s="1"/>
  <c r="AP607" i="10" s="1"/>
  <c r="X607" i="10" l="1"/>
  <c r="Z607" i="10"/>
  <c r="AR607" i="10" s="1"/>
  <c r="AN606" i="10"/>
  <c r="AW606" i="10" s="1"/>
  <c r="AZ606" i="10" l="1"/>
  <c r="BD606" i="10"/>
  <c r="AA607" i="10"/>
  <c r="Q608" i="10"/>
  <c r="AC608" i="10" l="1"/>
  <c r="AB608" i="10"/>
  <c r="AV607" i="10" s="1"/>
  <c r="S608" i="10"/>
  <c r="AM608" i="10"/>
  <c r="AJ607" i="10"/>
  <c r="AI607" i="10"/>
  <c r="AG607" i="10"/>
  <c r="AK607" i="10"/>
  <c r="AX607" i="10" s="1"/>
  <c r="AL607" i="10" l="1"/>
  <c r="AH607" i="10"/>
  <c r="AO607" i="10"/>
  <c r="AY607" i="10" s="1"/>
  <c r="AD608" i="10"/>
  <c r="T608" i="10"/>
  <c r="AQ608" i="10" s="1"/>
  <c r="U608" i="10"/>
  <c r="W608" i="10" s="1"/>
  <c r="AP608" i="10" s="1"/>
  <c r="BA607" i="10"/>
  <c r="AN607" i="10" l="1"/>
  <c r="AW607" i="10" s="1"/>
  <c r="X608" i="10"/>
  <c r="AZ607" i="10"/>
  <c r="BD607" i="10"/>
  <c r="Z608" i="10" l="1"/>
  <c r="AR608" i="10" s="1"/>
  <c r="Q609" i="10" l="1"/>
  <c r="AA608" i="10"/>
  <c r="AJ608" i="10" l="1"/>
  <c r="AI608" i="10"/>
  <c r="AG608" i="10"/>
  <c r="AK608" i="10"/>
  <c r="AX608" i="10" s="1"/>
  <c r="AC609" i="10"/>
  <c r="BA608" i="10" s="1"/>
  <c r="AB609" i="10"/>
  <c r="AV608" i="10" s="1"/>
  <c r="AM609" i="10"/>
  <c r="S609" i="10"/>
  <c r="AH608" i="10" l="1"/>
  <c r="AO608" i="10"/>
  <c r="AY608" i="10" s="1"/>
  <c r="AL608" i="10"/>
  <c r="AD609" i="10"/>
  <c r="T609" i="10"/>
  <c r="AQ609" i="10" s="1"/>
  <c r="U609" i="10"/>
  <c r="W609" i="10" s="1"/>
  <c r="AP609" i="10" s="1"/>
  <c r="X609" i="10" l="1"/>
  <c r="AN608" i="10"/>
  <c r="AW608" i="10" s="1"/>
  <c r="AZ608" i="10" l="1"/>
  <c r="BD608" i="10"/>
  <c r="Z609" i="10"/>
  <c r="AR609" i="10" s="1"/>
  <c r="Q610" i="10" l="1"/>
  <c r="AA609" i="10"/>
  <c r="AJ609" i="10" l="1"/>
  <c r="AI609" i="10"/>
  <c r="AG609" i="10"/>
  <c r="AK609" i="10"/>
  <c r="AX609" i="10" s="1"/>
  <c r="AC610" i="10"/>
  <c r="BA609" i="10" s="1"/>
  <c r="AB610" i="10"/>
  <c r="AV609" i="10" s="1"/>
  <c r="AM610" i="10"/>
  <c r="S610" i="10"/>
  <c r="AD610" i="10" l="1"/>
  <c r="T610" i="10"/>
  <c r="AQ610" i="10" s="1"/>
  <c r="U610" i="10"/>
  <c r="W610" i="10" s="1"/>
  <c r="AP610" i="10" s="1"/>
  <c r="AH609" i="10"/>
  <c r="AO609" i="10"/>
  <c r="AY609" i="10" s="1"/>
  <c r="AL609" i="10"/>
  <c r="AN609" i="10" l="1"/>
  <c r="AW609" i="10" s="1"/>
  <c r="X610" i="10"/>
  <c r="Z610" i="10" l="1"/>
  <c r="AR610" i="10" s="1"/>
  <c r="AZ609" i="10"/>
  <c r="BD609" i="10"/>
  <c r="Q611" i="10" l="1"/>
  <c r="AA610" i="10"/>
  <c r="AJ610" i="10" l="1"/>
  <c r="AI610" i="10"/>
  <c r="AG610" i="10"/>
  <c r="AK610" i="10"/>
  <c r="AX610" i="10" s="1"/>
  <c r="AC611" i="10"/>
  <c r="BA610" i="10" s="1"/>
  <c r="AB611" i="10"/>
  <c r="AV610" i="10" s="1"/>
  <c r="AM611" i="10"/>
  <c r="S611" i="10"/>
  <c r="AH610" i="10" l="1"/>
  <c r="AO610" i="10"/>
  <c r="AY610" i="10" s="1"/>
  <c r="AL610" i="10"/>
  <c r="AD611" i="10"/>
  <c r="T611" i="10"/>
  <c r="AQ611" i="10" s="1"/>
  <c r="U611" i="10"/>
  <c r="W611" i="10" s="1"/>
  <c r="AP611" i="10" s="1"/>
  <c r="X611" i="10" l="1"/>
  <c r="Z611" i="10" s="1"/>
  <c r="AR611" i="10" s="1"/>
  <c r="AN610" i="10"/>
  <c r="AW610" i="10" s="1"/>
  <c r="AZ610" i="10" l="1"/>
  <c r="BD610" i="10"/>
  <c r="AA611" i="10"/>
  <c r="Q612" i="10"/>
  <c r="AC612" i="10" l="1"/>
  <c r="AB612" i="10"/>
  <c r="AV611" i="10" s="1"/>
  <c r="S612" i="10"/>
  <c r="AM612" i="10"/>
  <c r="AJ611" i="10"/>
  <c r="AI611" i="10"/>
  <c r="AG611" i="10"/>
  <c r="AK611" i="10"/>
  <c r="AX611" i="10" s="1"/>
  <c r="AL611" i="10" l="1"/>
  <c r="AH611" i="10"/>
  <c r="AN611" i="10" s="1"/>
  <c r="AW611" i="10" s="1"/>
  <c r="AO611" i="10"/>
  <c r="AY611" i="10" s="1"/>
  <c r="AD612" i="10"/>
  <c r="T612" i="10"/>
  <c r="AQ612" i="10" s="1"/>
  <c r="U612" i="10"/>
  <c r="W612" i="10" s="1"/>
  <c r="AP612" i="10" s="1"/>
  <c r="BA611" i="10"/>
  <c r="X612" i="10" l="1"/>
  <c r="AZ611" i="10"/>
  <c r="BD611" i="10"/>
  <c r="Z612" i="10" l="1"/>
  <c r="AR612" i="10" s="1"/>
  <c r="Q613" i="10" l="1"/>
  <c r="AA612" i="10"/>
  <c r="AJ612" i="10" l="1"/>
  <c r="AI612" i="10"/>
  <c r="AG612" i="10"/>
  <c r="AK612" i="10"/>
  <c r="AX612" i="10" s="1"/>
  <c r="AC613" i="10"/>
  <c r="BA612" i="10" s="1"/>
  <c r="AB613" i="10"/>
  <c r="AV612" i="10" s="1"/>
  <c r="AM613" i="10"/>
  <c r="S613" i="10"/>
  <c r="AH612" i="10" l="1"/>
  <c r="AO612" i="10"/>
  <c r="AY612" i="10" s="1"/>
  <c r="AL612" i="10"/>
  <c r="AD613" i="10"/>
  <c r="T613" i="10"/>
  <c r="AQ613" i="10" s="1"/>
  <c r="U613" i="10"/>
  <c r="W613" i="10" s="1"/>
  <c r="AP613" i="10" s="1"/>
  <c r="X613" i="10" l="1"/>
  <c r="AN612" i="10"/>
  <c r="AW612" i="10" s="1"/>
  <c r="AZ612" i="10" l="1"/>
  <c r="BD612" i="10"/>
  <c r="Z613" i="10"/>
  <c r="AR613" i="10" s="1"/>
  <c r="Q614" i="10" l="1"/>
  <c r="AA613" i="10"/>
  <c r="AJ613" i="10" l="1"/>
  <c r="AI613" i="10"/>
  <c r="AG613" i="10"/>
  <c r="AK613" i="10"/>
  <c r="AX613" i="10" s="1"/>
  <c r="AC614" i="10"/>
  <c r="BA613" i="10" s="1"/>
  <c r="AB614" i="10"/>
  <c r="AV613" i="10" s="1"/>
  <c r="AM614" i="10"/>
  <c r="S614" i="10"/>
  <c r="AD614" i="10" l="1"/>
  <c r="T614" i="10"/>
  <c r="AQ614" i="10" s="1"/>
  <c r="U614" i="10"/>
  <c r="W614" i="10" s="1"/>
  <c r="AP614" i="10" s="1"/>
  <c r="AH613" i="10"/>
  <c r="AO613" i="10"/>
  <c r="AY613" i="10" s="1"/>
  <c r="AL613" i="10"/>
  <c r="AN613" i="10" l="1"/>
  <c r="AW613" i="10" s="1"/>
  <c r="X614" i="10"/>
  <c r="Z614" i="10" l="1"/>
  <c r="AR614" i="10" s="1"/>
  <c r="AZ613" i="10"/>
  <c r="BD613" i="10"/>
  <c r="Q615" i="10" l="1"/>
  <c r="AA614" i="10"/>
  <c r="AJ614" i="10" l="1"/>
  <c r="AI614" i="10"/>
  <c r="AG614" i="10"/>
  <c r="AK614" i="10"/>
  <c r="AX614" i="10" s="1"/>
  <c r="AC615" i="10"/>
  <c r="BA614" i="10" s="1"/>
  <c r="AB615" i="10"/>
  <c r="AV614" i="10" s="1"/>
  <c r="AM615" i="10"/>
  <c r="S615" i="10"/>
  <c r="AD615" i="10" l="1"/>
  <c r="T615" i="10"/>
  <c r="AQ615" i="10" s="1"/>
  <c r="U615" i="10"/>
  <c r="W615" i="10" s="1"/>
  <c r="AP615" i="10" s="1"/>
  <c r="AH614" i="10"/>
  <c r="AO614" i="10"/>
  <c r="AY614" i="10" s="1"/>
  <c r="AL614" i="10"/>
  <c r="AN614" i="10" l="1"/>
  <c r="AW614" i="10" s="1"/>
  <c r="X615" i="10"/>
  <c r="Z615" i="10" l="1"/>
  <c r="AR615" i="10" s="1"/>
  <c r="AZ614" i="10"/>
  <c r="BD614" i="10"/>
  <c r="AA615" i="10" l="1"/>
  <c r="Q616" i="10"/>
  <c r="AC616" i="10" l="1"/>
  <c r="AB616" i="10"/>
  <c r="AV615" i="10" s="1"/>
  <c r="S616" i="10"/>
  <c r="AM616" i="10"/>
  <c r="AJ615" i="10"/>
  <c r="AI615" i="10"/>
  <c r="AG615" i="10"/>
  <c r="AK615" i="10"/>
  <c r="AX615" i="10" s="1"/>
  <c r="AL615" i="10" l="1"/>
  <c r="AH615" i="10"/>
  <c r="AO615" i="10"/>
  <c r="AY615" i="10" s="1"/>
  <c r="AD616" i="10"/>
  <c r="T616" i="10"/>
  <c r="AQ616" i="10" s="1"/>
  <c r="U616" i="10"/>
  <c r="W616" i="10" s="1"/>
  <c r="AP616" i="10" s="1"/>
  <c r="BA615" i="10"/>
  <c r="AN615" i="10" l="1"/>
  <c r="AW615" i="10" s="1"/>
  <c r="X616" i="10"/>
  <c r="AZ615" i="10"/>
  <c r="BD615" i="10"/>
  <c r="Z616" i="10" l="1"/>
  <c r="AR616" i="10" s="1"/>
  <c r="Q617" i="10" l="1"/>
  <c r="AA616" i="10"/>
  <c r="AJ616" i="10" l="1"/>
  <c r="AI616" i="10"/>
  <c r="AG616" i="10"/>
  <c r="AK616" i="10"/>
  <c r="AX616" i="10" s="1"/>
  <c r="AC617" i="10"/>
  <c r="BA616" i="10" s="1"/>
  <c r="AB617" i="10"/>
  <c r="AV616" i="10" s="1"/>
  <c r="AM617" i="10"/>
  <c r="S617" i="10"/>
  <c r="AD617" i="10" l="1"/>
  <c r="T617" i="10"/>
  <c r="AQ617" i="10" s="1"/>
  <c r="U617" i="10"/>
  <c r="W617" i="10" s="1"/>
  <c r="AP617" i="10" s="1"/>
  <c r="AH616" i="10"/>
  <c r="AO616" i="10"/>
  <c r="AY616" i="10" s="1"/>
  <c r="AL616" i="10"/>
  <c r="AN616" i="10" l="1"/>
  <c r="AW616" i="10" s="1"/>
  <c r="X617" i="10"/>
  <c r="Z617" i="10" l="1"/>
  <c r="AR617" i="10" s="1"/>
  <c r="AZ616" i="10"/>
  <c r="BD616" i="10"/>
  <c r="Q618" i="10" l="1"/>
  <c r="AA617" i="10"/>
  <c r="AJ617" i="10" l="1"/>
  <c r="AI617" i="10"/>
  <c r="AG617" i="10"/>
  <c r="AK617" i="10"/>
  <c r="AX617" i="10" s="1"/>
  <c r="AC618" i="10"/>
  <c r="BA617" i="10" s="1"/>
  <c r="AB618" i="10"/>
  <c r="AV617" i="10" s="1"/>
  <c r="AM618" i="10"/>
  <c r="S618" i="10"/>
  <c r="AD618" i="10" l="1"/>
  <c r="T618" i="10"/>
  <c r="AQ618" i="10" s="1"/>
  <c r="U618" i="10"/>
  <c r="W618" i="10" s="1"/>
  <c r="AP618" i="10" s="1"/>
  <c r="AH617" i="10"/>
  <c r="AO617" i="10"/>
  <c r="AY617" i="10" s="1"/>
  <c r="AL617" i="10"/>
  <c r="AN617" i="10" l="1"/>
  <c r="AW617" i="10" s="1"/>
  <c r="X618" i="10"/>
  <c r="Z618" i="10" l="1"/>
  <c r="AR618" i="10" s="1"/>
  <c r="AZ617" i="10"/>
  <c r="BD617" i="10"/>
  <c r="Q619" i="10" l="1"/>
  <c r="AA618" i="10"/>
  <c r="AJ618" i="10" l="1"/>
  <c r="AI618" i="10"/>
  <c r="AG618" i="10"/>
  <c r="AK618" i="10"/>
  <c r="AX618" i="10" s="1"/>
  <c r="AC619" i="10"/>
  <c r="BA618" i="10" s="1"/>
  <c r="AB619" i="10"/>
  <c r="AV618" i="10" s="1"/>
  <c r="AM619" i="10"/>
  <c r="S619" i="10"/>
  <c r="AH618" i="10" l="1"/>
  <c r="AO618" i="10"/>
  <c r="AY618" i="10" s="1"/>
  <c r="AL618" i="10"/>
  <c r="AD619" i="10"/>
  <c r="T619" i="10"/>
  <c r="AQ619" i="10" s="1"/>
  <c r="U619" i="10"/>
  <c r="W619" i="10" s="1"/>
  <c r="AP619" i="10" s="1"/>
  <c r="X619" i="10" l="1"/>
  <c r="Z619" i="10"/>
  <c r="AR619" i="10" s="1"/>
  <c r="AN618" i="10"/>
  <c r="AW618" i="10" s="1"/>
  <c r="AZ618" i="10" l="1"/>
  <c r="BD618" i="10"/>
  <c r="AA619" i="10"/>
  <c r="Q620" i="10"/>
  <c r="AC620" i="10" l="1"/>
  <c r="AB620" i="10"/>
  <c r="AV619" i="10" s="1"/>
  <c r="S620" i="10"/>
  <c r="AM620" i="10"/>
  <c r="AJ619" i="10"/>
  <c r="AI619" i="10"/>
  <c r="AG619" i="10"/>
  <c r="AK619" i="10"/>
  <c r="AX619" i="10" s="1"/>
  <c r="AL619" i="10" l="1"/>
  <c r="AH619" i="10"/>
  <c r="AN619" i="10" s="1"/>
  <c r="AW619" i="10" s="1"/>
  <c r="AO619" i="10"/>
  <c r="AY619" i="10" s="1"/>
  <c r="AD620" i="10"/>
  <c r="T620" i="10"/>
  <c r="AQ620" i="10" s="1"/>
  <c r="U620" i="10"/>
  <c r="W620" i="10" s="1"/>
  <c r="AP620" i="10" s="1"/>
  <c r="BA619" i="10"/>
  <c r="X620" i="10" l="1"/>
  <c r="AZ619" i="10"/>
  <c r="BD619" i="10"/>
  <c r="Z620" i="10" l="1"/>
  <c r="AR620" i="10" s="1"/>
  <c r="Q621" i="10" l="1"/>
  <c r="AA620" i="10"/>
  <c r="AJ620" i="10" l="1"/>
  <c r="AI620" i="10"/>
  <c r="AG620" i="10"/>
  <c r="AK620" i="10"/>
  <c r="AX620" i="10" s="1"/>
  <c r="AC621" i="10"/>
  <c r="BA620" i="10" s="1"/>
  <c r="AB621" i="10"/>
  <c r="AV620" i="10" s="1"/>
  <c r="AM621" i="10"/>
  <c r="S621" i="10"/>
  <c r="AH620" i="10" l="1"/>
  <c r="AO620" i="10"/>
  <c r="AY620" i="10" s="1"/>
  <c r="AL620" i="10"/>
  <c r="AD621" i="10"/>
  <c r="T621" i="10"/>
  <c r="AQ621" i="10" s="1"/>
  <c r="U621" i="10"/>
  <c r="W621" i="10" s="1"/>
  <c r="AP621" i="10" s="1"/>
  <c r="X621" i="10" l="1"/>
  <c r="AN620" i="10"/>
  <c r="AW620" i="10" s="1"/>
  <c r="AZ620" i="10" l="1"/>
  <c r="BD620" i="10"/>
  <c r="Z621" i="10"/>
  <c r="AR621" i="10" s="1"/>
  <c r="Q622" i="10" l="1"/>
  <c r="AA621" i="10"/>
  <c r="AJ621" i="10" l="1"/>
  <c r="AI621" i="10"/>
  <c r="AG621" i="10"/>
  <c r="AK621" i="10"/>
  <c r="AX621" i="10" s="1"/>
  <c r="AC622" i="10"/>
  <c r="BA621" i="10" s="1"/>
  <c r="AB622" i="10"/>
  <c r="AV621" i="10" s="1"/>
  <c r="AM622" i="10"/>
  <c r="S622" i="10"/>
  <c r="AD622" i="10" l="1"/>
  <c r="T622" i="10"/>
  <c r="AQ622" i="10" s="1"/>
  <c r="U622" i="10"/>
  <c r="W622" i="10" s="1"/>
  <c r="AP622" i="10" s="1"/>
  <c r="AH621" i="10"/>
  <c r="AO621" i="10"/>
  <c r="AY621" i="10" s="1"/>
  <c r="AL621" i="10"/>
  <c r="AN621" i="10" l="1"/>
  <c r="AW621" i="10" s="1"/>
  <c r="X622" i="10"/>
  <c r="Z622" i="10" l="1"/>
  <c r="AR622" i="10" s="1"/>
  <c r="AZ621" i="10"/>
  <c r="BD621" i="10"/>
  <c r="Q623" i="10" l="1"/>
  <c r="AA622" i="10"/>
  <c r="AJ622" i="10" l="1"/>
  <c r="AI622" i="10"/>
  <c r="AG622" i="10"/>
  <c r="AK622" i="10"/>
  <c r="AX622" i="10" s="1"/>
  <c r="AC623" i="10"/>
  <c r="BA622" i="10" s="1"/>
  <c r="AB623" i="10"/>
  <c r="AV622" i="10" s="1"/>
  <c r="AM623" i="10"/>
  <c r="S623" i="10"/>
  <c r="AH622" i="10" l="1"/>
  <c r="AO622" i="10"/>
  <c r="AY622" i="10" s="1"/>
  <c r="AL622" i="10"/>
  <c r="AD623" i="10"/>
  <c r="T623" i="10"/>
  <c r="AQ623" i="10" s="1"/>
  <c r="U623" i="10"/>
  <c r="W623" i="10" s="1"/>
  <c r="AP623" i="10" s="1"/>
  <c r="X623" i="10" l="1"/>
  <c r="AN622" i="10"/>
  <c r="AW622" i="10" s="1"/>
  <c r="AZ622" i="10" l="1"/>
  <c r="BD622" i="10"/>
  <c r="Z623" i="10"/>
  <c r="AR623" i="10" s="1"/>
  <c r="AA623" i="10" l="1"/>
  <c r="Q624" i="10"/>
  <c r="AC624" i="10" l="1"/>
  <c r="AB624" i="10"/>
  <c r="AV623" i="10" s="1"/>
  <c r="S624" i="10"/>
  <c r="AM624" i="10"/>
  <c r="AJ623" i="10"/>
  <c r="AI623" i="10"/>
  <c r="AG623" i="10"/>
  <c r="AK623" i="10"/>
  <c r="AX623" i="10" s="1"/>
  <c r="AL623" i="10" l="1"/>
  <c r="AD624" i="10"/>
  <c r="T624" i="10"/>
  <c r="AQ624" i="10" s="1"/>
  <c r="U624" i="10"/>
  <c r="W624" i="10" s="1"/>
  <c r="AP624" i="10" s="1"/>
  <c r="BA623" i="10"/>
  <c r="AH623" i="10"/>
  <c r="AN623" i="10" s="1"/>
  <c r="AW623" i="10" s="1"/>
  <c r="AO623" i="10"/>
  <c r="AY623" i="10" s="1"/>
  <c r="AZ623" i="10" l="1"/>
  <c r="BD623" i="10"/>
  <c r="X624" i="10"/>
  <c r="Z624" i="10" l="1"/>
  <c r="AR624" i="10" s="1"/>
  <c r="Q625" i="10" l="1"/>
  <c r="AA624" i="10"/>
  <c r="AJ624" i="10" l="1"/>
  <c r="AI624" i="10"/>
  <c r="AG624" i="10"/>
  <c r="AK624" i="10"/>
  <c r="AX624" i="10" s="1"/>
  <c r="AC625" i="10"/>
  <c r="BA624" i="10" s="1"/>
  <c r="AB625" i="10"/>
  <c r="AV624" i="10" s="1"/>
  <c r="AM625" i="10"/>
  <c r="S625" i="10"/>
  <c r="AD625" i="10" l="1"/>
  <c r="T625" i="10"/>
  <c r="AQ625" i="10" s="1"/>
  <c r="U625" i="10"/>
  <c r="W625" i="10" s="1"/>
  <c r="AP625" i="10" s="1"/>
  <c r="AH624" i="10"/>
  <c r="AO624" i="10"/>
  <c r="AY624" i="10" s="1"/>
  <c r="AL624" i="10"/>
  <c r="AN624" i="10" l="1"/>
  <c r="AW624" i="10" s="1"/>
  <c r="X625" i="10"/>
  <c r="Z625" i="10" l="1"/>
  <c r="AR625" i="10" s="1"/>
  <c r="AZ624" i="10"/>
  <c r="BD624" i="10"/>
  <c r="Q626" i="10" l="1"/>
  <c r="AA625" i="10"/>
  <c r="AJ625" i="10" l="1"/>
  <c r="AI625" i="10"/>
  <c r="AG625" i="10"/>
  <c r="AK625" i="10"/>
  <c r="AX625" i="10" s="1"/>
  <c r="AC626" i="10"/>
  <c r="BA625" i="10" s="1"/>
  <c r="AB626" i="10"/>
  <c r="AV625" i="10" s="1"/>
  <c r="AM626" i="10"/>
  <c r="S626" i="10"/>
  <c r="AH625" i="10" l="1"/>
  <c r="AO625" i="10"/>
  <c r="AY625" i="10" s="1"/>
  <c r="AL625" i="10"/>
  <c r="AD626" i="10"/>
  <c r="T626" i="10"/>
  <c r="AQ626" i="10" s="1"/>
  <c r="U626" i="10"/>
  <c r="W626" i="10" s="1"/>
  <c r="AP626" i="10" s="1"/>
  <c r="X626" i="10" l="1"/>
  <c r="AN625" i="10"/>
  <c r="AW625" i="10" s="1"/>
  <c r="AZ625" i="10" l="1"/>
  <c r="BD625" i="10"/>
  <c r="Z626" i="10"/>
  <c r="AR626" i="10" s="1"/>
  <c r="Q627" i="10" l="1"/>
  <c r="AA626" i="10"/>
  <c r="AJ626" i="10" l="1"/>
  <c r="AI626" i="10"/>
  <c r="AG626" i="10"/>
  <c r="AK626" i="10"/>
  <c r="AX626" i="10" s="1"/>
  <c r="AC627" i="10"/>
  <c r="BA626" i="10" s="1"/>
  <c r="AB627" i="10"/>
  <c r="AV626" i="10" s="1"/>
  <c r="AM627" i="10"/>
  <c r="S627" i="10"/>
  <c r="AD627" i="10" l="1"/>
  <c r="T627" i="10"/>
  <c r="AQ627" i="10" s="1"/>
  <c r="U627" i="10"/>
  <c r="W627" i="10" s="1"/>
  <c r="AP627" i="10" s="1"/>
  <c r="AH626" i="10"/>
  <c r="AO626" i="10"/>
  <c r="AY626" i="10" s="1"/>
  <c r="AL626" i="10"/>
  <c r="AN626" i="10" l="1"/>
  <c r="AW626" i="10" s="1"/>
  <c r="X627" i="10"/>
  <c r="Z627" i="10" l="1"/>
  <c r="AR627" i="10" s="1"/>
  <c r="AZ626" i="10"/>
  <c r="BD626" i="10"/>
  <c r="AA627" i="10" l="1"/>
  <c r="Q628" i="10"/>
  <c r="AC628" i="10" l="1"/>
  <c r="AB628" i="10"/>
  <c r="AV627" i="10" s="1"/>
  <c r="S628" i="10"/>
  <c r="AM628" i="10"/>
  <c r="AJ627" i="10"/>
  <c r="AI627" i="10"/>
  <c r="AG627" i="10"/>
  <c r="AK627" i="10"/>
  <c r="AX627" i="10" s="1"/>
  <c r="AH627" i="10" l="1"/>
  <c r="AO627" i="10"/>
  <c r="AY627" i="10" s="1"/>
  <c r="AL627" i="10"/>
  <c r="AD628" i="10"/>
  <c r="T628" i="10"/>
  <c r="AQ628" i="10" s="1"/>
  <c r="U628" i="10"/>
  <c r="W628" i="10" s="1"/>
  <c r="AP628" i="10" s="1"/>
  <c r="BA627" i="10"/>
  <c r="X628" i="10" l="1"/>
  <c r="AN627" i="10"/>
  <c r="AW627" i="10" s="1"/>
  <c r="AZ627" i="10" l="1"/>
  <c r="BD627" i="10"/>
  <c r="Z628" i="10"/>
  <c r="AR628" i="10" s="1"/>
  <c r="Q629" i="10" l="1"/>
  <c r="AA628" i="10"/>
  <c r="AJ628" i="10" l="1"/>
  <c r="AI628" i="10"/>
  <c r="AG628" i="10"/>
  <c r="AK628" i="10"/>
  <c r="AX628" i="10" s="1"/>
  <c r="AC629" i="10"/>
  <c r="BA628" i="10" s="1"/>
  <c r="AB629" i="10"/>
  <c r="AV628" i="10" s="1"/>
  <c r="AM629" i="10"/>
  <c r="S629" i="10"/>
  <c r="AD629" i="10" l="1"/>
  <c r="T629" i="10"/>
  <c r="AQ629" i="10" s="1"/>
  <c r="U629" i="10"/>
  <c r="W629" i="10" s="1"/>
  <c r="AP629" i="10" s="1"/>
  <c r="AH628" i="10"/>
  <c r="AO628" i="10"/>
  <c r="AY628" i="10" s="1"/>
  <c r="AL628" i="10"/>
  <c r="AN628" i="10" l="1"/>
  <c r="AW628" i="10" s="1"/>
  <c r="X629" i="10"/>
  <c r="Z629" i="10" l="1"/>
  <c r="AR629" i="10" s="1"/>
  <c r="AZ628" i="10"/>
  <c r="BD628" i="10"/>
  <c r="Q630" i="10" l="1"/>
  <c r="AA629" i="10"/>
  <c r="AJ629" i="10" l="1"/>
  <c r="AI629" i="10"/>
  <c r="AG629" i="10"/>
  <c r="AK629" i="10"/>
  <c r="AX629" i="10" s="1"/>
  <c r="AC630" i="10"/>
  <c r="BA629" i="10" s="1"/>
  <c r="AB630" i="10"/>
  <c r="AV629" i="10" s="1"/>
  <c r="AM630" i="10"/>
  <c r="S630" i="10"/>
  <c r="AD630" i="10" l="1"/>
  <c r="T630" i="10"/>
  <c r="AQ630" i="10" s="1"/>
  <c r="U630" i="10"/>
  <c r="W630" i="10" s="1"/>
  <c r="AP630" i="10" s="1"/>
  <c r="AH629" i="10"/>
  <c r="AO629" i="10"/>
  <c r="AY629" i="10" s="1"/>
  <c r="AL629" i="10"/>
  <c r="AN629" i="10" l="1"/>
  <c r="AW629" i="10" s="1"/>
  <c r="X630" i="10"/>
  <c r="Z630" i="10" l="1"/>
  <c r="AR630" i="10" s="1"/>
  <c r="AZ629" i="10"/>
  <c r="BD629" i="10"/>
  <c r="Q631" i="10" l="1"/>
  <c r="AA630" i="10"/>
  <c r="AJ630" i="10" l="1"/>
  <c r="AI630" i="10"/>
  <c r="AG630" i="10"/>
  <c r="AK630" i="10"/>
  <c r="AX630" i="10" s="1"/>
  <c r="AC631" i="10"/>
  <c r="BA630" i="10" s="1"/>
  <c r="AB631" i="10"/>
  <c r="AV630" i="10" s="1"/>
  <c r="AM631" i="10"/>
  <c r="S631" i="10"/>
  <c r="AD631" i="10" l="1"/>
  <c r="T631" i="10"/>
  <c r="AQ631" i="10" s="1"/>
  <c r="U631" i="10"/>
  <c r="W631" i="10" s="1"/>
  <c r="AP631" i="10" s="1"/>
  <c r="AH630" i="10"/>
  <c r="AO630" i="10"/>
  <c r="AY630" i="10" s="1"/>
  <c r="AL630" i="10"/>
  <c r="AN630" i="10" l="1"/>
  <c r="AW630" i="10" s="1"/>
  <c r="X631" i="10"/>
  <c r="Z631" i="10" l="1"/>
  <c r="AR631" i="10" s="1"/>
  <c r="AZ630" i="10"/>
  <c r="BD630" i="10"/>
  <c r="AA631" i="10" l="1"/>
  <c r="Q632" i="10"/>
  <c r="AC632" i="10" l="1"/>
  <c r="AB632" i="10"/>
  <c r="AV631" i="10" s="1"/>
  <c r="AM632" i="10"/>
  <c r="S632" i="10"/>
  <c r="AJ631" i="10"/>
  <c r="AI631" i="10"/>
  <c r="AG631" i="10"/>
  <c r="AK631" i="10"/>
  <c r="AX631" i="10" s="1"/>
  <c r="AH631" i="10" l="1"/>
  <c r="AO631" i="10"/>
  <c r="AY631" i="10" s="1"/>
  <c r="AL631" i="10"/>
  <c r="AD632" i="10"/>
  <c r="T632" i="10"/>
  <c r="AQ632" i="10" s="1"/>
  <c r="U632" i="10"/>
  <c r="W632" i="10" s="1"/>
  <c r="AP632" i="10" s="1"/>
  <c r="BA631" i="10"/>
  <c r="X632" i="10" l="1"/>
  <c r="AN631" i="10"/>
  <c r="AW631" i="10" s="1"/>
  <c r="Z632" i="10" l="1"/>
  <c r="AR632" i="10" s="1"/>
  <c r="AZ631" i="10"/>
  <c r="BD631" i="10"/>
  <c r="Q633" i="10" l="1"/>
  <c r="AA632" i="10"/>
  <c r="AJ632" i="10" l="1"/>
  <c r="AI632" i="10"/>
  <c r="AG632" i="10"/>
  <c r="AK632" i="10"/>
  <c r="AX632" i="10" s="1"/>
  <c r="AC633" i="10"/>
  <c r="BA632" i="10" s="1"/>
  <c r="AB633" i="10"/>
  <c r="AV632" i="10" s="1"/>
  <c r="AM633" i="10"/>
  <c r="S633" i="10"/>
  <c r="AH632" i="10" l="1"/>
  <c r="AO632" i="10"/>
  <c r="AY632" i="10" s="1"/>
  <c r="AL632" i="10"/>
  <c r="AD633" i="10"/>
  <c r="T633" i="10"/>
  <c r="AQ633" i="10" s="1"/>
  <c r="U633" i="10"/>
  <c r="W633" i="10" s="1"/>
  <c r="AP633" i="10" s="1"/>
  <c r="X633" i="10" l="1"/>
  <c r="Z633" i="10"/>
  <c r="AR633" i="10" s="1"/>
  <c r="AN632" i="10"/>
  <c r="AW632" i="10" s="1"/>
  <c r="AZ632" i="10" l="1"/>
  <c r="BD632" i="10"/>
  <c r="Q634" i="10"/>
  <c r="AA633" i="10"/>
  <c r="AJ633" i="10" l="1"/>
  <c r="AI633" i="10"/>
  <c r="AG633" i="10"/>
  <c r="AK633" i="10"/>
  <c r="AX633" i="10" s="1"/>
  <c r="AC634" i="10"/>
  <c r="BA633" i="10" s="1"/>
  <c r="AB634" i="10"/>
  <c r="AV633" i="10" s="1"/>
  <c r="AM634" i="10"/>
  <c r="S634" i="10"/>
  <c r="AD634" i="10" l="1"/>
  <c r="T634" i="10"/>
  <c r="AQ634" i="10" s="1"/>
  <c r="U634" i="10"/>
  <c r="W634" i="10" s="1"/>
  <c r="AP634" i="10" s="1"/>
  <c r="AH633" i="10"/>
  <c r="AO633" i="10"/>
  <c r="AY633" i="10" s="1"/>
  <c r="AL633" i="10"/>
  <c r="AN633" i="10" l="1"/>
  <c r="AW633" i="10" s="1"/>
  <c r="X634" i="10"/>
  <c r="Z634" i="10" l="1"/>
  <c r="AR634" i="10" s="1"/>
  <c r="AZ633" i="10"/>
  <c r="BD633" i="10"/>
  <c r="Q635" i="10" l="1"/>
  <c r="AA634" i="10"/>
  <c r="AJ634" i="10" l="1"/>
  <c r="AI634" i="10"/>
  <c r="AG634" i="10"/>
  <c r="AK634" i="10"/>
  <c r="AX634" i="10" s="1"/>
  <c r="AC635" i="10"/>
  <c r="BA634" i="10" s="1"/>
  <c r="AB635" i="10"/>
  <c r="AV634" i="10" s="1"/>
  <c r="AM635" i="10"/>
  <c r="S635" i="10"/>
  <c r="AD635" i="10" l="1"/>
  <c r="T635" i="10"/>
  <c r="AQ635" i="10" s="1"/>
  <c r="U635" i="10"/>
  <c r="W635" i="10" s="1"/>
  <c r="AP635" i="10" s="1"/>
  <c r="AH634" i="10"/>
  <c r="AO634" i="10"/>
  <c r="AY634" i="10" s="1"/>
  <c r="AL634" i="10"/>
  <c r="AN634" i="10" l="1"/>
  <c r="AW634" i="10" s="1"/>
  <c r="X635" i="10"/>
  <c r="Z635" i="10" l="1"/>
  <c r="AR635" i="10" s="1"/>
  <c r="AZ634" i="10"/>
  <c r="BD634" i="10"/>
  <c r="Q636" i="10" l="1"/>
  <c r="AA635" i="10"/>
  <c r="AJ635" i="10" l="1"/>
  <c r="AI635" i="10"/>
  <c r="AG635" i="10"/>
  <c r="AK635" i="10"/>
  <c r="AX635" i="10" s="1"/>
  <c r="AC636" i="10"/>
  <c r="BA635" i="10" s="1"/>
  <c r="AB636" i="10"/>
  <c r="AV635" i="10" s="1"/>
  <c r="AM636" i="10"/>
  <c r="S636" i="10"/>
  <c r="AD636" i="10" l="1"/>
  <c r="T636" i="10"/>
  <c r="AQ636" i="10" s="1"/>
  <c r="U636" i="10"/>
  <c r="W636" i="10" s="1"/>
  <c r="AP636" i="10" s="1"/>
  <c r="AH635" i="10"/>
  <c r="AO635" i="10"/>
  <c r="AY635" i="10" s="1"/>
  <c r="AL635" i="10"/>
  <c r="AN635" i="10" l="1"/>
  <c r="AW635" i="10" s="1"/>
  <c r="X636" i="10"/>
  <c r="Z636" i="10" l="1"/>
  <c r="AR636" i="10" s="1"/>
  <c r="AZ635" i="10"/>
  <c r="BD635" i="10"/>
  <c r="Q637" i="10" l="1"/>
  <c r="AA636" i="10"/>
  <c r="AJ636" i="10" l="1"/>
  <c r="AI636" i="10"/>
  <c r="AG636" i="10"/>
  <c r="AK636" i="10"/>
  <c r="AX636" i="10" s="1"/>
  <c r="AC637" i="10"/>
  <c r="BA636" i="10" s="1"/>
  <c r="AB637" i="10"/>
  <c r="AV636" i="10" s="1"/>
  <c r="AM637" i="10"/>
  <c r="S637" i="10"/>
  <c r="AH636" i="10" l="1"/>
  <c r="AO636" i="10"/>
  <c r="AY636" i="10" s="1"/>
  <c r="AL636" i="10"/>
  <c r="AD637" i="10"/>
  <c r="T637" i="10"/>
  <c r="AQ637" i="10" s="1"/>
  <c r="U637" i="10"/>
  <c r="W637" i="10" s="1"/>
  <c r="AP637" i="10" s="1"/>
  <c r="X637" i="10" l="1"/>
  <c r="Z637" i="10"/>
  <c r="AR637" i="10" s="1"/>
  <c r="AN636" i="10"/>
  <c r="AW636" i="10" s="1"/>
  <c r="AZ636" i="10" l="1"/>
  <c r="BD636" i="10"/>
  <c r="Q638" i="10"/>
  <c r="AA637" i="10"/>
  <c r="AJ637" i="10" l="1"/>
  <c r="AI637" i="10"/>
  <c r="AG637" i="10"/>
  <c r="AK637" i="10"/>
  <c r="AX637" i="10" s="1"/>
  <c r="AC638" i="10"/>
  <c r="BA637" i="10" s="1"/>
  <c r="AB638" i="10"/>
  <c r="AV637" i="10" s="1"/>
  <c r="AM638" i="10"/>
  <c r="S638" i="10"/>
  <c r="AH637" i="10" l="1"/>
  <c r="AO637" i="10"/>
  <c r="AY637" i="10" s="1"/>
  <c r="AL637" i="10"/>
  <c r="AD638" i="10"/>
  <c r="T638" i="10"/>
  <c r="AQ638" i="10" s="1"/>
  <c r="U638" i="10"/>
  <c r="W638" i="10" s="1"/>
  <c r="AP638" i="10" s="1"/>
  <c r="X638" i="10" l="1"/>
  <c r="Z638" i="10" s="1"/>
  <c r="AR638" i="10" s="1"/>
  <c r="AN637" i="10"/>
  <c r="AW637" i="10" s="1"/>
  <c r="AZ637" i="10" l="1"/>
  <c r="BD637" i="10"/>
  <c r="Q639" i="10"/>
  <c r="AA638" i="10"/>
  <c r="AJ638" i="10" l="1"/>
  <c r="AI638" i="10"/>
  <c r="AG638" i="10"/>
  <c r="AK638" i="10"/>
  <c r="AX638" i="10" s="1"/>
  <c r="AC639" i="10"/>
  <c r="BA638" i="10" s="1"/>
  <c r="AB639" i="10"/>
  <c r="AV638" i="10" s="1"/>
  <c r="AM639" i="10"/>
  <c r="S639" i="10"/>
  <c r="AH638" i="10" l="1"/>
  <c r="AO638" i="10"/>
  <c r="AY638" i="10" s="1"/>
  <c r="AL638" i="10"/>
  <c r="AD639" i="10"/>
  <c r="T639" i="10"/>
  <c r="AQ639" i="10" s="1"/>
  <c r="U639" i="10"/>
  <c r="W639" i="10" s="1"/>
  <c r="AP639" i="10" s="1"/>
  <c r="X639" i="10" l="1"/>
  <c r="Z639" i="10" s="1"/>
  <c r="AR639" i="10" s="1"/>
  <c r="AN638" i="10"/>
  <c r="AW638" i="10" s="1"/>
  <c r="AZ638" i="10" l="1"/>
  <c r="BD638" i="10"/>
  <c r="Q640" i="10"/>
  <c r="AA639" i="10"/>
  <c r="AJ639" i="10" l="1"/>
  <c r="AI639" i="10"/>
  <c r="AG639" i="10"/>
  <c r="AK639" i="10"/>
  <c r="AX639" i="10" s="1"/>
  <c r="AC640" i="10"/>
  <c r="BA639" i="10" s="1"/>
  <c r="AB640" i="10"/>
  <c r="AV639" i="10" s="1"/>
  <c r="AM640" i="10"/>
  <c r="S640" i="10"/>
  <c r="AH639" i="10" l="1"/>
  <c r="AO639" i="10"/>
  <c r="AY639" i="10" s="1"/>
  <c r="AL639" i="10"/>
  <c r="AD640" i="10"/>
  <c r="T640" i="10"/>
  <c r="AQ640" i="10" s="1"/>
  <c r="U640" i="10"/>
  <c r="W640" i="10" s="1"/>
  <c r="AP640" i="10" s="1"/>
  <c r="X640" i="10" l="1"/>
  <c r="Z640" i="10" s="1"/>
  <c r="AR640" i="10" s="1"/>
  <c r="AN639" i="10"/>
  <c r="AW639" i="10" s="1"/>
  <c r="AZ639" i="10" l="1"/>
  <c r="BD639" i="10"/>
  <c r="Q641" i="10"/>
  <c r="AA640" i="10"/>
  <c r="AJ640" i="10" l="1"/>
  <c r="AI640" i="10"/>
  <c r="AG640" i="10"/>
  <c r="AK640" i="10"/>
  <c r="AX640" i="10" s="1"/>
  <c r="AC641" i="10"/>
  <c r="BA640" i="10" s="1"/>
  <c r="AB641" i="10"/>
  <c r="AV640" i="10" s="1"/>
  <c r="AM641" i="10"/>
  <c r="S641" i="10"/>
  <c r="AH640" i="10" l="1"/>
  <c r="AO640" i="10"/>
  <c r="AY640" i="10" s="1"/>
  <c r="AL640" i="10"/>
  <c r="AD641" i="10"/>
  <c r="T641" i="10"/>
  <c r="AQ641" i="10" s="1"/>
  <c r="U641" i="10"/>
  <c r="W641" i="10" s="1"/>
  <c r="AP641" i="10" s="1"/>
  <c r="X641" i="10" l="1"/>
  <c r="Z641" i="10"/>
  <c r="AR641" i="10" s="1"/>
  <c r="AN640" i="10"/>
  <c r="AW640" i="10" s="1"/>
  <c r="AZ640" i="10" l="1"/>
  <c r="BD640" i="10"/>
  <c r="Q642" i="10"/>
  <c r="AA641" i="10"/>
  <c r="AJ641" i="10" l="1"/>
  <c r="AI641" i="10"/>
  <c r="AG641" i="10"/>
  <c r="AK641" i="10"/>
  <c r="AX641" i="10" s="1"/>
  <c r="AC642" i="10"/>
  <c r="BA641" i="10" s="1"/>
  <c r="AB642" i="10"/>
  <c r="AV641" i="10" s="1"/>
  <c r="AM642" i="10"/>
  <c r="S642" i="10"/>
  <c r="AH641" i="10" l="1"/>
  <c r="AO641" i="10"/>
  <c r="AY641" i="10" s="1"/>
  <c r="AL641" i="10"/>
  <c r="AD642" i="10"/>
  <c r="T642" i="10"/>
  <c r="AQ642" i="10" s="1"/>
  <c r="U642" i="10"/>
  <c r="W642" i="10" s="1"/>
  <c r="AP642" i="10" s="1"/>
  <c r="X642" i="10" l="1"/>
  <c r="Z642" i="10"/>
  <c r="AR642" i="10" s="1"/>
  <c r="AN641" i="10"/>
  <c r="AW641" i="10" s="1"/>
  <c r="AZ641" i="10" l="1"/>
  <c r="BD641" i="10"/>
  <c r="Q643" i="10"/>
  <c r="AA642" i="10"/>
  <c r="AJ642" i="10" l="1"/>
  <c r="AI642" i="10"/>
  <c r="AG642" i="10"/>
  <c r="AK642" i="10"/>
  <c r="AX642" i="10" s="1"/>
  <c r="AC643" i="10"/>
  <c r="BA642" i="10" s="1"/>
  <c r="AB643" i="10"/>
  <c r="AV642" i="10" s="1"/>
  <c r="AM643" i="10"/>
  <c r="S643" i="10"/>
  <c r="AO642" i="10" l="1"/>
  <c r="AY642" i="10" s="1"/>
  <c r="AH642" i="10"/>
  <c r="AL642" i="10"/>
  <c r="AD643" i="10"/>
  <c r="T643" i="10"/>
  <c r="AQ643" i="10" s="1"/>
  <c r="U643" i="10"/>
  <c r="W643" i="10" s="1"/>
  <c r="AP643" i="10" s="1"/>
  <c r="X643" i="10" l="1"/>
  <c r="Z643" i="10" s="1"/>
  <c r="AR643" i="10" s="1"/>
  <c r="AN642" i="10"/>
  <c r="AW642" i="10" s="1"/>
  <c r="AZ642" i="10" l="1"/>
  <c r="BD642" i="10"/>
  <c r="Q644" i="10"/>
  <c r="AA643" i="10"/>
  <c r="AJ643" i="10" l="1"/>
  <c r="AI643" i="10"/>
  <c r="AG643" i="10"/>
  <c r="AK643" i="10"/>
  <c r="AX643" i="10" s="1"/>
  <c r="AC644" i="10"/>
  <c r="BA643" i="10" s="1"/>
  <c r="AB644" i="10"/>
  <c r="AV643" i="10" s="1"/>
  <c r="AM644" i="10"/>
  <c r="S644" i="10"/>
  <c r="AH643" i="10" l="1"/>
  <c r="AO643" i="10"/>
  <c r="AY643" i="10" s="1"/>
  <c r="AL643" i="10"/>
  <c r="AD644" i="10"/>
  <c r="T644" i="10"/>
  <c r="AQ644" i="10" s="1"/>
  <c r="U644" i="10"/>
  <c r="W644" i="10" s="1"/>
  <c r="AP644" i="10" s="1"/>
  <c r="X644" i="10" l="1"/>
  <c r="Z644" i="10" s="1"/>
  <c r="AR644" i="10" s="1"/>
  <c r="AN643" i="10"/>
  <c r="AW643" i="10" s="1"/>
  <c r="AZ643" i="10" l="1"/>
  <c r="BD643" i="10"/>
  <c r="Q645" i="10"/>
  <c r="AA644" i="10"/>
  <c r="AJ644" i="10" l="1"/>
  <c r="AI644" i="10"/>
  <c r="AG644" i="10"/>
  <c r="AK644" i="10"/>
  <c r="AX644" i="10" s="1"/>
  <c r="AC645" i="10"/>
  <c r="BA644" i="10" s="1"/>
  <c r="AB645" i="10"/>
  <c r="AV644" i="10" s="1"/>
  <c r="AM645" i="10"/>
  <c r="S645" i="10"/>
  <c r="AO644" i="10" l="1"/>
  <c r="AY644" i="10" s="1"/>
  <c r="AH644" i="10"/>
  <c r="AL644" i="10"/>
  <c r="AD645" i="10"/>
  <c r="T645" i="10"/>
  <c r="AQ645" i="10" s="1"/>
  <c r="U645" i="10"/>
  <c r="W645" i="10" s="1"/>
  <c r="AP645" i="10" s="1"/>
  <c r="X645" i="10" l="1"/>
  <c r="Z645" i="10"/>
  <c r="AR645" i="10" s="1"/>
  <c r="AN644" i="10"/>
  <c r="AW644" i="10" s="1"/>
  <c r="AZ644" i="10" l="1"/>
  <c r="BD644" i="10"/>
  <c r="Q646" i="10"/>
  <c r="AA645" i="10"/>
  <c r="AJ645" i="10" l="1"/>
  <c r="AI645" i="10"/>
  <c r="AG645" i="10"/>
  <c r="AK645" i="10"/>
  <c r="AX645" i="10" s="1"/>
  <c r="AC646" i="10"/>
  <c r="BA645" i="10" s="1"/>
  <c r="AB646" i="10"/>
  <c r="AV645" i="10" s="1"/>
  <c r="AM646" i="10"/>
  <c r="S646" i="10"/>
  <c r="AH645" i="10" l="1"/>
  <c r="AO645" i="10"/>
  <c r="AY645" i="10" s="1"/>
  <c r="AL645" i="10"/>
  <c r="AD646" i="10"/>
  <c r="T646" i="10"/>
  <c r="AQ646" i="10" s="1"/>
  <c r="U646" i="10"/>
  <c r="W646" i="10" s="1"/>
  <c r="AP646" i="10" s="1"/>
  <c r="X646" i="10" l="1"/>
  <c r="Z646" i="10" s="1"/>
  <c r="AR646" i="10" s="1"/>
  <c r="AN645" i="10"/>
  <c r="AW645" i="10" s="1"/>
  <c r="AZ645" i="10" l="1"/>
  <c r="BD645" i="10"/>
  <c r="Q647" i="10"/>
  <c r="AA646" i="10"/>
  <c r="AJ646" i="10" l="1"/>
  <c r="AI646" i="10"/>
  <c r="AG646" i="10"/>
  <c r="AK646" i="10"/>
  <c r="AX646" i="10" s="1"/>
  <c r="AC647" i="10"/>
  <c r="BA646" i="10" s="1"/>
  <c r="AB647" i="10"/>
  <c r="AV646" i="10" s="1"/>
  <c r="AM647" i="10"/>
  <c r="S647" i="10"/>
  <c r="AO646" i="10" l="1"/>
  <c r="AY646" i="10" s="1"/>
  <c r="AH646" i="10"/>
  <c r="AL646" i="10"/>
  <c r="AD647" i="10"/>
  <c r="T647" i="10"/>
  <c r="AQ647" i="10" s="1"/>
  <c r="U647" i="10"/>
  <c r="W647" i="10" s="1"/>
  <c r="AP647" i="10" s="1"/>
  <c r="X647" i="10" l="1"/>
  <c r="Z647" i="10" s="1"/>
  <c r="AR647" i="10" s="1"/>
  <c r="AN646" i="10"/>
  <c r="AW646" i="10" s="1"/>
  <c r="AZ646" i="10" l="1"/>
  <c r="BD646" i="10"/>
  <c r="Q648" i="10"/>
  <c r="AA647" i="10"/>
  <c r="AJ647" i="10" l="1"/>
  <c r="AI647" i="10"/>
  <c r="AG647" i="10"/>
  <c r="AK647" i="10"/>
  <c r="AX647" i="10" s="1"/>
  <c r="AC648" i="10"/>
  <c r="BA647" i="10" s="1"/>
  <c r="AB648" i="10"/>
  <c r="AV647" i="10" s="1"/>
  <c r="AM648" i="10"/>
  <c r="S648" i="10"/>
  <c r="AD648" i="10" l="1"/>
  <c r="T648" i="10"/>
  <c r="AQ648" i="10" s="1"/>
  <c r="U648" i="10"/>
  <c r="W648" i="10" s="1"/>
  <c r="AP648" i="10" s="1"/>
  <c r="AH647" i="10"/>
  <c r="AO647" i="10"/>
  <c r="AY647" i="10" s="1"/>
  <c r="AL647" i="10"/>
  <c r="AN647" i="10" l="1"/>
  <c r="AW647" i="10" s="1"/>
  <c r="X648" i="10"/>
  <c r="Z648" i="10" l="1"/>
  <c r="AR648" i="10" s="1"/>
  <c r="AZ647" i="10"/>
  <c r="BD647" i="10"/>
  <c r="Q649" i="10" l="1"/>
  <c r="AA648" i="10"/>
  <c r="AJ648" i="10" l="1"/>
  <c r="AI648" i="10"/>
  <c r="AG648" i="10"/>
  <c r="AK648" i="10"/>
  <c r="AX648" i="10" s="1"/>
  <c r="AC649" i="10"/>
  <c r="BA648" i="10" s="1"/>
  <c r="AB649" i="10"/>
  <c r="AV648" i="10" s="1"/>
  <c r="AM649" i="10"/>
  <c r="S649" i="10"/>
  <c r="AO648" i="10" l="1"/>
  <c r="AY648" i="10" s="1"/>
  <c r="AH648" i="10"/>
  <c r="AL648" i="10"/>
  <c r="AD649" i="10"/>
  <c r="T649" i="10"/>
  <c r="AQ649" i="10" s="1"/>
  <c r="U649" i="10"/>
  <c r="W649" i="10" s="1"/>
  <c r="AP649" i="10" s="1"/>
  <c r="X649" i="10" l="1"/>
  <c r="AN648" i="10"/>
  <c r="AW648" i="10" s="1"/>
  <c r="AZ648" i="10" l="1"/>
  <c r="BD648" i="10"/>
  <c r="Z649" i="10"/>
  <c r="AR649" i="10" s="1"/>
  <c r="Q650" i="10" l="1"/>
  <c r="AA649" i="10"/>
  <c r="AJ649" i="10" l="1"/>
  <c r="AI649" i="10"/>
  <c r="AG649" i="10"/>
  <c r="AK649" i="10"/>
  <c r="AX649" i="10" s="1"/>
  <c r="AC650" i="10"/>
  <c r="BA649" i="10" s="1"/>
  <c r="AB650" i="10"/>
  <c r="AV649" i="10" s="1"/>
  <c r="AM650" i="10"/>
  <c r="S650" i="10"/>
  <c r="AD650" i="10" l="1"/>
  <c r="T650" i="10"/>
  <c r="AQ650" i="10" s="1"/>
  <c r="U650" i="10"/>
  <c r="W650" i="10" s="1"/>
  <c r="AP650" i="10" s="1"/>
  <c r="AH649" i="10"/>
  <c r="AO649" i="10"/>
  <c r="AY649" i="10" s="1"/>
  <c r="AL649" i="10"/>
  <c r="AN649" i="10" l="1"/>
  <c r="AW649" i="10" s="1"/>
  <c r="X650" i="10"/>
  <c r="Z650" i="10" l="1"/>
  <c r="AR650" i="10" s="1"/>
  <c r="AZ649" i="10"/>
  <c r="BD649" i="10"/>
  <c r="Q651" i="10" l="1"/>
  <c r="AA650" i="10"/>
  <c r="AJ650" i="10" l="1"/>
  <c r="AI650" i="10"/>
  <c r="AG650" i="10"/>
  <c r="AK650" i="10"/>
  <c r="AX650" i="10" s="1"/>
  <c r="AC651" i="10"/>
  <c r="BA650" i="10" s="1"/>
  <c r="AB651" i="10"/>
  <c r="AV650" i="10" s="1"/>
  <c r="AM651" i="10"/>
  <c r="S651" i="10"/>
  <c r="AD651" i="10" l="1"/>
  <c r="T651" i="10"/>
  <c r="AQ651" i="10" s="1"/>
  <c r="U651" i="10"/>
  <c r="W651" i="10" s="1"/>
  <c r="AP651" i="10" s="1"/>
  <c r="AO650" i="10"/>
  <c r="AY650" i="10" s="1"/>
  <c r="AH650" i="10"/>
  <c r="AL650" i="10"/>
  <c r="AN650" i="10" l="1"/>
  <c r="AW650" i="10" s="1"/>
  <c r="X651" i="10"/>
  <c r="Z651" i="10" l="1"/>
  <c r="AR651" i="10" s="1"/>
  <c r="AZ650" i="10"/>
  <c r="BD650" i="10"/>
  <c r="Q652" i="10" l="1"/>
  <c r="AA651" i="10"/>
  <c r="AJ651" i="10" l="1"/>
  <c r="AI651" i="10"/>
  <c r="AG651" i="10"/>
  <c r="AK651" i="10"/>
  <c r="AX651" i="10" s="1"/>
  <c r="AC652" i="10"/>
  <c r="BA651" i="10" s="1"/>
  <c r="AB652" i="10"/>
  <c r="AV651" i="10" s="1"/>
  <c r="AM652" i="10"/>
  <c r="S652" i="10"/>
  <c r="AH651" i="10" l="1"/>
  <c r="AO651" i="10"/>
  <c r="AY651" i="10" s="1"/>
  <c r="AL651" i="10"/>
  <c r="AD652" i="10"/>
  <c r="T652" i="10"/>
  <c r="AQ652" i="10" s="1"/>
  <c r="U652" i="10"/>
  <c r="W652" i="10" s="1"/>
  <c r="AP652" i="10" s="1"/>
  <c r="X652" i="10" l="1"/>
  <c r="AN651" i="10"/>
  <c r="AW651" i="10" s="1"/>
  <c r="AZ651" i="10" l="1"/>
  <c r="BD651" i="10"/>
  <c r="Z652" i="10"/>
  <c r="AR652" i="10" s="1"/>
  <c r="Q653" i="10" l="1"/>
  <c r="AA652" i="10"/>
  <c r="AJ652" i="10" l="1"/>
  <c r="AI652" i="10"/>
  <c r="AG652" i="10"/>
  <c r="AK652" i="10"/>
  <c r="AX652" i="10" s="1"/>
  <c r="AC653" i="10"/>
  <c r="BA652" i="10" s="1"/>
  <c r="AB653" i="10"/>
  <c r="AV652" i="10" s="1"/>
  <c r="AM653" i="10"/>
  <c r="S653" i="10"/>
  <c r="AD653" i="10" l="1"/>
  <c r="T653" i="10"/>
  <c r="AQ653" i="10" s="1"/>
  <c r="U653" i="10"/>
  <c r="W653" i="10" s="1"/>
  <c r="AP653" i="10" s="1"/>
  <c r="AO652" i="10"/>
  <c r="AY652" i="10" s="1"/>
  <c r="AH652" i="10"/>
  <c r="AL652" i="10"/>
  <c r="AN652" i="10" l="1"/>
  <c r="AW652" i="10" s="1"/>
  <c r="X653" i="10"/>
  <c r="AZ652" i="10" l="1"/>
  <c r="BD652" i="10"/>
  <c r="Z653" i="10"/>
  <c r="AR653" i="10" s="1"/>
  <c r="Q654" i="10" l="1"/>
  <c r="AA653" i="10"/>
  <c r="AJ653" i="10" l="1"/>
  <c r="AI653" i="10"/>
  <c r="AG653" i="10"/>
  <c r="AK653" i="10"/>
  <c r="AX653" i="10" s="1"/>
  <c r="AC654" i="10"/>
  <c r="BA653" i="10" s="1"/>
  <c r="AB654" i="10"/>
  <c r="AV653" i="10" s="1"/>
  <c r="AM654" i="10"/>
  <c r="S654" i="10"/>
  <c r="AH653" i="10" l="1"/>
  <c r="AO653" i="10"/>
  <c r="AY653" i="10" s="1"/>
  <c r="AL653" i="10"/>
  <c r="AD654" i="10"/>
  <c r="T654" i="10"/>
  <c r="AQ654" i="10" s="1"/>
  <c r="U654" i="10"/>
  <c r="W654" i="10" s="1"/>
  <c r="AP654" i="10" s="1"/>
  <c r="X654" i="10" l="1"/>
  <c r="Z654" i="10" s="1"/>
  <c r="AR654" i="10" s="1"/>
  <c r="AN653" i="10"/>
  <c r="AW653" i="10" s="1"/>
  <c r="AZ653" i="10" l="1"/>
  <c r="BD653" i="10"/>
  <c r="Q655" i="10"/>
  <c r="AA654" i="10"/>
  <c r="AJ654" i="10" l="1"/>
  <c r="AI654" i="10"/>
  <c r="AG654" i="10"/>
  <c r="AK654" i="10"/>
  <c r="AX654" i="10" s="1"/>
  <c r="AC655" i="10"/>
  <c r="BA654" i="10" s="1"/>
  <c r="AB655" i="10"/>
  <c r="AV654" i="10" s="1"/>
  <c r="AM655" i="10"/>
  <c r="S655" i="10"/>
  <c r="AO654" i="10" l="1"/>
  <c r="AY654" i="10" s="1"/>
  <c r="AH654" i="10"/>
  <c r="AL654" i="10"/>
  <c r="AD655" i="10"/>
  <c r="T655" i="10"/>
  <c r="AQ655" i="10" s="1"/>
  <c r="U655" i="10"/>
  <c r="W655" i="10" s="1"/>
  <c r="AP655" i="10" s="1"/>
  <c r="X655" i="10" l="1"/>
  <c r="Z655" i="10" s="1"/>
  <c r="AR655" i="10" s="1"/>
  <c r="AN654" i="10"/>
  <c r="AW654" i="10" s="1"/>
  <c r="AZ654" i="10" l="1"/>
  <c r="BD654" i="10"/>
  <c r="Q656" i="10"/>
  <c r="AA655" i="10"/>
  <c r="AJ655" i="10" l="1"/>
  <c r="AI655" i="10"/>
  <c r="AG655" i="10"/>
  <c r="AK655" i="10"/>
  <c r="AX655" i="10" s="1"/>
  <c r="AC656" i="10"/>
  <c r="BA655" i="10" s="1"/>
  <c r="AB656" i="10"/>
  <c r="AV655" i="10" s="1"/>
  <c r="AM656" i="10"/>
  <c r="S656" i="10"/>
  <c r="AH655" i="10" l="1"/>
  <c r="AO655" i="10"/>
  <c r="AY655" i="10" s="1"/>
  <c r="AL655" i="10"/>
  <c r="AD656" i="10"/>
  <c r="T656" i="10"/>
  <c r="AQ656" i="10" s="1"/>
  <c r="U656" i="10"/>
  <c r="W656" i="10" s="1"/>
  <c r="AP656" i="10" s="1"/>
  <c r="X656" i="10" l="1"/>
  <c r="Z656" i="10" s="1"/>
  <c r="AR656" i="10" s="1"/>
  <c r="AN655" i="10"/>
  <c r="AW655" i="10" s="1"/>
  <c r="Q657" i="10" l="1"/>
  <c r="AA656" i="10"/>
  <c r="AZ655" i="10"/>
  <c r="BD655" i="10"/>
  <c r="AJ656" i="10" l="1"/>
  <c r="AI656" i="10"/>
  <c r="AG656" i="10"/>
  <c r="AK656" i="10"/>
  <c r="AX656" i="10" s="1"/>
  <c r="AC657" i="10"/>
  <c r="BA656" i="10" s="1"/>
  <c r="AB657" i="10"/>
  <c r="AV656" i="10" s="1"/>
  <c r="AM657" i="10"/>
  <c r="S657" i="10"/>
  <c r="AO656" i="10" l="1"/>
  <c r="AY656" i="10" s="1"/>
  <c r="AH656" i="10"/>
  <c r="AL656" i="10"/>
  <c r="AD657" i="10"/>
  <c r="T657" i="10"/>
  <c r="AQ657" i="10" s="1"/>
  <c r="U657" i="10"/>
  <c r="W657" i="10" s="1"/>
  <c r="AP657" i="10" s="1"/>
  <c r="X657" i="10" l="1"/>
  <c r="AN656" i="10"/>
  <c r="AW656" i="10" s="1"/>
  <c r="AZ656" i="10" l="1"/>
  <c r="BD656" i="10"/>
  <c r="Z657" i="10"/>
  <c r="AR657" i="10" s="1"/>
  <c r="Q658" i="10" l="1"/>
  <c r="AA657" i="10"/>
  <c r="AJ657" i="10" l="1"/>
  <c r="AI657" i="10"/>
  <c r="AG657" i="10"/>
  <c r="AK657" i="10"/>
  <c r="AX657" i="10" s="1"/>
  <c r="AC658" i="10"/>
  <c r="BA657" i="10" s="1"/>
  <c r="AB658" i="10"/>
  <c r="AV657" i="10" s="1"/>
  <c r="AM658" i="10"/>
  <c r="S658" i="10"/>
  <c r="AD658" i="10" l="1"/>
  <c r="T658" i="10"/>
  <c r="AQ658" i="10" s="1"/>
  <c r="U658" i="10"/>
  <c r="W658" i="10" s="1"/>
  <c r="AP658" i="10" s="1"/>
  <c r="AH657" i="10"/>
  <c r="AO657" i="10"/>
  <c r="AY657" i="10" s="1"/>
  <c r="AL657" i="10"/>
  <c r="AN657" i="10" l="1"/>
  <c r="AW657" i="10" s="1"/>
  <c r="X658" i="10"/>
  <c r="Z658" i="10" l="1"/>
  <c r="AR658" i="10" s="1"/>
  <c r="AZ657" i="10"/>
  <c r="BD657" i="10"/>
  <c r="Q659" i="10" l="1"/>
  <c r="AA658" i="10"/>
  <c r="AJ658" i="10" l="1"/>
  <c r="AI658" i="10"/>
  <c r="AG658" i="10"/>
  <c r="AK658" i="10"/>
  <c r="AX658" i="10" s="1"/>
  <c r="AC659" i="10"/>
  <c r="BA658" i="10" s="1"/>
  <c r="AB659" i="10"/>
  <c r="AV658" i="10" s="1"/>
  <c r="AM659" i="10"/>
  <c r="S659" i="10"/>
  <c r="AO658" i="10" l="1"/>
  <c r="AY658" i="10" s="1"/>
  <c r="AH658" i="10"/>
  <c r="AL658" i="10"/>
  <c r="AD659" i="10"/>
  <c r="T659" i="10"/>
  <c r="AQ659" i="10" s="1"/>
  <c r="U659" i="10"/>
  <c r="W659" i="10" s="1"/>
  <c r="AP659" i="10" s="1"/>
  <c r="AN658" i="10" l="1"/>
  <c r="AW658" i="10" s="1"/>
  <c r="X659" i="10"/>
  <c r="AZ658" i="10"/>
  <c r="BD658" i="10"/>
  <c r="Z659" i="10" l="1"/>
  <c r="AR659" i="10" s="1"/>
  <c r="Q660" i="10" l="1"/>
  <c r="AA659" i="10"/>
  <c r="AJ659" i="10" l="1"/>
  <c r="AI659" i="10"/>
  <c r="AG659" i="10"/>
  <c r="AK659" i="10"/>
  <c r="AX659" i="10" s="1"/>
  <c r="AC660" i="10"/>
  <c r="BA659" i="10" s="1"/>
  <c r="AB660" i="10"/>
  <c r="AV659" i="10" s="1"/>
  <c r="AM660" i="10"/>
  <c r="S660" i="10"/>
  <c r="AD660" i="10" l="1"/>
  <c r="T660" i="10"/>
  <c r="AQ660" i="10" s="1"/>
  <c r="U660" i="10"/>
  <c r="W660" i="10" s="1"/>
  <c r="AP660" i="10" s="1"/>
  <c r="AH659" i="10"/>
  <c r="AO659" i="10"/>
  <c r="AY659" i="10" s="1"/>
  <c r="AL659" i="10"/>
  <c r="AN659" i="10" l="1"/>
  <c r="AW659" i="10" s="1"/>
  <c r="X660" i="10"/>
  <c r="Z660" i="10" l="1"/>
  <c r="AR660" i="10" s="1"/>
  <c r="AZ659" i="10"/>
  <c r="BD659" i="10"/>
  <c r="Q661" i="10" l="1"/>
  <c r="AA660" i="10"/>
  <c r="AJ660" i="10" l="1"/>
  <c r="AI660" i="10"/>
  <c r="AG660" i="10"/>
  <c r="AK660" i="10"/>
  <c r="AX660" i="10" s="1"/>
  <c r="AC661" i="10"/>
  <c r="BA660" i="10" s="1"/>
  <c r="AB661" i="10"/>
  <c r="AV660" i="10" s="1"/>
  <c r="AM661" i="10"/>
  <c r="S661" i="10"/>
  <c r="AO660" i="10" l="1"/>
  <c r="AY660" i="10" s="1"/>
  <c r="AH660" i="10"/>
  <c r="AL660" i="10"/>
  <c r="AD661" i="10"/>
  <c r="T661" i="10"/>
  <c r="AQ661" i="10" s="1"/>
  <c r="U661" i="10"/>
  <c r="W661" i="10" s="1"/>
  <c r="AP661" i="10" s="1"/>
  <c r="X661" i="10" l="1"/>
  <c r="AN660" i="10"/>
  <c r="AW660" i="10" s="1"/>
  <c r="AZ660" i="10" l="1"/>
  <c r="BD660" i="10"/>
  <c r="Z661" i="10"/>
  <c r="AR661" i="10" s="1"/>
  <c r="Q662" i="10" l="1"/>
  <c r="AA661" i="10"/>
  <c r="AJ661" i="10" l="1"/>
  <c r="AI661" i="10"/>
  <c r="AG661" i="10"/>
  <c r="AK661" i="10"/>
  <c r="AX661" i="10" s="1"/>
  <c r="AC662" i="10"/>
  <c r="BA661" i="10" s="1"/>
  <c r="AB662" i="10"/>
  <c r="AV661" i="10" s="1"/>
  <c r="AM662" i="10"/>
  <c r="S662" i="10"/>
  <c r="AH661" i="10" l="1"/>
  <c r="AO661" i="10"/>
  <c r="AY661" i="10" s="1"/>
  <c r="AL661" i="10"/>
  <c r="AD662" i="10"/>
  <c r="T662" i="10"/>
  <c r="AQ662" i="10" s="1"/>
  <c r="U662" i="10"/>
  <c r="W662" i="10" s="1"/>
  <c r="AP662" i="10" s="1"/>
  <c r="X662" i="10" l="1"/>
  <c r="Z662" i="10"/>
  <c r="AR662" i="10" s="1"/>
  <c r="AN661" i="10"/>
  <c r="AW661" i="10" s="1"/>
  <c r="AZ661" i="10" l="1"/>
  <c r="BD661" i="10"/>
  <c r="Q663" i="10"/>
  <c r="AA662" i="10"/>
  <c r="AJ662" i="10" l="1"/>
  <c r="AI662" i="10"/>
  <c r="AG662" i="10"/>
  <c r="AK662" i="10"/>
  <c r="AX662" i="10" s="1"/>
  <c r="AC663" i="10"/>
  <c r="BA662" i="10" s="1"/>
  <c r="AB663" i="10"/>
  <c r="AV662" i="10" s="1"/>
  <c r="AM663" i="10"/>
  <c r="S663" i="10"/>
  <c r="AO662" i="10" l="1"/>
  <c r="AY662" i="10" s="1"/>
  <c r="AH662" i="10"/>
  <c r="AL662" i="10"/>
  <c r="AD663" i="10"/>
  <c r="T663" i="10"/>
  <c r="AQ663" i="10" s="1"/>
  <c r="U663" i="10"/>
  <c r="W663" i="10" s="1"/>
  <c r="AP663" i="10" s="1"/>
  <c r="X663" i="10" l="1"/>
  <c r="AN662" i="10"/>
  <c r="AW662" i="10" s="1"/>
  <c r="AZ662" i="10" l="1"/>
  <c r="BD662" i="10"/>
  <c r="Z663" i="10"/>
  <c r="AR663" i="10" s="1"/>
  <c r="Q664" i="10" l="1"/>
  <c r="AA663" i="10"/>
  <c r="AJ663" i="10" l="1"/>
  <c r="AI663" i="10"/>
  <c r="AG663" i="10"/>
  <c r="AK663" i="10"/>
  <c r="AX663" i="10" s="1"/>
  <c r="AC664" i="10"/>
  <c r="BA663" i="10" s="1"/>
  <c r="AB664" i="10"/>
  <c r="AV663" i="10" s="1"/>
  <c r="AM664" i="10"/>
  <c r="S664" i="10"/>
  <c r="AD664" i="10" l="1"/>
  <c r="T664" i="10"/>
  <c r="AQ664" i="10" s="1"/>
  <c r="U664" i="10"/>
  <c r="W664" i="10" s="1"/>
  <c r="AP664" i="10" s="1"/>
  <c r="AH663" i="10"/>
  <c r="AO663" i="10"/>
  <c r="AY663" i="10" s="1"/>
  <c r="AL663" i="10"/>
  <c r="AN663" i="10" l="1"/>
  <c r="AW663" i="10" s="1"/>
  <c r="X664" i="10"/>
  <c r="Z664" i="10" l="1"/>
  <c r="AR664" i="10" s="1"/>
  <c r="AZ663" i="10"/>
  <c r="BD663" i="10"/>
  <c r="Q665" i="10" l="1"/>
  <c r="AA664" i="10"/>
  <c r="AJ664" i="10" l="1"/>
  <c r="AI664" i="10"/>
  <c r="AG664" i="10"/>
  <c r="AK664" i="10"/>
  <c r="AX664" i="10" s="1"/>
  <c r="AC665" i="10"/>
  <c r="BA664" i="10" s="1"/>
  <c r="AB665" i="10"/>
  <c r="AV664" i="10" s="1"/>
  <c r="AM665" i="10"/>
  <c r="S665" i="10"/>
  <c r="AO664" i="10" l="1"/>
  <c r="AY664" i="10" s="1"/>
  <c r="AH664" i="10"/>
  <c r="AL664" i="10"/>
  <c r="AD665" i="10"/>
  <c r="T665" i="10"/>
  <c r="AQ665" i="10" s="1"/>
  <c r="U665" i="10"/>
  <c r="W665" i="10" s="1"/>
  <c r="AP665" i="10" s="1"/>
  <c r="X665" i="10" l="1"/>
  <c r="AN664" i="10"/>
  <c r="AW664" i="10" s="1"/>
  <c r="AZ664" i="10" l="1"/>
  <c r="BD664" i="10"/>
  <c r="Z665" i="10"/>
  <c r="AR665" i="10" s="1"/>
  <c r="Q666" i="10" l="1"/>
  <c r="AA665" i="10"/>
  <c r="AJ665" i="10" l="1"/>
  <c r="AI665" i="10"/>
  <c r="AG665" i="10"/>
  <c r="AK665" i="10"/>
  <c r="AX665" i="10" s="1"/>
  <c r="AC666" i="10"/>
  <c r="BA665" i="10" s="1"/>
  <c r="AB666" i="10"/>
  <c r="AV665" i="10" s="1"/>
  <c r="AM666" i="10"/>
  <c r="S666" i="10"/>
  <c r="AH665" i="10" l="1"/>
  <c r="AO665" i="10"/>
  <c r="AY665" i="10" s="1"/>
  <c r="AL665" i="10"/>
  <c r="AD666" i="10"/>
  <c r="T666" i="10"/>
  <c r="AQ666" i="10" s="1"/>
  <c r="U666" i="10"/>
  <c r="W666" i="10" s="1"/>
  <c r="AP666" i="10" s="1"/>
  <c r="X666" i="10" l="1"/>
  <c r="AN665" i="10"/>
  <c r="AW665" i="10" s="1"/>
  <c r="AZ665" i="10" l="1"/>
  <c r="BD665" i="10"/>
  <c r="Z666" i="10"/>
  <c r="AR666" i="10" s="1"/>
  <c r="Q667" i="10" l="1"/>
  <c r="AA666" i="10"/>
  <c r="AJ666" i="10" l="1"/>
  <c r="AI666" i="10"/>
  <c r="AG666" i="10"/>
  <c r="AK666" i="10"/>
  <c r="AX666" i="10" s="1"/>
  <c r="AC667" i="10"/>
  <c r="BA666" i="10" s="1"/>
  <c r="AB667" i="10"/>
  <c r="AV666" i="10" s="1"/>
  <c r="AM667" i="10"/>
  <c r="S667" i="10"/>
  <c r="AD667" i="10" l="1"/>
  <c r="T667" i="10"/>
  <c r="AQ667" i="10" s="1"/>
  <c r="U667" i="10"/>
  <c r="W667" i="10" s="1"/>
  <c r="AP667" i="10" s="1"/>
  <c r="AO666" i="10"/>
  <c r="AY666" i="10" s="1"/>
  <c r="AH666" i="10"/>
  <c r="AL666" i="10"/>
  <c r="AN666" i="10" l="1"/>
  <c r="AW666" i="10" s="1"/>
  <c r="X667" i="10"/>
  <c r="Z667" i="10" l="1"/>
  <c r="AR667" i="10" s="1"/>
  <c r="AZ666" i="10"/>
  <c r="BD666" i="10"/>
  <c r="Q668" i="10" l="1"/>
  <c r="AA667" i="10"/>
  <c r="AJ667" i="10" l="1"/>
  <c r="AI667" i="10"/>
  <c r="AG667" i="10"/>
  <c r="AK667" i="10"/>
  <c r="AX667" i="10" s="1"/>
  <c r="AC668" i="10"/>
  <c r="BA667" i="10" s="1"/>
  <c r="AB668" i="10"/>
  <c r="AV667" i="10" s="1"/>
  <c r="AM668" i="10"/>
  <c r="S668" i="10"/>
  <c r="AH667" i="10" l="1"/>
  <c r="AO667" i="10"/>
  <c r="AY667" i="10" s="1"/>
  <c r="AL667" i="10"/>
  <c r="AD668" i="10"/>
  <c r="T668" i="10"/>
  <c r="AQ668" i="10" s="1"/>
  <c r="U668" i="10"/>
  <c r="W668" i="10" s="1"/>
  <c r="AP668" i="10" s="1"/>
  <c r="X668" i="10" l="1"/>
  <c r="AN667" i="10"/>
  <c r="AW667" i="10" s="1"/>
  <c r="AZ667" i="10" l="1"/>
  <c r="BD667" i="10"/>
  <c r="Z668" i="10"/>
  <c r="AR668" i="10" s="1"/>
  <c r="Q669" i="10" l="1"/>
  <c r="AA668" i="10"/>
  <c r="AJ668" i="10" l="1"/>
  <c r="AI668" i="10"/>
  <c r="AG668" i="10"/>
  <c r="AK668" i="10"/>
  <c r="AX668" i="10" s="1"/>
  <c r="AC669" i="10"/>
  <c r="BA668" i="10" s="1"/>
  <c r="AB669" i="10"/>
  <c r="AV668" i="10" s="1"/>
  <c r="AM669" i="10"/>
  <c r="S669" i="10"/>
  <c r="AD669" i="10" l="1"/>
  <c r="T669" i="10"/>
  <c r="AQ669" i="10" s="1"/>
  <c r="U669" i="10"/>
  <c r="W669" i="10" s="1"/>
  <c r="AP669" i="10" s="1"/>
  <c r="AO668" i="10"/>
  <c r="AY668" i="10" s="1"/>
  <c r="AH668" i="10"/>
  <c r="AL668" i="10"/>
  <c r="AN668" i="10" l="1"/>
  <c r="AW668" i="10" s="1"/>
  <c r="X669" i="10"/>
  <c r="Z669" i="10" l="1"/>
  <c r="AR669" i="10" s="1"/>
  <c r="AZ668" i="10"/>
  <c r="BD668" i="10"/>
  <c r="Q670" i="10" l="1"/>
  <c r="AA669" i="10"/>
  <c r="AJ669" i="10" l="1"/>
  <c r="AI669" i="10"/>
  <c r="AG669" i="10"/>
  <c r="AK669" i="10"/>
  <c r="AX669" i="10" s="1"/>
  <c r="AC670" i="10"/>
  <c r="BA669" i="10" s="1"/>
  <c r="AB670" i="10"/>
  <c r="AV669" i="10" s="1"/>
  <c r="AM670" i="10"/>
  <c r="S670" i="10"/>
  <c r="AH669" i="10" l="1"/>
  <c r="AO669" i="10"/>
  <c r="AY669" i="10" s="1"/>
  <c r="AL669" i="10"/>
  <c r="AD670" i="10"/>
  <c r="T670" i="10"/>
  <c r="AQ670" i="10" s="1"/>
  <c r="U670" i="10"/>
  <c r="W670" i="10" s="1"/>
  <c r="AP670" i="10" s="1"/>
  <c r="X670" i="10" l="1"/>
  <c r="AN669" i="10"/>
  <c r="AW669" i="10" s="1"/>
  <c r="AZ669" i="10" l="1"/>
  <c r="BD669" i="10"/>
  <c r="Z670" i="10"/>
  <c r="AR670" i="10" s="1"/>
  <c r="Q671" i="10" l="1"/>
  <c r="AA670" i="10"/>
  <c r="AJ670" i="10" l="1"/>
  <c r="AI670" i="10"/>
  <c r="AG670" i="10"/>
  <c r="AK670" i="10"/>
  <c r="AX670" i="10" s="1"/>
  <c r="AC671" i="10"/>
  <c r="BA670" i="10" s="1"/>
  <c r="AB671" i="10"/>
  <c r="AV670" i="10" s="1"/>
  <c r="AM671" i="10"/>
  <c r="S671" i="10"/>
  <c r="AD671" i="10" l="1"/>
  <c r="T671" i="10"/>
  <c r="AQ671" i="10" s="1"/>
  <c r="U671" i="10"/>
  <c r="W671" i="10" s="1"/>
  <c r="AP671" i="10" s="1"/>
  <c r="AO670" i="10"/>
  <c r="AY670" i="10" s="1"/>
  <c r="AH670" i="10"/>
  <c r="AL670" i="10"/>
  <c r="AN670" i="10" l="1"/>
  <c r="AW670" i="10" s="1"/>
  <c r="X671" i="10"/>
  <c r="AZ670" i="10" l="1"/>
  <c r="BD670" i="10"/>
  <c r="Z671" i="10"/>
  <c r="AR671" i="10" s="1"/>
  <c r="Q672" i="10" l="1"/>
  <c r="AA671" i="10"/>
  <c r="AJ671" i="10" l="1"/>
  <c r="AI671" i="10"/>
  <c r="AG671" i="10"/>
  <c r="AK671" i="10"/>
  <c r="AX671" i="10" s="1"/>
  <c r="AC672" i="10"/>
  <c r="BA671" i="10" s="1"/>
  <c r="AB672" i="10"/>
  <c r="AV671" i="10" s="1"/>
  <c r="AM672" i="10"/>
  <c r="S672" i="10"/>
  <c r="AH671" i="10" l="1"/>
  <c r="AO671" i="10"/>
  <c r="AY671" i="10" s="1"/>
  <c r="AL671" i="10"/>
  <c r="AD672" i="10"/>
  <c r="T672" i="10"/>
  <c r="AQ672" i="10" s="1"/>
  <c r="U672" i="10"/>
  <c r="W672" i="10" s="1"/>
  <c r="AP672" i="10" s="1"/>
  <c r="X672" i="10" l="1"/>
  <c r="Z672" i="10" s="1"/>
  <c r="AR672" i="10" s="1"/>
  <c r="AN671" i="10"/>
  <c r="AW671" i="10" s="1"/>
  <c r="AZ671" i="10" l="1"/>
  <c r="BD671" i="10"/>
  <c r="Q673" i="10"/>
  <c r="AA672" i="10"/>
  <c r="AJ672" i="10" l="1"/>
  <c r="AI672" i="10"/>
  <c r="AG672" i="10"/>
  <c r="AK672" i="10"/>
  <c r="AX672" i="10" s="1"/>
  <c r="AC673" i="10"/>
  <c r="BA672" i="10" s="1"/>
  <c r="AB673" i="10"/>
  <c r="AV672" i="10" s="1"/>
  <c r="AM673" i="10"/>
  <c r="S673" i="10"/>
  <c r="AO672" i="10" l="1"/>
  <c r="AY672" i="10" s="1"/>
  <c r="AH672" i="10"/>
  <c r="AL672" i="10"/>
  <c r="AD673" i="10"/>
  <c r="T673" i="10"/>
  <c r="AQ673" i="10" s="1"/>
  <c r="U673" i="10"/>
  <c r="W673" i="10" s="1"/>
  <c r="AP673" i="10" s="1"/>
  <c r="X673" i="10" l="1"/>
  <c r="Z673" i="10"/>
  <c r="AR673" i="10" s="1"/>
  <c r="AN672" i="10"/>
  <c r="AW672" i="10" s="1"/>
  <c r="AZ672" i="10" l="1"/>
  <c r="BD672" i="10"/>
  <c r="Q674" i="10"/>
  <c r="AA673" i="10"/>
  <c r="AJ673" i="10" l="1"/>
  <c r="AI673" i="10"/>
  <c r="AG673" i="10"/>
  <c r="AK673" i="10"/>
  <c r="AX673" i="10" s="1"/>
  <c r="AC674" i="10"/>
  <c r="AB674" i="10"/>
  <c r="AV673" i="10" s="1"/>
  <c r="AM674" i="10"/>
  <c r="S674" i="10"/>
  <c r="BA673" i="10" l="1"/>
  <c r="AD674" i="10"/>
  <c r="T674" i="10"/>
  <c r="AQ674" i="10" s="1"/>
  <c r="U674" i="10"/>
  <c r="W674" i="10" s="1"/>
  <c r="AP674" i="10" s="1"/>
  <c r="AH673" i="10"/>
  <c r="AO673" i="10"/>
  <c r="AY673" i="10" s="1"/>
  <c r="AL673" i="10"/>
  <c r="AN673" i="10" l="1"/>
  <c r="AW673" i="10" s="1"/>
  <c r="X674" i="10"/>
  <c r="Z674" i="10" l="1"/>
  <c r="AR674" i="10" s="1"/>
  <c r="AZ673" i="10"/>
  <c r="BD673" i="10"/>
  <c r="Q675" i="10" l="1"/>
  <c r="AA674" i="10"/>
  <c r="AJ674" i="10" l="1"/>
  <c r="AI674" i="10"/>
  <c r="AG674" i="10"/>
  <c r="AK674" i="10"/>
  <c r="AX674" i="10" s="1"/>
  <c r="AC675" i="10"/>
  <c r="BA674" i="10" s="1"/>
  <c r="AB675" i="10"/>
  <c r="AV674" i="10" s="1"/>
  <c r="AM675" i="10"/>
  <c r="S675" i="10"/>
  <c r="AD675" i="10" l="1"/>
  <c r="T675" i="10"/>
  <c r="AQ675" i="10" s="1"/>
  <c r="U675" i="10"/>
  <c r="W675" i="10" s="1"/>
  <c r="AP675" i="10" s="1"/>
  <c r="AO674" i="10"/>
  <c r="AY674" i="10" s="1"/>
  <c r="AH674" i="10"/>
  <c r="AL674" i="10"/>
  <c r="AN674" i="10" l="1"/>
  <c r="AW674" i="10" s="1"/>
  <c r="X675" i="10"/>
  <c r="Z675" i="10" l="1"/>
  <c r="AR675" i="10" s="1"/>
  <c r="AZ674" i="10"/>
  <c r="BD674" i="10"/>
  <c r="Q676" i="10" l="1"/>
  <c r="AA675" i="10"/>
  <c r="AJ675" i="10" l="1"/>
  <c r="AI675" i="10"/>
  <c r="AG675" i="10"/>
  <c r="AK675" i="10"/>
  <c r="AX675" i="10" s="1"/>
  <c r="AC676" i="10"/>
  <c r="BA675" i="10" s="1"/>
  <c r="AB676" i="10"/>
  <c r="AV675" i="10" s="1"/>
  <c r="AM676" i="10"/>
  <c r="S676" i="10"/>
  <c r="AH675" i="10" l="1"/>
  <c r="AO675" i="10"/>
  <c r="AY675" i="10" s="1"/>
  <c r="AL675" i="10"/>
  <c r="AD676" i="10"/>
  <c r="T676" i="10"/>
  <c r="AQ676" i="10" s="1"/>
  <c r="U676" i="10"/>
  <c r="W676" i="10" s="1"/>
  <c r="AP676" i="10" s="1"/>
  <c r="X676" i="10" l="1"/>
  <c r="AN675" i="10"/>
  <c r="AW675" i="10" s="1"/>
  <c r="Z676" i="10" l="1"/>
  <c r="AR676" i="10" s="1"/>
  <c r="AZ675" i="10"/>
  <c r="BD675" i="10"/>
  <c r="Q677" i="10" l="1"/>
  <c r="AA676" i="10"/>
  <c r="AJ676" i="10" l="1"/>
  <c r="AI676" i="10"/>
  <c r="AG676" i="10"/>
  <c r="AK676" i="10"/>
  <c r="AX676" i="10" s="1"/>
  <c r="AC677" i="10"/>
  <c r="BA676" i="10" s="1"/>
  <c r="AB677" i="10"/>
  <c r="AV676" i="10" s="1"/>
  <c r="AM677" i="10"/>
  <c r="S677" i="10"/>
  <c r="AO676" i="10" l="1"/>
  <c r="AY676" i="10" s="1"/>
  <c r="AH676" i="10"/>
  <c r="AL676" i="10"/>
  <c r="AD677" i="10"/>
  <c r="T677" i="10"/>
  <c r="AQ677" i="10" s="1"/>
  <c r="U677" i="10"/>
  <c r="W677" i="10" s="1"/>
  <c r="AP677" i="10" s="1"/>
  <c r="X677" i="10" l="1"/>
  <c r="AN676" i="10"/>
  <c r="AW676" i="10" s="1"/>
  <c r="AZ676" i="10" l="1"/>
  <c r="BD676" i="10"/>
  <c r="Z677" i="10"/>
  <c r="AR677" i="10" s="1"/>
  <c r="Q678" i="10" l="1"/>
  <c r="AA677" i="10"/>
  <c r="AJ677" i="10" l="1"/>
  <c r="AI677" i="10"/>
  <c r="AG677" i="10"/>
  <c r="AK677" i="10"/>
  <c r="AX677" i="10" s="1"/>
  <c r="AC678" i="10"/>
  <c r="BA677" i="10" s="1"/>
  <c r="AB678" i="10"/>
  <c r="AV677" i="10" s="1"/>
  <c r="AM678" i="10"/>
  <c r="S678" i="10"/>
  <c r="AD678" i="10" l="1"/>
  <c r="T678" i="10"/>
  <c r="AQ678" i="10" s="1"/>
  <c r="U678" i="10"/>
  <c r="W678" i="10" s="1"/>
  <c r="AP678" i="10" s="1"/>
  <c r="AH677" i="10"/>
  <c r="AO677" i="10"/>
  <c r="AY677" i="10" s="1"/>
  <c r="AL677" i="10"/>
  <c r="AN677" i="10" l="1"/>
  <c r="AW677" i="10" s="1"/>
  <c r="X678" i="10"/>
  <c r="Z678" i="10" l="1"/>
  <c r="AR678" i="10" s="1"/>
  <c r="AZ677" i="10"/>
  <c r="BD677" i="10"/>
  <c r="Q679" i="10" l="1"/>
  <c r="AA678" i="10"/>
  <c r="AJ678" i="10" l="1"/>
  <c r="AI678" i="10"/>
  <c r="AG678" i="10"/>
  <c r="AK678" i="10"/>
  <c r="AX678" i="10" s="1"/>
  <c r="AC679" i="10"/>
  <c r="BA678" i="10" s="1"/>
  <c r="AB679" i="10"/>
  <c r="AV678" i="10" s="1"/>
  <c r="AM679" i="10"/>
  <c r="S679" i="10"/>
  <c r="AD679" i="10" l="1"/>
  <c r="T679" i="10"/>
  <c r="AQ679" i="10" s="1"/>
  <c r="U679" i="10"/>
  <c r="W679" i="10" s="1"/>
  <c r="AP679" i="10" s="1"/>
  <c r="AO678" i="10"/>
  <c r="AY678" i="10" s="1"/>
  <c r="AH678" i="10"/>
  <c r="AL678" i="10"/>
  <c r="AN678" i="10" l="1"/>
  <c r="AW678" i="10" s="1"/>
  <c r="X679" i="10"/>
  <c r="Z679" i="10" l="1"/>
  <c r="AR679" i="10" s="1"/>
  <c r="AZ678" i="10"/>
  <c r="BD678" i="10"/>
  <c r="Q680" i="10" l="1"/>
  <c r="AA679" i="10"/>
  <c r="AJ679" i="10" l="1"/>
  <c r="AI679" i="10"/>
  <c r="AG679" i="10"/>
  <c r="AK679" i="10"/>
  <c r="AX679" i="10" s="1"/>
  <c r="AC680" i="10"/>
  <c r="BA679" i="10" s="1"/>
  <c r="AB680" i="10"/>
  <c r="AV679" i="10" s="1"/>
  <c r="AM680" i="10"/>
  <c r="S680" i="10"/>
  <c r="AD680" i="10" l="1"/>
  <c r="T680" i="10"/>
  <c r="AQ680" i="10" s="1"/>
  <c r="U680" i="10"/>
  <c r="W680" i="10" s="1"/>
  <c r="AP680" i="10" s="1"/>
  <c r="AH679" i="10"/>
  <c r="AO679" i="10"/>
  <c r="AY679" i="10" s="1"/>
  <c r="AL679" i="10"/>
  <c r="AN679" i="10" l="1"/>
  <c r="AW679" i="10" s="1"/>
  <c r="X680" i="10"/>
  <c r="Z680" i="10" l="1"/>
  <c r="AR680" i="10" s="1"/>
  <c r="AZ679" i="10"/>
  <c r="BD679" i="10"/>
  <c r="Q681" i="10" l="1"/>
  <c r="AA680" i="10"/>
  <c r="AJ680" i="10" l="1"/>
  <c r="AI680" i="10"/>
  <c r="AG680" i="10"/>
  <c r="AK680" i="10"/>
  <c r="AX680" i="10" s="1"/>
  <c r="AC681" i="10"/>
  <c r="BA680" i="10" s="1"/>
  <c r="AB681" i="10"/>
  <c r="AV680" i="10" s="1"/>
  <c r="AM681" i="10"/>
  <c r="S681" i="10"/>
  <c r="AD681" i="10" l="1"/>
  <c r="T681" i="10"/>
  <c r="AQ681" i="10" s="1"/>
  <c r="U681" i="10"/>
  <c r="W681" i="10" s="1"/>
  <c r="AP681" i="10" s="1"/>
  <c r="AO680" i="10"/>
  <c r="AY680" i="10" s="1"/>
  <c r="AH680" i="10"/>
  <c r="AL680" i="10"/>
  <c r="AN680" i="10" l="1"/>
  <c r="AW680" i="10" s="1"/>
  <c r="X681" i="10"/>
  <c r="Z681" i="10" l="1"/>
  <c r="AR681" i="10" s="1"/>
  <c r="AZ680" i="10"/>
  <c r="BD680" i="10"/>
  <c r="Q682" i="10" l="1"/>
  <c r="AA681" i="10"/>
  <c r="AJ681" i="10" l="1"/>
  <c r="AI681" i="10"/>
  <c r="AG681" i="10"/>
  <c r="AK681" i="10"/>
  <c r="AX681" i="10" s="1"/>
  <c r="AC682" i="10"/>
  <c r="BA681" i="10" s="1"/>
  <c r="AB682" i="10"/>
  <c r="AV681" i="10" s="1"/>
  <c r="AM682" i="10"/>
  <c r="S682" i="10"/>
  <c r="AH681" i="10" l="1"/>
  <c r="AO681" i="10"/>
  <c r="AY681" i="10" s="1"/>
  <c r="AL681" i="10"/>
  <c r="AD682" i="10"/>
  <c r="T682" i="10"/>
  <c r="AQ682" i="10" s="1"/>
  <c r="U682" i="10"/>
  <c r="W682" i="10" s="1"/>
  <c r="AP682" i="10" s="1"/>
  <c r="X682" i="10" l="1"/>
  <c r="Z682" i="10" s="1"/>
  <c r="AR682" i="10" s="1"/>
  <c r="AN681" i="10"/>
  <c r="AW681" i="10" s="1"/>
  <c r="AZ681" i="10" l="1"/>
  <c r="BD681" i="10"/>
  <c r="Q683" i="10"/>
  <c r="AA682" i="10"/>
  <c r="AJ682" i="10" l="1"/>
  <c r="AI682" i="10"/>
  <c r="AG682" i="10"/>
  <c r="AK682" i="10"/>
  <c r="AX682" i="10" s="1"/>
  <c r="AC683" i="10"/>
  <c r="BA682" i="10" s="1"/>
  <c r="AB683" i="10"/>
  <c r="AV682" i="10" s="1"/>
  <c r="AM683" i="10"/>
  <c r="S683" i="10"/>
  <c r="AO682" i="10" l="1"/>
  <c r="AY682" i="10" s="1"/>
  <c r="AH682" i="10"/>
  <c r="AL682" i="10"/>
  <c r="AD683" i="10"/>
  <c r="T683" i="10"/>
  <c r="AQ683" i="10" s="1"/>
  <c r="U683" i="10"/>
  <c r="W683" i="10" s="1"/>
  <c r="AP683" i="10" s="1"/>
  <c r="X683" i="10" l="1"/>
  <c r="Z683" i="10"/>
  <c r="AR683" i="10" s="1"/>
  <c r="AN682" i="10"/>
  <c r="AW682" i="10" s="1"/>
  <c r="AZ682" i="10" l="1"/>
  <c r="BD682" i="10"/>
  <c r="Q684" i="10"/>
  <c r="AA683" i="10"/>
  <c r="AJ683" i="10" l="1"/>
  <c r="AI683" i="10"/>
  <c r="AG683" i="10"/>
  <c r="AK683" i="10"/>
  <c r="AX683" i="10" s="1"/>
  <c r="AC684" i="10"/>
  <c r="BA683" i="10" s="1"/>
  <c r="AB684" i="10"/>
  <c r="AV683" i="10" s="1"/>
  <c r="AM684" i="10"/>
  <c r="S684" i="10"/>
  <c r="AH683" i="10" l="1"/>
  <c r="AO683" i="10"/>
  <c r="AY683" i="10" s="1"/>
  <c r="AL683" i="10"/>
  <c r="AD684" i="10"/>
  <c r="T684" i="10"/>
  <c r="AQ684" i="10" s="1"/>
  <c r="U684" i="10"/>
  <c r="W684" i="10" s="1"/>
  <c r="AP684" i="10" s="1"/>
  <c r="AN683" i="10" l="1"/>
  <c r="AW683" i="10" s="1"/>
  <c r="AZ683" i="10" s="1"/>
  <c r="X684" i="10"/>
  <c r="BD683" i="10" l="1"/>
  <c r="Z684" i="10"/>
  <c r="AR684" i="10" s="1"/>
  <c r="Q685" i="10" l="1"/>
  <c r="AA684" i="10"/>
  <c r="AJ684" i="10" l="1"/>
  <c r="AI684" i="10"/>
  <c r="AG684" i="10"/>
  <c r="AK684" i="10"/>
  <c r="AX684" i="10" s="1"/>
  <c r="AC685" i="10"/>
  <c r="BA684" i="10" s="1"/>
  <c r="AB685" i="10"/>
  <c r="AV684" i="10" s="1"/>
  <c r="AM685" i="10"/>
  <c r="S685" i="10"/>
  <c r="AO684" i="10" l="1"/>
  <c r="AY684" i="10" s="1"/>
  <c r="AH684" i="10"/>
  <c r="AL684" i="10"/>
  <c r="AD685" i="10"/>
  <c r="T685" i="10"/>
  <c r="AQ685" i="10" s="1"/>
  <c r="U685" i="10"/>
  <c r="W685" i="10" s="1"/>
  <c r="AP685" i="10" s="1"/>
  <c r="X685" i="10" l="1"/>
  <c r="AN684" i="10"/>
  <c r="AW684" i="10" s="1"/>
  <c r="AZ684" i="10" l="1"/>
  <c r="BD684" i="10"/>
  <c r="Z685" i="10"/>
  <c r="AR685" i="10" s="1"/>
  <c r="Q686" i="10" l="1"/>
  <c r="AA685" i="10"/>
  <c r="AJ685" i="10" l="1"/>
  <c r="AI685" i="10"/>
  <c r="AG685" i="10"/>
  <c r="AK685" i="10"/>
  <c r="AX685" i="10" s="1"/>
  <c r="AC686" i="10"/>
  <c r="BA685" i="10" s="1"/>
  <c r="AB686" i="10"/>
  <c r="AV685" i="10" s="1"/>
  <c r="AM686" i="10"/>
  <c r="S686" i="10"/>
  <c r="AD686" i="10" l="1"/>
  <c r="T686" i="10"/>
  <c r="AQ686" i="10" s="1"/>
  <c r="U686" i="10"/>
  <c r="W686" i="10" s="1"/>
  <c r="AP686" i="10" s="1"/>
  <c r="AH685" i="10"/>
  <c r="AO685" i="10"/>
  <c r="AY685" i="10" s="1"/>
  <c r="AL685" i="10"/>
  <c r="AN685" i="10" l="1"/>
  <c r="AW685" i="10" s="1"/>
  <c r="X686" i="10"/>
  <c r="Z686" i="10" l="1"/>
  <c r="AR686" i="10" s="1"/>
  <c r="AZ685" i="10"/>
  <c r="BD685" i="10"/>
  <c r="Q687" i="10" l="1"/>
  <c r="AA686" i="10"/>
  <c r="AJ686" i="10" l="1"/>
  <c r="AI686" i="10"/>
  <c r="AG686" i="10"/>
  <c r="AK686" i="10"/>
  <c r="AX686" i="10" s="1"/>
  <c r="AM687" i="10"/>
  <c r="AC687" i="10"/>
  <c r="BA686" i="10" s="1"/>
  <c r="S687" i="10"/>
  <c r="AB687" i="10"/>
  <c r="AV686" i="10" s="1"/>
  <c r="AD687" i="10" l="1"/>
  <c r="T687" i="10"/>
  <c r="AQ687" i="10" s="1"/>
  <c r="U687" i="10"/>
  <c r="W687" i="10" s="1"/>
  <c r="AP687" i="10" s="1"/>
  <c r="AO686" i="10"/>
  <c r="AY686" i="10" s="1"/>
  <c r="AH686" i="10"/>
  <c r="AL686" i="10"/>
  <c r="AN686" i="10" l="1"/>
  <c r="AW686" i="10" s="1"/>
  <c r="X687" i="10"/>
  <c r="Z687" i="10" l="1"/>
  <c r="AR687" i="10" s="1"/>
  <c r="AZ686" i="10"/>
  <c r="BD686" i="10"/>
  <c r="AA687" i="10" l="1"/>
  <c r="Q688" i="10"/>
  <c r="AM688" i="10" l="1"/>
  <c r="AC688" i="10"/>
  <c r="AB688" i="10"/>
  <c r="AV687" i="10" s="1"/>
  <c r="S688" i="10"/>
  <c r="AJ687" i="10"/>
  <c r="AI687" i="10"/>
  <c r="AG687" i="10"/>
  <c r="AK687" i="10"/>
  <c r="AX687" i="10" s="1"/>
  <c r="AL687" i="10" l="1"/>
  <c r="AD688" i="10"/>
  <c r="T688" i="10"/>
  <c r="AQ688" i="10" s="1"/>
  <c r="U688" i="10"/>
  <c r="W688" i="10" s="1"/>
  <c r="AP688" i="10" s="1"/>
  <c r="BA687" i="10"/>
  <c r="AO687" i="10"/>
  <c r="AY687" i="10" s="1"/>
  <c r="AH687" i="10"/>
  <c r="AN687" i="10" l="1"/>
  <c r="AW687" i="10" s="1"/>
  <c r="BD687" i="10" s="1"/>
  <c r="AZ687" i="10"/>
  <c r="X688" i="10"/>
  <c r="Z688" i="10" l="1"/>
  <c r="AR688" i="10" s="1"/>
  <c r="AA688" i="10" l="1"/>
  <c r="Q689" i="10"/>
  <c r="AC689" i="10" l="1"/>
  <c r="AB689" i="10"/>
  <c r="AV688" i="10" s="1"/>
  <c r="S689" i="10"/>
  <c r="AM689" i="10"/>
  <c r="AJ688" i="10"/>
  <c r="AI688" i="10"/>
  <c r="AG688" i="10"/>
  <c r="AK688" i="10"/>
  <c r="AX688" i="10" s="1"/>
  <c r="AO688" i="10" l="1"/>
  <c r="AY688" i="10" s="1"/>
  <c r="AH688" i="10"/>
  <c r="AL688" i="10"/>
  <c r="T689" i="10"/>
  <c r="AQ689" i="10" s="1"/>
  <c r="AD689" i="10"/>
  <c r="U689" i="10"/>
  <c r="W689" i="10" s="1"/>
  <c r="AP689" i="10" s="1"/>
  <c r="BA688" i="10"/>
  <c r="X689" i="10" l="1"/>
  <c r="AN688" i="10"/>
  <c r="AW688" i="10" s="1"/>
  <c r="BD688" i="10" l="1"/>
  <c r="AZ688" i="10"/>
  <c r="Z689" i="10"/>
  <c r="AR689" i="10" s="1"/>
  <c r="AA689" i="10" l="1"/>
  <c r="Q690" i="10"/>
  <c r="AB690" i="10" l="1"/>
  <c r="AV689" i="10" s="1"/>
  <c r="S690" i="10"/>
  <c r="AM690" i="10"/>
  <c r="AC690" i="10"/>
  <c r="AJ689" i="10"/>
  <c r="AI689" i="10"/>
  <c r="AG689" i="10"/>
  <c r="AK689" i="10"/>
  <c r="AX689" i="10" s="1"/>
  <c r="AL689" i="10" l="1"/>
  <c r="AO689" i="10"/>
  <c r="AY689" i="10" s="1"/>
  <c r="AH689" i="10"/>
  <c r="AN689" i="10" s="1"/>
  <c r="AW689" i="10" s="1"/>
  <c r="BA689" i="10"/>
  <c r="AD690" i="10"/>
  <c r="T690" i="10"/>
  <c r="AQ690" i="10" s="1"/>
  <c r="U690" i="10"/>
  <c r="W690" i="10" s="1"/>
  <c r="AP690" i="10" s="1"/>
  <c r="X690" i="10" l="1"/>
  <c r="BD689" i="10"/>
  <c r="AZ689" i="10"/>
  <c r="Z690" i="10" l="1"/>
  <c r="AR690" i="10" s="1"/>
  <c r="AA690" i="10" l="1"/>
  <c r="Q691" i="10"/>
  <c r="S691" i="10" l="1"/>
  <c r="AM691" i="10"/>
  <c r="AC691" i="10"/>
  <c r="AB691" i="10"/>
  <c r="AV690" i="10" s="1"/>
  <c r="AJ690" i="10"/>
  <c r="AI690" i="10"/>
  <c r="AG690" i="10"/>
  <c r="AK690" i="10"/>
  <c r="AX690" i="10" s="1"/>
  <c r="AO690" i="10" l="1"/>
  <c r="AY690" i="10" s="1"/>
  <c r="AH690" i="10"/>
  <c r="AL690" i="10"/>
  <c r="BA690" i="10"/>
  <c r="T691" i="10"/>
  <c r="AQ691" i="10" s="1"/>
  <c r="AD691" i="10"/>
  <c r="U691" i="10"/>
  <c r="W691" i="10" s="1"/>
  <c r="AP691" i="10" s="1"/>
  <c r="X691" i="10" l="1"/>
  <c r="AN690" i="10"/>
  <c r="AW690" i="10" s="1"/>
  <c r="BD690" i="10" l="1"/>
  <c r="AZ690" i="10"/>
  <c r="Z691" i="10"/>
  <c r="AR691" i="10" s="1"/>
  <c r="AA691" i="10" l="1"/>
  <c r="Q692" i="10"/>
  <c r="S692" i="10" l="1"/>
  <c r="AM692" i="10"/>
  <c r="AC692" i="10"/>
  <c r="AB692" i="10"/>
  <c r="AV691" i="10" s="1"/>
  <c r="AI691" i="10"/>
  <c r="AJ691" i="10"/>
  <c r="AG691" i="10"/>
  <c r="AK691" i="10"/>
  <c r="AX691" i="10" s="1"/>
  <c r="AL691" i="10" l="1"/>
  <c r="AO691" i="10"/>
  <c r="AY691" i="10" s="1"/>
  <c r="AH691" i="10"/>
  <c r="AN691" i="10" s="1"/>
  <c r="AW691" i="10" s="1"/>
  <c r="BA691" i="10"/>
  <c r="T692" i="10"/>
  <c r="AQ692" i="10" s="1"/>
  <c r="AD692" i="10"/>
  <c r="U692" i="10"/>
  <c r="W692" i="10" s="1"/>
  <c r="AP692" i="10" s="1"/>
  <c r="X692" i="10" l="1"/>
  <c r="BD691" i="10"/>
  <c r="AZ691" i="10"/>
  <c r="Z692" i="10" l="1"/>
  <c r="AR692" i="10" s="1"/>
  <c r="AA692" i="10" l="1"/>
  <c r="Q693" i="10"/>
  <c r="S693" i="10" l="1"/>
  <c r="AC693" i="10"/>
  <c r="AB693" i="10"/>
  <c r="AV692" i="10" s="1"/>
  <c r="AM693" i="10"/>
  <c r="AI692" i="10"/>
  <c r="AJ692" i="10"/>
  <c r="AG692" i="10"/>
  <c r="AK692" i="10"/>
  <c r="AX692" i="10" s="1"/>
  <c r="AL692" i="10" l="1"/>
  <c r="AO692" i="10"/>
  <c r="AY692" i="10" s="1"/>
  <c r="AH692" i="10"/>
  <c r="BA692" i="10"/>
  <c r="AD693" i="10"/>
  <c r="T693" i="10"/>
  <c r="AQ693" i="10" s="1"/>
  <c r="U693" i="10"/>
  <c r="W693" i="10" s="1"/>
  <c r="AP693" i="10" s="1"/>
  <c r="AN692" i="10" l="1"/>
  <c r="AW692" i="10" s="1"/>
  <c r="X693" i="10"/>
  <c r="BD692" i="10"/>
  <c r="AZ692" i="10"/>
  <c r="Z693" i="10" l="1"/>
  <c r="AR693" i="10" s="1"/>
  <c r="AA693" i="10" l="1"/>
  <c r="Q694" i="10"/>
  <c r="S694" i="10" l="1"/>
  <c r="AM694" i="10"/>
  <c r="AC694" i="10"/>
  <c r="AB694" i="10"/>
  <c r="AV693" i="10" s="1"/>
  <c r="AI693" i="10"/>
  <c r="AJ693" i="10"/>
  <c r="AG693" i="10"/>
  <c r="AK693" i="10"/>
  <c r="AX693" i="10" s="1"/>
  <c r="AO693" i="10" l="1"/>
  <c r="AY693" i="10" s="1"/>
  <c r="AH693" i="10"/>
  <c r="AL693" i="10"/>
  <c r="BA693" i="10"/>
  <c r="AD694" i="10"/>
  <c r="T694" i="10"/>
  <c r="AQ694" i="10" s="1"/>
  <c r="U694" i="10"/>
  <c r="W694" i="10" s="1"/>
  <c r="AP694" i="10" s="1"/>
  <c r="X694" i="10" l="1"/>
  <c r="Z694" i="10"/>
  <c r="AR694" i="10" s="1"/>
  <c r="AN693" i="10"/>
  <c r="AW693" i="10" s="1"/>
  <c r="BD693" i="10" l="1"/>
  <c r="AZ693" i="10"/>
  <c r="AA694" i="10"/>
  <c r="Q695" i="10"/>
  <c r="S695" i="10" l="1"/>
  <c r="AM695" i="10"/>
  <c r="AC695" i="10"/>
  <c r="AB695" i="10"/>
  <c r="AV694" i="10" s="1"/>
  <c r="AI694" i="10"/>
  <c r="AJ694" i="10"/>
  <c r="AG694" i="10"/>
  <c r="AK694" i="10"/>
  <c r="AX694" i="10" s="1"/>
  <c r="AO694" i="10" l="1"/>
  <c r="AY694" i="10" s="1"/>
  <c r="AH694" i="10"/>
  <c r="AL694" i="10"/>
  <c r="BA694" i="10"/>
  <c r="AD695" i="10"/>
  <c r="T695" i="10"/>
  <c r="AQ695" i="10" s="1"/>
  <c r="U695" i="10"/>
  <c r="W695" i="10" s="1"/>
  <c r="AP695" i="10" s="1"/>
  <c r="X695" i="10" l="1"/>
  <c r="AN694" i="10"/>
  <c r="AW694" i="10" s="1"/>
  <c r="AZ694" i="10" l="1"/>
  <c r="BD694" i="10"/>
  <c r="Z695" i="10"/>
  <c r="AR695" i="10" s="1"/>
  <c r="AA695" i="10" l="1"/>
  <c r="Q696" i="10"/>
  <c r="S696" i="10" l="1"/>
  <c r="AM696" i="10"/>
  <c r="AC696" i="10"/>
  <c r="AB696" i="10"/>
  <c r="AV695" i="10" s="1"/>
  <c r="AI695" i="10"/>
  <c r="AJ695" i="10"/>
  <c r="AG695" i="10"/>
  <c r="AK695" i="10"/>
  <c r="AX695" i="10" s="1"/>
  <c r="AL695" i="10" l="1"/>
  <c r="AO695" i="10"/>
  <c r="AY695" i="10" s="1"/>
  <c r="AH695" i="10"/>
  <c r="AN695" i="10" s="1"/>
  <c r="AW695" i="10" s="1"/>
  <c r="BA695" i="10"/>
  <c r="AD696" i="10"/>
  <c r="T696" i="10"/>
  <c r="AQ696" i="10" s="1"/>
  <c r="U696" i="10"/>
  <c r="W696" i="10" s="1"/>
  <c r="AP696" i="10" s="1"/>
  <c r="AZ695" i="10" l="1"/>
  <c r="BD695" i="10"/>
  <c r="X696" i="10"/>
  <c r="Z696" i="10" l="1"/>
  <c r="AR696" i="10" s="1"/>
  <c r="AA696" i="10" l="1"/>
  <c r="Q697" i="10"/>
  <c r="S697" i="10" l="1"/>
  <c r="AM697" i="10"/>
  <c r="AC697" i="10"/>
  <c r="AB697" i="10"/>
  <c r="AV696" i="10" s="1"/>
  <c r="AI696" i="10"/>
  <c r="AJ696" i="10"/>
  <c r="AG696" i="10"/>
  <c r="AK696" i="10"/>
  <c r="AX696" i="10" s="1"/>
  <c r="AL696" i="10" l="1"/>
  <c r="AO696" i="10"/>
  <c r="AY696" i="10" s="1"/>
  <c r="AH696" i="10"/>
  <c r="AN696" i="10" s="1"/>
  <c r="AW696" i="10" s="1"/>
  <c r="BA696" i="10"/>
  <c r="T697" i="10"/>
  <c r="AQ697" i="10" s="1"/>
  <c r="AD697" i="10"/>
  <c r="U697" i="10"/>
  <c r="W697" i="10" s="1"/>
  <c r="AP697" i="10" s="1"/>
  <c r="X697" i="10" l="1"/>
  <c r="BD696" i="10"/>
  <c r="AZ696" i="10"/>
  <c r="Z697" i="10" l="1"/>
  <c r="AR697" i="10" s="1"/>
  <c r="AA697" i="10" l="1"/>
  <c r="Q698" i="10"/>
  <c r="AM698" i="10" l="1"/>
  <c r="S698" i="10"/>
  <c r="AC698" i="10"/>
  <c r="AB698" i="10"/>
  <c r="AV697" i="10" s="1"/>
  <c r="AI697" i="10"/>
  <c r="AJ697" i="10"/>
  <c r="AG697" i="10"/>
  <c r="AK697" i="10"/>
  <c r="AX697" i="10" s="1"/>
  <c r="AO697" i="10" l="1"/>
  <c r="AY697" i="10" s="1"/>
  <c r="AH697" i="10"/>
  <c r="AL697" i="10"/>
  <c r="BA697" i="10"/>
  <c r="T698" i="10"/>
  <c r="AQ698" i="10" s="1"/>
  <c r="AD698" i="10"/>
  <c r="U698" i="10"/>
  <c r="W698" i="10" s="1"/>
  <c r="AP698" i="10" s="1"/>
  <c r="X698" i="10" l="1"/>
  <c r="Z698" i="10" s="1"/>
  <c r="AR698" i="10" s="1"/>
  <c r="AN697" i="10"/>
  <c r="AW697" i="10" s="1"/>
  <c r="BD697" i="10" l="1"/>
  <c r="AZ697" i="10"/>
  <c r="AA698" i="10"/>
  <c r="Q699" i="10"/>
  <c r="AM699" i="10" l="1"/>
  <c r="S699" i="10"/>
  <c r="AC699" i="10"/>
  <c r="AB699" i="10"/>
  <c r="AV698" i="10" s="1"/>
  <c r="AI698" i="10"/>
  <c r="AJ698" i="10"/>
  <c r="AG698" i="10"/>
  <c r="AK698" i="10"/>
  <c r="AX698" i="10" s="1"/>
  <c r="AO698" i="10" l="1"/>
  <c r="AY698" i="10" s="1"/>
  <c r="AH698" i="10"/>
  <c r="AL698" i="10"/>
  <c r="BA698" i="10"/>
  <c r="AD699" i="10"/>
  <c r="T699" i="10"/>
  <c r="AQ699" i="10" s="1"/>
  <c r="U699" i="10"/>
  <c r="W699" i="10" s="1"/>
  <c r="AP699" i="10" s="1"/>
  <c r="X699" i="10" l="1"/>
  <c r="AN698" i="10"/>
  <c r="AW698" i="10" s="1"/>
  <c r="AZ698" i="10" l="1"/>
  <c r="BD698" i="10"/>
  <c r="Z699" i="10"/>
  <c r="AR699" i="10" s="1"/>
  <c r="AA699" i="10" l="1"/>
  <c r="Q700" i="10"/>
  <c r="AM700" i="10" l="1"/>
  <c r="S700" i="10"/>
  <c r="AC700" i="10"/>
  <c r="AB700" i="10"/>
  <c r="AV699" i="10" s="1"/>
  <c r="AI699" i="10"/>
  <c r="AJ699" i="10"/>
  <c r="AG699" i="10"/>
  <c r="AK699" i="10"/>
  <c r="AX699" i="10" s="1"/>
  <c r="AL699" i="10" l="1"/>
  <c r="AO699" i="10"/>
  <c r="AY699" i="10" s="1"/>
  <c r="AH699" i="10"/>
  <c r="BA699" i="10"/>
  <c r="T700" i="10"/>
  <c r="AQ700" i="10" s="1"/>
  <c r="AD700" i="10"/>
  <c r="U700" i="10"/>
  <c r="W700" i="10" s="1"/>
  <c r="AP700" i="10" s="1"/>
  <c r="AN699" i="10" l="1"/>
  <c r="AW699" i="10" s="1"/>
  <c r="X700" i="10"/>
  <c r="BD699" i="10"/>
  <c r="AZ699" i="10"/>
  <c r="Z700" i="10" l="1"/>
  <c r="AR700" i="10" s="1"/>
  <c r="AA700" i="10" l="1"/>
  <c r="Q701" i="10"/>
  <c r="AI700" i="10" l="1"/>
  <c r="AJ700" i="10"/>
  <c r="AG700" i="10"/>
  <c r="AK700" i="10"/>
  <c r="AX700" i="10" s="1"/>
  <c r="AM701" i="10"/>
  <c r="S701" i="10"/>
  <c r="AC701" i="10"/>
  <c r="AB701" i="10"/>
  <c r="AV700" i="10" s="1"/>
  <c r="BA700" i="10" l="1"/>
  <c r="AD701" i="10"/>
  <c r="T701" i="10"/>
  <c r="AQ701" i="10" s="1"/>
  <c r="U701" i="10"/>
  <c r="W701" i="10" s="1"/>
  <c r="AP701" i="10" s="1"/>
  <c r="AO700" i="10"/>
  <c r="AY700" i="10" s="1"/>
  <c r="AH700" i="10"/>
  <c r="AL700" i="10"/>
  <c r="AN700" i="10" l="1"/>
  <c r="AW700" i="10" s="1"/>
  <c r="X701" i="10"/>
  <c r="Z701" i="10" l="1"/>
  <c r="AR701" i="10" s="1"/>
  <c r="BD700" i="10"/>
  <c r="AZ700" i="10"/>
  <c r="AA701" i="10" l="1"/>
  <c r="Q702" i="10"/>
  <c r="AM702" i="10" l="1"/>
  <c r="S702" i="10"/>
  <c r="AB702" i="10"/>
  <c r="AV701" i="10" s="1"/>
  <c r="AC702" i="10"/>
  <c r="AI701" i="10"/>
  <c r="AJ701" i="10"/>
  <c r="AG701" i="10"/>
  <c r="AK701" i="10"/>
  <c r="AX701" i="10" s="1"/>
  <c r="AO701" i="10" l="1"/>
  <c r="AY701" i="10" s="1"/>
  <c r="AH701" i="10"/>
  <c r="AL701" i="10"/>
  <c r="BA701" i="10"/>
  <c r="T702" i="10"/>
  <c r="AQ702" i="10" s="1"/>
  <c r="AD702" i="10"/>
  <c r="U702" i="10"/>
  <c r="W702" i="10" s="1"/>
  <c r="AP702" i="10" s="1"/>
  <c r="X702" i="10" l="1"/>
  <c r="AN701" i="10"/>
  <c r="AW701" i="10" s="1"/>
  <c r="BD701" i="10" l="1"/>
  <c r="AZ701" i="10"/>
  <c r="Z702" i="10"/>
  <c r="AR702" i="10" s="1"/>
  <c r="AA702" i="10" l="1"/>
  <c r="Q703" i="10"/>
  <c r="AM703" i="10" l="1"/>
  <c r="S703" i="10"/>
  <c r="AC703" i="10"/>
  <c r="AB703" i="10"/>
  <c r="AV702" i="10" s="1"/>
  <c r="AI702" i="10"/>
  <c r="AJ702" i="10"/>
  <c r="AG702" i="10"/>
  <c r="AK702" i="10"/>
  <c r="AX702" i="10" s="1"/>
  <c r="AL702" i="10" l="1"/>
  <c r="AO702" i="10"/>
  <c r="AY702" i="10" s="1"/>
  <c r="AH702" i="10"/>
  <c r="BA702" i="10"/>
  <c r="AD703" i="10"/>
  <c r="T703" i="10"/>
  <c r="AQ703" i="10" s="1"/>
  <c r="U703" i="10"/>
  <c r="W703" i="10" s="1"/>
  <c r="AP703" i="10" s="1"/>
  <c r="AN702" i="10" l="1"/>
  <c r="AW702" i="10" s="1"/>
  <c r="AZ702" i="10" s="1"/>
  <c r="X703" i="10"/>
  <c r="BD702" i="10"/>
  <c r="Z703" i="10" l="1"/>
  <c r="AR703" i="10" s="1"/>
  <c r="AA703" i="10" l="1"/>
  <c r="Q704" i="10"/>
  <c r="AM704" i="10" l="1"/>
  <c r="S704" i="10"/>
  <c r="AB704" i="10"/>
  <c r="AV703" i="10" s="1"/>
  <c r="AC704" i="10"/>
  <c r="AI703" i="10"/>
  <c r="AJ703" i="10"/>
  <c r="AG703" i="10"/>
  <c r="AK703" i="10"/>
  <c r="AX703" i="10" s="1"/>
  <c r="AL703" i="10" l="1"/>
  <c r="BA703" i="10"/>
  <c r="T704" i="10"/>
  <c r="AQ704" i="10" s="1"/>
  <c r="AD704" i="10"/>
  <c r="U704" i="10"/>
  <c r="W704" i="10" s="1"/>
  <c r="AP704" i="10" s="1"/>
  <c r="AO703" i="10"/>
  <c r="AY703" i="10" s="1"/>
  <c r="AH703" i="10"/>
  <c r="AN703" i="10" l="1"/>
  <c r="AW703" i="10" s="1"/>
  <c r="BD703" i="10" s="1"/>
  <c r="X704" i="10"/>
  <c r="AZ703" i="10" l="1"/>
  <c r="Z704" i="10"/>
  <c r="AR704" i="10" s="1"/>
  <c r="AA704" i="10" l="1"/>
  <c r="Q705" i="10"/>
  <c r="AM705" i="10" l="1"/>
  <c r="S705" i="10"/>
  <c r="AC705" i="10"/>
  <c r="AB705" i="10"/>
  <c r="AV704" i="10" s="1"/>
  <c r="AI704" i="10"/>
  <c r="AJ704" i="10"/>
  <c r="AG704" i="10"/>
  <c r="AK704" i="10"/>
  <c r="AX704" i="10" s="1"/>
  <c r="AO704" i="10" l="1"/>
  <c r="AY704" i="10" s="1"/>
  <c r="AH704" i="10"/>
  <c r="AL704" i="10"/>
  <c r="BA704" i="10"/>
  <c r="AD705" i="10"/>
  <c r="T705" i="10"/>
  <c r="AQ705" i="10" s="1"/>
  <c r="U705" i="10"/>
  <c r="W705" i="10" s="1"/>
  <c r="AP705" i="10" s="1"/>
  <c r="X705" i="10" l="1"/>
  <c r="AN704" i="10"/>
  <c r="AW704" i="10" s="1"/>
  <c r="Z705" i="10" l="1"/>
  <c r="AR705" i="10" s="1"/>
  <c r="BD704" i="10"/>
  <c r="AZ704" i="10"/>
  <c r="AA705" i="10" l="1"/>
  <c r="Q706" i="10"/>
  <c r="AM706" i="10" l="1"/>
  <c r="S706" i="10"/>
  <c r="AB706" i="10"/>
  <c r="AV705" i="10" s="1"/>
  <c r="AC706" i="10"/>
  <c r="AI705" i="10"/>
  <c r="AJ705" i="10"/>
  <c r="AG705" i="10"/>
  <c r="AK705" i="10"/>
  <c r="AX705" i="10" s="1"/>
  <c r="AL705" i="10" l="1"/>
  <c r="AO705" i="10"/>
  <c r="AY705" i="10" s="1"/>
  <c r="AH705" i="10"/>
  <c r="AN705" i="10" s="1"/>
  <c r="AW705" i="10" s="1"/>
  <c r="BA705" i="10"/>
  <c r="T706" i="10"/>
  <c r="AQ706" i="10" s="1"/>
  <c r="AD706" i="10"/>
  <c r="U706" i="10"/>
  <c r="W706" i="10" s="1"/>
  <c r="AP706" i="10" s="1"/>
  <c r="X706" i="10" l="1"/>
  <c r="BD705" i="10"/>
  <c r="AZ705" i="10"/>
  <c r="Z706" i="10" l="1"/>
  <c r="AR706" i="10" s="1"/>
  <c r="AA706" i="10" l="1"/>
  <c r="Q707" i="10"/>
  <c r="AM707" i="10" l="1"/>
  <c r="S707" i="10"/>
  <c r="AC707" i="10"/>
  <c r="AB707" i="10"/>
  <c r="AV706" i="10" s="1"/>
  <c r="AI706" i="10"/>
  <c r="AJ706" i="10"/>
  <c r="AG706" i="10"/>
  <c r="AK706" i="10"/>
  <c r="AX706" i="10" s="1"/>
  <c r="AL706" i="10" l="1"/>
  <c r="BA706" i="10"/>
  <c r="AD707" i="10"/>
  <c r="T707" i="10"/>
  <c r="AQ707" i="10" s="1"/>
  <c r="U707" i="10"/>
  <c r="W707" i="10" s="1"/>
  <c r="AP707" i="10" s="1"/>
  <c r="AO706" i="10"/>
  <c r="AY706" i="10" s="1"/>
  <c r="AH706" i="10"/>
  <c r="AN706" i="10" l="1"/>
  <c r="AW706" i="10" s="1"/>
  <c r="BD706" i="10" s="1"/>
  <c r="AZ706" i="10"/>
  <c r="X707" i="10"/>
  <c r="Z707" i="10" l="1"/>
  <c r="AR707" i="10" s="1"/>
  <c r="AA707" i="10" l="1"/>
  <c r="Q708" i="10"/>
  <c r="AM708" i="10" l="1"/>
  <c r="S708" i="10"/>
  <c r="AB708" i="10"/>
  <c r="AV707" i="10" s="1"/>
  <c r="AC708" i="10"/>
  <c r="AI707" i="10"/>
  <c r="AJ707" i="10"/>
  <c r="AG707" i="10"/>
  <c r="AK707" i="10"/>
  <c r="AX707" i="10" s="1"/>
  <c r="AO707" i="10" l="1"/>
  <c r="AY707" i="10" s="1"/>
  <c r="AH707" i="10"/>
  <c r="AL707" i="10"/>
  <c r="BA707" i="10"/>
  <c r="T708" i="10"/>
  <c r="AQ708" i="10" s="1"/>
  <c r="AD708" i="10"/>
  <c r="U708" i="10"/>
  <c r="W708" i="10" s="1"/>
  <c r="AP708" i="10" s="1"/>
  <c r="X708" i="10" l="1"/>
  <c r="AN707" i="10"/>
  <c r="AW707" i="10" s="1"/>
  <c r="BD707" i="10" l="1"/>
  <c r="AZ707" i="10"/>
  <c r="Z708" i="10"/>
  <c r="AR708" i="10" s="1"/>
  <c r="AA708" i="10" l="1"/>
  <c r="Q709" i="10"/>
  <c r="AM709" i="10" l="1"/>
  <c r="S709" i="10"/>
  <c r="AC709" i="10"/>
  <c r="AB709" i="10"/>
  <c r="AV708" i="10" s="1"/>
  <c r="AI708" i="10"/>
  <c r="AJ708" i="10"/>
  <c r="AG708" i="10"/>
  <c r="AK708" i="10"/>
  <c r="AX708" i="10" s="1"/>
  <c r="AO708" i="10" l="1"/>
  <c r="AY708" i="10" s="1"/>
  <c r="AH708" i="10"/>
  <c r="AL708" i="10"/>
  <c r="BA708" i="10"/>
  <c r="AD709" i="10"/>
  <c r="T709" i="10"/>
  <c r="AQ709" i="10" s="1"/>
  <c r="U709" i="10"/>
  <c r="W709" i="10" s="1"/>
  <c r="AP709" i="10" s="1"/>
  <c r="AN708" i="10" l="1"/>
  <c r="AW708" i="10" s="1"/>
  <c r="X709" i="10"/>
  <c r="BD708" i="10"/>
  <c r="AZ708" i="10"/>
  <c r="Z709" i="10" l="1"/>
  <c r="AR709" i="10" s="1"/>
  <c r="AA709" i="10" l="1"/>
  <c r="Q710" i="10"/>
  <c r="AM710" i="10" l="1"/>
  <c r="S710" i="10"/>
  <c r="AB710" i="10"/>
  <c r="AV709" i="10" s="1"/>
  <c r="AC710" i="10"/>
  <c r="AI709" i="10"/>
  <c r="AJ709" i="10"/>
  <c r="AG709" i="10"/>
  <c r="AK709" i="10"/>
  <c r="AX709" i="10" s="1"/>
  <c r="AL709" i="10" l="1"/>
  <c r="BA709" i="10"/>
  <c r="T710" i="10"/>
  <c r="AQ710" i="10" s="1"/>
  <c r="AD710" i="10"/>
  <c r="U710" i="10"/>
  <c r="W710" i="10" s="1"/>
  <c r="AP710" i="10" s="1"/>
  <c r="AO709" i="10"/>
  <c r="AY709" i="10" s="1"/>
  <c r="AH709" i="10"/>
  <c r="AN709" i="10" l="1"/>
  <c r="AW709" i="10" s="1"/>
  <c r="BD709" i="10"/>
  <c r="AZ709" i="10"/>
  <c r="X710" i="10"/>
  <c r="Z710" i="10" l="1"/>
  <c r="AR710" i="10" s="1"/>
  <c r="AA710" i="10" l="1"/>
  <c r="Q711" i="10"/>
  <c r="AM711" i="10" l="1"/>
  <c r="S711" i="10"/>
  <c r="AC711" i="10"/>
  <c r="AB711" i="10"/>
  <c r="AV710" i="10" s="1"/>
  <c r="AI710" i="10"/>
  <c r="AJ710" i="10"/>
  <c r="AG710" i="10"/>
  <c r="AK710" i="10"/>
  <c r="AX710" i="10" s="1"/>
  <c r="AO710" i="10" l="1"/>
  <c r="AY710" i="10" s="1"/>
  <c r="AH710" i="10"/>
  <c r="AL710" i="10"/>
  <c r="BA710" i="10"/>
  <c r="AD711" i="10"/>
  <c r="T711" i="10"/>
  <c r="AQ711" i="10" s="1"/>
  <c r="U711" i="10"/>
  <c r="W711" i="10" s="1"/>
  <c r="AP711" i="10" s="1"/>
  <c r="X711" i="10" l="1"/>
  <c r="AN710" i="10"/>
  <c r="AW710" i="10" s="1"/>
  <c r="BD710" i="10" l="1"/>
  <c r="AZ710" i="10"/>
  <c r="Z711" i="10"/>
  <c r="AR711" i="10" s="1"/>
  <c r="AA711" i="10" l="1"/>
  <c r="Q712" i="10"/>
  <c r="AM712" i="10" l="1"/>
  <c r="S712" i="10"/>
  <c r="AB712" i="10"/>
  <c r="AV711" i="10" s="1"/>
  <c r="AC712" i="10"/>
  <c r="AI711" i="10"/>
  <c r="AJ711" i="10"/>
  <c r="AG711" i="10"/>
  <c r="AK711" i="10"/>
  <c r="AX711" i="10" s="1"/>
  <c r="AO711" i="10" l="1"/>
  <c r="AY711" i="10" s="1"/>
  <c r="AH711" i="10"/>
  <c r="AL711" i="10"/>
  <c r="BA711" i="10"/>
  <c r="T712" i="10"/>
  <c r="AQ712" i="10" s="1"/>
  <c r="AD712" i="10"/>
  <c r="U712" i="10"/>
  <c r="W712" i="10" s="1"/>
  <c r="AP712" i="10" s="1"/>
  <c r="X712" i="10" l="1"/>
  <c r="AN711" i="10"/>
  <c r="AW711" i="10" s="1"/>
  <c r="BD711" i="10" l="1"/>
  <c r="AZ711" i="10"/>
  <c r="Z712" i="10"/>
  <c r="AR712" i="10" s="1"/>
  <c r="AA712" i="10" l="1"/>
  <c r="Q713" i="10"/>
  <c r="AM713" i="10" l="1"/>
  <c r="S713" i="10"/>
  <c r="AC713" i="10"/>
  <c r="AB713" i="10"/>
  <c r="AV712" i="10" s="1"/>
  <c r="AI712" i="10"/>
  <c r="AJ712" i="10"/>
  <c r="AG712" i="10"/>
  <c r="AK712" i="10"/>
  <c r="AX712" i="10" s="1"/>
  <c r="AL712" i="10" l="1"/>
  <c r="BA712" i="10"/>
  <c r="AD713" i="10"/>
  <c r="T713" i="10"/>
  <c r="AQ713" i="10" s="1"/>
  <c r="U713" i="10"/>
  <c r="W713" i="10" s="1"/>
  <c r="AP713" i="10" s="1"/>
  <c r="AO712" i="10"/>
  <c r="AY712" i="10" s="1"/>
  <c r="AH712" i="10"/>
  <c r="AN712" i="10" l="1"/>
  <c r="AW712" i="10" s="1"/>
  <c r="BD712" i="10" s="1"/>
  <c r="X713" i="10"/>
  <c r="AZ712" i="10" l="1"/>
  <c r="Z713" i="10"/>
  <c r="AR713" i="10" s="1"/>
  <c r="AA713" i="10" l="1"/>
  <c r="Q714" i="10"/>
  <c r="AM714" i="10" l="1"/>
  <c r="S714" i="10"/>
  <c r="AB714" i="10"/>
  <c r="AV713" i="10" s="1"/>
  <c r="AC714" i="10"/>
  <c r="AI713" i="10"/>
  <c r="AJ713" i="10"/>
  <c r="AG713" i="10"/>
  <c r="AK713" i="10"/>
  <c r="AX713" i="10" s="1"/>
  <c r="BA713" i="10" l="1"/>
  <c r="T714" i="10"/>
  <c r="AQ714" i="10" s="1"/>
  <c r="AD714" i="10"/>
  <c r="U714" i="10"/>
  <c r="W714" i="10" s="1"/>
  <c r="AP714" i="10" s="1"/>
  <c r="AO713" i="10"/>
  <c r="AY713" i="10" s="1"/>
  <c r="AH713" i="10"/>
  <c r="AL713" i="10"/>
  <c r="AN713" i="10" l="1"/>
  <c r="AW713" i="10" s="1"/>
  <c r="X714" i="10"/>
  <c r="Z714" i="10" l="1"/>
  <c r="AR714" i="10" s="1"/>
  <c r="BD713" i="10"/>
  <c r="AZ713" i="10"/>
  <c r="AA714" i="10" l="1"/>
  <c r="Q715" i="10"/>
  <c r="AM715" i="10" l="1"/>
  <c r="S715" i="10"/>
  <c r="AC715" i="10"/>
  <c r="AB715" i="10"/>
  <c r="AV714" i="10" s="1"/>
  <c r="AI714" i="10"/>
  <c r="AJ714" i="10"/>
  <c r="AG714" i="10"/>
  <c r="AK714" i="10"/>
  <c r="AX714" i="10" s="1"/>
  <c r="AO714" i="10" l="1"/>
  <c r="AY714" i="10" s="1"/>
  <c r="AH714" i="10"/>
  <c r="AL714" i="10"/>
  <c r="BA714" i="10"/>
  <c r="AD715" i="10"/>
  <c r="T715" i="10"/>
  <c r="AQ715" i="10" s="1"/>
  <c r="U715" i="10"/>
  <c r="W715" i="10" s="1"/>
  <c r="AP715" i="10" s="1"/>
  <c r="X715" i="10" l="1"/>
  <c r="AN714" i="10"/>
  <c r="AW714" i="10" s="1"/>
  <c r="BD714" i="10" l="1"/>
  <c r="AZ714" i="10"/>
  <c r="Z715" i="10"/>
  <c r="AR715" i="10" s="1"/>
  <c r="AA715" i="10" l="1"/>
  <c r="Q716" i="10"/>
  <c r="AM716" i="10" l="1"/>
  <c r="S716" i="10"/>
  <c r="AB716" i="10"/>
  <c r="AV715" i="10" s="1"/>
  <c r="AC716" i="10"/>
  <c r="AI715" i="10"/>
  <c r="AJ715" i="10"/>
  <c r="AG715" i="10"/>
  <c r="AK715" i="10"/>
  <c r="AX715" i="10" s="1"/>
  <c r="AL715" i="10" l="1"/>
  <c r="AO715" i="10"/>
  <c r="AY715" i="10" s="1"/>
  <c r="AH715" i="10"/>
  <c r="BA715" i="10"/>
  <c r="T716" i="10"/>
  <c r="AQ716" i="10" s="1"/>
  <c r="AD716" i="10"/>
  <c r="U716" i="10"/>
  <c r="W716" i="10" s="1"/>
  <c r="AP716" i="10" s="1"/>
  <c r="AN715" i="10" l="1"/>
  <c r="AW715" i="10" s="1"/>
  <c r="BD715" i="10" s="1"/>
  <c r="X716" i="10"/>
  <c r="AZ715" i="10"/>
  <c r="Z716" i="10" l="1"/>
  <c r="AR716" i="10" s="1"/>
  <c r="AA716" i="10" l="1"/>
  <c r="Q717" i="10"/>
  <c r="AM717" i="10" l="1"/>
  <c r="S717" i="10"/>
  <c r="AC717" i="10"/>
  <c r="AB717" i="10"/>
  <c r="AV716" i="10" s="1"/>
  <c r="AI716" i="10"/>
  <c r="AJ716" i="10"/>
  <c r="AG716" i="10"/>
  <c r="AK716" i="10"/>
  <c r="AX716" i="10" s="1"/>
  <c r="AL716" i="10" l="1"/>
  <c r="AO716" i="10"/>
  <c r="AY716" i="10" s="1"/>
  <c r="AH716" i="10"/>
  <c r="BA716" i="10"/>
  <c r="AD717" i="10"/>
  <c r="T717" i="10"/>
  <c r="AQ717" i="10" s="1"/>
  <c r="U717" i="10"/>
  <c r="W717" i="10" s="1"/>
  <c r="AP717" i="10" s="1"/>
  <c r="AN716" i="10" l="1"/>
  <c r="AW716" i="10" s="1"/>
  <c r="X717" i="10"/>
  <c r="BD716" i="10"/>
  <c r="AZ716" i="10"/>
  <c r="Z717" i="10" l="1"/>
  <c r="AR717" i="10" s="1"/>
  <c r="AA717" i="10" l="1"/>
  <c r="Q718" i="10"/>
  <c r="AM718" i="10" l="1"/>
  <c r="S718" i="10"/>
  <c r="AB718" i="10"/>
  <c r="AV717" i="10" s="1"/>
  <c r="AC718" i="10"/>
  <c r="AI717" i="10"/>
  <c r="AJ717" i="10"/>
  <c r="AG717" i="10"/>
  <c r="AK717" i="10"/>
  <c r="AX717" i="10" s="1"/>
  <c r="BA717" i="10" l="1"/>
  <c r="T718" i="10"/>
  <c r="AQ718" i="10" s="1"/>
  <c r="AD718" i="10"/>
  <c r="U718" i="10"/>
  <c r="W718" i="10" s="1"/>
  <c r="AP718" i="10" s="1"/>
  <c r="AO717" i="10"/>
  <c r="AY717" i="10" s="1"/>
  <c r="AH717" i="10"/>
  <c r="AL717" i="10"/>
  <c r="AN717" i="10" l="1"/>
  <c r="AW717" i="10" s="1"/>
  <c r="X718" i="10"/>
  <c r="Z718" i="10" l="1"/>
  <c r="AR718" i="10" s="1"/>
  <c r="BD717" i="10"/>
  <c r="AZ717" i="10"/>
  <c r="AA718" i="10" l="1"/>
  <c r="Q719" i="10"/>
  <c r="AM719" i="10" l="1"/>
  <c r="S719" i="10"/>
  <c r="AC719" i="10"/>
  <c r="AB719" i="10"/>
  <c r="AV718" i="10" s="1"/>
  <c r="AI718" i="10"/>
  <c r="AJ718" i="10"/>
  <c r="AG718" i="10"/>
  <c r="AK718" i="10"/>
  <c r="AX718" i="10" s="1"/>
  <c r="AO718" i="10" l="1"/>
  <c r="AY718" i="10" s="1"/>
  <c r="AH718" i="10"/>
  <c r="AL718" i="10"/>
  <c r="BA718" i="10"/>
  <c r="AD719" i="10"/>
  <c r="T719" i="10"/>
  <c r="AQ719" i="10" s="1"/>
  <c r="U719" i="10"/>
  <c r="W719" i="10" s="1"/>
  <c r="AP719" i="10" s="1"/>
  <c r="X719" i="10" l="1"/>
  <c r="AN718" i="10"/>
  <c r="AW718" i="10" s="1"/>
  <c r="BD718" i="10" l="1"/>
  <c r="AZ718" i="10"/>
  <c r="Z719" i="10"/>
  <c r="AR719" i="10" s="1"/>
  <c r="AA719" i="10" l="1"/>
  <c r="Q720" i="10"/>
  <c r="AI719" i="10" l="1"/>
  <c r="AJ719" i="10"/>
  <c r="AG719" i="10"/>
  <c r="AK719" i="10"/>
  <c r="AX719" i="10" s="1"/>
  <c r="AM720" i="10"/>
  <c r="S720" i="10"/>
  <c r="AB720" i="10"/>
  <c r="AV719" i="10" s="1"/>
  <c r="AC720" i="10"/>
  <c r="T720" i="10" l="1"/>
  <c r="AQ720" i="10" s="1"/>
  <c r="AD720" i="10"/>
  <c r="U720" i="10"/>
  <c r="W720" i="10" s="1"/>
  <c r="AP720" i="10" s="1"/>
  <c r="AO719" i="10"/>
  <c r="AY719" i="10" s="1"/>
  <c r="AH719" i="10"/>
  <c r="AL719" i="10"/>
  <c r="BA719" i="10"/>
  <c r="AN719" i="10" l="1"/>
  <c r="AW719" i="10" s="1"/>
  <c r="X720" i="10"/>
  <c r="Z720" i="10" l="1"/>
  <c r="AR720" i="10" s="1"/>
  <c r="BD719" i="10"/>
  <c r="AZ719" i="10"/>
  <c r="AA720" i="10" l="1"/>
  <c r="Q721" i="10"/>
  <c r="AM721" i="10" l="1"/>
  <c r="S721" i="10"/>
  <c r="AC721" i="10"/>
  <c r="AB721" i="10"/>
  <c r="AV720" i="10" s="1"/>
  <c r="AI720" i="10"/>
  <c r="AJ720" i="10"/>
  <c r="AG720" i="10"/>
  <c r="AK720" i="10"/>
  <c r="AX720" i="10" s="1"/>
  <c r="AO720" i="10" l="1"/>
  <c r="AY720" i="10" s="1"/>
  <c r="AH720" i="10"/>
  <c r="AL720" i="10"/>
  <c r="BA720" i="10"/>
  <c r="AD721" i="10"/>
  <c r="T721" i="10"/>
  <c r="AQ721" i="10" s="1"/>
  <c r="U721" i="10"/>
  <c r="W721" i="10" s="1"/>
  <c r="AP721" i="10" s="1"/>
  <c r="X721" i="10" l="1"/>
  <c r="AN720" i="10"/>
  <c r="AW720" i="10" s="1"/>
  <c r="BD720" i="10" l="1"/>
  <c r="AZ720" i="10"/>
  <c r="Z721" i="10"/>
  <c r="AR721" i="10" s="1"/>
  <c r="AA721" i="10" l="1"/>
  <c r="Q722" i="10"/>
  <c r="AM722" i="10" l="1"/>
  <c r="S722" i="10"/>
  <c r="AB722" i="10"/>
  <c r="AV721" i="10" s="1"/>
  <c r="AC722" i="10"/>
  <c r="AI721" i="10"/>
  <c r="AJ721" i="10"/>
  <c r="AG721" i="10"/>
  <c r="AK721" i="10"/>
  <c r="AX721" i="10" s="1"/>
  <c r="AO721" i="10" l="1"/>
  <c r="AY721" i="10" s="1"/>
  <c r="AH721" i="10"/>
  <c r="AL721" i="10"/>
  <c r="BA721" i="10"/>
  <c r="T722" i="10"/>
  <c r="AQ722" i="10" s="1"/>
  <c r="AD722" i="10"/>
  <c r="U722" i="10"/>
  <c r="W722" i="10" s="1"/>
  <c r="AP722" i="10" s="1"/>
  <c r="X722" i="10" l="1"/>
  <c r="AN721" i="10"/>
  <c r="AW721" i="10" s="1"/>
  <c r="BD721" i="10" l="1"/>
  <c r="AZ721" i="10"/>
  <c r="Z722" i="10"/>
  <c r="AR722" i="10" s="1"/>
  <c r="AA722" i="10" l="1"/>
  <c r="Q723" i="10"/>
  <c r="AM723" i="10" l="1"/>
  <c r="S723" i="10"/>
  <c r="AC723" i="10"/>
  <c r="AB723" i="10"/>
  <c r="AV722" i="10" s="1"/>
  <c r="AI722" i="10"/>
  <c r="AJ722" i="10"/>
  <c r="AG722" i="10"/>
  <c r="AK722" i="10"/>
  <c r="AX722" i="10" s="1"/>
  <c r="AL722" i="10" l="1"/>
  <c r="AO722" i="10"/>
  <c r="AY722" i="10" s="1"/>
  <c r="AH722" i="10"/>
  <c r="AN722" i="10" s="1"/>
  <c r="AW722" i="10" s="1"/>
  <c r="BA722" i="10"/>
  <c r="AD723" i="10"/>
  <c r="T723" i="10"/>
  <c r="AQ723" i="10" s="1"/>
  <c r="U723" i="10"/>
  <c r="W723" i="10" s="1"/>
  <c r="AP723" i="10" s="1"/>
  <c r="X723" i="10" l="1"/>
  <c r="BD722" i="10"/>
  <c r="AZ722" i="10"/>
  <c r="Z723" i="10" l="1"/>
  <c r="AR723" i="10" s="1"/>
  <c r="AA723" i="10" l="1"/>
  <c r="Q724" i="10"/>
  <c r="AM724" i="10" l="1"/>
  <c r="S724" i="10"/>
  <c r="AB724" i="10"/>
  <c r="AV723" i="10" s="1"/>
  <c r="AC724" i="10"/>
  <c r="AI723" i="10"/>
  <c r="AJ723" i="10"/>
  <c r="AG723" i="10"/>
  <c r="AK723" i="10"/>
  <c r="AX723" i="10" s="1"/>
  <c r="AL723" i="10" l="1"/>
  <c r="BA723" i="10"/>
  <c r="T724" i="10"/>
  <c r="AQ724" i="10" s="1"/>
  <c r="AD724" i="10"/>
  <c r="U724" i="10"/>
  <c r="W724" i="10" s="1"/>
  <c r="AP724" i="10" s="1"/>
  <c r="AO723" i="10"/>
  <c r="AY723" i="10" s="1"/>
  <c r="AH723" i="10"/>
  <c r="AN723" i="10" l="1"/>
  <c r="AW723" i="10" s="1"/>
  <c r="AZ723" i="10" s="1"/>
  <c r="X724" i="10"/>
  <c r="BD723" i="10" l="1"/>
  <c r="Z724" i="10"/>
  <c r="AR724" i="10" s="1"/>
  <c r="AA724" i="10" l="1"/>
  <c r="Q725" i="10"/>
  <c r="AM725" i="10" l="1"/>
  <c r="S725" i="10"/>
  <c r="AC725" i="10"/>
  <c r="AB725" i="10"/>
  <c r="AV724" i="10" s="1"/>
  <c r="AI724" i="10"/>
  <c r="AJ724" i="10"/>
  <c r="AG724" i="10"/>
  <c r="AK724" i="10"/>
  <c r="AX724" i="10" s="1"/>
  <c r="AO724" i="10" l="1"/>
  <c r="AY724" i="10" s="1"/>
  <c r="AH724" i="10"/>
  <c r="AL724" i="10"/>
  <c r="BA724" i="10"/>
  <c r="AD725" i="10"/>
  <c r="T725" i="10"/>
  <c r="AQ725" i="10" s="1"/>
  <c r="U725" i="10"/>
  <c r="W725" i="10" s="1"/>
  <c r="AP725" i="10" s="1"/>
  <c r="X725" i="10" l="1"/>
  <c r="AN724" i="10"/>
  <c r="AW724" i="10" s="1"/>
  <c r="BD724" i="10" l="1"/>
  <c r="AZ724" i="10"/>
  <c r="Z725" i="10"/>
  <c r="AR725" i="10" s="1"/>
  <c r="AA725" i="10" l="1"/>
  <c r="Q726" i="10"/>
  <c r="AM726" i="10" l="1"/>
  <c r="S726" i="10"/>
  <c r="AB726" i="10"/>
  <c r="AV725" i="10" s="1"/>
  <c r="AC726" i="10"/>
  <c r="AI725" i="10"/>
  <c r="AJ725" i="10"/>
  <c r="AG725" i="10"/>
  <c r="AK725" i="10"/>
  <c r="AX725" i="10" s="1"/>
  <c r="AO725" i="10" l="1"/>
  <c r="AY725" i="10" s="1"/>
  <c r="AH725" i="10"/>
  <c r="AL725" i="10"/>
  <c r="BA725" i="10"/>
  <c r="T726" i="10"/>
  <c r="AQ726" i="10" s="1"/>
  <c r="AD726" i="10"/>
  <c r="U726" i="10"/>
  <c r="W726" i="10" s="1"/>
  <c r="AP726" i="10" s="1"/>
  <c r="X726" i="10" l="1"/>
  <c r="AN725" i="10"/>
  <c r="AW725" i="10" s="1"/>
  <c r="BD725" i="10" l="1"/>
  <c r="AZ725" i="10"/>
  <c r="Z726" i="10"/>
  <c r="AR726" i="10" s="1"/>
  <c r="AA726" i="10" l="1"/>
  <c r="Q727" i="10"/>
  <c r="AM727" i="10" l="1"/>
  <c r="S727" i="10"/>
  <c r="AC727" i="10"/>
  <c r="AB727" i="10"/>
  <c r="AV726" i="10" s="1"/>
  <c r="AI726" i="10"/>
  <c r="AJ726" i="10"/>
  <c r="AG726" i="10"/>
  <c r="AK726" i="10"/>
  <c r="AX726" i="10" s="1"/>
  <c r="AL726" i="10" l="1"/>
  <c r="AO726" i="10"/>
  <c r="AY726" i="10" s="1"/>
  <c r="AH726" i="10"/>
  <c r="BA726" i="10"/>
  <c r="AD727" i="10"/>
  <c r="T727" i="10"/>
  <c r="AQ727" i="10" s="1"/>
  <c r="U727" i="10"/>
  <c r="W727" i="10" s="1"/>
  <c r="AP727" i="10" s="1"/>
  <c r="AN726" i="10" l="1"/>
  <c r="AW726" i="10" s="1"/>
  <c r="X727" i="10"/>
  <c r="BD726" i="10"/>
  <c r="AZ726" i="10"/>
  <c r="Z727" i="10" l="1"/>
  <c r="AR727" i="10" s="1"/>
  <c r="AA727" i="10" l="1"/>
  <c r="Q728" i="10"/>
  <c r="AM728" i="10" l="1"/>
  <c r="S728" i="10"/>
  <c r="AB728" i="10"/>
  <c r="AV727" i="10" s="1"/>
  <c r="AC728" i="10"/>
  <c r="AI727" i="10"/>
  <c r="AJ727" i="10"/>
  <c r="AG727" i="10"/>
  <c r="AK727" i="10"/>
  <c r="AX727" i="10" s="1"/>
  <c r="AL727" i="10" l="1"/>
  <c r="BA727" i="10"/>
  <c r="T728" i="10"/>
  <c r="AQ728" i="10" s="1"/>
  <c r="AD728" i="10"/>
  <c r="U728" i="10"/>
  <c r="W728" i="10" s="1"/>
  <c r="AP728" i="10" s="1"/>
  <c r="AO727" i="10"/>
  <c r="AY727" i="10" s="1"/>
  <c r="AH727" i="10"/>
  <c r="AN727" i="10" l="1"/>
  <c r="AW727" i="10" s="1"/>
  <c r="BD727" i="10" s="1"/>
  <c r="X728" i="10"/>
  <c r="AZ727" i="10" l="1"/>
  <c r="Z728" i="10"/>
  <c r="AR728" i="10" s="1"/>
  <c r="AA728" i="10" l="1"/>
  <c r="Q729" i="10"/>
  <c r="AM729" i="10" l="1"/>
  <c r="S729" i="10"/>
  <c r="AC729" i="10"/>
  <c r="AB729" i="10"/>
  <c r="AV728" i="10" s="1"/>
  <c r="AI728" i="10"/>
  <c r="AJ728" i="10"/>
  <c r="AG728" i="10"/>
  <c r="AK728" i="10"/>
  <c r="AX728" i="10" s="1"/>
  <c r="AO728" i="10" l="1"/>
  <c r="AY728" i="10" s="1"/>
  <c r="AH728" i="10"/>
  <c r="AL728" i="10"/>
  <c r="BA728" i="10"/>
  <c r="AD729" i="10"/>
  <c r="T729" i="10"/>
  <c r="AQ729" i="10" s="1"/>
  <c r="U729" i="10"/>
  <c r="W729" i="10" s="1"/>
  <c r="AP729" i="10" s="1"/>
  <c r="X729" i="10" l="1"/>
  <c r="AN728" i="10"/>
  <c r="AW728" i="10" s="1"/>
  <c r="Z729" i="10" l="1"/>
  <c r="AR729" i="10" s="1"/>
  <c r="BD728" i="10"/>
  <c r="AZ728" i="10"/>
  <c r="AA729" i="10" l="1"/>
  <c r="Q730" i="10"/>
  <c r="AM730" i="10" l="1"/>
  <c r="S730" i="10"/>
  <c r="AB730" i="10"/>
  <c r="AV729" i="10" s="1"/>
  <c r="AC730" i="10"/>
  <c r="AI729" i="10"/>
  <c r="AJ729" i="10"/>
  <c r="AG729" i="10"/>
  <c r="AK729" i="10"/>
  <c r="AX729" i="10" s="1"/>
  <c r="AL729" i="10" l="1"/>
  <c r="AO729" i="10"/>
  <c r="AY729" i="10" s="1"/>
  <c r="AH729" i="10"/>
  <c r="AN729" i="10" s="1"/>
  <c r="AW729" i="10" s="1"/>
  <c r="BA729" i="10"/>
  <c r="T730" i="10"/>
  <c r="AQ730" i="10" s="1"/>
  <c r="AD730" i="10"/>
  <c r="U730" i="10"/>
  <c r="W730" i="10" s="1"/>
  <c r="AP730" i="10" s="1"/>
  <c r="X730" i="10" l="1"/>
  <c r="BD729" i="10"/>
  <c r="AZ729" i="10"/>
  <c r="Z730" i="10" l="1"/>
  <c r="AR730" i="10" s="1"/>
  <c r="AA730" i="10" l="1"/>
  <c r="Q731" i="10"/>
  <c r="AM731" i="10" l="1"/>
  <c r="S731" i="10"/>
  <c r="AC731" i="10"/>
  <c r="AB731" i="10"/>
  <c r="AV730" i="10" s="1"/>
  <c r="AI730" i="10"/>
  <c r="AJ730" i="10"/>
  <c r="AG730" i="10"/>
  <c r="AK730" i="10"/>
  <c r="AX730" i="10" s="1"/>
  <c r="AL730" i="10" l="1"/>
  <c r="BA730" i="10"/>
  <c r="AD731" i="10"/>
  <c r="T731" i="10"/>
  <c r="AQ731" i="10" s="1"/>
  <c r="U731" i="10"/>
  <c r="W731" i="10" s="1"/>
  <c r="AP731" i="10" s="1"/>
  <c r="AO730" i="10"/>
  <c r="AY730" i="10" s="1"/>
  <c r="AH730" i="10"/>
  <c r="AN730" i="10" l="1"/>
  <c r="AW730" i="10" s="1"/>
  <c r="BD730" i="10" s="1"/>
  <c r="X731" i="10"/>
  <c r="AZ730" i="10" l="1"/>
  <c r="Z731" i="10"/>
  <c r="AR731" i="10" s="1"/>
  <c r="AA731" i="10" l="1"/>
  <c r="Q732" i="10"/>
  <c r="S732" i="10" l="1"/>
  <c r="AC732" i="10"/>
  <c r="AM732" i="10"/>
  <c r="AB732" i="10"/>
  <c r="AV731" i="10" s="1"/>
  <c r="AI731" i="10"/>
  <c r="AJ731" i="10"/>
  <c r="AG731" i="10"/>
  <c r="AK731" i="10"/>
  <c r="AX731" i="10" s="1"/>
  <c r="AO731" i="10" l="1"/>
  <c r="AY731" i="10" s="1"/>
  <c r="AH731" i="10"/>
  <c r="AL731" i="10"/>
  <c r="BA731" i="10"/>
  <c r="T732" i="10"/>
  <c r="AQ732" i="10" s="1"/>
  <c r="AD732" i="10"/>
  <c r="U732" i="10"/>
  <c r="W732" i="10" s="1"/>
  <c r="AP732" i="10" s="1"/>
  <c r="X732" i="10" l="1"/>
  <c r="AN731" i="10"/>
  <c r="AW731" i="10" s="1"/>
  <c r="BD731" i="10" l="1"/>
  <c r="AZ731" i="10"/>
  <c r="Z732" i="10"/>
  <c r="AR732" i="10" s="1"/>
  <c r="Q733" i="10" l="1"/>
  <c r="AA732" i="10"/>
  <c r="AI732" i="10" l="1"/>
  <c r="AJ732" i="10"/>
  <c r="AG732" i="10"/>
  <c r="AK732" i="10"/>
  <c r="AX732" i="10" s="1"/>
  <c r="S733" i="10"/>
  <c r="AB733" i="10"/>
  <c r="AV732" i="10" s="1"/>
  <c r="AM733" i="10"/>
  <c r="AC733" i="10"/>
  <c r="T733" i="10" l="1"/>
  <c r="AQ733" i="10" s="1"/>
  <c r="AD733" i="10"/>
  <c r="U733" i="10"/>
  <c r="W733" i="10" s="1"/>
  <c r="AP733" i="10" s="1"/>
  <c r="AH732" i="10"/>
  <c r="AO732" i="10"/>
  <c r="AY732" i="10" s="1"/>
  <c r="AL732" i="10"/>
  <c r="BA732" i="10"/>
  <c r="AN732" i="10" l="1"/>
  <c r="AW732" i="10" s="1"/>
  <c r="AZ732" i="10" s="1"/>
  <c r="BD732" i="10"/>
  <c r="X733" i="10"/>
  <c r="Z733" i="10" l="1"/>
  <c r="AR733" i="10" s="1"/>
  <c r="Q734" i="10" l="1"/>
  <c r="AA733" i="10"/>
  <c r="AI733" i="10" l="1"/>
  <c r="AJ733" i="10"/>
  <c r="AG733" i="10"/>
  <c r="AK733" i="10"/>
  <c r="AX733" i="10" s="1"/>
  <c r="S734" i="10"/>
  <c r="AM734" i="10"/>
  <c r="AB734" i="10"/>
  <c r="AV733" i="10" s="1"/>
  <c r="AC734" i="10"/>
  <c r="T734" i="10" l="1"/>
  <c r="AQ734" i="10" s="1"/>
  <c r="AD734" i="10"/>
  <c r="U734" i="10"/>
  <c r="W734" i="10" s="1"/>
  <c r="AP734" i="10" s="1"/>
  <c r="AH733" i="10"/>
  <c r="AO733" i="10"/>
  <c r="AY733" i="10" s="1"/>
  <c r="AL733" i="10"/>
  <c r="BA733" i="10"/>
  <c r="AN733" i="10" l="1"/>
  <c r="AW733" i="10" s="1"/>
  <c r="X734" i="10"/>
  <c r="Z734" i="10" l="1"/>
  <c r="AR734" i="10" s="1"/>
  <c r="AZ733" i="10"/>
  <c r="BD733" i="10"/>
  <c r="Q735" i="10" l="1"/>
  <c r="AA734" i="10"/>
  <c r="AI734" i="10" l="1"/>
  <c r="AJ734" i="10"/>
  <c r="AG734" i="10"/>
  <c r="AK734" i="10"/>
  <c r="AX734" i="10" s="1"/>
  <c r="S735" i="10"/>
  <c r="AM735" i="10"/>
  <c r="AC735" i="10"/>
  <c r="AB735" i="10"/>
  <c r="AV734" i="10" s="1"/>
  <c r="BA734" i="10" l="1"/>
  <c r="AD735" i="10"/>
  <c r="T735" i="10"/>
  <c r="AQ735" i="10" s="1"/>
  <c r="U735" i="10"/>
  <c r="W735" i="10" s="1"/>
  <c r="AP735" i="10" s="1"/>
  <c r="AO734" i="10"/>
  <c r="AY734" i="10" s="1"/>
  <c r="AH734" i="10"/>
  <c r="AL734" i="10"/>
  <c r="AN734" i="10" l="1"/>
  <c r="AW734" i="10" s="1"/>
  <c r="X735" i="10"/>
  <c r="Z735" i="10" l="1"/>
  <c r="AR735" i="10" s="1"/>
  <c r="AZ734" i="10"/>
  <c r="BD734" i="10"/>
  <c r="Q736" i="10" l="1"/>
  <c r="AA735" i="10"/>
  <c r="AI735" i="10" l="1"/>
  <c r="AJ735" i="10"/>
  <c r="AG735" i="10"/>
  <c r="AK735" i="10"/>
  <c r="AX735" i="10" s="1"/>
  <c r="S736" i="10"/>
  <c r="AM736" i="10"/>
  <c r="AC736" i="10"/>
  <c r="AB736" i="10"/>
  <c r="AV735" i="10" s="1"/>
  <c r="BA735" i="10" l="1"/>
  <c r="AD736" i="10"/>
  <c r="T736" i="10"/>
  <c r="AQ736" i="10" s="1"/>
  <c r="U736" i="10"/>
  <c r="W736" i="10" s="1"/>
  <c r="AP736" i="10" s="1"/>
  <c r="AO735" i="10"/>
  <c r="AY735" i="10" s="1"/>
  <c r="AH735" i="10"/>
  <c r="AL735" i="10"/>
  <c r="AN735" i="10" l="1"/>
  <c r="AW735" i="10" s="1"/>
  <c r="X736" i="10"/>
  <c r="Z736" i="10" l="1"/>
  <c r="AR736" i="10" s="1"/>
  <c r="BD735" i="10"/>
  <c r="AZ735" i="10"/>
  <c r="Q737" i="10" l="1"/>
  <c r="AA736" i="10"/>
  <c r="AI736" i="10" l="1"/>
  <c r="AJ736" i="10"/>
  <c r="AG736" i="10"/>
  <c r="AK736" i="10"/>
  <c r="AX736" i="10" s="1"/>
  <c r="S737" i="10"/>
  <c r="AM737" i="10"/>
  <c r="AC737" i="10"/>
  <c r="AB737" i="10"/>
  <c r="AV736" i="10" s="1"/>
  <c r="AL736" i="10" l="1"/>
  <c r="BA736" i="10"/>
  <c r="AD737" i="10"/>
  <c r="T737" i="10"/>
  <c r="AQ737" i="10" s="1"/>
  <c r="U737" i="10"/>
  <c r="W737" i="10" s="1"/>
  <c r="AP737" i="10" s="1"/>
  <c r="AH736" i="10"/>
  <c r="AN736" i="10" s="1"/>
  <c r="AW736" i="10" s="1"/>
  <c r="AO736" i="10"/>
  <c r="AY736" i="10" s="1"/>
  <c r="BD736" i="10" l="1"/>
  <c r="AZ736" i="10"/>
  <c r="X737" i="10"/>
  <c r="Z737" i="10" l="1"/>
  <c r="AR737" i="10" s="1"/>
  <c r="Q738" i="10" l="1"/>
  <c r="AA737" i="10"/>
  <c r="AI737" i="10" l="1"/>
  <c r="AJ737" i="10"/>
  <c r="AG737" i="10"/>
  <c r="AK737" i="10"/>
  <c r="AX737" i="10" s="1"/>
  <c r="S738" i="10"/>
  <c r="AC738" i="10"/>
  <c r="BA737" i="10" s="1"/>
  <c r="AB738" i="10"/>
  <c r="AV737" i="10" s="1"/>
  <c r="AM738" i="10"/>
  <c r="T738" i="10" l="1"/>
  <c r="AQ738" i="10" s="1"/>
  <c r="AD738" i="10"/>
  <c r="U738" i="10"/>
  <c r="W738" i="10" s="1"/>
  <c r="AP738" i="10" s="1"/>
  <c r="AO737" i="10"/>
  <c r="AY737" i="10" s="1"/>
  <c r="AH737" i="10"/>
  <c r="AL737" i="10"/>
  <c r="AN737" i="10" l="1"/>
  <c r="AW737" i="10" s="1"/>
  <c r="X738" i="10"/>
  <c r="Z738" i="10" l="1"/>
  <c r="AR738" i="10" s="1"/>
  <c r="BD737" i="10"/>
  <c r="AZ737" i="10"/>
  <c r="Q739" i="10" l="1"/>
  <c r="AA738" i="10"/>
  <c r="AI738" i="10" l="1"/>
  <c r="AJ738" i="10"/>
  <c r="AG738" i="10"/>
  <c r="AK738" i="10"/>
  <c r="AX738" i="10" s="1"/>
  <c r="S739" i="10"/>
  <c r="AB739" i="10"/>
  <c r="AV738" i="10" s="1"/>
  <c r="AM739" i="10"/>
  <c r="AC739" i="10"/>
  <c r="AD739" i="10" l="1"/>
  <c r="T739" i="10"/>
  <c r="AQ739" i="10" s="1"/>
  <c r="U739" i="10"/>
  <c r="W739" i="10" s="1"/>
  <c r="AP739" i="10" s="1"/>
  <c r="AH738" i="10"/>
  <c r="AO738" i="10"/>
  <c r="AY738" i="10" s="1"/>
  <c r="AL738" i="10"/>
  <c r="BA738" i="10"/>
  <c r="AN738" i="10" l="1"/>
  <c r="AW738" i="10" s="1"/>
  <c r="BD738" i="10"/>
  <c r="AZ738" i="10"/>
  <c r="X739" i="10"/>
  <c r="Z739" i="10" l="1"/>
  <c r="AR739" i="10" s="1"/>
  <c r="Q740" i="10" l="1"/>
  <c r="AA739" i="10"/>
  <c r="AI739" i="10" l="1"/>
  <c r="AJ739" i="10"/>
  <c r="AG739" i="10"/>
  <c r="AK739" i="10"/>
  <c r="AX739" i="10" s="1"/>
  <c r="S740" i="10"/>
  <c r="AC740" i="10"/>
  <c r="BA739" i="10" s="1"/>
  <c r="AB740" i="10"/>
  <c r="AV739" i="10" s="1"/>
  <c r="AM740" i="10"/>
  <c r="T740" i="10" l="1"/>
  <c r="AQ740" i="10" s="1"/>
  <c r="AD740" i="10"/>
  <c r="U740" i="10"/>
  <c r="W740" i="10" s="1"/>
  <c r="AP740" i="10" s="1"/>
  <c r="AH739" i="10"/>
  <c r="AO739" i="10"/>
  <c r="AY739" i="10" s="1"/>
  <c r="AL739" i="10"/>
  <c r="AN739" i="10" l="1"/>
  <c r="AW739" i="10" s="1"/>
  <c r="X740" i="10"/>
  <c r="Z740" i="10" l="1"/>
  <c r="AR740" i="10" s="1"/>
  <c r="AZ739" i="10"/>
  <c r="BD739" i="10"/>
  <c r="Q741" i="10" l="1"/>
  <c r="AA740" i="10"/>
  <c r="AI740" i="10" l="1"/>
  <c r="AJ740" i="10"/>
  <c r="AG740" i="10"/>
  <c r="AK740" i="10"/>
  <c r="AX740" i="10" s="1"/>
  <c r="S741" i="10"/>
  <c r="AB741" i="10"/>
  <c r="AV740" i="10" s="1"/>
  <c r="AC741" i="10"/>
  <c r="AM741" i="10"/>
  <c r="BA740" i="10" l="1"/>
  <c r="AD741" i="10"/>
  <c r="T741" i="10"/>
  <c r="AQ741" i="10" s="1"/>
  <c r="U741" i="10"/>
  <c r="W741" i="10" s="1"/>
  <c r="AP741" i="10" s="1"/>
  <c r="AH740" i="10"/>
  <c r="AO740" i="10"/>
  <c r="AY740" i="10" s="1"/>
  <c r="AL740" i="10"/>
  <c r="AN740" i="10" l="1"/>
  <c r="AW740" i="10" s="1"/>
  <c r="X741" i="10"/>
  <c r="Z741" i="10" l="1"/>
  <c r="AR741" i="10" s="1"/>
  <c r="AZ740" i="10"/>
  <c r="BD740" i="10"/>
  <c r="Q742" i="10" l="1"/>
  <c r="AA741" i="10"/>
  <c r="AI741" i="10" l="1"/>
  <c r="AJ741" i="10"/>
  <c r="AG741" i="10"/>
  <c r="AK741" i="10"/>
  <c r="AX741" i="10" s="1"/>
  <c r="S742" i="10"/>
  <c r="AC742" i="10"/>
  <c r="BA741" i="10" s="1"/>
  <c r="AB742" i="10"/>
  <c r="AV741" i="10" s="1"/>
  <c r="AM742" i="10"/>
  <c r="AD742" i="10" l="1"/>
  <c r="T742" i="10"/>
  <c r="AQ742" i="10" s="1"/>
  <c r="U742" i="10"/>
  <c r="W742" i="10" s="1"/>
  <c r="AP742" i="10" s="1"/>
  <c r="AH741" i="10"/>
  <c r="AO741" i="10"/>
  <c r="AY741" i="10" s="1"/>
  <c r="AL741" i="10"/>
  <c r="AN741" i="10" l="1"/>
  <c r="AW741" i="10" s="1"/>
  <c r="X742" i="10"/>
  <c r="Z742" i="10" l="1"/>
  <c r="AR742" i="10" s="1"/>
  <c r="AZ741" i="10"/>
  <c r="BD741" i="10"/>
  <c r="Q743" i="10" l="1"/>
  <c r="AA742" i="10"/>
  <c r="AI742" i="10" l="1"/>
  <c r="AJ742" i="10"/>
  <c r="AG742" i="10"/>
  <c r="AK742" i="10"/>
  <c r="AX742" i="10" s="1"/>
  <c r="S743" i="10"/>
  <c r="AM743" i="10"/>
  <c r="AC743" i="10"/>
  <c r="AB743" i="10"/>
  <c r="AV742" i="10" s="1"/>
  <c r="AD743" i="10" l="1"/>
  <c r="T743" i="10"/>
  <c r="AQ743" i="10" s="1"/>
  <c r="U743" i="10"/>
  <c r="W743" i="10" s="1"/>
  <c r="AP743" i="10" s="1"/>
  <c r="AO742" i="10"/>
  <c r="AY742" i="10" s="1"/>
  <c r="AH742" i="10"/>
  <c r="AL742" i="10"/>
  <c r="BA742" i="10"/>
  <c r="AN742" i="10" l="1"/>
  <c r="AW742" i="10" s="1"/>
  <c r="X743" i="10"/>
  <c r="Z743" i="10" l="1"/>
  <c r="AR743" i="10" s="1"/>
  <c r="AZ742" i="10"/>
  <c r="BD742" i="10"/>
  <c r="Q744" i="10" l="1"/>
  <c r="AA743" i="10"/>
  <c r="AI743" i="10" l="1"/>
  <c r="AJ743" i="10"/>
  <c r="AG743" i="10"/>
  <c r="AK743" i="10"/>
  <c r="AX743" i="10" s="1"/>
  <c r="S744" i="10"/>
  <c r="AM744" i="10"/>
  <c r="AC744" i="10"/>
  <c r="AB744" i="10"/>
  <c r="AV743" i="10" s="1"/>
  <c r="BA743" i="10" l="1"/>
  <c r="AD744" i="10"/>
  <c r="T744" i="10"/>
  <c r="AQ744" i="10" s="1"/>
  <c r="U744" i="10"/>
  <c r="W744" i="10" s="1"/>
  <c r="AP744" i="10" s="1"/>
  <c r="AO743" i="10"/>
  <c r="AY743" i="10" s="1"/>
  <c r="AH743" i="10"/>
  <c r="AL743" i="10"/>
  <c r="AN743" i="10" l="1"/>
  <c r="AW743" i="10" s="1"/>
  <c r="BD743" i="10" s="1"/>
  <c r="X744" i="10"/>
  <c r="AZ743" i="10" l="1"/>
  <c r="Z744" i="10"/>
  <c r="AR744" i="10" s="1"/>
  <c r="Q745" i="10" l="1"/>
  <c r="AA744" i="10"/>
  <c r="AI744" i="10" l="1"/>
  <c r="AJ744" i="10"/>
  <c r="AG744" i="10"/>
  <c r="AK744" i="10"/>
  <c r="AX744" i="10" s="1"/>
  <c r="S745" i="10"/>
  <c r="AM745" i="10"/>
  <c r="AC745" i="10"/>
  <c r="AB745" i="10"/>
  <c r="AV744" i="10" s="1"/>
  <c r="BA744" i="10" l="1"/>
  <c r="AD745" i="10"/>
  <c r="T745" i="10"/>
  <c r="AQ745" i="10" s="1"/>
  <c r="U745" i="10"/>
  <c r="W745" i="10" s="1"/>
  <c r="AP745" i="10" s="1"/>
  <c r="AO744" i="10"/>
  <c r="AY744" i="10" s="1"/>
  <c r="AH744" i="10"/>
  <c r="AL744" i="10"/>
  <c r="AN744" i="10" l="1"/>
  <c r="AW744" i="10" s="1"/>
  <c r="X745" i="10"/>
  <c r="Z745" i="10" l="1"/>
  <c r="AR745" i="10" s="1"/>
  <c r="BD744" i="10"/>
  <c r="AZ744" i="10"/>
  <c r="Q746" i="10" l="1"/>
  <c r="AA745" i="10"/>
  <c r="AI745" i="10" l="1"/>
  <c r="AJ745" i="10"/>
  <c r="AG745" i="10"/>
  <c r="AK745" i="10"/>
  <c r="AX745" i="10" s="1"/>
  <c r="S746" i="10"/>
  <c r="AC746" i="10"/>
  <c r="BA745" i="10" s="1"/>
  <c r="AB746" i="10"/>
  <c r="AV745" i="10" s="1"/>
  <c r="AM746" i="10"/>
  <c r="T746" i="10" l="1"/>
  <c r="AQ746" i="10" s="1"/>
  <c r="AD746" i="10"/>
  <c r="U746" i="10"/>
  <c r="W746" i="10" s="1"/>
  <c r="AP746" i="10" s="1"/>
  <c r="AO745" i="10"/>
  <c r="AY745" i="10" s="1"/>
  <c r="AH745" i="10"/>
  <c r="AL745" i="10"/>
  <c r="AN745" i="10" l="1"/>
  <c r="AW745" i="10" s="1"/>
  <c r="X746" i="10"/>
  <c r="Z746" i="10" l="1"/>
  <c r="AR746" i="10" s="1"/>
  <c r="BD745" i="10"/>
  <c r="AZ745" i="10"/>
  <c r="Q747" i="10" l="1"/>
  <c r="AA746" i="10"/>
  <c r="AI746" i="10" l="1"/>
  <c r="AJ746" i="10"/>
  <c r="AG746" i="10"/>
  <c r="AK746" i="10"/>
  <c r="AX746" i="10" s="1"/>
  <c r="S747" i="10"/>
  <c r="AB747" i="10"/>
  <c r="AV746" i="10" s="1"/>
  <c r="AM747" i="10"/>
  <c r="AC747" i="10"/>
  <c r="AD747" i="10" l="1"/>
  <c r="T747" i="10"/>
  <c r="AQ747" i="10" s="1"/>
  <c r="U747" i="10"/>
  <c r="W747" i="10" s="1"/>
  <c r="AP747" i="10" s="1"/>
  <c r="AO746" i="10"/>
  <c r="AY746" i="10" s="1"/>
  <c r="AH746" i="10"/>
  <c r="AL746" i="10"/>
  <c r="BA746" i="10"/>
  <c r="AN746" i="10" l="1"/>
  <c r="AW746" i="10" s="1"/>
  <c r="BD746" i="10" s="1"/>
  <c r="AZ746" i="10"/>
  <c r="X747" i="10"/>
  <c r="Z747" i="10" l="1"/>
  <c r="AR747" i="10" s="1"/>
  <c r="Q748" i="10" l="1"/>
  <c r="AA747" i="10"/>
  <c r="AI747" i="10" l="1"/>
  <c r="AJ747" i="10"/>
  <c r="AG747" i="10"/>
  <c r="AK747" i="10"/>
  <c r="AX747" i="10" s="1"/>
  <c r="S748" i="10"/>
  <c r="AC748" i="10"/>
  <c r="BA747" i="10" s="1"/>
  <c r="AM748" i="10"/>
  <c r="AB748" i="10"/>
  <c r="AV747" i="10" s="1"/>
  <c r="T748" i="10" l="1"/>
  <c r="AQ748" i="10" s="1"/>
  <c r="AD748" i="10"/>
  <c r="U748" i="10"/>
  <c r="W748" i="10" s="1"/>
  <c r="AP748" i="10" s="1"/>
  <c r="AH747" i="10"/>
  <c r="AO747" i="10"/>
  <c r="AY747" i="10" s="1"/>
  <c r="AL747" i="10"/>
  <c r="AN747" i="10" l="1"/>
  <c r="AW747" i="10" s="1"/>
  <c r="X748" i="10"/>
  <c r="Z748" i="10" l="1"/>
  <c r="AR748" i="10" s="1"/>
  <c r="BD747" i="10"/>
  <c r="AZ747" i="10"/>
  <c r="Q749" i="10" l="1"/>
  <c r="AA748" i="10"/>
  <c r="AI748" i="10" l="1"/>
  <c r="AJ748" i="10"/>
  <c r="AG748" i="10"/>
  <c r="AK748" i="10"/>
  <c r="AX748" i="10" s="1"/>
  <c r="AB749" i="10"/>
  <c r="AV748" i="10" s="1"/>
  <c r="S749" i="10"/>
  <c r="AC749" i="10"/>
  <c r="AM749" i="10"/>
  <c r="T749" i="10" l="1"/>
  <c r="AQ749" i="10" s="1"/>
  <c r="AD749" i="10"/>
  <c r="U749" i="10"/>
  <c r="W749" i="10" s="1"/>
  <c r="AP749" i="10" s="1"/>
  <c r="BA748" i="10"/>
  <c r="AL748" i="10"/>
  <c r="AH748" i="10"/>
  <c r="AN748" i="10" s="1"/>
  <c r="AW748" i="10" s="1"/>
  <c r="AO748" i="10"/>
  <c r="AY748" i="10" s="1"/>
  <c r="AZ748" i="10" l="1"/>
  <c r="BD748" i="10"/>
  <c r="X749" i="10"/>
  <c r="Z749" i="10" l="1"/>
  <c r="AR749" i="10" s="1"/>
  <c r="Q750" i="10" l="1"/>
  <c r="AA749" i="10"/>
  <c r="AJ749" i="10" l="1"/>
  <c r="AI749" i="10"/>
  <c r="AG749" i="10"/>
  <c r="AK749" i="10"/>
  <c r="AX749" i="10" s="1"/>
  <c r="AB750" i="10"/>
  <c r="AV749" i="10" s="1"/>
  <c r="S750" i="10"/>
  <c r="AM750" i="10"/>
  <c r="AC750" i="10"/>
  <c r="BA749" i="10" l="1"/>
  <c r="T750" i="10"/>
  <c r="AQ750" i="10" s="1"/>
  <c r="AD750" i="10"/>
  <c r="U750" i="10"/>
  <c r="W750" i="10" s="1"/>
  <c r="AP750" i="10" s="1"/>
  <c r="AO749" i="10"/>
  <c r="AY749" i="10" s="1"/>
  <c r="AH749" i="10"/>
  <c r="AL749" i="10"/>
  <c r="AN749" i="10" l="1"/>
  <c r="AW749" i="10" s="1"/>
  <c r="X750" i="10"/>
  <c r="Z750" i="10" l="1"/>
  <c r="AR750" i="10" s="1"/>
  <c r="AZ749" i="10"/>
  <c r="BD749" i="10"/>
  <c r="Q751" i="10" l="1"/>
  <c r="AA750" i="10"/>
  <c r="AJ750" i="10" l="1"/>
  <c r="AI750" i="10"/>
  <c r="AG750" i="10"/>
  <c r="AK750" i="10"/>
  <c r="AX750" i="10" s="1"/>
  <c r="AB751" i="10"/>
  <c r="AV750" i="10" s="1"/>
  <c r="S751" i="10"/>
  <c r="AM751" i="10"/>
  <c r="AC751" i="10"/>
  <c r="T751" i="10" l="1"/>
  <c r="AQ751" i="10" s="1"/>
  <c r="AD751" i="10"/>
  <c r="U751" i="10"/>
  <c r="W751" i="10" s="1"/>
  <c r="AP751" i="10" s="1"/>
  <c r="AH750" i="10"/>
  <c r="AO750" i="10"/>
  <c r="AY750" i="10" s="1"/>
  <c r="AL750" i="10"/>
  <c r="BA750" i="10"/>
  <c r="AN750" i="10" l="1"/>
  <c r="AW750" i="10" s="1"/>
  <c r="X751" i="10"/>
  <c r="Z751" i="10" l="1"/>
  <c r="AR751" i="10" s="1"/>
  <c r="AZ750" i="10"/>
  <c r="BD750" i="10"/>
  <c r="Q752" i="10" l="1"/>
  <c r="AA751" i="10"/>
  <c r="AJ751" i="10" l="1"/>
  <c r="AI751" i="10"/>
  <c r="AG751" i="10"/>
  <c r="AK751" i="10"/>
  <c r="AX751" i="10" s="1"/>
  <c r="AB752" i="10"/>
  <c r="AV751" i="10" s="1"/>
  <c r="S752" i="10"/>
  <c r="AC752" i="10"/>
  <c r="AM752" i="10"/>
  <c r="BA751" i="10" l="1"/>
  <c r="T752" i="10"/>
  <c r="AQ752" i="10" s="1"/>
  <c r="AD752" i="10"/>
  <c r="U752" i="10"/>
  <c r="W752" i="10" s="1"/>
  <c r="AP752" i="10" s="1"/>
  <c r="AH751" i="10"/>
  <c r="AO751" i="10"/>
  <c r="AY751" i="10" s="1"/>
  <c r="AL751" i="10"/>
  <c r="AN751" i="10" l="1"/>
  <c r="AW751" i="10" s="1"/>
  <c r="X752" i="10"/>
  <c r="Z752" i="10" l="1"/>
  <c r="AR752" i="10" s="1"/>
  <c r="AZ751" i="10"/>
  <c r="BD751" i="10"/>
  <c r="Q753" i="10" l="1"/>
  <c r="AA752" i="10"/>
  <c r="AJ752" i="10" l="1"/>
  <c r="AI752" i="10"/>
  <c r="AG752" i="10"/>
  <c r="AK752" i="10"/>
  <c r="AX752" i="10" s="1"/>
  <c r="AB753" i="10"/>
  <c r="AV752" i="10" s="1"/>
  <c r="S753" i="10"/>
  <c r="AM753" i="10"/>
  <c r="AC753" i="10"/>
  <c r="BA752" i="10" l="1"/>
  <c r="T753" i="10"/>
  <c r="AQ753" i="10" s="1"/>
  <c r="AD753" i="10"/>
  <c r="U753" i="10"/>
  <c r="W753" i="10" s="1"/>
  <c r="AP753" i="10" s="1"/>
  <c r="AH752" i="10"/>
  <c r="AO752" i="10"/>
  <c r="AY752" i="10" s="1"/>
  <c r="AL752" i="10"/>
  <c r="AN752" i="10" l="1"/>
  <c r="AW752" i="10" s="1"/>
  <c r="X753" i="10"/>
  <c r="Z753" i="10" l="1"/>
  <c r="AR753" i="10" s="1"/>
  <c r="AZ752" i="10"/>
  <c r="BD752" i="10"/>
  <c r="Q754" i="10" l="1"/>
  <c r="AA753" i="10"/>
  <c r="AJ753" i="10" l="1"/>
  <c r="AI753" i="10"/>
  <c r="AG753" i="10"/>
  <c r="AK753" i="10"/>
  <c r="AX753" i="10" s="1"/>
  <c r="AB754" i="10"/>
  <c r="AV753" i="10" s="1"/>
  <c r="S754" i="10"/>
  <c r="AM754" i="10"/>
  <c r="AC754" i="10"/>
  <c r="T754" i="10" l="1"/>
  <c r="AQ754" i="10" s="1"/>
  <c r="AD754" i="10"/>
  <c r="U754" i="10"/>
  <c r="W754" i="10" s="1"/>
  <c r="AP754" i="10" s="1"/>
  <c r="AO753" i="10"/>
  <c r="AY753" i="10" s="1"/>
  <c r="AH753" i="10"/>
  <c r="AL753" i="10"/>
  <c r="BA753" i="10"/>
  <c r="AN753" i="10" l="1"/>
  <c r="AW753" i="10" s="1"/>
  <c r="AZ753" i="10" s="1"/>
  <c r="BD753" i="10"/>
  <c r="X754" i="10"/>
  <c r="Z754" i="10" l="1"/>
  <c r="AR754" i="10" s="1"/>
  <c r="Q755" i="10" l="1"/>
  <c r="AA754" i="10"/>
  <c r="AJ754" i="10" l="1"/>
  <c r="AI754" i="10"/>
  <c r="AG754" i="10"/>
  <c r="AK754" i="10"/>
  <c r="AX754" i="10" s="1"/>
  <c r="AB755" i="10"/>
  <c r="AV754" i="10" s="1"/>
  <c r="S755" i="10"/>
  <c r="AC755" i="10"/>
  <c r="AM755" i="10"/>
  <c r="T755" i="10" l="1"/>
  <c r="AQ755" i="10" s="1"/>
  <c r="AD755" i="10"/>
  <c r="U755" i="10"/>
  <c r="W755" i="10" s="1"/>
  <c r="AP755" i="10" s="1"/>
  <c r="AO754" i="10"/>
  <c r="AY754" i="10" s="1"/>
  <c r="AH754" i="10"/>
  <c r="AL754" i="10"/>
  <c r="BA754" i="10"/>
  <c r="AN754" i="10" l="1"/>
  <c r="AW754" i="10" s="1"/>
  <c r="X755" i="10"/>
  <c r="Z755" i="10" l="1"/>
  <c r="AR755" i="10" s="1"/>
  <c r="AZ754" i="10"/>
  <c r="BD754" i="10"/>
  <c r="Q756" i="10" l="1"/>
  <c r="AA755" i="10"/>
  <c r="AJ755" i="10" l="1"/>
  <c r="AI755" i="10"/>
  <c r="AG755" i="10"/>
  <c r="AK755" i="10"/>
  <c r="AX755" i="10" s="1"/>
  <c r="AB756" i="10"/>
  <c r="AV755" i="10" s="1"/>
  <c r="S756" i="10"/>
  <c r="AM756" i="10"/>
  <c r="AC756" i="10"/>
  <c r="BA755" i="10" l="1"/>
  <c r="T756" i="10"/>
  <c r="AQ756" i="10" s="1"/>
  <c r="AD756" i="10"/>
  <c r="U756" i="10"/>
  <c r="W756" i="10" s="1"/>
  <c r="AP756" i="10" s="1"/>
  <c r="AH755" i="10"/>
  <c r="AO755" i="10"/>
  <c r="AY755" i="10" s="1"/>
  <c r="AL755" i="10"/>
  <c r="AN755" i="10" l="1"/>
  <c r="AW755" i="10" s="1"/>
  <c r="X756" i="10"/>
  <c r="Z756" i="10" l="1"/>
  <c r="AR756" i="10" s="1"/>
  <c r="AZ755" i="10"/>
  <c r="BD755" i="10"/>
  <c r="Q757" i="10" l="1"/>
  <c r="AA756" i="10"/>
  <c r="AJ756" i="10" l="1"/>
  <c r="AI756" i="10"/>
  <c r="AG756" i="10"/>
  <c r="AK756" i="10"/>
  <c r="AX756" i="10" s="1"/>
  <c r="AB757" i="10"/>
  <c r="AV756" i="10" s="1"/>
  <c r="S757" i="10"/>
  <c r="AC757" i="10"/>
  <c r="AM757" i="10"/>
  <c r="BA756" i="10" l="1"/>
  <c r="T757" i="10"/>
  <c r="AQ757" i="10" s="1"/>
  <c r="AD757" i="10"/>
  <c r="U757" i="10"/>
  <c r="W757" i="10" s="1"/>
  <c r="AP757" i="10" s="1"/>
  <c r="AH756" i="10"/>
  <c r="AO756" i="10"/>
  <c r="AY756" i="10" s="1"/>
  <c r="AL756" i="10"/>
  <c r="AN756" i="10" l="1"/>
  <c r="AW756" i="10" s="1"/>
  <c r="X757" i="10"/>
  <c r="Z757" i="10" l="1"/>
  <c r="AR757" i="10" s="1"/>
  <c r="AZ756" i="10"/>
  <c r="BD756" i="10"/>
  <c r="Q758" i="10" l="1"/>
  <c r="AA757" i="10"/>
  <c r="AJ757" i="10" l="1"/>
  <c r="AI757" i="10"/>
  <c r="AG757" i="10"/>
  <c r="AK757" i="10"/>
  <c r="AX757" i="10" s="1"/>
  <c r="AB758" i="10"/>
  <c r="AV757" i="10" s="1"/>
  <c r="S758" i="10"/>
  <c r="AM758" i="10"/>
  <c r="AC758" i="10"/>
  <c r="T758" i="10" l="1"/>
  <c r="AQ758" i="10" s="1"/>
  <c r="AD758" i="10"/>
  <c r="U758" i="10"/>
  <c r="W758" i="10" s="1"/>
  <c r="AP758" i="10" s="1"/>
  <c r="AO757" i="10"/>
  <c r="AY757" i="10" s="1"/>
  <c r="AH757" i="10"/>
  <c r="AL757" i="10"/>
  <c r="BA757" i="10"/>
  <c r="AN757" i="10" l="1"/>
  <c r="AW757" i="10" s="1"/>
  <c r="AZ757" i="10" s="1"/>
  <c r="BD757" i="10"/>
  <c r="X758" i="10"/>
  <c r="Z758" i="10" l="1"/>
  <c r="AR758" i="10" s="1"/>
  <c r="Q759" i="10" l="1"/>
  <c r="AA758" i="10"/>
  <c r="AJ758" i="10" l="1"/>
  <c r="AI758" i="10"/>
  <c r="AG758" i="10"/>
  <c r="AK758" i="10"/>
  <c r="AX758" i="10" s="1"/>
  <c r="AB759" i="10"/>
  <c r="AV758" i="10" s="1"/>
  <c r="S759" i="10"/>
  <c r="AC759" i="10"/>
  <c r="AM759" i="10"/>
  <c r="BA758" i="10" l="1"/>
  <c r="T759" i="10"/>
  <c r="AQ759" i="10" s="1"/>
  <c r="AD759" i="10"/>
  <c r="U759" i="10"/>
  <c r="W759" i="10" s="1"/>
  <c r="AP759" i="10" s="1"/>
  <c r="AH758" i="10"/>
  <c r="AO758" i="10"/>
  <c r="AY758" i="10" s="1"/>
  <c r="AL758" i="10"/>
  <c r="AN758" i="10" l="1"/>
  <c r="AW758" i="10" s="1"/>
  <c r="AZ758" i="10" s="1"/>
  <c r="X759" i="10"/>
  <c r="BD758" i="10" l="1"/>
  <c r="Z759" i="10"/>
  <c r="AR759" i="10" s="1"/>
  <c r="Q760" i="10" l="1"/>
  <c r="AA759" i="10"/>
  <c r="AJ759" i="10" l="1"/>
  <c r="AI759" i="10"/>
  <c r="AG759" i="10"/>
  <c r="AK759" i="10"/>
  <c r="AX759" i="10" s="1"/>
  <c r="AB760" i="10"/>
  <c r="AV759" i="10" s="1"/>
  <c r="S760" i="10"/>
  <c r="AC760" i="10"/>
  <c r="AM760" i="10"/>
  <c r="T760" i="10" l="1"/>
  <c r="AQ760" i="10" s="1"/>
  <c r="AD760" i="10"/>
  <c r="U760" i="10"/>
  <c r="W760" i="10" s="1"/>
  <c r="AP760" i="10" s="1"/>
  <c r="AH759" i="10"/>
  <c r="AO759" i="10"/>
  <c r="AY759" i="10" s="1"/>
  <c r="AL759" i="10"/>
  <c r="BA759" i="10"/>
  <c r="AN759" i="10" l="1"/>
  <c r="AW759" i="10" s="1"/>
  <c r="X760" i="10"/>
  <c r="Z760" i="10" l="1"/>
  <c r="AR760" i="10" s="1"/>
  <c r="AZ759" i="10"/>
  <c r="BD759" i="10"/>
  <c r="Q761" i="10" l="1"/>
  <c r="AA760" i="10"/>
  <c r="AJ760" i="10" l="1"/>
  <c r="AI760" i="10"/>
  <c r="AG760" i="10"/>
  <c r="AK760" i="10"/>
  <c r="AX760" i="10" s="1"/>
  <c r="AB761" i="10"/>
  <c r="AV760" i="10" s="1"/>
  <c r="S761" i="10"/>
  <c r="AC761" i="10"/>
  <c r="AM761" i="10"/>
  <c r="BA760" i="10" l="1"/>
  <c r="T761" i="10"/>
  <c r="AQ761" i="10" s="1"/>
  <c r="AD761" i="10"/>
  <c r="U761" i="10"/>
  <c r="W761" i="10" s="1"/>
  <c r="AP761" i="10" s="1"/>
  <c r="AH760" i="10"/>
  <c r="AO760" i="10"/>
  <c r="AY760" i="10" s="1"/>
  <c r="AL760" i="10"/>
  <c r="AN760" i="10" l="1"/>
  <c r="AW760" i="10" s="1"/>
  <c r="X761" i="10"/>
  <c r="AZ760" i="10" l="1"/>
  <c r="BD760" i="10"/>
  <c r="Z761" i="10"/>
  <c r="AR761" i="10" s="1"/>
  <c r="Q762" i="10" l="1"/>
  <c r="AA761" i="10"/>
  <c r="AJ761" i="10" l="1"/>
  <c r="AI761" i="10"/>
  <c r="AG761" i="10"/>
  <c r="AK761" i="10"/>
  <c r="AX761" i="10" s="1"/>
  <c r="AB762" i="10"/>
  <c r="AV761" i="10" s="1"/>
  <c r="S762" i="10"/>
  <c r="AM762" i="10"/>
  <c r="AC762" i="10"/>
  <c r="T762" i="10" l="1"/>
  <c r="AQ762" i="10" s="1"/>
  <c r="AD762" i="10"/>
  <c r="U762" i="10"/>
  <c r="W762" i="10" s="1"/>
  <c r="AP762" i="10" s="1"/>
  <c r="AH761" i="10"/>
  <c r="AO761" i="10"/>
  <c r="AY761" i="10" s="1"/>
  <c r="AL761" i="10"/>
  <c r="BA761" i="10"/>
  <c r="AN761" i="10" l="1"/>
  <c r="AW761" i="10" s="1"/>
  <c r="AZ761" i="10" s="1"/>
  <c r="BD761" i="10"/>
  <c r="X762" i="10"/>
  <c r="Z762" i="10" l="1"/>
  <c r="AR762" i="10" s="1"/>
  <c r="Q763" i="10" l="1"/>
  <c r="AA762" i="10"/>
  <c r="AJ762" i="10" l="1"/>
  <c r="AI762" i="10"/>
  <c r="AG762" i="10"/>
  <c r="AK762" i="10"/>
  <c r="AX762" i="10" s="1"/>
  <c r="AB763" i="10"/>
  <c r="AV762" i="10" s="1"/>
  <c r="S763" i="10"/>
  <c r="AC763" i="10"/>
  <c r="AM763" i="10"/>
  <c r="T763" i="10" l="1"/>
  <c r="AQ763" i="10" s="1"/>
  <c r="AD763" i="10"/>
  <c r="U763" i="10"/>
  <c r="W763" i="10" s="1"/>
  <c r="AP763" i="10" s="1"/>
  <c r="AH762" i="10"/>
  <c r="AO762" i="10"/>
  <c r="AY762" i="10" s="1"/>
  <c r="AL762" i="10"/>
  <c r="BA762" i="10"/>
  <c r="X763" i="10" l="1"/>
  <c r="AN762" i="10"/>
  <c r="AW762" i="10" s="1"/>
  <c r="AZ762" i="10" l="1"/>
  <c r="BD762" i="10"/>
  <c r="Z763" i="10"/>
  <c r="AR763" i="10" s="1"/>
  <c r="Q764" i="10" l="1"/>
  <c r="AA763" i="10"/>
  <c r="AJ763" i="10" l="1"/>
  <c r="AI763" i="10"/>
  <c r="AG763" i="10"/>
  <c r="AK763" i="10"/>
  <c r="AX763" i="10" s="1"/>
  <c r="AB764" i="10"/>
  <c r="AV763" i="10" s="1"/>
  <c r="S764" i="10"/>
  <c r="AM764" i="10"/>
  <c r="AC764" i="10"/>
  <c r="BA763" i="10" l="1"/>
  <c r="T764" i="10"/>
  <c r="AQ764" i="10" s="1"/>
  <c r="AD764" i="10"/>
  <c r="U764" i="10"/>
  <c r="W764" i="10" s="1"/>
  <c r="AP764" i="10" s="1"/>
  <c r="AH763" i="10"/>
  <c r="AO763" i="10"/>
  <c r="AY763" i="10" s="1"/>
  <c r="AL763" i="10"/>
  <c r="AN763" i="10" l="1"/>
  <c r="AW763" i="10" s="1"/>
  <c r="X764" i="10"/>
  <c r="Z764" i="10" l="1"/>
  <c r="AR764" i="10" s="1"/>
  <c r="AZ763" i="10"/>
  <c r="BD763" i="10"/>
  <c r="Q765" i="10" l="1"/>
  <c r="AA764" i="10"/>
  <c r="AJ764" i="10" l="1"/>
  <c r="AI764" i="10"/>
  <c r="AG764" i="10"/>
  <c r="AK764" i="10"/>
  <c r="AX764" i="10" s="1"/>
  <c r="AB765" i="10"/>
  <c r="AV764" i="10" s="1"/>
  <c r="S765" i="10"/>
  <c r="AC765" i="10"/>
  <c r="AM765" i="10"/>
  <c r="BA764" i="10" l="1"/>
  <c r="T765" i="10"/>
  <c r="AQ765" i="10" s="1"/>
  <c r="AD765" i="10"/>
  <c r="U765" i="10"/>
  <c r="W765" i="10" s="1"/>
  <c r="AP765" i="10" s="1"/>
  <c r="AH764" i="10"/>
  <c r="AO764" i="10"/>
  <c r="AY764" i="10" s="1"/>
  <c r="AL764" i="10"/>
  <c r="AN764" i="10" l="1"/>
  <c r="AW764" i="10" s="1"/>
  <c r="X765" i="10"/>
  <c r="Z765" i="10" l="1"/>
  <c r="AR765" i="10" s="1"/>
  <c r="AZ764" i="10"/>
  <c r="BD764" i="10"/>
  <c r="Q766" i="10" l="1"/>
  <c r="AA765" i="10"/>
  <c r="AJ765" i="10" l="1"/>
  <c r="AI765" i="10"/>
  <c r="AG765" i="10"/>
  <c r="AK765" i="10"/>
  <c r="AX765" i="10" s="1"/>
  <c r="AB766" i="10"/>
  <c r="AV765" i="10" s="1"/>
  <c r="S766" i="10"/>
  <c r="AC766" i="10"/>
  <c r="AM766" i="10"/>
  <c r="BA765" i="10" l="1"/>
  <c r="T766" i="10"/>
  <c r="AQ766" i="10" s="1"/>
  <c r="AD766" i="10"/>
  <c r="U766" i="10"/>
  <c r="W766" i="10" s="1"/>
  <c r="AP766" i="10" s="1"/>
  <c r="AH765" i="10"/>
  <c r="AO765" i="10"/>
  <c r="AY765" i="10" s="1"/>
  <c r="AL765" i="10"/>
  <c r="AN765" i="10" l="1"/>
  <c r="AW765" i="10" s="1"/>
  <c r="X766" i="10"/>
  <c r="Z766" i="10" l="1"/>
  <c r="AR766" i="10" s="1"/>
  <c r="AZ765" i="10"/>
  <c r="BD765" i="10"/>
  <c r="Q767" i="10" l="1"/>
  <c r="AA766" i="10"/>
  <c r="AJ766" i="10" l="1"/>
  <c r="AI766" i="10"/>
  <c r="AG766" i="10"/>
  <c r="AK766" i="10"/>
  <c r="AX766" i="10" s="1"/>
  <c r="AB767" i="10"/>
  <c r="AV766" i="10" s="1"/>
  <c r="S767" i="10"/>
  <c r="AM767" i="10"/>
  <c r="AC767" i="10"/>
  <c r="BA766" i="10" l="1"/>
  <c r="T767" i="10"/>
  <c r="AQ767" i="10" s="1"/>
  <c r="AD767" i="10"/>
  <c r="U767" i="10"/>
  <c r="W767" i="10" s="1"/>
  <c r="AP767" i="10" s="1"/>
  <c r="AH766" i="10"/>
  <c r="AO766" i="10"/>
  <c r="AY766" i="10" s="1"/>
  <c r="AL766" i="10"/>
  <c r="AN766" i="10" l="1"/>
  <c r="AW766" i="10" s="1"/>
  <c r="X767" i="10"/>
  <c r="Z767" i="10" l="1"/>
  <c r="AR767" i="10" s="1"/>
  <c r="AZ766" i="10"/>
  <c r="BD766" i="10"/>
  <c r="Q768" i="10" l="1"/>
  <c r="AA767" i="10"/>
  <c r="AJ767" i="10" l="1"/>
  <c r="AI767" i="10"/>
  <c r="AG767" i="10"/>
  <c r="AK767" i="10"/>
  <c r="AX767" i="10" s="1"/>
  <c r="AB768" i="10"/>
  <c r="AV767" i="10" s="1"/>
  <c r="S768" i="10"/>
  <c r="AC768" i="10"/>
  <c r="AM768" i="10"/>
  <c r="BA767" i="10" l="1"/>
  <c r="T768" i="10"/>
  <c r="AQ768" i="10" s="1"/>
  <c r="AD768" i="10"/>
  <c r="U768" i="10"/>
  <c r="W768" i="10" s="1"/>
  <c r="AP768" i="10" s="1"/>
  <c r="AH767" i="10"/>
  <c r="AO767" i="10"/>
  <c r="AY767" i="10" s="1"/>
  <c r="AL767" i="10"/>
  <c r="AN767" i="10" l="1"/>
  <c r="AW767" i="10" s="1"/>
  <c r="X768" i="10"/>
  <c r="Z768" i="10" l="1"/>
  <c r="AR768" i="10" s="1"/>
  <c r="AZ767" i="10"/>
  <c r="BD767" i="10"/>
  <c r="Q769" i="10" l="1"/>
  <c r="AA768" i="10"/>
  <c r="AJ768" i="10" l="1"/>
  <c r="AI768" i="10"/>
  <c r="AG768" i="10"/>
  <c r="AK768" i="10"/>
  <c r="AX768" i="10" s="1"/>
  <c r="AB769" i="10"/>
  <c r="AV768" i="10" s="1"/>
  <c r="S769" i="10"/>
  <c r="AC769" i="10"/>
  <c r="AM769" i="10"/>
  <c r="BA768" i="10" l="1"/>
  <c r="T769" i="10"/>
  <c r="AQ769" i="10" s="1"/>
  <c r="AD769" i="10"/>
  <c r="U769" i="10"/>
  <c r="W769" i="10" s="1"/>
  <c r="AP769" i="10" s="1"/>
  <c r="AH768" i="10"/>
  <c r="AO768" i="10"/>
  <c r="AY768" i="10" s="1"/>
  <c r="AL768" i="10"/>
  <c r="AN768" i="10" l="1"/>
  <c r="AW768" i="10" s="1"/>
  <c r="AZ768" i="10" s="1"/>
  <c r="X769" i="10"/>
  <c r="BD768" i="10" l="1"/>
  <c r="Z769" i="10"/>
  <c r="AR769" i="10" s="1"/>
  <c r="Q770" i="10" l="1"/>
  <c r="AA769" i="10"/>
  <c r="AJ769" i="10" l="1"/>
  <c r="AI769" i="10"/>
  <c r="AG769" i="10"/>
  <c r="AK769" i="10"/>
  <c r="AX769" i="10" s="1"/>
  <c r="AB770" i="10"/>
  <c r="AV769" i="10" s="1"/>
  <c r="S770" i="10"/>
  <c r="AC770" i="10"/>
  <c r="AM770" i="10"/>
  <c r="AH769" i="10" l="1"/>
  <c r="AO769" i="10"/>
  <c r="AY769" i="10" s="1"/>
  <c r="AL769" i="10"/>
  <c r="BA769" i="10"/>
  <c r="T770" i="10"/>
  <c r="AQ770" i="10" s="1"/>
  <c r="AD770" i="10"/>
  <c r="U770" i="10"/>
  <c r="W770" i="10" s="1"/>
  <c r="AP770" i="10" s="1"/>
  <c r="X770" i="10" l="1"/>
  <c r="AN769" i="10"/>
  <c r="AW769" i="10" s="1"/>
  <c r="AZ769" i="10" l="1"/>
  <c r="BD769" i="10"/>
  <c r="Z770" i="10"/>
  <c r="AR770" i="10" s="1"/>
  <c r="Q771" i="10" l="1"/>
  <c r="AA770" i="10"/>
  <c r="AJ770" i="10" l="1"/>
  <c r="AI770" i="10"/>
  <c r="AG770" i="10"/>
  <c r="AK770" i="10"/>
  <c r="AX770" i="10" s="1"/>
  <c r="AB771" i="10"/>
  <c r="AV770" i="10" s="1"/>
  <c r="S771" i="10"/>
  <c r="AM771" i="10"/>
  <c r="AC771" i="10"/>
  <c r="BA770" i="10" l="1"/>
  <c r="T771" i="10"/>
  <c r="AQ771" i="10" s="1"/>
  <c r="AD771" i="10"/>
  <c r="U771" i="10"/>
  <c r="W771" i="10" s="1"/>
  <c r="AP771" i="10" s="1"/>
  <c r="AH770" i="10"/>
  <c r="AO770" i="10"/>
  <c r="AY770" i="10" s="1"/>
  <c r="AL770" i="10"/>
  <c r="AN770" i="10" l="1"/>
  <c r="AW770" i="10" s="1"/>
  <c r="X771" i="10"/>
  <c r="Z771" i="10" l="1"/>
  <c r="AR771" i="10" s="1"/>
  <c r="AZ770" i="10"/>
  <c r="BD770" i="10"/>
  <c r="Q772" i="10" l="1"/>
  <c r="AA771" i="10"/>
  <c r="AJ771" i="10" l="1"/>
  <c r="AI771" i="10"/>
  <c r="AG771" i="10"/>
  <c r="AK771" i="10"/>
  <c r="AX771" i="10" s="1"/>
  <c r="AB772" i="10"/>
  <c r="AV771" i="10" s="1"/>
  <c r="S772" i="10"/>
  <c r="AC772" i="10"/>
  <c r="AM772" i="10"/>
  <c r="BA771" i="10" l="1"/>
  <c r="T772" i="10"/>
  <c r="AQ772" i="10" s="1"/>
  <c r="AD772" i="10"/>
  <c r="U772" i="10"/>
  <c r="W772" i="10" s="1"/>
  <c r="AP772" i="10" s="1"/>
  <c r="AH771" i="10"/>
  <c r="AO771" i="10"/>
  <c r="AY771" i="10" s="1"/>
  <c r="AL771" i="10"/>
  <c r="AN771" i="10" l="1"/>
  <c r="AW771" i="10" s="1"/>
  <c r="AZ771" i="10" s="1"/>
  <c r="X772" i="10"/>
  <c r="BD771" i="10" l="1"/>
  <c r="Z772" i="10"/>
  <c r="AR772" i="10" s="1"/>
  <c r="Q773" i="10" l="1"/>
  <c r="AA772" i="10"/>
  <c r="AJ772" i="10" l="1"/>
  <c r="AI772" i="10"/>
  <c r="AG772" i="10"/>
  <c r="AK772" i="10"/>
  <c r="AX772" i="10" s="1"/>
  <c r="AB773" i="10"/>
  <c r="AV772" i="10" s="1"/>
  <c r="S773" i="10"/>
  <c r="AC773" i="10"/>
  <c r="AM773" i="10"/>
  <c r="T773" i="10" l="1"/>
  <c r="AQ773" i="10" s="1"/>
  <c r="AD773" i="10"/>
  <c r="U773" i="10"/>
  <c r="W773" i="10" s="1"/>
  <c r="AP773" i="10" s="1"/>
  <c r="AH772" i="10"/>
  <c r="AO772" i="10"/>
  <c r="AY772" i="10" s="1"/>
  <c r="AL772" i="10"/>
  <c r="BA772" i="10"/>
  <c r="AN772" i="10" l="1"/>
  <c r="AW772" i="10" s="1"/>
  <c r="X773" i="10"/>
  <c r="Z773" i="10" l="1"/>
  <c r="AR773" i="10" s="1"/>
  <c r="AZ772" i="10"/>
  <c r="BD772" i="10"/>
  <c r="Q774" i="10" l="1"/>
  <c r="AA773" i="10"/>
  <c r="AJ773" i="10" l="1"/>
  <c r="AI773" i="10"/>
  <c r="AG773" i="10"/>
  <c r="AK773" i="10"/>
  <c r="AX773" i="10" s="1"/>
  <c r="AB774" i="10"/>
  <c r="AV773" i="10" s="1"/>
  <c r="S774" i="10"/>
  <c r="AC774" i="10"/>
  <c r="AM774" i="10"/>
  <c r="BA773" i="10" l="1"/>
  <c r="T774" i="10"/>
  <c r="AQ774" i="10" s="1"/>
  <c r="AD774" i="10"/>
  <c r="U774" i="10"/>
  <c r="W774" i="10" s="1"/>
  <c r="AP774" i="10" s="1"/>
  <c r="AH773" i="10"/>
  <c r="AO773" i="10"/>
  <c r="AY773" i="10" s="1"/>
  <c r="AL773" i="10"/>
  <c r="AN773" i="10" l="1"/>
  <c r="AW773" i="10" s="1"/>
  <c r="X774" i="10"/>
  <c r="Z774" i="10" l="1"/>
  <c r="AR774" i="10" s="1"/>
  <c r="AZ773" i="10"/>
  <c r="BD773" i="10"/>
  <c r="Q775" i="10" l="1"/>
  <c r="AA774" i="10"/>
  <c r="AB775" i="10" l="1"/>
  <c r="AV774" i="10" s="1"/>
  <c r="S775" i="10"/>
  <c r="AM775" i="10"/>
  <c r="AC775" i="10"/>
  <c r="AJ774" i="10"/>
  <c r="AI774" i="10"/>
  <c r="AG774" i="10"/>
  <c r="AK774" i="10"/>
  <c r="AX774" i="10" s="1"/>
  <c r="AL774" i="10" l="1"/>
  <c r="AH774" i="10"/>
  <c r="AO774" i="10"/>
  <c r="AY774" i="10" s="1"/>
  <c r="BA774" i="10"/>
  <c r="T775" i="10"/>
  <c r="AQ775" i="10" s="1"/>
  <c r="AD775" i="10"/>
  <c r="U775" i="10"/>
  <c r="W775" i="10" s="1"/>
  <c r="AP775" i="10" s="1"/>
  <c r="AN774" i="10" l="1"/>
  <c r="AW774" i="10" s="1"/>
  <c r="AZ774" i="10" s="1"/>
  <c r="X775" i="10"/>
  <c r="BD774" i="10" l="1"/>
  <c r="Z775" i="10"/>
  <c r="AR775" i="10" s="1"/>
  <c r="Q776" i="10" l="1"/>
  <c r="AA775" i="10"/>
  <c r="AJ775" i="10" l="1"/>
  <c r="AI775" i="10"/>
  <c r="AG775" i="10"/>
  <c r="AK775" i="10"/>
  <c r="AX775" i="10" s="1"/>
  <c r="AB776" i="10"/>
  <c r="AV775" i="10" s="1"/>
  <c r="S776" i="10"/>
  <c r="AC776" i="10"/>
  <c r="AM776" i="10"/>
  <c r="BA775" i="10" l="1"/>
  <c r="T776" i="10"/>
  <c r="AQ776" i="10" s="1"/>
  <c r="AD776" i="10"/>
  <c r="U776" i="10"/>
  <c r="W776" i="10" s="1"/>
  <c r="AP776" i="10" s="1"/>
  <c r="AH775" i="10"/>
  <c r="AO775" i="10"/>
  <c r="AY775" i="10" s="1"/>
  <c r="AL775" i="10"/>
  <c r="AN775" i="10" l="1"/>
  <c r="AW775" i="10" s="1"/>
  <c r="X776" i="10"/>
  <c r="Z776" i="10" l="1"/>
  <c r="AR776" i="10" s="1"/>
  <c r="AZ775" i="10"/>
  <c r="BD775" i="10"/>
  <c r="Q777" i="10" l="1"/>
  <c r="AA776" i="10"/>
  <c r="AJ776" i="10" l="1"/>
  <c r="AI776" i="10"/>
  <c r="AG776" i="10"/>
  <c r="AK776" i="10"/>
  <c r="AX776" i="10" s="1"/>
  <c r="AB777" i="10"/>
  <c r="AV776" i="10" s="1"/>
  <c r="S777" i="10"/>
  <c r="AC777" i="10"/>
  <c r="AM777" i="10"/>
  <c r="BA776" i="10" l="1"/>
  <c r="T777" i="10"/>
  <c r="AQ777" i="10" s="1"/>
  <c r="AD777" i="10"/>
  <c r="U777" i="10"/>
  <c r="W777" i="10" s="1"/>
  <c r="AP777" i="10" s="1"/>
  <c r="AH776" i="10"/>
  <c r="AO776" i="10"/>
  <c r="AY776" i="10" s="1"/>
  <c r="AL776" i="10"/>
  <c r="AN776" i="10" l="1"/>
  <c r="AW776" i="10" s="1"/>
  <c r="AZ776" i="10"/>
  <c r="BD776" i="10"/>
  <c r="X777" i="10"/>
  <c r="Z777" i="10" l="1"/>
  <c r="AR777" i="10" s="1"/>
  <c r="Q778" i="10" l="1"/>
  <c r="AA777" i="10"/>
  <c r="AJ777" i="10" l="1"/>
  <c r="AI777" i="10"/>
  <c r="AG777" i="10"/>
  <c r="AK777" i="10"/>
  <c r="AX777" i="10" s="1"/>
  <c r="AB778" i="10"/>
  <c r="AV777" i="10" s="1"/>
  <c r="S778" i="10"/>
  <c r="AC778" i="10"/>
  <c r="AM778" i="10"/>
  <c r="T778" i="10" l="1"/>
  <c r="AQ778" i="10" s="1"/>
  <c r="AD778" i="10"/>
  <c r="U778" i="10"/>
  <c r="W778" i="10" s="1"/>
  <c r="AP778" i="10" s="1"/>
  <c r="AH777" i="10"/>
  <c r="AO777" i="10"/>
  <c r="AY777" i="10" s="1"/>
  <c r="AL777" i="10"/>
  <c r="BA777" i="10"/>
  <c r="AN777" i="10" l="1"/>
  <c r="AW777" i="10" s="1"/>
  <c r="X778" i="10"/>
  <c r="Z778" i="10" l="1"/>
  <c r="AR778" i="10" s="1"/>
  <c r="AZ777" i="10"/>
  <c r="BD777" i="10"/>
  <c r="Q779" i="10" l="1"/>
  <c r="AA778" i="10"/>
  <c r="AJ778" i="10" l="1"/>
  <c r="AI778" i="10"/>
  <c r="AG778" i="10"/>
  <c r="AK778" i="10"/>
  <c r="AX778" i="10" s="1"/>
  <c r="AB779" i="10"/>
  <c r="AV778" i="10" s="1"/>
  <c r="S779" i="10"/>
  <c r="AM779" i="10"/>
  <c r="AC779" i="10"/>
  <c r="BA778" i="10" l="1"/>
  <c r="T779" i="10"/>
  <c r="AQ779" i="10" s="1"/>
  <c r="AD779" i="10"/>
  <c r="U779" i="10"/>
  <c r="W779" i="10" s="1"/>
  <c r="AP779" i="10" s="1"/>
  <c r="AH778" i="10"/>
  <c r="AO778" i="10"/>
  <c r="AY778" i="10" s="1"/>
  <c r="AL778" i="10"/>
  <c r="AN778" i="10" l="1"/>
  <c r="AW778" i="10" s="1"/>
  <c r="X779" i="10"/>
  <c r="Z779" i="10" l="1"/>
  <c r="AR779" i="10" s="1"/>
  <c r="AZ778" i="10"/>
  <c r="BD778" i="10"/>
  <c r="Q780" i="10" l="1"/>
  <c r="AA779" i="10"/>
  <c r="AJ779" i="10" l="1"/>
  <c r="AI779" i="10"/>
  <c r="AG779" i="10"/>
  <c r="AK779" i="10"/>
  <c r="AX779" i="10" s="1"/>
  <c r="AB780" i="10"/>
  <c r="AV779" i="10" s="1"/>
  <c r="S780" i="10"/>
  <c r="AC780" i="10"/>
  <c r="AM780" i="10"/>
  <c r="BA779" i="10" l="1"/>
  <c r="T780" i="10"/>
  <c r="AQ780" i="10" s="1"/>
  <c r="AD780" i="10"/>
  <c r="U780" i="10"/>
  <c r="W780" i="10" s="1"/>
  <c r="AP780" i="10" s="1"/>
  <c r="AH779" i="10"/>
  <c r="AO779" i="10"/>
  <c r="AY779" i="10" s="1"/>
  <c r="AL779" i="10"/>
  <c r="AN779" i="10" l="1"/>
  <c r="AW779" i="10" s="1"/>
  <c r="AZ779" i="10" s="1"/>
  <c r="X780" i="10"/>
  <c r="BD779" i="10" l="1"/>
  <c r="Z780" i="10"/>
  <c r="AR780" i="10" s="1"/>
  <c r="Q781" i="10" l="1"/>
  <c r="AA780" i="10"/>
  <c r="AJ780" i="10" l="1"/>
  <c r="AI780" i="10"/>
  <c r="AG780" i="10"/>
  <c r="AK780" i="10"/>
  <c r="AX780" i="10" s="1"/>
  <c r="AB781" i="10"/>
  <c r="AV780" i="10" s="1"/>
  <c r="S781" i="10"/>
  <c r="AC781" i="10"/>
  <c r="AM781" i="10"/>
  <c r="T781" i="10" l="1"/>
  <c r="AQ781" i="10" s="1"/>
  <c r="AD781" i="10"/>
  <c r="U781" i="10"/>
  <c r="W781" i="10" s="1"/>
  <c r="AP781" i="10" s="1"/>
  <c r="AH780" i="10"/>
  <c r="AO780" i="10"/>
  <c r="AY780" i="10" s="1"/>
  <c r="AL780" i="10"/>
  <c r="BA780" i="10"/>
  <c r="AN780" i="10" l="1"/>
  <c r="AW780" i="10" s="1"/>
  <c r="X781" i="10"/>
  <c r="Z781" i="10" l="1"/>
  <c r="AR781" i="10" s="1"/>
  <c r="AZ780" i="10"/>
  <c r="BD780" i="10"/>
  <c r="Q782" i="10" l="1"/>
  <c r="AA781" i="10"/>
  <c r="AJ781" i="10" l="1"/>
  <c r="AI781" i="10"/>
  <c r="AG781" i="10"/>
  <c r="AK781" i="10"/>
  <c r="AX781" i="10" s="1"/>
  <c r="AB782" i="10"/>
  <c r="AV781" i="10" s="1"/>
  <c r="S782" i="10"/>
  <c r="AC782" i="10"/>
  <c r="AM782" i="10"/>
  <c r="BA781" i="10" l="1"/>
  <c r="T782" i="10"/>
  <c r="AQ782" i="10" s="1"/>
  <c r="AD782" i="10"/>
  <c r="U782" i="10"/>
  <c r="W782" i="10" s="1"/>
  <c r="AP782" i="10" s="1"/>
  <c r="AH781" i="10"/>
  <c r="AO781" i="10"/>
  <c r="AY781" i="10" s="1"/>
  <c r="AL781" i="10"/>
  <c r="AN781" i="10" l="1"/>
  <c r="AW781" i="10" s="1"/>
  <c r="X782" i="10"/>
  <c r="AZ781" i="10" l="1"/>
  <c r="BD781" i="10"/>
  <c r="Z782" i="10"/>
  <c r="AR782" i="10" s="1"/>
  <c r="Q783" i="10" l="1"/>
  <c r="AA782" i="10"/>
  <c r="AJ782" i="10" l="1"/>
  <c r="AI782" i="10"/>
  <c r="AG782" i="10"/>
  <c r="AK782" i="10"/>
  <c r="AX782" i="10" s="1"/>
  <c r="AB783" i="10"/>
  <c r="AV782" i="10" s="1"/>
  <c r="S783" i="10"/>
  <c r="AM783" i="10"/>
  <c r="AC783" i="10"/>
  <c r="T783" i="10" l="1"/>
  <c r="AQ783" i="10" s="1"/>
  <c r="AD783" i="10"/>
  <c r="U783" i="10"/>
  <c r="W783" i="10" s="1"/>
  <c r="AP783" i="10" s="1"/>
  <c r="AH782" i="10"/>
  <c r="AO782" i="10"/>
  <c r="AY782" i="10" s="1"/>
  <c r="AL782" i="10"/>
  <c r="BA782" i="10"/>
  <c r="AN782" i="10" l="1"/>
  <c r="AW782" i="10" s="1"/>
  <c r="AZ782" i="10" s="1"/>
  <c r="X783" i="10"/>
  <c r="BD782" i="10" l="1"/>
  <c r="Z783" i="10"/>
  <c r="AR783" i="10" s="1"/>
  <c r="Q784" i="10" l="1"/>
  <c r="AA783" i="10"/>
  <c r="AJ783" i="10" l="1"/>
  <c r="AI783" i="10"/>
  <c r="AG783" i="10"/>
  <c r="AK783" i="10"/>
  <c r="AX783" i="10" s="1"/>
  <c r="AB784" i="10"/>
  <c r="AV783" i="10" s="1"/>
  <c r="S784" i="10"/>
  <c r="AC784" i="10"/>
  <c r="AM784" i="10"/>
  <c r="T784" i="10" l="1"/>
  <c r="AQ784" i="10" s="1"/>
  <c r="AD784" i="10"/>
  <c r="U784" i="10"/>
  <c r="W784" i="10" s="1"/>
  <c r="AP784" i="10" s="1"/>
  <c r="AH783" i="10"/>
  <c r="AO783" i="10"/>
  <c r="AY783" i="10" s="1"/>
  <c r="AL783" i="10"/>
  <c r="BA783" i="10"/>
  <c r="AN783" i="10" l="1"/>
  <c r="AW783" i="10" s="1"/>
  <c r="X784" i="10"/>
  <c r="Z784" i="10" l="1"/>
  <c r="AR784" i="10" s="1"/>
  <c r="AZ783" i="10"/>
  <c r="BD783" i="10"/>
  <c r="Q785" i="10" l="1"/>
  <c r="AA784" i="10"/>
  <c r="AJ784" i="10" l="1"/>
  <c r="AI784" i="10"/>
  <c r="AG784" i="10"/>
  <c r="AK784" i="10"/>
  <c r="AX784" i="10" s="1"/>
  <c r="AB785" i="10"/>
  <c r="AV784" i="10" s="1"/>
  <c r="S785" i="10"/>
  <c r="AC785" i="10"/>
  <c r="AM785" i="10"/>
  <c r="BA784" i="10" l="1"/>
  <c r="T785" i="10"/>
  <c r="AQ785" i="10" s="1"/>
  <c r="AD785" i="10"/>
  <c r="U785" i="10"/>
  <c r="W785" i="10" s="1"/>
  <c r="AP785" i="10" s="1"/>
  <c r="AH784" i="10"/>
  <c r="AO784" i="10"/>
  <c r="AY784" i="10" s="1"/>
  <c r="AL784" i="10"/>
  <c r="AN784" i="10" l="1"/>
  <c r="AW784" i="10" s="1"/>
  <c r="X785" i="10"/>
  <c r="Z785" i="10" l="1"/>
  <c r="AR785" i="10" s="1"/>
  <c r="AZ784" i="10"/>
  <c r="BD784" i="10"/>
  <c r="Q786" i="10" l="1"/>
  <c r="AA785" i="10"/>
  <c r="AJ785" i="10" l="1"/>
  <c r="AI785" i="10"/>
  <c r="AG785" i="10"/>
  <c r="AK785" i="10"/>
  <c r="AX785" i="10" s="1"/>
  <c r="AB786" i="10"/>
  <c r="AV785" i="10" s="1"/>
  <c r="S786" i="10"/>
  <c r="AC786" i="10"/>
  <c r="AM786" i="10"/>
  <c r="T786" i="10" l="1"/>
  <c r="AQ786" i="10" s="1"/>
  <c r="AD786" i="10"/>
  <c r="U786" i="10"/>
  <c r="W786" i="10" s="1"/>
  <c r="AP786" i="10" s="1"/>
  <c r="AH785" i="10"/>
  <c r="AO785" i="10"/>
  <c r="AY785" i="10" s="1"/>
  <c r="AL785" i="10"/>
  <c r="BA785" i="10"/>
  <c r="X786" i="10" l="1"/>
  <c r="AN785" i="10"/>
  <c r="AW785" i="10" s="1"/>
  <c r="AZ785" i="10" l="1"/>
  <c r="BD785" i="10"/>
  <c r="Z786" i="10"/>
  <c r="AR786" i="10" s="1"/>
  <c r="Q787" i="10" l="1"/>
  <c r="AA786" i="10"/>
  <c r="AJ786" i="10" l="1"/>
  <c r="AI786" i="10"/>
  <c r="AG786" i="10"/>
  <c r="AK786" i="10"/>
  <c r="AX786" i="10" s="1"/>
  <c r="AB787" i="10"/>
  <c r="AV786" i="10" s="1"/>
  <c r="S787" i="10"/>
  <c r="AM787" i="10"/>
  <c r="AC787" i="10"/>
  <c r="BA786" i="10" l="1"/>
  <c r="T787" i="10"/>
  <c r="AQ787" i="10" s="1"/>
  <c r="AD787" i="10"/>
  <c r="U787" i="10"/>
  <c r="W787" i="10" s="1"/>
  <c r="AP787" i="10" s="1"/>
  <c r="AH786" i="10"/>
  <c r="AO786" i="10"/>
  <c r="AY786" i="10" s="1"/>
  <c r="AL786" i="10"/>
  <c r="AN786" i="10" l="1"/>
  <c r="AW786" i="10" s="1"/>
  <c r="X787" i="10"/>
  <c r="Z787" i="10" l="1"/>
  <c r="AR787" i="10" s="1"/>
  <c r="AZ786" i="10"/>
  <c r="BD786" i="10"/>
  <c r="Q788" i="10" l="1"/>
  <c r="AA787" i="10"/>
  <c r="AJ787" i="10" l="1"/>
  <c r="AI787" i="10"/>
  <c r="AG787" i="10"/>
  <c r="AK787" i="10"/>
  <c r="AX787" i="10" s="1"/>
  <c r="AM788" i="10"/>
  <c r="AC788" i="10"/>
  <c r="BA787" i="10" s="1"/>
  <c r="AB788" i="10"/>
  <c r="AV787" i="10" s="1"/>
  <c r="S788" i="10"/>
  <c r="AD788" i="10" l="1"/>
  <c r="T788" i="10"/>
  <c r="AQ788" i="10" s="1"/>
  <c r="U788" i="10"/>
  <c r="W788" i="10" s="1"/>
  <c r="AP788" i="10" s="1"/>
  <c r="AH787" i="10"/>
  <c r="AO787" i="10"/>
  <c r="AY787" i="10" s="1"/>
  <c r="AL787" i="10"/>
  <c r="AN787" i="10" l="1"/>
  <c r="AW787" i="10" s="1"/>
  <c r="X788" i="10"/>
  <c r="Z788" i="10" l="1"/>
  <c r="AR788" i="10" s="1"/>
  <c r="AZ787" i="10"/>
  <c r="BD787" i="10"/>
  <c r="Q789" i="10" l="1"/>
  <c r="AA788" i="10"/>
  <c r="AI788" i="10" l="1"/>
  <c r="AJ788" i="10"/>
  <c r="AG788" i="10"/>
  <c r="AK788" i="10"/>
  <c r="AX788" i="10" s="1"/>
  <c r="AC789" i="10"/>
  <c r="BA788" i="10" s="1"/>
  <c r="AB789" i="10"/>
  <c r="AV788" i="10" s="1"/>
  <c r="S789" i="10"/>
  <c r="AM789" i="10"/>
  <c r="T789" i="10" l="1"/>
  <c r="AQ789" i="10" s="1"/>
  <c r="AD789" i="10"/>
  <c r="U789" i="10"/>
  <c r="W789" i="10" s="1"/>
  <c r="AP789" i="10" s="1"/>
  <c r="AO788" i="10"/>
  <c r="AY788" i="10" s="1"/>
  <c r="AH788" i="10"/>
  <c r="AL788" i="10"/>
  <c r="AN788" i="10" l="1"/>
  <c r="AW788" i="10" s="1"/>
  <c r="X789" i="10"/>
  <c r="Z789" i="10" l="1"/>
  <c r="AR789" i="10" s="1"/>
  <c r="BD788" i="10"/>
  <c r="AZ788" i="10"/>
  <c r="AA789" i="10" l="1"/>
  <c r="Q790" i="10"/>
  <c r="AB790" i="10" l="1"/>
  <c r="AV789" i="10" s="1"/>
  <c r="S790" i="10"/>
  <c r="AM790" i="10"/>
  <c r="AC790" i="10"/>
  <c r="AJ789" i="10"/>
  <c r="AI789" i="10"/>
  <c r="AG789" i="10"/>
  <c r="AK789" i="10"/>
  <c r="AX789" i="10" s="1"/>
  <c r="AO789" i="10" l="1"/>
  <c r="AY789" i="10" s="1"/>
  <c r="AH789" i="10"/>
  <c r="AL789" i="10"/>
  <c r="BA789" i="10"/>
  <c r="AD790" i="10"/>
  <c r="T790" i="10"/>
  <c r="AQ790" i="10" s="1"/>
  <c r="U790" i="10"/>
  <c r="W790" i="10" s="1"/>
  <c r="AP790" i="10" s="1"/>
  <c r="X790" i="10" l="1"/>
  <c r="AN789" i="10"/>
  <c r="AW789" i="10" s="1"/>
  <c r="BD789" i="10" l="1"/>
  <c r="AZ789" i="10"/>
  <c r="Z790" i="10"/>
  <c r="AR790" i="10" s="1"/>
  <c r="AA790" i="10" l="1"/>
  <c r="Q791" i="10"/>
  <c r="AC791" i="10" l="1"/>
  <c r="AB791" i="10"/>
  <c r="AV790" i="10" s="1"/>
  <c r="AM791" i="10"/>
  <c r="S791" i="10"/>
  <c r="AJ790" i="10"/>
  <c r="AI790" i="10"/>
  <c r="AG790" i="10"/>
  <c r="AK790" i="10"/>
  <c r="AX790" i="10" s="1"/>
  <c r="AL790" i="10" l="1"/>
  <c r="AO790" i="10"/>
  <c r="AY790" i="10" s="1"/>
  <c r="AH790" i="10"/>
  <c r="AN790" i="10" s="1"/>
  <c r="AW790" i="10" s="1"/>
  <c r="T791" i="10"/>
  <c r="AQ791" i="10" s="1"/>
  <c r="AD791" i="10"/>
  <c r="U791" i="10"/>
  <c r="W791" i="10" s="1"/>
  <c r="AP791" i="10" s="1"/>
  <c r="BA790" i="10"/>
  <c r="X791" i="10" l="1"/>
  <c r="BD790" i="10"/>
  <c r="AZ790" i="10"/>
  <c r="Z791" i="10" l="1"/>
  <c r="AR791" i="10" s="1"/>
  <c r="AA791" i="10" l="1"/>
  <c r="Q792" i="10"/>
  <c r="AB792" i="10" l="1"/>
  <c r="AV791" i="10" s="1"/>
  <c r="S792" i="10"/>
  <c r="AM792" i="10"/>
  <c r="AC792" i="10"/>
  <c r="AJ791" i="10"/>
  <c r="AI791" i="10"/>
  <c r="AG791" i="10"/>
  <c r="AK791" i="10"/>
  <c r="AX791" i="10" s="1"/>
  <c r="AH791" i="10" l="1"/>
  <c r="AO791" i="10"/>
  <c r="AY791" i="10" s="1"/>
  <c r="AL791" i="10"/>
  <c r="BA791" i="10"/>
  <c r="AD792" i="10"/>
  <c r="T792" i="10"/>
  <c r="AQ792" i="10" s="1"/>
  <c r="U792" i="10"/>
  <c r="W792" i="10" s="1"/>
  <c r="AP792" i="10" s="1"/>
  <c r="X792" i="10" l="1"/>
  <c r="AN791" i="10"/>
  <c r="AW791" i="10" s="1"/>
  <c r="BD791" i="10" l="1"/>
  <c r="AZ791" i="10"/>
  <c r="Z792" i="10"/>
  <c r="AR792" i="10" s="1"/>
  <c r="Q793" i="10" l="1"/>
  <c r="AA792" i="10"/>
  <c r="AI792" i="10" l="1"/>
  <c r="AJ792" i="10"/>
  <c r="AG792" i="10"/>
  <c r="AK792" i="10"/>
  <c r="AX792" i="10" s="1"/>
  <c r="AM793" i="10"/>
  <c r="AC793" i="10"/>
  <c r="AB793" i="10"/>
  <c r="AV792" i="10" s="1"/>
  <c r="S793" i="10"/>
  <c r="BA792" i="10" l="1"/>
  <c r="T793" i="10"/>
  <c r="AQ793" i="10" s="1"/>
  <c r="AD793" i="10"/>
  <c r="U793" i="10"/>
  <c r="W793" i="10" s="1"/>
  <c r="AP793" i="10" s="1"/>
  <c r="AH792" i="10"/>
  <c r="AO792" i="10"/>
  <c r="AY792" i="10" s="1"/>
  <c r="AL792" i="10"/>
  <c r="AN792" i="10" l="1"/>
  <c r="AW792" i="10" s="1"/>
  <c r="X793" i="10"/>
  <c r="Z793" i="10" l="1"/>
  <c r="AR793" i="10" s="1"/>
  <c r="BD792" i="10"/>
  <c r="AZ792" i="10"/>
  <c r="AA793" i="10" l="1"/>
  <c r="Q794" i="10"/>
  <c r="AM794" i="10" l="1"/>
  <c r="S794" i="10"/>
  <c r="AB794" i="10"/>
  <c r="AV793" i="10" s="1"/>
  <c r="AC794" i="10"/>
  <c r="AJ793" i="10"/>
  <c r="AI793" i="10"/>
  <c r="AG793" i="10"/>
  <c r="AK793" i="10"/>
  <c r="AX793" i="10" s="1"/>
  <c r="AL793" i="10" l="1"/>
  <c r="AH793" i="10"/>
  <c r="AN793" i="10" s="1"/>
  <c r="AW793" i="10" s="1"/>
  <c r="AO793" i="10"/>
  <c r="AY793" i="10" s="1"/>
  <c r="BA793" i="10"/>
  <c r="AD794" i="10"/>
  <c r="T794" i="10"/>
  <c r="AQ794" i="10" s="1"/>
  <c r="U794" i="10"/>
  <c r="W794" i="10" s="1"/>
  <c r="AP794" i="10" s="1"/>
  <c r="X794" i="10" l="1"/>
  <c r="BD793" i="10"/>
  <c r="AZ793" i="10"/>
  <c r="Z794" i="10" l="1"/>
  <c r="AR794" i="10" s="1"/>
  <c r="AA794" i="10" l="1"/>
  <c r="Q795" i="10"/>
  <c r="AI794" i="10" l="1"/>
  <c r="AJ794" i="10"/>
  <c r="AG794" i="10"/>
  <c r="AK794" i="10"/>
  <c r="AX794" i="10" s="1"/>
  <c r="AM795" i="10"/>
  <c r="AC795" i="10"/>
  <c r="BA794" i="10" s="1"/>
  <c r="S795" i="10"/>
  <c r="AB795" i="10"/>
  <c r="AV794" i="10" s="1"/>
  <c r="AD795" i="10" l="1"/>
  <c r="T795" i="10"/>
  <c r="AQ795" i="10" s="1"/>
  <c r="U795" i="10"/>
  <c r="W795" i="10" s="1"/>
  <c r="AP795" i="10" s="1"/>
  <c r="AO794" i="10"/>
  <c r="AY794" i="10" s="1"/>
  <c r="AH794" i="10"/>
  <c r="AL794" i="10"/>
  <c r="AN794" i="10" l="1"/>
  <c r="AW794" i="10" s="1"/>
  <c r="X795" i="10"/>
  <c r="Z795" i="10" l="1"/>
  <c r="AR795" i="10" s="1"/>
  <c r="BD794" i="10"/>
  <c r="AZ794" i="10"/>
  <c r="AA795" i="10" l="1"/>
  <c r="Q796" i="10"/>
  <c r="AM796" i="10" l="1"/>
  <c r="AC796" i="10"/>
  <c r="AB796" i="10"/>
  <c r="AV795" i="10" s="1"/>
  <c r="S796" i="10"/>
  <c r="AJ795" i="10"/>
  <c r="AI795" i="10"/>
  <c r="AG795" i="10"/>
  <c r="AK795" i="10"/>
  <c r="AX795" i="10" s="1"/>
  <c r="BA795" i="10" l="1"/>
  <c r="AO795" i="10"/>
  <c r="AY795" i="10" s="1"/>
  <c r="AH795" i="10"/>
  <c r="AL795" i="10"/>
  <c r="AD796" i="10"/>
  <c r="T796" i="10"/>
  <c r="AQ796" i="10" s="1"/>
  <c r="U796" i="10"/>
  <c r="W796" i="10" s="1"/>
  <c r="AP796" i="10" s="1"/>
  <c r="X796" i="10" l="1"/>
  <c r="AN795" i="10"/>
  <c r="AW795" i="10" s="1"/>
  <c r="BD795" i="10" l="1"/>
  <c r="AZ795" i="10"/>
  <c r="Z796" i="10"/>
  <c r="AR796" i="10" s="1"/>
  <c r="AA796" i="10" l="1"/>
  <c r="Q797" i="10"/>
  <c r="AC797" i="10" l="1"/>
  <c r="AB797" i="10"/>
  <c r="AV796" i="10" s="1"/>
  <c r="S797" i="10"/>
  <c r="AM797" i="10"/>
  <c r="AJ796" i="10"/>
  <c r="AI796" i="10"/>
  <c r="AG796" i="10"/>
  <c r="AK796" i="10"/>
  <c r="AX796" i="10" s="1"/>
  <c r="AO796" i="10" l="1"/>
  <c r="AY796" i="10" s="1"/>
  <c r="AH796" i="10"/>
  <c r="AL796" i="10"/>
  <c r="T797" i="10"/>
  <c r="AQ797" i="10" s="1"/>
  <c r="AD797" i="10"/>
  <c r="U797" i="10"/>
  <c r="W797" i="10" s="1"/>
  <c r="AP797" i="10" s="1"/>
  <c r="BA796" i="10"/>
  <c r="X797" i="10" l="1"/>
  <c r="AN796" i="10"/>
  <c r="AW796" i="10" s="1"/>
  <c r="BD796" i="10" l="1"/>
  <c r="AZ796" i="10"/>
  <c r="Z797" i="10"/>
  <c r="AR797" i="10" s="1"/>
  <c r="AA797" i="10" l="1"/>
  <c r="Q798" i="10"/>
  <c r="AJ797" i="10" l="1"/>
  <c r="AI797" i="10"/>
  <c r="AG797" i="10"/>
  <c r="AK797" i="10"/>
  <c r="AX797" i="10" s="1"/>
  <c r="AB798" i="10"/>
  <c r="AV797" i="10" s="1"/>
  <c r="S798" i="10"/>
  <c r="AM798" i="10"/>
  <c r="AC798" i="10"/>
  <c r="AD798" i="10" l="1"/>
  <c r="T798" i="10"/>
  <c r="AQ798" i="10" s="1"/>
  <c r="U798" i="10"/>
  <c r="W798" i="10" s="1"/>
  <c r="AP798" i="10" s="1"/>
  <c r="AO797" i="10"/>
  <c r="AY797" i="10" s="1"/>
  <c r="AH797" i="10"/>
  <c r="AL797" i="10"/>
  <c r="BA797" i="10"/>
  <c r="AN797" i="10" l="1"/>
  <c r="AW797" i="10" s="1"/>
  <c r="X798" i="10"/>
  <c r="Z798" i="10" l="1"/>
  <c r="AR798" i="10" s="1"/>
  <c r="BD797" i="10"/>
  <c r="AZ797" i="10"/>
  <c r="AA798" i="10" l="1"/>
  <c r="Q799" i="10"/>
  <c r="AC799" i="10" l="1"/>
  <c r="S799" i="10"/>
  <c r="AB799" i="10"/>
  <c r="AV798" i="10" s="1"/>
  <c r="AM799" i="10"/>
  <c r="AJ798" i="10"/>
  <c r="AI798" i="10"/>
  <c r="AG798" i="10"/>
  <c r="AK798" i="10"/>
  <c r="AX798" i="10" s="1"/>
  <c r="AH798" i="10" l="1"/>
  <c r="AO798" i="10"/>
  <c r="AY798" i="10" s="1"/>
  <c r="AL798" i="10"/>
  <c r="T799" i="10"/>
  <c r="AQ799" i="10" s="1"/>
  <c r="AD799" i="10"/>
  <c r="U799" i="10"/>
  <c r="W799" i="10" s="1"/>
  <c r="AP799" i="10" s="1"/>
  <c r="BA798" i="10"/>
  <c r="X799" i="10" l="1"/>
  <c r="AN798" i="10"/>
  <c r="AW798" i="10" s="1"/>
  <c r="BD798" i="10" l="1"/>
  <c r="AZ798" i="10"/>
  <c r="Z799" i="10"/>
  <c r="AR799" i="10" s="1"/>
  <c r="AA799" i="10" l="1"/>
  <c r="Q800" i="10"/>
  <c r="AB800" i="10" l="1"/>
  <c r="AV799" i="10" s="1"/>
  <c r="S800" i="10"/>
  <c r="AM800" i="10"/>
  <c r="AC800" i="10"/>
  <c r="AJ799" i="10"/>
  <c r="AI799" i="10"/>
  <c r="AG799" i="10"/>
  <c r="AK799" i="10"/>
  <c r="AX799" i="10" s="1"/>
  <c r="AL799" i="10" l="1"/>
  <c r="AH799" i="10"/>
  <c r="AO799" i="10"/>
  <c r="AY799" i="10" s="1"/>
  <c r="BA799" i="10"/>
  <c r="AD800" i="10"/>
  <c r="T800" i="10"/>
  <c r="AQ800" i="10" s="1"/>
  <c r="U800" i="10"/>
  <c r="W800" i="10" s="1"/>
  <c r="AP800" i="10" s="1"/>
  <c r="AN799" i="10" l="1"/>
  <c r="AW799" i="10" s="1"/>
  <c r="X800" i="10"/>
  <c r="BD799" i="10"/>
  <c r="AZ799" i="10"/>
  <c r="Z800" i="10" l="1"/>
  <c r="AR800" i="10" s="1"/>
  <c r="AA800" i="10" l="1"/>
  <c r="Q801" i="10"/>
  <c r="AC801" i="10" l="1"/>
  <c r="AB801" i="10"/>
  <c r="AV800" i="10" s="1"/>
  <c r="S801" i="10"/>
  <c r="AM801" i="10"/>
  <c r="AI800" i="10"/>
  <c r="AJ800" i="10"/>
  <c r="AG800" i="10"/>
  <c r="AK800" i="10"/>
  <c r="AX800" i="10" s="1"/>
  <c r="AL800" i="10" l="1"/>
  <c r="AD801" i="10"/>
  <c r="T801" i="10"/>
  <c r="AQ801" i="10" s="1"/>
  <c r="U801" i="10"/>
  <c r="W801" i="10" s="1"/>
  <c r="AP801" i="10" s="1"/>
  <c r="BA800" i="10"/>
  <c r="AH800" i="10"/>
  <c r="AN800" i="10" s="1"/>
  <c r="AW800" i="10" s="1"/>
  <c r="AO800" i="10"/>
  <c r="AY800" i="10" s="1"/>
  <c r="BD800" i="10" l="1"/>
  <c r="AZ800" i="10"/>
  <c r="X801" i="10"/>
  <c r="Z801" i="10" l="1"/>
  <c r="AR801" i="10" s="1"/>
  <c r="AA801" i="10" l="1"/>
  <c r="Q802" i="10"/>
  <c r="AM802" i="10" l="1"/>
  <c r="AB802" i="10"/>
  <c r="AV801" i="10" s="1"/>
  <c r="S802" i="10"/>
  <c r="AC802" i="10"/>
  <c r="AJ801" i="10"/>
  <c r="AI801" i="10"/>
  <c r="AG801" i="10"/>
  <c r="AK801" i="10"/>
  <c r="AX801" i="10" s="1"/>
  <c r="AD802" i="10" l="1"/>
  <c r="T802" i="10"/>
  <c r="AQ802" i="10" s="1"/>
  <c r="U802" i="10"/>
  <c r="W802" i="10" s="1"/>
  <c r="AP802" i="10" s="1"/>
  <c r="AH801" i="10"/>
  <c r="AO801" i="10"/>
  <c r="AY801" i="10" s="1"/>
  <c r="AL801" i="10"/>
  <c r="BA801" i="10"/>
  <c r="AN801" i="10" l="1"/>
  <c r="AW801" i="10" s="1"/>
  <c r="X802" i="10"/>
  <c r="Z802" i="10" l="1"/>
  <c r="AR802" i="10" s="1"/>
  <c r="BD801" i="10"/>
  <c r="AZ801" i="10"/>
  <c r="Q803" i="10" l="1"/>
  <c r="AA802" i="10"/>
  <c r="AJ802" i="10" l="1"/>
  <c r="AI802" i="10"/>
  <c r="AG802" i="10"/>
  <c r="AK802" i="10"/>
  <c r="AX802" i="10" s="1"/>
  <c r="AM803" i="10"/>
  <c r="AB803" i="10"/>
  <c r="AV802" i="10" s="1"/>
  <c r="AC803" i="10"/>
  <c r="S803" i="10"/>
  <c r="BA802" i="10" l="1"/>
  <c r="T803" i="10"/>
  <c r="AQ803" i="10" s="1"/>
  <c r="AD803" i="10"/>
  <c r="U803" i="10"/>
  <c r="W803" i="10" s="1"/>
  <c r="AP803" i="10" s="1"/>
  <c r="AO802" i="10"/>
  <c r="AY802" i="10" s="1"/>
  <c r="AH802" i="10"/>
  <c r="AL802" i="10"/>
  <c r="AN802" i="10" l="1"/>
  <c r="AW802" i="10" s="1"/>
  <c r="X803" i="10"/>
  <c r="Z803" i="10" l="1"/>
  <c r="AR803" i="10" s="1"/>
  <c r="BD802" i="10"/>
  <c r="AZ802" i="10"/>
  <c r="Q804" i="10" l="1"/>
  <c r="AA803" i="10"/>
  <c r="AJ803" i="10" l="1"/>
  <c r="AI803" i="10"/>
  <c r="AG803" i="10"/>
  <c r="AK803" i="10"/>
  <c r="AX803" i="10" s="1"/>
  <c r="AM804" i="10"/>
  <c r="AC804" i="10"/>
  <c r="BA803" i="10" s="1"/>
  <c r="AB804" i="10"/>
  <c r="AV803" i="10" s="1"/>
  <c r="S804" i="10"/>
  <c r="AH803" i="10" l="1"/>
  <c r="AO803" i="10"/>
  <c r="AY803" i="10" s="1"/>
  <c r="AL803" i="10"/>
  <c r="AD804" i="10"/>
  <c r="T804" i="10"/>
  <c r="AQ804" i="10" s="1"/>
  <c r="U804" i="10"/>
  <c r="W804" i="10" s="1"/>
  <c r="AP804" i="10" s="1"/>
  <c r="X804" i="10" l="1"/>
  <c r="AN803" i="10"/>
  <c r="AW803" i="10" s="1"/>
  <c r="BD803" i="10" l="1"/>
  <c r="AZ803" i="10"/>
  <c r="Z804" i="10"/>
  <c r="AR804" i="10" s="1"/>
  <c r="AA804" i="10" l="1"/>
  <c r="Q805" i="10"/>
  <c r="AM805" i="10" l="1"/>
  <c r="AC805" i="10"/>
  <c r="S805" i="10"/>
  <c r="AB805" i="10"/>
  <c r="AV804" i="10" s="1"/>
  <c r="AJ804" i="10"/>
  <c r="AI804" i="10"/>
  <c r="AG804" i="10"/>
  <c r="AK804" i="10"/>
  <c r="AX804" i="10" s="1"/>
  <c r="AL804" i="10" l="1"/>
  <c r="AD805" i="10"/>
  <c r="T805" i="10"/>
  <c r="AQ805" i="10" s="1"/>
  <c r="U805" i="10"/>
  <c r="W805" i="10" s="1"/>
  <c r="AP805" i="10" s="1"/>
  <c r="BA804" i="10"/>
  <c r="AH804" i="10"/>
  <c r="AN804" i="10" s="1"/>
  <c r="AW804" i="10" s="1"/>
  <c r="AO804" i="10"/>
  <c r="AY804" i="10" s="1"/>
  <c r="BD804" i="10" l="1"/>
  <c r="AZ804" i="10"/>
  <c r="X805" i="10"/>
  <c r="Z805" i="10" l="1"/>
  <c r="AR805" i="10" s="1"/>
  <c r="AA805" i="10" l="1"/>
  <c r="Q806" i="10"/>
  <c r="AM806" i="10" l="1"/>
  <c r="AB806" i="10"/>
  <c r="AV805" i="10" s="1"/>
  <c r="AC806" i="10"/>
  <c r="S806" i="10"/>
  <c r="AJ805" i="10"/>
  <c r="AI805" i="10"/>
  <c r="AG805" i="10"/>
  <c r="AK805" i="10"/>
  <c r="AX805" i="10" s="1"/>
  <c r="AO805" i="10" l="1"/>
  <c r="AY805" i="10" s="1"/>
  <c r="AH805" i="10"/>
  <c r="AL805" i="10"/>
  <c r="AD806" i="10"/>
  <c r="T806" i="10"/>
  <c r="AQ806" i="10" s="1"/>
  <c r="U806" i="10"/>
  <c r="W806" i="10" s="1"/>
  <c r="AP806" i="10" s="1"/>
  <c r="BA805" i="10"/>
  <c r="X806" i="10" l="1"/>
  <c r="AN805" i="10"/>
  <c r="AW805" i="10" s="1"/>
  <c r="Z806" i="10" l="1"/>
  <c r="AR806" i="10" s="1"/>
  <c r="BD805" i="10"/>
  <c r="AZ805" i="10"/>
  <c r="Q807" i="10" l="1"/>
  <c r="AA806" i="10"/>
  <c r="AJ806" i="10" l="1"/>
  <c r="AI806" i="10"/>
  <c r="AG806" i="10"/>
  <c r="AK806" i="10"/>
  <c r="AX806" i="10" s="1"/>
  <c r="AM807" i="10"/>
  <c r="AB807" i="10"/>
  <c r="AV806" i="10" s="1"/>
  <c r="AC807" i="10"/>
  <c r="S807" i="10"/>
  <c r="BA806" i="10" l="1"/>
  <c r="AD807" i="10"/>
  <c r="T807" i="10"/>
  <c r="AQ807" i="10" s="1"/>
  <c r="U807" i="10"/>
  <c r="W807" i="10" s="1"/>
  <c r="AP807" i="10" s="1"/>
  <c r="AH806" i="10"/>
  <c r="AO806" i="10"/>
  <c r="AY806" i="10" s="1"/>
  <c r="AL806" i="10"/>
  <c r="AN806" i="10" l="1"/>
  <c r="AW806" i="10" s="1"/>
  <c r="X807" i="10"/>
  <c r="Z807" i="10" l="1"/>
  <c r="AR807" i="10" s="1"/>
  <c r="BD806" i="10"/>
  <c r="AZ806" i="10"/>
  <c r="AA807" i="10" l="1"/>
  <c r="Q808" i="10"/>
  <c r="AM808" i="10" l="1"/>
  <c r="S808" i="10"/>
  <c r="AC808" i="10"/>
  <c r="AB808" i="10"/>
  <c r="AV807" i="10" s="1"/>
  <c r="AJ807" i="10"/>
  <c r="AI807" i="10"/>
  <c r="AG807" i="10"/>
  <c r="AK807" i="10"/>
  <c r="AX807" i="10" s="1"/>
  <c r="AL807" i="10" l="1"/>
  <c r="BA807" i="10"/>
  <c r="AD808" i="10"/>
  <c r="T808" i="10"/>
  <c r="AQ808" i="10" s="1"/>
  <c r="U808" i="10"/>
  <c r="W808" i="10" s="1"/>
  <c r="AP808" i="10" s="1"/>
  <c r="AH807" i="10"/>
  <c r="AN807" i="10" s="1"/>
  <c r="AW807" i="10" s="1"/>
  <c r="AO807" i="10"/>
  <c r="AY807" i="10" s="1"/>
  <c r="BD807" i="10" l="1"/>
  <c r="AZ807" i="10"/>
  <c r="X808" i="10"/>
  <c r="Z808" i="10" l="1"/>
  <c r="AR808" i="10" s="1"/>
  <c r="AA808" i="10" l="1"/>
  <c r="Q809" i="10"/>
  <c r="AM809" i="10" l="1"/>
  <c r="AB809" i="10"/>
  <c r="AV808" i="10" s="1"/>
  <c r="S809" i="10"/>
  <c r="AC809" i="10"/>
  <c r="AI808" i="10"/>
  <c r="AJ808" i="10"/>
  <c r="AG808" i="10"/>
  <c r="AK808" i="10"/>
  <c r="AX808" i="10" s="1"/>
  <c r="AL808" i="10" l="1"/>
  <c r="AH808" i="10"/>
  <c r="AO808" i="10"/>
  <c r="AY808" i="10" s="1"/>
  <c r="BA808" i="10"/>
  <c r="AD809" i="10"/>
  <c r="T809" i="10"/>
  <c r="AQ809" i="10" s="1"/>
  <c r="U809" i="10"/>
  <c r="W809" i="10" s="1"/>
  <c r="AP809" i="10" s="1"/>
  <c r="AN808" i="10" l="1"/>
  <c r="AW808" i="10" s="1"/>
  <c r="X809" i="10"/>
  <c r="BD808" i="10"/>
  <c r="AZ808" i="10"/>
  <c r="Z809" i="10" l="1"/>
  <c r="AR809" i="10" s="1"/>
  <c r="Q810" i="10" l="1"/>
  <c r="AA809" i="10"/>
  <c r="AI809" i="10" l="1"/>
  <c r="AJ809" i="10"/>
  <c r="AG809" i="10"/>
  <c r="AK809" i="10"/>
  <c r="AX809" i="10" s="1"/>
  <c r="AM810" i="10"/>
  <c r="AC810" i="10"/>
  <c r="BA809" i="10" s="1"/>
  <c r="S810" i="10"/>
  <c r="AB810" i="10"/>
  <c r="AV809" i="10" s="1"/>
  <c r="T810" i="10" l="1"/>
  <c r="AQ810" i="10" s="1"/>
  <c r="AD810" i="10"/>
  <c r="U810" i="10"/>
  <c r="W810" i="10" s="1"/>
  <c r="AP810" i="10" s="1"/>
  <c r="AO809" i="10"/>
  <c r="AY809" i="10" s="1"/>
  <c r="AH809" i="10"/>
  <c r="AL809" i="10"/>
  <c r="AN809" i="10" l="1"/>
  <c r="AW809" i="10" s="1"/>
  <c r="BD809" i="10" s="1"/>
  <c r="AZ809" i="10"/>
  <c r="X810" i="10"/>
  <c r="Z810" i="10" l="1"/>
  <c r="AR810" i="10" s="1"/>
  <c r="AA810" i="10" l="1"/>
  <c r="Q811" i="10"/>
  <c r="AM811" i="10" l="1"/>
  <c r="AC811" i="10"/>
  <c r="S811" i="10"/>
  <c r="AB811" i="10"/>
  <c r="AV810" i="10" s="1"/>
  <c r="AJ810" i="10"/>
  <c r="AI810" i="10"/>
  <c r="AG810" i="10"/>
  <c r="AK810" i="10"/>
  <c r="AX810" i="10" s="1"/>
  <c r="AL810" i="10" l="1"/>
  <c r="T811" i="10"/>
  <c r="AQ811" i="10" s="1"/>
  <c r="AD811" i="10"/>
  <c r="U811" i="10"/>
  <c r="W811" i="10" s="1"/>
  <c r="AP811" i="10" s="1"/>
  <c r="BA810" i="10"/>
  <c r="AO810" i="10"/>
  <c r="AY810" i="10" s="1"/>
  <c r="AH810" i="10"/>
  <c r="AN810" i="10" l="1"/>
  <c r="AW810" i="10" s="1"/>
  <c r="BD810" i="10"/>
  <c r="AZ810" i="10"/>
  <c r="X811" i="10"/>
  <c r="Z811" i="10" l="1"/>
  <c r="AR811" i="10" s="1"/>
  <c r="Q812" i="10" l="1"/>
  <c r="AA811" i="10"/>
  <c r="AJ811" i="10" l="1"/>
  <c r="AI811" i="10"/>
  <c r="AG811" i="10"/>
  <c r="AK811" i="10"/>
  <c r="AX811" i="10" s="1"/>
  <c r="AM812" i="10"/>
  <c r="S812" i="10"/>
  <c r="AB812" i="10"/>
  <c r="AV811" i="10" s="1"/>
  <c r="AC812" i="10"/>
  <c r="BA811" i="10" l="1"/>
  <c r="AD812" i="10"/>
  <c r="T812" i="10"/>
  <c r="AQ812" i="10" s="1"/>
  <c r="U812" i="10"/>
  <c r="W812" i="10" s="1"/>
  <c r="AP812" i="10" s="1"/>
  <c r="AO811" i="10"/>
  <c r="AY811" i="10" s="1"/>
  <c r="AH811" i="10"/>
  <c r="AL811" i="10"/>
  <c r="AN811" i="10" l="1"/>
  <c r="AW811" i="10" s="1"/>
  <c r="X812" i="10"/>
  <c r="Z812" i="10" l="1"/>
  <c r="AR812" i="10" s="1"/>
  <c r="BD811" i="10"/>
  <c r="AZ811" i="10"/>
  <c r="Q813" i="10" l="1"/>
  <c r="AA812" i="10"/>
  <c r="AI812" i="10" l="1"/>
  <c r="AJ812" i="10"/>
  <c r="AG812" i="10"/>
  <c r="AK812" i="10"/>
  <c r="AX812" i="10" s="1"/>
  <c r="AM813" i="10"/>
  <c r="AC813" i="10"/>
  <c r="BA812" i="10" s="1"/>
  <c r="S813" i="10"/>
  <c r="AB813" i="10"/>
  <c r="AV812" i="10" s="1"/>
  <c r="AD813" i="10" l="1"/>
  <c r="T813" i="10"/>
  <c r="AQ813" i="10" s="1"/>
  <c r="U813" i="10"/>
  <c r="W813" i="10" s="1"/>
  <c r="AP813" i="10" s="1"/>
  <c r="AH812" i="10"/>
  <c r="AO812" i="10"/>
  <c r="AY812" i="10" s="1"/>
  <c r="AL812" i="10"/>
  <c r="AN812" i="10" l="1"/>
  <c r="AW812" i="10" s="1"/>
  <c r="BD812" i="10"/>
  <c r="AZ812" i="10"/>
  <c r="X813" i="10"/>
  <c r="Z813" i="10" l="1"/>
  <c r="AR813" i="10" s="1"/>
  <c r="AA813" i="10" l="1"/>
  <c r="Q814" i="10"/>
  <c r="AM814" i="10" l="1"/>
  <c r="AC814" i="10"/>
  <c r="S814" i="10"/>
  <c r="AB814" i="10"/>
  <c r="AV813" i="10" s="1"/>
  <c r="AI813" i="10"/>
  <c r="AJ813" i="10"/>
  <c r="AG813" i="10"/>
  <c r="AK813" i="10"/>
  <c r="AX813" i="10" s="1"/>
  <c r="AL813" i="10" l="1"/>
  <c r="AD814" i="10"/>
  <c r="T814" i="10"/>
  <c r="AQ814" i="10" s="1"/>
  <c r="U814" i="10"/>
  <c r="W814" i="10" s="1"/>
  <c r="AP814" i="10" s="1"/>
  <c r="BA813" i="10"/>
  <c r="AO813" i="10"/>
  <c r="AY813" i="10" s="1"/>
  <c r="AH813" i="10"/>
  <c r="AN813" i="10" l="1"/>
  <c r="AW813" i="10" s="1"/>
  <c r="BD813" i="10" s="1"/>
  <c r="AZ813" i="10"/>
  <c r="X814" i="10"/>
  <c r="Z814" i="10" l="1"/>
  <c r="AR814" i="10" s="1"/>
  <c r="AA814" i="10" l="1"/>
  <c r="Q815" i="10"/>
  <c r="AM815" i="10" l="1"/>
  <c r="AC815" i="10"/>
  <c r="S815" i="10"/>
  <c r="AB815" i="10"/>
  <c r="AV814" i="10" s="1"/>
  <c r="AJ814" i="10"/>
  <c r="AI814" i="10"/>
  <c r="AG814" i="10"/>
  <c r="AK814" i="10"/>
  <c r="AX814" i="10" s="1"/>
  <c r="AO814" i="10" l="1"/>
  <c r="AY814" i="10" s="1"/>
  <c r="AH814" i="10"/>
  <c r="AL814" i="10"/>
  <c r="T815" i="10"/>
  <c r="AQ815" i="10" s="1"/>
  <c r="AD815" i="10"/>
  <c r="U815" i="10"/>
  <c r="W815" i="10" s="1"/>
  <c r="AP815" i="10" s="1"/>
  <c r="BA814" i="10"/>
  <c r="X815" i="10" l="1"/>
  <c r="AN814" i="10"/>
  <c r="AW814" i="10" s="1"/>
  <c r="BD814" i="10" l="1"/>
  <c r="AZ814" i="10"/>
  <c r="Z815" i="10"/>
  <c r="AR815" i="10" s="1"/>
  <c r="Q816" i="10" l="1"/>
  <c r="AA815" i="10"/>
  <c r="AJ815" i="10" l="1"/>
  <c r="AI815" i="10"/>
  <c r="AG815" i="10"/>
  <c r="AK815" i="10"/>
  <c r="AX815" i="10" s="1"/>
  <c r="AM816" i="10"/>
  <c r="AB816" i="10"/>
  <c r="AV815" i="10" s="1"/>
  <c r="AC816" i="10"/>
  <c r="S816" i="10"/>
  <c r="BA815" i="10" l="1"/>
  <c r="T816" i="10"/>
  <c r="AQ816" i="10" s="1"/>
  <c r="AD816" i="10"/>
  <c r="U816" i="10"/>
  <c r="W816" i="10" s="1"/>
  <c r="AP816" i="10" s="1"/>
  <c r="AO815" i="10"/>
  <c r="AY815" i="10" s="1"/>
  <c r="AH815" i="10"/>
  <c r="AL815" i="10"/>
  <c r="AN815" i="10" l="1"/>
  <c r="AW815" i="10" s="1"/>
  <c r="X816" i="10"/>
  <c r="Z816" i="10" l="1"/>
  <c r="AR816" i="10" s="1"/>
  <c r="BD815" i="10"/>
  <c r="AZ815" i="10"/>
  <c r="Q817" i="10" l="1"/>
  <c r="AA816" i="10"/>
  <c r="AI816" i="10" l="1"/>
  <c r="AJ816" i="10"/>
  <c r="AG816" i="10"/>
  <c r="AK816" i="10"/>
  <c r="AX816" i="10" s="1"/>
  <c r="AM817" i="10"/>
  <c r="AC817" i="10"/>
  <c r="BA816" i="10" s="1"/>
  <c r="S817" i="10"/>
  <c r="AB817" i="10"/>
  <c r="AV816" i="10" s="1"/>
  <c r="AD817" i="10" l="1"/>
  <c r="T817" i="10"/>
  <c r="AQ817" i="10" s="1"/>
  <c r="U817" i="10"/>
  <c r="W817" i="10" s="1"/>
  <c r="AP817" i="10" s="1"/>
  <c r="AH816" i="10"/>
  <c r="AO816" i="10"/>
  <c r="AY816" i="10" s="1"/>
  <c r="AL816" i="10"/>
  <c r="AN816" i="10" l="1"/>
  <c r="AW816" i="10" s="1"/>
  <c r="BD816" i="10"/>
  <c r="AZ816" i="10"/>
  <c r="X817" i="10"/>
  <c r="Z817" i="10" l="1"/>
  <c r="AR817" i="10" s="1"/>
  <c r="AA817" i="10" l="1"/>
  <c r="Q818" i="10"/>
  <c r="AI817" i="10" l="1"/>
  <c r="AJ817" i="10"/>
  <c r="AG817" i="10"/>
  <c r="AK817" i="10"/>
  <c r="AX817" i="10" s="1"/>
  <c r="AM818" i="10"/>
  <c r="AC818" i="10"/>
  <c r="BA817" i="10" s="1"/>
  <c r="S818" i="10"/>
  <c r="AB818" i="10"/>
  <c r="AV817" i="10" s="1"/>
  <c r="T818" i="10" l="1"/>
  <c r="AQ818" i="10" s="1"/>
  <c r="AD818" i="10"/>
  <c r="U818" i="10"/>
  <c r="W818" i="10" s="1"/>
  <c r="AP818" i="10" s="1"/>
  <c r="AO817" i="10"/>
  <c r="AY817" i="10" s="1"/>
  <c r="AH817" i="10"/>
  <c r="AL817" i="10"/>
  <c r="AN817" i="10" l="1"/>
  <c r="AW817" i="10" s="1"/>
  <c r="X818" i="10"/>
  <c r="Z818" i="10" l="1"/>
  <c r="AR818" i="10" s="1"/>
  <c r="BD817" i="10"/>
  <c r="AZ817" i="10"/>
  <c r="AA818" i="10" l="1"/>
  <c r="Q819" i="10"/>
  <c r="AM819" i="10" l="1"/>
  <c r="AC819" i="10"/>
  <c r="S819" i="10"/>
  <c r="AB819" i="10"/>
  <c r="AV818" i="10" s="1"/>
  <c r="AJ818" i="10"/>
  <c r="AI818" i="10"/>
  <c r="AG818" i="10"/>
  <c r="AK818" i="10"/>
  <c r="AX818" i="10" s="1"/>
  <c r="AO818" i="10" l="1"/>
  <c r="AY818" i="10" s="1"/>
  <c r="AH818" i="10"/>
  <c r="AL818" i="10"/>
  <c r="AD819" i="10"/>
  <c r="T819" i="10"/>
  <c r="AQ819" i="10" s="1"/>
  <c r="U819" i="10"/>
  <c r="W819" i="10" s="1"/>
  <c r="AP819" i="10" s="1"/>
  <c r="BA818" i="10"/>
  <c r="X819" i="10" l="1"/>
  <c r="AN818" i="10"/>
  <c r="AW818" i="10" s="1"/>
  <c r="BD818" i="10" l="1"/>
  <c r="AZ818" i="10"/>
  <c r="Z819" i="10"/>
  <c r="AR819" i="10" s="1"/>
  <c r="Q820" i="10" l="1"/>
  <c r="AA819" i="10"/>
  <c r="AJ819" i="10" l="1"/>
  <c r="AI819" i="10"/>
  <c r="AG819" i="10"/>
  <c r="AK819" i="10"/>
  <c r="AX819" i="10" s="1"/>
  <c r="AM820" i="10"/>
  <c r="AC820" i="10"/>
  <c r="BA819" i="10" s="1"/>
  <c r="AB820" i="10"/>
  <c r="AV819" i="10" s="1"/>
  <c r="S820" i="10"/>
  <c r="AD820" i="10" l="1"/>
  <c r="T820" i="10"/>
  <c r="AQ820" i="10" s="1"/>
  <c r="U820" i="10"/>
  <c r="W820" i="10" s="1"/>
  <c r="AP820" i="10" s="1"/>
  <c r="AO819" i="10"/>
  <c r="AY819" i="10" s="1"/>
  <c r="AH819" i="10"/>
  <c r="AL819" i="10"/>
  <c r="AN819" i="10" l="1"/>
  <c r="AW819" i="10" s="1"/>
  <c r="X820" i="10"/>
  <c r="Z820" i="10" l="1"/>
  <c r="AR820" i="10" s="1"/>
  <c r="BD819" i="10"/>
  <c r="AZ819" i="10"/>
  <c r="AA820" i="10" l="1"/>
  <c r="Q821" i="10"/>
  <c r="AM821" i="10" l="1"/>
  <c r="AC821" i="10"/>
  <c r="AB821" i="10"/>
  <c r="AV820" i="10" s="1"/>
  <c r="S821" i="10"/>
  <c r="AI820" i="10"/>
  <c r="AJ820" i="10"/>
  <c r="AG820" i="10"/>
  <c r="AK820" i="10"/>
  <c r="AX820" i="10" s="1"/>
  <c r="AL820" i="10" l="1"/>
  <c r="AD821" i="10"/>
  <c r="T821" i="10"/>
  <c r="AQ821" i="10" s="1"/>
  <c r="U821" i="10"/>
  <c r="W821" i="10" s="1"/>
  <c r="AP821" i="10" s="1"/>
  <c r="BA820" i="10"/>
  <c r="AH820" i="10"/>
  <c r="AN820" i="10" s="1"/>
  <c r="AW820" i="10" s="1"/>
  <c r="AO820" i="10"/>
  <c r="AY820" i="10" s="1"/>
  <c r="BD820" i="10" l="1"/>
  <c r="AZ820" i="10"/>
  <c r="X821" i="10"/>
  <c r="Z821" i="10" l="1"/>
  <c r="AR821" i="10" s="1"/>
  <c r="AA821" i="10" l="1"/>
  <c r="Q822" i="10"/>
  <c r="AM822" i="10" l="1"/>
  <c r="S822" i="10"/>
  <c r="AC822" i="10"/>
  <c r="AB822" i="10"/>
  <c r="AV821" i="10" s="1"/>
  <c r="AJ821" i="10"/>
  <c r="AI821" i="10"/>
  <c r="AG821" i="10"/>
  <c r="AK821" i="10"/>
  <c r="AX821" i="10" s="1"/>
  <c r="AO821" i="10" l="1"/>
  <c r="AY821" i="10" s="1"/>
  <c r="AH821" i="10"/>
  <c r="AL821" i="10"/>
  <c r="BA821" i="10"/>
  <c r="AD822" i="10"/>
  <c r="T822" i="10"/>
  <c r="AQ822" i="10" s="1"/>
  <c r="U822" i="10"/>
  <c r="W822" i="10" s="1"/>
  <c r="AP822" i="10" s="1"/>
  <c r="X822" i="10" l="1"/>
  <c r="AN821" i="10"/>
  <c r="AW821" i="10" s="1"/>
  <c r="BD821" i="10" l="1"/>
  <c r="AZ821" i="10"/>
  <c r="Z822" i="10"/>
  <c r="AR822" i="10" s="1"/>
  <c r="AA822" i="10" l="1"/>
  <c r="Q823" i="10"/>
  <c r="AM823" i="10" l="1"/>
  <c r="AC823" i="10"/>
  <c r="AB823" i="10"/>
  <c r="AV822" i="10" s="1"/>
  <c r="S823" i="10"/>
  <c r="AI822" i="10"/>
  <c r="AJ822" i="10"/>
  <c r="AG822" i="10"/>
  <c r="AK822" i="10"/>
  <c r="AX822" i="10" s="1"/>
  <c r="AL822" i="10" l="1"/>
  <c r="AO822" i="10"/>
  <c r="AY822" i="10" s="1"/>
  <c r="AH822" i="10"/>
  <c r="AN822" i="10" s="1"/>
  <c r="AW822" i="10" s="1"/>
  <c r="AD823" i="10"/>
  <c r="T823" i="10"/>
  <c r="AQ823" i="10" s="1"/>
  <c r="U823" i="10"/>
  <c r="W823" i="10" s="1"/>
  <c r="AP823" i="10" s="1"/>
  <c r="BA822" i="10"/>
  <c r="X823" i="10" l="1"/>
  <c r="BD822" i="10"/>
  <c r="AZ822" i="10"/>
  <c r="Z823" i="10" l="1"/>
  <c r="AR823" i="10" s="1"/>
  <c r="AA823" i="10" l="1"/>
  <c r="Q824" i="10"/>
  <c r="AM824" i="10" l="1"/>
  <c r="S824" i="10"/>
  <c r="AC824" i="10"/>
  <c r="AB824" i="10"/>
  <c r="AV823" i="10" s="1"/>
  <c r="AJ823" i="10"/>
  <c r="AI823" i="10"/>
  <c r="AG823" i="10"/>
  <c r="AK823" i="10"/>
  <c r="AX823" i="10" s="1"/>
  <c r="AL823" i="10" l="1"/>
  <c r="BA823" i="10"/>
  <c r="AD824" i="10"/>
  <c r="T824" i="10"/>
  <c r="AQ824" i="10" s="1"/>
  <c r="U824" i="10"/>
  <c r="W824" i="10" s="1"/>
  <c r="AP824" i="10" s="1"/>
  <c r="AO823" i="10"/>
  <c r="AY823" i="10" s="1"/>
  <c r="AH823" i="10"/>
  <c r="AN823" i="10" l="1"/>
  <c r="AW823" i="10" s="1"/>
  <c r="BD823" i="10" s="1"/>
  <c r="AZ823" i="10"/>
  <c r="X824" i="10"/>
  <c r="Z824" i="10" l="1"/>
  <c r="AR824" i="10" s="1"/>
  <c r="AA824" i="10" l="1"/>
  <c r="Q825" i="10"/>
  <c r="AM825" i="10" l="1"/>
  <c r="AC825" i="10"/>
  <c r="AB825" i="10"/>
  <c r="AV824" i="10" s="1"/>
  <c r="S825" i="10"/>
  <c r="AI824" i="10"/>
  <c r="AJ824" i="10"/>
  <c r="AG824" i="10"/>
  <c r="AK824" i="10"/>
  <c r="AX824" i="10" s="1"/>
  <c r="AO824" i="10" l="1"/>
  <c r="AY824" i="10" s="1"/>
  <c r="AH824" i="10"/>
  <c r="AL824" i="10"/>
  <c r="AD825" i="10"/>
  <c r="T825" i="10"/>
  <c r="AQ825" i="10" s="1"/>
  <c r="U825" i="10"/>
  <c r="W825" i="10" s="1"/>
  <c r="AP825" i="10" s="1"/>
  <c r="BA824" i="10"/>
  <c r="X825" i="10" l="1"/>
  <c r="AN824" i="10"/>
  <c r="AW824" i="10" s="1"/>
  <c r="Z825" i="10" l="1"/>
  <c r="AR825" i="10" s="1"/>
  <c r="BD824" i="10"/>
  <c r="AZ824" i="10"/>
  <c r="AA825" i="10" l="1"/>
  <c r="Q826" i="10"/>
  <c r="AM826" i="10" l="1"/>
  <c r="S826" i="10"/>
  <c r="AC826" i="10"/>
  <c r="AB826" i="10"/>
  <c r="AV825" i="10" s="1"/>
  <c r="AJ825" i="10"/>
  <c r="AI825" i="10"/>
  <c r="AG825" i="10"/>
  <c r="AK825" i="10"/>
  <c r="AX825" i="10" s="1"/>
  <c r="AL825" i="10" l="1"/>
  <c r="AO825" i="10"/>
  <c r="AY825" i="10" s="1"/>
  <c r="AH825" i="10"/>
  <c r="BA825" i="10"/>
  <c r="AD826" i="10"/>
  <c r="T826" i="10"/>
  <c r="AQ826" i="10" s="1"/>
  <c r="U826" i="10"/>
  <c r="W826" i="10" s="1"/>
  <c r="AP826" i="10" s="1"/>
  <c r="AN825" i="10" l="1"/>
  <c r="AW825" i="10" s="1"/>
  <c r="X826" i="10"/>
  <c r="BD825" i="10"/>
  <c r="AZ825" i="10"/>
  <c r="Z826" i="10" l="1"/>
  <c r="AR826" i="10" s="1"/>
  <c r="AA826" i="10" l="1"/>
  <c r="Q827" i="10"/>
  <c r="AM827" i="10" l="1"/>
  <c r="AC827" i="10"/>
  <c r="S827" i="10"/>
  <c r="AB827" i="10"/>
  <c r="AV826" i="10" s="1"/>
  <c r="AI826" i="10"/>
  <c r="AJ826" i="10"/>
  <c r="AG826" i="10"/>
  <c r="AK826" i="10"/>
  <c r="AX826" i="10" s="1"/>
  <c r="AL826" i="10" l="1"/>
  <c r="AO826" i="10"/>
  <c r="AY826" i="10" s="1"/>
  <c r="AH826" i="10"/>
  <c r="AN826" i="10" s="1"/>
  <c r="AW826" i="10" s="1"/>
  <c r="AD827" i="10"/>
  <c r="T827" i="10"/>
  <c r="AQ827" i="10" s="1"/>
  <c r="U827" i="10"/>
  <c r="W827" i="10" s="1"/>
  <c r="AP827" i="10" s="1"/>
  <c r="BA826" i="10"/>
  <c r="X827" i="10" l="1"/>
  <c r="BD826" i="10"/>
  <c r="AZ826" i="10"/>
  <c r="Z827" i="10" l="1"/>
  <c r="AR827" i="10" s="1"/>
  <c r="AA827" i="10" l="1"/>
  <c r="Q828" i="10"/>
  <c r="AM828" i="10" l="1"/>
  <c r="S828" i="10"/>
  <c r="AC828" i="10"/>
  <c r="AB828" i="10"/>
  <c r="AV827" i="10" s="1"/>
  <c r="AJ827" i="10"/>
  <c r="AI827" i="10"/>
  <c r="AG827" i="10"/>
  <c r="AK827" i="10"/>
  <c r="AX827" i="10" s="1"/>
  <c r="AO827" i="10" l="1"/>
  <c r="AY827" i="10" s="1"/>
  <c r="AH827" i="10"/>
  <c r="AL827" i="10"/>
  <c r="BA827" i="10"/>
  <c r="AD828" i="10"/>
  <c r="T828" i="10"/>
  <c r="AQ828" i="10" s="1"/>
  <c r="U828" i="10"/>
  <c r="W828" i="10" s="1"/>
  <c r="AP828" i="10" s="1"/>
  <c r="X828" i="10" l="1"/>
  <c r="AN827" i="10"/>
  <c r="AW827" i="10" s="1"/>
  <c r="BD827" i="10" l="1"/>
  <c r="AZ827" i="10"/>
  <c r="Z828" i="10"/>
  <c r="AR828" i="10" s="1"/>
  <c r="AA828" i="10" l="1"/>
  <c r="Q829" i="10"/>
  <c r="AM829" i="10" l="1"/>
  <c r="AC829" i="10"/>
  <c r="AB829" i="10"/>
  <c r="AV828" i="10" s="1"/>
  <c r="S829" i="10"/>
  <c r="AI828" i="10"/>
  <c r="AJ828" i="10"/>
  <c r="AG828" i="10"/>
  <c r="AK828" i="10"/>
  <c r="AX828" i="10" s="1"/>
  <c r="AL828" i="10" l="1"/>
  <c r="AO828" i="10"/>
  <c r="AY828" i="10" s="1"/>
  <c r="AH828" i="10"/>
  <c r="AN828" i="10" s="1"/>
  <c r="AW828" i="10" s="1"/>
  <c r="AD829" i="10"/>
  <c r="T829" i="10"/>
  <c r="AQ829" i="10" s="1"/>
  <c r="U829" i="10"/>
  <c r="W829" i="10" s="1"/>
  <c r="AP829" i="10" s="1"/>
  <c r="BA828" i="10"/>
  <c r="X829" i="10" l="1"/>
  <c r="BD828" i="10"/>
  <c r="AZ828" i="10"/>
  <c r="Z829" i="10" l="1"/>
  <c r="AR829" i="10" s="1"/>
  <c r="AA829" i="10" l="1"/>
  <c r="Q830" i="10"/>
  <c r="AM830" i="10" l="1"/>
  <c r="S830" i="10"/>
  <c r="AC830" i="10"/>
  <c r="AB830" i="10"/>
  <c r="AV829" i="10" s="1"/>
  <c r="AJ829" i="10"/>
  <c r="AI829" i="10"/>
  <c r="AG829" i="10"/>
  <c r="AK829" i="10"/>
  <c r="AX829" i="10" s="1"/>
  <c r="AL829" i="10" l="1"/>
  <c r="BA829" i="10"/>
  <c r="AD830" i="10"/>
  <c r="T830" i="10"/>
  <c r="AQ830" i="10" s="1"/>
  <c r="U830" i="10"/>
  <c r="W830" i="10" s="1"/>
  <c r="AP830" i="10" s="1"/>
  <c r="AO829" i="10"/>
  <c r="AY829" i="10" s="1"/>
  <c r="AH829" i="10"/>
  <c r="AN829" i="10" l="1"/>
  <c r="AW829" i="10" s="1"/>
  <c r="BD829" i="10" s="1"/>
  <c r="X830" i="10"/>
  <c r="AZ829" i="10" l="1"/>
  <c r="Z830" i="10"/>
  <c r="AR830" i="10" s="1"/>
  <c r="AA830" i="10" l="1"/>
  <c r="Q831" i="10"/>
  <c r="AM831" i="10" l="1"/>
  <c r="AC831" i="10"/>
  <c r="AB831" i="10"/>
  <c r="AV830" i="10" s="1"/>
  <c r="S831" i="10"/>
  <c r="AI830" i="10"/>
  <c r="AJ830" i="10"/>
  <c r="AG830" i="10"/>
  <c r="AK830" i="10"/>
  <c r="AX830" i="10" s="1"/>
  <c r="AO830" i="10" l="1"/>
  <c r="AY830" i="10" s="1"/>
  <c r="AH830" i="10"/>
  <c r="AL830" i="10"/>
  <c r="AD831" i="10"/>
  <c r="T831" i="10"/>
  <c r="AQ831" i="10" s="1"/>
  <c r="U831" i="10"/>
  <c r="W831" i="10" s="1"/>
  <c r="AP831" i="10" s="1"/>
  <c r="BA830" i="10"/>
  <c r="X831" i="10" l="1"/>
  <c r="AN830" i="10"/>
  <c r="AW830" i="10" s="1"/>
  <c r="BD830" i="10" l="1"/>
  <c r="AZ830" i="10"/>
  <c r="Z831" i="10"/>
  <c r="AR831" i="10" s="1"/>
  <c r="AA831" i="10" l="1"/>
  <c r="Q832" i="10"/>
  <c r="AM832" i="10" l="1"/>
  <c r="S832" i="10"/>
  <c r="AC832" i="10"/>
  <c r="AB832" i="10"/>
  <c r="AV831" i="10" s="1"/>
  <c r="AJ831" i="10"/>
  <c r="AI831" i="10"/>
  <c r="AG831" i="10"/>
  <c r="AK831" i="10"/>
  <c r="AX831" i="10" s="1"/>
  <c r="AO831" i="10" l="1"/>
  <c r="AY831" i="10" s="1"/>
  <c r="AH831" i="10"/>
  <c r="AL831" i="10"/>
  <c r="BA831" i="10"/>
  <c r="AD832" i="10"/>
  <c r="T832" i="10"/>
  <c r="AQ832" i="10" s="1"/>
  <c r="U832" i="10"/>
  <c r="W832" i="10" s="1"/>
  <c r="AP832" i="10" s="1"/>
  <c r="X832" i="10" l="1"/>
  <c r="AN831" i="10"/>
  <c r="AW831" i="10" s="1"/>
  <c r="BD831" i="10" l="1"/>
  <c r="AZ831" i="10"/>
  <c r="Z832" i="10"/>
  <c r="AR832" i="10" s="1"/>
  <c r="AA832" i="10" l="1"/>
  <c r="Q833" i="10"/>
  <c r="AM833" i="10" l="1"/>
  <c r="AC833" i="10"/>
  <c r="AB833" i="10"/>
  <c r="AV832" i="10" s="1"/>
  <c r="S833" i="10"/>
  <c r="AI832" i="10"/>
  <c r="AJ832" i="10"/>
  <c r="AG832" i="10"/>
  <c r="AK832" i="10"/>
  <c r="AX832" i="10" s="1"/>
  <c r="AL832" i="10" l="1"/>
  <c r="AO832" i="10"/>
  <c r="AY832" i="10" s="1"/>
  <c r="AH832" i="10"/>
  <c r="AD833" i="10"/>
  <c r="T833" i="10"/>
  <c r="AQ833" i="10" s="1"/>
  <c r="U833" i="10"/>
  <c r="W833" i="10" s="1"/>
  <c r="AP833" i="10" s="1"/>
  <c r="BA832" i="10"/>
  <c r="AN832" i="10" l="1"/>
  <c r="AW832" i="10" s="1"/>
  <c r="X833" i="10"/>
  <c r="BD832" i="10"/>
  <c r="AZ832" i="10"/>
  <c r="Z833" i="10" l="1"/>
  <c r="AR833" i="10" s="1"/>
  <c r="AA833" i="10" l="1"/>
  <c r="Q834" i="10"/>
  <c r="AM834" i="10" l="1"/>
  <c r="S834" i="10"/>
  <c r="AC834" i="10"/>
  <c r="AB834" i="10"/>
  <c r="AV833" i="10" s="1"/>
  <c r="AJ833" i="10"/>
  <c r="AI833" i="10"/>
  <c r="AG833" i="10"/>
  <c r="AK833" i="10"/>
  <c r="AX833" i="10" s="1"/>
  <c r="AO833" i="10" l="1"/>
  <c r="AY833" i="10" s="1"/>
  <c r="AH833" i="10"/>
  <c r="AL833" i="10"/>
  <c r="AD834" i="10"/>
  <c r="T834" i="10"/>
  <c r="AQ834" i="10" s="1"/>
  <c r="U834" i="10"/>
  <c r="W834" i="10" s="1"/>
  <c r="AP834" i="10" s="1"/>
  <c r="BA833" i="10"/>
  <c r="X834" i="10" l="1"/>
  <c r="AN833" i="10"/>
  <c r="AW833" i="10" s="1"/>
  <c r="BD833" i="10" l="1"/>
  <c r="AZ833" i="10"/>
  <c r="Z834" i="10"/>
  <c r="AR834" i="10" s="1"/>
  <c r="AA834" i="10" l="1"/>
  <c r="Q835" i="10"/>
  <c r="AM835" i="10" l="1"/>
  <c r="AC835" i="10"/>
  <c r="S835" i="10"/>
  <c r="AB835" i="10"/>
  <c r="AV834" i="10" s="1"/>
  <c r="AI834" i="10"/>
  <c r="AJ834" i="10"/>
  <c r="AG834" i="10"/>
  <c r="AK834" i="10"/>
  <c r="AX834" i="10" s="1"/>
  <c r="AO834" i="10" l="1"/>
  <c r="AY834" i="10" s="1"/>
  <c r="AH834" i="10"/>
  <c r="AL834" i="10"/>
  <c r="AD835" i="10"/>
  <c r="T835" i="10"/>
  <c r="AQ835" i="10" s="1"/>
  <c r="U835" i="10"/>
  <c r="W835" i="10" s="1"/>
  <c r="AP835" i="10" s="1"/>
  <c r="BA834" i="10"/>
  <c r="X835" i="10" l="1"/>
  <c r="AN834" i="10"/>
  <c r="AW834" i="10" s="1"/>
  <c r="BD834" i="10" l="1"/>
  <c r="AZ834" i="10"/>
  <c r="Z835" i="10"/>
  <c r="AR835" i="10" s="1"/>
  <c r="AA835" i="10" l="1"/>
  <c r="Q836" i="10"/>
  <c r="AM836" i="10" l="1"/>
  <c r="S836" i="10"/>
  <c r="AC836" i="10"/>
  <c r="AB836" i="10"/>
  <c r="AV835" i="10" s="1"/>
  <c r="AJ835" i="10"/>
  <c r="AI835" i="10"/>
  <c r="AG835" i="10"/>
  <c r="AK835" i="10"/>
  <c r="AX835" i="10" s="1"/>
  <c r="AL835" i="10" l="1"/>
  <c r="AO835" i="10"/>
  <c r="AY835" i="10" s="1"/>
  <c r="AH835" i="10"/>
  <c r="AN835" i="10" s="1"/>
  <c r="AW835" i="10" s="1"/>
  <c r="BA835" i="10"/>
  <c r="AD836" i="10"/>
  <c r="T836" i="10"/>
  <c r="AQ836" i="10" s="1"/>
  <c r="U836" i="10"/>
  <c r="W836" i="10" s="1"/>
  <c r="AP836" i="10" s="1"/>
  <c r="X836" i="10" l="1"/>
  <c r="BD835" i="10"/>
  <c r="AZ835" i="10"/>
  <c r="Z836" i="10" l="1"/>
  <c r="AR836" i="10" s="1"/>
  <c r="AA836" i="10" l="1"/>
  <c r="Q837" i="10"/>
  <c r="AI836" i="10" l="1"/>
  <c r="AJ836" i="10"/>
  <c r="AG836" i="10"/>
  <c r="AK836" i="10"/>
  <c r="AX836" i="10" s="1"/>
  <c r="AM837" i="10"/>
  <c r="AC837" i="10"/>
  <c r="BA836" i="10" s="1"/>
  <c r="AB837" i="10"/>
  <c r="AV836" i="10" s="1"/>
  <c r="S837" i="10"/>
  <c r="AO836" i="10" l="1"/>
  <c r="AY836" i="10" s="1"/>
  <c r="AH836" i="10"/>
  <c r="AL836" i="10"/>
  <c r="AD837" i="10"/>
  <c r="T837" i="10"/>
  <c r="AQ837" i="10" s="1"/>
  <c r="U837" i="10"/>
  <c r="W837" i="10" s="1"/>
  <c r="AP837" i="10" s="1"/>
  <c r="X837" i="10" l="1"/>
  <c r="AN836" i="10"/>
  <c r="AW836" i="10" s="1"/>
  <c r="BD836" i="10" l="1"/>
  <c r="AZ836" i="10"/>
  <c r="Z837" i="10"/>
  <c r="AR837" i="10" s="1"/>
  <c r="AA837" i="10" l="1"/>
  <c r="Q838" i="10"/>
  <c r="AM838" i="10" l="1"/>
  <c r="S838" i="10"/>
  <c r="AC838" i="10"/>
  <c r="AB838" i="10"/>
  <c r="AV837" i="10" s="1"/>
  <c r="AJ837" i="10"/>
  <c r="AI837" i="10"/>
  <c r="AG837" i="10"/>
  <c r="AK837" i="10"/>
  <c r="AX837" i="10" s="1"/>
  <c r="AO837" i="10" l="1"/>
  <c r="AY837" i="10" s="1"/>
  <c r="AH837" i="10"/>
  <c r="AL837" i="10"/>
  <c r="BA837" i="10"/>
  <c r="AD838" i="10"/>
  <c r="T838" i="10"/>
  <c r="AQ838" i="10" s="1"/>
  <c r="U838" i="10"/>
  <c r="W838" i="10" s="1"/>
  <c r="AP838" i="10" s="1"/>
  <c r="X838" i="10" l="1"/>
  <c r="AN837" i="10"/>
  <c r="AW837" i="10" s="1"/>
  <c r="BD837" i="10" l="1"/>
  <c r="AZ837" i="10"/>
  <c r="Z838" i="10"/>
  <c r="AR838" i="10" s="1"/>
  <c r="AA838" i="10" l="1"/>
  <c r="Q839" i="10"/>
  <c r="AM839" i="10" l="1"/>
  <c r="AC839" i="10"/>
  <c r="AB839" i="10"/>
  <c r="AV838" i="10" s="1"/>
  <c r="S839" i="10"/>
  <c r="AI838" i="10"/>
  <c r="AJ838" i="10"/>
  <c r="AG838" i="10"/>
  <c r="AK838" i="10"/>
  <c r="AX838" i="10" s="1"/>
  <c r="AL838" i="10" l="1"/>
  <c r="AO838" i="10"/>
  <c r="AY838" i="10" s="1"/>
  <c r="AH838" i="10"/>
  <c r="AN838" i="10" s="1"/>
  <c r="AW838" i="10" s="1"/>
  <c r="AD839" i="10"/>
  <c r="T839" i="10"/>
  <c r="AQ839" i="10" s="1"/>
  <c r="U839" i="10"/>
  <c r="W839" i="10" s="1"/>
  <c r="AP839" i="10" s="1"/>
  <c r="BA838" i="10"/>
  <c r="X839" i="10" l="1"/>
  <c r="BD838" i="10"/>
  <c r="AZ838" i="10"/>
  <c r="Z839" i="10" l="1"/>
  <c r="AR839" i="10" s="1"/>
  <c r="AA839" i="10" l="1"/>
  <c r="Q840" i="10"/>
  <c r="AM840" i="10" l="1"/>
  <c r="S840" i="10"/>
  <c r="AC840" i="10"/>
  <c r="AB840" i="10"/>
  <c r="AV839" i="10" s="1"/>
  <c r="AJ839" i="10"/>
  <c r="AI839" i="10"/>
  <c r="AG839" i="10"/>
  <c r="AK839" i="10"/>
  <c r="AX839" i="10" s="1"/>
  <c r="AL839" i="10" l="1"/>
  <c r="BA839" i="10"/>
  <c r="AD840" i="10"/>
  <c r="T840" i="10"/>
  <c r="AQ840" i="10" s="1"/>
  <c r="U840" i="10"/>
  <c r="W840" i="10" s="1"/>
  <c r="AP840" i="10" s="1"/>
  <c r="AO839" i="10"/>
  <c r="AY839" i="10" s="1"/>
  <c r="AH839" i="10"/>
  <c r="AN839" i="10" l="1"/>
  <c r="AW839" i="10" s="1"/>
  <c r="BD839" i="10" s="1"/>
  <c r="AZ839" i="10"/>
  <c r="X840" i="10"/>
  <c r="Z840" i="10" l="1"/>
  <c r="AR840" i="10" s="1"/>
  <c r="AA840" i="10" l="1"/>
  <c r="Q841" i="10"/>
  <c r="AM841" i="10" l="1"/>
  <c r="AC841" i="10"/>
  <c r="AB841" i="10"/>
  <c r="AV840" i="10" s="1"/>
  <c r="S841" i="10"/>
  <c r="AI840" i="10"/>
  <c r="AJ840" i="10"/>
  <c r="AG840" i="10"/>
  <c r="AK840" i="10"/>
  <c r="AX840" i="10" s="1"/>
  <c r="AO840" i="10" l="1"/>
  <c r="AY840" i="10" s="1"/>
  <c r="AH840" i="10"/>
  <c r="AL840" i="10"/>
  <c r="AD841" i="10"/>
  <c r="T841" i="10"/>
  <c r="AQ841" i="10" s="1"/>
  <c r="U841" i="10"/>
  <c r="W841" i="10" s="1"/>
  <c r="AP841" i="10" s="1"/>
  <c r="BA840" i="10"/>
  <c r="X841" i="10" l="1"/>
  <c r="AN840" i="10"/>
  <c r="AW840" i="10" s="1"/>
  <c r="BD840" i="10" l="1"/>
  <c r="AZ840" i="10"/>
  <c r="Z841" i="10"/>
  <c r="AR841" i="10" s="1"/>
  <c r="AA841" i="10" l="1"/>
  <c r="Q842" i="10"/>
  <c r="AM842" i="10" l="1"/>
  <c r="S842" i="10"/>
  <c r="AC842" i="10"/>
  <c r="AB842" i="10"/>
  <c r="AV841" i="10" s="1"/>
  <c r="AJ841" i="10"/>
  <c r="AI841" i="10"/>
  <c r="AG841" i="10"/>
  <c r="AK841" i="10"/>
  <c r="AX841" i="10" s="1"/>
  <c r="AL841" i="10" l="1"/>
  <c r="AO841" i="10"/>
  <c r="AY841" i="10" s="1"/>
  <c r="AH841" i="10"/>
  <c r="AN841" i="10" s="1"/>
  <c r="AW841" i="10" s="1"/>
  <c r="BA841" i="10"/>
  <c r="AD842" i="10"/>
  <c r="T842" i="10"/>
  <c r="AQ842" i="10" s="1"/>
  <c r="U842" i="10"/>
  <c r="W842" i="10" s="1"/>
  <c r="AP842" i="10" s="1"/>
  <c r="X842" i="10" l="1"/>
  <c r="BD841" i="10"/>
  <c r="AZ841" i="10"/>
  <c r="Z842" i="10" l="1"/>
  <c r="AR842" i="10" s="1"/>
  <c r="AA842" i="10" l="1"/>
  <c r="Q843" i="10"/>
  <c r="AM843" i="10" l="1"/>
  <c r="AC843" i="10"/>
  <c r="S843" i="10"/>
  <c r="AB843" i="10"/>
  <c r="AV842" i="10" s="1"/>
  <c r="AI842" i="10"/>
  <c r="AJ842" i="10"/>
  <c r="AG842" i="10"/>
  <c r="AK842" i="10"/>
  <c r="AX842" i="10" s="1"/>
  <c r="AL842" i="10" l="1"/>
  <c r="AD843" i="10"/>
  <c r="T843" i="10"/>
  <c r="AQ843" i="10" s="1"/>
  <c r="U843" i="10"/>
  <c r="W843" i="10" s="1"/>
  <c r="AP843" i="10" s="1"/>
  <c r="BA842" i="10"/>
  <c r="AO842" i="10"/>
  <c r="AY842" i="10" s="1"/>
  <c r="AH842" i="10"/>
  <c r="AN842" i="10" l="1"/>
  <c r="AW842" i="10" s="1"/>
  <c r="BD842" i="10" s="1"/>
  <c r="AZ842" i="10"/>
  <c r="X843" i="10"/>
  <c r="Z843" i="10" l="1"/>
  <c r="AR843" i="10" s="1"/>
  <c r="AA843" i="10" l="1"/>
  <c r="Q844" i="10"/>
  <c r="AM844" i="10" l="1"/>
  <c r="S844" i="10"/>
  <c r="AC844" i="10"/>
  <c r="AB844" i="10"/>
  <c r="AV843" i="10" s="1"/>
  <c r="AJ843" i="10"/>
  <c r="AI843" i="10"/>
  <c r="AG843" i="10"/>
  <c r="AK843" i="10"/>
  <c r="AX843" i="10" s="1"/>
  <c r="AL843" i="10" l="1"/>
  <c r="BA843" i="10"/>
  <c r="AD844" i="10"/>
  <c r="T844" i="10"/>
  <c r="AQ844" i="10" s="1"/>
  <c r="U844" i="10"/>
  <c r="W844" i="10" s="1"/>
  <c r="AP844" i="10" s="1"/>
  <c r="AO843" i="10"/>
  <c r="AY843" i="10" s="1"/>
  <c r="AH843" i="10"/>
  <c r="AN843" i="10" l="1"/>
  <c r="AW843" i="10" s="1"/>
  <c r="BD843" i="10"/>
  <c r="AZ843" i="10"/>
  <c r="X844" i="10"/>
  <c r="Z844" i="10" l="1"/>
  <c r="AR844" i="10" s="1"/>
  <c r="AA844" i="10" l="1"/>
  <c r="Q845" i="10"/>
  <c r="AM845" i="10" l="1"/>
  <c r="AC845" i="10"/>
  <c r="AB845" i="10"/>
  <c r="AV844" i="10" s="1"/>
  <c r="S845" i="10"/>
  <c r="AI844" i="10"/>
  <c r="AJ844" i="10"/>
  <c r="AG844" i="10"/>
  <c r="AK844" i="10"/>
  <c r="AX844" i="10" s="1"/>
  <c r="AL844" i="10" l="1"/>
  <c r="AO844" i="10"/>
  <c r="AY844" i="10" s="1"/>
  <c r="AH844" i="10"/>
  <c r="AD845" i="10"/>
  <c r="T845" i="10"/>
  <c r="AQ845" i="10" s="1"/>
  <c r="U845" i="10"/>
  <c r="W845" i="10" s="1"/>
  <c r="AP845" i="10" s="1"/>
  <c r="BA844" i="10"/>
  <c r="AN844" i="10" l="1"/>
  <c r="AW844" i="10" s="1"/>
  <c r="BD844" i="10" s="1"/>
  <c r="X845" i="10"/>
  <c r="AZ844" i="10"/>
  <c r="Z845" i="10" l="1"/>
  <c r="AR845" i="10" s="1"/>
  <c r="AA845" i="10" l="1"/>
  <c r="Q846" i="10"/>
  <c r="AM846" i="10" l="1"/>
  <c r="S846" i="10"/>
  <c r="AC846" i="10"/>
  <c r="AB846" i="10"/>
  <c r="AV845" i="10" s="1"/>
  <c r="AJ845" i="10"/>
  <c r="AI845" i="10"/>
  <c r="AG845" i="10"/>
  <c r="AK845" i="10"/>
  <c r="AX845" i="10" s="1"/>
  <c r="AO845" i="10" l="1"/>
  <c r="AY845" i="10" s="1"/>
  <c r="AH845" i="10"/>
  <c r="AL845" i="10"/>
  <c r="BA845" i="10"/>
  <c r="AD846" i="10"/>
  <c r="T846" i="10"/>
  <c r="AQ846" i="10" s="1"/>
  <c r="U846" i="10"/>
  <c r="W846" i="10" s="1"/>
  <c r="AP846" i="10" s="1"/>
  <c r="X846" i="10" l="1"/>
  <c r="AN845" i="10"/>
  <c r="AW845" i="10" s="1"/>
  <c r="BD845" i="10" l="1"/>
  <c r="AZ845" i="10"/>
  <c r="Z846" i="10"/>
  <c r="AR846" i="10" s="1"/>
  <c r="AA846" i="10" l="1"/>
  <c r="Q847" i="10"/>
  <c r="AM847" i="10" l="1"/>
  <c r="AC847" i="10"/>
  <c r="AB847" i="10"/>
  <c r="AV846" i="10" s="1"/>
  <c r="S847" i="10"/>
  <c r="AI846" i="10"/>
  <c r="AJ846" i="10"/>
  <c r="AG846" i="10"/>
  <c r="AK846" i="10"/>
  <c r="AX846" i="10" s="1"/>
  <c r="AL846" i="10" l="1"/>
  <c r="AO846" i="10"/>
  <c r="AY846" i="10" s="1"/>
  <c r="AH846" i="10"/>
  <c r="AN846" i="10" s="1"/>
  <c r="AW846" i="10" s="1"/>
  <c r="AD847" i="10"/>
  <c r="T847" i="10"/>
  <c r="AQ847" i="10" s="1"/>
  <c r="U847" i="10"/>
  <c r="W847" i="10" s="1"/>
  <c r="AP847" i="10" s="1"/>
  <c r="BA846" i="10"/>
  <c r="X847" i="10" l="1"/>
  <c r="BD846" i="10"/>
  <c r="AZ846" i="10"/>
  <c r="Z847" i="10" l="1"/>
  <c r="AR847" i="10" s="1"/>
  <c r="AA847" i="10" l="1"/>
  <c r="Q848" i="10"/>
  <c r="AM848" i="10" l="1"/>
  <c r="S848" i="10"/>
  <c r="AC848" i="10"/>
  <c r="AB848" i="10"/>
  <c r="AV847" i="10" s="1"/>
  <c r="AJ847" i="10"/>
  <c r="AI847" i="10"/>
  <c r="AG847" i="10"/>
  <c r="AK847" i="10"/>
  <c r="AX847" i="10" s="1"/>
  <c r="AO847" i="10" l="1"/>
  <c r="AY847" i="10" s="1"/>
  <c r="AH847" i="10"/>
  <c r="AL847" i="10"/>
  <c r="BA847" i="10"/>
  <c r="AD848" i="10"/>
  <c r="T848" i="10"/>
  <c r="AQ848" i="10" s="1"/>
  <c r="U848" i="10"/>
  <c r="W848" i="10" s="1"/>
  <c r="AP848" i="10" s="1"/>
  <c r="X848" i="10" l="1"/>
  <c r="AN847" i="10"/>
  <c r="AW847" i="10" s="1"/>
  <c r="BD847" i="10" l="1"/>
  <c r="AZ847" i="10"/>
  <c r="Z848" i="10"/>
  <c r="AR848" i="10" s="1"/>
  <c r="AA848" i="10" l="1"/>
  <c r="Q849" i="10"/>
  <c r="AM849" i="10" l="1"/>
  <c r="AC849" i="10"/>
  <c r="AB849" i="10"/>
  <c r="AV848" i="10" s="1"/>
  <c r="S849" i="10"/>
  <c r="AI848" i="10"/>
  <c r="AJ848" i="10"/>
  <c r="AG848" i="10"/>
  <c r="AK848" i="10"/>
  <c r="AX848" i="10" s="1"/>
  <c r="AO848" i="10" l="1"/>
  <c r="AY848" i="10" s="1"/>
  <c r="AH848" i="10"/>
  <c r="AL848" i="10"/>
  <c r="AD849" i="10"/>
  <c r="T849" i="10"/>
  <c r="AQ849" i="10" s="1"/>
  <c r="U849" i="10"/>
  <c r="W849" i="10" s="1"/>
  <c r="AP849" i="10" s="1"/>
  <c r="BA848" i="10"/>
  <c r="X849" i="10" l="1"/>
  <c r="AN848" i="10"/>
  <c r="AW848" i="10" s="1"/>
  <c r="BD848" i="10" l="1"/>
  <c r="AZ848" i="10"/>
  <c r="Z849" i="10"/>
  <c r="AR849" i="10" s="1"/>
  <c r="AA849" i="10" l="1"/>
  <c r="Q850" i="10"/>
  <c r="AM850" i="10" l="1"/>
  <c r="S850" i="10"/>
  <c r="AC850" i="10"/>
  <c r="AB850" i="10"/>
  <c r="AV849" i="10" s="1"/>
  <c r="AJ849" i="10"/>
  <c r="AI849" i="10"/>
  <c r="AG849" i="10"/>
  <c r="AK849" i="10"/>
  <c r="AX849" i="10" s="1"/>
  <c r="AL849" i="10" l="1"/>
  <c r="BA849" i="10"/>
  <c r="AD850" i="10"/>
  <c r="T850" i="10"/>
  <c r="AQ850" i="10" s="1"/>
  <c r="U850" i="10"/>
  <c r="W850" i="10" s="1"/>
  <c r="AP850" i="10" s="1"/>
  <c r="AO849" i="10"/>
  <c r="AY849" i="10" s="1"/>
  <c r="AH849" i="10"/>
  <c r="AN849" i="10" l="1"/>
  <c r="AW849" i="10" s="1"/>
  <c r="BD849" i="10" s="1"/>
  <c r="X850" i="10"/>
  <c r="AZ849" i="10" l="1"/>
  <c r="Z850" i="10"/>
  <c r="AR850" i="10" s="1"/>
  <c r="AA850" i="10" l="1"/>
  <c r="Q851" i="10"/>
  <c r="AM851" i="10" l="1"/>
  <c r="AC851" i="10"/>
  <c r="S851" i="10"/>
  <c r="AB851" i="10"/>
  <c r="AV850" i="10" s="1"/>
  <c r="AI850" i="10"/>
  <c r="AJ850" i="10"/>
  <c r="AG850" i="10"/>
  <c r="AK850" i="10"/>
  <c r="AX850" i="10" s="1"/>
  <c r="AO850" i="10" l="1"/>
  <c r="AY850" i="10" s="1"/>
  <c r="AH850" i="10"/>
  <c r="AL850" i="10"/>
  <c r="AD851" i="10"/>
  <c r="T851" i="10"/>
  <c r="AQ851" i="10" s="1"/>
  <c r="U851" i="10"/>
  <c r="W851" i="10" s="1"/>
  <c r="AP851" i="10" s="1"/>
  <c r="BA850" i="10"/>
  <c r="X851" i="10" l="1"/>
  <c r="AN850" i="10"/>
  <c r="AW850" i="10" s="1"/>
  <c r="BD850" i="10" l="1"/>
  <c r="AZ850" i="10"/>
  <c r="Z851" i="10"/>
  <c r="AR851" i="10" s="1"/>
  <c r="AA851" i="10" l="1"/>
  <c r="Q852" i="10"/>
  <c r="AM852" i="10" l="1"/>
  <c r="S852" i="10"/>
  <c r="AC852" i="10"/>
  <c r="AB852" i="10"/>
  <c r="AV851" i="10" s="1"/>
  <c r="AJ851" i="10"/>
  <c r="AI851" i="10"/>
  <c r="AG851" i="10"/>
  <c r="AK851" i="10"/>
  <c r="AX851" i="10" s="1"/>
  <c r="AL851" i="10" l="1"/>
  <c r="AO851" i="10"/>
  <c r="AY851" i="10" s="1"/>
  <c r="AH851" i="10"/>
  <c r="BA851" i="10"/>
  <c r="AD852" i="10"/>
  <c r="T852" i="10"/>
  <c r="AQ852" i="10" s="1"/>
  <c r="U852" i="10"/>
  <c r="W852" i="10" s="1"/>
  <c r="AP852" i="10" s="1"/>
  <c r="AN851" i="10" l="1"/>
  <c r="AW851" i="10" s="1"/>
  <c r="X852" i="10"/>
  <c r="BD851" i="10"/>
  <c r="AZ851" i="10"/>
  <c r="Z852" i="10" l="1"/>
  <c r="AR852" i="10" s="1"/>
  <c r="AA852" i="10" l="1"/>
  <c r="Q853" i="10"/>
  <c r="AM853" i="10" l="1"/>
  <c r="AC853" i="10"/>
  <c r="AB853" i="10"/>
  <c r="AV852" i="10" s="1"/>
  <c r="S853" i="10"/>
  <c r="AI852" i="10"/>
  <c r="AJ852" i="10"/>
  <c r="AG852" i="10"/>
  <c r="AK852" i="10"/>
  <c r="AX852" i="10" s="1"/>
  <c r="AL852" i="10" l="1"/>
  <c r="AD853" i="10"/>
  <c r="T853" i="10"/>
  <c r="AQ853" i="10" s="1"/>
  <c r="U853" i="10"/>
  <c r="W853" i="10" s="1"/>
  <c r="AP853" i="10" s="1"/>
  <c r="BA852" i="10"/>
  <c r="AO852" i="10"/>
  <c r="AY852" i="10" s="1"/>
  <c r="AH852" i="10"/>
  <c r="AN852" i="10" l="1"/>
  <c r="AW852" i="10" s="1"/>
  <c r="BD852" i="10" s="1"/>
  <c r="X853" i="10"/>
  <c r="AZ852" i="10" l="1"/>
  <c r="Z853" i="10"/>
  <c r="AR853" i="10" s="1"/>
  <c r="AA853" i="10" l="1"/>
  <c r="Q854" i="10"/>
  <c r="AM854" i="10" l="1"/>
  <c r="S854" i="10"/>
  <c r="AC854" i="10"/>
  <c r="AB854" i="10"/>
  <c r="AV853" i="10" s="1"/>
  <c r="AJ853" i="10"/>
  <c r="AI853" i="10"/>
  <c r="AG853" i="10"/>
  <c r="AK853" i="10"/>
  <c r="AX853" i="10" s="1"/>
  <c r="AO853" i="10" l="1"/>
  <c r="AY853" i="10" s="1"/>
  <c r="AH853" i="10"/>
  <c r="AL853" i="10"/>
  <c r="AD854" i="10"/>
  <c r="T854" i="10"/>
  <c r="AQ854" i="10" s="1"/>
  <c r="U854" i="10"/>
  <c r="W854" i="10" s="1"/>
  <c r="AP854" i="10" s="1"/>
  <c r="BA853" i="10"/>
  <c r="X854" i="10" l="1"/>
  <c r="AN853" i="10"/>
  <c r="AW853" i="10" s="1"/>
  <c r="BD853" i="10" l="1"/>
  <c r="AZ853" i="10"/>
  <c r="Z854" i="10"/>
  <c r="AR854" i="10" s="1"/>
  <c r="AA854" i="10" l="1"/>
  <c r="Q855" i="10"/>
  <c r="AM855" i="10" l="1"/>
  <c r="AC855" i="10"/>
  <c r="AB855" i="10"/>
  <c r="AV854" i="10" s="1"/>
  <c r="S855" i="10"/>
  <c r="AI854" i="10"/>
  <c r="AJ854" i="10"/>
  <c r="AG854" i="10"/>
  <c r="AK854" i="10"/>
  <c r="AX854" i="10" s="1"/>
  <c r="AL854" i="10" l="1"/>
  <c r="AO854" i="10"/>
  <c r="AY854" i="10" s="1"/>
  <c r="AH854" i="10"/>
  <c r="AD855" i="10"/>
  <c r="T855" i="10"/>
  <c r="AQ855" i="10" s="1"/>
  <c r="U855" i="10"/>
  <c r="W855" i="10" s="1"/>
  <c r="AP855" i="10" s="1"/>
  <c r="BA854" i="10"/>
  <c r="AN854" i="10" l="1"/>
  <c r="AW854" i="10" s="1"/>
  <c r="BD854" i="10" s="1"/>
  <c r="X855" i="10"/>
  <c r="AZ854" i="10" l="1"/>
  <c r="Z855" i="10"/>
  <c r="AR855" i="10" s="1"/>
  <c r="AA855" i="10" l="1"/>
  <c r="Q856" i="10"/>
  <c r="AM856" i="10" l="1"/>
  <c r="S856" i="10"/>
  <c r="AC856" i="10"/>
  <c r="AB856" i="10"/>
  <c r="AV855" i="10" s="1"/>
  <c r="AJ855" i="10"/>
  <c r="AI855" i="10"/>
  <c r="AG855" i="10"/>
  <c r="AK855" i="10"/>
  <c r="AX855" i="10" s="1"/>
  <c r="AL855" i="10" l="1"/>
  <c r="BA855" i="10"/>
  <c r="AD856" i="10"/>
  <c r="T856" i="10"/>
  <c r="AQ856" i="10" s="1"/>
  <c r="U856" i="10"/>
  <c r="W856" i="10" s="1"/>
  <c r="AP856" i="10" s="1"/>
  <c r="AO855" i="10"/>
  <c r="AY855" i="10" s="1"/>
  <c r="AH855" i="10"/>
  <c r="AN855" i="10" l="1"/>
  <c r="AW855" i="10" s="1"/>
  <c r="BD855" i="10"/>
  <c r="AZ855" i="10"/>
  <c r="X856" i="10"/>
  <c r="Z856" i="10" l="1"/>
  <c r="AR856" i="10" s="1"/>
  <c r="AA856" i="10" l="1"/>
  <c r="Q857" i="10"/>
  <c r="AM857" i="10" l="1"/>
  <c r="AC857" i="10"/>
  <c r="AB857" i="10"/>
  <c r="AV856" i="10" s="1"/>
  <c r="S857" i="10"/>
  <c r="AI856" i="10"/>
  <c r="AJ856" i="10"/>
  <c r="AG856" i="10"/>
  <c r="AK856" i="10"/>
  <c r="AX856" i="10" s="1"/>
  <c r="AL856" i="10" l="1"/>
  <c r="AO856" i="10"/>
  <c r="AY856" i="10" s="1"/>
  <c r="AH856" i="10"/>
  <c r="AD857" i="10"/>
  <c r="T857" i="10"/>
  <c r="AQ857" i="10" s="1"/>
  <c r="U857" i="10"/>
  <c r="W857" i="10" s="1"/>
  <c r="AP857" i="10" s="1"/>
  <c r="BA856" i="10"/>
  <c r="AN856" i="10" l="1"/>
  <c r="AW856" i="10" s="1"/>
  <c r="BD856" i="10" s="1"/>
  <c r="X857" i="10"/>
  <c r="AZ856" i="10"/>
  <c r="Z857" i="10" l="1"/>
  <c r="AR857" i="10" s="1"/>
  <c r="AA857" i="10" l="1"/>
  <c r="Q858" i="10"/>
  <c r="AM858" i="10" l="1"/>
  <c r="S858" i="10"/>
  <c r="AC858" i="10"/>
  <c r="AB858" i="10"/>
  <c r="AV857" i="10" s="1"/>
  <c r="AJ857" i="10"/>
  <c r="AI857" i="10"/>
  <c r="AG857" i="10"/>
  <c r="AK857" i="10"/>
  <c r="AX857" i="10" s="1"/>
  <c r="AO857" i="10" l="1"/>
  <c r="AY857" i="10" s="1"/>
  <c r="AH857" i="10"/>
  <c r="AL857" i="10"/>
  <c r="BA857" i="10"/>
  <c r="AD858" i="10"/>
  <c r="T858" i="10"/>
  <c r="AQ858" i="10" s="1"/>
  <c r="U858" i="10"/>
  <c r="W858" i="10" s="1"/>
  <c r="AP858" i="10" s="1"/>
  <c r="X858" i="10" l="1"/>
  <c r="AN857" i="10"/>
  <c r="AW857" i="10" s="1"/>
  <c r="BD857" i="10" l="1"/>
  <c r="AZ857" i="10"/>
  <c r="Z858" i="10"/>
  <c r="AR858" i="10" s="1"/>
  <c r="AA858" i="10" l="1"/>
  <c r="Q859" i="10"/>
  <c r="AM859" i="10" l="1"/>
  <c r="AC859" i="10"/>
  <c r="S859" i="10"/>
  <c r="AB859" i="10"/>
  <c r="AV858" i="10" s="1"/>
  <c r="AI858" i="10"/>
  <c r="AJ858" i="10"/>
  <c r="AG858" i="10"/>
  <c r="AK858" i="10"/>
  <c r="AX858" i="10" s="1"/>
  <c r="AL858" i="10" l="1"/>
  <c r="AO858" i="10"/>
  <c r="AY858" i="10" s="1"/>
  <c r="AH858" i="10"/>
  <c r="AD859" i="10"/>
  <c r="T859" i="10"/>
  <c r="AQ859" i="10" s="1"/>
  <c r="U859" i="10"/>
  <c r="W859" i="10" s="1"/>
  <c r="AP859" i="10" s="1"/>
  <c r="BA858" i="10"/>
  <c r="AN858" i="10" l="1"/>
  <c r="AW858" i="10" s="1"/>
  <c r="X859" i="10"/>
  <c r="BD858" i="10"/>
  <c r="AZ858" i="10"/>
  <c r="Z859" i="10" l="1"/>
  <c r="AR859" i="10" s="1"/>
  <c r="AA859" i="10" l="1"/>
  <c r="Q860" i="10"/>
  <c r="AM860" i="10" l="1"/>
  <c r="S860" i="10"/>
  <c r="AC860" i="10"/>
  <c r="AB860" i="10"/>
  <c r="AV859" i="10" s="1"/>
  <c r="AJ859" i="10"/>
  <c r="AI859" i="10"/>
  <c r="AG859" i="10"/>
  <c r="AK859" i="10"/>
  <c r="AX859" i="10" s="1"/>
  <c r="AL859" i="10" l="1"/>
  <c r="BA859" i="10"/>
  <c r="AD860" i="10"/>
  <c r="T860" i="10"/>
  <c r="AQ860" i="10" s="1"/>
  <c r="U860" i="10"/>
  <c r="W860" i="10" s="1"/>
  <c r="AP860" i="10" s="1"/>
  <c r="AO859" i="10"/>
  <c r="AY859" i="10" s="1"/>
  <c r="AH859" i="10"/>
  <c r="AN859" i="10" l="1"/>
  <c r="AW859" i="10" s="1"/>
  <c r="BD859" i="10" s="1"/>
  <c r="X860" i="10"/>
  <c r="AZ859" i="10" l="1"/>
  <c r="Z860" i="10"/>
  <c r="AR860" i="10" s="1"/>
  <c r="AA860" i="10" l="1"/>
  <c r="Q861" i="10"/>
  <c r="AM861" i="10" l="1"/>
  <c r="AC861" i="10"/>
  <c r="AB861" i="10"/>
  <c r="AV860" i="10" s="1"/>
  <c r="S861" i="10"/>
  <c r="AI860" i="10"/>
  <c r="AJ860" i="10"/>
  <c r="AG860" i="10"/>
  <c r="AK860" i="10"/>
  <c r="AX860" i="10" s="1"/>
  <c r="AO860" i="10" l="1"/>
  <c r="AY860" i="10" s="1"/>
  <c r="AH860" i="10"/>
  <c r="AL860" i="10"/>
  <c r="AD861" i="10"/>
  <c r="T861" i="10"/>
  <c r="AQ861" i="10" s="1"/>
  <c r="U861" i="10"/>
  <c r="W861" i="10" s="1"/>
  <c r="AP861" i="10" s="1"/>
  <c r="BA860" i="10"/>
  <c r="X861" i="10" l="1"/>
  <c r="AN860" i="10"/>
  <c r="AW860" i="10" s="1"/>
  <c r="BD860" i="10" l="1"/>
  <c r="AZ860" i="10"/>
  <c r="Z861" i="10"/>
  <c r="AR861" i="10" s="1"/>
  <c r="AA861" i="10" l="1"/>
  <c r="Q862" i="10"/>
  <c r="AM862" i="10" l="1"/>
  <c r="S862" i="10"/>
  <c r="AC862" i="10"/>
  <c r="AB862" i="10"/>
  <c r="AV861" i="10" s="1"/>
  <c r="AJ861" i="10"/>
  <c r="AI861" i="10"/>
  <c r="AG861" i="10"/>
  <c r="AK861" i="10"/>
  <c r="AX861" i="10" s="1"/>
  <c r="AL861" i="10" l="1"/>
  <c r="BA861" i="10"/>
  <c r="AD862" i="10"/>
  <c r="T862" i="10"/>
  <c r="AQ862" i="10" s="1"/>
  <c r="U862" i="10"/>
  <c r="W862" i="10" s="1"/>
  <c r="AP862" i="10" s="1"/>
  <c r="AO861" i="10"/>
  <c r="AY861" i="10" s="1"/>
  <c r="AH861" i="10"/>
  <c r="AN861" i="10" l="1"/>
  <c r="AW861" i="10" s="1"/>
  <c r="BD861" i="10" s="1"/>
  <c r="X862" i="10"/>
  <c r="AZ861" i="10" l="1"/>
  <c r="Z862" i="10"/>
  <c r="AR862" i="10" s="1"/>
  <c r="AA862" i="10" l="1"/>
  <c r="Q863" i="10"/>
  <c r="AM863" i="10" l="1"/>
  <c r="AC863" i="10"/>
  <c r="AB863" i="10"/>
  <c r="AV862" i="10" s="1"/>
  <c r="S863" i="10"/>
  <c r="AI862" i="10"/>
  <c r="AJ862" i="10"/>
  <c r="AG862" i="10"/>
  <c r="AK862" i="10"/>
  <c r="AX862" i="10" s="1"/>
  <c r="AO862" i="10" l="1"/>
  <c r="AY862" i="10" s="1"/>
  <c r="AH862" i="10"/>
  <c r="AL862" i="10"/>
  <c r="AD863" i="10"/>
  <c r="T863" i="10"/>
  <c r="AQ863" i="10" s="1"/>
  <c r="U863" i="10"/>
  <c r="W863" i="10" s="1"/>
  <c r="AP863" i="10" s="1"/>
  <c r="BA862" i="10"/>
  <c r="X863" i="10" l="1"/>
  <c r="AN862" i="10"/>
  <c r="AW862" i="10" s="1"/>
  <c r="BD862" i="10" l="1"/>
  <c r="AZ862" i="10"/>
  <c r="Z863" i="10"/>
  <c r="AR863" i="10" s="1"/>
  <c r="AA863" i="10" l="1"/>
  <c r="Q864" i="10"/>
  <c r="AM864" i="10" l="1"/>
  <c r="S864" i="10"/>
  <c r="AC864" i="10"/>
  <c r="AB864" i="10"/>
  <c r="AV863" i="10" s="1"/>
  <c r="AJ863" i="10"/>
  <c r="AI863" i="10"/>
  <c r="AG863" i="10"/>
  <c r="AK863" i="10"/>
  <c r="AX863" i="10" s="1"/>
  <c r="AL863" i="10" l="1"/>
  <c r="AO863" i="10"/>
  <c r="AY863" i="10" s="1"/>
  <c r="AH863" i="10"/>
  <c r="AN863" i="10" s="1"/>
  <c r="AW863" i="10" s="1"/>
  <c r="BA863" i="10"/>
  <c r="AD864" i="10"/>
  <c r="T864" i="10"/>
  <c r="AQ864" i="10" s="1"/>
  <c r="U864" i="10"/>
  <c r="W864" i="10" s="1"/>
  <c r="AP864" i="10" s="1"/>
  <c r="X864" i="10" l="1"/>
  <c r="BD863" i="10"/>
  <c r="AZ863" i="10"/>
  <c r="Z864" i="10" l="1"/>
  <c r="AR864" i="10" s="1"/>
  <c r="AA864" i="10" l="1"/>
  <c r="Q865" i="10"/>
  <c r="AM865" i="10" l="1"/>
  <c r="AC865" i="10"/>
  <c r="AB865" i="10"/>
  <c r="AV864" i="10" s="1"/>
  <c r="S865" i="10"/>
  <c r="AI864" i="10"/>
  <c r="AJ864" i="10"/>
  <c r="AG864" i="10"/>
  <c r="AK864" i="10"/>
  <c r="AX864" i="10" s="1"/>
  <c r="AL864" i="10" l="1"/>
  <c r="AO864" i="10"/>
  <c r="AY864" i="10" s="1"/>
  <c r="AH864" i="10"/>
  <c r="AD865" i="10"/>
  <c r="T865" i="10"/>
  <c r="AQ865" i="10" s="1"/>
  <c r="U865" i="10"/>
  <c r="W865" i="10" s="1"/>
  <c r="AP865" i="10" s="1"/>
  <c r="BA864" i="10"/>
  <c r="AN864" i="10" l="1"/>
  <c r="AW864" i="10" s="1"/>
  <c r="BD864" i="10" s="1"/>
  <c r="X865" i="10"/>
  <c r="AZ864" i="10"/>
  <c r="Z865" i="10" l="1"/>
  <c r="AR865" i="10" s="1"/>
  <c r="AA865" i="10" l="1"/>
  <c r="Q866" i="10"/>
  <c r="AM866" i="10" l="1"/>
  <c r="S866" i="10"/>
  <c r="AC866" i="10"/>
  <c r="AB866" i="10"/>
  <c r="AV865" i="10" s="1"/>
  <c r="AJ865" i="10"/>
  <c r="AI865" i="10"/>
  <c r="AG865" i="10"/>
  <c r="AK865" i="10"/>
  <c r="AX865" i="10" s="1"/>
  <c r="AO865" i="10" l="1"/>
  <c r="AY865" i="10" s="1"/>
  <c r="AH865" i="10"/>
  <c r="AD866" i="10"/>
  <c r="T866" i="10"/>
  <c r="AQ866" i="10" s="1"/>
  <c r="U866" i="10"/>
  <c r="W866" i="10" s="1"/>
  <c r="AP866" i="10" s="1"/>
  <c r="AL865" i="10"/>
  <c r="BA865" i="10"/>
  <c r="X866" i="10" l="1"/>
  <c r="AN865" i="10"/>
  <c r="AW865" i="10" s="1"/>
  <c r="BD865" i="10" l="1"/>
  <c r="AZ865" i="10"/>
  <c r="Z866" i="10"/>
  <c r="AR866" i="10" s="1"/>
  <c r="AA866" i="10" l="1"/>
  <c r="Q867" i="10"/>
  <c r="AM867" i="10" l="1"/>
  <c r="AC867" i="10"/>
  <c r="S867" i="10"/>
  <c r="AB867" i="10"/>
  <c r="AV866" i="10" s="1"/>
  <c r="AI866" i="10"/>
  <c r="AJ866" i="10"/>
  <c r="AG866" i="10"/>
  <c r="AK866" i="10"/>
  <c r="AX866" i="10" s="1"/>
  <c r="AO866" i="10" l="1"/>
  <c r="AY866" i="10" s="1"/>
  <c r="AH866" i="10"/>
  <c r="AL866" i="10"/>
  <c r="AD867" i="10"/>
  <c r="T867" i="10"/>
  <c r="AQ867" i="10" s="1"/>
  <c r="U867" i="10"/>
  <c r="W867" i="10" s="1"/>
  <c r="AP867" i="10" s="1"/>
  <c r="BA866" i="10"/>
  <c r="X867" i="10" l="1"/>
  <c r="AN866" i="10"/>
  <c r="AW866" i="10" s="1"/>
  <c r="BD866" i="10" l="1"/>
  <c r="AZ866" i="10"/>
  <c r="Z867" i="10"/>
  <c r="AR867" i="10" s="1"/>
  <c r="AA867" i="10" l="1"/>
  <c r="Q868" i="10"/>
  <c r="AM868" i="10" l="1"/>
  <c r="S868" i="10"/>
  <c r="AC868" i="10"/>
  <c r="AB868" i="10"/>
  <c r="AV867" i="10" s="1"/>
  <c r="AJ867" i="10"/>
  <c r="AI867" i="10"/>
  <c r="AG867" i="10"/>
  <c r="AK867" i="10"/>
  <c r="AX867" i="10" s="1"/>
  <c r="AL867" i="10" l="1"/>
  <c r="BA867" i="10"/>
  <c r="AD868" i="10"/>
  <c r="T868" i="10"/>
  <c r="AQ868" i="10" s="1"/>
  <c r="U868" i="10"/>
  <c r="W868" i="10" s="1"/>
  <c r="AP868" i="10" s="1"/>
  <c r="AO867" i="10"/>
  <c r="AY867" i="10" s="1"/>
  <c r="AH867" i="10"/>
  <c r="AN867" i="10" l="1"/>
  <c r="AW867" i="10" s="1"/>
  <c r="BD867" i="10" s="1"/>
  <c r="X868" i="10"/>
  <c r="AZ867" i="10" l="1"/>
  <c r="Z868" i="10"/>
  <c r="AR868" i="10" s="1"/>
  <c r="AA868" i="10" l="1"/>
  <c r="Q869" i="10"/>
  <c r="AM869" i="10" l="1"/>
  <c r="AC869" i="10"/>
  <c r="AB869" i="10"/>
  <c r="AV868" i="10" s="1"/>
  <c r="S869" i="10"/>
  <c r="AI868" i="10"/>
  <c r="AJ868" i="10"/>
  <c r="AG868" i="10"/>
  <c r="AK868" i="10"/>
  <c r="AX868" i="10" s="1"/>
  <c r="AL868" i="10" l="1"/>
  <c r="AO868" i="10"/>
  <c r="AY868" i="10" s="1"/>
  <c r="AH868" i="10"/>
  <c r="AD869" i="10"/>
  <c r="T869" i="10"/>
  <c r="AQ869" i="10" s="1"/>
  <c r="U869" i="10"/>
  <c r="W869" i="10" s="1"/>
  <c r="AP869" i="10" s="1"/>
  <c r="BA868" i="10"/>
  <c r="AN868" i="10" l="1"/>
  <c r="AW868" i="10" s="1"/>
  <c r="X869" i="10"/>
  <c r="BD868" i="10"/>
  <c r="AZ868" i="10"/>
  <c r="Z869" i="10" l="1"/>
  <c r="AR869" i="10" s="1"/>
  <c r="AA869" i="10" l="1"/>
  <c r="Q870" i="10"/>
  <c r="AM870" i="10" l="1"/>
  <c r="AC870" i="10"/>
  <c r="AB870" i="10"/>
  <c r="AV869" i="10" s="1"/>
  <c r="S870" i="10"/>
  <c r="AJ869" i="10"/>
  <c r="AI869" i="10"/>
  <c r="AG869" i="10"/>
  <c r="AK869" i="10"/>
  <c r="AX869" i="10" s="1"/>
  <c r="AO869" i="10" l="1"/>
  <c r="AY869" i="10" s="1"/>
  <c r="AH869" i="10"/>
  <c r="AL869" i="10"/>
  <c r="AD870" i="10"/>
  <c r="T870" i="10"/>
  <c r="AQ870" i="10" s="1"/>
  <c r="U870" i="10"/>
  <c r="W870" i="10" s="1"/>
  <c r="AP870" i="10" s="1"/>
  <c r="BA869" i="10"/>
  <c r="X870" i="10" l="1"/>
  <c r="AN869" i="10"/>
  <c r="AW869" i="10" s="1"/>
  <c r="BD869" i="10" l="1"/>
  <c r="AZ869" i="10"/>
  <c r="Z870" i="10"/>
  <c r="AR870" i="10" s="1"/>
  <c r="Q871" i="10" l="1"/>
  <c r="AA870" i="10"/>
  <c r="AJ870" i="10" l="1"/>
  <c r="AI870" i="10"/>
  <c r="AG870" i="10"/>
  <c r="AK870" i="10"/>
  <c r="AX870" i="10" s="1"/>
  <c r="AC871" i="10"/>
  <c r="BA870" i="10" s="1"/>
  <c r="AB871" i="10"/>
  <c r="AV870" i="10" s="1"/>
  <c r="S871" i="10"/>
  <c r="AM871" i="10"/>
  <c r="AH870" i="10" l="1"/>
  <c r="AO870" i="10"/>
  <c r="AY870" i="10" s="1"/>
  <c r="AL870" i="10"/>
  <c r="T871" i="10"/>
  <c r="AQ871" i="10" s="1"/>
  <c r="AD871" i="10"/>
  <c r="U871" i="10"/>
  <c r="W871" i="10" s="1"/>
  <c r="AP871" i="10" s="1"/>
  <c r="X871" i="10" l="1"/>
  <c r="AN870" i="10"/>
  <c r="AW870" i="10" s="1"/>
  <c r="BD870" i="10" l="1"/>
  <c r="AZ870" i="10"/>
  <c r="Z871" i="10"/>
  <c r="AR871" i="10" s="1"/>
  <c r="AA871" i="10" l="1"/>
  <c r="Q872" i="10"/>
  <c r="AB872" i="10" l="1"/>
  <c r="AV871" i="10" s="1"/>
  <c r="S872" i="10"/>
  <c r="AM872" i="10"/>
  <c r="AC872" i="10"/>
  <c r="AJ871" i="10"/>
  <c r="AI871" i="10"/>
  <c r="AG871" i="10"/>
  <c r="AK871" i="10"/>
  <c r="AX871" i="10" s="1"/>
  <c r="AL871" i="10" l="1"/>
  <c r="T872" i="10"/>
  <c r="AQ872" i="10" s="1"/>
  <c r="AD872" i="10"/>
  <c r="U872" i="10"/>
  <c r="W872" i="10" s="1"/>
  <c r="AP872" i="10" s="1"/>
  <c r="AH871" i="10"/>
  <c r="AO871" i="10"/>
  <c r="AY871" i="10" s="1"/>
  <c r="BA871" i="10"/>
  <c r="AN871" i="10" l="1"/>
  <c r="AW871" i="10" s="1"/>
  <c r="BD871" i="10" s="1"/>
  <c r="X872" i="10"/>
  <c r="AZ871" i="10" l="1"/>
  <c r="Z872" i="10"/>
  <c r="AR872" i="10" s="1"/>
  <c r="AA872" i="10" l="1"/>
  <c r="Q873" i="10"/>
  <c r="S873" i="10" l="1"/>
  <c r="AB873" i="10"/>
  <c r="AV872" i="10" s="1"/>
  <c r="AC873" i="10"/>
  <c r="AM873" i="10"/>
  <c r="AJ872" i="10"/>
  <c r="AI872" i="10"/>
  <c r="AG872" i="10"/>
  <c r="AK872" i="10"/>
  <c r="AX872" i="10" s="1"/>
  <c r="AH872" i="10" l="1"/>
  <c r="AO872" i="10"/>
  <c r="AY872" i="10" s="1"/>
  <c r="AL872" i="10"/>
  <c r="BA872" i="10"/>
  <c r="T873" i="10"/>
  <c r="AQ873" i="10" s="1"/>
  <c r="AD873" i="10"/>
  <c r="U873" i="10"/>
  <c r="W873" i="10" s="1"/>
  <c r="AP873" i="10" s="1"/>
  <c r="X873" i="10" l="1"/>
  <c r="AN872" i="10"/>
  <c r="AW872" i="10" s="1"/>
  <c r="AZ872" i="10" l="1"/>
  <c r="BD872" i="10"/>
  <c r="Z873" i="10"/>
  <c r="AR873" i="10" s="1"/>
  <c r="Q874" i="10" l="1"/>
  <c r="AA873" i="10"/>
  <c r="AJ873" i="10" l="1"/>
  <c r="AI873" i="10"/>
  <c r="AG873" i="10"/>
  <c r="AK873" i="10"/>
  <c r="AX873" i="10" s="1"/>
  <c r="S874" i="10"/>
  <c r="AM874" i="10"/>
  <c r="AC874" i="10"/>
  <c r="AB874" i="10"/>
  <c r="AV873" i="10" s="1"/>
  <c r="BA873" i="10" l="1"/>
  <c r="AD874" i="10"/>
  <c r="T874" i="10"/>
  <c r="AQ874" i="10" s="1"/>
  <c r="U874" i="10"/>
  <c r="W874" i="10" s="1"/>
  <c r="AP874" i="10" s="1"/>
  <c r="AH873" i="10"/>
  <c r="AO873" i="10"/>
  <c r="AY873" i="10" s="1"/>
  <c r="AL873" i="10"/>
  <c r="AN873" i="10" l="1"/>
  <c r="AW873" i="10" s="1"/>
  <c r="BD873" i="10" s="1"/>
  <c r="X874" i="10"/>
  <c r="AZ873" i="10" l="1"/>
  <c r="Z874" i="10"/>
  <c r="AR874" i="10" s="1"/>
  <c r="AA874" i="10" l="1"/>
  <c r="Q875" i="10"/>
  <c r="AM875" i="10" l="1"/>
  <c r="AC875" i="10"/>
  <c r="S875" i="10"/>
  <c r="AB875" i="10"/>
  <c r="AV874" i="10" s="1"/>
  <c r="AI874" i="10"/>
  <c r="AJ874" i="10"/>
  <c r="AG874" i="10"/>
  <c r="AK874" i="10"/>
  <c r="AX874" i="10" s="1"/>
  <c r="AL874" i="10" l="1"/>
  <c r="AD875" i="10"/>
  <c r="T875" i="10"/>
  <c r="AQ875" i="10" s="1"/>
  <c r="U875" i="10"/>
  <c r="W875" i="10" s="1"/>
  <c r="AP875" i="10" s="1"/>
  <c r="BA874" i="10"/>
  <c r="AH874" i="10"/>
  <c r="AN874" i="10" s="1"/>
  <c r="AW874" i="10" s="1"/>
  <c r="AO874" i="10"/>
  <c r="AY874" i="10" s="1"/>
  <c r="AZ874" i="10" l="1"/>
  <c r="BD874" i="10"/>
  <c r="X875" i="10"/>
  <c r="Z875" i="10" l="1"/>
  <c r="AR875" i="10" s="1"/>
  <c r="Q876" i="10" l="1"/>
  <c r="AA875" i="10"/>
  <c r="AJ875" i="10" l="1"/>
  <c r="AI875" i="10"/>
  <c r="AG875" i="10"/>
  <c r="AK875" i="10"/>
  <c r="AX875" i="10" s="1"/>
  <c r="AM876" i="10"/>
  <c r="AC876" i="10"/>
  <c r="BA875" i="10" s="1"/>
  <c r="AB876" i="10"/>
  <c r="AV875" i="10" s="1"/>
  <c r="S876" i="10"/>
  <c r="AD876" i="10" l="1"/>
  <c r="T876" i="10"/>
  <c r="AQ876" i="10" s="1"/>
  <c r="U876" i="10"/>
  <c r="W876" i="10" s="1"/>
  <c r="AP876" i="10" s="1"/>
  <c r="AH875" i="10"/>
  <c r="AO875" i="10"/>
  <c r="AY875" i="10" s="1"/>
  <c r="AL875" i="10"/>
  <c r="AN875" i="10" l="1"/>
  <c r="AW875" i="10" s="1"/>
  <c r="X876" i="10"/>
  <c r="Z876" i="10" l="1"/>
  <c r="AR876" i="10" s="1"/>
  <c r="AZ875" i="10"/>
  <c r="BD875" i="10"/>
  <c r="AA876" i="10" l="1"/>
  <c r="Q877" i="10"/>
  <c r="AM877" i="10" l="1"/>
  <c r="AC877" i="10"/>
  <c r="AB877" i="10"/>
  <c r="AV876" i="10" s="1"/>
  <c r="S877" i="10"/>
  <c r="AI876" i="10"/>
  <c r="AJ876" i="10"/>
  <c r="AG876" i="10"/>
  <c r="AK876" i="10"/>
  <c r="AX876" i="10" s="1"/>
  <c r="AL876" i="10" l="1"/>
  <c r="AH876" i="10"/>
  <c r="AO876" i="10"/>
  <c r="AY876" i="10" s="1"/>
  <c r="AD877" i="10"/>
  <c r="T877" i="10"/>
  <c r="AQ877" i="10" s="1"/>
  <c r="U877" i="10"/>
  <c r="W877" i="10" s="1"/>
  <c r="AP877" i="10" s="1"/>
  <c r="BA876" i="10"/>
  <c r="AN876" i="10" l="1"/>
  <c r="AW876" i="10" s="1"/>
  <c r="BD876" i="10" s="1"/>
  <c r="X877" i="10"/>
  <c r="AZ876" i="10"/>
  <c r="Z877" i="10" l="1"/>
  <c r="AR877" i="10" s="1"/>
  <c r="AA877" i="10" l="1"/>
  <c r="Q878" i="10"/>
  <c r="AM878" i="10" l="1"/>
  <c r="AC878" i="10"/>
  <c r="AB878" i="10"/>
  <c r="AV877" i="10" s="1"/>
  <c r="S878" i="10"/>
  <c r="AJ877" i="10"/>
  <c r="AI877" i="10"/>
  <c r="AG877" i="10"/>
  <c r="AK877" i="10"/>
  <c r="AX877" i="10" s="1"/>
  <c r="AL877" i="10" l="1"/>
  <c r="AD878" i="10"/>
  <c r="T878" i="10"/>
  <c r="AQ878" i="10" s="1"/>
  <c r="U878" i="10"/>
  <c r="W878" i="10" s="1"/>
  <c r="AP878" i="10" s="1"/>
  <c r="BA877" i="10"/>
  <c r="AH877" i="10"/>
  <c r="AO877" i="10"/>
  <c r="AY877" i="10" s="1"/>
  <c r="AN877" i="10" l="1"/>
  <c r="AW877" i="10" s="1"/>
  <c r="BD877" i="10" s="1"/>
  <c r="X878" i="10"/>
  <c r="AZ877" i="10" l="1"/>
  <c r="Z878" i="10"/>
  <c r="AR878" i="10" s="1"/>
  <c r="AA878" i="10" l="1"/>
  <c r="Q879" i="10"/>
  <c r="AC879" i="10" l="1"/>
  <c r="AB879" i="10"/>
  <c r="AV878" i="10" s="1"/>
  <c r="S879" i="10"/>
  <c r="AM879" i="10"/>
  <c r="AJ878" i="10"/>
  <c r="AI878" i="10"/>
  <c r="AG878" i="10"/>
  <c r="AK878" i="10"/>
  <c r="AX878" i="10" s="1"/>
  <c r="AH878" i="10" l="1"/>
  <c r="AO878" i="10"/>
  <c r="AY878" i="10" s="1"/>
  <c r="T879" i="10"/>
  <c r="AQ879" i="10" s="1"/>
  <c r="AD879" i="10"/>
  <c r="U879" i="10"/>
  <c r="W879" i="10" s="1"/>
  <c r="AP879" i="10" s="1"/>
  <c r="AL878" i="10"/>
  <c r="BA878" i="10"/>
  <c r="X879" i="10" l="1"/>
  <c r="AN878" i="10"/>
  <c r="AW878" i="10" s="1"/>
  <c r="Z879" i="10" l="1"/>
  <c r="AR879" i="10" s="1"/>
  <c r="BD878" i="10"/>
  <c r="AZ878" i="10"/>
  <c r="AA879" i="10" l="1"/>
  <c r="Q880" i="10"/>
  <c r="AB880" i="10" l="1"/>
  <c r="AV879" i="10" s="1"/>
  <c r="S880" i="10"/>
  <c r="AC880" i="10"/>
  <c r="AM880" i="10"/>
  <c r="AJ879" i="10"/>
  <c r="AI879" i="10"/>
  <c r="AG879" i="10"/>
  <c r="AK879" i="10"/>
  <c r="AX879" i="10" s="1"/>
  <c r="AL879" i="10" l="1"/>
  <c r="AH879" i="10"/>
  <c r="AN879" i="10" s="1"/>
  <c r="AW879" i="10" s="1"/>
  <c r="AO879" i="10"/>
  <c r="AY879" i="10" s="1"/>
  <c r="BA879" i="10"/>
  <c r="AD880" i="10"/>
  <c r="T880" i="10"/>
  <c r="AQ880" i="10" s="1"/>
  <c r="U880" i="10"/>
  <c r="W880" i="10" s="1"/>
  <c r="AP880" i="10" s="1"/>
  <c r="X880" i="10" l="1"/>
  <c r="BD879" i="10"/>
  <c r="AZ879" i="10"/>
  <c r="Z880" i="10" l="1"/>
  <c r="AR880" i="10" s="1"/>
  <c r="AA880" i="10" l="1"/>
  <c r="Q881" i="10"/>
  <c r="AC881" i="10" l="1"/>
  <c r="AB881" i="10"/>
  <c r="AV880" i="10" s="1"/>
  <c r="S881" i="10"/>
  <c r="AM881" i="10"/>
  <c r="AJ880" i="10"/>
  <c r="AI880" i="10"/>
  <c r="AG880" i="10"/>
  <c r="AK880" i="10"/>
  <c r="AX880" i="10" s="1"/>
  <c r="AL880" i="10" l="1"/>
  <c r="AD881" i="10"/>
  <c r="T881" i="10"/>
  <c r="AQ881" i="10" s="1"/>
  <c r="U881" i="10"/>
  <c r="W881" i="10" s="1"/>
  <c r="AP881" i="10" s="1"/>
  <c r="BA880" i="10"/>
  <c r="AH880" i="10"/>
  <c r="AN880" i="10" s="1"/>
  <c r="AW880" i="10" s="1"/>
  <c r="AO880" i="10"/>
  <c r="AY880" i="10" s="1"/>
  <c r="AZ880" i="10" l="1"/>
  <c r="BD880" i="10"/>
  <c r="X881" i="10"/>
  <c r="Z881" i="10" l="1"/>
  <c r="AR881" i="10" s="1"/>
  <c r="Q882" i="10" l="1"/>
  <c r="AA881" i="10"/>
  <c r="AJ881" i="10" l="1"/>
  <c r="AI881" i="10"/>
  <c r="AG881" i="10"/>
  <c r="AK881" i="10"/>
  <c r="AX881" i="10" s="1"/>
  <c r="AB882" i="10"/>
  <c r="AV881" i="10" s="1"/>
  <c r="AM882" i="10"/>
  <c r="AC882" i="10"/>
  <c r="S882" i="10"/>
  <c r="BA881" i="10" l="1"/>
  <c r="AD882" i="10"/>
  <c r="T882" i="10"/>
  <c r="AQ882" i="10" s="1"/>
  <c r="U882" i="10"/>
  <c r="W882" i="10" s="1"/>
  <c r="AP882" i="10" s="1"/>
  <c r="AH881" i="10"/>
  <c r="AO881" i="10"/>
  <c r="AY881" i="10" s="1"/>
  <c r="AL881" i="10"/>
  <c r="AN881" i="10" l="1"/>
  <c r="AW881" i="10" s="1"/>
  <c r="X882" i="10"/>
  <c r="Z882" i="10" l="1"/>
  <c r="AR882" i="10" s="1"/>
  <c r="AZ881" i="10"/>
  <c r="BD881" i="10"/>
  <c r="Q883" i="10" l="1"/>
  <c r="AA882" i="10"/>
  <c r="AI882" i="10" l="1"/>
  <c r="AJ882" i="10"/>
  <c r="AG882" i="10"/>
  <c r="AK882" i="10"/>
  <c r="AX882" i="10" s="1"/>
  <c r="AM883" i="10"/>
  <c r="AC883" i="10"/>
  <c r="BA882" i="10" s="1"/>
  <c r="S883" i="10"/>
  <c r="AB883" i="10"/>
  <c r="AV882" i="10" s="1"/>
  <c r="AD883" i="10" l="1"/>
  <c r="T883" i="10"/>
  <c r="AQ883" i="10" s="1"/>
  <c r="U883" i="10"/>
  <c r="W883" i="10" s="1"/>
  <c r="AP883" i="10" s="1"/>
  <c r="AH882" i="10"/>
  <c r="AO882" i="10"/>
  <c r="AY882" i="10" s="1"/>
  <c r="AL882" i="10"/>
  <c r="AN882" i="10" l="1"/>
  <c r="AW882" i="10" s="1"/>
  <c r="AZ882" i="10"/>
  <c r="BD882" i="10"/>
  <c r="X883" i="10"/>
  <c r="Z883" i="10" l="1"/>
  <c r="AR883" i="10" s="1"/>
  <c r="Q884" i="10" l="1"/>
  <c r="AA883" i="10"/>
  <c r="AJ883" i="10" l="1"/>
  <c r="AI883" i="10"/>
  <c r="AG883" i="10"/>
  <c r="AK883" i="10"/>
  <c r="AX883" i="10" s="1"/>
  <c r="AM884" i="10"/>
  <c r="AC884" i="10"/>
  <c r="BA883" i="10" s="1"/>
  <c r="S884" i="10"/>
  <c r="AB884" i="10"/>
  <c r="AV883" i="10" s="1"/>
  <c r="AH883" i="10" l="1"/>
  <c r="AO883" i="10"/>
  <c r="AY883" i="10" s="1"/>
  <c r="AL883" i="10"/>
  <c r="AD884" i="10"/>
  <c r="T884" i="10"/>
  <c r="AQ884" i="10" s="1"/>
  <c r="U884" i="10"/>
  <c r="W884" i="10" s="1"/>
  <c r="AP884" i="10" s="1"/>
  <c r="X884" i="10" l="1"/>
  <c r="AN883" i="10"/>
  <c r="AW883" i="10" s="1"/>
  <c r="AZ883" i="10" l="1"/>
  <c r="BD883" i="10"/>
  <c r="Z884" i="10"/>
  <c r="AR884" i="10" s="1"/>
  <c r="AA884" i="10" l="1"/>
  <c r="Q885" i="10"/>
  <c r="AM885" i="10" l="1"/>
  <c r="AC885" i="10"/>
  <c r="AB885" i="10"/>
  <c r="AV884" i="10" s="1"/>
  <c r="S885" i="10"/>
  <c r="AJ884" i="10"/>
  <c r="AI884" i="10"/>
  <c r="AG884" i="10"/>
  <c r="AK884" i="10"/>
  <c r="AX884" i="10" s="1"/>
  <c r="AH884" i="10" l="1"/>
  <c r="AO884" i="10"/>
  <c r="AY884" i="10" s="1"/>
  <c r="AL884" i="10"/>
  <c r="AD885" i="10"/>
  <c r="T885" i="10"/>
  <c r="AQ885" i="10" s="1"/>
  <c r="U885" i="10"/>
  <c r="W885" i="10" s="1"/>
  <c r="AP885" i="10" s="1"/>
  <c r="BA884" i="10"/>
  <c r="X885" i="10" l="1"/>
  <c r="AN884" i="10"/>
  <c r="AW884" i="10" s="1"/>
  <c r="Z885" i="10" l="1"/>
  <c r="AR885" i="10" s="1"/>
  <c r="BD884" i="10"/>
  <c r="AZ884" i="10"/>
  <c r="AA885" i="10" l="1"/>
  <c r="Q886" i="10"/>
  <c r="AM886" i="10" l="1"/>
  <c r="AC886" i="10"/>
  <c r="AB886" i="10"/>
  <c r="AV885" i="10" s="1"/>
  <c r="S886" i="10"/>
  <c r="AJ885" i="10"/>
  <c r="AI885" i="10"/>
  <c r="AG885" i="10"/>
  <c r="AK885" i="10"/>
  <c r="AX885" i="10" s="1"/>
  <c r="AL885" i="10" l="1"/>
  <c r="AH885" i="10"/>
  <c r="AN885" i="10" s="1"/>
  <c r="AW885" i="10" s="1"/>
  <c r="AO885" i="10"/>
  <c r="AY885" i="10" s="1"/>
  <c r="AD886" i="10"/>
  <c r="T886" i="10"/>
  <c r="AQ886" i="10" s="1"/>
  <c r="U886" i="10"/>
  <c r="W886" i="10" s="1"/>
  <c r="AP886" i="10" s="1"/>
  <c r="BA885" i="10"/>
  <c r="X886" i="10" l="1"/>
  <c r="BD885" i="10"/>
  <c r="AZ885" i="10"/>
  <c r="Z886" i="10" l="1"/>
  <c r="AR886" i="10" s="1"/>
  <c r="AA886" i="10" l="1"/>
  <c r="Q887" i="10"/>
  <c r="AC887" i="10" l="1"/>
  <c r="AB887" i="10"/>
  <c r="AV886" i="10" s="1"/>
  <c r="S887" i="10"/>
  <c r="AM887" i="10"/>
  <c r="AJ886" i="10"/>
  <c r="AI886" i="10"/>
  <c r="AG886" i="10"/>
  <c r="AK886" i="10"/>
  <c r="AX886" i="10" s="1"/>
  <c r="AL886" i="10" l="1"/>
  <c r="T887" i="10"/>
  <c r="AQ887" i="10" s="1"/>
  <c r="AD887" i="10"/>
  <c r="U887" i="10"/>
  <c r="W887" i="10" s="1"/>
  <c r="AP887" i="10" s="1"/>
  <c r="BA886" i="10"/>
  <c r="AH886" i="10"/>
  <c r="AN886" i="10" s="1"/>
  <c r="AW886" i="10" s="1"/>
  <c r="AO886" i="10"/>
  <c r="AY886" i="10" s="1"/>
  <c r="X887" i="10" l="1"/>
  <c r="BD886" i="10"/>
  <c r="AZ886" i="10"/>
  <c r="Z887" i="10" l="1"/>
  <c r="AR887" i="10" s="1"/>
  <c r="AA887" i="10" l="1"/>
  <c r="Q888" i="10"/>
  <c r="AB888" i="10" l="1"/>
  <c r="AV887" i="10" s="1"/>
  <c r="S888" i="10"/>
  <c r="AM888" i="10"/>
  <c r="AC888" i="10"/>
  <c r="AJ887" i="10"/>
  <c r="AI887" i="10"/>
  <c r="AG887" i="10"/>
  <c r="AK887" i="10"/>
  <c r="AX887" i="10" s="1"/>
  <c r="AH887" i="10" l="1"/>
  <c r="AO887" i="10"/>
  <c r="AY887" i="10" s="1"/>
  <c r="AL887" i="10"/>
  <c r="BA887" i="10"/>
  <c r="T888" i="10"/>
  <c r="AQ888" i="10" s="1"/>
  <c r="AD888" i="10"/>
  <c r="U888" i="10"/>
  <c r="W888" i="10" s="1"/>
  <c r="AP888" i="10" s="1"/>
  <c r="X888" i="10" l="1"/>
  <c r="AN887" i="10"/>
  <c r="AW887" i="10" s="1"/>
  <c r="Z888" i="10" l="1"/>
  <c r="AR888" i="10" s="1"/>
  <c r="BD887" i="10"/>
  <c r="AZ887" i="10"/>
  <c r="AA888" i="10" l="1"/>
  <c r="Q889" i="10"/>
  <c r="S889" i="10" l="1"/>
  <c r="AM889" i="10"/>
  <c r="AC889" i="10"/>
  <c r="AB889" i="10"/>
  <c r="AV888" i="10" s="1"/>
  <c r="AJ888" i="10"/>
  <c r="AI888" i="10"/>
  <c r="AG888" i="10"/>
  <c r="AK888" i="10"/>
  <c r="AX888" i="10" s="1"/>
  <c r="AL888" i="10" l="1"/>
  <c r="AH888" i="10"/>
  <c r="AO888" i="10"/>
  <c r="AY888" i="10" s="1"/>
  <c r="BA888" i="10"/>
  <c r="T889" i="10"/>
  <c r="AQ889" i="10" s="1"/>
  <c r="AD889" i="10"/>
  <c r="U889" i="10"/>
  <c r="W889" i="10" s="1"/>
  <c r="AP889" i="10" s="1"/>
  <c r="AN888" i="10" l="1"/>
  <c r="AW888" i="10" s="1"/>
  <c r="AZ888" i="10" s="1"/>
  <c r="X889" i="10"/>
  <c r="BD888" i="10"/>
  <c r="Z889" i="10" l="1"/>
  <c r="AR889" i="10" s="1"/>
  <c r="Q890" i="10" l="1"/>
  <c r="AA889" i="10"/>
  <c r="AJ889" i="10" l="1"/>
  <c r="AI889" i="10"/>
  <c r="AG889" i="10"/>
  <c r="AK889" i="10"/>
  <c r="AX889" i="10" s="1"/>
  <c r="S890" i="10"/>
  <c r="AM890" i="10"/>
  <c r="AC890" i="10"/>
  <c r="AB890" i="10"/>
  <c r="AV889" i="10" s="1"/>
  <c r="AD890" i="10" l="1"/>
  <c r="T890" i="10"/>
  <c r="AQ890" i="10" s="1"/>
  <c r="U890" i="10"/>
  <c r="W890" i="10" s="1"/>
  <c r="AP890" i="10" s="1"/>
  <c r="AH889" i="10"/>
  <c r="AO889" i="10"/>
  <c r="AY889" i="10" s="1"/>
  <c r="AL889" i="10"/>
  <c r="BA889" i="10"/>
  <c r="AN889" i="10" l="1"/>
  <c r="AW889" i="10" s="1"/>
  <c r="X890" i="10"/>
  <c r="Z890" i="10" l="1"/>
  <c r="AR890" i="10" s="1"/>
  <c r="AZ889" i="10"/>
  <c r="BD889" i="10"/>
  <c r="AA890" i="10" l="1"/>
  <c r="Q891" i="10"/>
  <c r="AM891" i="10" l="1"/>
  <c r="AC891" i="10"/>
  <c r="AB891" i="10"/>
  <c r="AV890" i="10" s="1"/>
  <c r="S891" i="10"/>
  <c r="AI890" i="10"/>
  <c r="AJ890" i="10"/>
  <c r="AG890" i="10"/>
  <c r="AK890" i="10"/>
  <c r="AX890" i="10" s="1"/>
  <c r="AH890" i="10" l="1"/>
  <c r="AO890" i="10"/>
  <c r="AY890" i="10" s="1"/>
  <c r="AL890" i="10"/>
  <c r="AD891" i="10"/>
  <c r="T891" i="10"/>
  <c r="AQ891" i="10" s="1"/>
  <c r="U891" i="10"/>
  <c r="W891" i="10" s="1"/>
  <c r="AP891" i="10" s="1"/>
  <c r="BA890" i="10"/>
  <c r="X891" i="10" l="1"/>
  <c r="AN890" i="10"/>
  <c r="AW890" i="10" s="1"/>
  <c r="AZ890" i="10" l="1"/>
  <c r="BD890" i="10"/>
  <c r="Z891" i="10"/>
  <c r="AR891" i="10" s="1"/>
  <c r="AA891" i="10" l="1"/>
  <c r="Q892" i="10"/>
  <c r="AM892" i="10" l="1"/>
  <c r="AC892" i="10"/>
  <c r="S892" i="10"/>
  <c r="AB892" i="10"/>
  <c r="AV891" i="10" s="1"/>
  <c r="AJ891" i="10"/>
  <c r="AI891" i="10"/>
  <c r="AG891" i="10"/>
  <c r="AK891" i="10"/>
  <c r="AX891" i="10" s="1"/>
  <c r="AL891" i="10" l="1"/>
  <c r="AH891" i="10"/>
  <c r="AO891" i="10"/>
  <c r="AY891" i="10" s="1"/>
  <c r="T892" i="10"/>
  <c r="AQ892" i="10" s="1"/>
  <c r="AD892" i="10"/>
  <c r="U892" i="10"/>
  <c r="W892" i="10" s="1"/>
  <c r="AP892" i="10" s="1"/>
  <c r="BA891" i="10"/>
  <c r="AN891" i="10" l="1"/>
  <c r="AW891" i="10" s="1"/>
  <c r="X892" i="10"/>
  <c r="AZ891" i="10"/>
  <c r="BD891" i="10"/>
  <c r="Z892" i="10" l="1"/>
  <c r="AR892" i="10" s="1"/>
  <c r="AA892" i="10" l="1"/>
  <c r="Q893" i="10"/>
  <c r="AC893" i="10" l="1"/>
  <c r="AB893" i="10"/>
  <c r="AV892" i="10" s="1"/>
  <c r="AM893" i="10"/>
  <c r="S893" i="10"/>
  <c r="AJ892" i="10"/>
  <c r="AI892" i="10"/>
  <c r="AG892" i="10"/>
  <c r="AK892" i="10"/>
  <c r="AX892" i="10" s="1"/>
  <c r="AL892" i="10" l="1"/>
  <c r="AD893" i="10"/>
  <c r="T893" i="10"/>
  <c r="AQ893" i="10" s="1"/>
  <c r="U893" i="10"/>
  <c r="W893" i="10" s="1"/>
  <c r="AP893" i="10" s="1"/>
  <c r="BA892" i="10"/>
  <c r="AH892" i="10"/>
  <c r="AN892" i="10" s="1"/>
  <c r="AW892" i="10" s="1"/>
  <c r="AO892" i="10"/>
  <c r="AY892" i="10" s="1"/>
  <c r="BD892" i="10" l="1"/>
  <c r="AZ892" i="10"/>
  <c r="X893" i="10"/>
  <c r="Z893" i="10" l="1"/>
  <c r="AR893" i="10" s="1"/>
  <c r="AA893" i="10" l="1"/>
  <c r="Q894" i="10"/>
  <c r="AC894" i="10" l="1"/>
  <c r="AM894" i="10"/>
  <c r="S894" i="10"/>
  <c r="AB894" i="10"/>
  <c r="AV893" i="10" s="1"/>
  <c r="AJ893" i="10"/>
  <c r="AI893" i="10"/>
  <c r="AG893" i="10"/>
  <c r="AK893" i="10"/>
  <c r="AX893" i="10" s="1"/>
  <c r="AH893" i="10" l="1"/>
  <c r="AO893" i="10"/>
  <c r="AY893" i="10" s="1"/>
  <c r="AL893" i="10"/>
  <c r="AD894" i="10"/>
  <c r="T894" i="10"/>
  <c r="AQ894" i="10" s="1"/>
  <c r="U894" i="10"/>
  <c r="W894" i="10" s="1"/>
  <c r="AP894" i="10" s="1"/>
  <c r="BA893" i="10"/>
  <c r="X894" i="10" l="1"/>
  <c r="AN893" i="10"/>
  <c r="AW893" i="10" s="1"/>
  <c r="Z894" i="10" l="1"/>
  <c r="AR894" i="10" s="1"/>
  <c r="BD893" i="10"/>
  <c r="AZ893" i="10"/>
  <c r="AA894" i="10" l="1"/>
  <c r="Q895" i="10"/>
  <c r="AM895" i="10" l="1"/>
  <c r="AC895" i="10"/>
  <c r="S895" i="10"/>
  <c r="AB895" i="10"/>
  <c r="AV894" i="10" s="1"/>
  <c r="AI894" i="10"/>
  <c r="AJ894" i="10"/>
  <c r="AG894" i="10"/>
  <c r="AK894" i="10"/>
  <c r="AX894" i="10" s="1"/>
  <c r="AL894" i="10" l="1"/>
  <c r="AH894" i="10"/>
  <c r="AO894" i="10"/>
  <c r="AY894" i="10" s="1"/>
  <c r="AD895" i="10"/>
  <c r="T895" i="10"/>
  <c r="AQ895" i="10" s="1"/>
  <c r="U895" i="10"/>
  <c r="W895" i="10" s="1"/>
  <c r="AP895" i="10" s="1"/>
  <c r="BA894" i="10"/>
  <c r="AN894" i="10" l="1"/>
  <c r="AW894" i="10" s="1"/>
  <c r="AZ894" i="10" s="1"/>
  <c r="X895" i="10"/>
  <c r="BD894" i="10" l="1"/>
  <c r="Z895" i="10"/>
  <c r="AR895" i="10" s="1"/>
  <c r="AA895" i="10" l="1"/>
  <c r="Q896" i="10"/>
  <c r="AM896" i="10" l="1"/>
  <c r="AC896" i="10"/>
  <c r="S896" i="10"/>
  <c r="AB896" i="10"/>
  <c r="AV895" i="10" s="1"/>
  <c r="AJ895" i="10"/>
  <c r="AI895" i="10"/>
  <c r="AG895" i="10"/>
  <c r="AK895" i="10"/>
  <c r="AX895" i="10" s="1"/>
  <c r="AL895" i="10" l="1"/>
  <c r="AD896" i="10"/>
  <c r="T896" i="10"/>
  <c r="AQ896" i="10" s="1"/>
  <c r="U896" i="10"/>
  <c r="W896" i="10" s="1"/>
  <c r="AP896" i="10" s="1"/>
  <c r="BA895" i="10"/>
  <c r="AH895" i="10"/>
  <c r="AN895" i="10" s="1"/>
  <c r="AW895" i="10" s="1"/>
  <c r="AO895" i="10"/>
  <c r="AY895" i="10" s="1"/>
  <c r="AZ895" i="10" l="1"/>
  <c r="BD895" i="10"/>
  <c r="X896" i="10"/>
  <c r="Z896" i="10" l="1"/>
  <c r="AR896" i="10" s="1"/>
  <c r="AA896" i="10" l="1"/>
  <c r="Q897" i="10"/>
  <c r="S897" i="10" l="1"/>
  <c r="AM897" i="10"/>
  <c r="AC897" i="10"/>
  <c r="AB897" i="10"/>
  <c r="AV896" i="10" s="1"/>
  <c r="AJ896" i="10"/>
  <c r="AI896" i="10"/>
  <c r="AG896" i="10"/>
  <c r="AK896" i="10"/>
  <c r="AX896" i="10" s="1"/>
  <c r="AH896" i="10" l="1"/>
  <c r="AO896" i="10"/>
  <c r="AY896" i="10" s="1"/>
  <c r="AL896" i="10"/>
  <c r="BA896" i="10"/>
  <c r="AD897" i="10"/>
  <c r="T897" i="10"/>
  <c r="AQ897" i="10" s="1"/>
  <c r="U897" i="10"/>
  <c r="W897" i="10" s="1"/>
  <c r="AP897" i="10" s="1"/>
  <c r="X897" i="10" l="1"/>
  <c r="AN896" i="10"/>
  <c r="AW896" i="10" s="1"/>
  <c r="BD896" i="10" l="1"/>
  <c r="AZ896" i="10"/>
  <c r="Z897" i="10"/>
  <c r="AR897" i="10" s="1"/>
  <c r="AA897" i="10" l="1"/>
  <c r="Q898" i="10"/>
  <c r="AB898" i="10" l="1"/>
  <c r="AV897" i="10" s="1"/>
  <c r="S898" i="10"/>
  <c r="AC898" i="10"/>
  <c r="AM898" i="10"/>
  <c r="AJ897" i="10"/>
  <c r="AI897" i="10"/>
  <c r="AG897" i="10"/>
  <c r="AK897" i="10"/>
  <c r="AX897" i="10" s="1"/>
  <c r="AL897" i="10" l="1"/>
  <c r="AH897" i="10"/>
  <c r="AN897" i="10" s="1"/>
  <c r="AW897" i="10" s="1"/>
  <c r="AO897" i="10"/>
  <c r="AY897" i="10" s="1"/>
  <c r="BA897" i="10"/>
  <c r="T898" i="10"/>
  <c r="AQ898" i="10" s="1"/>
  <c r="AD898" i="10"/>
  <c r="U898" i="10"/>
  <c r="W898" i="10" s="1"/>
  <c r="AP898" i="10" s="1"/>
  <c r="X898" i="10" l="1"/>
  <c r="Z898" i="10" s="1"/>
  <c r="AR898" i="10" s="1"/>
  <c r="AZ897" i="10"/>
  <c r="BD897" i="10"/>
  <c r="AA898" i="10" l="1"/>
  <c r="Q899" i="10"/>
  <c r="AB899" i="10" l="1"/>
  <c r="AV898" i="10" s="1"/>
  <c r="AC899" i="10"/>
  <c r="AM899" i="10"/>
  <c r="S899" i="10"/>
  <c r="AJ898" i="10"/>
  <c r="AI898" i="10"/>
  <c r="AG898" i="10"/>
  <c r="AK898" i="10"/>
  <c r="AX898" i="10" s="1"/>
  <c r="AH898" i="10" l="1"/>
  <c r="AO898" i="10"/>
  <c r="AY898" i="10" s="1"/>
  <c r="AL898" i="10"/>
  <c r="T899" i="10"/>
  <c r="AQ899" i="10" s="1"/>
  <c r="AD899" i="10"/>
  <c r="U899" i="10"/>
  <c r="W899" i="10" s="1"/>
  <c r="AP899" i="10" s="1"/>
  <c r="BA898" i="10"/>
  <c r="X899" i="10" l="1"/>
  <c r="AN898" i="10"/>
  <c r="AW898" i="10" s="1"/>
  <c r="AZ898" i="10" l="1"/>
  <c r="BD898" i="10"/>
  <c r="Z899" i="10"/>
  <c r="AR899" i="10" s="1"/>
  <c r="Q900" i="10" l="1"/>
  <c r="AA899" i="10"/>
  <c r="AJ899" i="10" l="1"/>
  <c r="AI899" i="10"/>
  <c r="AG899" i="10"/>
  <c r="AK899" i="10"/>
  <c r="AX899" i="10" s="1"/>
  <c r="S900" i="10"/>
  <c r="AM900" i="10"/>
  <c r="AC900" i="10"/>
  <c r="AB900" i="10"/>
  <c r="AV899" i="10" s="1"/>
  <c r="AD900" i="10" l="1"/>
  <c r="T900" i="10"/>
  <c r="AQ900" i="10" s="1"/>
  <c r="U900" i="10"/>
  <c r="W900" i="10" s="1"/>
  <c r="AP900" i="10" s="1"/>
  <c r="AH899" i="10"/>
  <c r="AO899" i="10"/>
  <c r="AY899" i="10" s="1"/>
  <c r="AL899" i="10"/>
  <c r="BA899" i="10"/>
  <c r="AN899" i="10" l="1"/>
  <c r="AW899" i="10" s="1"/>
  <c r="X900" i="10"/>
  <c r="Z900" i="10" l="1"/>
  <c r="AR900" i="10" s="1"/>
  <c r="AZ899" i="10"/>
  <c r="BD899" i="10"/>
  <c r="Q901" i="10" l="1"/>
  <c r="AA900" i="10"/>
  <c r="AI900" i="10" l="1"/>
  <c r="AJ900" i="10"/>
  <c r="AG900" i="10"/>
  <c r="AK900" i="10"/>
  <c r="AX900" i="10" s="1"/>
  <c r="AM901" i="10"/>
  <c r="AC901" i="10"/>
  <c r="BA900" i="10" s="1"/>
  <c r="S901" i="10"/>
  <c r="AB901" i="10"/>
  <c r="AV900" i="10" s="1"/>
  <c r="AD901" i="10" l="1"/>
  <c r="T901" i="10"/>
  <c r="AQ901" i="10" s="1"/>
  <c r="U901" i="10"/>
  <c r="W901" i="10" s="1"/>
  <c r="AP901" i="10" s="1"/>
  <c r="AH900" i="10"/>
  <c r="AO900" i="10"/>
  <c r="AY900" i="10" s="1"/>
  <c r="AL900" i="10"/>
  <c r="AN900" i="10" l="1"/>
  <c r="AW900" i="10" s="1"/>
  <c r="X901" i="10"/>
  <c r="Z901" i="10" l="1"/>
  <c r="AR901" i="10" s="1"/>
  <c r="AZ900" i="10"/>
  <c r="BD900" i="10"/>
  <c r="Q902" i="10" l="1"/>
  <c r="AA901" i="10"/>
  <c r="AI901" i="10" l="1"/>
  <c r="AJ901" i="10"/>
  <c r="AG901" i="10"/>
  <c r="AK901" i="10"/>
  <c r="AX901" i="10" s="1"/>
  <c r="AB902" i="10"/>
  <c r="AV901" i="10" s="1"/>
  <c r="S902" i="10"/>
  <c r="AM902" i="10"/>
  <c r="AC902" i="10"/>
  <c r="BA901" i="10" l="1"/>
  <c r="AD902" i="10"/>
  <c r="T902" i="10"/>
  <c r="AQ902" i="10" s="1"/>
  <c r="U902" i="10"/>
  <c r="W902" i="10" s="1"/>
  <c r="AP902" i="10" s="1"/>
  <c r="AH901" i="10"/>
  <c r="AO901" i="10"/>
  <c r="AY901" i="10" s="1"/>
  <c r="AL901" i="10"/>
  <c r="AN901" i="10" l="1"/>
  <c r="AW901" i="10" s="1"/>
  <c r="X902" i="10"/>
  <c r="Z902" i="10" l="1"/>
  <c r="AR902" i="10" s="1"/>
  <c r="BD901" i="10"/>
  <c r="AZ901" i="10"/>
  <c r="AA902" i="10" l="1"/>
  <c r="Q903" i="10"/>
  <c r="AM903" i="10" l="1"/>
  <c r="AB903" i="10"/>
  <c r="AV902" i="10" s="1"/>
  <c r="S903" i="10"/>
  <c r="AC903" i="10"/>
  <c r="AJ902" i="10"/>
  <c r="AI902" i="10"/>
  <c r="AG902" i="10"/>
  <c r="AK902" i="10"/>
  <c r="AX902" i="10" s="1"/>
  <c r="AL902" i="10" l="1"/>
  <c r="BA902" i="10"/>
  <c r="AD903" i="10"/>
  <c r="T903" i="10"/>
  <c r="AQ903" i="10" s="1"/>
  <c r="U903" i="10"/>
  <c r="W903" i="10" s="1"/>
  <c r="AP903" i="10" s="1"/>
  <c r="AH902" i="10"/>
  <c r="AN902" i="10" s="1"/>
  <c r="AW902" i="10" s="1"/>
  <c r="AO902" i="10"/>
  <c r="AY902" i="10" s="1"/>
  <c r="BD902" i="10" l="1"/>
  <c r="AZ902" i="10"/>
  <c r="X903" i="10"/>
  <c r="Z903" i="10" l="1"/>
  <c r="AR903" i="10" s="1"/>
  <c r="AA903" i="10" l="1"/>
  <c r="Q904" i="10"/>
  <c r="AM904" i="10" l="1"/>
  <c r="S904" i="10"/>
  <c r="AC904" i="10"/>
  <c r="AB904" i="10"/>
  <c r="AV903" i="10" s="1"/>
  <c r="AJ903" i="10"/>
  <c r="AI903" i="10"/>
  <c r="AG903" i="10"/>
  <c r="AK903" i="10"/>
  <c r="AX903" i="10" s="1"/>
  <c r="AO903" i="10" l="1"/>
  <c r="AY903" i="10" s="1"/>
  <c r="AH903" i="10"/>
  <c r="AL903" i="10"/>
  <c r="AD904" i="10"/>
  <c r="T904" i="10"/>
  <c r="AQ904" i="10" s="1"/>
  <c r="U904" i="10"/>
  <c r="W904" i="10" s="1"/>
  <c r="AP904" i="10" s="1"/>
  <c r="BA903" i="10"/>
  <c r="X904" i="10" l="1"/>
  <c r="AN903" i="10"/>
  <c r="AW903" i="10" s="1"/>
  <c r="Z904" i="10" l="1"/>
  <c r="AR904" i="10" s="1"/>
  <c r="BD903" i="10"/>
  <c r="AZ903" i="10"/>
  <c r="Q905" i="10" l="1"/>
  <c r="AA904" i="10"/>
  <c r="AI904" i="10" l="1"/>
  <c r="AJ904" i="10"/>
  <c r="AG904" i="10"/>
  <c r="AK904" i="10"/>
  <c r="AX904" i="10" s="1"/>
  <c r="AM905" i="10"/>
  <c r="AC905" i="10"/>
  <c r="BA904" i="10" s="1"/>
  <c r="AB905" i="10"/>
  <c r="AV904" i="10" s="1"/>
  <c r="S905" i="10"/>
  <c r="AH904" i="10" l="1"/>
  <c r="AO904" i="10"/>
  <c r="AY904" i="10" s="1"/>
  <c r="AL904" i="10"/>
  <c r="AD905" i="10"/>
  <c r="T905" i="10"/>
  <c r="AQ905" i="10" s="1"/>
  <c r="U905" i="10"/>
  <c r="W905" i="10" s="1"/>
  <c r="AP905" i="10" s="1"/>
  <c r="X905" i="10" l="1"/>
  <c r="AN904" i="10"/>
  <c r="AW904" i="10" s="1"/>
  <c r="BD904" i="10" l="1"/>
  <c r="AZ904" i="10"/>
  <c r="Z905" i="10"/>
  <c r="AR905" i="10" s="1"/>
  <c r="AA905" i="10" l="1"/>
  <c r="Q906" i="10"/>
  <c r="S906" i="10" l="1"/>
  <c r="AC906" i="10"/>
  <c r="AB906" i="10"/>
  <c r="AV905" i="10" s="1"/>
  <c r="AM906" i="10"/>
  <c r="AJ905" i="10"/>
  <c r="AI905" i="10"/>
  <c r="AG905" i="10"/>
  <c r="AK905" i="10"/>
  <c r="AX905" i="10" s="1"/>
  <c r="AL905" i="10" l="1"/>
  <c r="AH905" i="10"/>
  <c r="AN905" i="10" s="1"/>
  <c r="AW905" i="10" s="1"/>
  <c r="AO905" i="10"/>
  <c r="AY905" i="10" s="1"/>
  <c r="BA905" i="10"/>
  <c r="AD906" i="10"/>
  <c r="T906" i="10"/>
  <c r="AQ906" i="10" s="1"/>
  <c r="U906" i="10"/>
  <c r="W906" i="10" s="1"/>
  <c r="AP906" i="10" s="1"/>
  <c r="X906" i="10" l="1"/>
  <c r="AZ905" i="10"/>
  <c r="BD905" i="10"/>
  <c r="Z906" i="10" l="1"/>
  <c r="AR906" i="10" s="1"/>
  <c r="Q907" i="10" l="1"/>
  <c r="AA906" i="10"/>
  <c r="AJ906" i="10" l="1"/>
  <c r="AI906" i="10"/>
  <c r="AG906" i="10"/>
  <c r="AK906" i="10"/>
  <c r="AX906" i="10" s="1"/>
  <c r="S907" i="10"/>
  <c r="AM907" i="10"/>
  <c r="AC907" i="10"/>
  <c r="AB907" i="10"/>
  <c r="AV906" i="10" s="1"/>
  <c r="BA906" i="10" l="1"/>
  <c r="AD907" i="10"/>
  <c r="T907" i="10"/>
  <c r="AQ907" i="10" s="1"/>
  <c r="U907" i="10"/>
  <c r="W907" i="10" s="1"/>
  <c r="AP907" i="10" s="1"/>
  <c r="AO906" i="10"/>
  <c r="AY906" i="10" s="1"/>
  <c r="AH906" i="10"/>
  <c r="AL906" i="10"/>
  <c r="AN906" i="10" l="1"/>
  <c r="AW906" i="10" s="1"/>
  <c r="X907" i="10"/>
  <c r="AZ906" i="10" l="1"/>
  <c r="BD906" i="10"/>
  <c r="Z907" i="10"/>
  <c r="AR907" i="10" s="1"/>
  <c r="AA907" i="10" l="1"/>
  <c r="Q908" i="10"/>
  <c r="AI907" i="10" l="1"/>
  <c r="AJ907" i="10"/>
  <c r="AG907" i="10"/>
  <c r="AK907" i="10"/>
  <c r="AX907" i="10" s="1"/>
  <c r="AC908" i="10"/>
  <c r="BA907" i="10" s="1"/>
  <c r="S908" i="10"/>
  <c r="AM908" i="10"/>
  <c r="AB908" i="10"/>
  <c r="AV907" i="10" s="1"/>
  <c r="AD908" i="10" l="1"/>
  <c r="T908" i="10"/>
  <c r="AQ908" i="10" s="1"/>
  <c r="U908" i="10"/>
  <c r="W908" i="10" s="1"/>
  <c r="AP908" i="10" s="1"/>
  <c r="AO907" i="10"/>
  <c r="AY907" i="10" s="1"/>
  <c r="AH907" i="10"/>
  <c r="AL907" i="10"/>
  <c r="AN907" i="10" l="1"/>
  <c r="AW907" i="10" s="1"/>
  <c r="BD907" i="10" s="1"/>
  <c r="X908" i="10"/>
  <c r="AZ907" i="10" l="1"/>
  <c r="Z908" i="10"/>
  <c r="AR908" i="10" s="1"/>
  <c r="AA908" i="10" l="1"/>
  <c r="Q909" i="10"/>
  <c r="AM909" i="10" l="1"/>
  <c r="AC909" i="10"/>
  <c r="AB909" i="10"/>
  <c r="AV908" i="10" s="1"/>
  <c r="S909" i="10"/>
  <c r="AJ908" i="10"/>
  <c r="AI908" i="10"/>
  <c r="AG908" i="10"/>
  <c r="AK908" i="10"/>
  <c r="AX908" i="10" s="1"/>
  <c r="AL908" i="10" l="1"/>
  <c r="AD909" i="10"/>
  <c r="T909" i="10"/>
  <c r="AQ909" i="10" s="1"/>
  <c r="U909" i="10"/>
  <c r="W909" i="10" s="1"/>
  <c r="AP909" i="10" s="1"/>
  <c r="BA908" i="10"/>
  <c r="AO908" i="10"/>
  <c r="AY908" i="10" s="1"/>
  <c r="AH908" i="10"/>
  <c r="AN908" i="10" l="1"/>
  <c r="AW908" i="10" s="1"/>
  <c r="AZ908" i="10" s="1"/>
  <c r="BD908" i="10"/>
  <c r="X909" i="10"/>
  <c r="Z909" i="10" l="1"/>
  <c r="AR909" i="10" s="1"/>
  <c r="Q910" i="10" l="1"/>
  <c r="AA909" i="10"/>
  <c r="AJ909" i="10" l="1"/>
  <c r="AI909" i="10"/>
  <c r="AG909" i="10"/>
  <c r="AK909" i="10"/>
  <c r="AX909" i="10" s="1"/>
  <c r="AB910" i="10"/>
  <c r="AV909" i="10" s="1"/>
  <c r="S910" i="10"/>
  <c r="AM910" i="10"/>
  <c r="AC910" i="10"/>
  <c r="AD910" i="10" l="1"/>
  <c r="T910" i="10"/>
  <c r="AQ910" i="10" s="1"/>
  <c r="U910" i="10"/>
  <c r="W910" i="10" s="1"/>
  <c r="AP910" i="10" s="1"/>
  <c r="AO909" i="10"/>
  <c r="AY909" i="10" s="1"/>
  <c r="AH909" i="10"/>
  <c r="AL909" i="10"/>
  <c r="BA909" i="10"/>
  <c r="AN909" i="10" l="1"/>
  <c r="AW909" i="10" s="1"/>
  <c r="AZ909" i="10" s="1"/>
  <c r="X910" i="10"/>
  <c r="BD909" i="10" l="1"/>
  <c r="Z910" i="10"/>
  <c r="AR910" i="10" s="1"/>
  <c r="AA910" i="10" l="1"/>
  <c r="Q911" i="10"/>
  <c r="AC911" i="10" l="1"/>
  <c r="S911" i="10"/>
  <c r="AM911" i="10"/>
  <c r="AB911" i="10"/>
  <c r="AV910" i="10" s="1"/>
  <c r="AJ910" i="10"/>
  <c r="AI910" i="10"/>
  <c r="AG910" i="10"/>
  <c r="AK910" i="10"/>
  <c r="AX910" i="10" s="1"/>
  <c r="AH910" i="10" l="1"/>
  <c r="AO910" i="10"/>
  <c r="AY910" i="10" s="1"/>
  <c r="AD911" i="10"/>
  <c r="T911" i="10"/>
  <c r="AQ911" i="10" s="1"/>
  <c r="U911" i="10"/>
  <c r="W911" i="10" s="1"/>
  <c r="AP911" i="10" s="1"/>
  <c r="AL910" i="10"/>
  <c r="BA910" i="10"/>
  <c r="X911" i="10" l="1"/>
  <c r="AN910" i="10"/>
  <c r="AW910" i="10" s="1"/>
  <c r="BD910" i="10" l="1"/>
  <c r="AZ910" i="10"/>
  <c r="Z911" i="10"/>
  <c r="AR911" i="10" s="1"/>
  <c r="AA911" i="10" l="1"/>
  <c r="Q912" i="10"/>
  <c r="AM912" i="10" l="1"/>
  <c r="AC912" i="10"/>
  <c r="AB912" i="10"/>
  <c r="AV911" i="10" s="1"/>
  <c r="S912" i="10"/>
  <c r="AJ911" i="10"/>
  <c r="AI911" i="10"/>
  <c r="AG911" i="10"/>
  <c r="AK911" i="10"/>
  <c r="AX911" i="10" s="1"/>
  <c r="AL911" i="10" l="1"/>
  <c r="AO911" i="10"/>
  <c r="AY911" i="10" s="1"/>
  <c r="AH911" i="10"/>
  <c r="AN911" i="10" s="1"/>
  <c r="AW911" i="10" s="1"/>
  <c r="AD912" i="10"/>
  <c r="T912" i="10"/>
  <c r="AQ912" i="10" s="1"/>
  <c r="U912" i="10"/>
  <c r="W912" i="10" s="1"/>
  <c r="AP912" i="10" s="1"/>
  <c r="BA911" i="10"/>
  <c r="X912" i="10" l="1"/>
  <c r="AZ911" i="10"/>
  <c r="BD911" i="10"/>
  <c r="Z912" i="10" l="1"/>
  <c r="AR912" i="10" s="1"/>
  <c r="Q913" i="10" l="1"/>
  <c r="AA912" i="10"/>
  <c r="AI912" i="10" l="1"/>
  <c r="AJ912" i="10"/>
  <c r="AG912" i="10"/>
  <c r="AK912" i="10"/>
  <c r="AX912" i="10" s="1"/>
  <c r="AM913" i="10"/>
  <c r="AB913" i="10"/>
  <c r="AV912" i="10" s="1"/>
  <c r="AC913" i="10"/>
  <c r="S913" i="10"/>
  <c r="AH912" i="10" l="1"/>
  <c r="AO912" i="10"/>
  <c r="AY912" i="10" s="1"/>
  <c r="AL912" i="10"/>
  <c r="AD913" i="10"/>
  <c r="T913" i="10"/>
  <c r="AQ913" i="10" s="1"/>
  <c r="U913" i="10"/>
  <c r="W913" i="10" s="1"/>
  <c r="AP913" i="10" s="1"/>
  <c r="BA912" i="10"/>
  <c r="X913" i="10" l="1"/>
  <c r="AN912" i="10"/>
  <c r="AW912" i="10" s="1"/>
  <c r="BD912" i="10" l="1"/>
  <c r="AZ912" i="10"/>
  <c r="Z913" i="10"/>
  <c r="AR913" i="10" s="1"/>
  <c r="AA913" i="10" l="1"/>
  <c r="Q914" i="10"/>
  <c r="AM914" i="10" l="1"/>
  <c r="AB914" i="10"/>
  <c r="AV913" i="10" s="1"/>
  <c r="AC914" i="10"/>
  <c r="S914" i="10"/>
  <c r="AJ913" i="10"/>
  <c r="AI913" i="10"/>
  <c r="AG913" i="10"/>
  <c r="AK913" i="10"/>
  <c r="AX913" i="10" s="1"/>
  <c r="AH913" i="10" l="1"/>
  <c r="AO913" i="10"/>
  <c r="AY913" i="10" s="1"/>
  <c r="AL913" i="10"/>
  <c r="AD914" i="10"/>
  <c r="T914" i="10"/>
  <c r="AQ914" i="10" s="1"/>
  <c r="U914" i="10"/>
  <c r="W914" i="10" s="1"/>
  <c r="AP914" i="10" s="1"/>
  <c r="BA913" i="10"/>
  <c r="X914" i="10" l="1"/>
  <c r="AN913" i="10"/>
  <c r="AW913" i="10" s="1"/>
  <c r="AZ913" i="10" l="1"/>
  <c r="BD913" i="10"/>
  <c r="Z914" i="10"/>
  <c r="AR914" i="10" s="1"/>
  <c r="Q915" i="10" l="1"/>
  <c r="AA914" i="10"/>
  <c r="AJ914" i="10" l="1"/>
  <c r="AI914" i="10"/>
  <c r="AG914" i="10"/>
  <c r="AK914" i="10"/>
  <c r="AX914" i="10" s="1"/>
  <c r="AM915" i="10"/>
  <c r="AB915" i="10"/>
  <c r="AV914" i="10" s="1"/>
  <c r="AC915" i="10"/>
  <c r="S915" i="10"/>
  <c r="BA914" i="10" l="1"/>
  <c r="AO914" i="10"/>
  <c r="AY914" i="10" s="1"/>
  <c r="AH914" i="10"/>
  <c r="AL914" i="10"/>
  <c r="AD915" i="10"/>
  <c r="T915" i="10"/>
  <c r="AQ915" i="10" s="1"/>
  <c r="U915" i="10"/>
  <c r="W915" i="10" s="1"/>
  <c r="AP915" i="10" s="1"/>
  <c r="X915" i="10" l="1"/>
  <c r="AN914" i="10"/>
  <c r="AW914" i="10" s="1"/>
  <c r="AZ914" i="10" l="1"/>
  <c r="BD914" i="10"/>
  <c r="Z915" i="10"/>
  <c r="AR915" i="10" s="1"/>
  <c r="Q916" i="10" l="1"/>
  <c r="AA915" i="10"/>
  <c r="AI915" i="10" l="1"/>
  <c r="AJ915" i="10"/>
  <c r="AG915" i="10"/>
  <c r="AK915" i="10"/>
  <c r="AX915" i="10" s="1"/>
  <c r="AC916" i="10"/>
  <c r="BA915" i="10" s="1"/>
  <c r="S916" i="10"/>
  <c r="AB916" i="10"/>
  <c r="AV915" i="10" s="1"/>
  <c r="AM916" i="10"/>
  <c r="AD916" i="10" l="1"/>
  <c r="T916" i="10"/>
  <c r="AQ916" i="10" s="1"/>
  <c r="U916" i="10"/>
  <c r="W916" i="10" s="1"/>
  <c r="AP916" i="10" s="1"/>
  <c r="AO915" i="10"/>
  <c r="AY915" i="10" s="1"/>
  <c r="AH915" i="10"/>
  <c r="AL915" i="10"/>
  <c r="AN915" i="10" l="1"/>
  <c r="AW915" i="10" s="1"/>
  <c r="X916" i="10"/>
  <c r="Z916" i="10" l="1"/>
  <c r="AR916" i="10" s="1"/>
  <c r="BD915" i="10"/>
  <c r="AZ915" i="10"/>
  <c r="AA916" i="10" l="1"/>
  <c r="Q917" i="10"/>
  <c r="AM917" i="10" l="1"/>
  <c r="AC917" i="10"/>
  <c r="AB917" i="10"/>
  <c r="AV916" i="10" s="1"/>
  <c r="S917" i="10"/>
  <c r="AJ916" i="10"/>
  <c r="AI916" i="10"/>
  <c r="AG916" i="10"/>
  <c r="AK916" i="10"/>
  <c r="AX916" i="10" s="1"/>
  <c r="AL916" i="10" l="1"/>
  <c r="AO916" i="10"/>
  <c r="AY916" i="10" s="1"/>
  <c r="AH916" i="10"/>
  <c r="AN916" i="10" s="1"/>
  <c r="AW916" i="10" s="1"/>
  <c r="AD917" i="10"/>
  <c r="T917" i="10"/>
  <c r="AQ917" i="10" s="1"/>
  <c r="U917" i="10"/>
  <c r="W917" i="10" s="1"/>
  <c r="AP917" i="10" s="1"/>
  <c r="BA916" i="10"/>
  <c r="AZ916" i="10" l="1"/>
  <c r="BD916" i="10"/>
  <c r="X917" i="10"/>
  <c r="Z917" i="10" l="1"/>
  <c r="AR917" i="10" s="1"/>
  <c r="AA917" i="10" l="1"/>
  <c r="Q918" i="10"/>
  <c r="AB918" i="10" l="1"/>
  <c r="AV917" i="10" s="1"/>
  <c r="S918" i="10"/>
  <c r="AC918" i="10"/>
  <c r="AM918" i="10"/>
  <c r="AJ917" i="10"/>
  <c r="AI917" i="10"/>
  <c r="AG917" i="10"/>
  <c r="AK917" i="10"/>
  <c r="AX917" i="10" s="1"/>
  <c r="AL917" i="10" l="1"/>
  <c r="BA917" i="10"/>
  <c r="AD918" i="10"/>
  <c r="T918" i="10"/>
  <c r="AQ918" i="10" s="1"/>
  <c r="U918" i="10"/>
  <c r="W918" i="10" s="1"/>
  <c r="AP918" i="10" s="1"/>
  <c r="AH917" i="10"/>
  <c r="AN917" i="10" s="1"/>
  <c r="AW917" i="10" s="1"/>
  <c r="AO917" i="10"/>
  <c r="AY917" i="10" s="1"/>
  <c r="AZ917" i="10" l="1"/>
  <c r="BD917" i="10"/>
  <c r="X918" i="10"/>
  <c r="Z918" i="10" l="1"/>
  <c r="AR918" i="10" s="1"/>
  <c r="AA918" i="10" l="1"/>
  <c r="Q919" i="10"/>
  <c r="AC919" i="10" l="1"/>
  <c r="S919" i="10"/>
  <c r="AM919" i="10"/>
  <c r="AB919" i="10"/>
  <c r="AV918" i="10" s="1"/>
  <c r="AJ918" i="10"/>
  <c r="AI918" i="10"/>
  <c r="AG918" i="10"/>
  <c r="AK918" i="10"/>
  <c r="AX918" i="10" s="1"/>
  <c r="AH918" i="10" l="1"/>
  <c r="AO918" i="10"/>
  <c r="AY918" i="10" s="1"/>
  <c r="AL918" i="10"/>
  <c r="AD919" i="10"/>
  <c r="T919" i="10"/>
  <c r="AQ919" i="10" s="1"/>
  <c r="U919" i="10"/>
  <c r="W919" i="10" s="1"/>
  <c r="AP919" i="10" s="1"/>
  <c r="BA918" i="10"/>
  <c r="X919" i="10" l="1"/>
  <c r="AN918" i="10"/>
  <c r="AW918" i="10" s="1"/>
  <c r="BD918" i="10" l="1"/>
  <c r="AZ918" i="10"/>
  <c r="Z919" i="10"/>
  <c r="AR919" i="10" s="1"/>
  <c r="AA919" i="10" l="1"/>
  <c r="Q920" i="10"/>
  <c r="AC920" i="10" l="1"/>
  <c r="AM920" i="10"/>
  <c r="S920" i="10"/>
  <c r="AB920" i="10"/>
  <c r="AV919" i="10" s="1"/>
  <c r="AJ919" i="10"/>
  <c r="AI919" i="10"/>
  <c r="AG919" i="10"/>
  <c r="AK919" i="10"/>
  <c r="AX919" i="10" s="1"/>
  <c r="AO919" i="10" l="1"/>
  <c r="AY919" i="10" s="1"/>
  <c r="AH919" i="10"/>
  <c r="AL919" i="10"/>
  <c r="AD920" i="10"/>
  <c r="T920" i="10"/>
  <c r="AQ920" i="10" s="1"/>
  <c r="U920" i="10"/>
  <c r="W920" i="10" s="1"/>
  <c r="AP920" i="10" s="1"/>
  <c r="BA919" i="10"/>
  <c r="X920" i="10" l="1"/>
  <c r="AN919" i="10"/>
  <c r="AW919" i="10" s="1"/>
  <c r="BD919" i="10" l="1"/>
  <c r="AZ919" i="10"/>
  <c r="Z920" i="10"/>
  <c r="AR920" i="10" s="1"/>
  <c r="Q921" i="10" l="1"/>
  <c r="AA920" i="10"/>
  <c r="AI920" i="10" l="1"/>
  <c r="AJ920" i="10"/>
  <c r="AG920" i="10"/>
  <c r="AK920" i="10"/>
  <c r="AX920" i="10" s="1"/>
  <c r="AM921" i="10"/>
  <c r="AC921" i="10"/>
  <c r="BA920" i="10" s="1"/>
  <c r="AB921" i="10"/>
  <c r="AV920" i="10" s="1"/>
  <c r="S921" i="10"/>
  <c r="AH920" i="10" l="1"/>
  <c r="AO920" i="10"/>
  <c r="AY920" i="10" s="1"/>
  <c r="AL920" i="10"/>
  <c r="AD921" i="10"/>
  <c r="T921" i="10"/>
  <c r="AQ921" i="10" s="1"/>
  <c r="U921" i="10"/>
  <c r="W921" i="10" s="1"/>
  <c r="AP921" i="10" s="1"/>
  <c r="X921" i="10" l="1"/>
  <c r="Z921" i="10" s="1"/>
  <c r="AR921" i="10" s="1"/>
  <c r="AN920" i="10"/>
  <c r="AW920" i="10" s="1"/>
  <c r="BD920" i="10" l="1"/>
  <c r="AZ920" i="10"/>
  <c r="Q922" i="10"/>
  <c r="AA921" i="10"/>
  <c r="AJ921" i="10" l="1"/>
  <c r="AI921" i="10"/>
  <c r="AG921" i="10"/>
  <c r="AK921" i="10"/>
  <c r="AX921" i="10" s="1"/>
  <c r="S922" i="10"/>
  <c r="AC922" i="10"/>
  <c r="BA921" i="10" s="1"/>
  <c r="AM922" i="10"/>
  <c r="AB922" i="10"/>
  <c r="AV921" i="10" s="1"/>
  <c r="AD922" i="10" l="1"/>
  <c r="T922" i="10"/>
  <c r="AQ922" i="10" s="1"/>
  <c r="U922" i="10"/>
  <c r="W922" i="10" s="1"/>
  <c r="AP922" i="10" s="1"/>
  <c r="AH921" i="10"/>
  <c r="AO921" i="10"/>
  <c r="AY921" i="10" s="1"/>
  <c r="AL921" i="10"/>
  <c r="AN921" i="10" l="1"/>
  <c r="AW921" i="10" s="1"/>
  <c r="AZ921" i="10"/>
  <c r="BD921" i="10"/>
  <c r="X922" i="10"/>
  <c r="Z922" i="10" l="1"/>
  <c r="AR922" i="10" s="1"/>
  <c r="AA922" i="10" l="1"/>
  <c r="Q923" i="10"/>
  <c r="AB923" i="10" l="1"/>
  <c r="AV922" i="10" s="1"/>
  <c r="AM923" i="10"/>
  <c r="AC923" i="10"/>
  <c r="S923" i="10"/>
  <c r="AJ922" i="10"/>
  <c r="AI922" i="10"/>
  <c r="AG922" i="10"/>
  <c r="AK922" i="10"/>
  <c r="AX922" i="10" s="1"/>
  <c r="AL922" i="10" l="1"/>
  <c r="AD923" i="10"/>
  <c r="T923" i="10"/>
  <c r="AQ923" i="10" s="1"/>
  <c r="U923" i="10"/>
  <c r="W923" i="10" s="1"/>
  <c r="AP923" i="10" s="1"/>
  <c r="BA922" i="10"/>
  <c r="AO922" i="10"/>
  <c r="AY922" i="10" s="1"/>
  <c r="AH922" i="10"/>
  <c r="AN922" i="10" l="1"/>
  <c r="AW922" i="10" s="1"/>
  <c r="AZ922" i="10" s="1"/>
  <c r="X923" i="10"/>
  <c r="BD922" i="10" l="1"/>
  <c r="Z923" i="10"/>
  <c r="AR923" i="10" s="1"/>
  <c r="Q924" i="10" l="1"/>
  <c r="AA923" i="10"/>
  <c r="AJ923" i="10" l="1"/>
  <c r="AI923" i="10"/>
  <c r="AG923" i="10"/>
  <c r="AK923" i="10"/>
  <c r="AX923" i="10" s="1"/>
  <c r="AM924" i="10"/>
  <c r="AC924" i="10"/>
  <c r="BA923" i="10" s="1"/>
  <c r="S924" i="10"/>
  <c r="AB924" i="10"/>
  <c r="AV923" i="10" s="1"/>
  <c r="AD924" i="10" l="1"/>
  <c r="T924" i="10"/>
  <c r="AQ924" i="10" s="1"/>
  <c r="U924" i="10"/>
  <c r="W924" i="10" s="1"/>
  <c r="AP924" i="10" s="1"/>
  <c r="AO923" i="10"/>
  <c r="AY923" i="10" s="1"/>
  <c r="AH923" i="10"/>
  <c r="AL923" i="10"/>
  <c r="AN923" i="10" l="1"/>
  <c r="AW923" i="10" s="1"/>
  <c r="X924" i="10"/>
  <c r="AZ923" i="10" l="1"/>
  <c r="BD923" i="10"/>
  <c r="Z924" i="10"/>
  <c r="AR924" i="10" s="1"/>
  <c r="Q925" i="10" l="1"/>
  <c r="AA924" i="10"/>
  <c r="AJ924" i="10" l="1"/>
  <c r="AI924" i="10"/>
  <c r="AG924" i="10"/>
  <c r="AK924" i="10"/>
  <c r="AX924" i="10" s="1"/>
  <c r="AM925" i="10"/>
  <c r="AC925" i="10"/>
  <c r="BA924" i="10" s="1"/>
  <c r="AB925" i="10"/>
  <c r="AV924" i="10" s="1"/>
  <c r="S925" i="10"/>
  <c r="AH924" i="10" l="1"/>
  <c r="AO924" i="10"/>
  <c r="AY924" i="10" s="1"/>
  <c r="AL924" i="10"/>
  <c r="AD925" i="10"/>
  <c r="T925" i="10"/>
  <c r="AQ925" i="10" s="1"/>
  <c r="U925" i="10"/>
  <c r="W925" i="10" s="1"/>
  <c r="AP925" i="10" s="1"/>
  <c r="X925" i="10" l="1"/>
  <c r="AN924" i="10"/>
  <c r="AW924" i="10" s="1"/>
  <c r="BD924" i="10" l="1"/>
  <c r="AZ924" i="10"/>
  <c r="Z925" i="10"/>
  <c r="AR925" i="10" s="1"/>
  <c r="AA925" i="10" l="1"/>
  <c r="Q926" i="10"/>
  <c r="AB926" i="10" l="1"/>
  <c r="AV925" i="10" s="1"/>
  <c r="S926" i="10"/>
  <c r="AC926" i="10"/>
  <c r="AM926" i="10"/>
  <c r="AJ925" i="10"/>
  <c r="AI925" i="10"/>
  <c r="AG925" i="10"/>
  <c r="AK925" i="10"/>
  <c r="AX925" i="10" s="1"/>
  <c r="AL925" i="10" l="1"/>
  <c r="BA925" i="10"/>
  <c r="AD926" i="10"/>
  <c r="T926" i="10"/>
  <c r="AQ926" i="10" s="1"/>
  <c r="U926" i="10"/>
  <c r="W926" i="10" s="1"/>
  <c r="AP926" i="10" s="1"/>
  <c r="AO925" i="10"/>
  <c r="AY925" i="10" s="1"/>
  <c r="AH925" i="10"/>
  <c r="AN925" i="10" l="1"/>
  <c r="AW925" i="10" s="1"/>
  <c r="BD925" i="10" s="1"/>
  <c r="X926" i="10"/>
  <c r="AZ925" i="10" l="1"/>
  <c r="Z926" i="10"/>
  <c r="AR926" i="10" s="1"/>
  <c r="AA926" i="10" l="1"/>
  <c r="Q927" i="10"/>
  <c r="AB927" i="10" l="1"/>
  <c r="AV926" i="10" s="1"/>
  <c r="AM927" i="10"/>
  <c r="S927" i="10"/>
  <c r="AC927" i="10"/>
  <c r="AJ926" i="10"/>
  <c r="AI926" i="10"/>
  <c r="AG926" i="10"/>
  <c r="AK926" i="10"/>
  <c r="AX926" i="10" s="1"/>
  <c r="AO926" i="10" l="1"/>
  <c r="AY926" i="10" s="1"/>
  <c r="AH926" i="10"/>
  <c r="AL926" i="10"/>
  <c r="BA926" i="10"/>
  <c r="AD927" i="10"/>
  <c r="T927" i="10"/>
  <c r="AQ927" i="10" s="1"/>
  <c r="U927" i="10"/>
  <c r="W927" i="10" s="1"/>
  <c r="AP927" i="10" s="1"/>
  <c r="X927" i="10" l="1"/>
  <c r="AN926" i="10"/>
  <c r="AW926" i="10" s="1"/>
  <c r="BD926" i="10" l="1"/>
  <c r="AZ926" i="10"/>
  <c r="Z927" i="10"/>
  <c r="AR927" i="10" s="1"/>
  <c r="Q928" i="10" l="1"/>
  <c r="AA927" i="10"/>
  <c r="AI927" i="10" l="1"/>
  <c r="AJ927" i="10"/>
  <c r="AG927" i="10"/>
  <c r="AK927" i="10"/>
  <c r="AX927" i="10" s="1"/>
  <c r="AC928" i="10"/>
  <c r="BA927" i="10" s="1"/>
  <c r="AB928" i="10"/>
  <c r="AV927" i="10" s="1"/>
  <c r="S928" i="10"/>
  <c r="AM928" i="10"/>
  <c r="AD928" i="10" l="1"/>
  <c r="T928" i="10"/>
  <c r="AQ928" i="10" s="1"/>
  <c r="U928" i="10"/>
  <c r="W928" i="10" s="1"/>
  <c r="AP928" i="10" s="1"/>
  <c r="AO927" i="10"/>
  <c r="AY927" i="10" s="1"/>
  <c r="AH927" i="10"/>
  <c r="AL927" i="10"/>
  <c r="AN927" i="10" l="1"/>
  <c r="AW927" i="10" s="1"/>
  <c r="X928" i="10"/>
  <c r="Z928" i="10" l="1"/>
  <c r="AR928" i="10" s="1"/>
  <c r="AZ927" i="10"/>
  <c r="BD927" i="10"/>
  <c r="Q929" i="10" l="1"/>
  <c r="AA928" i="10"/>
  <c r="AC929" i="10" l="1"/>
  <c r="AB929" i="10"/>
  <c r="AV928" i="10" s="1"/>
  <c r="S929" i="10"/>
  <c r="AM929" i="10"/>
  <c r="AJ928" i="10"/>
  <c r="AI928" i="10"/>
  <c r="AG928" i="10"/>
  <c r="AK928" i="10"/>
  <c r="AX928" i="10" s="1"/>
  <c r="AL928" i="10" l="1"/>
  <c r="AO928" i="10"/>
  <c r="AY928" i="10" s="1"/>
  <c r="AH928" i="10"/>
  <c r="AN928" i="10" s="1"/>
  <c r="AW928" i="10" s="1"/>
  <c r="AD929" i="10"/>
  <c r="T929" i="10"/>
  <c r="AQ929" i="10" s="1"/>
  <c r="U929" i="10"/>
  <c r="W929" i="10" s="1"/>
  <c r="AP929" i="10" s="1"/>
  <c r="BA928" i="10"/>
  <c r="X929" i="10" l="1"/>
  <c r="AZ928" i="10"/>
  <c r="BD928" i="10"/>
  <c r="Z929" i="10" l="1"/>
  <c r="AR929" i="10" s="1"/>
  <c r="Q930" i="10" l="1"/>
  <c r="AA929" i="10"/>
  <c r="AJ929" i="10" l="1"/>
  <c r="AI929" i="10"/>
  <c r="AG929" i="10"/>
  <c r="AK929" i="10"/>
  <c r="AX929" i="10" s="1"/>
  <c r="AC930" i="10"/>
  <c r="BA929" i="10" s="1"/>
  <c r="AB930" i="10"/>
  <c r="AV929" i="10" s="1"/>
  <c r="S930" i="10"/>
  <c r="AM930" i="10"/>
  <c r="AD930" i="10" l="1"/>
  <c r="T930" i="10"/>
  <c r="AQ930" i="10" s="1"/>
  <c r="U930" i="10"/>
  <c r="W930" i="10" s="1"/>
  <c r="AP930" i="10" s="1"/>
  <c r="AO929" i="10"/>
  <c r="AY929" i="10" s="1"/>
  <c r="AH929" i="10"/>
  <c r="AL929" i="10"/>
  <c r="AN929" i="10" l="1"/>
  <c r="AW929" i="10" s="1"/>
  <c r="X930" i="10"/>
  <c r="Z930" i="10" l="1"/>
  <c r="AR930" i="10" s="1"/>
  <c r="AZ929" i="10"/>
  <c r="BD929" i="10"/>
  <c r="Q931" i="10" l="1"/>
  <c r="AA930" i="10"/>
  <c r="AJ930" i="10" l="1"/>
  <c r="AI930" i="10"/>
  <c r="AG930" i="10"/>
  <c r="AK930" i="10"/>
  <c r="AX930" i="10" s="1"/>
  <c r="AC931" i="10"/>
  <c r="BA930" i="10" s="1"/>
  <c r="AB931" i="10"/>
  <c r="AV930" i="10" s="1"/>
  <c r="S931" i="10"/>
  <c r="AM931" i="10"/>
  <c r="AD931" i="10" l="1"/>
  <c r="T931" i="10"/>
  <c r="AQ931" i="10" s="1"/>
  <c r="U931" i="10"/>
  <c r="W931" i="10" s="1"/>
  <c r="AP931" i="10" s="1"/>
  <c r="AO930" i="10"/>
  <c r="AY930" i="10" s="1"/>
  <c r="AH930" i="10"/>
  <c r="AL930" i="10"/>
  <c r="AN930" i="10" l="1"/>
  <c r="AW930" i="10" s="1"/>
  <c r="AZ930" i="10" s="1"/>
  <c r="X931" i="10"/>
  <c r="BD930" i="10" l="1"/>
  <c r="Z931" i="10"/>
  <c r="AR931" i="10" s="1"/>
  <c r="Q932" i="10" l="1"/>
  <c r="AA931" i="10"/>
  <c r="AC932" i="10" l="1"/>
  <c r="AB932" i="10"/>
  <c r="AV931" i="10" s="1"/>
  <c r="S932" i="10"/>
  <c r="AM932" i="10"/>
  <c r="AJ931" i="10"/>
  <c r="AI931" i="10"/>
  <c r="AG931" i="10"/>
  <c r="AK931" i="10"/>
  <c r="AX931" i="10" s="1"/>
  <c r="AH931" i="10" l="1"/>
  <c r="AO931" i="10"/>
  <c r="AY931" i="10" s="1"/>
  <c r="AL931" i="10"/>
  <c r="AD932" i="10"/>
  <c r="T932" i="10"/>
  <c r="AQ932" i="10" s="1"/>
  <c r="U932" i="10"/>
  <c r="W932" i="10" s="1"/>
  <c r="AP932" i="10" s="1"/>
  <c r="BA931" i="10"/>
  <c r="X932" i="10" l="1"/>
  <c r="AN931" i="10"/>
  <c r="AW931" i="10" s="1"/>
  <c r="AZ931" i="10" l="1"/>
  <c r="BD931" i="10"/>
  <c r="Z932" i="10"/>
  <c r="AR932" i="10" s="1"/>
  <c r="Q933" i="10" l="1"/>
  <c r="AA932" i="10"/>
  <c r="AJ932" i="10" l="1"/>
  <c r="AI932" i="10"/>
  <c r="AG932" i="10"/>
  <c r="AK932" i="10"/>
  <c r="AX932" i="10" s="1"/>
  <c r="AC933" i="10"/>
  <c r="BA932" i="10" s="1"/>
  <c r="AB933" i="10"/>
  <c r="AV932" i="10" s="1"/>
  <c r="S933" i="10"/>
  <c r="AM933" i="10"/>
  <c r="AD933" i="10" l="1"/>
  <c r="T933" i="10"/>
  <c r="AQ933" i="10" s="1"/>
  <c r="U933" i="10"/>
  <c r="W933" i="10" s="1"/>
  <c r="AP933" i="10" s="1"/>
  <c r="AH932" i="10"/>
  <c r="AO932" i="10"/>
  <c r="AY932" i="10" s="1"/>
  <c r="AL932" i="10"/>
  <c r="AN932" i="10" l="1"/>
  <c r="AW932" i="10" s="1"/>
  <c r="X933" i="10"/>
  <c r="Z933" i="10" l="1"/>
  <c r="AR933" i="10" s="1"/>
  <c r="AZ932" i="10"/>
  <c r="BD932" i="10"/>
  <c r="Q934" i="10" l="1"/>
  <c r="AA933" i="10"/>
  <c r="AJ933" i="10" l="1"/>
  <c r="AI933" i="10"/>
  <c r="AG933" i="10"/>
  <c r="AK933" i="10"/>
  <c r="AX933" i="10" s="1"/>
  <c r="AC934" i="10"/>
  <c r="BA933" i="10" s="1"/>
  <c r="AB934" i="10"/>
  <c r="AV933" i="10" s="1"/>
  <c r="S934" i="10"/>
  <c r="AM934" i="10"/>
  <c r="AH933" i="10" l="1"/>
  <c r="AO933" i="10"/>
  <c r="AY933" i="10" s="1"/>
  <c r="AL933" i="10"/>
  <c r="AD934" i="10"/>
  <c r="T934" i="10"/>
  <c r="AQ934" i="10" s="1"/>
  <c r="U934" i="10"/>
  <c r="W934" i="10" s="1"/>
  <c r="AP934" i="10" s="1"/>
  <c r="X934" i="10" l="1"/>
  <c r="AN933" i="10"/>
  <c r="AW933" i="10" s="1"/>
  <c r="AZ933" i="10" l="1"/>
  <c r="BD933" i="10"/>
  <c r="Z934" i="10"/>
  <c r="AR934" i="10" s="1"/>
  <c r="Q935" i="10" l="1"/>
  <c r="AA934" i="10"/>
  <c r="AJ934" i="10" l="1"/>
  <c r="AI934" i="10"/>
  <c r="AG934" i="10"/>
  <c r="AK934" i="10"/>
  <c r="AX934" i="10" s="1"/>
  <c r="AC935" i="10"/>
  <c r="BA934" i="10" s="1"/>
  <c r="AB935" i="10"/>
  <c r="AV934" i="10" s="1"/>
  <c r="S935" i="10"/>
  <c r="AM935" i="10"/>
  <c r="AD935" i="10" l="1"/>
  <c r="T935" i="10"/>
  <c r="AQ935" i="10" s="1"/>
  <c r="U935" i="10"/>
  <c r="W935" i="10" s="1"/>
  <c r="AP935" i="10" s="1"/>
  <c r="AH934" i="10"/>
  <c r="AO934" i="10"/>
  <c r="AY934" i="10" s="1"/>
  <c r="AL934" i="10"/>
  <c r="AN934" i="10" l="1"/>
  <c r="AW934" i="10" s="1"/>
  <c r="X935" i="10"/>
  <c r="Z935" i="10" l="1"/>
  <c r="AR935" i="10" s="1"/>
  <c r="AZ934" i="10"/>
  <c r="BD934" i="10"/>
  <c r="Q936" i="10" l="1"/>
  <c r="AA935" i="10"/>
  <c r="AJ935" i="10" l="1"/>
  <c r="AI935" i="10"/>
  <c r="AG935" i="10"/>
  <c r="AK935" i="10"/>
  <c r="AX935" i="10" s="1"/>
  <c r="AC936" i="10"/>
  <c r="BA935" i="10" s="1"/>
  <c r="AB936" i="10"/>
  <c r="AV935" i="10" s="1"/>
  <c r="S936" i="10"/>
  <c r="AM936" i="10"/>
  <c r="AD936" i="10" l="1"/>
  <c r="T936" i="10"/>
  <c r="AQ936" i="10" s="1"/>
  <c r="U936" i="10"/>
  <c r="W936" i="10" s="1"/>
  <c r="AP936" i="10" s="1"/>
  <c r="AH935" i="10"/>
  <c r="AO935" i="10"/>
  <c r="AY935" i="10" s="1"/>
  <c r="AL935" i="10"/>
  <c r="AN935" i="10" l="1"/>
  <c r="AW935" i="10" s="1"/>
  <c r="AZ935" i="10" s="1"/>
  <c r="X936" i="10"/>
  <c r="BD935" i="10" l="1"/>
  <c r="Z936" i="10"/>
  <c r="AR936" i="10" s="1"/>
  <c r="Q937" i="10" l="1"/>
  <c r="AA936" i="10"/>
  <c r="AJ936" i="10" l="1"/>
  <c r="AI936" i="10"/>
  <c r="AG936" i="10"/>
  <c r="AK936" i="10"/>
  <c r="AX936" i="10" s="1"/>
  <c r="AC937" i="10"/>
  <c r="BA936" i="10" s="1"/>
  <c r="AB937" i="10"/>
  <c r="AV936" i="10" s="1"/>
  <c r="S937" i="10"/>
  <c r="AM937" i="10"/>
  <c r="AD937" i="10" l="1"/>
  <c r="T937" i="10"/>
  <c r="AQ937" i="10" s="1"/>
  <c r="U937" i="10"/>
  <c r="W937" i="10" s="1"/>
  <c r="AP937" i="10" s="1"/>
  <c r="AO936" i="10"/>
  <c r="AY936" i="10" s="1"/>
  <c r="AH936" i="10"/>
  <c r="AL936" i="10"/>
  <c r="AN936" i="10" l="1"/>
  <c r="AW936" i="10" s="1"/>
  <c r="AZ936" i="10" s="1"/>
  <c r="X937" i="10"/>
  <c r="BD936" i="10" l="1"/>
  <c r="Z937" i="10"/>
  <c r="AR937" i="10" s="1"/>
  <c r="Q938" i="10" l="1"/>
  <c r="AA937" i="10"/>
  <c r="AJ937" i="10" l="1"/>
  <c r="AI937" i="10"/>
  <c r="AG937" i="10"/>
  <c r="AK937" i="10"/>
  <c r="AX937" i="10" s="1"/>
  <c r="AC938" i="10"/>
  <c r="BA937" i="10" s="1"/>
  <c r="AB938" i="10"/>
  <c r="AV937" i="10" s="1"/>
  <c r="S938" i="10"/>
  <c r="AM938" i="10"/>
  <c r="AD938" i="10" l="1"/>
  <c r="T938" i="10"/>
  <c r="AQ938" i="10" s="1"/>
  <c r="U938" i="10"/>
  <c r="W938" i="10" s="1"/>
  <c r="AP938" i="10" s="1"/>
  <c r="AH937" i="10"/>
  <c r="AO937" i="10"/>
  <c r="AY937" i="10" s="1"/>
  <c r="AL937" i="10"/>
  <c r="AN937" i="10" l="1"/>
  <c r="AW937" i="10" s="1"/>
  <c r="X938" i="10"/>
  <c r="Z938" i="10" l="1"/>
  <c r="AR938" i="10" s="1"/>
  <c r="AZ937" i="10"/>
  <c r="BD937" i="10"/>
  <c r="Q939" i="10" l="1"/>
  <c r="AA938" i="10"/>
  <c r="AJ938" i="10" l="1"/>
  <c r="AI938" i="10"/>
  <c r="AG938" i="10"/>
  <c r="AK938" i="10"/>
  <c r="AX938" i="10" s="1"/>
  <c r="AC939" i="10"/>
  <c r="BA938" i="10" s="1"/>
  <c r="AB939" i="10"/>
  <c r="AV938" i="10" s="1"/>
  <c r="S939" i="10"/>
  <c r="AM939" i="10"/>
  <c r="AD939" i="10" l="1"/>
  <c r="T939" i="10"/>
  <c r="AQ939" i="10" s="1"/>
  <c r="U939" i="10"/>
  <c r="W939" i="10" s="1"/>
  <c r="AP939" i="10" s="1"/>
  <c r="AH938" i="10"/>
  <c r="AO938" i="10"/>
  <c r="AY938" i="10" s="1"/>
  <c r="AL938" i="10"/>
  <c r="AN938" i="10" l="1"/>
  <c r="AW938" i="10" s="1"/>
  <c r="X939" i="10"/>
  <c r="Z939" i="10" l="1"/>
  <c r="AR939" i="10" s="1"/>
  <c r="AZ938" i="10"/>
  <c r="BD938" i="10"/>
  <c r="Q940" i="10" l="1"/>
  <c r="AA939" i="10"/>
  <c r="AJ939" i="10" l="1"/>
  <c r="AI939" i="10"/>
  <c r="AG939" i="10"/>
  <c r="AK939" i="10"/>
  <c r="AX939" i="10" s="1"/>
  <c r="AC940" i="10"/>
  <c r="BA939" i="10" s="1"/>
  <c r="AB940" i="10"/>
  <c r="AV939" i="10" s="1"/>
  <c r="S940" i="10"/>
  <c r="AM940" i="10"/>
  <c r="AD940" i="10" l="1"/>
  <c r="T940" i="10"/>
  <c r="AQ940" i="10" s="1"/>
  <c r="U940" i="10"/>
  <c r="W940" i="10" s="1"/>
  <c r="AP940" i="10" s="1"/>
  <c r="AH939" i="10"/>
  <c r="AO939" i="10"/>
  <c r="AY939" i="10" s="1"/>
  <c r="AL939" i="10"/>
  <c r="AN939" i="10" l="1"/>
  <c r="AW939" i="10" s="1"/>
  <c r="AZ939" i="10" s="1"/>
  <c r="X940" i="10"/>
  <c r="BD939" i="10" l="1"/>
  <c r="Z940" i="10"/>
  <c r="AR940" i="10" s="1"/>
  <c r="Q941" i="10" l="1"/>
  <c r="AA940" i="10"/>
  <c r="AJ940" i="10" l="1"/>
  <c r="AI940" i="10"/>
  <c r="AG940" i="10"/>
  <c r="AK940" i="10"/>
  <c r="AX940" i="10" s="1"/>
  <c r="AC941" i="10"/>
  <c r="BA940" i="10" s="1"/>
  <c r="AB941" i="10"/>
  <c r="AV940" i="10" s="1"/>
  <c r="S941" i="10"/>
  <c r="AM941" i="10"/>
  <c r="AH940" i="10" l="1"/>
  <c r="AO940" i="10"/>
  <c r="AY940" i="10" s="1"/>
  <c r="AL940" i="10"/>
  <c r="AD941" i="10"/>
  <c r="T941" i="10"/>
  <c r="AQ941" i="10" s="1"/>
  <c r="U941" i="10"/>
  <c r="W941" i="10" s="1"/>
  <c r="AP941" i="10" s="1"/>
  <c r="X941" i="10" l="1"/>
  <c r="AN940" i="10"/>
  <c r="AW940" i="10" s="1"/>
  <c r="AZ940" i="10" l="1"/>
  <c r="BD940" i="10"/>
  <c r="Z941" i="10"/>
  <c r="AR941" i="10" s="1"/>
  <c r="Q942" i="10" l="1"/>
  <c r="AA941" i="10"/>
  <c r="AJ941" i="10" l="1"/>
  <c r="AI941" i="10"/>
  <c r="AG941" i="10"/>
  <c r="AK941" i="10"/>
  <c r="AX941" i="10" s="1"/>
  <c r="AC942" i="10"/>
  <c r="BA941" i="10" s="1"/>
  <c r="AB942" i="10"/>
  <c r="AV941" i="10" s="1"/>
  <c r="S942" i="10"/>
  <c r="AM942" i="10"/>
  <c r="AD942" i="10" l="1"/>
  <c r="T942" i="10"/>
  <c r="AQ942" i="10" s="1"/>
  <c r="U942" i="10"/>
  <c r="W942" i="10" s="1"/>
  <c r="AP942" i="10" s="1"/>
  <c r="AH941" i="10"/>
  <c r="AO941" i="10"/>
  <c r="AY941" i="10" s="1"/>
  <c r="AL941" i="10"/>
  <c r="AN941" i="10" l="1"/>
  <c r="AW941" i="10" s="1"/>
  <c r="X942" i="10"/>
  <c r="Z942" i="10" l="1"/>
  <c r="AR942" i="10" s="1"/>
  <c r="AZ941" i="10"/>
  <c r="BD941" i="10"/>
  <c r="Q943" i="10" l="1"/>
  <c r="AA942" i="10"/>
  <c r="AJ942" i="10" l="1"/>
  <c r="AI942" i="10"/>
  <c r="AG942" i="10"/>
  <c r="AK942" i="10"/>
  <c r="AX942" i="10" s="1"/>
  <c r="AC943" i="10"/>
  <c r="BA942" i="10" s="1"/>
  <c r="AB943" i="10"/>
  <c r="AV942" i="10" s="1"/>
  <c r="S943" i="10"/>
  <c r="AM943" i="10"/>
  <c r="AD943" i="10" l="1"/>
  <c r="T943" i="10"/>
  <c r="AQ943" i="10" s="1"/>
  <c r="U943" i="10"/>
  <c r="W943" i="10" s="1"/>
  <c r="AP943" i="10" s="1"/>
  <c r="AH942" i="10"/>
  <c r="AO942" i="10"/>
  <c r="AY942" i="10" s="1"/>
  <c r="AL942" i="10"/>
  <c r="AN942" i="10" l="1"/>
  <c r="AW942" i="10" s="1"/>
  <c r="X943" i="10"/>
  <c r="Z943" i="10" l="1"/>
  <c r="AR943" i="10" s="1"/>
  <c r="AZ942" i="10"/>
  <c r="BD942" i="10"/>
  <c r="Q944" i="10" l="1"/>
  <c r="AA943" i="10"/>
  <c r="AJ943" i="10" l="1"/>
  <c r="AI943" i="10"/>
  <c r="AG943" i="10"/>
  <c r="AK943" i="10"/>
  <c r="AX943" i="10" s="1"/>
  <c r="AC944" i="10"/>
  <c r="BA943" i="10" s="1"/>
  <c r="AB944" i="10"/>
  <c r="AV943" i="10" s="1"/>
  <c r="S944" i="10"/>
  <c r="AM944" i="10"/>
  <c r="AD944" i="10" l="1"/>
  <c r="T944" i="10"/>
  <c r="AQ944" i="10" s="1"/>
  <c r="U944" i="10"/>
  <c r="W944" i="10" s="1"/>
  <c r="AP944" i="10" s="1"/>
  <c r="AH943" i="10"/>
  <c r="AO943" i="10"/>
  <c r="AY943" i="10" s="1"/>
  <c r="AL943" i="10"/>
  <c r="AN943" i="10" l="1"/>
  <c r="AW943" i="10" s="1"/>
  <c r="X944" i="10"/>
  <c r="Z944" i="10" l="1"/>
  <c r="AR944" i="10" s="1"/>
  <c r="AZ943" i="10"/>
  <c r="BD943" i="10"/>
  <c r="Q945" i="10" l="1"/>
  <c r="AA944" i="10"/>
  <c r="AJ944" i="10" l="1"/>
  <c r="AI944" i="10"/>
  <c r="AG944" i="10"/>
  <c r="AK944" i="10"/>
  <c r="AX944" i="10" s="1"/>
  <c r="AC945" i="10"/>
  <c r="BA944" i="10" s="1"/>
  <c r="AB945" i="10"/>
  <c r="AV944" i="10" s="1"/>
  <c r="S945" i="10"/>
  <c r="AM945" i="10"/>
  <c r="AD945" i="10" l="1"/>
  <c r="T945" i="10"/>
  <c r="AQ945" i="10" s="1"/>
  <c r="U945" i="10"/>
  <c r="W945" i="10" s="1"/>
  <c r="AP945" i="10" s="1"/>
  <c r="AO944" i="10"/>
  <c r="AY944" i="10" s="1"/>
  <c r="AH944" i="10"/>
  <c r="AL944" i="10"/>
  <c r="AN944" i="10" l="1"/>
  <c r="AW944" i="10" s="1"/>
  <c r="X945" i="10"/>
  <c r="Z945" i="10" l="1"/>
  <c r="AR945" i="10" s="1"/>
  <c r="AZ944" i="10"/>
  <c r="BD944" i="10"/>
  <c r="Q946" i="10" l="1"/>
  <c r="AA945" i="10"/>
  <c r="AJ945" i="10" l="1"/>
  <c r="AI945" i="10"/>
  <c r="AG945" i="10"/>
  <c r="AK945" i="10"/>
  <c r="AX945" i="10" s="1"/>
  <c r="AC946" i="10"/>
  <c r="BA945" i="10" s="1"/>
  <c r="AB946" i="10"/>
  <c r="AV945" i="10" s="1"/>
  <c r="S946" i="10"/>
  <c r="AM946" i="10"/>
  <c r="AH945" i="10" l="1"/>
  <c r="AO945" i="10"/>
  <c r="AY945" i="10" s="1"/>
  <c r="AL945" i="10"/>
  <c r="AD946" i="10"/>
  <c r="T946" i="10"/>
  <c r="AQ946" i="10" s="1"/>
  <c r="U946" i="10"/>
  <c r="W946" i="10" s="1"/>
  <c r="AP946" i="10" s="1"/>
  <c r="X946" i="10" l="1"/>
  <c r="AN945" i="10"/>
  <c r="AW945" i="10" s="1"/>
  <c r="AZ945" i="10" l="1"/>
  <c r="BD945" i="10"/>
  <c r="Z946" i="10"/>
  <c r="AR946" i="10" s="1"/>
  <c r="AA946" i="10" l="1"/>
  <c r="Q947" i="10"/>
  <c r="AB947" i="10" l="1"/>
  <c r="AV946" i="10" s="1"/>
  <c r="S947" i="10"/>
  <c r="AC947" i="10"/>
  <c r="AM947" i="10"/>
  <c r="AJ946" i="10"/>
  <c r="AI946" i="10"/>
  <c r="AG946" i="10"/>
  <c r="AK946" i="10"/>
  <c r="AX946" i="10" s="1"/>
  <c r="AO946" i="10" l="1"/>
  <c r="AY946" i="10" s="1"/>
  <c r="AH946" i="10"/>
  <c r="AL946" i="10"/>
  <c r="BA946" i="10"/>
  <c r="AD947" i="10"/>
  <c r="T947" i="10"/>
  <c r="AQ947" i="10" s="1"/>
  <c r="U947" i="10"/>
  <c r="W947" i="10" s="1"/>
  <c r="AP947" i="10" s="1"/>
  <c r="X947" i="10" l="1"/>
  <c r="AN946" i="10"/>
  <c r="AW946" i="10" s="1"/>
  <c r="BD946" i="10" l="1"/>
  <c r="AZ946" i="10"/>
  <c r="Z947" i="10"/>
  <c r="AR947" i="10" s="1"/>
  <c r="AA947" i="10" l="1"/>
  <c r="Q948" i="10"/>
  <c r="AC948" i="10" l="1"/>
  <c r="AB948" i="10"/>
  <c r="AV947" i="10" s="1"/>
  <c r="S948" i="10"/>
  <c r="AM948" i="10"/>
  <c r="AJ947" i="10"/>
  <c r="AI947" i="10"/>
  <c r="AG947" i="10"/>
  <c r="AK947" i="10"/>
  <c r="AX947" i="10" s="1"/>
  <c r="AL947" i="10" l="1"/>
  <c r="AH947" i="10"/>
  <c r="AO947" i="10"/>
  <c r="AY947" i="10" s="1"/>
  <c r="AD948" i="10"/>
  <c r="T948" i="10"/>
  <c r="AQ948" i="10" s="1"/>
  <c r="U948" i="10"/>
  <c r="W948" i="10" s="1"/>
  <c r="AP948" i="10" s="1"/>
  <c r="BA947" i="10"/>
  <c r="AN947" i="10" l="1"/>
  <c r="AW947" i="10" s="1"/>
  <c r="X948" i="10"/>
  <c r="BD947" i="10"/>
  <c r="AZ947" i="10"/>
  <c r="Z948" i="10" l="1"/>
  <c r="AR948" i="10" s="1"/>
  <c r="AA948" i="10" l="1"/>
  <c r="Q949" i="10"/>
  <c r="AB949" i="10" l="1"/>
  <c r="AV948" i="10" s="1"/>
  <c r="AM949" i="10"/>
  <c r="S949" i="10"/>
  <c r="AC949" i="10"/>
  <c r="AJ948" i="10"/>
  <c r="AI948" i="10"/>
  <c r="AG948" i="10"/>
  <c r="AK948" i="10"/>
  <c r="AX948" i="10" s="1"/>
  <c r="AL948" i="10" l="1"/>
  <c r="BA948" i="10"/>
  <c r="AD949" i="10"/>
  <c r="T949" i="10"/>
  <c r="AQ949" i="10" s="1"/>
  <c r="U949" i="10"/>
  <c r="W949" i="10" s="1"/>
  <c r="AP949" i="10" s="1"/>
  <c r="AH948" i="10"/>
  <c r="AN948" i="10" s="1"/>
  <c r="AW948" i="10" s="1"/>
  <c r="AO948" i="10"/>
  <c r="AY948" i="10" s="1"/>
  <c r="BD948" i="10" l="1"/>
  <c r="AZ948" i="10"/>
  <c r="X949" i="10"/>
  <c r="Z949" i="10" l="1"/>
  <c r="AR949" i="10" s="1"/>
  <c r="Q950" i="10" l="1"/>
  <c r="AA949" i="10"/>
  <c r="AI949" i="10" l="1"/>
  <c r="AJ949" i="10"/>
  <c r="AG949" i="10"/>
  <c r="AK949" i="10"/>
  <c r="AX949" i="10" s="1"/>
  <c r="AM950" i="10"/>
  <c r="AC950" i="10"/>
  <c r="BA949" i="10" s="1"/>
  <c r="AB950" i="10"/>
  <c r="AV949" i="10" s="1"/>
  <c r="S950" i="10"/>
  <c r="AD950" i="10" l="1"/>
  <c r="T950" i="10"/>
  <c r="AQ950" i="10" s="1"/>
  <c r="U950" i="10"/>
  <c r="W950" i="10" s="1"/>
  <c r="AP950" i="10" s="1"/>
  <c r="AH949" i="10"/>
  <c r="AO949" i="10"/>
  <c r="AY949" i="10" s="1"/>
  <c r="AL949" i="10"/>
  <c r="AN949" i="10" l="1"/>
  <c r="AW949" i="10" s="1"/>
  <c r="X950" i="10"/>
  <c r="BD949" i="10" l="1"/>
  <c r="AZ949" i="10"/>
  <c r="Z950" i="10"/>
  <c r="AR950" i="10" s="1"/>
  <c r="Q951" i="10" l="1"/>
  <c r="AA950" i="10"/>
  <c r="AI950" i="10" l="1"/>
  <c r="AJ950" i="10"/>
  <c r="AG950" i="10"/>
  <c r="AK950" i="10"/>
  <c r="AX950" i="10" s="1"/>
  <c r="AM951" i="10"/>
  <c r="AC951" i="10"/>
  <c r="BA950" i="10" s="1"/>
  <c r="S951" i="10"/>
  <c r="AB951" i="10"/>
  <c r="AV950" i="10" s="1"/>
  <c r="AD951" i="10" l="1"/>
  <c r="T951" i="10"/>
  <c r="AQ951" i="10" s="1"/>
  <c r="U951" i="10"/>
  <c r="W951" i="10" s="1"/>
  <c r="AP951" i="10" s="1"/>
  <c r="AH950" i="10"/>
  <c r="AO950" i="10"/>
  <c r="AY950" i="10" s="1"/>
  <c r="AL950" i="10"/>
  <c r="AN950" i="10" l="1"/>
  <c r="AW950" i="10" s="1"/>
  <c r="BD950" i="10"/>
  <c r="AZ950" i="10"/>
  <c r="X951" i="10"/>
  <c r="Z951" i="10" l="1"/>
  <c r="AR951" i="10" s="1"/>
  <c r="Q952" i="10" l="1"/>
  <c r="AA951" i="10"/>
  <c r="AJ951" i="10" l="1"/>
  <c r="AI951" i="10"/>
  <c r="AG951" i="10"/>
  <c r="AK951" i="10"/>
  <c r="AX951" i="10" s="1"/>
  <c r="AM952" i="10"/>
  <c r="AC952" i="10"/>
  <c r="AB952" i="10"/>
  <c r="AV951" i="10" s="1"/>
  <c r="S952" i="10"/>
  <c r="BA951" i="10" l="1"/>
  <c r="AO951" i="10"/>
  <c r="AY951" i="10" s="1"/>
  <c r="AH951" i="10"/>
  <c r="AL951" i="10"/>
  <c r="AD952" i="10"/>
  <c r="T952" i="10"/>
  <c r="AQ952" i="10" s="1"/>
  <c r="U952" i="10"/>
  <c r="W952" i="10" s="1"/>
  <c r="AP952" i="10" s="1"/>
  <c r="X952" i="10" l="1"/>
  <c r="AN951" i="10"/>
  <c r="AW951" i="10" s="1"/>
  <c r="BD951" i="10" l="1"/>
  <c r="AZ951" i="10"/>
  <c r="Z952" i="10"/>
  <c r="AR952" i="10" s="1"/>
  <c r="AA952" i="10" l="1"/>
  <c r="Q953" i="10"/>
  <c r="AM953" i="10" l="1"/>
  <c r="AC953" i="10"/>
  <c r="AB953" i="10"/>
  <c r="AV952" i="10" s="1"/>
  <c r="S953" i="10"/>
  <c r="AJ952" i="10"/>
  <c r="AI952" i="10"/>
  <c r="AG952" i="10"/>
  <c r="AK952" i="10"/>
  <c r="AX952" i="10" s="1"/>
  <c r="AL952" i="10" l="1"/>
  <c r="BA952" i="10"/>
  <c r="AO952" i="10"/>
  <c r="AY952" i="10" s="1"/>
  <c r="AH952" i="10"/>
  <c r="AN952" i="10" s="1"/>
  <c r="AW952" i="10" s="1"/>
  <c r="AD953" i="10"/>
  <c r="T953" i="10"/>
  <c r="AQ953" i="10" s="1"/>
  <c r="U953" i="10"/>
  <c r="W953" i="10" s="1"/>
  <c r="AP953" i="10" s="1"/>
  <c r="X953" i="10" l="1"/>
  <c r="BD952" i="10"/>
  <c r="AZ952" i="10"/>
  <c r="Z953" i="10" l="1"/>
  <c r="AR953" i="10" s="1"/>
  <c r="AA953" i="10" l="1"/>
  <c r="Q954" i="10"/>
  <c r="AC954" i="10" l="1"/>
  <c r="AB954" i="10"/>
  <c r="AV953" i="10" s="1"/>
  <c r="S954" i="10"/>
  <c r="AM954" i="10"/>
  <c r="AJ953" i="10"/>
  <c r="AI953" i="10"/>
  <c r="AG953" i="10"/>
  <c r="AK953" i="10"/>
  <c r="AX953" i="10" s="1"/>
  <c r="AO953" i="10" l="1"/>
  <c r="AY953" i="10" s="1"/>
  <c r="AH953" i="10"/>
  <c r="AL953" i="10"/>
  <c r="T954" i="10"/>
  <c r="AQ954" i="10" s="1"/>
  <c r="AD954" i="10"/>
  <c r="U954" i="10"/>
  <c r="W954" i="10" s="1"/>
  <c r="AP954" i="10" s="1"/>
  <c r="BA953" i="10"/>
  <c r="X954" i="10" l="1"/>
  <c r="AN953" i="10"/>
  <c r="AW953" i="10" s="1"/>
  <c r="BD953" i="10" l="1"/>
  <c r="AZ953" i="10"/>
  <c r="Z954" i="10"/>
  <c r="AR954" i="10" s="1"/>
  <c r="AA954" i="10" l="1"/>
  <c r="Q955" i="10"/>
  <c r="AB955" i="10" l="1"/>
  <c r="AV954" i="10" s="1"/>
  <c r="S955" i="10"/>
  <c r="AM955" i="10"/>
  <c r="AC955" i="10"/>
  <c r="AJ954" i="10"/>
  <c r="AI954" i="10"/>
  <c r="AG954" i="10"/>
  <c r="AK954" i="10"/>
  <c r="AX954" i="10" s="1"/>
  <c r="AL954" i="10" l="1"/>
  <c r="AO954" i="10"/>
  <c r="AY954" i="10" s="1"/>
  <c r="AH954" i="10"/>
  <c r="AN954" i="10" s="1"/>
  <c r="AW954" i="10" s="1"/>
  <c r="BA954" i="10"/>
  <c r="T955" i="10"/>
  <c r="AQ955" i="10" s="1"/>
  <c r="AD955" i="10"/>
  <c r="U955" i="10"/>
  <c r="W955" i="10" s="1"/>
  <c r="AP955" i="10" s="1"/>
  <c r="X955" i="10" l="1"/>
  <c r="BD954" i="10"/>
  <c r="AZ954" i="10"/>
  <c r="Z955" i="10" l="1"/>
  <c r="AR955" i="10" s="1"/>
  <c r="AA955" i="10" l="1"/>
  <c r="Q956" i="10"/>
  <c r="S956" i="10" l="1"/>
  <c r="AB956" i="10"/>
  <c r="AV955" i="10" s="1"/>
  <c r="AC956" i="10"/>
  <c r="AM956" i="10"/>
  <c r="AJ955" i="10"/>
  <c r="AI955" i="10"/>
  <c r="AG955" i="10"/>
  <c r="AK955" i="10"/>
  <c r="AX955" i="10" s="1"/>
  <c r="AL955" i="10" l="1"/>
  <c r="BA955" i="10"/>
  <c r="T956" i="10"/>
  <c r="AQ956" i="10" s="1"/>
  <c r="AD956" i="10"/>
  <c r="U956" i="10"/>
  <c r="W956" i="10" s="1"/>
  <c r="AP956" i="10" s="1"/>
  <c r="AH955" i="10"/>
  <c r="AN955" i="10" s="1"/>
  <c r="AW955" i="10" s="1"/>
  <c r="AO955" i="10"/>
  <c r="AY955" i="10" s="1"/>
  <c r="BD955" i="10" l="1"/>
  <c r="AZ955" i="10"/>
  <c r="X956" i="10"/>
  <c r="Z956" i="10" l="1"/>
  <c r="AR956" i="10" s="1"/>
  <c r="AA956" i="10" l="1"/>
  <c r="Q957" i="10"/>
  <c r="AM957" i="10" l="1"/>
  <c r="S957" i="10"/>
  <c r="AB957" i="10"/>
  <c r="AV956" i="10" s="1"/>
  <c r="AC957" i="10"/>
  <c r="AJ956" i="10"/>
  <c r="AI956" i="10"/>
  <c r="AG956" i="10"/>
  <c r="AK956" i="10"/>
  <c r="AX956" i="10" s="1"/>
  <c r="AH956" i="10" l="1"/>
  <c r="AO956" i="10"/>
  <c r="AY956" i="10" s="1"/>
  <c r="AL956" i="10"/>
  <c r="BA956" i="10"/>
  <c r="AD957" i="10"/>
  <c r="T957" i="10"/>
  <c r="AQ957" i="10" s="1"/>
  <c r="U957" i="10"/>
  <c r="W957" i="10" s="1"/>
  <c r="AP957" i="10" s="1"/>
  <c r="X957" i="10" l="1"/>
  <c r="AN956" i="10"/>
  <c r="AW956" i="10" s="1"/>
  <c r="BD956" i="10" l="1"/>
  <c r="AZ956" i="10"/>
  <c r="Z957" i="10"/>
  <c r="AR957" i="10" s="1"/>
  <c r="AA957" i="10" l="1"/>
  <c r="Q958" i="10"/>
  <c r="AM958" i="10" l="1"/>
  <c r="AC958" i="10"/>
  <c r="AB958" i="10"/>
  <c r="AV957" i="10" s="1"/>
  <c r="S958" i="10"/>
  <c r="AI957" i="10"/>
  <c r="AJ957" i="10"/>
  <c r="AG957" i="10"/>
  <c r="AK957" i="10"/>
  <c r="AX957" i="10" s="1"/>
  <c r="AL957" i="10" l="1"/>
  <c r="AH957" i="10"/>
  <c r="AO957" i="10"/>
  <c r="AY957" i="10" s="1"/>
  <c r="AD958" i="10"/>
  <c r="T958" i="10"/>
  <c r="AQ958" i="10" s="1"/>
  <c r="U958" i="10"/>
  <c r="W958" i="10" s="1"/>
  <c r="AP958" i="10" s="1"/>
  <c r="BA957" i="10"/>
  <c r="AN957" i="10" l="1"/>
  <c r="AW957" i="10" s="1"/>
  <c r="X958" i="10"/>
  <c r="BD957" i="10"/>
  <c r="AZ957" i="10"/>
  <c r="Z958" i="10" l="1"/>
  <c r="AR958" i="10" s="1"/>
  <c r="Q959" i="10" l="1"/>
  <c r="AA958" i="10"/>
  <c r="AJ958" i="10" l="1"/>
  <c r="AI958" i="10"/>
  <c r="AG958" i="10"/>
  <c r="AK958" i="10"/>
  <c r="AX958" i="10" s="1"/>
  <c r="AM959" i="10"/>
  <c r="AC959" i="10"/>
  <c r="BA958" i="10" s="1"/>
  <c r="AB959" i="10"/>
  <c r="AV958" i="10" s="1"/>
  <c r="S959" i="10"/>
  <c r="AH958" i="10" l="1"/>
  <c r="AO958" i="10"/>
  <c r="AY958" i="10" s="1"/>
  <c r="AL958" i="10"/>
  <c r="AD959" i="10"/>
  <c r="T959" i="10"/>
  <c r="AQ959" i="10" s="1"/>
  <c r="U959" i="10"/>
  <c r="W959" i="10" s="1"/>
  <c r="AP959" i="10" s="1"/>
  <c r="X959" i="10" l="1"/>
  <c r="AN958" i="10"/>
  <c r="AW958" i="10" s="1"/>
  <c r="BD958" i="10" l="1"/>
  <c r="AZ958" i="10"/>
  <c r="Z959" i="10"/>
  <c r="AR959" i="10" s="1"/>
  <c r="AA959" i="10" l="1"/>
  <c r="Q960" i="10"/>
  <c r="AM960" i="10" l="1"/>
  <c r="AC960" i="10"/>
  <c r="AB960" i="10"/>
  <c r="AV959" i="10" s="1"/>
  <c r="S960" i="10"/>
  <c r="AI959" i="10"/>
  <c r="AJ959" i="10"/>
  <c r="AG959" i="10"/>
  <c r="AK959" i="10"/>
  <c r="AX959" i="10" s="1"/>
  <c r="AO959" i="10" l="1"/>
  <c r="AY959" i="10" s="1"/>
  <c r="AH959" i="10"/>
  <c r="AL959" i="10"/>
  <c r="AD960" i="10"/>
  <c r="T960" i="10"/>
  <c r="AQ960" i="10" s="1"/>
  <c r="U960" i="10"/>
  <c r="W960" i="10" s="1"/>
  <c r="AP960" i="10" s="1"/>
  <c r="BA959" i="10"/>
  <c r="X960" i="10" l="1"/>
  <c r="AN959" i="10"/>
  <c r="AW959" i="10" s="1"/>
  <c r="Z960" i="10" l="1"/>
  <c r="AR960" i="10" s="1"/>
  <c r="BD959" i="10"/>
  <c r="AZ959" i="10"/>
  <c r="Q961" i="10" l="1"/>
  <c r="AA960" i="10"/>
  <c r="AJ960" i="10" l="1"/>
  <c r="AI960" i="10"/>
  <c r="AG960" i="10"/>
  <c r="AK960" i="10"/>
  <c r="AX960" i="10" s="1"/>
  <c r="AM961" i="10"/>
  <c r="AC961" i="10"/>
  <c r="BA960" i="10" s="1"/>
  <c r="AB961" i="10"/>
  <c r="AV960" i="10" s="1"/>
  <c r="S961" i="10"/>
  <c r="AO960" i="10" l="1"/>
  <c r="AY960" i="10" s="1"/>
  <c r="AH960" i="10"/>
  <c r="AL960" i="10"/>
  <c r="AD961" i="10"/>
  <c r="T961" i="10"/>
  <c r="AQ961" i="10" s="1"/>
  <c r="U961" i="10"/>
  <c r="W961" i="10" s="1"/>
  <c r="AP961" i="10" s="1"/>
  <c r="X961" i="10" l="1"/>
  <c r="AN960" i="10"/>
  <c r="AW960" i="10" s="1"/>
  <c r="BD960" i="10" l="1"/>
  <c r="AZ960" i="10"/>
  <c r="Z961" i="10"/>
  <c r="AR961" i="10" s="1"/>
  <c r="AA961" i="10" l="1"/>
  <c r="Q962" i="10"/>
  <c r="AC962" i="10" l="1"/>
  <c r="AB962" i="10"/>
  <c r="AV961" i="10" s="1"/>
  <c r="S962" i="10"/>
  <c r="AM962" i="10"/>
  <c r="AJ961" i="10"/>
  <c r="AI961" i="10"/>
  <c r="AG961" i="10"/>
  <c r="AK961" i="10"/>
  <c r="AX961" i="10" s="1"/>
  <c r="AL961" i="10" l="1"/>
  <c r="T962" i="10"/>
  <c r="AQ962" i="10" s="1"/>
  <c r="AD962" i="10"/>
  <c r="U962" i="10"/>
  <c r="W962" i="10" s="1"/>
  <c r="AP962" i="10" s="1"/>
  <c r="BA961" i="10"/>
  <c r="AH961" i="10"/>
  <c r="AN961" i="10" s="1"/>
  <c r="AW961" i="10" s="1"/>
  <c r="AO961" i="10"/>
  <c r="AY961" i="10" s="1"/>
  <c r="BD961" i="10" l="1"/>
  <c r="AZ961" i="10"/>
  <c r="X962" i="10"/>
  <c r="Z962" i="10" l="1"/>
  <c r="AR962" i="10" s="1"/>
  <c r="AA962" i="10" l="1"/>
  <c r="Q963" i="10"/>
  <c r="AB963" i="10" l="1"/>
  <c r="AV962" i="10" s="1"/>
  <c r="S963" i="10"/>
  <c r="AM963" i="10"/>
  <c r="AC963" i="10"/>
  <c r="AJ962" i="10"/>
  <c r="AI962" i="10"/>
  <c r="AG962" i="10"/>
  <c r="AK962" i="10"/>
  <c r="AX962" i="10" s="1"/>
  <c r="AO962" i="10" l="1"/>
  <c r="AY962" i="10" s="1"/>
  <c r="AH962" i="10"/>
  <c r="AL962" i="10"/>
  <c r="BA962" i="10"/>
  <c r="T963" i="10"/>
  <c r="AQ963" i="10" s="1"/>
  <c r="AD963" i="10"/>
  <c r="U963" i="10"/>
  <c r="W963" i="10" s="1"/>
  <c r="AP963" i="10" s="1"/>
  <c r="X963" i="10" l="1"/>
  <c r="AN962" i="10"/>
  <c r="AW962" i="10" s="1"/>
  <c r="BD962" i="10" l="1"/>
  <c r="AZ962" i="10"/>
  <c r="Z963" i="10"/>
  <c r="AR963" i="10" s="1"/>
  <c r="AA963" i="10" l="1"/>
  <c r="Q964" i="10"/>
  <c r="AB964" i="10" l="1"/>
  <c r="AV963" i="10" s="1"/>
  <c r="AM964" i="10"/>
  <c r="AC964" i="10"/>
  <c r="S964" i="10"/>
  <c r="AJ963" i="10"/>
  <c r="AI963" i="10"/>
  <c r="AG963" i="10"/>
  <c r="AK963" i="10"/>
  <c r="AX963" i="10" s="1"/>
  <c r="AL963" i="10" l="1"/>
  <c r="AH963" i="10"/>
  <c r="AN963" i="10" s="1"/>
  <c r="AW963" i="10" s="1"/>
  <c r="AO963" i="10"/>
  <c r="AY963" i="10" s="1"/>
  <c r="T964" i="10"/>
  <c r="AQ964" i="10" s="1"/>
  <c r="AD964" i="10"/>
  <c r="U964" i="10"/>
  <c r="W964" i="10" s="1"/>
  <c r="AP964" i="10" s="1"/>
  <c r="BA963" i="10"/>
  <c r="X964" i="10" l="1"/>
  <c r="BD963" i="10"/>
  <c r="AZ963" i="10"/>
  <c r="Z964" i="10" l="1"/>
  <c r="AR964" i="10" s="1"/>
  <c r="AA964" i="10" l="1"/>
  <c r="Q965" i="10"/>
  <c r="AM965" i="10" l="1"/>
  <c r="AC965" i="10"/>
  <c r="AB965" i="10"/>
  <c r="AV964" i="10" s="1"/>
  <c r="S965" i="10"/>
  <c r="AJ964" i="10"/>
  <c r="AI964" i="10"/>
  <c r="AG964" i="10"/>
  <c r="AK964" i="10"/>
  <c r="AX964" i="10" s="1"/>
  <c r="AL964" i="10" l="1"/>
  <c r="AD965" i="10"/>
  <c r="T965" i="10"/>
  <c r="AQ965" i="10" s="1"/>
  <c r="U965" i="10"/>
  <c r="W965" i="10" s="1"/>
  <c r="AP965" i="10" s="1"/>
  <c r="BA964" i="10"/>
  <c r="AH964" i="10"/>
  <c r="AN964" i="10" s="1"/>
  <c r="AW964" i="10" s="1"/>
  <c r="AO964" i="10"/>
  <c r="AY964" i="10" s="1"/>
  <c r="BD964" i="10" l="1"/>
  <c r="AZ964" i="10"/>
  <c r="X965" i="10"/>
  <c r="Z965" i="10" l="1"/>
  <c r="AR965" i="10" s="1"/>
  <c r="AA965" i="10" l="1"/>
  <c r="Q966" i="10"/>
  <c r="AM966" i="10" l="1"/>
  <c r="AC966" i="10"/>
  <c r="S966" i="10"/>
  <c r="AB966" i="10"/>
  <c r="AV965" i="10" s="1"/>
  <c r="AI965" i="10"/>
  <c r="AJ965" i="10"/>
  <c r="AG965" i="10"/>
  <c r="AK965" i="10"/>
  <c r="AX965" i="10" s="1"/>
  <c r="AL965" i="10" l="1"/>
  <c r="AH965" i="10"/>
  <c r="AN965" i="10" s="1"/>
  <c r="AW965" i="10" s="1"/>
  <c r="AO965" i="10"/>
  <c r="AY965" i="10" s="1"/>
  <c r="T966" i="10"/>
  <c r="AQ966" i="10" s="1"/>
  <c r="AD966" i="10"/>
  <c r="U966" i="10"/>
  <c r="W966" i="10" s="1"/>
  <c r="AP966" i="10" s="1"/>
  <c r="BA965" i="10"/>
  <c r="BD965" i="10" l="1"/>
  <c r="AZ965" i="10"/>
  <c r="X966" i="10"/>
  <c r="Z966" i="10" l="1"/>
  <c r="AR966" i="10" s="1"/>
  <c r="AA966" i="10" l="1"/>
  <c r="Q967" i="10"/>
  <c r="AM967" i="10" l="1"/>
  <c r="S967" i="10"/>
  <c r="AC967" i="10"/>
  <c r="AB967" i="10"/>
  <c r="AV966" i="10" s="1"/>
  <c r="AJ966" i="10"/>
  <c r="AI966" i="10"/>
  <c r="AG966" i="10"/>
  <c r="AK966" i="10"/>
  <c r="AX966" i="10" s="1"/>
  <c r="AL966" i="10" l="1"/>
  <c r="BA966" i="10"/>
  <c r="AD967" i="10"/>
  <c r="T967" i="10"/>
  <c r="AQ967" i="10" s="1"/>
  <c r="U967" i="10"/>
  <c r="W967" i="10" s="1"/>
  <c r="AP967" i="10" s="1"/>
  <c r="AO966" i="10"/>
  <c r="AY966" i="10" s="1"/>
  <c r="AH966" i="10"/>
  <c r="AN966" i="10" l="1"/>
  <c r="AW966" i="10" s="1"/>
  <c r="BD966" i="10"/>
  <c r="AZ966" i="10"/>
  <c r="X967" i="10"/>
  <c r="Z967" i="10" l="1"/>
  <c r="AR967" i="10" s="1"/>
  <c r="Q968" i="10" l="1"/>
  <c r="AA967" i="10"/>
  <c r="AJ967" i="10" l="1"/>
  <c r="AI967" i="10"/>
  <c r="AG967" i="10"/>
  <c r="AK967" i="10"/>
  <c r="AX967" i="10" s="1"/>
  <c r="AM968" i="10"/>
  <c r="S968" i="10"/>
  <c r="AC968" i="10"/>
  <c r="AB968" i="10"/>
  <c r="AV967" i="10" s="1"/>
  <c r="BA967" i="10" l="1"/>
  <c r="AD968" i="10"/>
  <c r="T968" i="10"/>
  <c r="AQ968" i="10" s="1"/>
  <c r="U968" i="10"/>
  <c r="W968" i="10" s="1"/>
  <c r="AP968" i="10" s="1"/>
  <c r="AH967" i="10"/>
  <c r="AO967" i="10"/>
  <c r="AY967" i="10" s="1"/>
  <c r="AL967" i="10"/>
  <c r="AN967" i="10" l="1"/>
  <c r="AW967" i="10" s="1"/>
  <c r="X968" i="10"/>
  <c r="Z968" i="10" l="1"/>
  <c r="AR968" i="10" s="1"/>
  <c r="BD967" i="10"/>
  <c r="AZ967" i="10"/>
  <c r="AA968" i="10" l="1"/>
  <c r="Q969" i="10"/>
  <c r="AM969" i="10" l="1"/>
  <c r="AC969" i="10"/>
  <c r="S969" i="10"/>
  <c r="AB969" i="10"/>
  <c r="AV968" i="10" s="1"/>
  <c r="AI968" i="10"/>
  <c r="AJ968" i="10"/>
  <c r="AG968" i="10"/>
  <c r="AK968" i="10"/>
  <c r="AX968" i="10" s="1"/>
  <c r="AH968" i="10" l="1"/>
  <c r="AO968" i="10"/>
  <c r="AY968" i="10" s="1"/>
  <c r="AL968" i="10"/>
  <c r="AD969" i="10"/>
  <c r="T969" i="10"/>
  <c r="AQ969" i="10" s="1"/>
  <c r="U969" i="10"/>
  <c r="W969" i="10" s="1"/>
  <c r="AP969" i="10" s="1"/>
  <c r="BA968" i="10"/>
  <c r="X969" i="10" l="1"/>
  <c r="AN968" i="10"/>
  <c r="AW968" i="10" s="1"/>
  <c r="BD968" i="10" l="1"/>
  <c r="AZ968" i="10"/>
  <c r="Z969" i="10"/>
  <c r="AR969" i="10" s="1"/>
  <c r="AA969" i="10" l="1"/>
  <c r="Q970" i="10"/>
  <c r="AM970" i="10" l="1"/>
  <c r="AC970" i="10"/>
  <c r="S970" i="10"/>
  <c r="AB970" i="10"/>
  <c r="AV969" i="10" s="1"/>
  <c r="AJ969" i="10"/>
  <c r="AI969" i="10"/>
  <c r="AG969" i="10"/>
  <c r="AK969" i="10"/>
  <c r="AX969" i="10" s="1"/>
  <c r="AL969" i="10" l="1"/>
  <c r="AO969" i="10"/>
  <c r="AY969" i="10" s="1"/>
  <c r="AH969" i="10"/>
  <c r="AN969" i="10" s="1"/>
  <c r="AW969" i="10" s="1"/>
  <c r="AD970" i="10"/>
  <c r="T970" i="10"/>
  <c r="AQ970" i="10" s="1"/>
  <c r="U970" i="10"/>
  <c r="W970" i="10" s="1"/>
  <c r="AP970" i="10" s="1"/>
  <c r="BA969" i="10"/>
  <c r="X970" i="10" l="1"/>
  <c r="BD969" i="10"/>
  <c r="AZ969" i="10"/>
  <c r="Z970" i="10" l="1"/>
  <c r="AR970" i="10" s="1"/>
  <c r="AA970" i="10" l="1"/>
  <c r="Q971" i="10"/>
  <c r="AM971" i="10" l="1"/>
  <c r="S971" i="10"/>
  <c r="AC971" i="10"/>
  <c r="AB971" i="10"/>
  <c r="AV970" i="10" s="1"/>
  <c r="AJ970" i="10"/>
  <c r="AI970" i="10"/>
  <c r="AG970" i="10"/>
  <c r="AK970" i="10"/>
  <c r="AX970" i="10" s="1"/>
  <c r="AL970" i="10" l="1"/>
  <c r="BA970" i="10"/>
  <c r="T971" i="10"/>
  <c r="AQ971" i="10" s="1"/>
  <c r="AD971" i="10"/>
  <c r="U971" i="10"/>
  <c r="W971" i="10" s="1"/>
  <c r="AP971" i="10" s="1"/>
  <c r="AO970" i="10"/>
  <c r="AY970" i="10" s="1"/>
  <c r="AH970" i="10"/>
  <c r="AN970" i="10" l="1"/>
  <c r="AW970" i="10" s="1"/>
  <c r="BD970" i="10"/>
  <c r="AZ970" i="10"/>
  <c r="X971" i="10"/>
  <c r="Z971" i="10" l="1"/>
  <c r="AR971" i="10" s="1"/>
  <c r="Q972" i="10" l="1"/>
  <c r="AA971" i="10"/>
  <c r="AJ971" i="10" l="1"/>
  <c r="AI971" i="10"/>
  <c r="AG971" i="10"/>
  <c r="AK971" i="10"/>
  <c r="AX971" i="10" s="1"/>
  <c r="AM972" i="10"/>
  <c r="AC972" i="10"/>
  <c r="BA971" i="10" s="1"/>
  <c r="AB972" i="10"/>
  <c r="AV971" i="10" s="1"/>
  <c r="S972" i="10"/>
  <c r="AD972" i="10" l="1"/>
  <c r="T972" i="10"/>
  <c r="AQ972" i="10" s="1"/>
  <c r="U972" i="10"/>
  <c r="W972" i="10" s="1"/>
  <c r="AP972" i="10" s="1"/>
  <c r="AH971" i="10"/>
  <c r="AO971" i="10"/>
  <c r="AY971" i="10" s="1"/>
  <c r="AL971" i="10"/>
  <c r="AN971" i="10" l="1"/>
  <c r="AW971" i="10" s="1"/>
  <c r="X972" i="10"/>
  <c r="Z972" i="10" l="1"/>
  <c r="AR972" i="10" s="1"/>
  <c r="BD971" i="10"/>
  <c r="AZ971" i="10"/>
  <c r="AA972" i="10" l="1"/>
  <c r="Q973" i="10"/>
  <c r="AM973" i="10" l="1"/>
  <c r="AC973" i="10"/>
  <c r="S973" i="10"/>
  <c r="AB973" i="10"/>
  <c r="AV972" i="10" s="1"/>
  <c r="AI972" i="10"/>
  <c r="AJ972" i="10"/>
  <c r="AG972" i="10"/>
  <c r="AK972" i="10"/>
  <c r="AX972" i="10" s="1"/>
  <c r="AL972" i="10" l="1"/>
  <c r="AH972" i="10"/>
  <c r="AO972" i="10"/>
  <c r="AY972" i="10" s="1"/>
  <c r="AD973" i="10"/>
  <c r="T973" i="10"/>
  <c r="AQ973" i="10" s="1"/>
  <c r="U973" i="10"/>
  <c r="W973" i="10" s="1"/>
  <c r="AP973" i="10" s="1"/>
  <c r="BA972" i="10"/>
  <c r="AN972" i="10" l="1"/>
  <c r="AW972" i="10" s="1"/>
  <c r="X973" i="10"/>
  <c r="BD972" i="10"/>
  <c r="AZ972" i="10"/>
  <c r="Z973" i="10" l="1"/>
  <c r="AR973" i="10" s="1"/>
  <c r="AA973" i="10" l="1"/>
  <c r="Q974" i="10"/>
  <c r="AM974" i="10" l="1"/>
  <c r="AC974" i="10"/>
  <c r="S974" i="10"/>
  <c r="AB974" i="10"/>
  <c r="AV973" i="10" s="1"/>
  <c r="AJ973" i="10"/>
  <c r="AI973" i="10"/>
  <c r="AG973" i="10"/>
  <c r="AK973" i="10"/>
  <c r="AX973" i="10" s="1"/>
  <c r="AL973" i="10" l="1"/>
  <c r="AD974" i="10"/>
  <c r="T974" i="10"/>
  <c r="AQ974" i="10" s="1"/>
  <c r="U974" i="10"/>
  <c r="W974" i="10" s="1"/>
  <c r="AP974" i="10" s="1"/>
  <c r="BA973" i="10"/>
  <c r="AO973" i="10"/>
  <c r="AY973" i="10" s="1"/>
  <c r="AH973" i="10"/>
  <c r="AN973" i="10" l="1"/>
  <c r="AW973" i="10" s="1"/>
  <c r="BD973" i="10" s="1"/>
  <c r="AZ973" i="10"/>
  <c r="X974" i="10"/>
  <c r="Z974" i="10" l="1"/>
  <c r="AR974" i="10" s="1"/>
  <c r="AA974" i="10" l="1"/>
  <c r="Q975" i="10"/>
  <c r="AM975" i="10" l="1"/>
  <c r="AC975" i="10"/>
  <c r="S975" i="10"/>
  <c r="AB975" i="10"/>
  <c r="AV974" i="10" s="1"/>
  <c r="AJ974" i="10"/>
  <c r="AI974" i="10"/>
  <c r="AG974" i="10"/>
  <c r="AK974" i="10"/>
  <c r="AX974" i="10" s="1"/>
  <c r="AO974" i="10" l="1"/>
  <c r="AY974" i="10" s="1"/>
  <c r="AH974" i="10"/>
  <c r="AL974" i="10"/>
  <c r="AD975" i="10"/>
  <c r="T975" i="10"/>
  <c r="AQ975" i="10" s="1"/>
  <c r="U975" i="10"/>
  <c r="W975" i="10" s="1"/>
  <c r="AP975" i="10" s="1"/>
  <c r="BA974" i="10"/>
  <c r="X975" i="10" l="1"/>
  <c r="AN974" i="10"/>
  <c r="AW974" i="10" s="1"/>
  <c r="Z975" i="10" l="1"/>
  <c r="AR975" i="10" s="1"/>
  <c r="BD974" i="10"/>
  <c r="AZ974" i="10"/>
  <c r="Q976" i="10" l="1"/>
  <c r="AA975" i="10"/>
  <c r="AJ975" i="10" l="1"/>
  <c r="AI975" i="10"/>
  <c r="AG975" i="10"/>
  <c r="AK975" i="10"/>
  <c r="AX975" i="10" s="1"/>
  <c r="AM976" i="10"/>
  <c r="S976" i="10"/>
  <c r="AB976" i="10"/>
  <c r="AV975" i="10" s="1"/>
  <c r="AC976" i="10"/>
  <c r="AD976" i="10" l="1"/>
  <c r="T976" i="10"/>
  <c r="AQ976" i="10" s="1"/>
  <c r="U976" i="10"/>
  <c r="W976" i="10" s="1"/>
  <c r="AP976" i="10" s="1"/>
  <c r="AH975" i="10"/>
  <c r="AO975" i="10"/>
  <c r="AY975" i="10" s="1"/>
  <c r="AL975" i="10"/>
  <c r="BA975" i="10"/>
  <c r="AN975" i="10" l="1"/>
  <c r="AW975" i="10" s="1"/>
  <c r="BD975" i="10"/>
  <c r="AZ975" i="10"/>
  <c r="X976" i="10"/>
  <c r="Z976" i="10" l="1"/>
  <c r="AR976" i="10" s="1"/>
  <c r="AA976" i="10" l="1"/>
  <c r="Q977" i="10"/>
  <c r="S977" i="10" l="1"/>
  <c r="AC977" i="10"/>
  <c r="AB977" i="10"/>
  <c r="AV976" i="10" s="1"/>
  <c r="AM977" i="10"/>
  <c r="AI976" i="10"/>
  <c r="AJ976" i="10"/>
  <c r="AG976" i="10"/>
  <c r="AK976" i="10"/>
  <c r="AX976" i="10" s="1"/>
  <c r="AL976" i="10" l="1"/>
  <c r="BA976" i="10"/>
  <c r="T977" i="10"/>
  <c r="AQ977" i="10" s="1"/>
  <c r="AD977" i="10"/>
  <c r="U977" i="10"/>
  <c r="W977" i="10" s="1"/>
  <c r="AP977" i="10" s="1"/>
  <c r="AH976" i="10"/>
  <c r="AN976" i="10" s="1"/>
  <c r="AW976" i="10" s="1"/>
  <c r="AO976" i="10"/>
  <c r="AY976" i="10" s="1"/>
  <c r="BD976" i="10" l="1"/>
  <c r="AZ976" i="10"/>
  <c r="X977" i="10"/>
  <c r="Z977" i="10" l="1"/>
  <c r="AR977" i="10" s="1"/>
  <c r="Q978" i="10" l="1"/>
  <c r="AA977" i="10"/>
  <c r="AI977" i="10" l="1"/>
  <c r="AJ977" i="10"/>
  <c r="AG977" i="10"/>
  <c r="AK977" i="10"/>
  <c r="AX977" i="10" s="1"/>
  <c r="S978" i="10"/>
  <c r="AC978" i="10"/>
  <c r="BA977" i="10" s="1"/>
  <c r="AB978" i="10"/>
  <c r="AV977" i="10" s="1"/>
  <c r="AM978" i="10"/>
  <c r="AL977" i="10" l="1"/>
  <c r="T978" i="10"/>
  <c r="AQ978" i="10" s="1"/>
  <c r="AD978" i="10"/>
  <c r="U978" i="10"/>
  <c r="W978" i="10" s="1"/>
  <c r="AP978" i="10" s="1"/>
  <c r="AH977" i="10"/>
  <c r="AN977" i="10" s="1"/>
  <c r="AW977" i="10" s="1"/>
  <c r="AO977" i="10"/>
  <c r="AY977" i="10" s="1"/>
  <c r="BD977" i="10" l="1"/>
  <c r="AZ977" i="10"/>
  <c r="X978" i="10"/>
  <c r="Z978" i="10" l="1"/>
  <c r="AR978" i="10" s="1"/>
  <c r="Q979" i="10" l="1"/>
  <c r="AA978" i="10"/>
  <c r="AJ978" i="10" l="1"/>
  <c r="AI978" i="10"/>
  <c r="AG978" i="10"/>
  <c r="AK978" i="10"/>
  <c r="AX978" i="10" s="1"/>
  <c r="AM979" i="10"/>
  <c r="S979" i="10"/>
  <c r="AC979" i="10"/>
  <c r="AB979" i="10"/>
  <c r="AV978" i="10" s="1"/>
  <c r="BA978" i="10" l="1"/>
  <c r="AD979" i="10"/>
  <c r="T979" i="10"/>
  <c r="AQ979" i="10" s="1"/>
  <c r="U979" i="10"/>
  <c r="W979" i="10" s="1"/>
  <c r="AP979" i="10" s="1"/>
  <c r="AO978" i="10"/>
  <c r="AY978" i="10" s="1"/>
  <c r="AH978" i="10"/>
  <c r="AL978" i="10"/>
  <c r="AN978" i="10" l="1"/>
  <c r="AW978" i="10" s="1"/>
  <c r="X979" i="10"/>
  <c r="Z979" i="10" l="1"/>
  <c r="AR979" i="10" s="1"/>
  <c r="BD978" i="10"/>
  <c r="AZ978" i="10"/>
  <c r="Q980" i="10" l="1"/>
  <c r="AA979" i="10"/>
  <c r="AJ979" i="10" l="1"/>
  <c r="AI979" i="10"/>
  <c r="AG979" i="10"/>
  <c r="AK979" i="10"/>
  <c r="AX979" i="10" s="1"/>
  <c r="AM980" i="10"/>
  <c r="AC980" i="10"/>
  <c r="BA979" i="10" s="1"/>
  <c r="S980" i="10"/>
  <c r="AB980" i="10"/>
  <c r="AV979" i="10" s="1"/>
  <c r="AO979" i="10" l="1"/>
  <c r="AY979" i="10" s="1"/>
  <c r="AH979" i="10"/>
  <c r="AL979" i="10"/>
  <c r="AD980" i="10"/>
  <c r="T980" i="10"/>
  <c r="AQ980" i="10" s="1"/>
  <c r="U980" i="10"/>
  <c r="W980" i="10" s="1"/>
  <c r="AP980" i="10" s="1"/>
  <c r="X980" i="10" l="1"/>
  <c r="AN979" i="10"/>
  <c r="AW979" i="10" s="1"/>
  <c r="BD979" i="10" l="1"/>
  <c r="AZ979" i="10"/>
  <c r="Z980" i="10"/>
  <c r="AR980" i="10" s="1"/>
  <c r="AA980" i="10" l="1"/>
  <c r="Q981" i="10"/>
  <c r="AC981" i="10" l="1"/>
  <c r="AB981" i="10"/>
  <c r="AV980" i="10" s="1"/>
  <c r="S981" i="10"/>
  <c r="AM981" i="10"/>
  <c r="AJ980" i="10"/>
  <c r="AI980" i="10"/>
  <c r="AG980" i="10"/>
  <c r="AK980" i="10"/>
  <c r="AX980" i="10" s="1"/>
  <c r="AH980" i="10" l="1"/>
  <c r="AO980" i="10"/>
  <c r="AY980" i="10" s="1"/>
  <c r="AL980" i="10"/>
  <c r="T981" i="10"/>
  <c r="AQ981" i="10" s="1"/>
  <c r="AD981" i="10"/>
  <c r="U981" i="10"/>
  <c r="W981" i="10" s="1"/>
  <c r="AP981" i="10" s="1"/>
  <c r="BA980" i="10"/>
  <c r="X981" i="10" l="1"/>
  <c r="AN980" i="10"/>
  <c r="AW980" i="10" s="1"/>
  <c r="BD980" i="10" l="1"/>
  <c r="AZ980" i="10"/>
  <c r="Z981" i="10"/>
  <c r="AR981" i="10" s="1"/>
  <c r="AA981" i="10" l="1"/>
  <c r="Q982" i="10"/>
  <c r="AB982" i="10" l="1"/>
  <c r="AV981" i="10" s="1"/>
  <c r="S982" i="10"/>
  <c r="AC982" i="10"/>
  <c r="AM982" i="10"/>
  <c r="AJ981" i="10"/>
  <c r="AI981" i="10"/>
  <c r="AG981" i="10"/>
  <c r="AK981" i="10"/>
  <c r="AX981" i="10" s="1"/>
  <c r="AL981" i="10" l="1"/>
  <c r="AO981" i="10"/>
  <c r="AY981" i="10" s="1"/>
  <c r="AH981" i="10"/>
  <c r="AN981" i="10" s="1"/>
  <c r="AW981" i="10" s="1"/>
  <c r="BA981" i="10"/>
  <c r="T982" i="10"/>
  <c r="AQ982" i="10" s="1"/>
  <c r="AD982" i="10"/>
  <c r="U982" i="10"/>
  <c r="W982" i="10" s="1"/>
  <c r="AP982" i="10" s="1"/>
  <c r="X982" i="10" l="1"/>
  <c r="BD981" i="10"/>
  <c r="AZ981" i="10"/>
  <c r="Z982" i="10" l="1"/>
  <c r="AR982" i="10" s="1"/>
  <c r="AA982" i="10" l="1"/>
  <c r="Q983" i="10"/>
  <c r="AB983" i="10" l="1"/>
  <c r="AV982" i="10" s="1"/>
  <c r="AM983" i="10"/>
  <c r="AC983" i="10"/>
  <c r="S983" i="10"/>
  <c r="AJ982" i="10"/>
  <c r="AI982" i="10"/>
  <c r="AG982" i="10"/>
  <c r="AK982" i="10"/>
  <c r="AX982" i="10" s="1"/>
  <c r="AL982" i="10" l="1"/>
  <c r="T983" i="10"/>
  <c r="AQ983" i="10" s="1"/>
  <c r="AD983" i="10"/>
  <c r="U983" i="10"/>
  <c r="W983" i="10" s="1"/>
  <c r="AP983" i="10" s="1"/>
  <c r="BA982" i="10"/>
  <c r="AH982" i="10"/>
  <c r="AN982" i="10" s="1"/>
  <c r="AW982" i="10" s="1"/>
  <c r="AO982" i="10"/>
  <c r="AY982" i="10" s="1"/>
  <c r="BD982" i="10" l="1"/>
  <c r="AZ982" i="10"/>
  <c r="X983" i="10"/>
  <c r="Z983" i="10" l="1"/>
  <c r="AR983" i="10" s="1"/>
  <c r="AA983" i="10" l="1"/>
  <c r="Q984" i="10"/>
  <c r="AM984" i="10" l="1"/>
  <c r="S984" i="10"/>
  <c r="AB984" i="10"/>
  <c r="AV983" i="10" s="1"/>
  <c r="AC984" i="10"/>
  <c r="AJ983" i="10"/>
  <c r="AI983" i="10"/>
  <c r="AG983" i="10"/>
  <c r="AK983" i="10"/>
  <c r="AX983" i="10" s="1"/>
  <c r="AH983" i="10" l="1"/>
  <c r="AO983" i="10"/>
  <c r="AY983" i="10" s="1"/>
  <c r="AL983" i="10"/>
  <c r="BA983" i="10"/>
  <c r="T984" i="10"/>
  <c r="AQ984" i="10" s="1"/>
  <c r="AD984" i="10"/>
  <c r="U984" i="10"/>
  <c r="W984" i="10" s="1"/>
  <c r="AP984" i="10" s="1"/>
  <c r="X984" i="10" l="1"/>
  <c r="AN983" i="10"/>
  <c r="AW983" i="10" s="1"/>
  <c r="BD983" i="10" l="1"/>
  <c r="AZ983" i="10"/>
  <c r="Z984" i="10"/>
  <c r="AR984" i="10" s="1"/>
  <c r="Q985" i="10" l="1"/>
  <c r="AA984" i="10"/>
  <c r="AI984" i="10" l="1"/>
  <c r="AJ984" i="10"/>
  <c r="AG984" i="10"/>
  <c r="AK984" i="10"/>
  <c r="AX984" i="10" s="1"/>
  <c r="AM985" i="10"/>
  <c r="S985" i="10"/>
  <c r="AC985" i="10"/>
  <c r="AB985" i="10"/>
  <c r="AV984" i="10" s="1"/>
  <c r="BA984" i="10" l="1"/>
  <c r="AD985" i="10"/>
  <c r="T985" i="10"/>
  <c r="AQ985" i="10" s="1"/>
  <c r="U985" i="10"/>
  <c r="W985" i="10" s="1"/>
  <c r="AP985" i="10" s="1"/>
  <c r="AH984" i="10"/>
  <c r="AO984" i="10"/>
  <c r="AY984" i="10" s="1"/>
  <c r="AL984" i="10"/>
  <c r="AN984" i="10" l="1"/>
  <c r="AW984" i="10" s="1"/>
  <c r="BD984" i="10"/>
  <c r="AZ984" i="10"/>
  <c r="X985" i="10"/>
  <c r="Z985" i="10" l="1"/>
  <c r="AR985" i="10" s="1"/>
  <c r="AA985" i="10" l="1"/>
  <c r="Q986" i="10"/>
  <c r="AM986" i="10" l="1"/>
  <c r="AC986" i="10"/>
  <c r="S986" i="10"/>
  <c r="AB986" i="10"/>
  <c r="AV985" i="10" s="1"/>
  <c r="AJ985" i="10"/>
  <c r="AI985" i="10"/>
  <c r="AG985" i="10"/>
  <c r="AK985" i="10"/>
  <c r="AX985" i="10" s="1"/>
  <c r="AL985" i="10" l="1"/>
  <c r="AD986" i="10"/>
  <c r="T986" i="10"/>
  <c r="AQ986" i="10" s="1"/>
  <c r="U986" i="10"/>
  <c r="W986" i="10" s="1"/>
  <c r="AP986" i="10" s="1"/>
  <c r="BA985" i="10"/>
  <c r="AH985" i="10"/>
  <c r="AN985" i="10" s="1"/>
  <c r="AW985" i="10" s="1"/>
  <c r="AO985" i="10"/>
  <c r="AY985" i="10" s="1"/>
  <c r="BD985" i="10" l="1"/>
  <c r="AZ985" i="10"/>
  <c r="X986" i="10"/>
  <c r="Z986" i="10" l="1"/>
  <c r="AR986" i="10" s="1"/>
  <c r="AA986" i="10" l="1"/>
  <c r="Q987" i="10"/>
  <c r="AM987" i="10" l="1"/>
  <c r="AC987" i="10"/>
  <c r="AB987" i="10"/>
  <c r="AV986" i="10" s="1"/>
  <c r="S987" i="10"/>
  <c r="AJ986" i="10"/>
  <c r="AI986" i="10"/>
  <c r="AG986" i="10"/>
  <c r="AK986" i="10"/>
  <c r="AX986" i="10" s="1"/>
  <c r="AO986" i="10" l="1"/>
  <c r="AY986" i="10" s="1"/>
  <c r="AH986" i="10"/>
  <c r="AL986" i="10"/>
  <c r="AD987" i="10"/>
  <c r="T987" i="10"/>
  <c r="AQ987" i="10" s="1"/>
  <c r="U987" i="10"/>
  <c r="W987" i="10" s="1"/>
  <c r="AP987" i="10" s="1"/>
  <c r="BA986" i="10"/>
  <c r="X987" i="10" l="1"/>
  <c r="AN986" i="10"/>
  <c r="AW986" i="10" s="1"/>
  <c r="BD986" i="10" l="1"/>
  <c r="AZ986" i="10"/>
  <c r="Z987" i="10"/>
  <c r="AR987" i="10" s="1"/>
  <c r="AA987" i="10" l="1"/>
  <c r="Q988" i="10"/>
  <c r="AM988" i="10" l="1"/>
  <c r="AC988" i="10"/>
  <c r="AB988" i="10"/>
  <c r="AV987" i="10" s="1"/>
  <c r="S988" i="10"/>
  <c r="AJ987" i="10"/>
  <c r="AI987" i="10"/>
  <c r="AG987" i="10"/>
  <c r="AK987" i="10"/>
  <c r="AX987" i="10" s="1"/>
  <c r="AL987" i="10" l="1"/>
  <c r="AO987" i="10"/>
  <c r="AY987" i="10" s="1"/>
  <c r="AH987" i="10"/>
  <c r="AN987" i="10" s="1"/>
  <c r="AW987" i="10" s="1"/>
  <c r="AD988" i="10"/>
  <c r="T988" i="10"/>
  <c r="AQ988" i="10" s="1"/>
  <c r="U988" i="10"/>
  <c r="W988" i="10" s="1"/>
  <c r="AP988" i="10" s="1"/>
  <c r="BA987" i="10"/>
  <c r="BD987" i="10" l="1"/>
  <c r="AZ987" i="10"/>
  <c r="X988" i="10"/>
  <c r="Z988" i="10" l="1"/>
  <c r="AR988" i="10" s="1"/>
  <c r="AA988" i="10" l="1"/>
  <c r="Q989" i="10"/>
  <c r="AC989" i="10" l="1"/>
  <c r="AB989" i="10"/>
  <c r="AV988" i="10" s="1"/>
  <c r="S989" i="10"/>
  <c r="AM989" i="10"/>
  <c r="AJ988" i="10"/>
  <c r="AI988" i="10"/>
  <c r="AG988" i="10"/>
  <c r="AK988" i="10"/>
  <c r="AX988" i="10" s="1"/>
  <c r="AL988" i="10" l="1"/>
  <c r="T989" i="10"/>
  <c r="AQ989" i="10" s="1"/>
  <c r="AD989" i="10"/>
  <c r="U989" i="10"/>
  <c r="W989" i="10" s="1"/>
  <c r="AP989" i="10" s="1"/>
  <c r="BA988" i="10"/>
  <c r="AO988" i="10"/>
  <c r="AY988" i="10" s="1"/>
  <c r="AH988" i="10"/>
  <c r="AN988" i="10" l="1"/>
  <c r="AW988" i="10" s="1"/>
  <c r="BD988" i="10" s="1"/>
  <c r="X989" i="10"/>
  <c r="AZ988" i="10" l="1"/>
  <c r="Z989" i="10"/>
  <c r="AR989" i="10" s="1"/>
  <c r="AA989" i="10" l="1"/>
  <c r="Q990" i="10"/>
  <c r="AB990" i="10" l="1"/>
  <c r="AV989" i="10" s="1"/>
  <c r="S990" i="10"/>
  <c r="AM990" i="10"/>
  <c r="AC990" i="10"/>
  <c r="AJ989" i="10"/>
  <c r="AI989" i="10"/>
  <c r="AG989" i="10"/>
  <c r="AK989" i="10"/>
  <c r="AX989" i="10" s="1"/>
  <c r="AH989" i="10" l="1"/>
  <c r="AO989" i="10"/>
  <c r="AY989" i="10" s="1"/>
  <c r="AL989" i="10"/>
  <c r="T990" i="10"/>
  <c r="AQ990" i="10" s="1"/>
  <c r="AD990" i="10"/>
  <c r="U990" i="10"/>
  <c r="W990" i="10" s="1"/>
  <c r="AP990" i="10" s="1"/>
  <c r="BA989" i="10"/>
  <c r="X990" i="10" l="1"/>
  <c r="AN989" i="10"/>
  <c r="AW989" i="10" s="1"/>
  <c r="BD989" i="10" l="1"/>
  <c r="AZ989" i="10"/>
  <c r="Z990" i="10"/>
  <c r="AR990" i="10" s="1"/>
  <c r="AA990" i="10" l="1"/>
  <c r="Q991" i="10"/>
  <c r="S991" i="10" l="1"/>
  <c r="AC991" i="10"/>
  <c r="AB991" i="10"/>
  <c r="AV990" i="10" s="1"/>
  <c r="AM991" i="10"/>
  <c r="AJ990" i="10"/>
  <c r="AI990" i="10"/>
  <c r="AG990" i="10"/>
  <c r="AK990" i="10"/>
  <c r="AX990" i="10" s="1"/>
  <c r="AH990" i="10" l="1"/>
  <c r="AO990" i="10"/>
  <c r="AY990" i="10" s="1"/>
  <c r="AL990" i="10"/>
  <c r="BA990" i="10"/>
  <c r="AD991" i="10"/>
  <c r="T991" i="10"/>
  <c r="AQ991" i="10" s="1"/>
  <c r="U991" i="10"/>
  <c r="W991" i="10" s="1"/>
  <c r="AP991" i="10" s="1"/>
  <c r="X991" i="10" l="1"/>
  <c r="AN990" i="10"/>
  <c r="AW990" i="10" s="1"/>
  <c r="BD990" i="10" l="1"/>
  <c r="AZ990" i="10"/>
  <c r="Z991" i="10"/>
  <c r="AR991" i="10" s="1"/>
  <c r="AA991" i="10" l="1"/>
  <c r="Q992" i="10"/>
  <c r="AC992" i="10" l="1"/>
  <c r="AB992" i="10"/>
  <c r="AV991" i="10" s="1"/>
  <c r="AM992" i="10"/>
  <c r="S992" i="10"/>
  <c r="AJ991" i="10"/>
  <c r="AI991" i="10"/>
  <c r="AG991" i="10"/>
  <c r="AK991" i="10"/>
  <c r="AX991" i="10" s="1"/>
  <c r="AL991" i="10" l="1"/>
  <c r="AH991" i="10"/>
  <c r="AO991" i="10"/>
  <c r="AY991" i="10" s="1"/>
  <c r="AD992" i="10"/>
  <c r="T992" i="10"/>
  <c r="AQ992" i="10" s="1"/>
  <c r="U992" i="10"/>
  <c r="W992" i="10" s="1"/>
  <c r="AP992" i="10" s="1"/>
  <c r="BA991" i="10"/>
  <c r="AN991" i="10" l="1"/>
  <c r="AW991" i="10" s="1"/>
  <c r="BD991" i="10" s="1"/>
  <c r="X992" i="10"/>
  <c r="AZ991" i="10"/>
  <c r="Z992" i="10" l="1"/>
  <c r="AR992" i="10" s="1"/>
  <c r="AA992" i="10" l="1"/>
  <c r="Q993" i="10"/>
  <c r="AM993" i="10" l="1"/>
  <c r="AC993" i="10"/>
  <c r="AB993" i="10"/>
  <c r="AV992" i="10" s="1"/>
  <c r="S993" i="10"/>
  <c r="AI992" i="10"/>
  <c r="AJ992" i="10"/>
  <c r="AG992" i="10"/>
  <c r="AK992" i="10"/>
  <c r="AX992" i="10" s="1"/>
  <c r="AL992" i="10" l="1"/>
  <c r="AD993" i="10"/>
  <c r="T993" i="10"/>
  <c r="AQ993" i="10" s="1"/>
  <c r="U993" i="10"/>
  <c r="W993" i="10" s="1"/>
  <c r="AP993" i="10" s="1"/>
  <c r="BA992" i="10"/>
  <c r="AH992" i="10"/>
  <c r="AN992" i="10" s="1"/>
  <c r="AW992" i="10" s="1"/>
  <c r="AO992" i="10"/>
  <c r="AY992" i="10" s="1"/>
  <c r="BD992" i="10" l="1"/>
  <c r="AZ992" i="10"/>
  <c r="X993" i="10"/>
  <c r="Z993" i="10" l="1"/>
  <c r="AR993" i="10" s="1"/>
  <c r="Q994" i="10" l="1"/>
  <c r="AA993" i="10"/>
  <c r="AI993" i="10" l="1"/>
  <c r="AJ993" i="10"/>
  <c r="AG993" i="10"/>
  <c r="AK993" i="10"/>
  <c r="AX993" i="10" s="1"/>
  <c r="AM994" i="10"/>
  <c r="AC994" i="10"/>
  <c r="BA993" i="10" s="1"/>
  <c r="AB994" i="10"/>
  <c r="AV993" i="10" s="1"/>
  <c r="S994" i="10"/>
  <c r="AD994" i="10" l="1"/>
  <c r="T994" i="10"/>
  <c r="AQ994" i="10" s="1"/>
  <c r="U994" i="10"/>
  <c r="W994" i="10" s="1"/>
  <c r="AP994" i="10" s="1"/>
  <c r="AH993" i="10"/>
  <c r="AO993" i="10"/>
  <c r="AY993" i="10" s="1"/>
  <c r="AL993" i="10"/>
  <c r="AN993" i="10" l="1"/>
  <c r="AW993" i="10" s="1"/>
  <c r="X994" i="10"/>
  <c r="Z994" i="10" l="1"/>
  <c r="AR994" i="10" s="1"/>
  <c r="BD993" i="10"/>
  <c r="AZ993" i="10"/>
  <c r="Q995" i="10" l="1"/>
  <c r="AA994" i="10"/>
  <c r="AJ994" i="10" l="1"/>
  <c r="AI994" i="10"/>
  <c r="AG994" i="10"/>
  <c r="AK994" i="10"/>
  <c r="AX994" i="10" s="1"/>
  <c r="AM995" i="10"/>
  <c r="AC995" i="10"/>
  <c r="BA994" i="10" s="1"/>
  <c r="AB995" i="10"/>
  <c r="AV994" i="10" s="1"/>
  <c r="S995" i="10"/>
  <c r="AO994" i="10" l="1"/>
  <c r="AY994" i="10" s="1"/>
  <c r="AH994" i="10"/>
  <c r="AL994" i="10"/>
  <c r="AD995" i="10"/>
  <c r="T995" i="10"/>
  <c r="AQ995" i="10" s="1"/>
  <c r="U995" i="10"/>
  <c r="W995" i="10" s="1"/>
  <c r="AP995" i="10" s="1"/>
  <c r="X995" i="10" l="1"/>
  <c r="AN994" i="10"/>
  <c r="AW994" i="10" s="1"/>
  <c r="BD994" i="10" l="1"/>
  <c r="AZ994" i="10"/>
  <c r="Z995" i="10"/>
  <c r="AR995" i="10" s="1"/>
  <c r="AA995" i="10" l="1"/>
  <c r="Q996" i="10"/>
  <c r="AM996" i="10" l="1"/>
  <c r="AC996" i="10"/>
  <c r="AB996" i="10"/>
  <c r="AV995" i="10" s="1"/>
  <c r="S996" i="10"/>
  <c r="AJ995" i="10"/>
  <c r="AI995" i="10"/>
  <c r="AG995" i="10"/>
  <c r="AK995" i="10"/>
  <c r="AX995" i="10" s="1"/>
  <c r="AL995" i="10" l="1"/>
  <c r="AD996" i="10"/>
  <c r="T996" i="10"/>
  <c r="AQ996" i="10" s="1"/>
  <c r="U996" i="10"/>
  <c r="W996" i="10" s="1"/>
  <c r="AP996" i="10" s="1"/>
  <c r="BA995" i="10"/>
  <c r="AO995" i="10"/>
  <c r="AY995" i="10" s="1"/>
  <c r="AH995" i="10"/>
  <c r="AN995" i="10" l="1"/>
  <c r="AW995" i="10" s="1"/>
  <c r="BD995" i="10" s="1"/>
  <c r="X996" i="10"/>
  <c r="AZ995" i="10" l="1"/>
  <c r="Z996" i="10"/>
  <c r="AR996" i="10" s="1"/>
  <c r="AA996" i="10" l="1"/>
  <c r="Q997" i="10"/>
  <c r="AC997" i="10" l="1"/>
  <c r="AB997" i="10"/>
  <c r="AV996" i="10" s="1"/>
  <c r="S997" i="10"/>
  <c r="AM997" i="10"/>
  <c r="AJ996" i="10"/>
  <c r="AI996" i="10"/>
  <c r="AG996" i="10"/>
  <c r="AK996" i="10"/>
  <c r="AX996" i="10" s="1"/>
  <c r="AO996" i="10" l="1"/>
  <c r="AY996" i="10" s="1"/>
  <c r="AH996" i="10"/>
  <c r="AL996" i="10"/>
  <c r="T997" i="10"/>
  <c r="AQ997" i="10" s="1"/>
  <c r="AD997" i="10"/>
  <c r="U997" i="10"/>
  <c r="W997" i="10" s="1"/>
  <c r="AP997" i="10" s="1"/>
  <c r="BA996" i="10"/>
  <c r="X997" i="10" l="1"/>
  <c r="AN996" i="10"/>
  <c r="AW996" i="10" s="1"/>
  <c r="BD996" i="10" l="1"/>
  <c r="AZ996" i="10"/>
  <c r="Z997" i="10"/>
  <c r="AR997" i="10" s="1"/>
  <c r="AA997" i="10" l="1"/>
  <c r="Q998" i="10"/>
  <c r="AB998" i="10" l="1"/>
  <c r="AV997" i="10" s="1"/>
  <c r="S998" i="10"/>
  <c r="AC998" i="10"/>
  <c r="AM998" i="10"/>
  <c r="AJ997" i="10"/>
  <c r="AI997" i="10"/>
  <c r="AG997" i="10"/>
  <c r="AK997" i="10"/>
  <c r="AX997" i="10" s="1"/>
  <c r="AL997" i="10" l="1"/>
  <c r="AD998" i="10"/>
  <c r="T998" i="10"/>
  <c r="AQ998" i="10" s="1"/>
  <c r="U998" i="10"/>
  <c r="W998" i="10" s="1"/>
  <c r="AP998" i="10" s="1"/>
  <c r="AO997" i="10"/>
  <c r="AY997" i="10" s="1"/>
  <c r="AH997" i="10"/>
  <c r="AN997" i="10" s="1"/>
  <c r="AW997" i="10" s="1"/>
  <c r="BA997" i="10"/>
  <c r="BD997" i="10" l="1"/>
  <c r="AZ997" i="10"/>
  <c r="X998" i="10"/>
  <c r="Z998" i="10" l="1"/>
  <c r="AR998" i="10" s="1"/>
  <c r="AA998" i="10" l="1"/>
  <c r="Q999" i="10"/>
  <c r="AB999" i="10" l="1"/>
  <c r="AV998" i="10" s="1"/>
  <c r="AM999" i="10"/>
  <c r="S999" i="10"/>
  <c r="AC999" i="10"/>
  <c r="AJ998" i="10"/>
  <c r="AI998" i="10"/>
  <c r="AG998" i="10"/>
  <c r="AK998" i="10"/>
  <c r="AX998" i="10" s="1"/>
  <c r="AH998" i="10" l="1"/>
  <c r="AO998" i="10"/>
  <c r="AY998" i="10" s="1"/>
  <c r="AL998" i="10"/>
  <c r="BA998" i="10"/>
  <c r="T999" i="10"/>
  <c r="AQ999" i="10" s="1"/>
  <c r="AD999" i="10"/>
  <c r="U999" i="10"/>
  <c r="W999" i="10" s="1"/>
  <c r="AP999" i="10" s="1"/>
  <c r="X999" i="10" l="1"/>
  <c r="AN998" i="10"/>
  <c r="AW998" i="10" s="1"/>
  <c r="BD998" i="10" l="1"/>
  <c r="AZ998" i="10"/>
  <c r="Z999" i="10"/>
  <c r="AR999" i="10" s="1"/>
  <c r="AA999" i="10" l="1"/>
  <c r="Q1000" i="10"/>
  <c r="AM1000" i="10" l="1"/>
  <c r="S1000" i="10"/>
  <c r="AC1000" i="10"/>
  <c r="AB1000" i="10"/>
  <c r="AV999" i="10" s="1"/>
  <c r="AJ999" i="10"/>
  <c r="AI999" i="10"/>
  <c r="AG999" i="10"/>
  <c r="AK999" i="10"/>
  <c r="AX999" i="10" s="1"/>
  <c r="AL999" i="10" l="1"/>
  <c r="AH999" i="10"/>
  <c r="AN999" i="10" s="1"/>
  <c r="AW999" i="10" s="1"/>
  <c r="AO999" i="10"/>
  <c r="AY999" i="10" s="1"/>
  <c r="BA999" i="10"/>
  <c r="T1000" i="10"/>
  <c r="AQ1000" i="10" s="1"/>
  <c r="AD1000" i="10"/>
  <c r="U1000" i="10"/>
  <c r="W1000" i="10" s="1"/>
  <c r="AP1000" i="10" s="1"/>
  <c r="X1000" i="10" l="1"/>
  <c r="BD999" i="10"/>
  <c r="AZ999" i="10"/>
  <c r="Z1000" i="10" l="1"/>
  <c r="AR1000" i="10" s="1"/>
  <c r="Q1001" i="10" l="1"/>
  <c r="AA1000" i="10"/>
  <c r="AI1000" i="10" l="1"/>
  <c r="AJ1000" i="10"/>
  <c r="AG1000" i="10"/>
  <c r="AK1000" i="10"/>
  <c r="AX1000" i="10" s="1"/>
  <c r="AM1001" i="10"/>
  <c r="S1001" i="10"/>
  <c r="AC1001" i="10"/>
  <c r="AB1001" i="10"/>
  <c r="AV1000" i="10" s="1"/>
  <c r="AD1001" i="10" l="1"/>
  <c r="T1001" i="10"/>
  <c r="AQ1001" i="10" s="1"/>
  <c r="U1001" i="10"/>
  <c r="W1001" i="10" s="1"/>
  <c r="AP1001" i="10" s="1"/>
  <c r="AH1000" i="10"/>
  <c r="AO1000" i="10"/>
  <c r="AY1000" i="10" s="1"/>
  <c r="AL1000" i="10"/>
  <c r="BA1000" i="10"/>
  <c r="AN1000" i="10" l="1"/>
  <c r="AW1000" i="10" s="1"/>
  <c r="X1001" i="10"/>
  <c r="Z1001" i="10" l="1"/>
  <c r="AR1001" i="10" s="1"/>
  <c r="BD1000" i="10"/>
  <c r="AZ1000" i="10"/>
  <c r="AA1001" i="10" l="1"/>
  <c r="Q1002" i="10"/>
  <c r="AM1002" i="10" l="1"/>
  <c r="AC1002" i="10"/>
  <c r="S1002" i="10"/>
  <c r="AB1002" i="10"/>
  <c r="AV1001" i="10" s="1"/>
  <c r="AJ1001" i="10"/>
  <c r="AI1001" i="10"/>
  <c r="AG1001" i="10"/>
  <c r="AK1001" i="10"/>
  <c r="AX1001" i="10" s="1"/>
  <c r="BA1001" i="10" l="1"/>
  <c r="AH1001" i="10"/>
  <c r="AO1001" i="10"/>
  <c r="AY1001" i="10" s="1"/>
  <c r="AL1001" i="10"/>
  <c r="AD1002" i="10"/>
  <c r="T1002" i="10"/>
  <c r="AQ1002" i="10" s="1"/>
  <c r="U1002" i="10"/>
  <c r="W1002" i="10" s="1"/>
  <c r="AP1002" i="10" s="1"/>
  <c r="X1002" i="10" l="1"/>
  <c r="AN1001" i="10"/>
  <c r="AW1001" i="10" s="1"/>
  <c r="BD1001" i="10" l="1"/>
  <c r="AZ1001" i="10"/>
  <c r="Z1002" i="10"/>
  <c r="AR1002" i="10" s="1"/>
  <c r="AA1002" i="10" l="1"/>
  <c r="Q1003" i="10"/>
  <c r="AM1003" i="10" l="1"/>
  <c r="AC1003" i="10"/>
  <c r="AB1003" i="10"/>
  <c r="AV1002" i="10" s="1"/>
  <c r="S1003" i="10"/>
  <c r="AJ1002" i="10"/>
  <c r="AI1002" i="10"/>
  <c r="AG1002" i="10"/>
  <c r="AK1002" i="10"/>
  <c r="AX1002" i="10" s="1"/>
  <c r="AL1002" i="10" l="1"/>
  <c r="AO1002" i="10"/>
  <c r="AY1002" i="10" s="1"/>
  <c r="AH1002" i="10"/>
  <c r="AD1003" i="10"/>
  <c r="T1003" i="10"/>
  <c r="AQ1003" i="10" s="1"/>
  <c r="U1003" i="10"/>
  <c r="W1003" i="10" s="1"/>
  <c r="AP1003" i="10" s="1"/>
  <c r="BA1002" i="10"/>
  <c r="AN1002" i="10" l="1"/>
  <c r="AW1002" i="10" s="1"/>
  <c r="X1003" i="10"/>
  <c r="BD1002" i="10"/>
  <c r="AZ1002" i="10"/>
  <c r="Z1003" i="10" l="1"/>
  <c r="AR1003" i="10" s="1"/>
  <c r="AA1003" i="10" l="1"/>
  <c r="Q1004" i="10"/>
  <c r="AM1004" i="10" l="1"/>
  <c r="AC1004" i="10"/>
  <c r="AB1004" i="10"/>
  <c r="AV1003" i="10" s="1"/>
  <c r="S1004" i="10"/>
  <c r="AJ1003" i="10"/>
  <c r="AI1003" i="10"/>
  <c r="AG1003" i="10"/>
  <c r="AK1003" i="10"/>
  <c r="AX1003" i="10" s="1"/>
  <c r="AL1003" i="10" l="1"/>
  <c r="AO1003" i="10"/>
  <c r="AY1003" i="10" s="1"/>
  <c r="AH1003" i="10"/>
  <c r="AN1003" i="10" s="1"/>
  <c r="AW1003" i="10" s="1"/>
  <c r="AD1004" i="10"/>
  <c r="T1004" i="10"/>
  <c r="AQ1004" i="10" s="1"/>
  <c r="U1004" i="10"/>
  <c r="W1004" i="10" s="1"/>
  <c r="AP1004" i="10" s="1"/>
  <c r="BA1003" i="10"/>
  <c r="X1004" i="10" l="1"/>
  <c r="BD1003" i="10"/>
  <c r="AZ1003" i="10"/>
  <c r="Z1004" i="10" l="1"/>
  <c r="AR1004" i="10" s="1"/>
  <c r="Q1005" i="10" l="1"/>
  <c r="AA1004" i="10"/>
  <c r="AJ1004" i="10" l="1"/>
  <c r="AI1004" i="10"/>
  <c r="AG1004" i="10"/>
  <c r="AK1004" i="10"/>
  <c r="AX1004" i="10" s="1"/>
  <c r="AM1005" i="10"/>
  <c r="S1005" i="10"/>
  <c r="AB1005" i="10"/>
  <c r="AV1004" i="10" s="1"/>
  <c r="AC1005" i="10"/>
  <c r="BA1004" i="10" l="1"/>
  <c r="T1005" i="10"/>
  <c r="AQ1005" i="10" s="1"/>
  <c r="AD1005" i="10"/>
  <c r="U1005" i="10"/>
  <c r="W1005" i="10" s="1"/>
  <c r="AP1005" i="10" s="1"/>
  <c r="AO1004" i="10"/>
  <c r="AY1004" i="10" s="1"/>
  <c r="AH1004" i="10"/>
  <c r="AL1004" i="10"/>
  <c r="AN1004" i="10" l="1"/>
  <c r="AW1004" i="10" s="1"/>
  <c r="X1005" i="10"/>
  <c r="BD1004" i="10" l="1"/>
  <c r="AZ1004" i="10"/>
  <c r="Z1005" i="10"/>
  <c r="AR1005" i="10" s="1"/>
  <c r="Q1006" i="10" l="1"/>
  <c r="AA1005" i="10"/>
  <c r="AJ1005" i="10" l="1"/>
  <c r="AI1005" i="10"/>
  <c r="AG1005" i="10"/>
  <c r="AK1005" i="10"/>
  <c r="AX1005" i="10" s="1"/>
  <c r="AM1006" i="10"/>
  <c r="AC1006" i="10"/>
  <c r="S1006" i="10"/>
  <c r="AB1006" i="10"/>
  <c r="AV1005" i="10" s="1"/>
  <c r="BA1005" i="10" l="1"/>
  <c r="AD1006" i="10"/>
  <c r="T1006" i="10"/>
  <c r="AQ1006" i="10" s="1"/>
  <c r="U1006" i="10"/>
  <c r="W1006" i="10" s="1"/>
  <c r="AP1006" i="10" s="1"/>
  <c r="AH1005" i="10"/>
  <c r="AO1005" i="10"/>
  <c r="AY1005" i="10" s="1"/>
  <c r="AL1005" i="10"/>
  <c r="AN1005" i="10" l="1"/>
  <c r="AW1005" i="10" s="1"/>
  <c r="BD1005" i="10" s="1"/>
  <c r="AZ1005" i="10"/>
  <c r="X1006" i="10"/>
  <c r="Z1006" i="10" l="1"/>
  <c r="AR1006" i="10" s="1"/>
  <c r="AA1006" i="10" l="1"/>
  <c r="Q1007" i="10"/>
  <c r="AM1007" i="10" l="1"/>
  <c r="AC1007" i="10"/>
  <c r="S1007" i="10"/>
  <c r="AB1007" i="10"/>
  <c r="AV1006" i="10" s="1"/>
  <c r="AI1006" i="10"/>
  <c r="AJ1006" i="10"/>
  <c r="AG1006" i="10"/>
  <c r="AK1006" i="10"/>
  <c r="AX1006" i="10" s="1"/>
  <c r="AL1006" i="10" l="1"/>
  <c r="AH1006" i="10"/>
  <c r="AN1006" i="10" s="1"/>
  <c r="AW1006" i="10" s="1"/>
  <c r="AO1006" i="10"/>
  <c r="AY1006" i="10" s="1"/>
  <c r="AD1007" i="10"/>
  <c r="T1007" i="10"/>
  <c r="AQ1007" i="10" s="1"/>
  <c r="U1007" i="10"/>
  <c r="W1007" i="10" s="1"/>
  <c r="AP1007" i="10" s="1"/>
  <c r="BA1006" i="10"/>
  <c r="X1007" i="10" l="1"/>
  <c r="BD1006" i="10"/>
  <c r="AZ1006" i="10"/>
  <c r="Z1007" i="10" l="1"/>
  <c r="AR1007" i="10" s="1"/>
  <c r="AA1007" i="10" l="1"/>
  <c r="Q1008" i="10"/>
  <c r="AM1008" i="10" l="1"/>
  <c r="AB1008" i="10"/>
  <c r="AV1007" i="10" s="1"/>
  <c r="AC1008" i="10"/>
  <c r="S1008" i="10"/>
  <c r="AJ1007" i="10"/>
  <c r="AI1007" i="10"/>
  <c r="AG1007" i="10"/>
  <c r="AK1007" i="10"/>
  <c r="AX1007" i="10" s="1"/>
  <c r="AO1007" i="10" l="1"/>
  <c r="AY1007" i="10" s="1"/>
  <c r="AH1007" i="10"/>
  <c r="AL1007" i="10"/>
  <c r="T1008" i="10"/>
  <c r="AQ1008" i="10" s="1"/>
  <c r="AD1008" i="10"/>
  <c r="U1008" i="10"/>
  <c r="W1008" i="10" s="1"/>
  <c r="AP1008" i="10" s="1"/>
  <c r="BA1007" i="10"/>
  <c r="X1008" i="10" l="1"/>
  <c r="AN1007" i="10"/>
  <c r="AW1007" i="10" s="1"/>
  <c r="Z1008" i="10" l="1"/>
  <c r="AR1008" i="10" s="1"/>
  <c r="BD1007" i="10"/>
  <c r="AZ1007" i="10"/>
  <c r="Q1009" i="10" l="1"/>
  <c r="AA1008" i="10"/>
  <c r="AJ1008" i="10" l="1"/>
  <c r="AI1008" i="10"/>
  <c r="AG1008" i="10"/>
  <c r="AK1008" i="10"/>
  <c r="AX1008" i="10" s="1"/>
  <c r="AM1009" i="10"/>
  <c r="AC1009" i="10"/>
  <c r="BA1008" i="10" s="1"/>
  <c r="AB1009" i="10"/>
  <c r="AV1008" i="10" s="1"/>
  <c r="S1009" i="10"/>
  <c r="AH1008" i="10" l="1"/>
  <c r="AO1008" i="10"/>
  <c r="AY1008" i="10" s="1"/>
  <c r="AL1008" i="10"/>
  <c r="AD1009" i="10"/>
  <c r="T1009" i="10"/>
  <c r="AQ1009" i="10" s="1"/>
  <c r="U1009" i="10"/>
  <c r="W1009" i="10" s="1"/>
  <c r="AP1009" i="10" s="1"/>
  <c r="X1009" i="10" l="1"/>
  <c r="AN1008" i="10"/>
  <c r="AW1008" i="10" s="1"/>
  <c r="BD1008" i="10" l="1"/>
  <c r="AZ1008" i="10"/>
  <c r="Z1009" i="10"/>
  <c r="AR1009" i="10" s="1"/>
  <c r="AA1009" i="10" l="1"/>
  <c r="Q1010" i="10"/>
  <c r="AM1010" i="10" l="1"/>
  <c r="AC1010" i="10"/>
  <c r="S1010" i="10"/>
  <c r="AB1010" i="10"/>
  <c r="AV1009" i="10" s="1"/>
  <c r="AJ1009" i="10"/>
  <c r="AI1009" i="10"/>
  <c r="AG1009" i="10"/>
  <c r="AK1009" i="10"/>
  <c r="AX1009" i="10" s="1"/>
  <c r="AL1009" i="10" l="1"/>
  <c r="AD1010" i="10"/>
  <c r="T1010" i="10"/>
  <c r="AQ1010" i="10" s="1"/>
  <c r="U1010" i="10"/>
  <c r="W1010" i="10" s="1"/>
  <c r="AP1010" i="10" s="1"/>
  <c r="BA1009" i="10"/>
  <c r="AH1009" i="10"/>
  <c r="AN1009" i="10" s="1"/>
  <c r="AW1009" i="10" s="1"/>
  <c r="AO1009" i="10"/>
  <c r="AY1009" i="10" s="1"/>
  <c r="BD1009" i="10" l="1"/>
  <c r="AZ1009" i="10"/>
  <c r="X1010" i="10"/>
  <c r="Z1010" i="10" l="1"/>
  <c r="AR1010" i="10" s="1"/>
  <c r="AA1010" i="10" l="1"/>
  <c r="Q1011" i="10"/>
  <c r="AM1011" i="10" l="1"/>
  <c r="AC1011" i="10"/>
  <c r="S1011" i="10"/>
  <c r="AB1011" i="10"/>
  <c r="AV1010" i="10" s="1"/>
  <c r="AJ1010" i="10"/>
  <c r="AI1010" i="10"/>
  <c r="AG1010" i="10"/>
  <c r="AK1010" i="10"/>
  <c r="AX1010" i="10" s="1"/>
  <c r="AL1010" i="10" l="1"/>
  <c r="AD1011" i="10"/>
  <c r="T1011" i="10"/>
  <c r="AQ1011" i="10" s="1"/>
  <c r="U1011" i="10"/>
  <c r="W1011" i="10" s="1"/>
  <c r="AP1011" i="10" s="1"/>
  <c r="AH1010" i="10"/>
  <c r="AN1010" i="10" s="1"/>
  <c r="AW1010" i="10" s="1"/>
  <c r="AO1010" i="10"/>
  <c r="AY1010" i="10" s="1"/>
  <c r="BA1010" i="10"/>
  <c r="BD1010" i="10" l="1"/>
  <c r="AZ1010" i="10"/>
  <c r="X1011" i="10"/>
  <c r="Z1011" i="10" l="1"/>
  <c r="AR1011" i="10" s="1"/>
  <c r="AA1011" i="10" l="1"/>
  <c r="Q1012" i="10"/>
  <c r="AM1012" i="10" l="1"/>
  <c r="AB1012" i="10"/>
  <c r="AV1011" i="10" s="1"/>
  <c r="S1012" i="10"/>
  <c r="AC1012" i="10"/>
  <c r="AJ1011" i="10"/>
  <c r="AI1011" i="10"/>
  <c r="AG1011" i="10"/>
  <c r="AK1011" i="10"/>
  <c r="AX1011" i="10" s="1"/>
  <c r="AO1011" i="10" l="1"/>
  <c r="AY1011" i="10" s="1"/>
  <c r="AH1011" i="10"/>
  <c r="AL1011" i="10"/>
  <c r="BA1011" i="10"/>
  <c r="AD1012" i="10"/>
  <c r="T1012" i="10"/>
  <c r="AQ1012" i="10" s="1"/>
  <c r="U1012" i="10"/>
  <c r="W1012" i="10" s="1"/>
  <c r="AP1012" i="10" s="1"/>
  <c r="X1012" i="10" l="1"/>
  <c r="AN1011" i="10"/>
  <c r="AW1011" i="10" s="1"/>
  <c r="Z1012" i="10" l="1"/>
  <c r="AR1012" i="10" s="1"/>
  <c r="BD1011" i="10"/>
  <c r="AZ1011" i="10"/>
  <c r="Q1013" i="10" l="1"/>
  <c r="AA1012" i="10"/>
  <c r="AJ1012" i="10" l="1"/>
  <c r="AI1012" i="10"/>
  <c r="AG1012" i="10"/>
  <c r="AK1012" i="10"/>
  <c r="AX1012" i="10" s="1"/>
  <c r="AM1013" i="10"/>
  <c r="S1013" i="10"/>
  <c r="AB1013" i="10"/>
  <c r="AV1012" i="10" s="1"/>
  <c r="AC1013" i="10"/>
  <c r="T1013" i="10" l="1"/>
  <c r="AQ1013" i="10" s="1"/>
  <c r="AD1013" i="10"/>
  <c r="U1013" i="10"/>
  <c r="W1013" i="10" s="1"/>
  <c r="AP1013" i="10" s="1"/>
  <c r="AO1012" i="10"/>
  <c r="AY1012" i="10" s="1"/>
  <c r="AH1012" i="10"/>
  <c r="AL1012" i="10"/>
  <c r="BA1012" i="10"/>
  <c r="AN1012" i="10" l="1"/>
  <c r="AW1012" i="10" s="1"/>
  <c r="BD1012" i="10" s="1"/>
  <c r="X1013" i="10"/>
  <c r="AZ1012" i="10" l="1"/>
  <c r="Z1013" i="10"/>
  <c r="AR1013" i="10" s="1"/>
  <c r="Q1014" i="10" l="1"/>
  <c r="AA1013" i="10"/>
  <c r="AM1014" i="10" l="1"/>
  <c r="AC1014" i="10"/>
  <c r="S1014" i="10"/>
  <c r="AB1014" i="10"/>
  <c r="AV1013" i="10" s="1"/>
  <c r="AJ1013" i="10"/>
  <c r="AI1013" i="10"/>
  <c r="AG1013" i="10"/>
  <c r="AK1013" i="10"/>
  <c r="AX1013" i="10" s="1"/>
  <c r="AL1013" i="10" l="1"/>
  <c r="AH1013" i="10"/>
  <c r="AO1013" i="10"/>
  <c r="AY1013" i="10" s="1"/>
  <c r="AD1014" i="10"/>
  <c r="T1014" i="10"/>
  <c r="AQ1014" i="10" s="1"/>
  <c r="U1014" i="10"/>
  <c r="W1014" i="10" s="1"/>
  <c r="AP1014" i="10" s="1"/>
  <c r="BA1013" i="10"/>
  <c r="AN1013" i="10" l="1"/>
  <c r="AW1013" i="10" s="1"/>
  <c r="X1014" i="10"/>
  <c r="BD1013" i="10"/>
  <c r="AZ1013" i="10"/>
  <c r="Z1014" i="10" l="1"/>
  <c r="AR1014" i="10" s="1"/>
  <c r="AA1014" i="10" l="1"/>
  <c r="Q1015" i="10"/>
  <c r="AM1015" i="10" l="1"/>
  <c r="AC1015" i="10"/>
  <c r="S1015" i="10"/>
  <c r="AB1015" i="10"/>
  <c r="AV1014" i="10" s="1"/>
  <c r="AI1014" i="10"/>
  <c r="AJ1014" i="10"/>
  <c r="AG1014" i="10"/>
  <c r="AK1014" i="10"/>
  <c r="AX1014" i="10" s="1"/>
  <c r="AH1014" i="10" l="1"/>
  <c r="AO1014" i="10"/>
  <c r="AY1014" i="10" s="1"/>
  <c r="AL1014" i="10"/>
  <c r="AD1015" i="10"/>
  <c r="T1015" i="10"/>
  <c r="AQ1015" i="10" s="1"/>
  <c r="U1015" i="10"/>
  <c r="W1015" i="10" s="1"/>
  <c r="AP1015" i="10" s="1"/>
  <c r="BA1014" i="10"/>
  <c r="X1015" i="10" l="1"/>
  <c r="AN1014" i="10"/>
  <c r="AW1014" i="10" s="1"/>
  <c r="BD1014" i="10" l="1"/>
  <c r="AZ1014" i="10"/>
  <c r="Z1015" i="10"/>
  <c r="AR1015" i="10" s="1"/>
  <c r="AA1015" i="10" l="1"/>
  <c r="Q1016" i="10"/>
  <c r="AM1016" i="10" l="1"/>
  <c r="AB1016" i="10"/>
  <c r="AV1015" i="10" s="1"/>
  <c r="AC1016" i="10"/>
  <c r="S1016" i="10"/>
  <c r="AJ1015" i="10"/>
  <c r="AI1015" i="10"/>
  <c r="AG1015" i="10"/>
  <c r="AK1015" i="10"/>
  <c r="AX1015" i="10" s="1"/>
  <c r="AL1015" i="10" l="1"/>
  <c r="T1016" i="10"/>
  <c r="AQ1016" i="10" s="1"/>
  <c r="AD1016" i="10"/>
  <c r="U1016" i="10"/>
  <c r="W1016" i="10" s="1"/>
  <c r="AP1016" i="10" s="1"/>
  <c r="BA1015" i="10"/>
  <c r="AO1015" i="10"/>
  <c r="AY1015" i="10" s="1"/>
  <c r="AH1015" i="10"/>
  <c r="AN1015" i="10" l="1"/>
  <c r="AW1015" i="10" s="1"/>
  <c r="BD1015" i="10" s="1"/>
  <c r="AZ1015" i="10"/>
  <c r="X1016" i="10"/>
  <c r="Z1016" i="10" l="1"/>
  <c r="AR1016" i="10" s="1"/>
  <c r="Q1017" i="10" l="1"/>
  <c r="AA1016" i="10"/>
  <c r="AJ1016" i="10" l="1"/>
  <c r="AI1016" i="10"/>
  <c r="AG1016" i="10"/>
  <c r="AK1016" i="10"/>
  <c r="AX1016" i="10" s="1"/>
  <c r="AM1017" i="10"/>
  <c r="AC1017" i="10"/>
  <c r="BA1016" i="10" s="1"/>
  <c r="AB1017" i="10"/>
  <c r="AV1016" i="10" s="1"/>
  <c r="S1017" i="10"/>
  <c r="AD1017" i="10" l="1"/>
  <c r="T1017" i="10"/>
  <c r="AQ1017" i="10" s="1"/>
  <c r="U1017" i="10"/>
  <c r="W1017" i="10" s="1"/>
  <c r="AP1017" i="10" s="1"/>
  <c r="AO1016" i="10"/>
  <c r="AY1016" i="10" s="1"/>
  <c r="AH1016" i="10"/>
  <c r="AL1016" i="10"/>
  <c r="AN1016" i="10" l="1"/>
  <c r="AW1016" i="10" s="1"/>
  <c r="X1017" i="10"/>
  <c r="Z1017" i="10" l="1"/>
  <c r="AR1017" i="10" s="1"/>
  <c r="BD1016" i="10"/>
  <c r="AZ1016" i="10"/>
  <c r="AA1017" i="10" l="1"/>
  <c r="Q1018" i="10"/>
  <c r="AM1018" i="10" l="1"/>
  <c r="AC1018" i="10"/>
  <c r="S1018" i="10"/>
  <c r="AB1018" i="10"/>
  <c r="AV1017" i="10" s="1"/>
  <c r="AJ1017" i="10"/>
  <c r="AI1017" i="10"/>
  <c r="AG1017" i="10"/>
  <c r="AK1017" i="10"/>
  <c r="AX1017" i="10" s="1"/>
  <c r="AH1017" i="10" l="1"/>
  <c r="AO1017" i="10"/>
  <c r="AY1017" i="10" s="1"/>
  <c r="AL1017" i="10"/>
  <c r="AD1018" i="10"/>
  <c r="T1018" i="10"/>
  <c r="AQ1018" i="10" s="1"/>
  <c r="U1018" i="10"/>
  <c r="W1018" i="10" s="1"/>
  <c r="AP1018" i="10" s="1"/>
  <c r="BA1017" i="10"/>
  <c r="X1018" i="10" l="1"/>
  <c r="AN1017" i="10"/>
  <c r="AW1017" i="10" s="1"/>
  <c r="BD1017" i="10" l="1"/>
  <c r="AZ1017" i="10"/>
  <c r="Z1018" i="10"/>
  <c r="AR1018" i="10" s="1"/>
  <c r="AA1018" i="10" l="1"/>
  <c r="Q1019" i="10"/>
  <c r="AM1019" i="10" l="1"/>
  <c r="AC1019" i="10"/>
  <c r="AB1019" i="10"/>
  <c r="AV1018" i="10" s="1"/>
  <c r="S1019" i="10"/>
  <c r="AJ1018" i="10"/>
  <c r="AI1018" i="10"/>
  <c r="AG1018" i="10"/>
  <c r="AK1018" i="10"/>
  <c r="AX1018" i="10" s="1"/>
  <c r="AL1018" i="10" l="1"/>
  <c r="AO1018" i="10"/>
  <c r="AY1018" i="10" s="1"/>
  <c r="AH1018" i="10"/>
  <c r="AD1019" i="10"/>
  <c r="T1019" i="10"/>
  <c r="AQ1019" i="10" s="1"/>
  <c r="U1019" i="10"/>
  <c r="W1019" i="10" s="1"/>
  <c r="AP1019" i="10" s="1"/>
  <c r="BA1018" i="10"/>
  <c r="AN1018" i="10" l="1"/>
  <c r="AW1018" i="10" s="1"/>
  <c r="X1019" i="10"/>
  <c r="BD1018" i="10"/>
  <c r="AZ1018" i="10"/>
  <c r="Z1019" i="10" l="1"/>
  <c r="AR1019" i="10" s="1"/>
  <c r="Q1020" i="10" l="1"/>
  <c r="AA1019" i="10"/>
  <c r="AI1019" i="10" l="1"/>
  <c r="AJ1019" i="10"/>
  <c r="AG1019" i="10"/>
  <c r="AK1019" i="10"/>
  <c r="AX1019" i="10" s="1"/>
  <c r="AM1020" i="10"/>
  <c r="AC1020" i="10"/>
  <c r="BA1019" i="10" s="1"/>
  <c r="S1020" i="10"/>
  <c r="AB1020" i="10"/>
  <c r="AV1019" i="10" s="1"/>
  <c r="AD1020" i="10" l="1"/>
  <c r="T1020" i="10"/>
  <c r="AQ1020" i="10" s="1"/>
  <c r="U1020" i="10"/>
  <c r="W1020" i="10" s="1"/>
  <c r="AP1020" i="10" s="1"/>
  <c r="AH1019" i="10"/>
  <c r="AO1019" i="10"/>
  <c r="AY1019" i="10" s="1"/>
  <c r="AL1019" i="10"/>
  <c r="AN1019" i="10" l="1"/>
  <c r="AW1019" i="10" s="1"/>
  <c r="X1020" i="10"/>
  <c r="Z1020" i="10" l="1"/>
  <c r="AR1020" i="10" s="1"/>
  <c r="BD1019" i="10"/>
  <c r="AZ1019" i="10"/>
  <c r="AA1020" i="10" l="1"/>
  <c r="Q1021" i="10"/>
  <c r="AM1021" i="10" l="1"/>
  <c r="AC1021" i="10"/>
  <c r="AB1021" i="10"/>
  <c r="AV1020" i="10" s="1"/>
  <c r="S1021" i="10"/>
  <c r="AJ1020" i="10"/>
  <c r="AI1020" i="10"/>
  <c r="AG1020" i="10"/>
  <c r="AK1020" i="10"/>
  <c r="AX1020" i="10" s="1"/>
  <c r="AO1020" i="10" l="1"/>
  <c r="AY1020" i="10" s="1"/>
  <c r="AH1020" i="10"/>
  <c r="AL1020" i="10"/>
  <c r="AD1021" i="10"/>
  <c r="T1021" i="10"/>
  <c r="AQ1021" i="10" s="1"/>
  <c r="U1021" i="10"/>
  <c r="W1021" i="10" s="1"/>
  <c r="AP1021" i="10" s="1"/>
  <c r="BA1020" i="10"/>
  <c r="X1021" i="10" l="1"/>
  <c r="AN1020" i="10"/>
  <c r="AW1020" i="10" s="1"/>
  <c r="Z1021" i="10" l="1"/>
  <c r="AR1021" i="10" s="1"/>
  <c r="BD1020" i="10"/>
  <c r="AZ1020" i="10"/>
  <c r="Q1022" i="10" l="1"/>
  <c r="AA1021" i="10"/>
  <c r="AJ1021" i="10" l="1"/>
  <c r="AI1021" i="10"/>
  <c r="AG1021" i="10"/>
  <c r="AK1021" i="10"/>
  <c r="AX1021" i="10" s="1"/>
  <c r="AM1022" i="10"/>
  <c r="AC1022" i="10"/>
  <c r="BA1021" i="10" s="1"/>
  <c r="S1022" i="10"/>
  <c r="AB1022" i="10"/>
  <c r="AV1021" i="10" s="1"/>
  <c r="AD1022" i="10" l="1"/>
  <c r="T1022" i="10"/>
  <c r="AQ1022" i="10" s="1"/>
  <c r="U1022" i="10"/>
  <c r="W1022" i="10" s="1"/>
  <c r="AP1022" i="10" s="1"/>
  <c r="AH1021" i="10"/>
  <c r="AO1021" i="10"/>
  <c r="AY1021" i="10" s="1"/>
  <c r="AL1021" i="10"/>
  <c r="AN1021" i="10" l="1"/>
  <c r="AW1021" i="10" s="1"/>
  <c r="BD1021" i="10" s="1"/>
  <c r="X1022" i="10"/>
  <c r="AZ1021" i="10" l="1"/>
  <c r="Z1022" i="10"/>
  <c r="AR1022" i="10" s="1"/>
  <c r="AA1022" i="10" l="1"/>
  <c r="Q1023" i="10"/>
  <c r="AM1023" i="10" l="1"/>
  <c r="AC1023" i="10"/>
  <c r="AB1023" i="10"/>
  <c r="AV1022" i="10" s="1"/>
  <c r="S1023" i="10"/>
  <c r="AJ1022" i="10"/>
  <c r="AI1022" i="10"/>
  <c r="AG1022" i="10"/>
  <c r="AK1022" i="10"/>
  <c r="AX1022" i="10" s="1"/>
  <c r="AL1022" i="10" l="1"/>
  <c r="AD1023" i="10"/>
  <c r="T1023" i="10"/>
  <c r="AQ1023" i="10" s="1"/>
  <c r="U1023" i="10"/>
  <c r="W1023" i="10" s="1"/>
  <c r="AP1023" i="10" s="1"/>
  <c r="BA1022" i="10"/>
  <c r="AO1022" i="10"/>
  <c r="AY1022" i="10" s="1"/>
  <c r="AH1022" i="10"/>
  <c r="AN1022" i="10" l="1"/>
  <c r="AW1022" i="10" s="1"/>
  <c r="BD1022" i="10" s="1"/>
  <c r="AZ1022" i="10"/>
  <c r="X1023" i="10"/>
  <c r="Z1023" i="10" l="1"/>
  <c r="AR1023" i="10" s="1"/>
  <c r="Q1024" i="10" l="1"/>
  <c r="AA1023" i="10"/>
  <c r="AI1023" i="10" l="1"/>
  <c r="AJ1023" i="10"/>
  <c r="AG1023" i="10"/>
  <c r="AK1023" i="10"/>
  <c r="AX1023" i="10" s="1"/>
  <c r="AM1024" i="10"/>
  <c r="AC1024" i="10"/>
  <c r="BA1023" i="10" s="1"/>
  <c r="S1024" i="10"/>
  <c r="AB1024" i="10"/>
  <c r="AV1023" i="10" s="1"/>
  <c r="AD1024" i="10" l="1"/>
  <c r="T1024" i="10"/>
  <c r="AQ1024" i="10" s="1"/>
  <c r="U1024" i="10"/>
  <c r="W1024" i="10" s="1"/>
  <c r="AP1024" i="10" s="1"/>
  <c r="AH1023" i="10"/>
  <c r="AO1023" i="10"/>
  <c r="AY1023" i="10" s="1"/>
  <c r="AL1023" i="10"/>
  <c r="AN1023" i="10" l="1"/>
  <c r="AW1023" i="10" s="1"/>
  <c r="X1024" i="10"/>
  <c r="Z1024" i="10" l="1"/>
  <c r="AR1024" i="10" s="1"/>
  <c r="BD1023" i="10"/>
  <c r="AZ1023" i="10"/>
  <c r="AA1024" i="10" l="1"/>
  <c r="Q1025" i="10"/>
  <c r="AM1025" i="10" l="1"/>
  <c r="AB1025" i="10"/>
  <c r="AV1024" i="10" s="1"/>
  <c r="S1025" i="10"/>
  <c r="AC1025" i="10"/>
  <c r="AJ1024" i="10"/>
  <c r="AI1024" i="10"/>
  <c r="AG1024" i="10"/>
  <c r="AK1024" i="10"/>
  <c r="AX1024" i="10" s="1"/>
  <c r="AL1024" i="10" l="1"/>
  <c r="AO1024" i="10"/>
  <c r="AY1024" i="10" s="1"/>
  <c r="AH1024" i="10"/>
  <c r="BA1024" i="10"/>
  <c r="T1025" i="10"/>
  <c r="AQ1025" i="10" s="1"/>
  <c r="AD1025" i="10"/>
  <c r="U1025" i="10"/>
  <c r="W1025" i="10" s="1"/>
  <c r="AP1025" i="10" s="1"/>
  <c r="AN1024" i="10" l="1"/>
  <c r="AW1024" i="10" s="1"/>
  <c r="BD1024" i="10" s="1"/>
  <c r="X1025" i="10"/>
  <c r="AZ1024" i="10"/>
  <c r="Z1025" i="10" l="1"/>
  <c r="AR1025" i="10" s="1"/>
  <c r="AA1025" i="10" l="1"/>
  <c r="Q1026" i="10"/>
  <c r="AM1026" i="10" l="1"/>
  <c r="S1026" i="10"/>
  <c r="AC1026" i="10"/>
  <c r="AB1026" i="10"/>
  <c r="AV1025" i="10" s="1"/>
  <c r="AJ1025" i="10"/>
  <c r="AI1025" i="10"/>
  <c r="AG1025" i="10"/>
  <c r="AK1025" i="10"/>
  <c r="AX1025" i="10" s="1"/>
  <c r="AL1025" i="10" l="1"/>
  <c r="BA1025" i="10"/>
  <c r="T1026" i="10"/>
  <c r="AQ1026" i="10" s="1"/>
  <c r="AD1026" i="10"/>
  <c r="U1026" i="10"/>
  <c r="W1026" i="10" s="1"/>
  <c r="AP1026" i="10" s="1"/>
  <c r="AH1025" i="10"/>
  <c r="AN1025" i="10" s="1"/>
  <c r="AW1025" i="10" s="1"/>
  <c r="AO1025" i="10"/>
  <c r="AY1025" i="10" s="1"/>
  <c r="BD1025" i="10" l="1"/>
  <c r="AZ1025" i="10"/>
  <c r="X1026" i="10"/>
  <c r="Z1026" i="10" l="1"/>
  <c r="AR1026" i="10" s="1"/>
  <c r="AA1026" i="10" l="1"/>
  <c r="Q1027" i="10"/>
  <c r="AM1027" i="10" l="1"/>
  <c r="S1027" i="10"/>
  <c r="AC1027" i="10"/>
  <c r="AB1027" i="10"/>
  <c r="AV1026" i="10" s="1"/>
  <c r="AJ1026" i="10"/>
  <c r="AI1026" i="10"/>
  <c r="AG1026" i="10"/>
  <c r="AK1026" i="10"/>
  <c r="AX1026" i="10" s="1"/>
  <c r="AH1026" i="10" l="1"/>
  <c r="AO1026" i="10"/>
  <c r="AY1026" i="10" s="1"/>
  <c r="AL1026" i="10"/>
  <c r="BA1026" i="10"/>
  <c r="AD1027" i="10"/>
  <c r="T1027" i="10"/>
  <c r="AQ1027" i="10" s="1"/>
  <c r="U1027" i="10"/>
  <c r="W1027" i="10" s="1"/>
  <c r="AP1027" i="10" s="1"/>
  <c r="X1027" i="10" l="1"/>
  <c r="AN1026" i="10"/>
  <c r="AW1026" i="10" s="1"/>
  <c r="AZ1026" i="10" l="1"/>
  <c r="BD1026" i="10"/>
  <c r="Z1027" i="10"/>
  <c r="AR1027" i="10" s="1"/>
  <c r="AA1027" i="10" l="1"/>
  <c r="Q1028" i="10"/>
  <c r="AM1028" i="10" l="1"/>
  <c r="AC1028" i="10"/>
  <c r="AB1028" i="10"/>
  <c r="AV1027" i="10" s="1"/>
  <c r="S1028" i="10"/>
  <c r="AI1027" i="10"/>
  <c r="AJ1027" i="10"/>
  <c r="AG1027" i="10"/>
  <c r="AK1027" i="10"/>
  <c r="AX1027" i="10" s="1"/>
  <c r="AL1027" i="10" l="1"/>
  <c r="AH1027" i="10"/>
  <c r="AN1027" i="10" s="1"/>
  <c r="AW1027" i="10" s="1"/>
  <c r="AO1027" i="10"/>
  <c r="AY1027" i="10" s="1"/>
  <c r="AD1028" i="10"/>
  <c r="T1028" i="10"/>
  <c r="AQ1028" i="10" s="1"/>
  <c r="U1028" i="10"/>
  <c r="W1028" i="10" s="1"/>
  <c r="AP1028" i="10" s="1"/>
  <c r="BA1027" i="10"/>
  <c r="X1028" i="10" l="1"/>
  <c r="AZ1027" i="10"/>
  <c r="BD1027" i="10"/>
  <c r="Z1028" i="10" l="1"/>
  <c r="AR1028" i="10" s="1"/>
  <c r="AA1028" i="10" l="1"/>
  <c r="Q1029" i="10"/>
  <c r="AM1029" i="10" l="1"/>
  <c r="AC1029" i="10"/>
  <c r="AB1029" i="10"/>
  <c r="AV1028" i="10" s="1"/>
  <c r="S1029" i="10"/>
  <c r="AJ1028" i="10"/>
  <c r="AI1028" i="10"/>
  <c r="AG1028" i="10"/>
  <c r="AK1028" i="10"/>
  <c r="AX1028" i="10" s="1"/>
  <c r="AL1028" i="10" l="1"/>
  <c r="AD1029" i="10"/>
  <c r="T1029" i="10"/>
  <c r="AQ1029" i="10" s="1"/>
  <c r="U1029" i="10"/>
  <c r="W1029" i="10" s="1"/>
  <c r="AP1029" i="10" s="1"/>
  <c r="BA1028" i="10"/>
  <c r="AH1028" i="10"/>
  <c r="AN1028" i="10" s="1"/>
  <c r="AW1028" i="10" s="1"/>
  <c r="AO1028" i="10"/>
  <c r="AY1028" i="10" s="1"/>
  <c r="AZ1028" i="10" l="1"/>
  <c r="BD1028" i="10"/>
  <c r="X1029" i="10"/>
  <c r="Z1029" i="10" l="1"/>
  <c r="AR1029" i="10" s="1"/>
  <c r="Q1030" i="10" l="1"/>
  <c r="AA1029" i="10"/>
  <c r="AI1029" i="10" l="1"/>
  <c r="AJ1029" i="10"/>
  <c r="AG1029" i="10"/>
  <c r="AK1029" i="10"/>
  <c r="AX1029" i="10" s="1"/>
  <c r="AM1030" i="10"/>
  <c r="AC1030" i="10"/>
  <c r="BA1029" i="10" s="1"/>
  <c r="AB1030" i="10"/>
  <c r="AV1029" i="10" s="1"/>
  <c r="S1030" i="10"/>
  <c r="AO1029" i="10" l="1"/>
  <c r="AY1029" i="10" s="1"/>
  <c r="AH1029" i="10"/>
  <c r="AL1029" i="10"/>
  <c r="AD1030" i="10"/>
  <c r="T1030" i="10"/>
  <c r="AQ1030" i="10" s="1"/>
  <c r="U1030" i="10"/>
  <c r="W1030" i="10" s="1"/>
  <c r="AP1030" i="10" s="1"/>
  <c r="X1030" i="10" l="1"/>
  <c r="AN1029" i="10"/>
  <c r="AW1029" i="10" s="1"/>
  <c r="AZ1029" i="10" l="1"/>
  <c r="BD1029" i="10"/>
  <c r="Z1030" i="10"/>
  <c r="AR1030" i="10" s="1"/>
  <c r="Q1031" i="10" l="1"/>
  <c r="AA1030" i="10"/>
  <c r="AI1030" i="10" l="1"/>
  <c r="AJ1030" i="10"/>
  <c r="AG1030" i="10"/>
  <c r="AK1030" i="10"/>
  <c r="AX1030" i="10" s="1"/>
  <c r="AM1031" i="10"/>
  <c r="AC1031" i="10"/>
  <c r="BA1030" i="10" s="1"/>
  <c r="AB1031" i="10"/>
  <c r="AV1030" i="10" s="1"/>
  <c r="S1031" i="10"/>
  <c r="AD1031" i="10" l="1"/>
  <c r="T1031" i="10"/>
  <c r="AQ1031" i="10" s="1"/>
  <c r="U1031" i="10"/>
  <c r="W1031" i="10" s="1"/>
  <c r="AP1031" i="10" s="1"/>
  <c r="AO1030" i="10"/>
  <c r="AY1030" i="10" s="1"/>
  <c r="AH1030" i="10"/>
  <c r="AL1030" i="10"/>
  <c r="AN1030" i="10" l="1"/>
  <c r="AW1030" i="10" s="1"/>
  <c r="X1031" i="10"/>
  <c r="BD1030" i="10" l="1"/>
  <c r="AZ1030" i="10"/>
  <c r="Z1031" i="10"/>
  <c r="AR1031" i="10" s="1"/>
  <c r="AA1031" i="10" l="1"/>
  <c r="Q1032" i="10"/>
  <c r="AM1032" i="10" l="1"/>
  <c r="AC1032" i="10"/>
  <c r="AB1032" i="10"/>
  <c r="AV1031" i="10" s="1"/>
  <c r="S1032" i="10"/>
  <c r="AJ1031" i="10"/>
  <c r="AI1031" i="10"/>
  <c r="AG1031" i="10"/>
  <c r="AK1031" i="10"/>
  <c r="AX1031" i="10" s="1"/>
  <c r="AL1031" i="10" l="1"/>
  <c r="AO1031" i="10"/>
  <c r="AY1031" i="10" s="1"/>
  <c r="AH1031" i="10"/>
  <c r="T1032" i="10"/>
  <c r="AQ1032" i="10" s="1"/>
  <c r="AD1032" i="10"/>
  <c r="U1032" i="10"/>
  <c r="W1032" i="10" s="1"/>
  <c r="AP1032" i="10" s="1"/>
  <c r="BA1031" i="10"/>
  <c r="AN1031" i="10" l="1"/>
  <c r="AW1031" i="10" s="1"/>
  <c r="X1032" i="10"/>
  <c r="BD1031" i="10"/>
  <c r="AZ1031" i="10"/>
  <c r="Z1032" i="10" l="1"/>
  <c r="AR1032" i="10" s="1"/>
  <c r="AA1032" i="10" l="1"/>
  <c r="Q1033" i="10"/>
  <c r="AM1033" i="10" l="1"/>
  <c r="AB1033" i="10"/>
  <c r="AV1032" i="10" s="1"/>
  <c r="S1033" i="10"/>
  <c r="AC1033" i="10"/>
  <c r="AJ1032" i="10"/>
  <c r="AI1032" i="10"/>
  <c r="AG1032" i="10"/>
  <c r="AK1032" i="10"/>
  <c r="AX1032" i="10" s="1"/>
  <c r="AL1032" i="10" l="1"/>
  <c r="BA1032" i="10"/>
  <c r="AD1033" i="10"/>
  <c r="T1033" i="10"/>
  <c r="AQ1033" i="10" s="1"/>
  <c r="U1033" i="10"/>
  <c r="W1033" i="10" s="1"/>
  <c r="AP1033" i="10" s="1"/>
  <c r="AO1032" i="10"/>
  <c r="AY1032" i="10" s="1"/>
  <c r="AH1032" i="10"/>
  <c r="AN1032" i="10" l="1"/>
  <c r="AW1032" i="10" s="1"/>
  <c r="BD1032" i="10" s="1"/>
  <c r="X1033" i="10"/>
  <c r="AZ1032" i="10" l="1"/>
  <c r="Z1033" i="10"/>
  <c r="AR1033" i="10" s="1"/>
  <c r="AA1033" i="10" l="1"/>
  <c r="Q1034" i="10"/>
  <c r="AM1034" i="10" l="1"/>
  <c r="AB1034" i="10"/>
  <c r="AV1033" i="10" s="1"/>
  <c r="S1034" i="10"/>
  <c r="AC1034" i="10"/>
  <c r="AJ1033" i="10"/>
  <c r="AI1033" i="10"/>
  <c r="AG1033" i="10"/>
  <c r="AK1033" i="10"/>
  <c r="AX1033" i="10" s="1"/>
  <c r="AH1033" i="10" l="1"/>
  <c r="AO1033" i="10"/>
  <c r="AY1033" i="10" s="1"/>
  <c r="AL1033" i="10"/>
  <c r="BA1033" i="10"/>
  <c r="AD1034" i="10"/>
  <c r="T1034" i="10"/>
  <c r="AQ1034" i="10" s="1"/>
  <c r="U1034" i="10"/>
  <c r="W1034" i="10" s="1"/>
  <c r="AP1034" i="10" s="1"/>
  <c r="X1034" i="10" l="1"/>
  <c r="AN1033" i="10"/>
  <c r="AW1033" i="10" s="1"/>
  <c r="BD1033" i="10" l="1"/>
  <c r="AZ1033" i="10"/>
  <c r="Z1034" i="10"/>
  <c r="AR1034" i="10" s="1"/>
  <c r="Q1035" i="10" l="1"/>
  <c r="AA1034" i="10"/>
  <c r="AJ1034" i="10" l="1"/>
  <c r="AI1034" i="10"/>
  <c r="AG1034" i="10"/>
  <c r="AK1034" i="10"/>
  <c r="AX1034" i="10" s="1"/>
  <c r="AM1035" i="10"/>
  <c r="AC1035" i="10"/>
  <c r="BA1034" i="10" s="1"/>
  <c r="S1035" i="10"/>
  <c r="AB1035" i="10"/>
  <c r="AV1034" i="10" s="1"/>
  <c r="AD1035" i="10" l="1"/>
  <c r="T1035" i="10"/>
  <c r="AQ1035" i="10" s="1"/>
  <c r="U1035" i="10"/>
  <c r="W1035" i="10" s="1"/>
  <c r="AP1035" i="10" s="1"/>
  <c r="AO1034" i="10"/>
  <c r="AY1034" i="10" s="1"/>
  <c r="AH1034" i="10"/>
  <c r="AL1034" i="10"/>
  <c r="AN1034" i="10" l="1"/>
  <c r="AW1034" i="10" s="1"/>
  <c r="X1035" i="10"/>
  <c r="Z1035" i="10" l="1"/>
  <c r="AR1035" i="10" s="1"/>
  <c r="BD1034" i="10"/>
  <c r="AZ1034" i="10"/>
  <c r="AA1035" i="10" l="1"/>
  <c r="Q1036" i="10"/>
  <c r="AM1036" i="10" l="1"/>
  <c r="AC1036" i="10"/>
  <c r="S1036" i="10"/>
  <c r="AB1036" i="10"/>
  <c r="AV1035" i="10" s="1"/>
  <c r="AJ1035" i="10"/>
  <c r="AI1035" i="10"/>
  <c r="AG1035" i="10"/>
  <c r="AK1035" i="10"/>
  <c r="AX1035" i="10" s="1"/>
  <c r="AL1035" i="10" l="1"/>
  <c r="AH1035" i="10"/>
  <c r="AO1035" i="10"/>
  <c r="AY1035" i="10" s="1"/>
  <c r="AD1036" i="10"/>
  <c r="T1036" i="10"/>
  <c r="AQ1036" i="10" s="1"/>
  <c r="U1036" i="10"/>
  <c r="W1036" i="10" s="1"/>
  <c r="AP1036" i="10" s="1"/>
  <c r="BA1035" i="10"/>
  <c r="AN1035" i="10" l="1"/>
  <c r="AW1035" i="10" s="1"/>
  <c r="X1036" i="10"/>
  <c r="BD1035" i="10"/>
  <c r="AZ1035" i="10"/>
  <c r="Z1036" i="10" l="1"/>
  <c r="AR1036" i="10" s="1"/>
  <c r="AA1036" i="10" l="1"/>
  <c r="Q1037" i="10"/>
  <c r="AM1037" i="10" l="1"/>
  <c r="AB1037" i="10"/>
  <c r="AV1036" i="10" s="1"/>
  <c r="AC1037" i="10"/>
  <c r="S1037" i="10"/>
  <c r="AI1036" i="10"/>
  <c r="AJ1036" i="10"/>
  <c r="AG1036" i="10"/>
  <c r="AK1036" i="10"/>
  <c r="AX1036" i="10" s="1"/>
  <c r="AL1036" i="10" l="1"/>
  <c r="AD1037" i="10"/>
  <c r="T1037" i="10"/>
  <c r="AQ1037" i="10" s="1"/>
  <c r="U1037" i="10"/>
  <c r="W1037" i="10" s="1"/>
  <c r="AP1037" i="10" s="1"/>
  <c r="BA1036" i="10"/>
  <c r="AO1036" i="10"/>
  <c r="AY1036" i="10" s="1"/>
  <c r="AH1036" i="10"/>
  <c r="AN1036" i="10" l="1"/>
  <c r="AW1036" i="10" s="1"/>
  <c r="AZ1036" i="10" s="1"/>
  <c r="X1037" i="10"/>
  <c r="BD1036" i="10" l="1"/>
  <c r="Z1037" i="10"/>
  <c r="AR1037" i="10" s="1"/>
  <c r="Q1038" i="10" l="1"/>
  <c r="AA1037" i="10"/>
  <c r="AJ1037" i="10" l="1"/>
  <c r="AI1037" i="10"/>
  <c r="AG1037" i="10"/>
  <c r="AK1037" i="10"/>
  <c r="AX1037" i="10" s="1"/>
  <c r="AM1038" i="10"/>
  <c r="AC1038" i="10"/>
  <c r="BA1037" i="10" s="1"/>
  <c r="AB1038" i="10"/>
  <c r="AV1037" i="10" s="1"/>
  <c r="S1038" i="10"/>
  <c r="AD1038" i="10" l="1"/>
  <c r="T1038" i="10"/>
  <c r="AQ1038" i="10" s="1"/>
  <c r="U1038" i="10"/>
  <c r="W1038" i="10" s="1"/>
  <c r="AP1038" i="10" s="1"/>
  <c r="AH1037" i="10"/>
  <c r="AO1037" i="10"/>
  <c r="AY1037" i="10" s="1"/>
  <c r="AL1037" i="10"/>
  <c r="AN1037" i="10" l="1"/>
  <c r="AW1037" i="10" s="1"/>
  <c r="X1038" i="10"/>
  <c r="Z1038" i="10" l="1"/>
  <c r="AR1038" i="10" s="1"/>
  <c r="AZ1037" i="10"/>
  <c r="BD1037" i="10"/>
  <c r="AA1038" i="10" l="1"/>
  <c r="Q1039" i="10"/>
  <c r="AM1039" i="10" l="1"/>
  <c r="AC1039" i="10"/>
  <c r="S1039" i="10"/>
  <c r="AB1039" i="10"/>
  <c r="AV1038" i="10" s="1"/>
  <c r="AI1038" i="10"/>
  <c r="AJ1038" i="10"/>
  <c r="AG1038" i="10"/>
  <c r="AK1038" i="10"/>
  <c r="AX1038" i="10" s="1"/>
  <c r="AL1038" i="10" l="1"/>
  <c r="AH1038" i="10"/>
  <c r="AN1038" i="10" s="1"/>
  <c r="AW1038" i="10" s="1"/>
  <c r="AO1038" i="10"/>
  <c r="AY1038" i="10" s="1"/>
  <c r="AD1039" i="10"/>
  <c r="T1039" i="10"/>
  <c r="AQ1039" i="10" s="1"/>
  <c r="U1039" i="10"/>
  <c r="W1039" i="10" s="1"/>
  <c r="AP1039" i="10" s="1"/>
  <c r="BA1038" i="10"/>
  <c r="X1039" i="10" l="1"/>
  <c r="BD1038" i="10"/>
  <c r="AZ1038" i="10"/>
  <c r="Z1039" i="10" l="1"/>
  <c r="AR1039" i="10" s="1"/>
  <c r="AA1039" i="10" l="1"/>
  <c r="Q1040" i="10"/>
  <c r="AJ1039" i="10" l="1"/>
  <c r="AI1039" i="10"/>
  <c r="AG1039" i="10"/>
  <c r="AK1039" i="10"/>
  <c r="AX1039" i="10" s="1"/>
  <c r="AM1040" i="10"/>
  <c r="AC1040" i="10"/>
  <c r="BA1039" i="10" s="1"/>
  <c r="AB1040" i="10"/>
  <c r="AV1039" i="10" s="1"/>
  <c r="S1040" i="10"/>
  <c r="AO1039" i="10" l="1"/>
  <c r="AY1039" i="10" s="1"/>
  <c r="AH1039" i="10"/>
  <c r="AL1039" i="10"/>
  <c r="AD1040" i="10"/>
  <c r="T1040" i="10"/>
  <c r="AQ1040" i="10" s="1"/>
  <c r="U1040" i="10"/>
  <c r="W1040" i="10" s="1"/>
  <c r="AP1040" i="10" s="1"/>
  <c r="X1040" i="10" l="1"/>
  <c r="AN1039" i="10"/>
  <c r="AW1039" i="10" s="1"/>
  <c r="AZ1039" i="10" l="1"/>
  <c r="BD1039" i="10"/>
  <c r="Z1040" i="10"/>
  <c r="AR1040" i="10" s="1"/>
  <c r="Q1041" i="10" l="1"/>
  <c r="AA1040" i="10"/>
  <c r="AJ1040" i="10" l="1"/>
  <c r="AI1040" i="10"/>
  <c r="AG1040" i="10"/>
  <c r="AK1040" i="10"/>
  <c r="AX1040" i="10" s="1"/>
  <c r="AM1041" i="10"/>
  <c r="AC1041" i="10"/>
  <c r="BA1040" i="10" s="1"/>
  <c r="S1041" i="10"/>
  <c r="AB1041" i="10"/>
  <c r="AV1040" i="10" s="1"/>
  <c r="AH1040" i="10" l="1"/>
  <c r="AO1040" i="10"/>
  <c r="AY1040" i="10" s="1"/>
  <c r="AL1040" i="10"/>
  <c r="T1041" i="10"/>
  <c r="AQ1041" i="10" s="1"/>
  <c r="AD1041" i="10"/>
  <c r="U1041" i="10"/>
  <c r="W1041" i="10" s="1"/>
  <c r="AP1041" i="10" s="1"/>
  <c r="X1041" i="10" l="1"/>
  <c r="AN1040" i="10"/>
  <c r="AW1040" i="10" s="1"/>
  <c r="BD1040" i="10" l="1"/>
  <c r="AZ1040" i="10"/>
  <c r="Z1041" i="10"/>
  <c r="AR1041" i="10" s="1"/>
  <c r="AA1041" i="10" l="1"/>
  <c r="Q1042" i="10"/>
  <c r="AM1042" i="10" l="1"/>
  <c r="AB1042" i="10"/>
  <c r="AV1041" i="10" s="1"/>
  <c r="S1042" i="10"/>
  <c r="AC1042" i="10"/>
  <c r="AJ1041" i="10"/>
  <c r="AI1041" i="10"/>
  <c r="AG1041" i="10"/>
  <c r="AK1041" i="10"/>
  <c r="AX1041" i="10" s="1"/>
  <c r="AH1041" i="10" l="1"/>
  <c r="AO1041" i="10"/>
  <c r="AY1041" i="10" s="1"/>
  <c r="AL1041" i="10"/>
  <c r="BA1041" i="10"/>
  <c r="AD1042" i="10"/>
  <c r="T1042" i="10"/>
  <c r="AQ1042" i="10" s="1"/>
  <c r="U1042" i="10"/>
  <c r="W1042" i="10" s="1"/>
  <c r="AP1042" i="10" s="1"/>
  <c r="X1042" i="10" l="1"/>
  <c r="Z1042" i="10" s="1"/>
  <c r="AR1042" i="10" s="1"/>
  <c r="AN1041" i="10"/>
  <c r="AW1041" i="10" s="1"/>
  <c r="AZ1041" i="10" l="1"/>
  <c r="BD1041" i="10"/>
  <c r="Q1043" i="10"/>
  <c r="AA1042" i="10"/>
  <c r="AJ1042" i="10" l="1"/>
  <c r="AI1042" i="10"/>
  <c r="AG1042" i="10"/>
  <c r="AK1042" i="10"/>
  <c r="AX1042" i="10" s="1"/>
  <c r="AM1043" i="10"/>
  <c r="AC1043" i="10"/>
  <c r="BA1042" i="10" s="1"/>
  <c r="AB1043" i="10"/>
  <c r="AV1042" i="10" s="1"/>
  <c r="S1043" i="10"/>
  <c r="T1043" i="10" l="1"/>
  <c r="AQ1043" i="10" s="1"/>
  <c r="AD1043" i="10"/>
  <c r="U1043" i="10"/>
  <c r="W1043" i="10" s="1"/>
  <c r="AP1043" i="10" s="1"/>
  <c r="AO1042" i="10"/>
  <c r="AY1042" i="10" s="1"/>
  <c r="AH1042" i="10"/>
  <c r="AL1042" i="10"/>
  <c r="AN1042" i="10" l="1"/>
  <c r="AW1042" i="10" s="1"/>
  <c r="X1043" i="10"/>
  <c r="Z1043" i="10" l="1"/>
  <c r="AR1043" i="10" s="1"/>
  <c r="BD1042" i="10"/>
  <c r="AZ1042" i="10"/>
  <c r="AA1043" i="10" l="1"/>
  <c r="Q1044" i="10"/>
  <c r="AM1044" i="10" l="1"/>
  <c r="AC1044" i="10"/>
  <c r="S1044" i="10"/>
  <c r="AB1044" i="10"/>
  <c r="AV1043" i="10" s="1"/>
  <c r="AJ1043" i="10"/>
  <c r="AI1043" i="10"/>
  <c r="AG1043" i="10"/>
  <c r="AK1043" i="10"/>
  <c r="AX1043" i="10" s="1"/>
  <c r="AH1043" i="10" l="1"/>
  <c r="AO1043" i="10"/>
  <c r="AY1043" i="10" s="1"/>
  <c r="AL1043" i="10"/>
  <c r="AD1044" i="10"/>
  <c r="T1044" i="10"/>
  <c r="AQ1044" i="10" s="1"/>
  <c r="U1044" i="10"/>
  <c r="W1044" i="10" s="1"/>
  <c r="AP1044" i="10" s="1"/>
  <c r="BA1043" i="10"/>
  <c r="X1044" i="10" l="1"/>
  <c r="AN1043" i="10"/>
  <c r="AW1043" i="10" s="1"/>
  <c r="BD1043" i="10" l="1"/>
  <c r="AZ1043" i="10"/>
  <c r="Z1044" i="10"/>
  <c r="AR1044" i="10" s="1"/>
  <c r="Q1045" i="10" l="1"/>
  <c r="AA1044" i="10"/>
  <c r="AI1044" i="10" l="1"/>
  <c r="AJ1044" i="10"/>
  <c r="AG1044" i="10"/>
  <c r="AK1044" i="10"/>
  <c r="AX1044" i="10" s="1"/>
  <c r="AM1045" i="10"/>
  <c r="AB1045" i="10"/>
  <c r="AV1044" i="10" s="1"/>
  <c r="S1045" i="10"/>
  <c r="AC1045" i="10"/>
  <c r="AO1044" i="10" l="1"/>
  <c r="AY1044" i="10" s="1"/>
  <c r="AH1044" i="10"/>
  <c r="AL1044" i="10"/>
  <c r="BA1044" i="10"/>
  <c r="T1045" i="10"/>
  <c r="AQ1045" i="10" s="1"/>
  <c r="AD1045" i="10"/>
  <c r="U1045" i="10"/>
  <c r="W1045" i="10" s="1"/>
  <c r="AP1045" i="10" s="1"/>
  <c r="X1045" i="10" l="1"/>
  <c r="AN1044" i="10"/>
  <c r="AW1044" i="10" s="1"/>
  <c r="BD1044" i="10" l="1"/>
  <c r="AZ1044" i="10"/>
  <c r="Z1045" i="10"/>
  <c r="AR1045" i="10" s="1"/>
  <c r="AA1045" i="10" l="1"/>
  <c r="Q1046" i="10"/>
  <c r="AM1046" i="10" l="1"/>
  <c r="AC1046" i="10"/>
  <c r="AB1046" i="10"/>
  <c r="AV1045" i="10" s="1"/>
  <c r="S1046" i="10"/>
  <c r="AJ1045" i="10"/>
  <c r="AI1045" i="10"/>
  <c r="AG1045" i="10"/>
  <c r="AK1045" i="10"/>
  <c r="AX1045" i="10" s="1"/>
  <c r="AH1045" i="10" l="1"/>
  <c r="AO1045" i="10"/>
  <c r="AY1045" i="10" s="1"/>
  <c r="AL1045" i="10"/>
  <c r="AD1046" i="10"/>
  <c r="T1046" i="10"/>
  <c r="AQ1046" i="10" s="1"/>
  <c r="U1046" i="10"/>
  <c r="W1046" i="10" s="1"/>
  <c r="AP1046" i="10" s="1"/>
  <c r="BA1045" i="10"/>
  <c r="X1046" i="10" l="1"/>
  <c r="AN1045" i="10"/>
  <c r="AW1045" i="10" s="1"/>
  <c r="AZ1045" i="10" l="1"/>
  <c r="BD1045" i="10"/>
  <c r="Z1046" i="10"/>
  <c r="AR1046" i="10" s="1"/>
  <c r="AA1046" i="10" l="1"/>
  <c r="Q1047" i="10"/>
  <c r="AM1047" i="10" l="1"/>
  <c r="AB1047" i="10"/>
  <c r="AV1046" i="10" s="1"/>
  <c r="AC1047" i="10"/>
  <c r="S1047" i="10"/>
  <c r="AJ1046" i="10"/>
  <c r="AI1046" i="10"/>
  <c r="AG1046" i="10"/>
  <c r="AK1046" i="10"/>
  <c r="AX1046" i="10" s="1"/>
  <c r="AL1046" i="10" l="1"/>
  <c r="AH1046" i="10"/>
  <c r="AN1046" i="10" s="1"/>
  <c r="AW1046" i="10" s="1"/>
  <c r="AO1046" i="10"/>
  <c r="AY1046" i="10" s="1"/>
  <c r="AD1047" i="10"/>
  <c r="T1047" i="10"/>
  <c r="AQ1047" i="10" s="1"/>
  <c r="U1047" i="10"/>
  <c r="W1047" i="10" s="1"/>
  <c r="AP1047" i="10" s="1"/>
  <c r="BA1046" i="10"/>
  <c r="X1047" i="10" l="1"/>
  <c r="BD1046" i="10"/>
  <c r="AZ1046" i="10"/>
  <c r="Z1047" i="10" l="1"/>
  <c r="AR1047" i="10" s="1"/>
  <c r="AA1047" i="10" l="1"/>
  <c r="Q1048" i="10"/>
  <c r="AC1048" i="10" l="1"/>
  <c r="AB1048" i="10"/>
  <c r="AV1047" i="10" s="1"/>
  <c r="S1048" i="10"/>
  <c r="AM1048" i="10"/>
  <c r="AJ1047" i="10"/>
  <c r="AI1047" i="10"/>
  <c r="AG1047" i="10"/>
  <c r="AK1047" i="10"/>
  <c r="AX1047" i="10" s="1"/>
  <c r="AL1047" i="10" l="1"/>
  <c r="T1048" i="10"/>
  <c r="AQ1048" i="10" s="1"/>
  <c r="AD1048" i="10"/>
  <c r="U1048" i="10"/>
  <c r="W1048" i="10" s="1"/>
  <c r="AP1048" i="10" s="1"/>
  <c r="BA1047" i="10"/>
  <c r="AO1047" i="10"/>
  <c r="AY1047" i="10" s="1"/>
  <c r="AH1047" i="10"/>
  <c r="AN1047" i="10" l="1"/>
  <c r="AW1047" i="10" s="1"/>
  <c r="BD1047" i="10" s="1"/>
  <c r="AZ1047" i="10"/>
  <c r="X1048" i="10"/>
  <c r="Z1048" i="10" l="1"/>
  <c r="AR1048" i="10" s="1"/>
  <c r="AA1048" i="10" l="1"/>
  <c r="Q1049" i="10"/>
  <c r="AC1049" i="10" l="1"/>
  <c r="AB1049" i="10"/>
  <c r="AV1048" i="10" s="1"/>
  <c r="AM1049" i="10"/>
  <c r="S1049" i="10"/>
  <c r="AJ1048" i="10"/>
  <c r="AI1048" i="10"/>
  <c r="AG1048" i="10"/>
  <c r="AK1048" i="10"/>
  <c r="AX1048" i="10" s="1"/>
  <c r="AH1048" i="10" l="1"/>
  <c r="AO1048" i="10"/>
  <c r="AY1048" i="10" s="1"/>
  <c r="AL1048" i="10"/>
  <c r="T1049" i="10"/>
  <c r="AQ1049" i="10" s="1"/>
  <c r="AD1049" i="10"/>
  <c r="U1049" i="10"/>
  <c r="W1049" i="10" s="1"/>
  <c r="AP1049" i="10" s="1"/>
  <c r="BA1048" i="10"/>
  <c r="X1049" i="10" l="1"/>
  <c r="AN1048" i="10"/>
  <c r="AW1048" i="10" s="1"/>
  <c r="BD1048" i="10" l="1"/>
  <c r="AZ1048" i="10"/>
  <c r="Z1049" i="10"/>
  <c r="AR1049" i="10" s="1"/>
  <c r="AA1049" i="10" l="1"/>
  <c r="Q1050" i="10"/>
  <c r="AC1050" i="10" l="1"/>
  <c r="AB1050" i="10"/>
  <c r="AV1049" i="10" s="1"/>
  <c r="AM1050" i="10"/>
  <c r="S1050" i="10"/>
  <c r="AJ1049" i="10"/>
  <c r="AI1049" i="10"/>
  <c r="AG1049" i="10"/>
  <c r="AK1049" i="10"/>
  <c r="AX1049" i="10" s="1"/>
  <c r="AL1049" i="10" l="1"/>
  <c r="AH1049" i="10"/>
  <c r="AO1049" i="10"/>
  <c r="AY1049" i="10" s="1"/>
  <c r="T1050" i="10"/>
  <c r="AQ1050" i="10" s="1"/>
  <c r="AD1050" i="10"/>
  <c r="U1050" i="10"/>
  <c r="W1050" i="10" s="1"/>
  <c r="AP1050" i="10" s="1"/>
  <c r="BA1049" i="10"/>
  <c r="AN1049" i="10" l="1"/>
  <c r="AW1049" i="10" s="1"/>
  <c r="BD1049" i="10" s="1"/>
  <c r="X1050" i="10"/>
  <c r="AZ1049" i="10" l="1"/>
  <c r="Z1050" i="10"/>
  <c r="AR1050" i="10" s="1"/>
  <c r="Q1051" i="10" l="1"/>
  <c r="AA1050" i="10"/>
  <c r="AI1050" i="10" l="1"/>
  <c r="AJ1050" i="10"/>
  <c r="AG1050" i="10"/>
  <c r="AK1050" i="10"/>
  <c r="AX1050" i="10" s="1"/>
  <c r="AC1051" i="10"/>
  <c r="AB1051" i="10"/>
  <c r="AV1050" i="10" s="1"/>
  <c r="S1051" i="10"/>
  <c r="AM1051" i="10"/>
  <c r="BA1050" i="10" l="1"/>
  <c r="T1051" i="10"/>
  <c r="AQ1051" i="10" s="1"/>
  <c r="AD1051" i="10"/>
  <c r="U1051" i="10"/>
  <c r="W1051" i="10" s="1"/>
  <c r="AP1051" i="10" s="1"/>
  <c r="AH1050" i="10"/>
  <c r="AO1050" i="10"/>
  <c r="AY1050" i="10" s="1"/>
  <c r="AL1050" i="10"/>
  <c r="AN1050" i="10" l="1"/>
  <c r="AW1050" i="10" s="1"/>
  <c r="X1051" i="10"/>
  <c r="Z1051" i="10" l="1"/>
  <c r="AR1051" i="10" s="1"/>
  <c r="AZ1050" i="10"/>
  <c r="BD1050" i="10"/>
  <c r="Q1052" i="10" l="1"/>
  <c r="AA1051" i="10"/>
  <c r="AI1051" i="10" l="1"/>
  <c r="AJ1051" i="10"/>
  <c r="AG1051" i="10"/>
  <c r="AK1051" i="10"/>
  <c r="AX1051" i="10" s="1"/>
  <c r="AC1052" i="10"/>
  <c r="BA1051" i="10" s="1"/>
  <c r="AM1052" i="10"/>
  <c r="AB1052" i="10"/>
  <c r="AV1051" i="10" s="1"/>
  <c r="S1052" i="10"/>
  <c r="AH1051" i="10" l="1"/>
  <c r="AO1051" i="10"/>
  <c r="AY1051" i="10" s="1"/>
  <c r="AL1051" i="10"/>
  <c r="AD1052" i="10"/>
  <c r="T1052" i="10"/>
  <c r="AQ1052" i="10" s="1"/>
  <c r="U1052" i="10"/>
  <c r="W1052" i="10" s="1"/>
  <c r="AP1052" i="10" s="1"/>
  <c r="X1052" i="10" l="1"/>
  <c r="AN1051" i="10"/>
  <c r="AW1051" i="10" s="1"/>
  <c r="AZ1051" i="10" l="1"/>
  <c r="BD1051" i="10"/>
  <c r="Z1052" i="10"/>
  <c r="AR1052" i="10" s="1"/>
  <c r="Q1053" i="10" l="1"/>
  <c r="AA1052" i="10"/>
  <c r="AI1052" i="10" l="1"/>
  <c r="AJ1052" i="10"/>
  <c r="AG1052" i="10"/>
  <c r="AK1052" i="10"/>
  <c r="AX1052" i="10" s="1"/>
  <c r="AC1053" i="10"/>
  <c r="BA1052" i="10" s="1"/>
  <c r="S1053" i="10"/>
  <c r="AB1053" i="10"/>
  <c r="AV1052" i="10" s="1"/>
  <c r="AM1053" i="10"/>
  <c r="AD1053" i="10" l="1"/>
  <c r="T1053" i="10"/>
  <c r="AQ1053" i="10" s="1"/>
  <c r="U1053" i="10"/>
  <c r="W1053" i="10" s="1"/>
  <c r="AP1053" i="10" s="1"/>
  <c r="AO1052" i="10"/>
  <c r="AY1052" i="10" s="1"/>
  <c r="AH1052" i="10"/>
  <c r="AL1052" i="10"/>
  <c r="AN1052" i="10" l="1"/>
  <c r="AW1052" i="10" s="1"/>
  <c r="X1053" i="10"/>
  <c r="Z1053" i="10" l="1"/>
  <c r="AR1053" i="10" s="1"/>
  <c r="AZ1052" i="10"/>
  <c r="BD1052" i="10"/>
  <c r="AA1053" i="10" l="1"/>
  <c r="Q1054" i="10"/>
  <c r="AC1054" i="10" l="1"/>
  <c r="AM1054" i="10"/>
  <c r="AB1054" i="10"/>
  <c r="AV1053" i="10" s="1"/>
  <c r="S1054" i="10"/>
  <c r="AI1053" i="10"/>
  <c r="AJ1053" i="10"/>
  <c r="AG1053" i="10"/>
  <c r="AK1053" i="10"/>
  <c r="AX1053" i="10" s="1"/>
  <c r="AO1053" i="10" l="1"/>
  <c r="AY1053" i="10" s="1"/>
  <c r="AH1053" i="10"/>
  <c r="AL1053" i="10"/>
  <c r="AD1054" i="10"/>
  <c r="T1054" i="10"/>
  <c r="AQ1054" i="10" s="1"/>
  <c r="U1054" i="10"/>
  <c r="W1054" i="10" s="1"/>
  <c r="AP1054" i="10" s="1"/>
  <c r="BA1053" i="10"/>
  <c r="X1054" i="10" l="1"/>
  <c r="AN1053" i="10"/>
  <c r="AW1053" i="10" s="1"/>
  <c r="Z1054" i="10" l="1"/>
  <c r="AR1054" i="10" s="1"/>
  <c r="BD1053" i="10"/>
  <c r="AZ1053" i="10"/>
  <c r="Q1055" i="10" l="1"/>
  <c r="AA1054" i="10"/>
  <c r="AJ1054" i="10" l="1"/>
  <c r="AI1054" i="10"/>
  <c r="AG1054" i="10"/>
  <c r="AK1054" i="10"/>
  <c r="AX1054" i="10" s="1"/>
  <c r="AC1055" i="10"/>
  <c r="BA1054" i="10" s="1"/>
  <c r="AM1055" i="10"/>
  <c r="AB1055" i="10"/>
  <c r="AV1054" i="10" s="1"/>
  <c r="S1055" i="10"/>
  <c r="AO1054" i="10" l="1"/>
  <c r="AY1054" i="10" s="1"/>
  <c r="AH1054" i="10"/>
  <c r="AL1054" i="10"/>
  <c r="AD1055" i="10"/>
  <c r="T1055" i="10"/>
  <c r="AQ1055" i="10" s="1"/>
  <c r="U1055" i="10"/>
  <c r="W1055" i="10" s="1"/>
  <c r="AP1055" i="10" s="1"/>
  <c r="X1055" i="10" l="1"/>
  <c r="Z1055" i="10" s="1"/>
  <c r="AR1055" i="10" s="1"/>
  <c r="AN1054" i="10"/>
  <c r="AW1054" i="10" s="1"/>
  <c r="AZ1054" i="10" l="1"/>
  <c r="BD1054" i="10"/>
  <c r="Q1056" i="10"/>
  <c r="AA1055" i="10"/>
  <c r="AJ1055" i="10" l="1"/>
  <c r="AI1055" i="10"/>
  <c r="AG1055" i="10"/>
  <c r="AK1055" i="10"/>
  <c r="AX1055" i="10" s="1"/>
  <c r="AC1056" i="10"/>
  <c r="BA1055" i="10" s="1"/>
  <c r="AB1056" i="10"/>
  <c r="AV1055" i="10" s="1"/>
  <c r="S1056" i="10"/>
  <c r="AM1056" i="10"/>
  <c r="T1056" i="10" l="1"/>
  <c r="AQ1056" i="10" s="1"/>
  <c r="AD1056" i="10"/>
  <c r="U1056" i="10"/>
  <c r="W1056" i="10" s="1"/>
  <c r="AP1056" i="10" s="1"/>
  <c r="AO1055" i="10"/>
  <c r="AY1055" i="10" s="1"/>
  <c r="AH1055" i="10"/>
  <c r="AL1055" i="10"/>
  <c r="AN1055" i="10" l="1"/>
  <c r="AW1055" i="10" s="1"/>
  <c r="X1056" i="10"/>
  <c r="Z1056" i="10" l="1"/>
  <c r="AR1056" i="10" s="1"/>
  <c r="BD1055" i="10"/>
  <c r="AZ1055" i="10"/>
  <c r="AA1056" i="10" l="1"/>
  <c r="Q1057" i="10"/>
  <c r="AC1057" i="10" l="1"/>
  <c r="S1057" i="10"/>
  <c r="AB1057" i="10"/>
  <c r="AV1056" i="10" s="1"/>
  <c r="AM1057" i="10"/>
  <c r="AJ1056" i="10"/>
  <c r="AI1056" i="10"/>
  <c r="AG1056" i="10"/>
  <c r="AK1056" i="10"/>
  <c r="AX1056" i="10" s="1"/>
  <c r="AL1056" i="10" l="1"/>
  <c r="AH1056" i="10"/>
  <c r="AO1056" i="10"/>
  <c r="AY1056" i="10" s="1"/>
  <c r="T1057" i="10"/>
  <c r="AQ1057" i="10" s="1"/>
  <c r="AD1057" i="10"/>
  <c r="U1057" i="10"/>
  <c r="W1057" i="10" s="1"/>
  <c r="AP1057" i="10" s="1"/>
  <c r="BA1056" i="10"/>
  <c r="AN1056" i="10" l="1"/>
  <c r="AW1056" i="10" s="1"/>
  <c r="BD1056" i="10" s="1"/>
  <c r="X1057" i="10"/>
  <c r="AZ1056" i="10"/>
  <c r="Z1057" i="10" l="1"/>
  <c r="AR1057" i="10" s="1"/>
  <c r="AA1057" i="10" l="1"/>
  <c r="Q1058" i="10"/>
  <c r="AC1058" i="10" l="1"/>
  <c r="S1058" i="10"/>
  <c r="AM1058" i="10"/>
  <c r="AB1058" i="10"/>
  <c r="AV1057" i="10" s="1"/>
  <c r="AJ1057" i="10"/>
  <c r="AI1057" i="10"/>
  <c r="AG1057" i="10"/>
  <c r="AK1057" i="10"/>
  <c r="AX1057" i="10" s="1"/>
  <c r="AO1057" i="10" l="1"/>
  <c r="AY1057" i="10" s="1"/>
  <c r="AH1057" i="10"/>
  <c r="AL1057" i="10"/>
  <c r="T1058" i="10"/>
  <c r="AQ1058" i="10" s="1"/>
  <c r="AD1058" i="10"/>
  <c r="U1058" i="10"/>
  <c r="W1058" i="10" s="1"/>
  <c r="AP1058" i="10" s="1"/>
  <c r="BA1057" i="10"/>
  <c r="X1058" i="10" l="1"/>
  <c r="AN1057" i="10"/>
  <c r="AW1057" i="10" s="1"/>
  <c r="Z1058" i="10" l="1"/>
  <c r="AR1058" i="10" s="1"/>
  <c r="BD1057" i="10"/>
  <c r="AZ1057" i="10"/>
  <c r="Q1059" i="10" l="1"/>
  <c r="AA1058" i="10"/>
  <c r="AI1058" i="10" l="1"/>
  <c r="AJ1058" i="10"/>
  <c r="AG1058" i="10"/>
  <c r="AK1058" i="10"/>
  <c r="AX1058" i="10" s="1"/>
  <c r="AC1059" i="10"/>
  <c r="BA1058" i="10" s="1"/>
  <c r="AB1059" i="10"/>
  <c r="AV1058" i="10" s="1"/>
  <c r="S1059" i="10"/>
  <c r="AM1059" i="10"/>
  <c r="AD1059" i="10" l="1"/>
  <c r="T1059" i="10"/>
  <c r="AQ1059" i="10" s="1"/>
  <c r="U1059" i="10"/>
  <c r="W1059" i="10" s="1"/>
  <c r="AP1059" i="10" s="1"/>
  <c r="AH1058" i="10"/>
  <c r="AO1058" i="10"/>
  <c r="AY1058" i="10" s="1"/>
  <c r="AL1058" i="10"/>
  <c r="AN1058" i="10" l="1"/>
  <c r="AW1058" i="10" s="1"/>
  <c r="BD1058" i="10" s="1"/>
  <c r="AZ1058" i="10"/>
  <c r="X1059" i="10"/>
  <c r="Z1059" i="10" l="1"/>
  <c r="AR1059" i="10" s="1"/>
  <c r="AA1059" i="10" l="1"/>
  <c r="Q1060" i="10"/>
  <c r="AC1060" i="10" l="1"/>
  <c r="AM1060" i="10"/>
  <c r="AB1060" i="10"/>
  <c r="AV1059" i="10" s="1"/>
  <c r="S1060" i="10"/>
  <c r="AJ1059" i="10"/>
  <c r="AI1059" i="10"/>
  <c r="AG1059" i="10"/>
  <c r="AK1059" i="10"/>
  <c r="AX1059" i="10" s="1"/>
  <c r="AL1059" i="10" l="1"/>
  <c r="AH1059" i="10"/>
  <c r="AO1059" i="10"/>
  <c r="AY1059" i="10" s="1"/>
  <c r="AD1060" i="10"/>
  <c r="T1060" i="10"/>
  <c r="AQ1060" i="10" s="1"/>
  <c r="U1060" i="10"/>
  <c r="W1060" i="10" s="1"/>
  <c r="AP1060" i="10" s="1"/>
  <c r="BA1059" i="10"/>
  <c r="AN1059" i="10" l="1"/>
  <c r="AW1059" i="10" s="1"/>
  <c r="AZ1059" i="10" s="1"/>
  <c r="X1060" i="10"/>
  <c r="BD1059" i="10" l="1"/>
  <c r="Z1060" i="10"/>
  <c r="AR1060" i="10" s="1"/>
  <c r="Q1061" i="10" l="1"/>
  <c r="AA1060" i="10"/>
  <c r="AI1060" i="10" l="1"/>
  <c r="AJ1060" i="10"/>
  <c r="AG1060" i="10"/>
  <c r="AK1060" i="10"/>
  <c r="AX1060" i="10" s="1"/>
  <c r="AC1061" i="10"/>
  <c r="BA1060" i="10" s="1"/>
  <c r="AM1061" i="10"/>
  <c r="AB1061" i="10"/>
  <c r="AV1060" i="10" s="1"/>
  <c r="S1061" i="10"/>
  <c r="AD1061" i="10" l="1"/>
  <c r="T1061" i="10"/>
  <c r="AQ1061" i="10" s="1"/>
  <c r="U1061" i="10"/>
  <c r="W1061" i="10" s="1"/>
  <c r="AP1061" i="10" s="1"/>
  <c r="AO1060" i="10"/>
  <c r="AY1060" i="10" s="1"/>
  <c r="AH1060" i="10"/>
  <c r="AL1060" i="10"/>
  <c r="AN1060" i="10" l="1"/>
  <c r="AW1060" i="10" s="1"/>
  <c r="X1061" i="10"/>
  <c r="Z1061" i="10" l="1"/>
  <c r="AR1061" i="10" s="1"/>
  <c r="AZ1060" i="10"/>
  <c r="BD1060" i="10"/>
  <c r="Q1062" i="10" l="1"/>
  <c r="AA1061" i="10"/>
  <c r="AI1061" i="10" l="1"/>
  <c r="AJ1061" i="10"/>
  <c r="AG1061" i="10"/>
  <c r="AK1061" i="10"/>
  <c r="AX1061" i="10" s="1"/>
  <c r="AC1062" i="10"/>
  <c r="BA1061" i="10" s="1"/>
  <c r="AM1062" i="10"/>
  <c r="AB1062" i="10"/>
  <c r="AV1061" i="10" s="1"/>
  <c r="S1062" i="10"/>
  <c r="AO1061" i="10" l="1"/>
  <c r="AY1061" i="10" s="1"/>
  <c r="AH1061" i="10"/>
  <c r="AL1061" i="10"/>
  <c r="AD1062" i="10"/>
  <c r="T1062" i="10"/>
  <c r="AQ1062" i="10" s="1"/>
  <c r="U1062" i="10"/>
  <c r="W1062" i="10" s="1"/>
  <c r="AP1062" i="10" s="1"/>
  <c r="X1062" i="10" l="1"/>
  <c r="AN1061" i="10"/>
  <c r="AW1061" i="10" s="1"/>
  <c r="BD1061" i="10" l="1"/>
  <c r="AZ1061" i="10"/>
  <c r="Z1062" i="10"/>
  <c r="AR1062" i="10" s="1"/>
  <c r="AA1062" i="10" l="1"/>
  <c r="Q1063" i="10"/>
  <c r="AC1063" i="10" l="1"/>
  <c r="AM1063" i="10"/>
  <c r="AB1063" i="10"/>
  <c r="AV1062" i="10" s="1"/>
  <c r="S1063" i="10"/>
  <c r="AJ1062" i="10"/>
  <c r="AI1062" i="10"/>
  <c r="AG1062" i="10"/>
  <c r="AK1062" i="10"/>
  <c r="AX1062" i="10" s="1"/>
  <c r="AO1062" i="10" l="1"/>
  <c r="AY1062" i="10" s="1"/>
  <c r="AH1062" i="10"/>
  <c r="AL1062" i="10"/>
  <c r="AD1063" i="10"/>
  <c r="T1063" i="10"/>
  <c r="AQ1063" i="10" s="1"/>
  <c r="U1063" i="10"/>
  <c r="W1063" i="10" s="1"/>
  <c r="AP1063" i="10" s="1"/>
  <c r="BA1062" i="10"/>
  <c r="X1063" i="10" l="1"/>
  <c r="AN1062" i="10"/>
  <c r="AW1062" i="10" s="1"/>
  <c r="BD1062" i="10" l="1"/>
  <c r="AZ1062" i="10"/>
  <c r="Z1063" i="10"/>
  <c r="AR1063" i="10" s="1"/>
  <c r="AA1063" i="10" l="1"/>
  <c r="Q1064" i="10"/>
  <c r="AC1064" i="10" l="1"/>
  <c r="AB1064" i="10"/>
  <c r="AV1063" i="10" s="1"/>
  <c r="S1064" i="10"/>
  <c r="AM1064" i="10"/>
  <c r="AJ1063" i="10"/>
  <c r="AI1063" i="10"/>
  <c r="AG1063" i="10"/>
  <c r="AK1063" i="10"/>
  <c r="AX1063" i="10" s="1"/>
  <c r="AL1063" i="10" l="1"/>
  <c r="T1064" i="10"/>
  <c r="AQ1064" i="10" s="1"/>
  <c r="AD1064" i="10"/>
  <c r="U1064" i="10"/>
  <c r="W1064" i="10" s="1"/>
  <c r="AP1064" i="10" s="1"/>
  <c r="BA1063" i="10"/>
  <c r="AO1063" i="10"/>
  <c r="AY1063" i="10" s="1"/>
  <c r="AH1063" i="10"/>
  <c r="AN1063" i="10" l="1"/>
  <c r="AW1063" i="10" s="1"/>
  <c r="BD1063" i="10" s="1"/>
  <c r="X1064" i="10"/>
  <c r="AZ1063" i="10" l="1"/>
  <c r="Z1064" i="10"/>
  <c r="AR1064" i="10" s="1"/>
  <c r="AA1064" i="10" l="1"/>
  <c r="Q1065" i="10"/>
  <c r="AC1065" i="10" l="1"/>
  <c r="AB1065" i="10"/>
  <c r="AV1064" i="10" s="1"/>
  <c r="S1065" i="10"/>
  <c r="AM1065" i="10"/>
  <c r="AJ1064" i="10"/>
  <c r="AI1064" i="10"/>
  <c r="AG1064" i="10"/>
  <c r="AK1064" i="10"/>
  <c r="AX1064" i="10" s="1"/>
  <c r="BA1064" i="10" l="1"/>
  <c r="AH1064" i="10"/>
  <c r="AO1064" i="10"/>
  <c r="AY1064" i="10" s="1"/>
  <c r="AD1065" i="10"/>
  <c r="T1065" i="10"/>
  <c r="AQ1065" i="10" s="1"/>
  <c r="U1065" i="10"/>
  <c r="W1065" i="10" s="1"/>
  <c r="AP1065" i="10" s="1"/>
  <c r="AL1064" i="10"/>
  <c r="X1065" i="10" l="1"/>
  <c r="AN1064" i="10"/>
  <c r="AW1064" i="10" s="1"/>
  <c r="BD1064" i="10" l="1"/>
  <c r="AZ1064" i="10"/>
  <c r="Z1065" i="10"/>
  <c r="AR1065" i="10" s="1"/>
  <c r="Q1066" i="10" l="1"/>
  <c r="AA1065" i="10"/>
  <c r="AJ1065" i="10" l="1"/>
  <c r="AI1065" i="10"/>
  <c r="AG1065" i="10"/>
  <c r="AK1065" i="10"/>
  <c r="AX1065" i="10" s="1"/>
  <c r="AC1066" i="10"/>
  <c r="BA1065" i="10" s="1"/>
  <c r="AB1066" i="10"/>
  <c r="AV1065" i="10" s="1"/>
  <c r="S1066" i="10"/>
  <c r="AM1066" i="10"/>
  <c r="T1066" i="10" l="1"/>
  <c r="AQ1066" i="10" s="1"/>
  <c r="AD1066" i="10"/>
  <c r="U1066" i="10"/>
  <c r="W1066" i="10" s="1"/>
  <c r="AP1066" i="10" s="1"/>
  <c r="AH1065" i="10"/>
  <c r="AO1065" i="10"/>
  <c r="AY1065" i="10" s="1"/>
  <c r="AL1065" i="10"/>
  <c r="AN1065" i="10" l="1"/>
  <c r="AW1065" i="10" s="1"/>
  <c r="X1066" i="10"/>
  <c r="Z1066" i="10" l="1"/>
  <c r="AR1066" i="10" s="1"/>
  <c r="AZ1065" i="10"/>
  <c r="BD1065" i="10"/>
  <c r="AA1066" i="10" l="1"/>
  <c r="Q1067" i="10"/>
  <c r="AC1067" i="10" l="1"/>
  <c r="AB1067" i="10"/>
  <c r="AV1066" i="10" s="1"/>
  <c r="S1067" i="10"/>
  <c r="AM1067" i="10"/>
  <c r="AJ1066" i="10"/>
  <c r="AI1066" i="10"/>
  <c r="AG1066" i="10"/>
  <c r="AK1066" i="10"/>
  <c r="AX1066" i="10" s="1"/>
  <c r="AL1066" i="10" l="1"/>
  <c r="AH1066" i="10"/>
  <c r="AN1066" i="10" s="1"/>
  <c r="AW1066" i="10" s="1"/>
  <c r="AO1066" i="10"/>
  <c r="AY1066" i="10" s="1"/>
  <c r="T1067" i="10"/>
  <c r="AQ1067" i="10" s="1"/>
  <c r="AD1067" i="10"/>
  <c r="U1067" i="10"/>
  <c r="W1067" i="10" s="1"/>
  <c r="AP1067" i="10" s="1"/>
  <c r="BA1066" i="10"/>
  <c r="AZ1066" i="10" l="1"/>
  <c r="BD1066" i="10"/>
  <c r="X1067" i="10"/>
  <c r="Z1067" i="10" l="1"/>
  <c r="AR1067" i="10" s="1"/>
  <c r="AA1067" i="10" l="1"/>
  <c r="Q1068" i="10"/>
  <c r="AC1068" i="10" l="1"/>
  <c r="AB1068" i="10"/>
  <c r="AV1067" i="10" s="1"/>
  <c r="AM1068" i="10"/>
  <c r="S1068" i="10"/>
  <c r="AJ1067" i="10"/>
  <c r="AI1067" i="10"/>
  <c r="AG1067" i="10"/>
  <c r="AK1067" i="10"/>
  <c r="AX1067" i="10" s="1"/>
  <c r="AL1067" i="10" l="1"/>
  <c r="T1068" i="10"/>
  <c r="AQ1068" i="10" s="1"/>
  <c r="AD1068" i="10"/>
  <c r="U1068" i="10"/>
  <c r="W1068" i="10" s="1"/>
  <c r="AP1068" i="10" s="1"/>
  <c r="BA1067" i="10"/>
  <c r="AO1067" i="10"/>
  <c r="AY1067" i="10" s="1"/>
  <c r="AH1067" i="10"/>
  <c r="AN1067" i="10" l="1"/>
  <c r="AW1067" i="10" s="1"/>
  <c r="AZ1067" i="10"/>
  <c r="BD1067" i="10"/>
  <c r="X1068" i="10"/>
  <c r="Z1068" i="10" l="1"/>
  <c r="AR1068" i="10" s="1"/>
  <c r="Q1069" i="10" l="1"/>
  <c r="AA1068" i="10"/>
  <c r="AJ1068" i="10" l="1"/>
  <c r="AI1068" i="10"/>
  <c r="AG1068" i="10"/>
  <c r="AK1068" i="10"/>
  <c r="AX1068" i="10" s="1"/>
  <c r="AC1069" i="10"/>
  <c r="BA1068" i="10" s="1"/>
  <c r="AB1069" i="10"/>
  <c r="AV1068" i="10" s="1"/>
  <c r="S1069" i="10"/>
  <c r="AM1069" i="10"/>
  <c r="T1069" i="10" l="1"/>
  <c r="AQ1069" i="10" s="1"/>
  <c r="AD1069" i="10"/>
  <c r="U1069" i="10"/>
  <c r="W1069" i="10" s="1"/>
  <c r="AP1069" i="10" s="1"/>
  <c r="AO1068" i="10"/>
  <c r="AY1068" i="10" s="1"/>
  <c r="AH1068" i="10"/>
  <c r="AL1068" i="10"/>
  <c r="AN1068" i="10" l="1"/>
  <c r="AW1068" i="10" s="1"/>
  <c r="X1069" i="10"/>
  <c r="Z1069" i="10" l="1"/>
  <c r="AR1069" i="10" s="1"/>
  <c r="AZ1068" i="10"/>
  <c r="BD1068" i="10"/>
  <c r="AA1069" i="10" l="1"/>
  <c r="Q1070" i="10"/>
  <c r="AC1070" i="10" l="1"/>
  <c r="AB1070" i="10"/>
  <c r="AV1069" i="10" s="1"/>
  <c r="S1070" i="10"/>
  <c r="AM1070" i="10"/>
  <c r="AJ1069" i="10"/>
  <c r="AI1069" i="10"/>
  <c r="AG1069" i="10"/>
  <c r="AK1069" i="10"/>
  <c r="AX1069" i="10" s="1"/>
  <c r="AL1069" i="10" l="1"/>
  <c r="AH1069" i="10"/>
  <c r="AN1069" i="10" s="1"/>
  <c r="AW1069" i="10" s="1"/>
  <c r="AO1069" i="10"/>
  <c r="AY1069" i="10" s="1"/>
  <c r="T1070" i="10"/>
  <c r="AQ1070" i="10" s="1"/>
  <c r="AD1070" i="10"/>
  <c r="U1070" i="10"/>
  <c r="W1070" i="10" s="1"/>
  <c r="AP1070" i="10" s="1"/>
  <c r="BA1069" i="10"/>
  <c r="AZ1069" i="10" l="1"/>
  <c r="BD1069" i="10"/>
  <c r="X1070" i="10"/>
  <c r="Z1070" i="10" l="1"/>
  <c r="AR1070" i="10" s="1"/>
  <c r="AA1070" i="10" l="1"/>
  <c r="Q1071" i="10"/>
  <c r="AJ1070" i="10" l="1"/>
  <c r="AI1070" i="10"/>
  <c r="AG1070" i="10"/>
  <c r="AK1070" i="10"/>
  <c r="AX1070" i="10" s="1"/>
  <c r="AC1071" i="10"/>
  <c r="AB1071" i="10"/>
  <c r="AV1070" i="10" s="1"/>
  <c r="S1071" i="10"/>
  <c r="AM1071" i="10"/>
  <c r="BA1070" i="10" l="1"/>
  <c r="T1071" i="10"/>
  <c r="AQ1071" i="10" s="1"/>
  <c r="AD1071" i="10"/>
  <c r="U1071" i="10"/>
  <c r="W1071" i="10" s="1"/>
  <c r="AP1071" i="10" s="1"/>
  <c r="AH1070" i="10"/>
  <c r="AO1070" i="10"/>
  <c r="AY1070" i="10" s="1"/>
  <c r="AL1070" i="10"/>
  <c r="AN1070" i="10" l="1"/>
  <c r="AW1070" i="10" s="1"/>
  <c r="AZ1070" i="10" s="1"/>
  <c r="X1071" i="10"/>
  <c r="BD1070" i="10" l="1"/>
  <c r="Z1071" i="10"/>
  <c r="AR1071" i="10" s="1"/>
  <c r="AA1071" i="10" l="1"/>
  <c r="Q1072" i="10"/>
  <c r="AC1072" i="10" l="1"/>
  <c r="AB1072" i="10"/>
  <c r="AV1071" i="10" s="1"/>
  <c r="AM1072" i="10"/>
  <c r="S1072" i="10"/>
  <c r="AJ1071" i="10"/>
  <c r="AI1071" i="10"/>
  <c r="AG1071" i="10"/>
  <c r="AK1071" i="10"/>
  <c r="AX1071" i="10" s="1"/>
  <c r="AL1071" i="10" l="1"/>
  <c r="T1072" i="10"/>
  <c r="AQ1072" i="10" s="1"/>
  <c r="AD1072" i="10"/>
  <c r="U1072" i="10"/>
  <c r="W1072" i="10" s="1"/>
  <c r="AP1072" i="10" s="1"/>
  <c r="BA1071" i="10"/>
  <c r="AO1071" i="10"/>
  <c r="AY1071" i="10" s="1"/>
  <c r="AH1071" i="10"/>
  <c r="AN1071" i="10" l="1"/>
  <c r="AW1071" i="10" s="1"/>
  <c r="AZ1071" i="10"/>
  <c r="BD1071" i="10"/>
  <c r="X1072" i="10"/>
  <c r="Z1072" i="10" l="1"/>
  <c r="AR1072" i="10" s="1"/>
  <c r="AA1072" i="10" l="1"/>
  <c r="Q1073" i="10"/>
  <c r="AM1073" i="10" l="1"/>
  <c r="S1073" i="10"/>
  <c r="AC1073" i="10"/>
  <c r="AB1073" i="10"/>
  <c r="AV1072" i="10" s="1"/>
  <c r="AJ1072" i="10"/>
  <c r="AI1072" i="10"/>
  <c r="AG1072" i="10"/>
  <c r="AK1072" i="10"/>
  <c r="AX1072" i="10" s="1"/>
  <c r="AH1072" i="10" l="1"/>
  <c r="AO1072" i="10"/>
  <c r="AY1072" i="10" s="1"/>
  <c r="AL1072" i="10"/>
  <c r="BA1072" i="10"/>
  <c r="T1073" i="10"/>
  <c r="AQ1073" i="10" s="1"/>
  <c r="AD1073" i="10"/>
  <c r="U1073" i="10"/>
  <c r="W1073" i="10" s="1"/>
  <c r="AP1073" i="10" s="1"/>
  <c r="X1073" i="10" l="1"/>
  <c r="Z1073" i="10"/>
  <c r="AR1073" i="10" s="1"/>
  <c r="AN1072" i="10"/>
  <c r="AW1072" i="10" s="1"/>
  <c r="BD1072" i="10" l="1"/>
  <c r="AZ1072" i="10"/>
  <c r="AA1073" i="10"/>
  <c r="Q1074" i="10"/>
  <c r="AM1074" i="10" l="1"/>
  <c r="AB1074" i="10"/>
  <c r="AV1073" i="10" s="1"/>
  <c r="AC1074" i="10"/>
  <c r="S1074" i="10"/>
  <c r="AJ1073" i="10"/>
  <c r="AI1073" i="10"/>
  <c r="AG1073" i="10"/>
  <c r="AK1073" i="10"/>
  <c r="AX1073" i="10" s="1"/>
  <c r="AH1073" i="10" l="1"/>
  <c r="AO1073" i="10"/>
  <c r="AY1073" i="10" s="1"/>
  <c r="AL1073" i="10"/>
  <c r="AD1074" i="10"/>
  <c r="T1074" i="10"/>
  <c r="AQ1074" i="10" s="1"/>
  <c r="U1074" i="10"/>
  <c r="W1074" i="10" s="1"/>
  <c r="AP1074" i="10" s="1"/>
  <c r="BA1073" i="10"/>
  <c r="X1074" i="10" l="1"/>
  <c r="AN1073" i="10"/>
  <c r="AW1073" i="10" s="1"/>
  <c r="Z1074" i="10" l="1"/>
  <c r="AR1074" i="10" s="1"/>
  <c r="AZ1073" i="10"/>
  <c r="BD1073" i="10"/>
  <c r="AA1074" i="10" l="1"/>
  <c r="Q1075" i="10"/>
  <c r="AM1075" i="10" l="1"/>
  <c r="AC1075" i="10"/>
  <c r="S1075" i="10"/>
  <c r="AB1075" i="10"/>
  <c r="AV1074" i="10" s="1"/>
  <c r="AJ1074" i="10"/>
  <c r="AI1074" i="10"/>
  <c r="AG1074" i="10"/>
  <c r="AK1074" i="10"/>
  <c r="AX1074" i="10" s="1"/>
  <c r="AL1074" i="10" l="1"/>
  <c r="AH1074" i="10"/>
  <c r="AN1074" i="10" s="1"/>
  <c r="AW1074" i="10" s="1"/>
  <c r="AO1074" i="10"/>
  <c r="AY1074" i="10" s="1"/>
  <c r="T1075" i="10"/>
  <c r="AQ1075" i="10" s="1"/>
  <c r="AD1075" i="10"/>
  <c r="U1075" i="10"/>
  <c r="W1075" i="10" s="1"/>
  <c r="AP1075" i="10" s="1"/>
  <c r="BA1074" i="10"/>
  <c r="X1075" i="10" l="1"/>
  <c r="AZ1074" i="10"/>
  <c r="BD1074" i="10"/>
  <c r="Z1075" i="10" l="1"/>
  <c r="AR1075" i="10" s="1"/>
  <c r="Q1076" i="10" l="1"/>
  <c r="AA1075" i="10"/>
  <c r="AJ1075" i="10" l="1"/>
  <c r="AI1075" i="10"/>
  <c r="AG1075" i="10"/>
  <c r="AK1075" i="10"/>
  <c r="AX1075" i="10" s="1"/>
  <c r="AM1076" i="10"/>
  <c r="AB1076" i="10"/>
  <c r="AV1075" i="10" s="1"/>
  <c r="S1076" i="10"/>
  <c r="AC1076" i="10"/>
  <c r="AO1075" i="10" l="1"/>
  <c r="AY1075" i="10" s="1"/>
  <c r="AH1075" i="10"/>
  <c r="AL1075" i="10"/>
  <c r="BA1075" i="10"/>
  <c r="AD1076" i="10"/>
  <c r="T1076" i="10"/>
  <c r="AQ1076" i="10" s="1"/>
  <c r="U1076" i="10"/>
  <c r="W1076" i="10" s="1"/>
  <c r="AP1076" i="10" s="1"/>
  <c r="X1076" i="10" l="1"/>
  <c r="AN1075" i="10"/>
  <c r="AW1075" i="10" s="1"/>
  <c r="BD1075" i="10" l="1"/>
  <c r="AZ1075" i="10"/>
  <c r="Z1076" i="10"/>
  <c r="AR1076" i="10" s="1"/>
  <c r="Q1077" i="10" l="1"/>
  <c r="AA1076" i="10"/>
  <c r="AJ1076" i="10" l="1"/>
  <c r="AI1076" i="10"/>
  <c r="AG1076" i="10"/>
  <c r="AK1076" i="10"/>
  <c r="AX1076" i="10" s="1"/>
  <c r="AM1077" i="10"/>
  <c r="AC1077" i="10"/>
  <c r="BA1076" i="10" s="1"/>
  <c r="S1077" i="10"/>
  <c r="AB1077" i="10"/>
  <c r="AV1076" i="10" s="1"/>
  <c r="AH1076" i="10" l="1"/>
  <c r="AO1076" i="10"/>
  <c r="AY1076" i="10" s="1"/>
  <c r="T1077" i="10"/>
  <c r="AQ1077" i="10" s="1"/>
  <c r="AD1077" i="10"/>
  <c r="U1077" i="10"/>
  <c r="W1077" i="10" s="1"/>
  <c r="AP1077" i="10" s="1"/>
  <c r="AL1076" i="10"/>
  <c r="X1077" i="10" l="1"/>
  <c r="AN1076" i="10"/>
  <c r="AW1076" i="10" s="1"/>
  <c r="BD1076" i="10" l="1"/>
  <c r="AZ1076" i="10"/>
  <c r="Z1077" i="10"/>
  <c r="AR1077" i="10" s="1"/>
  <c r="AA1077" i="10" l="1"/>
  <c r="Q1078" i="10"/>
  <c r="AM1078" i="10" l="1"/>
  <c r="AB1078" i="10"/>
  <c r="AV1077" i="10" s="1"/>
  <c r="S1078" i="10"/>
  <c r="AC1078" i="10"/>
  <c r="AI1077" i="10"/>
  <c r="AJ1077" i="10"/>
  <c r="AG1077" i="10"/>
  <c r="AK1077" i="10"/>
  <c r="AX1077" i="10" s="1"/>
  <c r="AO1077" i="10" l="1"/>
  <c r="AY1077" i="10" s="1"/>
  <c r="AH1077" i="10"/>
  <c r="AL1077" i="10"/>
  <c r="BA1077" i="10"/>
  <c r="T1078" i="10"/>
  <c r="AQ1078" i="10" s="1"/>
  <c r="AD1078" i="10"/>
  <c r="U1078" i="10"/>
  <c r="W1078" i="10" s="1"/>
  <c r="AP1078" i="10" s="1"/>
  <c r="X1078" i="10" l="1"/>
  <c r="Z1078" i="10" s="1"/>
  <c r="AR1078" i="10" s="1"/>
  <c r="AN1077" i="10"/>
  <c r="AW1077" i="10" s="1"/>
  <c r="Q1079" i="10" l="1"/>
  <c r="AA1078" i="10"/>
  <c r="AZ1077" i="10"/>
  <c r="BD1077" i="10"/>
  <c r="AJ1078" i="10" l="1"/>
  <c r="AI1078" i="10"/>
  <c r="AG1078" i="10"/>
  <c r="AK1078" i="10"/>
  <c r="AX1078" i="10" s="1"/>
  <c r="AM1079" i="10"/>
  <c r="AB1079" i="10"/>
  <c r="AV1078" i="10" s="1"/>
  <c r="S1079" i="10"/>
  <c r="AC1079" i="10"/>
  <c r="BA1078" i="10" l="1"/>
  <c r="T1079" i="10"/>
  <c r="AQ1079" i="10" s="1"/>
  <c r="AD1079" i="10"/>
  <c r="U1079" i="10"/>
  <c r="W1079" i="10" s="1"/>
  <c r="AP1079" i="10" s="1"/>
  <c r="AO1078" i="10"/>
  <c r="AY1078" i="10" s="1"/>
  <c r="AH1078" i="10"/>
  <c r="AL1078" i="10"/>
  <c r="AN1078" i="10" l="1"/>
  <c r="AW1078" i="10" s="1"/>
  <c r="X1079" i="10"/>
  <c r="Z1079" i="10" l="1"/>
  <c r="AR1079" i="10" s="1"/>
  <c r="BD1078" i="10"/>
  <c r="AZ1078" i="10"/>
  <c r="AA1079" i="10" l="1"/>
  <c r="Q1080" i="10"/>
  <c r="AM1080" i="10" l="1"/>
  <c r="AC1080" i="10"/>
  <c r="S1080" i="10"/>
  <c r="AB1080" i="10"/>
  <c r="AV1079" i="10" s="1"/>
  <c r="AJ1079" i="10"/>
  <c r="AI1079" i="10"/>
  <c r="AG1079" i="10"/>
  <c r="AK1079" i="10"/>
  <c r="AX1079" i="10" s="1"/>
  <c r="AL1079" i="10" l="1"/>
  <c r="AD1080" i="10"/>
  <c r="T1080" i="10"/>
  <c r="AQ1080" i="10" s="1"/>
  <c r="U1080" i="10"/>
  <c r="W1080" i="10" s="1"/>
  <c r="AP1080" i="10" s="1"/>
  <c r="AH1079" i="10"/>
  <c r="AN1079" i="10" s="1"/>
  <c r="AW1079" i="10" s="1"/>
  <c r="AO1079" i="10"/>
  <c r="AY1079" i="10" s="1"/>
  <c r="BA1079" i="10"/>
  <c r="BD1079" i="10" l="1"/>
  <c r="AZ1079" i="10"/>
  <c r="X1080" i="10"/>
  <c r="Z1080" i="10" l="1"/>
  <c r="AR1080" i="10" s="1"/>
  <c r="AA1080" i="10" l="1"/>
  <c r="Q1081" i="10"/>
  <c r="AI1080" i="10" l="1"/>
  <c r="AJ1080" i="10"/>
  <c r="AG1080" i="10"/>
  <c r="AK1080" i="10"/>
  <c r="AX1080" i="10" s="1"/>
  <c r="AM1081" i="10"/>
  <c r="AB1081" i="10"/>
  <c r="AV1080" i="10" s="1"/>
  <c r="S1081" i="10"/>
  <c r="AC1081" i="10"/>
  <c r="BA1080" i="10" l="1"/>
  <c r="T1081" i="10"/>
  <c r="AQ1081" i="10" s="1"/>
  <c r="AD1081" i="10"/>
  <c r="U1081" i="10"/>
  <c r="W1081" i="10" s="1"/>
  <c r="AP1081" i="10" s="1"/>
  <c r="AO1080" i="10"/>
  <c r="AY1080" i="10" s="1"/>
  <c r="AH1080" i="10"/>
  <c r="AL1080" i="10"/>
  <c r="AN1080" i="10" l="1"/>
  <c r="AW1080" i="10" s="1"/>
  <c r="X1081" i="10"/>
  <c r="Z1081" i="10" l="1"/>
  <c r="AR1081" i="10" s="1"/>
  <c r="AZ1080" i="10"/>
  <c r="BD1080" i="10"/>
  <c r="Q1082" i="10" l="1"/>
  <c r="AA1081" i="10"/>
  <c r="AJ1081" i="10" l="1"/>
  <c r="AI1081" i="10"/>
  <c r="AG1081" i="10"/>
  <c r="AK1081" i="10"/>
  <c r="AX1081" i="10" s="1"/>
  <c r="AM1082" i="10"/>
  <c r="S1082" i="10"/>
  <c r="AC1082" i="10"/>
  <c r="AB1082" i="10"/>
  <c r="AV1081" i="10" s="1"/>
  <c r="AD1082" i="10" l="1"/>
  <c r="T1082" i="10"/>
  <c r="AQ1082" i="10" s="1"/>
  <c r="U1082" i="10"/>
  <c r="W1082" i="10" s="1"/>
  <c r="AP1082" i="10" s="1"/>
  <c r="AH1081" i="10"/>
  <c r="AO1081" i="10"/>
  <c r="AY1081" i="10" s="1"/>
  <c r="AL1081" i="10"/>
  <c r="BA1081" i="10"/>
  <c r="AN1081" i="10" l="1"/>
  <c r="AW1081" i="10" s="1"/>
  <c r="X1082" i="10"/>
  <c r="Z1082" i="10" l="1"/>
  <c r="AR1082" i="10" s="1"/>
  <c r="AZ1081" i="10"/>
  <c r="BD1081" i="10"/>
  <c r="AA1082" i="10" l="1"/>
  <c r="Q1083" i="10"/>
  <c r="AM1083" i="10" l="1"/>
  <c r="AC1083" i="10"/>
  <c r="S1083" i="10"/>
  <c r="AB1083" i="10"/>
  <c r="AV1082" i="10" s="1"/>
  <c r="AI1082" i="10"/>
  <c r="AJ1082" i="10"/>
  <c r="AG1082" i="10"/>
  <c r="AK1082" i="10"/>
  <c r="AX1082" i="10" s="1"/>
  <c r="AH1082" i="10" l="1"/>
  <c r="AO1082" i="10"/>
  <c r="AY1082" i="10" s="1"/>
  <c r="AL1082" i="10"/>
  <c r="AD1083" i="10"/>
  <c r="T1083" i="10"/>
  <c r="AQ1083" i="10" s="1"/>
  <c r="U1083" i="10"/>
  <c r="W1083" i="10" s="1"/>
  <c r="AP1083" i="10" s="1"/>
  <c r="BA1082" i="10"/>
  <c r="X1083" i="10" l="1"/>
  <c r="AN1082" i="10"/>
  <c r="AW1082" i="10" s="1"/>
  <c r="BD1082" i="10" l="1"/>
  <c r="AZ1082" i="10"/>
  <c r="Z1083" i="10"/>
  <c r="AR1083" i="10" s="1"/>
  <c r="AA1083" i="10" l="1"/>
  <c r="Q1084" i="10"/>
  <c r="AM1084" i="10" l="1"/>
  <c r="S1084" i="10"/>
  <c r="AB1084" i="10"/>
  <c r="AV1083" i="10" s="1"/>
  <c r="AC1084" i="10"/>
  <c r="AJ1083" i="10"/>
  <c r="AI1083" i="10"/>
  <c r="AG1083" i="10"/>
  <c r="AK1083" i="10"/>
  <c r="AX1083" i="10" s="1"/>
  <c r="AL1083" i="10" l="1"/>
  <c r="AO1083" i="10"/>
  <c r="AY1083" i="10" s="1"/>
  <c r="AH1083" i="10"/>
  <c r="AN1083" i="10" s="1"/>
  <c r="AW1083" i="10" s="1"/>
  <c r="BA1083" i="10"/>
  <c r="AD1084" i="10"/>
  <c r="T1084" i="10"/>
  <c r="AQ1084" i="10" s="1"/>
  <c r="U1084" i="10"/>
  <c r="W1084" i="10" s="1"/>
  <c r="AP1084" i="10" s="1"/>
  <c r="X1084" i="10" l="1"/>
  <c r="AZ1083" i="10"/>
  <c r="BD1083" i="10"/>
  <c r="Z1084" i="10" l="1"/>
  <c r="AR1084" i="10" s="1"/>
  <c r="Q1085" i="10" l="1"/>
  <c r="AA1084" i="10"/>
  <c r="AJ1084" i="10" l="1"/>
  <c r="AI1084" i="10"/>
  <c r="AG1084" i="10"/>
  <c r="AK1084" i="10"/>
  <c r="AX1084" i="10" s="1"/>
  <c r="AM1085" i="10"/>
  <c r="AC1085" i="10"/>
  <c r="BA1084" i="10" s="1"/>
  <c r="S1085" i="10"/>
  <c r="AB1085" i="10"/>
  <c r="AV1084" i="10" s="1"/>
  <c r="AH1084" i="10" l="1"/>
  <c r="AO1084" i="10"/>
  <c r="AY1084" i="10" s="1"/>
  <c r="AL1084" i="10"/>
  <c r="T1085" i="10"/>
  <c r="AQ1085" i="10" s="1"/>
  <c r="AD1085" i="10"/>
  <c r="U1085" i="10"/>
  <c r="W1085" i="10" s="1"/>
  <c r="AP1085" i="10" s="1"/>
  <c r="X1085" i="10" l="1"/>
  <c r="AN1084" i="10"/>
  <c r="AW1084" i="10" s="1"/>
  <c r="BD1084" i="10" l="1"/>
  <c r="AZ1084" i="10"/>
  <c r="Z1085" i="10"/>
  <c r="AR1085" i="10" s="1"/>
  <c r="AA1085" i="10" l="1"/>
  <c r="Q1086" i="10"/>
  <c r="AM1086" i="10" l="1"/>
  <c r="AB1086" i="10"/>
  <c r="AV1085" i="10" s="1"/>
  <c r="S1086" i="10"/>
  <c r="AC1086" i="10"/>
  <c r="AJ1085" i="10"/>
  <c r="AI1085" i="10"/>
  <c r="AG1085" i="10"/>
  <c r="AK1085" i="10"/>
  <c r="AX1085" i="10" s="1"/>
  <c r="AH1085" i="10" l="1"/>
  <c r="AO1085" i="10"/>
  <c r="AY1085" i="10" s="1"/>
  <c r="AL1085" i="10"/>
  <c r="BA1085" i="10"/>
  <c r="AD1086" i="10"/>
  <c r="T1086" i="10"/>
  <c r="AQ1086" i="10" s="1"/>
  <c r="U1086" i="10"/>
  <c r="W1086" i="10" s="1"/>
  <c r="AP1086" i="10" s="1"/>
  <c r="X1086" i="10" l="1"/>
  <c r="AN1085" i="10"/>
  <c r="AW1085" i="10" s="1"/>
  <c r="Z1086" i="10" l="1"/>
  <c r="AR1086" i="10" s="1"/>
  <c r="AZ1085" i="10"/>
  <c r="BD1085" i="10"/>
  <c r="AA1086" i="10" l="1"/>
  <c r="Q1087" i="10"/>
  <c r="AM1087" i="10" l="1"/>
  <c r="S1087" i="10"/>
  <c r="AC1087" i="10"/>
  <c r="AB1087" i="10"/>
  <c r="AV1086" i="10" s="1"/>
  <c r="AJ1086" i="10"/>
  <c r="AI1086" i="10"/>
  <c r="AG1086" i="10"/>
  <c r="AK1086" i="10"/>
  <c r="AX1086" i="10" s="1"/>
  <c r="AL1086" i="10" l="1"/>
  <c r="AO1086" i="10"/>
  <c r="AY1086" i="10" s="1"/>
  <c r="AH1086" i="10"/>
  <c r="AN1086" i="10" s="1"/>
  <c r="AW1086" i="10" s="1"/>
  <c r="BA1086" i="10"/>
  <c r="T1087" i="10"/>
  <c r="AQ1087" i="10" s="1"/>
  <c r="AD1087" i="10"/>
  <c r="U1087" i="10"/>
  <c r="W1087" i="10" s="1"/>
  <c r="AP1087" i="10" s="1"/>
  <c r="X1087" i="10" l="1"/>
  <c r="Z1087" i="10"/>
  <c r="AR1087" i="10" s="1"/>
  <c r="BD1086" i="10"/>
  <c r="AZ1086" i="10"/>
  <c r="AA1087" i="10" l="1"/>
  <c r="Q1088" i="10"/>
  <c r="AM1088" i="10" l="1"/>
  <c r="AC1088" i="10"/>
  <c r="AB1088" i="10"/>
  <c r="AV1087" i="10" s="1"/>
  <c r="S1088" i="10"/>
  <c r="AJ1087" i="10"/>
  <c r="AI1087" i="10"/>
  <c r="AG1087" i="10"/>
  <c r="AK1087" i="10"/>
  <c r="AX1087" i="10" s="1"/>
  <c r="AL1087" i="10" l="1"/>
  <c r="AO1087" i="10"/>
  <c r="AY1087" i="10" s="1"/>
  <c r="AH1087" i="10"/>
  <c r="AN1087" i="10" s="1"/>
  <c r="AW1087" i="10" s="1"/>
  <c r="AD1088" i="10"/>
  <c r="T1088" i="10"/>
  <c r="AQ1088" i="10" s="1"/>
  <c r="U1088" i="10"/>
  <c r="W1088" i="10" s="1"/>
  <c r="AP1088" i="10" s="1"/>
  <c r="BA1087" i="10"/>
  <c r="BD1087" i="10" l="1"/>
  <c r="AZ1087" i="10"/>
  <c r="X1088" i="10"/>
  <c r="Z1088" i="10" l="1"/>
  <c r="AR1088" i="10" s="1"/>
  <c r="Q1089" i="10" l="1"/>
  <c r="AA1088" i="10"/>
  <c r="AI1088" i="10" l="1"/>
  <c r="AJ1088" i="10"/>
  <c r="AG1088" i="10"/>
  <c r="AK1088" i="10"/>
  <c r="AX1088" i="10" s="1"/>
  <c r="AM1089" i="10"/>
  <c r="S1089" i="10"/>
  <c r="AC1089" i="10"/>
  <c r="AB1089" i="10"/>
  <c r="AV1088" i="10" s="1"/>
  <c r="AD1089" i="10" l="1"/>
  <c r="T1089" i="10"/>
  <c r="AQ1089" i="10" s="1"/>
  <c r="U1089" i="10"/>
  <c r="W1089" i="10" s="1"/>
  <c r="AP1089" i="10" s="1"/>
  <c r="AH1088" i="10"/>
  <c r="AO1088" i="10"/>
  <c r="AY1088" i="10" s="1"/>
  <c r="AL1088" i="10"/>
  <c r="BA1088" i="10"/>
  <c r="AN1088" i="10" l="1"/>
  <c r="AW1088" i="10" s="1"/>
  <c r="X1089" i="10"/>
  <c r="Z1089" i="10" l="1"/>
  <c r="AR1089" i="10" s="1"/>
  <c r="AZ1088" i="10"/>
  <c r="BD1088" i="10"/>
  <c r="Q1090" i="10" l="1"/>
  <c r="AA1089" i="10"/>
  <c r="AI1089" i="10" l="1"/>
  <c r="AJ1089" i="10"/>
  <c r="AG1089" i="10"/>
  <c r="AK1089" i="10"/>
  <c r="AX1089" i="10" s="1"/>
  <c r="AM1090" i="10"/>
  <c r="S1090" i="10"/>
  <c r="AC1090" i="10"/>
  <c r="AB1090" i="10"/>
  <c r="AV1089" i="10" s="1"/>
  <c r="BA1089" i="10" l="1"/>
  <c r="T1090" i="10"/>
  <c r="AQ1090" i="10" s="1"/>
  <c r="AD1090" i="10"/>
  <c r="U1090" i="10"/>
  <c r="W1090" i="10" s="1"/>
  <c r="AP1090" i="10" s="1"/>
  <c r="AH1089" i="10"/>
  <c r="AO1089" i="10"/>
  <c r="AY1089" i="10" s="1"/>
  <c r="AL1089" i="10"/>
  <c r="AN1089" i="10" l="1"/>
  <c r="AW1089" i="10" s="1"/>
  <c r="X1090" i="10"/>
  <c r="Z1090" i="10" l="1"/>
  <c r="AR1090" i="10" s="1"/>
  <c r="AZ1089" i="10"/>
  <c r="BD1089" i="10"/>
  <c r="AA1090" i="10" l="1"/>
  <c r="Q1091" i="10"/>
  <c r="AM1091" i="10" l="1"/>
  <c r="AB1091" i="10"/>
  <c r="AV1090" i="10" s="1"/>
  <c r="S1091" i="10"/>
  <c r="AC1091" i="10"/>
  <c r="AJ1090" i="10"/>
  <c r="AI1090" i="10"/>
  <c r="AG1090" i="10"/>
  <c r="AK1090" i="10"/>
  <c r="AX1090" i="10" s="1"/>
  <c r="AL1090" i="10" l="1"/>
  <c r="AO1090" i="10"/>
  <c r="AY1090" i="10" s="1"/>
  <c r="AH1090" i="10"/>
  <c r="BA1090" i="10"/>
  <c r="AD1091" i="10"/>
  <c r="T1091" i="10"/>
  <c r="AQ1091" i="10" s="1"/>
  <c r="U1091" i="10"/>
  <c r="W1091" i="10" s="1"/>
  <c r="AP1091" i="10" s="1"/>
  <c r="AN1090" i="10" l="1"/>
  <c r="AW1090" i="10" s="1"/>
  <c r="BD1090" i="10" s="1"/>
  <c r="X1091" i="10"/>
  <c r="AZ1090" i="10"/>
  <c r="Z1091" i="10" l="1"/>
  <c r="AR1091" i="10" s="1"/>
  <c r="Q1092" i="10" l="1"/>
  <c r="AA1091" i="10"/>
  <c r="AJ1091" i="10" l="1"/>
  <c r="AI1091" i="10"/>
  <c r="AG1091" i="10"/>
  <c r="AK1091" i="10"/>
  <c r="AX1091" i="10" s="1"/>
  <c r="AM1092" i="10"/>
  <c r="AC1092" i="10"/>
  <c r="BA1091" i="10" s="1"/>
  <c r="S1092" i="10"/>
  <c r="AB1092" i="10"/>
  <c r="AV1091" i="10" s="1"/>
  <c r="AO1091" i="10" l="1"/>
  <c r="AY1091" i="10" s="1"/>
  <c r="AH1091" i="10"/>
  <c r="AL1091" i="10"/>
  <c r="AD1092" i="10"/>
  <c r="T1092" i="10"/>
  <c r="AQ1092" i="10" s="1"/>
  <c r="U1092" i="10"/>
  <c r="W1092" i="10" s="1"/>
  <c r="AP1092" i="10" s="1"/>
  <c r="X1092" i="10" l="1"/>
  <c r="AN1091" i="10"/>
  <c r="AW1091" i="10" s="1"/>
  <c r="AZ1091" i="10" l="1"/>
  <c r="BD1091" i="10"/>
  <c r="Z1092" i="10"/>
  <c r="AR1092" i="10" s="1"/>
  <c r="Q1093" i="10" l="1"/>
  <c r="AA1092" i="10"/>
  <c r="AJ1092" i="10" l="1"/>
  <c r="AI1092" i="10"/>
  <c r="AG1092" i="10"/>
  <c r="AK1092" i="10"/>
  <c r="AX1092" i="10" s="1"/>
  <c r="AM1093" i="10"/>
  <c r="AC1093" i="10"/>
  <c r="BA1092" i="10" s="1"/>
  <c r="AB1093" i="10"/>
  <c r="AV1092" i="10" s="1"/>
  <c r="S1093" i="10"/>
  <c r="T1093" i="10" l="1"/>
  <c r="AQ1093" i="10" s="1"/>
  <c r="AD1093" i="10"/>
  <c r="U1093" i="10"/>
  <c r="W1093" i="10" s="1"/>
  <c r="AP1093" i="10" s="1"/>
  <c r="AH1092" i="10"/>
  <c r="AO1092" i="10"/>
  <c r="AY1092" i="10" s="1"/>
  <c r="AL1092" i="10"/>
  <c r="AN1092" i="10" l="1"/>
  <c r="AW1092" i="10" s="1"/>
  <c r="X1093" i="10"/>
  <c r="Z1093" i="10" l="1"/>
  <c r="AR1093" i="10" s="1"/>
  <c r="BD1092" i="10"/>
  <c r="AZ1092" i="10"/>
  <c r="AA1093" i="10" l="1"/>
  <c r="Q1094" i="10"/>
  <c r="AM1094" i="10" l="1"/>
  <c r="AB1094" i="10"/>
  <c r="AV1093" i="10" s="1"/>
  <c r="S1094" i="10"/>
  <c r="AC1094" i="10"/>
  <c r="AJ1093" i="10"/>
  <c r="AI1093" i="10"/>
  <c r="AG1093" i="10"/>
  <c r="AK1093" i="10"/>
  <c r="AX1093" i="10" s="1"/>
  <c r="AH1093" i="10" l="1"/>
  <c r="AO1093" i="10"/>
  <c r="AY1093" i="10" s="1"/>
  <c r="AL1093" i="10"/>
  <c r="BA1093" i="10"/>
  <c r="T1094" i="10"/>
  <c r="AQ1094" i="10" s="1"/>
  <c r="AD1094" i="10"/>
  <c r="U1094" i="10"/>
  <c r="W1094" i="10" s="1"/>
  <c r="AP1094" i="10" s="1"/>
  <c r="X1094" i="10" l="1"/>
  <c r="AN1093" i="10"/>
  <c r="AW1093" i="10" s="1"/>
  <c r="BD1093" i="10" l="1"/>
  <c r="AZ1093" i="10"/>
  <c r="Z1094" i="10"/>
  <c r="AR1094" i="10" s="1"/>
  <c r="AA1094" i="10" l="1"/>
  <c r="Q1095" i="10"/>
  <c r="AM1095" i="10" l="1"/>
  <c r="S1095" i="10"/>
  <c r="AC1095" i="10"/>
  <c r="AB1095" i="10"/>
  <c r="AV1094" i="10" s="1"/>
  <c r="AJ1094" i="10"/>
  <c r="AI1094" i="10"/>
  <c r="AG1094" i="10"/>
  <c r="AK1094" i="10"/>
  <c r="AX1094" i="10" s="1"/>
  <c r="AL1094" i="10" l="1"/>
  <c r="BA1094" i="10"/>
  <c r="T1095" i="10"/>
  <c r="AQ1095" i="10" s="1"/>
  <c r="AD1095" i="10"/>
  <c r="U1095" i="10"/>
  <c r="W1095" i="10" s="1"/>
  <c r="AP1095" i="10" s="1"/>
  <c r="AO1094" i="10"/>
  <c r="AY1094" i="10" s="1"/>
  <c r="AH1094" i="10"/>
  <c r="AN1094" i="10" l="1"/>
  <c r="AW1094" i="10" s="1"/>
  <c r="BD1094" i="10" s="1"/>
  <c r="AZ1094" i="10"/>
  <c r="X1095" i="10"/>
  <c r="Z1095" i="10" l="1"/>
  <c r="AR1095" i="10" s="1"/>
  <c r="AA1095" i="10" l="1"/>
  <c r="Q1096" i="10"/>
  <c r="AM1096" i="10" l="1"/>
  <c r="S1096" i="10"/>
  <c r="AC1096" i="10"/>
  <c r="AB1096" i="10"/>
  <c r="AV1095" i="10" s="1"/>
  <c r="AJ1095" i="10"/>
  <c r="AI1095" i="10"/>
  <c r="AG1095" i="10"/>
  <c r="AK1095" i="10"/>
  <c r="AX1095" i="10" s="1"/>
  <c r="AH1095" i="10" l="1"/>
  <c r="AO1095" i="10"/>
  <c r="AY1095" i="10" s="1"/>
  <c r="AL1095" i="10"/>
  <c r="BA1095" i="10"/>
  <c r="AD1096" i="10"/>
  <c r="T1096" i="10"/>
  <c r="AQ1096" i="10" s="1"/>
  <c r="U1096" i="10"/>
  <c r="W1096" i="10" s="1"/>
  <c r="AP1096" i="10" s="1"/>
  <c r="X1096" i="10" l="1"/>
  <c r="AN1095" i="10"/>
  <c r="AW1095" i="10" s="1"/>
  <c r="AZ1095" i="10" l="1"/>
  <c r="BD1095" i="10"/>
  <c r="Z1096" i="10"/>
  <c r="AR1096" i="10" s="1"/>
  <c r="AA1096" i="10" l="1"/>
  <c r="Q1097" i="10"/>
  <c r="AM1097" i="10" l="1"/>
  <c r="AC1097" i="10"/>
  <c r="AB1097" i="10"/>
  <c r="AV1096" i="10" s="1"/>
  <c r="S1097" i="10"/>
  <c r="AI1096" i="10"/>
  <c r="AJ1096" i="10"/>
  <c r="AG1096" i="10"/>
  <c r="AK1096" i="10"/>
  <c r="AX1096" i="10" s="1"/>
  <c r="AL1096" i="10" l="1"/>
  <c r="AD1097" i="10"/>
  <c r="T1097" i="10"/>
  <c r="AQ1097" i="10" s="1"/>
  <c r="U1097" i="10"/>
  <c r="W1097" i="10" s="1"/>
  <c r="AP1097" i="10" s="1"/>
  <c r="BA1096" i="10"/>
  <c r="AH1096" i="10"/>
  <c r="AN1096" i="10" s="1"/>
  <c r="AW1096" i="10" s="1"/>
  <c r="AO1096" i="10"/>
  <c r="AY1096" i="10" s="1"/>
  <c r="AZ1096" i="10" l="1"/>
  <c r="BD1096" i="10"/>
  <c r="X1097" i="10"/>
  <c r="Z1097" i="10" l="1"/>
  <c r="AR1097" i="10" s="1"/>
  <c r="AA1097" i="10" l="1"/>
  <c r="Q1098" i="10"/>
  <c r="AM1098" i="10" l="1"/>
  <c r="AC1098" i="10"/>
  <c r="AB1098" i="10"/>
  <c r="AV1097" i="10" s="1"/>
  <c r="S1098" i="10"/>
  <c r="AJ1097" i="10"/>
  <c r="AI1097" i="10"/>
  <c r="AG1097" i="10"/>
  <c r="AK1097" i="10"/>
  <c r="AX1097" i="10" s="1"/>
  <c r="AH1097" i="10" l="1"/>
  <c r="AO1097" i="10"/>
  <c r="AY1097" i="10" s="1"/>
  <c r="AL1097" i="10"/>
  <c r="AD1098" i="10"/>
  <c r="T1098" i="10"/>
  <c r="AQ1098" i="10" s="1"/>
  <c r="U1098" i="10"/>
  <c r="W1098" i="10" s="1"/>
  <c r="AP1098" i="10" s="1"/>
  <c r="BA1097" i="10"/>
  <c r="X1098" i="10" l="1"/>
  <c r="AN1097" i="10"/>
  <c r="AW1097" i="10" s="1"/>
  <c r="AZ1097" i="10" l="1"/>
  <c r="BD1097" i="10"/>
  <c r="Z1098" i="10"/>
  <c r="AR1098" i="10" s="1"/>
  <c r="Q1099" i="10" l="1"/>
  <c r="AA1098" i="10"/>
  <c r="AI1098" i="10" l="1"/>
  <c r="AJ1098" i="10"/>
  <c r="AG1098" i="10"/>
  <c r="AK1098" i="10"/>
  <c r="AX1098" i="10" s="1"/>
  <c r="AM1099" i="10"/>
  <c r="AC1099" i="10"/>
  <c r="BA1098" i="10" s="1"/>
  <c r="AB1099" i="10"/>
  <c r="AV1098" i="10" s="1"/>
  <c r="S1099" i="10"/>
  <c r="AO1098" i="10" l="1"/>
  <c r="AY1098" i="10" s="1"/>
  <c r="AH1098" i="10"/>
  <c r="AL1098" i="10"/>
  <c r="AD1099" i="10"/>
  <c r="T1099" i="10"/>
  <c r="AQ1099" i="10" s="1"/>
  <c r="U1099" i="10"/>
  <c r="W1099" i="10" s="1"/>
  <c r="AP1099" i="10" s="1"/>
  <c r="X1099" i="10" l="1"/>
  <c r="Z1099" i="10" s="1"/>
  <c r="AR1099" i="10" s="1"/>
  <c r="AN1098" i="10"/>
  <c r="AW1098" i="10" s="1"/>
  <c r="AZ1098" i="10" l="1"/>
  <c r="BD1098" i="10"/>
  <c r="Q1100" i="10"/>
  <c r="AA1099" i="10"/>
  <c r="AJ1099" i="10" l="1"/>
  <c r="AI1099" i="10"/>
  <c r="AG1099" i="10"/>
  <c r="AK1099" i="10"/>
  <c r="AX1099" i="10" s="1"/>
  <c r="AM1100" i="10"/>
  <c r="AC1100" i="10"/>
  <c r="BA1099" i="10" s="1"/>
  <c r="AB1100" i="10"/>
  <c r="AV1099" i="10" s="1"/>
  <c r="S1100" i="10"/>
  <c r="AO1099" i="10" l="1"/>
  <c r="AY1099" i="10" s="1"/>
  <c r="AH1099" i="10"/>
  <c r="AL1099" i="10"/>
  <c r="AD1100" i="10"/>
  <c r="T1100" i="10"/>
  <c r="AQ1100" i="10" s="1"/>
  <c r="U1100" i="10"/>
  <c r="W1100" i="10" s="1"/>
  <c r="AP1100" i="10" s="1"/>
  <c r="X1100" i="10" l="1"/>
  <c r="Z1100" i="10"/>
  <c r="AR1100" i="10" s="1"/>
  <c r="AN1099" i="10"/>
  <c r="AW1099" i="10" s="1"/>
  <c r="BD1099" i="10" l="1"/>
  <c r="AZ1099" i="10"/>
  <c r="AA1100" i="10"/>
  <c r="Q1101" i="10"/>
  <c r="AM1101" i="10" l="1"/>
  <c r="AC1101" i="10"/>
  <c r="AB1101" i="10"/>
  <c r="AV1100" i="10" s="1"/>
  <c r="S1101" i="10"/>
  <c r="AJ1100" i="10"/>
  <c r="AI1100" i="10"/>
  <c r="AG1100" i="10"/>
  <c r="AK1100" i="10"/>
  <c r="AX1100" i="10" s="1"/>
  <c r="AO1100" i="10" l="1"/>
  <c r="AY1100" i="10" s="1"/>
  <c r="AH1100" i="10"/>
  <c r="AL1100" i="10"/>
  <c r="T1101" i="10"/>
  <c r="AQ1101" i="10" s="1"/>
  <c r="AD1101" i="10"/>
  <c r="U1101" i="10"/>
  <c r="W1101" i="10" s="1"/>
  <c r="AP1101" i="10" s="1"/>
  <c r="BA1100" i="10"/>
  <c r="X1101" i="10" l="1"/>
  <c r="AN1100" i="10"/>
  <c r="AW1100" i="10" s="1"/>
  <c r="BD1100" i="10" l="1"/>
  <c r="AZ1100" i="10"/>
  <c r="Z1101" i="10"/>
  <c r="AR1101" i="10" s="1"/>
  <c r="Q1102" i="10" l="1"/>
  <c r="AA1101" i="10"/>
  <c r="AJ1101" i="10" l="1"/>
  <c r="AI1101" i="10"/>
  <c r="AG1101" i="10"/>
  <c r="AK1101" i="10"/>
  <c r="AX1101" i="10" s="1"/>
  <c r="AM1102" i="10"/>
  <c r="AC1102" i="10"/>
  <c r="BA1101" i="10" s="1"/>
  <c r="S1102" i="10"/>
  <c r="AB1102" i="10"/>
  <c r="AV1101" i="10" s="1"/>
  <c r="AH1101" i="10" l="1"/>
  <c r="AO1101" i="10"/>
  <c r="AY1101" i="10" s="1"/>
  <c r="AL1101" i="10"/>
  <c r="AD1102" i="10"/>
  <c r="T1102" i="10"/>
  <c r="AQ1102" i="10" s="1"/>
  <c r="U1102" i="10"/>
  <c r="W1102" i="10" s="1"/>
  <c r="AP1102" i="10" s="1"/>
  <c r="X1102" i="10" l="1"/>
  <c r="AN1101" i="10"/>
  <c r="AW1101" i="10" s="1"/>
  <c r="BD1101" i="10" l="1"/>
  <c r="AZ1101" i="10"/>
  <c r="Z1102" i="10"/>
  <c r="AR1102" i="10" s="1"/>
  <c r="AA1102" i="10" l="1"/>
  <c r="Q1103" i="10"/>
  <c r="AM1103" i="10" l="1"/>
  <c r="AC1103" i="10"/>
  <c r="S1103" i="10"/>
  <c r="AB1103" i="10"/>
  <c r="AV1102" i="10" s="1"/>
  <c r="AI1102" i="10"/>
  <c r="AJ1102" i="10"/>
  <c r="AG1102" i="10"/>
  <c r="AK1102" i="10"/>
  <c r="AX1102" i="10" s="1"/>
  <c r="AO1102" i="10" l="1"/>
  <c r="AY1102" i="10" s="1"/>
  <c r="AH1102" i="10"/>
  <c r="BA1102" i="10"/>
  <c r="AL1102" i="10"/>
  <c r="AD1103" i="10"/>
  <c r="T1103" i="10"/>
  <c r="AQ1103" i="10" s="1"/>
  <c r="U1103" i="10"/>
  <c r="W1103" i="10" s="1"/>
  <c r="AP1103" i="10" s="1"/>
  <c r="X1103" i="10" l="1"/>
  <c r="AN1102" i="10"/>
  <c r="AW1102" i="10" s="1"/>
  <c r="Z1103" i="10" l="1"/>
  <c r="AR1103" i="10" s="1"/>
  <c r="AZ1102" i="10"/>
  <c r="BD1102" i="10"/>
  <c r="AA1103" i="10" l="1"/>
  <c r="Q1104" i="10"/>
  <c r="AM1104" i="10" l="1"/>
  <c r="AC1104" i="10"/>
  <c r="AB1104" i="10"/>
  <c r="AV1103" i="10" s="1"/>
  <c r="S1104" i="10"/>
  <c r="AJ1103" i="10"/>
  <c r="AI1103" i="10"/>
  <c r="AG1103" i="10"/>
  <c r="AK1103" i="10"/>
  <c r="AX1103" i="10" s="1"/>
  <c r="AL1103" i="10" l="1"/>
  <c r="AO1103" i="10"/>
  <c r="AY1103" i="10" s="1"/>
  <c r="AH1103" i="10"/>
  <c r="AN1103" i="10" s="1"/>
  <c r="AW1103" i="10" s="1"/>
  <c r="AD1104" i="10"/>
  <c r="T1104" i="10"/>
  <c r="AQ1104" i="10" s="1"/>
  <c r="U1104" i="10"/>
  <c r="W1104" i="10" s="1"/>
  <c r="AP1104" i="10" s="1"/>
  <c r="BA1103" i="10"/>
  <c r="X1104" i="10" l="1"/>
  <c r="BD1103" i="10"/>
  <c r="AZ1103" i="10"/>
  <c r="Z1104" i="10" l="1"/>
  <c r="AR1104" i="10" s="1"/>
  <c r="Q1105" i="10" l="1"/>
  <c r="AA1104" i="10"/>
  <c r="AM1105" i="10" l="1"/>
  <c r="AC1105" i="10"/>
  <c r="AB1105" i="10"/>
  <c r="AV1104" i="10" s="1"/>
  <c r="S1105" i="10"/>
  <c r="AJ1104" i="10"/>
  <c r="AI1104" i="10"/>
  <c r="AG1104" i="10"/>
  <c r="AK1104" i="10"/>
  <c r="AX1104" i="10" s="1"/>
  <c r="AL1104" i="10" l="1"/>
  <c r="AH1104" i="10"/>
  <c r="AO1104" i="10"/>
  <c r="AY1104" i="10" s="1"/>
  <c r="AD1105" i="10"/>
  <c r="T1105" i="10"/>
  <c r="AQ1105" i="10" s="1"/>
  <c r="U1105" i="10"/>
  <c r="W1105" i="10" s="1"/>
  <c r="AP1105" i="10" s="1"/>
  <c r="BA1104" i="10"/>
  <c r="AN1104" i="10" l="1"/>
  <c r="AW1104" i="10" s="1"/>
  <c r="AZ1104" i="10" s="1"/>
  <c r="X1105" i="10"/>
  <c r="BD1104" i="10" l="1"/>
  <c r="Z1105" i="10"/>
  <c r="AR1105" i="10" s="1"/>
  <c r="AA1105" i="10" l="1"/>
  <c r="Q1106" i="10"/>
  <c r="AC1106" i="10" l="1"/>
  <c r="AB1106" i="10"/>
  <c r="AV1105" i="10" s="1"/>
  <c r="AM1106" i="10"/>
  <c r="S1106" i="10"/>
  <c r="AJ1105" i="10"/>
  <c r="AI1105" i="10"/>
  <c r="AG1105" i="10"/>
  <c r="AK1105" i="10"/>
  <c r="AX1105" i="10" s="1"/>
  <c r="AL1105" i="10" l="1"/>
  <c r="T1106" i="10"/>
  <c r="AQ1106" i="10" s="1"/>
  <c r="AD1106" i="10"/>
  <c r="U1106" i="10"/>
  <c r="W1106" i="10" s="1"/>
  <c r="AP1106" i="10" s="1"/>
  <c r="AH1105" i="10"/>
  <c r="AN1105" i="10" s="1"/>
  <c r="AW1105" i="10" s="1"/>
  <c r="AO1105" i="10"/>
  <c r="AY1105" i="10" s="1"/>
  <c r="BA1105" i="10"/>
  <c r="X1106" i="10" l="1"/>
  <c r="BD1105" i="10"/>
  <c r="AZ1105" i="10"/>
  <c r="Z1106" i="10" l="1"/>
  <c r="AR1106" i="10" s="1"/>
  <c r="AA1106" i="10" l="1"/>
  <c r="Q1107" i="10"/>
  <c r="AB1107" i="10" l="1"/>
  <c r="AV1106" i="10" s="1"/>
  <c r="AM1107" i="10"/>
  <c r="AC1107" i="10"/>
  <c r="S1107" i="10"/>
  <c r="AJ1106" i="10"/>
  <c r="AI1106" i="10"/>
  <c r="AG1106" i="10"/>
  <c r="AK1106" i="10"/>
  <c r="AX1106" i="10" s="1"/>
  <c r="AH1106" i="10" l="1"/>
  <c r="AO1106" i="10"/>
  <c r="AY1106" i="10" s="1"/>
  <c r="AL1106" i="10"/>
  <c r="T1107" i="10"/>
  <c r="AQ1107" i="10" s="1"/>
  <c r="AD1107" i="10"/>
  <c r="U1107" i="10"/>
  <c r="W1107" i="10" s="1"/>
  <c r="AP1107" i="10" s="1"/>
  <c r="BA1106" i="10"/>
  <c r="X1107" i="10" l="1"/>
  <c r="AN1106" i="10"/>
  <c r="AW1106" i="10" s="1"/>
  <c r="BD1106" i="10" l="1"/>
  <c r="AZ1106" i="10"/>
  <c r="Z1107" i="10"/>
  <c r="AR1107" i="10" s="1"/>
  <c r="Q1108" i="10" l="1"/>
  <c r="AA1107" i="10"/>
  <c r="AI1107" i="10" l="1"/>
  <c r="AJ1107" i="10"/>
  <c r="AG1107" i="10"/>
  <c r="AK1107" i="10"/>
  <c r="AX1107" i="10" s="1"/>
  <c r="AM1108" i="10"/>
  <c r="S1108" i="10"/>
  <c r="AC1108" i="10"/>
  <c r="AB1108" i="10"/>
  <c r="AV1107" i="10" s="1"/>
  <c r="BA1107" i="10" l="1"/>
  <c r="AL1107" i="10"/>
  <c r="AD1108" i="10"/>
  <c r="T1108" i="10"/>
  <c r="AQ1108" i="10" s="1"/>
  <c r="U1108" i="10"/>
  <c r="W1108" i="10" s="1"/>
  <c r="AP1108" i="10" s="1"/>
  <c r="AH1107" i="10"/>
  <c r="AN1107" i="10" s="1"/>
  <c r="AW1107" i="10" s="1"/>
  <c r="AO1107" i="10"/>
  <c r="AY1107" i="10" s="1"/>
  <c r="BD1107" i="10" l="1"/>
  <c r="AZ1107" i="10"/>
  <c r="X1108" i="10"/>
  <c r="Z1108" i="10" l="1"/>
  <c r="AR1108" i="10" s="1"/>
  <c r="Q1109" i="10" l="1"/>
  <c r="AA1108" i="10"/>
  <c r="AJ1108" i="10" l="1"/>
  <c r="AI1108" i="10"/>
  <c r="AG1108" i="10"/>
  <c r="AK1108" i="10"/>
  <c r="AX1108" i="10" s="1"/>
  <c r="AM1109" i="10"/>
  <c r="AC1109" i="10"/>
  <c r="BA1108" i="10" s="1"/>
  <c r="S1109" i="10"/>
  <c r="AB1109" i="10"/>
  <c r="AV1108" i="10" s="1"/>
  <c r="AD1109" i="10" l="1"/>
  <c r="T1109" i="10"/>
  <c r="AQ1109" i="10" s="1"/>
  <c r="U1109" i="10"/>
  <c r="W1109" i="10" s="1"/>
  <c r="AP1109" i="10" s="1"/>
  <c r="AH1108" i="10"/>
  <c r="AO1108" i="10"/>
  <c r="AY1108" i="10" s="1"/>
  <c r="AL1108" i="10"/>
  <c r="AN1108" i="10" l="1"/>
  <c r="AW1108" i="10" s="1"/>
  <c r="BD1108" i="10" s="1"/>
  <c r="X1109" i="10"/>
  <c r="AZ1108" i="10" l="1"/>
  <c r="Z1109" i="10"/>
  <c r="AR1109" i="10" s="1"/>
  <c r="AA1109" i="10" l="1"/>
  <c r="Q1110" i="10"/>
  <c r="AM1110" i="10" l="1"/>
  <c r="AC1110" i="10"/>
  <c r="S1110" i="10"/>
  <c r="AB1110" i="10"/>
  <c r="AV1109" i="10" s="1"/>
  <c r="AJ1109" i="10"/>
  <c r="AI1109" i="10"/>
  <c r="AG1109" i="10"/>
  <c r="AK1109" i="10"/>
  <c r="AX1109" i="10" s="1"/>
  <c r="AL1109" i="10" l="1"/>
  <c r="AD1110" i="10"/>
  <c r="T1110" i="10"/>
  <c r="AQ1110" i="10" s="1"/>
  <c r="U1110" i="10"/>
  <c r="W1110" i="10" s="1"/>
  <c r="AP1110" i="10" s="1"/>
  <c r="BA1109" i="10"/>
  <c r="AO1109" i="10"/>
  <c r="AY1109" i="10" s="1"/>
  <c r="AH1109" i="10"/>
  <c r="AN1109" i="10" l="1"/>
  <c r="AW1109" i="10" s="1"/>
  <c r="BD1109" i="10" s="1"/>
  <c r="X1110" i="10"/>
  <c r="AZ1109" i="10" l="1"/>
  <c r="Z1110" i="10"/>
  <c r="AR1110" i="10" s="1"/>
  <c r="AA1110" i="10" l="1"/>
  <c r="Q1111" i="10"/>
  <c r="AM1111" i="10" l="1"/>
  <c r="AC1111" i="10"/>
  <c r="S1111" i="10"/>
  <c r="AB1111" i="10"/>
  <c r="AV1110" i="10" s="1"/>
  <c r="AJ1110" i="10"/>
  <c r="AI1110" i="10"/>
  <c r="AG1110" i="10"/>
  <c r="AK1110" i="10"/>
  <c r="AX1110" i="10" s="1"/>
  <c r="AD1111" i="10" l="1"/>
  <c r="T1111" i="10"/>
  <c r="AQ1111" i="10" s="1"/>
  <c r="U1111" i="10"/>
  <c r="W1111" i="10" s="1"/>
  <c r="AP1111" i="10" s="1"/>
  <c r="AH1110" i="10"/>
  <c r="AO1110" i="10"/>
  <c r="AY1110" i="10" s="1"/>
  <c r="AL1110" i="10"/>
  <c r="BA1110" i="10"/>
  <c r="AN1110" i="10" l="1"/>
  <c r="AW1110" i="10" s="1"/>
  <c r="X1111" i="10"/>
  <c r="Z1111" i="10" l="1"/>
  <c r="AR1111" i="10" s="1"/>
  <c r="BD1110" i="10"/>
  <c r="AZ1110" i="10"/>
  <c r="AA1111" i="10" l="1"/>
  <c r="Q1112" i="10"/>
  <c r="AM1112" i="10" l="1"/>
  <c r="AB1112" i="10"/>
  <c r="AV1111" i="10" s="1"/>
  <c r="S1112" i="10"/>
  <c r="AC1112" i="10"/>
  <c r="AJ1111" i="10"/>
  <c r="AI1111" i="10"/>
  <c r="AG1111" i="10"/>
  <c r="AK1111" i="10"/>
  <c r="AX1111" i="10" s="1"/>
  <c r="AO1111" i="10" l="1"/>
  <c r="AY1111" i="10" s="1"/>
  <c r="AH1111" i="10"/>
  <c r="AL1111" i="10"/>
  <c r="BA1111" i="10"/>
  <c r="T1112" i="10"/>
  <c r="AQ1112" i="10" s="1"/>
  <c r="AD1112" i="10"/>
  <c r="U1112" i="10"/>
  <c r="W1112" i="10" s="1"/>
  <c r="AP1112" i="10" s="1"/>
  <c r="X1112" i="10" l="1"/>
  <c r="AN1111" i="10"/>
  <c r="AW1111" i="10" s="1"/>
  <c r="BD1111" i="10" l="1"/>
  <c r="AZ1111" i="10"/>
  <c r="Z1112" i="10"/>
  <c r="AR1112" i="10" s="1"/>
  <c r="Q1113" i="10" l="1"/>
  <c r="AA1112" i="10"/>
  <c r="AJ1112" i="10" l="1"/>
  <c r="AI1112" i="10"/>
  <c r="AG1112" i="10"/>
  <c r="AK1112" i="10"/>
  <c r="AX1112" i="10" s="1"/>
  <c r="AM1113" i="10"/>
  <c r="AC1113" i="10"/>
  <c r="BA1112" i="10" s="1"/>
  <c r="AB1113" i="10"/>
  <c r="AV1112" i="10" s="1"/>
  <c r="S1113" i="10"/>
  <c r="AO1112" i="10" l="1"/>
  <c r="AY1112" i="10" s="1"/>
  <c r="AH1112" i="10"/>
  <c r="AL1112" i="10"/>
  <c r="AD1113" i="10"/>
  <c r="T1113" i="10"/>
  <c r="AQ1113" i="10" s="1"/>
  <c r="U1113" i="10"/>
  <c r="W1113" i="10" s="1"/>
  <c r="AP1113" i="10" s="1"/>
  <c r="X1113" i="10" l="1"/>
  <c r="AN1112" i="10"/>
  <c r="AW1112" i="10" s="1"/>
  <c r="BD1112" i="10" l="1"/>
  <c r="AZ1112" i="10"/>
  <c r="Z1113" i="10"/>
  <c r="AR1113" i="10" s="1"/>
  <c r="Q1114" i="10" l="1"/>
  <c r="AA1113" i="10"/>
  <c r="AJ1113" i="10" l="1"/>
  <c r="AI1113" i="10"/>
  <c r="AG1113" i="10"/>
  <c r="AK1113" i="10"/>
  <c r="AX1113" i="10" s="1"/>
  <c r="AM1114" i="10"/>
  <c r="S1114" i="10"/>
  <c r="AC1114" i="10"/>
  <c r="AB1114" i="10"/>
  <c r="AV1113" i="10" s="1"/>
  <c r="AD1114" i="10" l="1"/>
  <c r="T1114" i="10"/>
  <c r="AQ1114" i="10" s="1"/>
  <c r="U1114" i="10"/>
  <c r="W1114" i="10" s="1"/>
  <c r="AP1114" i="10" s="1"/>
  <c r="AO1113" i="10"/>
  <c r="AY1113" i="10" s="1"/>
  <c r="AH1113" i="10"/>
  <c r="AL1113" i="10"/>
  <c r="BA1113" i="10"/>
  <c r="AN1113" i="10" l="1"/>
  <c r="AW1113" i="10" s="1"/>
  <c r="X1114" i="10"/>
  <c r="Z1114" i="10" l="1"/>
  <c r="AR1114" i="10" s="1"/>
  <c r="BD1113" i="10"/>
  <c r="AZ1113" i="10"/>
  <c r="AA1114" i="10" l="1"/>
  <c r="Q1115" i="10"/>
  <c r="AM1115" i="10" l="1"/>
  <c r="AC1115" i="10"/>
  <c r="AB1115" i="10"/>
  <c r="AV1114" i="10" s="1"/>
  <c r="S1115" i="10"/>
  <c r="AI1114" i="10"/>
  <c r="AJ1114" i="10"/>
  <c r="AG1114" i="10"/>
  <c r="AK1114" i="10"/>
  <c r="AX1114" i="10" s="1"/>
  <c r="BA1114" i="10" l="1"/>
  <c r="AH1114" i="10"/>
  <c r="AO1114" i="10"/>
  <c r="AY1114" i="10" s="1"/>
  <c r="AL1114" i="10"/>
  <c r="AD1115" i="10"/>
  <c r="T1115" i="10"/>
  <c r="AQ1115" i="10" s="1"/>
  <c r="U1115" i="10"/>
  <c r="W1115" i="10" s="1"/>
  <c r="AP1115" i="10" s="1"/>
  <c r="X1115" i="10" l="1"/>
  <c r="AN1114" i="10"/>
  <c r="AW1114" i="10" s="1"/>
  <c r="Z1115" i="10" l="1"/>
  <c r="AR1115" i="10" s="1"/>
  <c r="BD1114" i="10"/>
  <c r="AZ1114" i="10"/>
  <c r="Q1116" i="10" l="1"/>
  <c r="AA1115" i="10"/>
  <c r="AJ1115" i="10" l="1"/>
  <c r="AI1115" i="10"/>
  <c r="AG1115" i="10"/>
  <c r="AK1115" i="10"/>
  <c r="AX1115" i="10" s="1"/>
  <c r="AM1116" i="10"/>
  <c r="AC1116" i="10"/>
  <c r="AB1116" i="10"/>
  <c r="AV1115" i="10" s="1"/>
  <c r="S1116" i="10"/>
  <c r="BA1115" i="10" l="1"/>
  <c r="AO1115" i="10"/>
  <c r="AY1115" i="10" s="1"/>
  <c r="AH1115" i="10"/>
  <c r="AL1115" i="10"/>
  <c r="AD1116" i="10"/>
  <c r="T1116" i="10"/>
  <c r="AQ1116" i="10" s="1"/>
  <c r="U1116" i="10"/>
  <c r="W1116" i="10" s="1"/>
  <c r="AP1116" i="10" s="1"/>
  <c r="X1116" i="10" l="1"/>
  <c r="AN1115" i="10"/>
  <c r="AW1115" i="10" s="1"/>
  <c r="BD1115" i="10" l="1"/>
  <c r="AZ1115" i="10"/>
  <c r="Z1116" i="10"/>
  <c r="AR1116" i="10" s="1"/>
  <c r="AA1116" i="10" l="1"/>
  <c r="Q1117" i="10"/>
  <c r="AM1117" i="10" l="1"/>
  <c r="AB1117" i="10"/>
  <c r="AV1116" i="10" s="1"/>
  <c r="S1117" i="10"/>
  <c r="AC1117" i="10"/>
  <c r="AJ1116" i="10"/>
  <c r="AI1116" i="10"/>
  <c r="AG1116" i="10"/>
  <c r="AK1116" i="10"/>
  <c r="AX1116" i="10" s="1"/>
  <c r="AL1116" i="10" l="1"/>
  <c r="AO1116" i="10"/>
  <c r="AY1116" i="10" s="1"/>
  <c r="AH1116" i="10"/>
  <c r="AN1116" i="10" s="1"/>
  <c r="AW1116" i="10" s="1"/>
  <c r="BA1116" i="10"/>
  <c r="AD1117" i="10"/>
  <c r="T1117" i="10"/>
  <c r="AQ1117" i="10" s="1"/>
  <c r="U1117" i="10"/>
  <c r="W1117" i="10" s="1"/>
  <c r="AP1117" i="10" s="1"/>
  <c r="X1117" i="10" l="1"/>
  <c r="BD1116" i="10"/>
  <c r="AZ1116" i="10"/>
  <c r="Z1117" i="10" l="1"/>
  <c r="AR1117" i="10" s="1"/>
  <c r="Q1118" i="10" l="1"/>
  <c r="AA1117" i="10"/>
  <c r="AJ1117" i="10" l="1"/>
  <c r="AI1117" i="10"/>
  <c r="AG1117" i="10"/>
  <c r="AK1117" i="10"/>
  <c r="AX1117" i="10" s="1"/>
  <c r="AM1118" i="10"/>
  <c r="AC1118" i="10"/>
  <c r="AB1118" i="10"/>
  <c r="AV1117" i="10" s="1"/>
  <c r="S1118" i="10"/>
  <c r="BA1117" i="10" l="1"/>
  <c r="AH1117" i="10"/>
  <c r="AO1117" i="10"/>
  <c r="AY1117" i="10" s="1"/>
  <c r="AL1117" i="10"/>
  <c r="AD1118" i="10"/>
  <c r="T1118" i="10"/>
  <c r="AQ1118" i="10" s="1"/>
  <c r="U1118" i="10"/>
  <c r="W1118" i="10" s="1"/>
  <c r="AP1118" i="10" s="1"/>
  <c r="X1118" i="10" l="1"/>
  <c r="AN1117" i="10"/>
  <c r="AW1117" i="10" s="1"/>
  <c r="BD1117" i="10" l="1"/>
  <c r="AZ1117" i="10"/>
  <c r="Z1118" i="10"/>
  <c r="AR1118" i="10" s="1"/>
  <c r="Q1119" i="10" l="1"/>
  <c r="AA1118" i="10"/>
  <c r="AJ1118" i="10" l="1"/>
  <c r="AI1118" i="10"/>
  <c r="AG1118" i="10"/>
  <c r="AK1118" i="10"/>
  <c r="AX1118" i="10" s="1"/>
  <c r="AM1119" i="10"/>
  <c r="S1119" i="10"/>
  <c r="AC1119" i="10"/>
  <c r="AB1119" i="10"/>
  <c r="AV1118" i="10" s="1"/>
  <c r="AD1119" i="10" l="1"/>
  <c r="T1119" i="10"/>
  <c r="AQ1119" i="10" s="1"/>
  <c r="U1119" i="10"/>
  <c r="W1119" i="10" s="1"/>
  <c r="AP1119" i="10" s="1"/>
  <c r="AH1118" i="10"/>
  <c r="AO1118" i="10"/>
  <c r="AY1118" i="10" s="1"/>
  <c r="AL1118" i="10"/>
  <c r="BA1118" i="10"/>
  <c r="AN1118" i="10" l="1"/>
  <c r="AW1118" i="10" s="1"/>
  <c r="X1119" i="10"/>
  <c r="Z1119" i="10" l="1"/>
  <c r="AR1119" i="10" s="1"/>
  <c r="BD1118" i="10"/>
  <c r="AZ1118" i="10"/>
  <c r="AA1119" i="10" l="1"/>
  <c r="Q1120" i="10"/>
  <c r="AM1120" i="10" l="1"/>
  <c r="AC1120" i="10"/>
  <c r="S1120" i="10"/>
  <c r="AB1120" i="10"/>
  <c r="AV1119" i="10" s="1"/>
  <c r="AJ1119" i="10"/>
  <c r="AI1119" i="10"/>
  <c r="AG1119" i="10"/>
  <c r="AK1119" i="10"/>
  <c r="AX1119" i="10" s="1"/>
  <c r="AH1119" i="10" l="1"/>
  <c r="AO1119" i="10"/>
  <c r="AY1119" i="10" s="1"/>
  <c r="AL1119" i="10"/>
  <c r="AD1120" i="10"/>
  <c r="T1120" i="10"/>
  <c r="AQ1120" i="10" s="1"/>
  <c r="U1120" i="10"/>
  <c r="W1120" i="10" s="1"/>
  <c r="AP1120" i="10" s="1"/>
  <c r="BA1119" i="10"/>
  <c r="X1120" i="10" l="1"/>
  <c r="AN1119" i="10"/>
  <c r="AW1119" i="10" s="1"/>
  <c r="BD1119" i="10" l="1"/>
  <c r="AZ1119" i="10"/>
  <c r="Z1120" i="10"/>
  <c r="AR1120" i="10" s="1"/>
  <c r="AA1120" i="10" l="1"/>
  <c r="Q1121" i="10"/>
  <c r="AM1121" i="10" l="1"/>
  <c r="AB1121" i="10"/>
  <c r="AV1120" i="10" s="1"/>
  <c r="AC1121" i="10"/>
  <c r="S1121" i="10"/>
  <c r="AJ1120" i="10"/>
  <c r="AI1120" i="10"/>
  <c r="AG1120" i="10"/>
  <c r="AK1120" i="10"/>
  <c r="AX1120" i="10" s="1"/>
  <c r="AL1120" i="10" l="1"/>
  <c r="AO1120" i="10"/>
  <c r="AY1120" i="10" s="1"/>
  <c r="AH1120" i="10"/>
  <c r="AN1120" i="10" s="1"/>
  <c r="AW1120" i="10" s="1"/>
  <c r="AD1121" i="10"/>
  <c r="T1121" i="10"/>
  <c r="AQ1121" i="10" s="1"/>
  <c r="U1121" i="10"/>
  <c r="W1121" i="10" s="1"/>
  <c r="AP1121" i="10" s="1"/>
  <c r="BA1120" i="10"/>
  <c r="X1121" i="10" l="1"/>
  <c r="BD1120" i="10"/>
  <c r="AZ1120" i="10"/>
  <c r="Z1121" i="10" l="1"/>
  <c r="AR1121" i="10" s="1"/>
  <c r="Q1122" i="10" l="1"/>
  <c r="AA1121" i="10"/>
  <c r="AJ1121" i="10" l="1"/>
  <c r="AI1121" i="10"/>
  <c r="AG1121" i="10"/>
  <c r="AK1121" i="10"/>
  <c r="AX1121" i="10" s="1"/>
  <c r="AM1122" i="10"/>
  <c r="AB1122" i="10"/>
  <c r="AV1121" i="10" s="1"/>
  <c r="AC1122" i="10"/>
  <c r="S1122" i="10"/>
  <c r="AH1121" i="10" l="1"/>
  <c r="AO1121" i="10"/>
  <c r="AY1121" i="10" s="1"/>
  <c r="AL1121" i="10"/>
  <c r="T1122" i="10"/>
  <c r="AQ1122" i="10" s="1"/>
  <c r="AD1122" i="10"/>
  <c r="U1122" i="10"/>
  <c r="W1122" i="10" s="1"/>
  <c r="AP1122" i="10" s="1"/>
  <c r="BA1121" i="10"/>
  <c r="X1122" i="10" l="1"/>
  <c r="AN1121" i="10"/>
  <c r="AW1121" i="10" s="1"/>
  <c r="BD1121" i="10" l="1"/>
  <c r="AZ1121" i="10"/>
  <c r="Z1122" i="10"/>
  <c r="AR1122" i="10" s="1"/>
  <c r="Q1123" i="10" l="1"/>
  <c r="AA1122" i="10"/>
  <c r="AM1123" i="10" l="1"/>
  <c r="S1123" i="10"/>
  <c r="AC1123" i="10"/>
  <c r="AB1123" i="10"/>
  <c r="AV1122" i="10" s="1"/>
  <c r="AJ1122" i="10"/>
  <c r="AI1122" i="10"/>
  <c r="AG1122" i="10"/>
  <c r="AK1122" i="10"/>
  <c r="AX1122" i="10" s="1"/>
  <c r="AL1122" i="10" l="1"/>
  <c r="AH1122" i="10"/>
  <c r="AN1122" i="10" s="1"/>
  <c r="AW1122" i="10" s="1"/>
  <c r="AO1122" i="10"/>
  <c r="AY1122" i="10" s="1"/>
  <c r="BA1122" i="10"/>
  <c r="AD1123" i="10"/>
  <c r="T1123" i="10"/>
  <c r="AQ1123" i="10" s="1"/>
  <c r="U1123" i="10"/>
  <c r="W1123" i="10" s="1"/>
  <c r="AP1123" i="10" s="1"/>
  <c r="X1123" i="10" l="1"/>
  <c r="BD1122" i="10"/>
  <c r="AZ1122" i="10"/>
  <c r="Z1123" i="10" l="1"/>
  <c r="AR1123" i="10" s="1"/>
  <c r="AA1123" i="10" l="1"/>
  <c r="Q1124" i="10"/>
  <c r="AM1124" i="10" l="1"/>
  <c r="AC1124" i="10"/>
  <c r="S1124" i="10"/>
  <c r="AB1124" i="10"/>
  <c r="AV1123" i="10" s="1"/>
  <c r="AJ1123" i="10"/>
  <c r="AI1123" i="10"/>
  <c r="AG1123" i="10"/>
  <c r="AK1123" i="10"/>
  <c r="AX1123" i="10" s="1"/>
  <c r="AL1123" i="10" l="1"/>
  <c r="AH1123" i="10"/>
  <c r="AO1123" i="10"/>
  <c r="AY1123" i="10" s="1"/>
  <c r="AD1124" i="10"/>
  <c r="T1124" i="10"/>
  <c r="AQ1124" i="10" s="1"/>
  <c r="U1124" i="10"/>
  <c r="W1124" i="10" s="1"/>
  <c r="AP1124" i="10" s="1"/>
  <c r="BA1123" i="10"/>
  <c r="AN1123" i="10" l="1"/>
  <c r="AW1123" i="10" s="1"/>
  <c r="X1124" i="10"/>
  <c r="BD1123" i="10"/>
  <c r="AZ1123" i="10"/>
  <c r="Z1124" i="10" l="1"/>
  <c r="AR1124" i="10" s="1"/>
  <c r="AA1124" i="10" l="1"/>
  <c r="Q1125" i="10"/>
  <c r="AM1125" i="10" l="1"/>
  <c r="AB1125" i="10"/>
  <c r="AV1124" i="10" s="1"/>
  <c r="AC1125" i="10"/>
  <c r="S1125" i="10"/>
  <c r="AI1124" i="10"/>
  <c r="AJ1124" i="10"/>
  <c r="AG1124" i="10"/>
  <c r="AK1124" i="10"/>
  <c r="AX1124" i="10" s="1"/>
  <c r="AL1124" i="10" l="1"/>
  <c r="AO1124" i="10"/>
  <c r="AY1124" i="10" s="1"/>
  <c r="AH1124" i="10"/>
  <c r="AD1125" i="10"/>
  <c r="T1125" i="10"/>
  <c r="AQ1125" i="10" s="1"/>
  <c r="U1125" i="10"/>
  <c r="W1125" i="10" s="1"/>
  <c r="AP1125" i="10" s="1"/>
  <c r="BA1124" i="10"/>
  <c r="AN1124" i="10" l="1"/>
  <c r="AW1124" i="10" s="1"/>
  <c r="X1125" i="10"/>
  <c r="BD1124" i="10"/>
  <c r="AZ1124" i="10"/>
  <c r="Z1125" i="10" l="1"/>
  <c r="AR1125" i="10" s="1"/>
  <c r="Q1126" i="10" l="1"/>
  <c r="AA1125" i="10"/>
  <c r="AJ1125" i="10" l="1"/>
  <c r="AI1125" i="10"/>
  <c r="AG1125" i="10"/>
  <c r="AK1125" i="10"/>
  <c r="AX1125" i="10" s="1"/>
  <c r="AM1126" i="10"/>
  <c r="S1126" i="10"/>
  <c r="AC1126" i="10"/>
  <c r="AB1126" i="10"/>
  <c r="AV1125" i="10" s="1"/>
  <c r="BA1125" i="10" l="1"/>
  <c r="T1126" i="10"/>
  <c r="AQ1126" i="10" s="1"/>
  <c r="AD1126" i="10"/>
  <c r="U1126" i="10"/>
  <c r="W1126" i="10" s="1"/>
  <c r="AP1126" i="10" s="1"/>
  <c r="AO1125" i="10"/>
  <c r="AY1125" i="10" s="1"/>
  <c r="AH1125" i="10"/>
  <c r="AL1125" i="10"/>
  <c r="AN1125" i="10" l="1"/>
  <c r="AW1125" i="10" s="1"/>
  <c r="X1126" i="10"/>
  <c r="Z1126" i="10" l="1"/>
  <c r="AR1126" i="10" s="1"/>
  <c r="BD1125" i="10"/>
  <c r="AZ1125" i="10"/>
  <c r="Q1127" i="10" l="1"/>
  <c r="AA1126" i="10"/>
  <c r="AJ1126" i="10" l="1"/>
  <c r="AI1126" i="10"/>
  <c r="AG1126" i="10"/>
  <c r="AK1126" i="10"/>
  <c r="AX1126" i="10" s="1"/>
  <c r="AM1127" i="10"/>
  <c r="AC1127" i="10"/>
  <c r="BA1126" i="10" s="1"/>
  <c r="AB1127" i="10"/>
  <c r="AV1126" i="10" s="1"/>
  <c r="S1127" i="10"/>
  <c r="AH1126" i="10" l="1"/>
  <c r="AO1126" i="10"/>
  <c r="AY1126" i="10" s="1"/>
  <c r="AL1126" i="10"/>
  <c r="AD1127" i="10"/>
  <c r="T1127" i="10"/>
  <c r="AQ1127" i="10" s="1"/>
  <c r="U1127" i="10"/>
  <c r="W1127" i="10" s="1"/>
  <c r="AP1127" i="10" s="1"/>
  <c r="X1127" i="10" l="1"/>
  <c r="AN1126" i="10"/>
  <c r="AW1126" i="10" s="1"/>
  <c r="BD1126" i="10" l="1"/>
  <c r="AZ1126" i="10"/>
  <c r="Z1127" i="10"/>
  <c r="AR1127" i="10" s="1"/>
  <c r="AA1127" i="10" l="1"/>
  <c r="Q1128" i="10"/>
  <c r="AM1128" i="10" l="1"/>
  <c r="AC1128" i="10"/>
  <c r="AB1128" i="10"/>
  <c r="AV1127" i="10" s="1"/>
  <c r="S1128" i="10"/>
  <c r="AJ1127" i="10"/>
  <c r="AI1127" i="10"/>
  <c r="AG1127" i="10"/>
  <c r="AK1127" i="10"/>
  <c r="AX1127" i="10" s="1"/>
  <c r="AL1127" i="10" l="1"/>
  <c r="AD1128" i="10"/>
  <c r="T1128" i="10"/>
  <c r="AQ1128" i="10" s="1"/>
  <c r="U1128" i="10"/>
  <c r="W1128" i="10" s="1"/>
  <c r="AP1128" i="10" s="1"/>
  <c r="BA1127" i="10"/>
  <c r="AO1127" i="10"/>
  <c r="AY1127" i="10" s="1"/>
  <c r="AH1127" i="10"/>
  <c r="AN1127" i="10" l="1"/>
  <c r="AW1127" i="10" s="1"/>
  <c r="BD1127" i="10" s="1"/>
  <c r="X1128" i="10"/>
  <c r="AZ1127" i="10" l="1"/>
  <c r="Z1128" i="10"/>
  <c r="AR1128" i="10" s="1"/>
  <c r="AA1128" i="10" l="1"/>
  <c r="Q1129" i="10"/>
  <c r="AB1129" i="10" l="1"/>
  <c r="AV1128" i="10" s="1"/>
  <c r="AM1129" i="10"/>
  <c r="AC1129" i="10"/>
  <c r="S1129" i="10"/>
  <c r="AI1128" i="10"/>
  <c r="AJ1128" i="10"/>
  <c r="AG1128" i="10"/>
  <c r="AK1128" i="10"/>
  <c r="AX1128" i="10" s="1"/>
  <c r="AH1128" i="10" l="1"/>
  <c r="AO1128" i="10"/>
  <c r="AY1128" i="10" s="1"/>
  <c r="AL1128" i="10"/>
  <c r="T1129" i="10"/>
  <c r="AQ1129" i="10" s="1"/>
  <c r="AD1129" i="10"/>
  <c r="U1129" i="10"/>
  <c r="W1129" i="10" s="1"/>
  <c r="AP1129" i="10" s="1"/>
  <c r="BA1128" i="10"/>
  <c r="X1129" i="10" l="1"/>
  <c r="AN1128" i="10"/>
  <c r="AW1128" i="10" s="1"/>
  <c r="AZ1128" i="10" l="1"/>
  <c r="BD1128" i="10"/>
  <c r="Z1129" i="10"/>
  <c r="AR1129" i="10" s="1"/>
  <c r="AA1129" i="10" l="1"/>
  <c r="Q1130" i="10"/>
  <c r="AB1130" i="10" l="1"/>
  <c r="AV1129" i="10" s="1"/>
  <c r="AC1130" i="10"/>
  <c r="S1130" i="10"/>
  <c r="AM1130" i="10"/>
  <c r="AJ1129" i="10"/>
  <c r="AI1129" i="10"/>
  <c r="AG1129" i="10"/>
  <c r="AK1129" i="10"/>
  <c r="AX1129" i="10" s="1"/>
  <c r="AL1129" i="10" l="1"/>
  <c r="AH1129" i="10"/>
  <c r="AO1129" i="10"/>
  <c r="AY1129" i="10" s="1"/>
  <c r="AD1130" i="10"/>
  <c r="T1130" i="10"/>
  <c r="AQ1130" i="10" s="1"/>
  <c r="U1130" i="10"/>
  <c r="W1130" i="10" s="1"/>
  <c r="AP1130" i="10" s="1"/>
  <c r="BA1129" i="10"/>
  <c r="AN1129" i="10" l="1"/>
  <c r="AW1129" i="10" s="1"/>
  <c r="AZ1129" i="10" s="1"/>
  <c r="X1130" i="10"/>
  <c r="BD1129" i="10"/>
  <c r="Z1130" i="10" l="1"/>
  <c r="AR1130" i="10" s="1"/>
  <c r="Q1131" i="10" l="1"/>
  <c r="AA1130" i="10"/>
  <c r="AM1131" i="10" l="1"/>
  <c r="AC1131" i="10"/>
  <c r="S1131" i="10"/>
  <c r="AB1131" i="10"/>
  <c r="AV1130" i="10" s="1"/>
  <c r="AJ1130" i="10"/>
  <c r="AI1130" i="10"/>
  <c r="AG1130" i="10"/>
  <c r="AK1130" i="10"/>
  <c r="AX1130" i="10" s="1"/>
  <c r="AL1130" i="10" l="1"/>
  <c r="AO1130" i="10"/>
  <c r="AY1130" i="10" s="1"/>
  <c r="AH1130" i="10"/>
  <c r="AD1131" i="10"/>
  <c r="T1131" i="10"/>
  <c r="AQ1131" i="10" s="1"/>
  <c r="U1131" i="10"/>
  <c r="W1131" i="10" s="1"/>
  <c r="AP1131" i="10" s="1"/>
  <c r="BA1130" i="10"/>
  <c r="AN1130" i="10" l="1"/>
  <c r="AW1130" i="10" s="1"/>
  <c r="X1131" i="10"/>
  <c r="BD1130" i="10"/>
  <c r="AZ1130" i="10"/>
  <c r="Z1131" i="10" l="1"/>
  <c r="AR1131" i="10" s="1"/>
  <c r="AA1131" i="10" l="1"/>
  <c r="Q1132" i="10"/>
  <c r="AC1132" i="10" l="1"/>
  <c r="S1132" i="10"/>
  <c r="AM1132" i="10"/>
  <c r="AB1132" i="10"/>
  <c r="AV1131" i="10" s="1"/>
  <c r="AJ1131" i="10"/>
  <c r="AI1131" i="10"/>
  <c r="AG1131" i="10"/>
  <c r="AK1131" i="10"/>
  <c r="AX1131" i="10" s="1"/>
  <c r="AH1131" i="10" l="1"/>
  <c r="AO1131" i="10"/>
  <c r="AY1131" i="10" s="1"/>
  <c r="AL1131" i="10"/>
  <c r="AD1132" i="10"/>
  <c r="T1132" i="10"/>
  <c r="AQ1132" i="10" s="1"/>
  <c r="U1132" i="10"/>
  <c r="W1132" i="10" s="1"/>
  <c r="AP1132" i="10" s="1"/>
  <c r="BA1131" i="10"/>
  <c r="X1132" i="10" l="1"/>
  <c r="AN1131" i="10"/>
  <c r="AW1131" i="10" s="1"/>
  <c r="Z1132" i="10" l="1"/>
  <c r="AR1132" i="10" s="1"/>
  <c r="BD1131" i="10"/>
  <c r="AZ1131" i="10"/>
  <c r="AA1132" i="10" l="1"/>
  <c r="Q1133" i="10"/>
  <c r="AM1133" i="10" l="1"/>
  <c r="AB1133" i="10"/>
  <c r="AV1132" i="10" s="1"/>
  <c r="AC1133" i="10"/>
  <c r="S1133" i="10"/>
  <c r="AI1132" i="10"/>
  <c r="AJ1132" i="10"/>
  <c r="AG1132" i="10"/>
  <c r="AK1132" i="10"/>
  <c r="AX1132" i="10" s="1"/>
  <c r="AO1132" i="10" l="1"/>
  <c r="AY1132" i="10" s="1"/>
  <c r="AH1132" i="10"/>
  <c r="AL1132" i="10"/>
  <c r="AD1133" i="10"/>
  <c r="T1133" i="10"/>
  <c r="AQ1133" i="10" s="1"/>
  <c r="U1133" i="10"/>
  <c r="W1133" i="10" s="1"/>
  <c r="AP1133" i="10" s="1"/>
  <c r="BA1132" i="10"/>
  <c r="X1133" i="10" l="1"/>
  <c r="AN1132" i="10"/>
  <c r="AW1132" i="10" s="1"/>
  <c r="AZ1132" i="10" l="1"/>
  <c r="BD1132" i="10"/>
  <c r="Z1133" i="10"/>
  <c r="AR1133" i="10" s="1"/>
  <c r="Q1134" i="10" l="1"/>
  <c r="AA1133" i="10"/>
  <c r="AJ1133" i="10" l="1"/>
  <c r="AI1133" i="10"/>
  <c r="AG1133" i="10"/>
  <c r="AK1133" i="10"/>
  <c r="AX1133" i="10" s="1"/>
  <c r="S1134" i="10"/>
  <c r="AM1134" i="10"/>
  <c r="AC1134" i="10"/>
  <c r="AB1134" i="10"/>
  <c r="AV1133" i="10" s="1"/>
  <c r="AD1134" i="10" l="1"/>
  <c r="T1134" i="10"/>
  <c r="AQ1134" i="10" s="1"/>
  <c r="U1134" i="10"/>
  <c r="W1134" i="10" s="1"/>
  <c r="AP1134" i="10" s="1"/>
  <c r="AH1133" i="10"/>
  <c r="AO1133" i="10"/>
  <c r="AY1133" i="10" s="1"/>
  <c r="AL1133" i="10"/>
  <c r="BA1133" i="10"/>
  <c r="AN1133" i="10" l="1"/>
  <c r="AW1133" i="10" s="1"/>
  <c r="X1134" i="10"/>
  <c r="Z1134" i="10" l="1"/>
  <c r="AR1134" i="10" s="1"/>
  <c r="AZ1133" i="10"/>
  <c r="BD1133" i="10"/>
  <c r="Q1135" i="10" l="1"/>
  <c r="AA1134" i="10"/>
  <c r="AI1134" i="10" l="1"/>
  <c r="AJ1134" i="10"/>
  <c r="AG1134" i="10"/>
  <c r="AK1134" i="10"/>
  <c r="AX1134" i="10" s="1"/>
  <c r="S1135" i="10"/>
  <c r="AC1135" i="10"/>
  <c r="BA1134" i="10" s="1"/>
  <c r="AM1135" i="10"/>
  <c r="AB1135" i="10"/>
  <c r="AV1134" i="10" s="1"/>
  <c r="AD1135" i="10" l="1"/>
  <c r="T1135" i="10"/>
  <c r="AQ1135" i="10" s="1"/>
  <c r="U1135" i="10"/>
  <c r="W1135" i="10" s="1"/>
  <c r="AP1135" i="10" s="1"/>
  <c r="AO1134" i="10"/>
  <c r="AY1134" i="10" s="1"/>
  <c r="AH1134" i="10"/>
  <c r="AL1134" i="10"/>
  <c r="AN1134" i="10" l="1"/>
  <c r="AW1134" i="10" s="1"/>
  <c r="X1135" i="10"/>
  <c r="Z1135" i="10" l="1"/>
  <c r="AR1135" i="10" s="1"/>
  <c r="BD1134" i="10"/>
  <c r="AZ1134" i="10"/>
  <c r="Q1136" i="10" l="1"/>
  <c r="AA1135" i="10"/>
  <c r="AI1135" i="10" l="1"/>
  <c r="AJ1135" i="10"/>
  <c r="AG1135" i="10"/>
  <c r="AK1135" i="10"/>
  <c r="AX1135" i="10" s="1"/>
  <c r="S1136" i="10"/>
  <c r="AM1136" i="10"/>
  <c r="AB1136" i="10"/>
  <c r="AV1135" i="10" s="1"/>
  <c r="AC1136" i="10"/>
  <c r="BA1135" i="10" l="1"/>
  <c r="AD1136" i="10"/>
  <c r="T1136" i="10"/>
  <c r="AQ1136" i="10" s="1"/>
  <c r="U1136" i="10"/>
  <c r="W1136" i="10" s="1"/>
  <c r="AP1136" i="10" s="1"/>
  <c r="AO1135" i="10"/>
  <c r="AY1135" i="10" s="1"/>
  <c r="AH1135" i="10"/>
  <c r="AL1135" i="10"/>
  <c r="AN1135" i="10" l="1"/>
  <c r="AW1135" i="10" s="1"/>
  <c r="X1136" i="10"/>
  <c r="Z1136" i="10" l="1"/>
  <c r="AR1136" i="10" s="1"/>
  <c r="AZ1135" i="10"/>
  <c r="BD1135" i="10"/>
  <c r="Q1137" i="10" l="1"/>
  <c r="AA1136" i="10"/>
  <c r="AI1136" i="10" l="1"/>
  <c r="AJ1136" i="10"/>
  <c r="AG1136" i="10"/>
  <c r="AK1136" i="10"/>
  <c r="AX1136" i="10" s="1"/>
  <c r="S1137" i="10"/>
  <c r="AM1137" i="10"/>
  <c r="AC1137" i="10"/>
  <c r="AB1137" i="10"/>
  <c r="AV1136" i="10" s="1"/>
  <c r="AD1137" i="10" l="1"/>
  <c r="T1137" i="10"/>
  <c r="AQ1137" i="10" s="1"/>
  <c r="U1137" i="10"/>
  <c r="W1137" i="10" s="1"/>
  <c r="AP1137" i="10" s="1"/>
  <c r="AO1136" i="10"/>
  <c r="AY1136" i="10" s="1"/>
  <c r="AH1136" i="10"/>
  <c r="AL1136" i="10"/>
  <c r="BA1136" i="10"/>
  <c r="AN1136" i="10" l="1"/>
  <c r="AW1136" i="10" s="1"/>
  <c r="X1137" i="10"/>
  <c r="Z1137" i="10" l="1"/>
  <c r="AR1137" i="10" s="1"/>
  <c r="BD1136" i="10"/>
  <c r="AZ1136" i="10"/>
  <c r="Q1138" i="10" l="1"/>
  <c r="AA1137" i="10"/>
  <c r="AI1137" i="10" l="1"/>
  <c r="AJ1137" i="10"/>
  <c r="AG1137" i="10"/>
  <c r="AK1137" i="10"/>
  <c r="AX1137" i="10" s="1"/>
  <c r="S1138" i="10"/>
  <c r="AB1138" i="10"/>
  <c r="AV1137" i="10" s="1"/>
  <c r="AM1138" i="10"/>
  <c r="AC1138" i="10"/>
  <c r="BA1137" i="10" l="1"/>
  <c r="T1138" i="10"/>
  <c r="AQ1138" i="10" s="1"/>
  <c r="AD1138" i="10"/>
  <c r="U1138" i="10"/>
  <c r="W1138" i="10" s="1"/>
  <c r="AP1138" i="10" s="1"/>
  <c r="AH1137" i="10"/>
  <c r="AO1137" i="10"/>
  <c r="AY1137" i="10" s="1"/>
  <c r="AL1137" i="10"/>
  <c r="AN1137" i="10" l="1"/>
  <c r="AW1137" i="10" s="1"/>
  <c r="X1138" i="10"/>
  <c r="Z1138" i="10" l="1"/>
  <c r="AR1138" i="10" s="1"/>
  <c r="BD1137" i="10"/>
  <c r="AZ1137" i="10"/>
  <c r="Q1139" i="10" l="1"/>
  <c r="AA1138" i="10"/>
  <c r="AI1138" i="10" l="1"/>
  <c r="AJ1138" i="10"/>
  <c r="AG1138" i="10"/>
  <c r="AK1138" i="10"/>
  <c r="AX1138" i="10" s="1"/>
  <c r="S1139" i="10"/>
  <c r="AC1139" i="10"/>
  <c r="BA1138" i="10" s="1"/>
  <c r="AM1139" i="10"/>
  <c r="AB1139" i="10"/>
  <c r="AV1138" i="10" s="1"/>
  <c r="T1139" i="10" l="1"/>
  <c r="AQ1139" i="10" s="1"/>
  <c r="AD1139" i="10"/>
  <c r="U1139" i="10"/>
  <c r="W1139" i="10" s="1"/>
  <c r="AP1139" i="10" s="1"/>
  <c r="AH1138" i="10"/>
  <c r="AO1138" i="10"/>
  <c r="AY1138" i="10" s="1"/>
  <c r="AL1138" i="10"/>
  <c r="AN1138" i="10" l="1"/>
  <c r="AW1138" i="10" s="1"/>
  <c r="BD1138" i="10" s="1"/>
  <c r="AZ1138" i="10"/>
  <c r="X1139" i="10"/>
  <c r="Z1139" i="10" l="1"/>
  <c r="AR1139" i="10" s="1"/>
  <c r="Q1140" i="10" l="1"/>
  <c r="AA1139" i="10"/>
  <c r="AI1139" i="10" l="1"/>
  <c r="AJ1139" i="10"/>
  <c r="AG1139" i="10"/>
  <c r="AK1139" i="10"/>
  <c r="AX1139" i="10" s="1"/>
  <c r="S1140" i="10"/>
  <c r="AC1140" i="10"/>
  <c r="BA1139" i="10" s="1"/>
  <c r="AB1140" i="10"/>
  <c r="AV1139" i="10" s="1"/>
  <c r="AM1140" i="10"/>
  <c r="T1140" i="10" l="1"/>
  <c r="AQ1140" i="10" s="1"/>
  <c r="AD1140" i="10"/>
  <c r="U1140" i="10"/>
  <c r="W1140" i="10" s="1"/>
  <c r="AP1140" i="10" s="1"/>
  <c r="AH1139" i="10"/>
  <c r="AO1139" i="10"/>
  <c r="AY1139" i="10" s="1"/>
  <c r="AL1139" i="10"/>
  <c r="AN1139" i="10" l="1"/>
  <c r="AW1139" i="10" s="1"/>
  <c r="X1140" i="10"/>
  <c r="Z1140" i="10" l="1"/>
  <c r="AR1140" i="10" s="1"/>
  <c r="BD1139" i="10"/>
  <c r="AZ1139" i="10"/>
  <c r="Q1141" i="10" l="1"/>
  <c r="AA1140" i="10"/>
  <c r="AI1140" i="10" l="1"/>
  <c r="AJ1140" i="10"/>
  <c r="AG1140" i="10"/>
  <c r="AK1140" i="10"/>
  <c r="AX1140" i="10" s="1"/>
  <c r="S1141" i="10"/>
  <c r="AB1141" i="10"/>
  <c r="AV1140" i="10" s="1"/>
  <c r="AM1141" i="10"/>
  <c r="AC1141" i="10"/>
  <c r="BA1140" i="10" l="1"/>
  <c r="T1141" i="10"/>
  <c r="AQ1141" i="10" s="1"/>
  <c r="AD1141" i="10"/>
  <c r="U1141" i="10"/>
  <c r="W1141" i="10" s="1"/>
  <c r="AP1141" i="10" s="1"/>
  <c r="AH1140" i="10"/>
  <c r="AO1140" i="10"/>
  <c r="AY1140" i="10" s="1"/>
  <c r="AL1140" i="10"/>
  <c r="AN1140" i="10" l="1"/>
  <c r="AW1140" i="10" s="1"/>
  <c r="X1141" i="10"/>
  <c r="Z1141" i="10" l="1"/>
  <c r="AR1141" i="10" s="1"/>
  <c r="BD1140" i="10"/>
  <c r="AZ1140" i="10"/>
  <c r="Q1142" i="10" l="1"/>
  <c r="AA1141" i="10"/>
  <c r="AI1141" i="10" l="1"/>
  <c r="AJ1141" i="10"/>
  <c r="AG1141" i="10"/>
  <c r="AK1141" i="10"/>
  <c r="AX1141" i="10" s="1"/>
  <c r="S1142" i="10"/>
  <c r="AC1142" i="10"/>
  <c r="BA1141" i="10" s="1"/>
  <c r="AB1142" i="10"/>
  <c r="AV1141" i="10" s="1"/>
  <c r="AM1142" i="10"/>
  <c r="T1142" i="10" l="1"/>
  <c r="AQ1142" i="10" s="1"/>
  <c r="AD1142" i="10"/>
  <c r="U1142" i="10"/>
  <c r="W1142" i="10" s="1"/>
  <c r="AP1142" i="10" s="1"/>
  <c r="AH1141" i="10"/>
  <c r="AO1141" i="10"/>
  <c r="AY1141" i="10" s="1"/>
  <c r="AL1141" i="10"/>
  <c r="AN1141" i="10" l="1"/>
  <c r="AW1141" i="10" s="1"/>
  <c r="BD1141" i="10" s="1"/>
  <c r="X1142" i="10"/>
  <c r="AZ1141" i="10" l="1"/>
  <c r="Z1142" i="10"/>
  <c r="AR1142" i="10" s="1"/>
  <c r="Q1143" i="10" l="1"/>
  <c r="AA1142" i="10"/>
  <c r="AI1142" i="10" l="1"/>
  <c r="AJ1142" i="10"/>
  <c r="AG1142" i="10"/>
  <c r="AK1142" i="10"/>
  <c r="AX1142" i="10" s="1"/>
  <c r="S1143" i="10"/>
  <c r="AM1143" i="10"/>
  <c r="AB1143" i="10"/>
  <c r="AV1142" i="10" s="1"/>
  <c r="AC1143" i="10"/>
  <c r="AD1143" i="10" l="1"/>
  <c r="T1143" i="10"/>
  <c r="AQ1143" i="10" s="1"/>
  <c r="U1143" i="10"/>
  <c r="W1143" i="10" s="1"/>
  <c r="AP1143" i="10" s="1"/>
  <c r="AH1142" i="10"/>
  <c r="AO1142" i="10"/>
  <c r="AY1142" i="10" s="1"/>
  <c r="AL1142" i="10"/>
  <c r="BA1142" i="10"/>
  <c r="AN1142" i="10" l="1"/>
  <c r="AW1142" i="10" s="1"/>
  <c r="X1143" i="10"/>
  <c r="Z1143" i="10" l="1"/>
  <c r="AR1143" i="10" s="1"/>
  <c r="BD1142" i="10"/>
  <c r="AZ1142" i="10"/>
  <c r="Q1144" i="10" l="1"/>
  <c r="AA1143" i="10"/>
  <c r="AI1143" i="10" l="1"/>
  <c r="AJ1143" i="10"/>
  <c r="AG1143" i="10"/>
  <c r="AK1143" i="10"/>
  <c r="AX1143" i="10" s="1"/>
  <c r="S1144" i="10"/>
  <c r="AB1144" i="10"/>
  <c r="AV1143" i="10" s="1"/>
  <c r="AC1144" i="10"/>
  <c r="AM1144" i="10"/>
  <c r="C13" i="11" s="1"/>
  <c r="BA1143" i="10" l="1"/>
  <c r="AD1144" i="10"/>
  <c r="T1144" i="10"/>
  <c r="AQ1144" i="10" s="1"/>
  <c r="U1144" i="10"/>
  <c r="W1144" i="10" s="1"/>
  <c r="AP1144" i="10" s="1"/>
  <c r="AH1143" i="10"/>
  <c r="AO1143" i="10"/>
  <c r="AY1143" i="10" s="1"/>
  <c r="AL1143" i="10"/>
  <c r="AN1143" i="10" l="1"/>
  <c r="AW1143" i="10" s="1"/>
  <c r="X1144" i="10"/>
  <c r="Z1144" i="10" l="1"/>
  <c r="AR1144" i="10" s="1"/>
  <c r="BD1143" i="10"/>
  <c r="AZ1143" i="10"/>
  <c r="Q1145" i="10" l="1"/>
  <c r="C17" i="11"/>
  <c r="AA1144" i="10"/>
  <c r="AI1144" i="10" l="1"/>
  <c r="AJ1144" i="10"/>
  <c r="AG1144" i="10"/>
  <c r="AK1144" i="10"/>
  <c r="AX1144" i="10" s="1"/>
  <c r="S1145" i="10"/>
  <c r="AC1145" i="10"/>
  <c r="AM1145" i="10"/>
  <c r="AB1145" i="10"/>
  <c r="BA1144" i="10" l="1"/>
  <c r="C4" i="12" s="1"/>
  <c r="AD1145" i="10"/>
  <c r="T1145" i="10"/>
  <c r="AQ1145" i="10" s="1"/>
  <c r="U1145" i="10"/>
  <c r="W1145" i="10" s="1"/>
  <c r="AP1145" i="10" s="1"/>
  <c r="AH1144" i="10"/>
  <c r="AO1144" i="10"/>
  <c r="AY1144" i="10" s="1"/>
  <c r="AL1144" i="10"/>
  <c r="C12" i="11" s="1"/>
  <c r="AV1145" i="10"/>
  <c r="AV1144" i="10"/>
  <c r="C18" i="11" s="1"/>
  <c r="AN1144" i="10" l="1"/>
  <c r="AW1144" i="10" s="1"/>
  <c r="C11" i="11"/>
  <c r="C14" i="11" s="1"/>
  <c r="C20" i="11" s="1"/>
  <c r="C6" i="12" s="1"/>
  <c r="X1145" i="10"/>
  <c r="Z1145" i="10" l="1"/>
  <c r="AR1145" i="10" s="1"/>
  <c r="BD1144" i="10"/>
  <c r="AZ1144" i="10"/>
  <c r="C5" i="12" s="1"/>
  <c r="C11" i="12" s="1"/>
  <c r="AA1145" i="10" l="1"/>
  <c r="AI1145" i="10" l="1"/>
  <c r="AJ1145" i="10"/>
  <c r="AG1145" i="10"/>
  <c r="AK1145" i="10"/>
  <c r="AX1145" i="10" s="1"/>
  <c r="AL1145" i="10" l="1"/>
  <c r="AH1145" i="10"/>
  <c r="AO1145" i="10"/>
  <c r="AY1145" i="10" s="1"/>
  <c r="BA1145" i="10"/>
  <c r="AN1145" i="10" l="1"/>
  <c r="AW1145" i="10" s="1"/>
  <c r="AZ1145" i="10" s="1"/>
  <c r="BD1145" i="10" l="1"/>
</calcChain>
</file>

<file path=xl/sharedStrings.xml><?xml version="1.0" encoding="utf-8"?>
<sst xmlns="http://schemas.openxmlformats.org/spreadsheetml/2006/main" count="405" uniqueCount="359">
  <si>
    <t>CashValue_SE — Universal Life / Savings Cash Flow Projection</t>
  </si>
  <si>
    <t>Monthly account-value roll-forward with stochastic investment returns, product-spec tariffs and margin analysis</t>
  </si>
  <si>
    <t>Purpose</t>
  </si>
  <si>
    <t>Projects the account value, decrements, cash flows and margins for the model point and investment scenario selected on the Control sheet. A formula-for-formula replication of the open-source lifelib model 'CashValue_SE' (MIT licence), verified cell-by-cell against it.</t>
  </si>
  <si>
    <t>Products</t>
  </si>
  <si>
    <t>Four sample products via the Product_Specs join: A single-premium 10-year endowment; B single-premium 20-year with surrender charges; C level-premium whole-of-life; D level-premium whole-of-life with surrender charges and 5% premium loading.</t>
  </si>
  <si>
    <t>Account value</t>
  </si>
  <si>
    <t>Per-policy AV at four within-month timings: BEF_PREM (after prior month's investment) → + premium into AV → BEF_FEE → − maintenance fee − cost of insurance → BEF_INV → + month's investment income (MID_MTH holds AV plus half of it, the death/surrender basis).</t>
  </si>
  <si>
    <t>Investment returns</t>
  </si>
  <si>
    <t>Lognormal monthly returns exp((μ−½σ²)Δt + σ√Δt·Z) − 1 with μ = 2%, σ = 3% p.a., Δt = 1/12, over the stored standard-normal draws on the Scenarios sheet (10 scenarios × months; scenario chosen on Control).</t>
  </si>
  <si>
    <t>Margins</t>
  </si>
  <si>
    <t>net cash flow decomposes exactly into expense margin (premium loading + surrender charges + maintenance fees − commissions − expenses) and mortality margin (cost of insurance − death strain) — asserted per month on Checks.</t>
  </si>
  <si>
    <t>Projection grain</t>
  </si>
  <si>
    <t>Monthly steps t = 0 … 1140 (whole-of-life runs to the mortality table's terminal age, 115); row t = 1141 is a helper row so forward references at the final month resolve, and is excluded from every named range. Flows are structurally zero after maturity.</t>
  </si>
  <si>
    <t>Batch run</t>
  </si>
  <si>
    <t>The RunAllModelPoints macro reconciles every model point × scenario combination (40 runs) against lifelib values on Lifelib_Reference.</t>
  </si>
  <si>
    <t>Source model</t>
  </si>
  <si>
    <t>lifelib savings.CashValue_SE v0.13.0 — https://lifelib.io (MIT licence)</t>
  </si>
  <si>
    <t>Verification</t>
  </si>
  <si>
    <t>verification/verify_cashvalue_se.py compares every mapped cell against the Python model for six (point, scenario) profiles including both whole-of-life products; the batch covers all 40 combinations.</t>
  </si>
  <si>
    <t>Sheet index</t>
  </si>
  <si>
    <t>Control</t>
  </si>
  <si>
    <t>Run control — model point and scenario selection, batch settings</t>
  </si>
  <si>
    <t>Assumptions</t>
  </si>
  <si>
    <t>Basis assumptions (expenses, inflation, COI, fees, returns)</t>
  </si>
  <si>
    <t>Model_Points</t>
  </si>
  <si>
    <t>Model point samples (input data)</t>
  </si>
  <si>
    <t>Product_Specs</t>
  </si>
  <si>
    <t>Product specification table (input data)</t>
  </si>
  <si>
    <t>Mortality</t>
  </si>
  <si>
    <t>Mortality table by age and duration (input data)</t>
  </si>
  <si>
    <t>Discount</t>
  </si>
  <si>
    <t>Annual spot discount rates (input data)</t>
  </si>
  <si>
    <t>Surr_Charges</t>
  </si>
  <si>
    <t>Surrender charge table (input data)</t>
  </si>
  <si>
    <t>Scenarios</t>
  </si>
  <si>
    <t>Standard-normal draws by scenario and month (input data)</t>
  </si>
  <si>
    <t>Projection</t>
  </si>
  <si>
    <t>Monthly engine — AV roll-forward, decrements, cash flows, margins</t>
  </si>
  <si>
    <t>Summary</t>
  </si>
  <si>
    <t>Present values and results for the selected run</t>
  </si>
  <si>
    <t>Checks</t>
  </si>
  <si>
    <t>Internal consistency checks (all must be TRUE)</t>
  </si>
  <si>
    <t>Lifelib_Reference</t>
  </si>
  <si>
    <t>lifelib results for all runs (reconciliation target)</t>
  </si>
  <si>
    <t>Batch_Results</t>
  </si>
  <si>
    <t>All-runs batch reconciliation vs lifelib (macro)</t>
  </si>
  <si>
    <t>Version control</t>
  </si>
  <si>
    <t>Version</t>
  </si>
  <si>
    <t>0.2.0</t>
  </si>
  <si>
    <t>Date</t>
  </si>
  <si>
    <t>2026-07-14</t>
  </si>
  <si>
    <t>Prepared by</t>
  </si>
  <si>
    <t>XL Marinade project</t>
  </si>
  <si>
    <t>Review status</t>
  </si>
  <si>
    <t>Verified against lifelib; adversarial actuarial audit remediated (see verification/reports)</t>
  </si>
  <si>
    <t>Conventions</t>
  </si>
  <si>
    <t>Blue — hardcoded input</t>
  </si>
  <si>
    <t>Black — calculated on this sheet</t>
  </si>
  <si>
    <t>Green — link from another sheet</t>
  </si>
  <si>
    <t>Run selection</t>
  </si>
  <si>
    <t>Item</t>
  </si>
  <si>
    <t>Value</t>
  </si>
  <si>
    <t>Notes / lifelib cell</t>
  </si>
  <si>
    <t>Selected model point ID</t>
  </si>
  <si>
    <t>point_id — choose 1 to 4</t>
  </si>
  <si>
    <t>Selected investment scenario</t>
  </si>
  <si>
    <t>scen_id — choose 1 to 10</t>
  </si>
  <si>
    <t>Selected model point (Model_Points ⋈ Product_Specs)</t>
  </si>
  <si>
    <t>Product spec</t>
  </si>
  <si>
    <t>spec_id — join key into Product_Specs</t>
  </si>
  <si>
    <t>Age at entry</t>
  </si>
  <si>
    <t>age_at_entry()</t>
  </si>
  <si>
    <t>Sex</t>
  </si>
  <si>
    <t>sex()</t>
  </si>
  <si>
    <t>Policy term input (years)</t>
  </si>
  <si>
    <t>model point policy_term; ignored when the product is whole-of-life (is_wl flag on Product_Specs — the sample data uses 9999 as a placeholder here)</t>
  </si>
  <si>
    <t>Policies in model point</t>
  </si>
  <si>
    <t>policy_count</t>
  </si>
  <si>
    <t>Sum assured</t>
  </si>
  <si>
    <t>sum_assured()</t>
  </si>
  <si>
    <t>Months in force at valuation date</t>
  </si>
  <si>
    <t>duration_mth(0)</t>
  </si>
  <si>
    <t>Premium per policy</t>
  </si>
  <si>
    <t>model point premium_pp (single or monthly level)</t>
  </si>
  <si>
    <t>Initial account value per policy</t>
  </si>
  <si>
    <t>av_pp_init()</t>
  </si>
  <si>
    <t>Product spec (from Product_Specs)</t>
  </si>
  <si>
    <t>Premium type</t>
  </si>
  <si>
    <t>premium_type() — SINGLE or LEVEL</t>
  </si>
  <si>
    <t>Has surrender charge</t>
  </si>
  <si>
    <t>has_surr_charge()</t>
  </si>
  <si>
    <t>Surrender charge table</t>
  </si>
  <si>
    <t>surr_charge_id()</t>
  </si>
  <si>
    <t>Premium loading rate</t>
  </si>
  <si>
    <t>load_prem_rate() — share of premium NOT credited to AV</t>
  </si>
  <si>
    <t>Whole of life</t>
  </si>
  <si>
    <t>is_wl()</t>
  </si>
  <si>
    <t>Derived</t>
  </si>
  <si>
    <t>Mortality table terminal age</t>
  </si>
  <si>
    <t>mort_table_last_age() — first age with q = 1 in every duration band</t>
  </si>
  <si>
    <t>Policy term (years)</t>
  </si>
  <si>
    <t>policy_term() — whole-of-life runs to the terminal age</t>
  </si>
  <si>
    <t>Policies in force at t = 0</t>
  </si>
  <si>
    <t>pols_if_init()</t>
  </si>
  <si>
    <t>Projection length (months)</t>
  </si>
  <si>
    <t>proj_len()</t>
  </si>
  <si>
    <t>Batch run (RunAllModelPoints macro)</t>
  </si>
  <si>
    <t>Notes</t>
  </si>
  <si>
    <t>Runs to execute (blank = all 40)</t>
  </si>
  <si>
    <t>Model point × scenario combinations</t>
  </si>
  <si>
    <t>Reconciliation tolerance (relative)</t>
  </si>
  <si>
    <t>A run reconciles when |workbook − lifelib| ≤ tol × max(1, |lifelib|)</t>
  </si>
  <si>
    <t>Basis assumptions</t>
  </si>
  <si>
    <t>Acquisition expense per policy</t>
  </si>
  <si>
    <t>expense_acq() — incurred at issue</t>
  </si>
  <si>
    <t>Maintenance expense p.a. per policy</t>
  </si>
  <si>
    <t>expense_maint() — incurred monthly as 1/12</t>
  </si>
  <si>
    <t>Expense inflation p.a.</t>
  </si>
  <si>
    <t>inflation_rate()</t>
  </si>
  <si>
    <t>Commission rate on premium</t>
  </si>
  <si>
    <t>commissions(t) = 5% × premiums(t)</t>
  </si>
  <si>
    <t>Cost-of-insurance multiple</t>
  </si>
  <si>
    <t>coi_rate(t) = 1.1 × monthly mortality rate</t>
  </si>
  <si>
    <t>Maintenance fee p.a. of account value</t>
  </si>
  <si>
    <t>maint_fee_rate() = 1% / 12 monthly</t>
  </si>
  <si>
    <t>Lapse basis (annual rate by policy year)</t>
  </si>
  <si>
    <t>Lapse rate, year 1</t>
  </si>
  <si>
    <t>lapse_rate(t) = MAX(base − step × duration, floor)</t>
  </si>
  <si>
    <t>Reduction per policy year</t>
  </si>
  <si>
    <t>Minimum lapse rate</t>
  </si>
  <si>
    <t>Investment return model (lognormal)</t>
  </si>
  <si>
    <t>Expected return μ p.a.</t>
  </si>
  <si>
    <t>inv_return_table(): exp((μ−½σ²)Δt + σ√Δt·Z) − 1</t>
  </si>
  <si>
    <t>Volatility σ p.a.</t>
  </si>
  <si>
    <t>Δt = 1/12; Z from the Scenarios sheet</t>
  </si>
  <si>
    <t>point_id</t>
  </si>
  <si>
    <t>spec_id</t>
  </si>
  <si>
    <t>age_at_entry</t>
  </si>
  <si>
    <t>sex</t>
  </si>
  <si>
    <t>policy_term</t>
  </si>
  <si>
    <t>sum_assured</t>
  </si>
  <si>
    <t>duration_mth</t>
  </si>
  <si>
    <t>premium_pp</t>
  </si>
  <si>
    <t>av_pp_init</t>
  </si>
  <si>
    <t>A</t>
  </si>
  <si>
    <t>M</t>
  </si>
  <si>
    <t>B</t>
  </si>
  <si>
    <t>C</t>
  </si>
  <si>
    <t>D</t>
  </si>
  <si>
    <t>premium_type</t>
  </si>
  <si>
    <t>has_surr_charge</t>
  </si>
  <si>
    <t>surr_charge_id</t>
  </si>
  <si>
    <t>load_prem_rate</t>
  </si>
  <si>
    <t>is_wl</t>
  </si>
  <si>
    <t>SINGLE</t>
  </si>
  <si>
    <t>type_1</t>
  </si>
  <si>
    <t>LEVEL</t>
  </si>
  <si>
    <t>type_3</t>
  </si>
  <si>
    <t>Attained age</t>
  </si>
  <si>
    <t>Duration 0</t>
  </si>
  <si>
    <t>Duration 1</t>
  </si>
  <si>
    <t>Duration 2</t>
  </si>
  <si>
    <t>Duration 3</t>
  </si>
  <si>
    <t>Duration 4</t>
  </si>
  <si>
    <t>Duration 5</t>
  </si>
  <si>
    <t>All q = 1?</t>
  </si>
  <si>
    <t>Terminal age</t>
  </si>
  <si>
    <t>mort_table_last_age()</t>
  </si>
  <si>
    <t>Year</t>
  </si>
  <si>
    <t>Annual spot rate</t>
  </si>
  <si>
    <t>Policy year</t>
  </si>
  <si>
    <t>type_2</t>
  </si>
  <si>
    <t>Standard normal draws Z by scenario and month — lifelib std_norm_rand. Monthly return = exp((μ−½σ²)/12 + σ√(1/12)·Z) − 1 (computed in the Projection engine).</t>
  </si>
  <si>
    <t>scen_id \ t</t>
  </si>
  <si>
    <t>Monthly projection — AV per policy rolls BEF_PREM → +premium → BEF_FEE → −fees/COI → BEF_INV → +investment → next month; counts as in BasicTerm_SE; margin and AV roll-forward identities checked per row</t>
  </si>
  <si>
    <t>Month</t>
  </si>
  <si>
    <t>Months in force</t>
  </si>
  <si>
    <t>Duration (yrs)</t>
  </si>
  <si>
    <t>Age</t>
  </si>
  <si>
    <t>Premium pp</t>
  </si>
  <si>
    <t>Mort rate p.a.</t>
  </si>
  <si>
    <t>Mort rate p.m.</t>
  </si>
  <si>
    <t>Lapse rate p.a.</t>
  </si>
  <si>
    <t>Surr charge rate</t>
  </si>
  <si>
    <t>In force (BEF_MAT)</t>
  </si>
  <si>
    <t>Maturities</t>
  </si>
  <si>
    <t>In force (BEF_NB)</t>
  </si>
  <si>
    <t>New business</t>
  </si>
  <si>
    <t>In force (BEF_DECR)</t>
  </si>
  <si>
    <t>Deaths</t>
  </si>
  <si>
    <t>Lapses</t>
  </si>
  <si>
    <t>AV pp BEF_PREM</t>
  </si>
  <si>
    <t>Premium to AV pp</t>
  </si>
  <si>
    <t>AV pp BEF_FEE</t>
  </si>
  <si>
    <t>Maint fee pp</t>
  </si>
  <si>
    <t>Net amount at risk</t>
  </si>
  <si>
    <t>COI rate</t>
  </si>
  <si>
    <t>COI pp</t>
  </si>
  <si>
    <t>AV pp BEF_INV</t>
  </si>
  <si>
    <t>Inv return p.m.</t>
  </si>
  <si>
    <t>Inv income pp</t>
  </si>
  <si>
    <t>AV pp MID_MTH</t>
  </si>
  <si>
    <t>AV total (BEF_MAT)</t>
  </si>
  <si>
    <t>AV total (BEF_NB)</t>
  </si>
  <si>
    <t>AV total (BEF_FEE)</t>
  </si>
  <si>
    <t>Premium income</t>
  </si>
  <si>
    <t>Premium to AV</t>
  </si>
  <si>
    <t>Death claim pp</t>
  </si>
  <si>
    <t>Death claims</t>
  </si>
  <si>
    <t>AV released: death</t>
  </si>
  <si>
    <t>AV released: lapse</t>
  </si>
  <si>
    <t>Surrender charge</t>
  </si>
  <si>
    <t>Surrender claims</t>
  </si>
  <si>
    <t>AV released: maturity</t>
  </si>
  <si>
    <t>Claims total</t>
  </si>
  <si>
    <t>Death strain over AV</t>
  </si>
  <si>
    <t>COI charge</t>
  </si>
  <si>
    <t>Maintenance fee</t>
  </si>
  <si>
    <t>Investment income</t>
  </si>
  <si>
    <t>Inflation factor</t>
  </si>
  <si>
    <t>Expenses</t>
  </si>
  <si>
    <t>Commission</t>
  </si>
  <si>
    <t>Change in AV</t>
  </si>
  <si>
    <t>Net cash flow</t>
  </si>
  <si>
    <t>Expense margin</t>
  </si>
  <si>
    <t>Mortality margin</t>
  </si>
  <si>
    <t>Margin identity rel diff</t>
  </si>
  <si>
    <t>AV roll-fwd rel diff</t>
  </si>
  <si>
    <t>Disc rate p.m.</t>
  </si>
  <si>
    <t>Discount factor</t>
  </si>
  <si>
    <t>PV net cash flow</t>
  </si>
  <si>
    <t>t</t>
  </si>
  <si>
    <t>duration</t>
  </si>
  <si>
    <t>age</t>
  </si>
  <si>
    <t>mort_rate</t>
  </si>
  <si>
    <t>mort_rate_mth</t>
  </si>
  <si>
    <t>lapse_rate</t>
  </si>
  <si>
    <t>surr_charge_rate</t>
  </si>
  <si>
    <t>pols_if</t>
  </si>
  <si>
    <t>pols_maturity</t>
  </si>
  <si>
    <t>pols_if_bef_nb</t>
  </si>
  <si>
    <t>pols_new_biz</t>
  </si>
  <si>
    <t>pols_if_bef_decr</t>
  </si>
  <si>
    <t>pols_death</t>
  </si>
  <si>
    <t>pols_lapse</t>
  </si>
  <si>
    <t>av_pp_bef_prem</t>
  </si>
  <si>
    <t>prem_to_av_pp</t>
  </si>
  <si>
    <t>av_pp_bef_fee</t>
  </si>
  <si>
    <t>maint_fee_pp</t>
  </si>
  <si>
    <t>net_amt_at_risk</t>
  </si>
  <si>
    <t>coi_rate</t>
  </si>
  <si>
    <t>coi_pp</t>
  </si>
  <si>
    <t>av_pp_bef_inv</t>
  </si>
  <si>
    <t>inv_return_mth</t>
  </si>
  <si>
    <t>inv_income_pp</t>
  </si>
  <si>
    <t>av_pp_mid_mth</t>
  </si>
  <si>
    <t>av_bef_mat</t>
  </si>
  <si>
    <t>av_bef_nb</t>
  </si>
  <si>
    <t>av_bef_fee</t>
  </si>
  <si>
    <t>premiums</t>
  </si>
  <si>
    <t>prem_to_av</t>
  </si>
  <si>
    <t>claim_pp_death</t>
  </si>
  <si>
    <t>claims_death</t>
  </si>
  <si>
    <t>cfav_death</t>
  </si>
  <si>
    <t>cfav_lapse</t>
  </si>
  <si>
    <t>surr_charge</t>
  </si>
  <si>
    <t>claims_lapse</t>
  </si>
  <si>
    <t>cfav_maturity</t>
  </si>
  <si>
    <t>claims_total</t>
  </si>
  <si>
    <t>claims_over_av</t>
  </si>
  <si>
    <t>coi</t>
  </si>
  <si>
    <t>maint_fee</t>
  </si>
  <si>
    <t>inv_income</t>
  </si>
  <si>
    <t>inflation_factor</t>
  </si>
  <si>
    <t>expenses</t>
  </si>
  <si>
    <t>commissions</t>
  </si>
  <si>
    <t>av_change</t>
  </si>
  <si>
    <t>net_cf</t>
  </si>
  <si>
    <t>margin_expense</t>
  </si>
  <si>
    <t>margin_mortality</t>
  </si>
  <si>
    <t>margin_diff</t>
  </si>
  <si>
    <t>av_roll_diff</t>
  </si>
  <si>
    <t>disc_rate_mth</t>
  </si>
  <si>
    <t>disc_factor</t>
  </si>
  <si>
    <t>pv_net_cf_t</t>
  </si>
  <si>
    <t>Run</t>
  </si>
  <si>
    <t>lifelib cell</t>
  </si>
  <si>
    <t>Model point ID</t>
  </si>
  <si>
    <t>point_id (batch sentinel)</t>
  </si>
  <si>
    <t>Investment scenario</t>
  </si>
  <si>
    <t>scen_id (batch sentinel)</t>
  </si>
  <si>
    <t>Product / term / policies</t>
  </si>
  <si>
    <t>Present value of cash flows</t>
  </si>
  <si>
    <t>PV</t>
  </si>
  <si>
    <t>Premiums</t>
  </si>
  <si>
    <t>pv_premiums()</t>
  </si>
  <si>
    <t>Claims — death</t>
  </si>
  <si>
    <t>pv_claims("DEATH")</t>
  </si>
  <si>
    <t>Claims — surrender</t>
  </si>
  <si>
    <t>pv_claims("LAPSE")</t>
  </si>
  <si>
    <t>Claims — maturity</t>
  </si>
  <si>
    <t>pv_claims("MATURITY")</t>
  </si>
  <si>
    <t>Claims — total</t>
  </si>
  <si>
    <t>pv_claims()</t>
  </si>
  <si>
    <t>pv_expenses()</t>
  </si>
  <si>
    <t>pv_commissions()</t>
  </si>
  <si>
    <t>pv_inv_income()</t>
  </si>
  <si>
    <t>Change in account value</t>
  </si>
  <si>
    <t>pv_av_change()</t>
  </si>
  <si>
    <t>Policies in force</t>
  </si>
  <si>
    <t>pv_pols_if()</t>
  </si>
  <si>
    <t>pv_net_cf()</t>
  </si>
  <si>
    <t>Internal consistency checks</t>
  </si>
  <si>
    <t>Check</t>
  </si>
  <si>
    <t>Result</t>
  </si>
  <si>
    <t>Description</t>
  </si>
  <si>
    <t>AV roll-forward (check_av_roll_fwd)</t>
  </si>
  <si>
    <t>Within 1e-9 relative, for every month EXCEPT the two maturity-boundary rows: AV(t+1, BEF_NB) equals AV(t, BEF_NB) + premium into AV − fees − COI + investment income − AV released on death, surrender and maturity. At the maturity boundary the per-month identity does not hold in lifelib itself (the maturity release is booked one row after BEF_NB empties; lifelib's own check_av_roll_fwd returns False there for single-premium endowments), so those two rows are excluded — matching the identity's actual domain of validity.</t>
  </si>
  <si>
    <t>Margin decomposition (check_margin)</t>
  </si>
  <si>
    <t>Every month, within 1e-9 relative: net cash flow equals expense margin + mortality margin.</t>
  </si>
  <si>
    <t>PV identity (check_pv_net_cf)</t>
  </si>
  <si>
    <t>PV of the net cash flow column equals the sum of the component PVs.</t>
  </si>
  <si>
    <t>In-force never negative</t>
  </si>
  <si>
    <t>Policies in force are non-negative at every projection month.</t>
  </si>
  <si>
    <t>Entrants equal leavers</t>
  </si>
  <si>
    <t>Initial in-force plus new business equals deaths + lapses + maturities.</t>
  </si>
  <si>
    <t>No in-force after maturity</t>
  </si>
  <si>
    <t>The in-force count is exactly zero in every month after the maturity month.</t>
  </si>
  <si>
    <t>ALL CHECKS PASS</t>
  </si>
  <si>
    <t>lifelib results for every model point × scenario (savings.CashValue_SE). Generated by verification/generate_reference_cashvalue_se.py.</t>
  </si>
  <si>
    <t>scen_id</t>
  </si>
  <si>
    <t>pv_premiums</t>
  </si>
  <si>
    <t>pv_claims</t>
  </si>
  <si>
    <t>pv_expenses</t>
  </si>
  <si>
    <t>pv_commissions</t>
  </si>
  <si>
    <t>pv_inv_income</t>
  </si>
  <si>
    <t>pv_av_change</t>
  </si>
  <si>
    <t>pv_net_cf</t>
  </si>
  <si>
    <t>All model points × scenarios — batch run and reconciliation vs lifelib</t>
  </si>
  <si>
    <t>Filled by the RunAllModelPoints macro (see Control sheet for settings).</t>
  </si>
  <si>
    <t>Runs executed</t>
  </si>
  <si>
    <t>Reconciled within tolerance</t>
  </si>
  <si>
    <t>Mismatches</t>
  </si>
  <si>
    <t>Max relative diff PV premiums</t>
  </si>
  <si>
    <t>Max relative diff PV (all components)</t>
  </si>
  <si>
    <t>Run time (seconds)</t>
  </si>
  <si>
    <t>RECONCILIATION RESULT</t>
  </si>
  <si>
    <t>pv_net_cf (wb)</t>
  </si>
  <si>
    <t>pv_net_cf (lifelib)</t>
  </si>
  <si>
    <t>rel pv_premiums</t>
  </si>
  <si>
    <t>rel pv_claims</t>
  </si>
  <si>
    <t>rel pv_expenses</t>
  </si>
  <si>
    <t>rel pv_commissions</t>
  </si>
  <si>
    <t>rel pv_inv_income</t>
  </si>
  <si>
    <t>rel pv_av_change</t>
  </si>
  <si>
    <t>rel pv_net_cf</t>
  </si>
  <si>
    <t>reconciles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</si>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</sst>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%"/>
    <numFmt numFmtId="165" formatCode="0.000000"/>
    <numFmt numFmtId="166" formatCode="0.0000000"/>
    <numFmt numFmtId="167" formatCode="0.00000000"/>
    <numFmt numFmtId="168" formatCode="0.000000%"/>
    <numFmt numFmtId="169" formatCode="0.000000000"/>
  </numFmts>
  <fonts count="16" x14ac:knownFonts="1">
    <font>
      <sz val="11"/>
      <color theme="1"/>
      <name val="Calibri"/>
      <family val="2"/>
      <scheme val="minor"/>
    </font>
    <font>
      <b/>
      <sz val="16"/>
      <color rgb="FF1F3864"/>
      <name val="Calibri"/>
      <family val="2"/>
    </font>
    <font>
      <i/>
      <sz val="11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color rgb="FF0000FF"/>
      <name val="Calibri"/>
      <family val="2"/>
    </font>
    <font>
      <sz val="10"/>
      <color rgb="FF000000"/>
      <name val="Calibri"/>
      <family val="2"/>
    </font>
    <font>
      <sz val="10"/>
      <color rgb="FF006100"/>
      <name val="Calibri"/>
      <family val="2"/>
    </font>
    <font>
      <b/>
      <sz val="10"/>
      <color rgb="FFFFFFFF"/>
      <name val="Calibri"/>
      <family val="2"/>
    </font>
    <font>
      <i/>
      <sz val="9"/>
      <color rgb="FF7F7F7F"/>
      <name val="Calibri"/>
      <family val="2"/>
    </font>
    <font>
      <i/>
      <sz val="8"/>
      <color rgb="FF7F7F7F"/>
      <name val="Calibri"/>
      <family val="2"/>
    </font>
    <font>
      <b/>
      <sz val="10"/>
      <name val="Calibri"/>
      <family val="2"/>
    </font>
    <font>
      <b/>
      <sz val="10"/>
      <color rgb="FF006100"/>
      <name val="Calibri"/>
      <family val="2"/>
    </font>
    <font>
      <sz val="9"/>
      <color rgb="FF7F7F7F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F386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2" borderId="1" xfId="0" applyFont="1" applyFill="1" applyBorder="1" applyAlignment="1">
      <alignment horizontal="center"/>
    </xf>
    <xf numFmtId="1" fontId="6" fillId="0" borderId="1" xfId="0" applyNumberFormat="1" applyFont="1" applyBorder="1"/>
    <xf numFmtId="0" fontId="10" fillId="0" borderId="0" xfId="0" applyFont="1"/>
    <xf numFmtId="0" fontId="8" fillId="0" borderId="1" xfId="0" applyFont="1" applyBorder="1"/>
    <xf numFmtId="1" fontId="8" fillId="0" borderId="1" xfId="0" applyNumberFormat="1" applyFont="1" applyBorder="1"/>
    <xf numFmtId="4" fontId="8" fillId="0" borderId="1" xfId="0" applyNumberFormat="1" applyFont="1" applyBorder="1"/>
    <xf numFmtId="164" fontId="8" fillId="0" borderId="1" xfId="0" applyNumberFormat="1" applyFont="1" applyBorder="1"/>
    <xf numFmtId="1" fontId="7" fillId="0" borderId="1" xfId="0" applyNumberFormat="1" applyFont="1" applyBorder="1"/>
    <xf numFmtId="165" fontId="7" fillId="0" borderId="1" xfId="0" applyNumberFormat="1" applyFont="1" applyBorder="1"/>
    <xf numFmtId="166" fontId="6" fillId="0" borderId="1" xfId="0" applyNumberFormat="1" applyFont="1" applyBorder="1"/>
    <xf numFmtId="4" fontId="6" fillId="0" borderId="1" xfId="0" applyNumberFormat="1" applyFont="1" applyBorder="1"/>
    <xf numFmtId="164" fontId="6" fillId="0" borderId="1" xfId="0" applyNumberFormat="1" applyFont="1" applyBorder="1"/>
    <xf numFmtId="2" fontId="6" fillId="0" borderId="1" xfId="0" applyNumberFormat="1" applyFont="1" applyBorder="1"/>
    <xf numFmtId="164" fontId="6" fillId="0" borderId="0" xfId="0" applyNumberFormat="1" applyFont="1"/>
    <xf numFmtId="165" fontId="6" fillId="0" borderId="0" xfId="0" applyNumberFormat="1" applyFont="1"/>
    <xf numFmtId="0" fontId="11" fillId="0" borderId="0" xfId="0" applyFont="1"/>
    <xf numFmtId="0" fontId="9" fillId="2" borderId="0" xfId="0" applyFont="1" applyFill="1"/>
    <xf numFmtId="1" fontId="7" fillId="0" borderId="0" xfId="0" applyNumberFormat="1" applyFont="1"/>
    <xf numFmtId="1" fontId="8" fillId="0" borderId="0" xfId="0" applyNumberFormat="1" applyFont="1"/>
    <xf numFmtId="4" fontId="8" fillId="0" borderId="0" xfId="0" applyNumberFormat="1" applyFont="1"/>
    <xf numFmtId="165" fontId="8" fillId="0" borderId="0" xfId="0" applyNumberFormat="1" applyFont="1"/>
    <xf numFmtId="167" fontId="7" fillId="0" borderId="0" xfId="0" applyNumberFormat="1" applyFont="1"/>
    <xf numFmtId="164" fontId="8" fillId="0" borderId="0" xfId="0" applyNumberFormat="1" applyFont="1"/>
    <xf numFmtId="165" fontId="7" fillId="0" borderId="0" xfId="0" applyNumberFormat="1" applyFont="1"/>
    <xf numFmtId="4" fontId="7" fillId="0" borderId="0" xfId="0" applyNumberFormat="1" applyFont="1"/>
    <xf numFmtId="167" fontId="8" fillId="0" borderId="0" xfId="0" applyNumberFormat="1" applyFont="1"/>
    <xf numFmtId="168" fontId="8" fillId="0" borderId="0" xfId="0" applyNumberFormat="1" applyFont="1"/>
    <xf numFmtId="169" fontId="7" fillId="0" borderId="0" xfId="0" applyNumberFormat="1" applyFont="1"/>
    <xf numFmtId="165" fontId="8" fillId="0" borderId="1" xfId="0" applyNumberFormat="1" applyFont="1" applyBorder="1"/>
    <xf numFmtId="0" fontId="12" fillId="0" borderId="0" xfId="0" applyFont="1"/>
    <xf numFmtId="4" fontId="13" fillId="0" borderId="1" xfId="0" applyNumberFormat="1" applyFont="1" applyBorder="1"/>
    <xf numFmtId="0" fontId="8" fillId="0" borderId="1" xfId="0" applyFont="1" applyBorder="1" applyAlignment="1">
      <alignment horizontal="center"/>
    </xf>
    <xf numFmtId="0" fontId="14" fillId="0" borderId="0" xfId="0" applyFont="1"/>
    <xf numFmtId="0" fontId="13" fillId="0" borderId="0" xfId="0" applyFont="1" applyAlignment="1">
      <alignment horizontal="center"/>
    </xf>
    <xf numFmtId="4" fontId="6" fillId="0" borderId="0" xfId="0" applyNumberFormat="1" applyFont="1"/>
    <xf numFmtId="0" fontId="0" fillId="0" borderId="1" xfId="0" applyBorder="1"/>
    <xf numFmtId="0" fontId="15" fillId="0" borderId="1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39"/>
  <sheetViews>
    <sheetView showGridLines="0" tabSelected="1" workbookViewId="0"/>
  </sheetViews>
  <sheetFormatPr baseColWidth="10" defaultColWidth="8.83203125" defaultRowHeight="15" x14ac:dyDescent="0.2"/>
  <cols>
    <col min="2" max="2" width="28" customWidth="1"/>
    <col min="3" max="3" width="80" customWidth="1"/>
  </cols>
  <sheetData>
    <row r="2" spans="2:3" ht="21" x14ac:dyDescent="0.25">
      <c r="B2" s="1" t="s">
        <v>0</v>
      </c>
    </row>
    <row r="3" spans="2:3" x14ac:dyDescent="0.2">
      <c r="B3" s="2" t="s">
        <v>1</v>
      </c>
    </row>
    <row r="5" spans="2:3" ht="54" customHeight="1" x14ac:dyDescent="0.2">
      <c r="B5" s="3" t="s">
        <v>2</v>
      </c>
      <c r="C5" s="4" t="s">
        <v>3</v>
      </c>
    </row>
    <row r="6" spans="2:3" ht="54" customHeight="1" x14ac:dyDescent="0.2">
      <c r="B6" s="3" t="s">
        <v>4</v>
      </c>
      <c r="C6" s="4" t="s">
        <v>5</v>
      </c>
    </row>
    <row r="7" spans="2:3" ht="54" customHeight="1" x14ac:dyDescent="0.2">
      <c r="B7" s="3" t="s">
        <v>6</v>
      </c>
      <c r="C7" s="4" t="s">
        <v>7</v>
      </c>
    </row>
    <row r="8" spans="2:3" ht="54" customHeight="1" x14ac:dyDescent="0.2">
      <c r="B8" s="3" t="s">
        <v>8</v>
      </c>
      <c r="C8" s="4" t="s">
        <v>9</v>
      </c>
    </row>
    <row r="9" spans="2:3" ht="54" customHeight="1" x14ac:dyDescent="0.2">
      <c r="B9" s="3" t="s">
        <v>10</v>
      </c>
      <c r="C9" s="4" t="s">
        <v>11</v>
      </c>
    </row>
    <row r="10" spans="2:3" ht="54" customHeight="1" x14ac:dyDescent="0.2">
      <c r="B10" s="3" t="s">
        <v>12</v>
      </c>
      <c r="C10" s="4" t="s">
        <v>13</v>
      </c>
    </row>
    <row r="11" spans="2:3" ht="54" customHeight="1" x14ac:dyDescent="0.2">
      <c r="B11" s="3" t="s">
        <v>14</v>
      </c>
      <c r="C11" s="4" t="s">
        <v>15</v>
      </c>
    </row>
    <row r="12" spans="2:3" ht="54" customHeight="1" x14ac:dyDescent="0.2">
      <c r="B12" s="3" t="s">
        <v>16</v>
      </c>
      <c r="C12" s="4" t="s">
        <v>17</v>
      </c>
    </row>
    <row r="13" spans="2:3" ht="54" customHeight="1" x14ac:dyDescent="0.2">
      <c r="B13" s="3" t="s">
        <v>18</v>
      </c>
      <c r="C13" s="4" t="s">
        <v>19</v>
      </c>
    </row>
    <row r="15" spans="2:3" x14ac:dyDescent="0.2">
      <c r="B15" s="3" t="s">
        <v>20</v>
      </c>
    </row>
    <row r="16" spans="2:3" x14ac:dyDescent="0.2">
      <c r="B16" s="5" t="s">
        <v>21</v>
      </c>
      <c r="C16" s="6" t="s">
        <v>22</v>
      </c>
    </row>
    <row r="17" spans="2:3" x14ac:dyDescent="0.2">
      <c r="B17" s="5" t="s">
        <v>23</v>
      </c>
      <c r="C17" s="6" t="s">
        <v>24</v>
      </c>
    </row>
    <row r="18" spans="2:3" x14ac:dyDescent="0.2">
      <c r="B18" s="5" t="s">
        <v>25</v>
      </c>
      <c r="C18" s="6" t="s">
        <v>26</v>
      </c>
    </row>
    <row r="19" spans="2:3" x14ac:dyDescent="0.2">
      <c r="B19" s="5" t="s">
        <v>27</v>
      </c>
      <c r="C19" s="6" t="s">
        <v>28</v>
      </c>
    </row>
    <row r="20" spans="2:3" x14ac:dyDescent="0.2">
      <c r="B20" s="5" t="s">
        <v>29</v>
      </c>
      <c r="C20" s="6" t="s">
        <v>30</v>
      </c>
    </row>
    <row r="21" spans="2:3" x14ac:dyDescent="0.2">
      <c r="B21" s="5" t="s">
        <v>31</v>
      </c>
      <c r="C21" s="6" t="s">
        <v>32</v>
      </c>
    </row>
    <row r="22" spans="2:3" x14ac:dyDescent="0.2">
      <c r="B22" s="5" t="s">
        <v>33</v>
      </c>
      <c r="C22" s="6" t="s">
        <v>34</v>
      </c>
    </row>
    <row r="23" spans="2:3" x14ac:dyDescent="0.2">
      <c r="B23" s="5" t="s">
        <v>35</v>
      </c>
      <c r="C23" s="6" t="s">
        <v>36</v>
      </c>
    </row>
    <row r="24" spans="2:3" x14ac:dyDescent="0.2">
      <c r="B24" s="5" t="s">
        <v>37</v>
      </c>
      <c r="C24" s="6" t="s">
        <v>38</v>
      </c>
    </row>
    <row r="25" spans="2:3" x14ac:dyDescent="0.2">
      <c r="B25" s="5" t="s">
        <v>39</v>
      </c>
      <c r="C25" s="6" t="s">
        <v>40</v>
      </c>
    </row>
    <row r="26" spans="2:3" x14ac:dyDescent="0.2">
      <c r="B26" s="5" t="s">
        <v>41</v>
      </c>
      <c r="C26" s="6" t="s">
        <v>42</v>
      </c>
    </row>
    <row r="27" spans="2:3" x14ac:dyDescent="0.2">
      <c r="B27" s="5" t="s">
        <v>43</v>
      </c>
      <c r="C27" s="6" t="s">
        <v>44</v>
      </c>
    </row>
    <row r="28" spans="2:3" x14ac:dyDescent="0.2">
      <c r="B28" s="5" t="s">
        <v>45</v>
      </c>
      <c r="C28" s="6" t="s">
        <v>46</v>
      </c>
    </row>
    <row r="30" spans="2:3" x14ac:dyDescent="0.2">
      <c r="B30" s="3" t="s">
        <v>47</v>
      </c>
    </row>
    <row r="31" spans="2:3" x14ac:dyDescent="0.2">
      <c r="B31" s="5" t="s">
        <v>48</v>
      </c>
      <c r="C31" s="6" t="s">
        <v>49</v>
      </c>
    </row>
    <row r="32" spans="2:3" x14ac:dyDescent="0.2">
      <c r="B32" s="5" t="s">
        <v>50</v>
      </c>
      <c r="C32" s="6" t="s">
        <v>51</v>
      </c>
    </row>
    <row r="33" spans="2:3" x14ac:dyDescent="0.2">
      <c r="B33" s="5" t="s">
        <v>52</v>
      </c>
      <c r="C33" s="6" t="s">
        <v>53</v>
      </c>
    </row>
    <row r="34" spans="2:3" x14ac:dyDescent="0.2">
      <c r="B34" s="5" t="s">
        <v>54</v>
      </c>
      <c r="C34" s="6" t="s">
        <v>55</v>
      </c>
    </row>
    <row r="36" spans="2:3" x14ac:dyDescent="0.2">
      <c r="B36" s="3" t="s">
        <v>56</v>
      </c>
    </row>
    <row r="37" spans="2:3" x14ac:dyDescent="0.2">
      <c r="B37" s="7" t="s">
        <v>57</v>
      </c>
    </row>
    <row r="38" spans="2:3" x14ac:dyDescent="0.2">
      <c r="B38" s="8" t="s">
        <v>58</v>
      </c>
    </row>
    <row r="39" spans="2:3" x14ac:dyDescent="0.2">
      <c r="B39" s="9" t="s">
        <v>59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D37"/>
  <sheetViews>
    <sheetView showGridLines="0" workbookViewId="0"/>
  </sheetViews>
  <sheetFormatPr baseColWidth="10" defaultColWidth="8.83203125" defaultRowHeight="15" x14ac:dyDescent="0.2"/>
  <cols>
    <col min="2" max="2" width="38" customWidth="1"/>
    <col min="3" max="3" width="14" customWidth="1"/>
    <col min="4" max="4" width="66" customWidth="1"/>
  </cols>
  <sheetData>
    <row r="2" spans="2:4" x14ac:dyDescent="0.2">
      <c r="B2" s="3" t="s">
        <v>60</v>
      </c>
    </row>
    <row r="3" spans="2:4" x14ac:dyDescent="0.2">
      <c r="B3" s="10" t="s">
        <v>61</v>
      </c>
      <c r="C3" s="10" t="s">
        <v>62</v>
      </c>
      <c r="D3" s="10" t="s">
        <v>63</v>
      </c>
    </row>
    <row r="4" spans="2:4" x14ac:dyDescent="0.2">
      <c r="B4" s="5" t="s">
        <v>64</v>
      </c>
      <c r="C4" s="11">
        <v>1</v>
      </c>
      <c r="D4" s="12" t="s">
        <v>65</v>
      </c>
    </row>
    <row r="5" spans="2:4" x14ac:dyDescent="0.2">
      <c r="B5" s="5" t="s">
        <v>66</v>
      </c>
      <c r="C5" s="11">
        <v>1</v>
      </c>
      <c r="D5" s="12" t="s">
        <v>67</v>
      </c>
    </row>
    <row r="7" spans="2:4" x14ac:dyDescent="0.2">
      <c r="B7" s="3" t="s">
        <v>68</v>
      </c>
    </row>
    <row r="8" spans="2:4" x14ac:dyDescent="0.2">
      <c r="B8" s="10" t="s">
        <v>61</v>
      </c>
      <c r="C8" s="10" t="s">
        <v>62</v>
      </c>
      <c r="D8" s="10" t="s">
        <v>63</v>
      </c>
    </row>
    <row r="9" spans="2:4" x14ac:dyDescent="0.2">
      <c r="B9" s="5" t="s">
        <v>69</v>
      </c>
      <c r="C9" s="13" t="str">
        <f>INDEX(MP_Spec,MATCH(PointID,MP_ID,0))</f>
        <v>A</v>
      </c>
      <c r="D9" s="12" t="s">
        <v>70</v>
      </c>
    </row>
    <row r="10" spans="2:4" x14ac:dyDescent="0.2">
      <c r="B10" s="5" t="s">
        <v>71</v>
      </c>
      <c r="C10" s="14">
        <f>INDEX(MP_Age,MATCH(PointID,MP_ID,0))</f>
        <v>20</v>
      </c>
      <c r="D10" s="12" t="s">
        <v>72</v>
      </c>
    </row>
    <row r="11" spans="2:4" x14ac:dyDescent="0.2">
      <c r="B11" s="5" t="s">
        <v>73</v>
      </c>
      <c r="C11" s="13" t="str">
        <f>INDEX(MP_Sex,MATCH(PointID,MP_ID,0))</f>
        <v>M</v>
      </c>
      <c r="D11" s="12" t="s">
        <v>74</v>
      </c>
    </row>
    <row r="12" spans="2:4" x14ac:dyDescent="0.2">
      <c r="B12" s="5" t="s">
        <v>75</v>
      </c>
      <c r="C12" s="14">
        <f>INDEX(MP_Term,MATCH(PointID,MP_ID,0))</f>
        <v>10</v>
      </c>
      <c r="D12" s="12" t="s">
        <v>76</v>
      </c>
    </row>
    <row r="13" spans="2:4" x14ac:dyDescent="0.2">
      <c r="B13" s="5" t="s">
        <v>77</v>
      </c>
      <c r="C13" s="14">
        <f>INDEX(MP_Count,MATCH(PointID,MP_ID,0))</f>
        <v>100</v>
      </c>
      <c r="D13" s="12" t="s">
        <v>78</v>
      </c>
    </row>
    <row r="14" spans="2:4" x14ac:dyDescent="0.2">
      <c r="B14" s="5" t="s">
        <v>79</v>
      </c>
      <c r="C14" s="15">
        <f>INDEX(MP_SumAssured,MATCH(PointID,MP_ID,0))</f>
        <v>500000</v>
      </c>
      <c r="D14" s="12" t="s">
        <v>80</v>
      </c>
    </row>
    <row r="15" spans="2:4" x14ac:dyDescent="0.2">
      <c r="B15" s="5" t="s">
        <v>81</v>
      </c>
      <c r="C15" s="14">
        <f>INDEX(MP_DurMth,MATCH(PointID,MP_ID,0))</f>
        <v>0</v>
      </c>
      <c r="D15" s="12" t="s">
        <v>82</v>
      </c>
    </row>
    <row r="16" spans="2:4" x14ac:dyDescent="0.2">
      <c r="B16" s="5" t="s">
        <v>83</v>
      </c>
      <c r="C16" s="15">
        <f>INDEX(MP_Premium,MATCH(PointID,MP_ID,0))</f>
        <v>500000</v>
      </c>
      <c r="D16" s="12" t="s">
        <v>84</v>
      </c>
    </row>
    <row r="17" spans="2:4" x14ac:dyDescent="0.2">
      <c r="B17" s="5" t="s">
        <v>85</v>
      </c>
      <c r="C17" s="15">
        <f>INDEX(MP_AvInit,MATCH(PointID,MP_ID,0))</f>
        <v>0</v>
      </c>
      <c r="D17" s="12" t="s">
        <v>86</v>
      </c>
    </row>
    <row r="19" spans="2:4" x14ac:dyDescent="0.2">
      <c r="B19" s="3" t="s">
        <v>87</v>
      </c>
    </row>
    <row r="20" spans="2:4" x14ac:dyDescent="0.2">
      <c r="B20" s="10" t="s">
        <v>61</v>
      </c>
      <c r="C20" s="10" t="s">
        <v>62</v>
      </c>
      <c r="D20" s="10" t="s">
        <v>63</v>
      </c>
    </row>
    <row r="21" spans="2:4" x14ac:dyDescent="0.2">
      <c r="B21" s="5" t="s">
        <v>88</v>
      </c>
      <c r="C21" s="13" t="str">
        <f>INDEX(PS_PremType,MATCH(SpecID,PS_ID,0))</f>
        <v>SINGLE</v>
      </c>
      <c r="D21" s="12" t="s">
        <v>89</v>
      </c>
    </row>
    <row r="22" spans="2:4" x14ac:dyDescent="0.2">
      <c r="B22" s="5" t="s">
        <v>90</v>
      </c>
      <c r="C22" s="13" t="b">
        <f>INDEX(PS_HasSurr,MATCH(SpecID,PS_ID,0))</f>
        <v>0</v>
      </c>
      <c r="D22" s="12" t="s">
        <v>91</v>
      </c>
    </row>
    <row r="23" spans="2:4" x14ac:dyDescent="0.2">
      <c r="B23" s="5" t="s">
        <v>92</v>
      </c>
      <c r="C23" s="13">
        <f>INDEX(PS_SurrID,MATCH(SpecID,PS_ID,0))</f>
        <v>0</v>
      </c>
      <c r="D23" s="12" t="s">
        <v>93</v>
      </c>
    </row>
    <row r="24" spans="2:4" x14ac:dyDescent="0.2">
      <c r="B24" s="5" t="s">
        <v>94</v>
      </c>
      <c r="C24" s="16">
        <f>INDEX(PS_LoadPrem,MATCH(SpecID,PS_ID,0))</f>
        <v>0.1</v>
      </c>
      <c r="D24" s="12" t="s">
        <v>95</v>
      </c>
    </row>
    <row r="25" spans="2:4" x14ac:dyDescent="0.2">
      <c r="B25" s="5" t="s">
        <v>96</v>
      </c>
      <c r="C25" s="13" t="b">
        <f>INDEX(PS_IsWL,MATCH(SpecID,PS_ID,0))</f>
        <v>0</v>
      </c>
      <c r="D25" s="12" t="s">
        <v>97</v>
      </c>
    </row>
    <row r="27" spans="2:4" x14ac:dyDescent="0.2">
      <c r="B27" s="3" t="s">
        <v>98</v>
      </c>
    </row>
    <row r="28" spans="2:4" x14ac:dyDescent="0.2">
      <c r="B28" s="10" t="s">
        <v>61</v>
      </c>
      <c r="C28" s="10" t="s">
        <v>62</v>
      </c>
      <c r="D28" s="10" t="s">
        <v>63</v>
      </c>
    </row>
    <row r="29" spans="2:4" x14ac:dyDescent="0.2">
      <c r="B29" s="5" t="s">
        <v>99</v>
      </c>
      <c r="C29" s="14">
        <f>Mortality!$J$2</f>
        <v>115</v>
      </c>
      <c r="D29" s="12" t="s">
        <v>100</v>
      </c>
    </row>
    <row r="30" spans="2:4" x14ac:dyDescent="0.2">
      <c r="B30" s="5" t="s">
        <v>101</v>
      </c>
      <c r="C30" s="17">
        <f>IF(IsWL,MortLastAge-AgeAtEntry,TermInput)</f>
        <v>10</v>
      </c>
      <c r="D30" s="12" t="s">
        <v>102</v>
      </c>
    </row>
    <row r="31" spans="2:4" x14ac:dyDescent="0.2">
      <c r="B31" s="5" t="s">
        <v>103</v>
      </c>
      <c r="C31" s="18">
        <f>IF(Duration0&gt;0,PolicyCount,0)</f>
        <v>0</v>
      </c>
      <c r="D31" s="12" t="s">
        <v>104</v>
      </c>
    </row>
    <row r="32" spans="2:4" x14ac:dyDescent="0.2">
      <c r="B32" s="5" t="s">
        <v>105</v>
      </c>
      <c r="C32" s="17">
        <f>MAX(12*PolicyTerm-Duration0+1,0)</f>
        <v>121</v>
      </c>
      <c r="D32" s="12" t="s">
        <v>106</v>
      </c>
    </row>
    <row r="34" spans="2:4" x14ac:dyDescent="0.2">
      <c r="B34" s="3" t="s">
        <v>107</v>
      </c>
    </row>
    <row r="35" spans="2:4" x14ac:dyDescent="0.2">
      <c r="B35" s="10" t="s">
        <v>61</v>
      </c>
      <c r="C35" s="10" t="s">
        <v>62</v>
      </c>
      <c r="D35" s="10" t="s">
        <v>108</v>
      </c>
    </row>
    <row r="36" spans="2:4" x14ac:dyDescent="0.2">
      <c r="B36" s="5" t="s">
        <v>109</v>
      </c>
      <c r="C36" s="11"/>
      <c r="D36" s="12" t="s">
        <v>110</v>
      </c>
    </row>
    <row r="37" spans="2:4" x14ac:dyDescent="0.2">
      <c r="B37" s="5" t="s">
        <v>111</v>
      </c>
      <c r="C37" s="19">
        <v>9.9999999999999995E-7</v>
      </c>
      <c r="D37" s="12" t="s">
        <v>112</v>
      </c>
    </row>
  </sheetData>
  <dataValidations count="2">
    <dataValidation type="whole" sqref="C4" xr:uid="{00000000-0002-0000-0100-000000000000}">
      <formula1>1</formula1>
      <formula2>4</formula2>
    </dataValidation>
    <dataValidation type="whole" sqref="C5" xr:uid="{00000000-0002-0000-0100-000001000000}">
      <formula1>1</formula1>
      <formula2>10</formula2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D20"/>
  <sheetViews>
    <sheetView showGridLines="0" workbookViewId="0"/>
  </sheetViews>
  <sheetFormatPr baseColWidth="10" defaultColWidth="8.83203125" defaultRowHeight="15" x14ac:dyDescent="0.2"/>
  <cols>
    <col min="2" max="2" width="36" customWidth="1"/>
    <col min="3" max="3" width="14" customWidth="1"/>
    <col min="4" max="4" width="64" customWidth="1"/>
  </cols>
  <sheetData>
    <row r="2" spans="2:4" x14ac:dyDescent="0.2">
      <c r="B2" s="3" t="s">
        <v>113</v>
      </c>
    </row>
    <row r="3" spans="2:4" x14ac:dyDescent="0.2">
      <c r="B3" s="10" t="s">
        <v>61</v>
      </c>
      <c r="C3" s="10" t="s">
        <v>62</v>
      </c>
      <c r="D3" s="10" t="s">
        <v>63</v>
      </c>
    </row>
    <row r="4" spans="2:4" x14ac:dyDescent="0.2">
      <c r="B4" s="5" t="s">
        <v>114</v>
      </c>
      <c r="C4" s="20">
        <v>5000</v>
      </c>
      <c r="D4" s="12" t="s">
        <v>115</v>
      </c>
    </row>
    <row r="5" spans="2:4" x14ac:dyDescent="0.2">
      <c r="B5" s="5" t="s">
        <v>116</v>
      </c>
      <c r="C5" s="20">
        <v>500</v>
      </c>
      <c r="D5" s="12" t="s">
        <v>117</v>
      </c>
    </row>
    <row r="6" spans="2:4" x14ac:dyDescent="0.2">
      <c r="B6" s="5" t="s">
        <v>118</v>
      </c>
      <c r="C6" s="21">
        <v>0.01</v>
      </c>
      <c r="D6" s="12" t="s">
        <v>119</v>
      </c>
    </row>
    <row r="7" spans="2:4" x14ac:dyDescent="0.2">
      <c r="B7" s="5" t="s">
        <v>120</v>
      </c>
      <c r="C7" s="21">
        <v>0.05</v>
      </c>
      <c r="D7" s="12" t="s">
        <v>121</v>
      </c>
    </row>
    <row r="8" spans="2:4" x14ac:dyDescent="0.2">
      <c r="B8" s="5" t="s">
        <v>122</v>
      </c>
      <c r="C8" s="22">
        <v>1.1000000000000001</v>
      </c>
      <c r="D8" s="12" t="s">
        <v>123</v>
      </c>
    </row>
    <row r="9" spans="2:4" x14ac:dyDescent="0.2">
      <c r="B9" s="5" t="s">
        <v>124</v>
      </c>
      <c r="C9" s="21">
        <v>0.01</v>
      </c>
      <c r="D9" s="12" t="s">
        <v>125</v>
      </c>
    </row>
    <row r="11" spans="2:4" x14ac:dyDescent="0.2">
      <c r="B11" s="3" t="s">
        <v>126</v>
      </c>
    </row>
    <row r="12" spans="2:4" x14ac:dyDescent="0.2">
      <c r="B12" s="10" t="s">
        <v>61</v>
      </c>
      <c r="C12" s="10" t="s">
        <v>62</v>
      </c>
      <c r="D12" s="10" t="s">
        <v>63</v>
      </c>
    </row>
    <row r="13" spans="2:4" x14ac:dyDescent="0.2">
      <c r="B13" s="5" t="s">
        <v>127</v>
      </c>
      <c r="C13" s="21">
        <v>0.1</v>
      </c>
      <c r="D13" s="12" t="s">
        <v>128</v>
      </c>
    </row>
    <row r="14" spans="2:4" x14ac:dyDescent="0.2">
      <c r="B14" s="5" t="s">
        <v>129</v>
      </c>
      <c r="C14" s="21">
        <v>0.02</v>
      </c>
      <c r="D14" s="12"/>
    </row>
    <row r="15" spans="2:4" x14ac:dyDescent="0.2">
      <c r="B15" s="5" t="s">
        <v>130</v>
      </c>
      <c r="C15" s="21">
        <v>0.02</v>
      </c>
      <c r="D15" s="12"/>
    </row>
    <row r="17" spans="2:4" x14ac:dyDescent="0.2">
      <c r="B17" s="3" t="s">
        <v>131</v>
      </c>
    </row>
    <row r="18" spans="2:4" x14ac:dyDescent="0.2">
      <c r="B18" s="10" t="s">
        <v>61</v>
      </c>
      <c r="C18" s="10" t="s">
        <v>62</v>
      </c>
      <c r="D18" s="10" t="s">
        <v>63</v>
      </c>
    </row>
    <row r="19" spans="2:4" x14ac:dyDescent="0.2">
      <c r="B19" s="5" t="s">
        <v>132</v>
      </c>
      <c r="C19" s="21">
        <v>0.02</v>
      </c>
      <c r="D19" s="12" t="s">
        <v>133</v>
      </c>
    </row>
    <row r="20" spans="2:4" x14ac:dyDescent="0.2">
      <c r="B20" s="5" t="s">
        <v>134</v>
      </c>
      <c r="C20" s="21">
        <v>0.03</v>
      </c>
      <c r="D20" s="12" t="s">
        <v>135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5"/>
  <sheetViews>
    <sheetView workbookViewId="0"/>
  </sheetViews>
  <sheetFormatPr baseColWidth="10" defaultColWidth="8.83203125" defaultRowHeight="15" x14ac:dyDescent="0.2"/>
  <cols>
    <col min="1" max="1" width="9" customWidth="1"/>
    <col min="2" max="2" width="8" customWidth="1"/>
    <col min="3" max="3" width="12" customWidth="1"/>
    <col min="4" max="4" width="6" customWidth="1"/>
    <col min="5" max="5" width="11" customWidth="1"/>
    <col min="6" max="9" width="12" customWidth="1"/>
    <col min="10" max="10" width="11" customWidth="1"/>
  </cols>
  <sheetData>
    <row r="1" spans="1:10" x14ac:dyDescent="0.2">
      <c r="A1" s="10" t="s">
        <v>136</v>
      </c>
      <c r="B1" s="10" t="s">
        <v>137</v>
      </c>
      <c r="C1" s="10" t="s">
        <v>138</v>
      </c>
      <c r="D1" s="10" t="s">
        <v>139</v>
      </c>
      <c r="E1" s="10" t="s">
        <v>140</v>
      </c>
      <c r="F1" s="10" t="s">
        <v>78</v>
      </c>
      <c r="G1" s="10" t="s">
        <v>141</v>
      </c>
      <c r="H1" s="10" t="s">
        <v>142</v>
      </c>
      <c r="I1" s="10" t="s">
        <v>143</v>
      </c>
      <c r="J1" s="10" t="s">
        <v>144</v>
      </c>
    </row>
    <row r="2" spans="1:10" x14ac:dyDescent="0.2">
      <c r="A2" s="7">
        <v>1</v>
      </c>
      <c r="B2" s="7" t="s">
        <v>145</v>
      </c>
      <c r="C2" s="7">
        <v>20</v>
      </c>
      <c r="D2" s="7" t="s">
        <v>146</v>
      </c>
      <c r="E2" s="7">
        <v>10</v>
      </c>
      <c r="F2" s="7">
        <v>100</v>
      </c>
      <c r="G2" s="7">
        <v>500000</v>
      </c>
      <c r="H2" s="7">
        <v>0</v>
      </c>
      <c r="I2" s="7">
        <v>500000</v>
      </c>
      <c r="J2" s="7">
        <v>0</v>
      </c>
    </row>
    <row r="3" spans="1:10" x14ac:dyDescent="0.2">
      <c r="A3" s="7">
        <v>2</v>
      </c>
      <c r="B3" s="7" t="s">
        <v>147</v>
      </c>
      <c r="C3" s="7">
        <v>50</v>
      </c>
      <c r="D3" s="7" t="s">
        <v>146</v>
      </c>
      <c r="E3" s="7">
        <v>20</v>
      </c>
      <c r="F3" s="7">
        <v>100</v>
      </c>
      <c r="G3" s="7">
        <v>500000</v>
      </c>
      <c r="H3" s="7">
        <v>0</v>
      </c>
      <c r="I3" s="7">
        <v>500000</v>
      </c>
      <c r="J3" s="7">
        <v>0</v>
      </c>
    </row>
    <row r="4" spans="1:10" x14ac:dyDescent="0.2">
      <c r="A4" s="7">
        <v>3</v>
      </c>
      <c r="B4" s="7" t="s">
        <v>148</v>
      </c>
      <c r="C4" s="7">
        <v>20</v>
      </c>
      <c r="D4" s="7" t="s">
        <v>146</v>
      </c>
      <c r="E4" s="7">
        <v>9999</v>
      </c>
      <c r="F4" s="7">
        <v>100</v>
      </c>
      <c r="G4" s="7">
        <v>500000</v>
      </c>
      <c r="H4" s="7">
        <v>0</v>
      </c>
      <c r="I4" s="7">
        <v>1000</v>
      </c>
      <c r="J4" s="7">
        <v>0</v>
      </c>
    </row>
    <row r="5" spans="1:10" x14ac:dyDescent="0.2">
      <c r="A5" s="7">
        <v>4</v>
      </c>
      <c r="B5" s="7" t="s">
        <v>149</v>
      </c>
      <c r="C5" s="7">
        <v>50</v>
      </c>
      <c r="D5" s="7" t="s">
        <v>146</v>
      </c>
      <c r="E5" s="7">
        <v>9999</v>
      </c>
      <c r="F5" s="7">
        <v>100</v>
      </c>
      <c r="G5" s="7">
        <v>500000</v>
      </c>
      <c r="H5" s="7">
        <v>0</v>
      </c>
      <c r="I5" s="7">
        <v>1000</v>
      </c>
      <c r="J5" s="7">
        <v>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5"/>
  <sheetViews>
    <sheetView workbookViewId="0"/>
  </sheetViews>
  <sheetFormatPr baseColWidth="10" defaultColWidth="8.83203125" defaultRowHeight="15" x14ac:dyDescent="0.2"/>
  <cols>
    <col min="1" max="1" width="8" customWidth="1"/>
    <col min="2" max="2" width="12" customWidth="1"/>
    <col min="3" max="5" width="13" customWidth="1"/>
    <col min="6" max="6" width="8" customWidth="1"/>
  </cols>
  <sheetData>
    <row r="1" spans="1:6" x14ac:dyDescent="0.2">
      <c r="A1" s="10" t="s">
        <v>137</v>
      </c>
      <c r="B1" s="10" t="s">
        <v>150</v>
      </c>
      <c r="C1" s="10" t="s">
        <v>151</v>
      </c>
      <c r="D1" s="10" t="s">
        <v>152</v>
      </c>
      <c r="E1" s="10" t="s">
        <v>153</v>
      </c>
      <c r="F1" s="10" t="s">
        <v>154</v>
      </c>
    </row>
    <row r="2" spans="1:6" x14ac:dyDescent="0.2">
      <c r="A2" s="7" t="s">
        <v>145</v>
      </c>
      <c r="B2" s="7" t="s">
        <v>155</v>
      </c>
      <c r="C2" s="7" t="b">
        <v>0</v>
      </c>
      <c r="D2" s="7"/>
      <c r="E2" s="23">
        <v>0.1</v>
      </c>
      <c r="F2" s="7" t="b">
        <v>0</v>
      </c>
    </row>
    <row r="3" spans="1:6" x14ac:dyDescent="0.2">
      <c r="A3" s="7" t="s">
        <v>147</v>
      </c>
      <c r="B3" s="7" t="s">
        <v>155</v>
      </c>
      <c r="C3" s="7" t="b">
        <v>1</v>
      </c>
      <c r="D3" s="7" t="s">
        <v>156</v>
      </c>
      <c r="E3" s="23">
        <v>0</v>
      </c>
      <c r="F3" s="7" t="b">
        <v>0</v>
      </c>
    </row>
    <row r="4" spans="1:6" x14ac:dyDescent="0.2">
      <c r="A4" s="7" t="s">
        <v>148</v>
      </c>
      <c r="B4" s="7" t="s">
        <v>157</v>
      </c>
      <c r="C4" s="7" t="b">
        <v>0</v>
      </c>
      <c r="D4" s="7"/>
      <c r="E4" s="23">
        <v>0.1</v>
      </c>
      <c r="F4" s="7" t="b">
        <v>1</v>
      </c>
    </row>
    <row r="5" spans="1:6" x14ac:dyDescent="0.2">
      <c r="A5" s="7" t="s">
        <v>149</v>
      </c>
      <c r="B5" s="7" t="s">
        <v>157</v>
      </c>
      <c r="C5" s="7" t="b">
        <v>1</v>
      </c>
      <c r="D5" s="7" t="s">
        <v>158</v>
      </c>
      <c r="E5" s="23">
        <v>0.05</v>
      </c>
      <c r="F5" s="7" t="b">
        <v>1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104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12" customWidth="1"/>
    <col min="2" max="7" width="11" customWidth="1"/>
    <col min="9" max="9" width="10" customWidth="1"/>
    <col min="10" max="10" width="11" customWidth="1"/>
  </cols>
  <sheetData>
    <row r="1" spans="1:10" x14ac:dyDescent="0.2">
      <c r="A1" s="10" t="s">
        <v>159</v>
      </c>
      <c r="B1" s="10" t="s">
        <v>160</v>
      </c>
      <c r="C1" s="10" t="s">
        <v>161</v>
      </c>
      <c r="D1" s="10" t="s">
        <v>162</v>
      </c>
      <c r="E1" s="10" t="s">
        <v>163</v>
      </c>
      <c r="F1" s="10" t="s">
        <v>164</v>
      </c>
      <c r="G1" s="10" t="s">
        <v>165</v>
      </c>
      <c r="I1" s="10" t="s">
        <v>166</v>
      </c>
      <c r="J1" s="10" t="s">
        <v>167</v>
      </c>
    </row>
    <row r="2" spans="1:10" x14ac:dyDescent="0.2">
      <c r="A2" s="7">
        <v>18</v>
      </c>
      <c r="B2" s="24">
        <v>2.310671048780701E-4</v>
      </c>
      <c r="C2" s="24">
        <v>2.5417381536587709E-4</v>
      </c>
      <c r="D2" s="24">
        <v>2.7959119690246481E-4</v>
      </c>
      <c r="E2" s="24">
        <v>3.0755031659271132E-4</v>
      </c>
      <c r="F2" s="24">
        <v>3.3830534825198249E-4</v>
      </c>
      <c r="G2" s="24">
        <v>3.7213588307718082E-4</v>
      </c>
      <c r="I2" s="8" t="str">
        <f t="shared" ref="I2:I33" si="0">IF(COUNTIF(B2:G2,1)=6,A2,"")</f>
        <v/>
      </c>
      <c r="J2" s="8">
        <f>MIN(I2:I104)</f>
        <v>115</v>
      </c>
    </row>
    <row r="3" spans="1:10" x14ac:dyDescent="0.2">
      <c r="A3" s="7">
        <v>19</v>
      </c>
      <c r="B3" s="24">
        <v>2.3532001265836989E-4</v>
      </c>
      <c r="C3" s="24">
        <v>2.5885201392420701E-4</v>
      </c>
      <c r="D3" s="24">
        <v>2.8473721531662772E-4</v>
      </c>
      <c r="E3" s="24">
        <v>3.1321093684829048E-4</v>
      </c>
      <c r="F3" s="24">
        <v>3.4453203053311948E-4</v>
      </c>
      <c r="G3" s="24">
        <v>3.7898523358643148E-4</v>
      </c>
      <c r="I3" s="8" t="str">
        <f t="shared" si="0"/>
        <v/>
      </c>
      <c r="J3" s="25" t="s">
        <v>168</v>
      </c>
    </row>
    <row r="4" spans="1:10" x14ac:dyDescent="0.2">
      <c r="A4" s="7">
        <v>20</v>
      </c>
      <c r="B4" s="24">
        <v>2.3993637567701451E-4</v>
      </c>
      <c r="C4" s="24">
        <v>2.6393001324471587E-4</v>
      </c>
      <c r="D4" s="24">
        <v>2.9032301456918748E-4</v>
      </c>
      <c r="E4" s="24">
        <v>3.1935531602610628E-4</v>
      </c>
      <c r="F4" s="24">
        <v>3.5129084762871698E-4</v>
      </c>
      <c r="G4" s="24">
        <v>3.8641993239158868E-4</v>
      </c>
      <c r="I4" s="8" t="str">
        <f t="shared" si="0"/>
        <v/>
      </c>
    </row>
    <row r="5" spans="1:10" x14ac:dyDescent="0.2">
      <c r="A5" s="7">
        <v>21</v>
      </c>
      <c r="B5" s="24">
        <v>2.4493742315277701E-4</v>
      </c>
      <c r="C5" s="24">
        <v>2.6943116546805472E-4</v>
      </c>
      <c r="D5" s="24">
        <v>2.9637428201486021E-4</v>
      </c>
      <c r="E5" s="24">
        <v>3.260117102163462E-4</v>
      </c>
      <c r="F5" s="24">
        <v>3.5861288123798088E-4</v>
      </c>
      <c r="G5" s="24">
        <v>3.9447416936177901E-4</v>
      </c>
      <c r="I5" s="8" t="str">
        <f t="shared" si="0"/>
        <v/>
      </c>
    </row>
    <row r="6" spans="1:10" x14ac:dyDescent="0.2">
      <c r="A6" s="7">
        <v>22</v>
      </c>
      <c r="B6" s="24">
        <v>2.5034627403345568E-4</v>
      </c>
      <c r="C6" s="24">
        <v>2.7538090143680133E-4</v>
      </c>
      <c r="D6" s="24">
        <v>3.0291899158048141E-4</v>
      </c>
      <c r="E6" s="24">
        <v>3.3321089073852961E-4</v>
      </c>
      <c r="F6" s="24">
        <v>3.6653197981238261E-4</v>
      </c>
      <c r="G6" s="24">
        <v>4.0318517779362078E-4</v>
      </c>
      <c r="I6" s="8" t="str">
        <f t="shared" si="0"/>
        <v/>
      </c>
    </row>
    <row r="7" spans="1:10" x14ac:dyDescent="0.2">
      <c r="A7" s="7">
        <v>23</v>
      </c>
      <c r="B7" s="24">
        <v>2.5618811831551832E-4</v>
      </c>
      <c r="C7" s="24">
        <v>2.818069301470701E-4</v>
      </c>
      <c r="D7" s="24">
        <v>3.0998762316177708E-4</v>
      </c>
      <c r="E7" s="24">
        <v>3.4098638547795489E-4</v>
      </c>
      <c r="F7" s="24">
        <v>3.750850240257504E-4</v>
      </c>
      <c r="G7" s="24">
        <v>4.1259352642832552E-4</v>
      </c>
      <c r="I7" s="8" t="str">
        <f t="shared" si="0"/>
        <v/>
      </c>
    </row>
    <row r="8" spans="1:10" x14ac:dyDescent="0.2">
      <c r="A8" s="7">
        <v>24</v>
      </c>
      <c r="B8" s="24">
        <v>2.6249041571441161E-4</v>
      </c>
      <c r="C8" s="24">
        <v>2.8873945728585278E-4</v>
      </c>
      <c r="D8" s="24">
        <v>3.1761340301443808E-4</v>
      </c>
      <c r="E8" s="24">
        <v>3.4937474331588189E-4</v>
      </c>
      <c r="F8" s="24">
        <v>3.8431221764747008E-4</v>
      </c>
      <c r="G8" s="24">
        <v>4.2274343941221723E-4</v>
      </c>
      <c r="I8" s="8" t="str">
        <f t="shared" si="0"/>
        <v/>
      </c>
    </row>
    <row r="9" spans="1:10" x14ac:dyDescent="0.2">
      <c r="A9" s="7">
        <v>25</v>
      </c>
      <c r="B9" s="24">
        <v>2.6928311397997568E-4</v>
      </c>
      <c r="C9" s="24">
        <v>2.9621142537797319E-4</v>
      </c>
      <c r="D9" s="24">
        <v>3.2583256791577058E-4</v>
      </c>
      <c r="E9" s="24">
        <v>3.5841582470734772E-4</v>
      </c>
      <c r="F9" s="24">
        <v>3.9425740717808239E-4</v>
      </c>
      <c r="G9" s="24">
        <v>4.3368314789589071E-4</v>
      </c>
      <c r="I9" s="8" t="str">
        <f t="shared" si="0"/>
        <v/>
      </c>
    </row>
    <row r="10" spans="1:10" x14ac:dyDescent="0.2">
      <c r="A10" s="7">
        <v>26</v>
      </c>
      <c r="B10" s="24">
        <v>2.7659888937081839E-4</v>
      </c>
      <c r="C10" s="24">
        <v>3.0425877830790018E-4</v>
      </c>
      <c r="D10" s="24">
        <v>3.3468465613869028E-4</v>
      </c>
      <c r="E10" s="24">
        <v>3.6815312175255928E-4</v>
      </c>
      <c r="F10" s="24">
        <v>4.049684339278153E-4</v>
      </c>
      <c r="G10" s="24">
        <v>4.4546527732059691E-4</v>
      </c>
      <c r="I10" s="8" t="str">
        <f t="shared" si="0"/>
        <v/>
      </c>
    </row>
    <row r="11" spans="1:10" x14ac:dyDescent="0.2">
      <c r="A11" s="7">
        <v>27</v>
      </c>
      <c r="B11" s="24">
        <v>2.844734120632121E-4</v>
      </c>
      <c r="C11" s="24">
        <v>3.1292075326953329E-4</v>
      </c>
      <c r="D11" s="24">
        <v>3.4421282859648672E-4</v>
      </c>
      <c r="E11" s="24">
        <v>3.7863411145613543E-4</v>
      </c>
      <c r="F11" s="24">
        <v>4.1649752260174898E-4</v>
      </c>
      <c r="G11" s="24">
        <v>4.5814727486192391E-4</v>
      </c>
      <c r="I11" s="8" t="str">
        <f t="shared" si="0"/>
        <v/>
      </c>
    </row>
    <row r="12" spans="1:10" x14ac:dyDescent="0.2">
      <c r="A12" s="7">
        <v>28</v>
      </c>
      <c r="B12" s="24">
        <v>2.9294563957669068E-4</v>
      </c>
      <c r="C12" s="24">
        <v>3.2224020353435978E-4</v>
      </c>
      <c r="D12" s="24">
        <v>3.5446422388779581E-4</v>
      </c>
      <c r="E12" s="24">
        <v>3.8991064627657543E-4</v>
      </c>
      <c r="F12" s="24">
        <v>4.2890171090423297E-4</v>
      </c>
      <c r="G12" s="24">
        <v>4.717918819946564E-4</v>
      </c>
      <c r="I12" s="8" t="str">
        <f t="shared" si="0"/>
        <v/>
      </c>
    </row>
    <row r="13" spans="1:10" x14ac:dyDescent="0.2">
      <c r="A13" s="7">
        <v>29</v>
      </c>
      <c r="B13" s="24">
        <v>3.0205814165395833E-4</v>
      </c>
      <c r="C13" s="24">
        <v>3.3226395581935413E-4</v>
      </c>
      <c r="D13" s="24">
        <v>3.6549035140128958E-4</v>
      </c>
      <c r="E13" s="24">
        <v>4.0203938654141859E-4</v>
      </c>
      <c r="F13" s="24">
        <v>4.4224332519556052E-4</v>
      </c>
      <c r="G13" s="24">
        <v>4.8646765771511661E-4</v>
      </c>
      <c r="I13" s="8" t="str">
        <f t="shared" si="0"/>
        <v/>
      </c>
    </row>
    <row r="14" spans="1:10" x14ac:dyDescent="0.2">
      <c r="A14" s="7">
        <v>30</v>
      </c>
      <c r="B14" s="24">
        <v>3.1185746044209078E-4</v>
      </c>
      <c r="C14" s="24">
        <v>3.4304320648630002E-4</v>
      </c>
      <c r="D14" s="24">
        <v>3.7734752713492999E-4</v>
      </c>
      <c r="E14" s="24">
        <v>4.1508227984842302E-4</v>
      </c>
      <c r="F14" s="24">
        <v>4.5659050783326528E-4</v>
      </c>
      <c r="G14" s="24">
        <v>5.0224955861659186E-4</v>
      </c>
      <c r="I14" s="8" t="str">
        <f t="shared" si="0"/>
        <v/>
      </c>
    </row>
    <row r="15" spans="1:10" x14ac:dyDescent="0.2">
      <c r="A15" s="7">
        <v>31</v>
      </c>
      <c r="B15" s="24">
        <v>3.2239451029165961E-4</v>
      </c>
      <c r="C15" s="24">
        <v>3.546339613208256E-4</v>
      </c>
      <c r="D15" s="24">
        <v>3.900973574529082E-4</v>
      </c>
      <c r="E15" s="24">
        <v>4.2910709319819907E-4</v>
      </c>
      <c r="F15" s="24">
        <v>4.7201780251801898E-4</v>
      </c>
      <c r="G15" s="24">
        <v>5.1921958276982102E-4</v>
      </c>
      <c r="I15" s="8" t="str">
        <f t="shared" si="0"/>
        <v/>
      </c>
    </row>
    <row r="16" spans="1:10" x14ac:dyDescent="0.2">
      <c r="A16" s="7">
        <v>32</v>
      </c>
      <c r="B16" s="24">
        <v>3.3372502202793362E-4</v>
      </c>
      <c r="C16" s="24">
        <v>3.6709752423072701E-4</v>
      </c>
      <c r="D16" s="24">
        <v>4.038072766537997E-4</v>
      </c>
      <c r="E16" s="24">
        <v>4.4418800431917971E-4</v>
      </c>
      <c r="F16" s="24">
        <v>4.8860680475109773E-4</v>
      </c>
      <c r="G16" s="24">
        <v>5.3746748522620754E-4</v>
      </c>
      <c r="I16" s="8" t="str">
        <f t="shared" si="0"/>
        <v/>
      </c>
    </row>
    <row r="17" spans="1:9" x14ac:dyDescent="0.2">
      <c r="A17" s="7">
        <v>33</v>
      </c>
      <c r="B17" s="24">
        <v>3.4591003716274771E-4</v>
      </c>
      <c r="C17" s="24">
        <v>3.8050104087902238E-4</v>
      </c>
      <c r="D17" s="24">
        <v>4.1855114496692472E-4</v>
      </c>
      <c r="E17" s="24">
        <v>4.6040625946361721E-4</v>
      </c>
      <c r="F17" s="24">
        <v>5.0644688540997897E-4</v>
      </c>
      <c r="G17" s="24">
        <v>5.5709157395097692E-4</v>
      </c>
      <c r="I17" s="8" t="str">
        <f t="shared" si="0"/>
        <v/>
      </c>
    </row>
    <row r="18" spans="1:9" x14ac:dyDescent="0.2">
      <c r="A18" s="7">
        <v>34</v>
      </c>
      <c r="B18" s="24">
        <v>3.5901645821752358E-4</v>
      </c>
      <c r="C18" s="24">
        <v>3.9491810403927602E-4</v>
      </c>
      <c r="D18" s="24">
        <v>4.3440991444320358E-4</v>
      </c>
      <c r="E18" s="24">
        <v>4.7785090588752411E-4</v>
      </c>
      <c r="F18" s="24">
        <v>5.2563599647627648E-4</v>
      </c>
      <c r="G18" s="24">
        <v>5.781995961239042E-4</v>
      </c>
      <c r="I18" s="8" t="str">
        <f t="shared" si="0"/>
        <v/>
      </c>
    </row>
    <row r="19" spans="1:9" x14ac:dyDescent="0.2">
      <c r="A19" s="7">
        <v>35</v>
      </c>
      <c r="B19" s="24">
        <v>3.7311766212959709E-4</v>
      </c>
      <c r="C19" s="24">
        <v>4.1042942834255681E-4</v>
      </c>
      <c r="D19" s="24">
        <v>4.5147237117681261E-4</v>
      </c>
      <c r="E19" s="24">
        <v>4.9661960829449389E-4</v>
      </c>
      <c r="F19" s="24">
        <v>5.4628156912394331E-4</v>
      </c>
      <c r="G19" s="24">
        <v>6.0090972603633766E-4</v>
      </c>
      <c r="I19" s="8" t="str">
        <f t="shared" si="0"/>
        <v/>
      </c>
    </row>
    <row r="20" spans="1:9" x14ac:dyDescent="0.2">
      <c r="A20" s="7">
        <v>36</v>
      </c>
      <c r="B20" s="24">
        <v>3.8829418462979932E-4</v>
      </c>
      <c r="C20" s="24">
        <v>4.2712360309277929E-4</v>
      </c>
      <c r="D20" s="24">
        <v>4.6983596340205718E-4</v>
      </c>
      <c r="E20" s="24">
        <v>5.1681955974226302E-4</v>
      </c>
      <c r="F20" s="24">
        <v>5.6850151571648938E-4</v>
      </c>
      <c r="G20" s="24">
        <v>6.2535166728813838E-4</v>
      </c>
      <c r="I20" s="8" t="str">
        <f t="shared" si="0"/>
        <v/>
      </c>
    </row>
    <row r="21" spans="1:9" x14ac:dyDescent="0.2">
      <c r="A21" s="7">
        <v>37</v>
      </c>
      <c r="B21" s="24">
        <v>4.0463448452577163E-4</v>
      </c>
      <c r="C21" s="24">
        <v>4.450979329783488E-4</v>
      </c>
      <c r="D21" s="24">
        <v>4.896077262761837E-4</v>
      </c>
      <c r="E21" s="24">
        <v>5.3856849890380207E-4</v>
      </c>
      <c r="F21" s="24">
        <v>5.9242534879418228E-4</v>
      </c>
      <c r="G21" s="24">
        <v>6.5166788367360053E-4</v>
      </c>
      <c r="I21" s="8" t="str">
        <f t="shared" si="0"/>
        <v/>
      </c>
    </row>
    <row r="22" spans="1:9" x14ac:dyDescent="0.2">
      <c r="A22" s="7">
        <v>38</v>
      </c>
      <c r="B22" s="24">
        <v>4.2223579802206138E-4</v>
      </c>
      <c r="C22" s="24">
        <v>4.6445937782426761E-4</v>
      </c>
      <c r="D22" s="24">
        <v>5.109053156066944E-4</v>
      </c>
      <c r="E22" s="24">
        <v>5.6199584716736385E-4</v>
      </c>
      <c r="F22" s="24">
        <v>6.181954318841003E-4</v>
      </c>
      <c r="G22" s="24">
        <v>6.8001497507251042E-4</v>
      </c>
      <c r="I22" s="8" t="str">
        <f t="shared" si="0"/>
        <v/>
      </c>
    </row>
    <row r="23" spans="1:9" x14ac:dyDescent="0.2">
      <c r="A23" s="7">
        <v>39</v>
      </c>
      <c r="B23" s="24">
        <v>4.4120509457706652E-4</v>
      </c>
      <c r="C23" s="24">
        <v>4.853256040347732E-4</v>
      </c>
      <c r="D23" s="24">
        <v>5.3385816443825057E-4</v>
      </c>
      <c r="E23" s="24">
        <v>5.8724398088207564E-4</v>
      </c>
      <c r="F23" s="24">
        <v>6.4596837897028323E-4</v>
      </c>
      <c r="G23" s="24">
        <v>7.1056521686731157E-4</v>
      </c>
      <c r="I23" s="8" t="str">
        <f t="shared" si="0"/>
        <v/>
      </c>
    </row>
    <row r="24" spans="1:9" x14ac:dyDescent="0.2">
      <c r="A24" s="7">
        <v>40</v>
      </c>
      <c r="B24" s="24">
        <v>4.6166014736429792E-4</v>
      </c>
      <c r="C24" s="24">
        <v>5.0782616210072776E-4</v>
      </c>
      <c r="D24" s="24">
        <v>5.5860877831080062E-4</v>
      </c>
      <c r="E24" s="24">
        <v>6.1446965614188071E-4</v>
      </c>
      <c r="F24" s="24">
        <v>6.7591662175606887E-4</v>
      </c>
      <c r="G24" s="24">
        <v>7.4350828393167584E-4</v>
      </c>
      <c r="I24" s="8" t="str">
        <f t="shared" si="0"/>
        <v/>
      </c>
    </row>
    <row r="25" spans="1:9" x14ac:dyDescent="0.2">
      <c r="A25" s="7">
        <v>41</v>
      </c>
      <c r="B25" s="24">
        <v>4.8373073320142018E-4</v>
      </c>
      <c r="C25" s="24">
        <v>5.3210380652156234E-4</v>
      </c>
      <c r="D25" s="24">
        <v>5.8531418717371866E-4</v>
      </c>
      <c r="E25" s="24">
        <v>6.4384560589109054E-4</v>
      </c>
      <c r="F25" s="24">
        <v>7.0823016648019965E-4</v>
      </c>
      <c r="G25" s="24">
        <v>7.7905318312821966E-4</v>
      </c>
      <c r="I25" s="8" t="str">
        <f t="shared" si="0"/>
        <v/>
      </c>
    </row>
    <row r="26" spans="1:9" x14ac:dyDescent="0.2">
      <c r="A26" s="7">
        <v>42</v>
      </c>
      <c r="B26" s="24">
        <v>5.0755997887010627E-4</v>
      </c>
      <c r="C26" s="24">
        <v>5.583159767571169E-4</v>
      </c>
      <c r="D26" s="24">
        <v>6.1414757443282867E-4</v>
      </c>
      <c r="E26" s="24">
        <v>6.7556233187611155E-4</v>
      </c>
      <c r="F26" s="24">
        <v>7.4311856506372278E-4</v>
      </c>
      <c r="G26" s="24">
        <v>8.1743042157009509E-4</v>
      </c>
      <c r="I26" s="8" t="str">
        <f t="shared" si="0"/>
        <v/>
      </c>
    </row>
    <row r="27" spans="1:9" x14ac:dyDescent="0.2">
      <c r="A27" s="7">
        <v>43</v>
      </c>
      <c r="B27" s="24">
        <v>5.3330587311359475E-4</v>
      </c>
      <c r="C27" s="24">
        <v>5.8663646042495432E-4</v>
      </c>
      <c r="D27" s="24">
        <v>6.4530010646744978E-4</v>
      </c>
      <c r="E27" s="24">
        <v>7.0983011711419481E-4</v>
      </c>
      <c r="F27" s="24">
        <v>7.8081312882561434E-4</v>
      </c>
      <c r="G27" s="24">
        <v>8.5889444170817581E-4</v>
      </c>
      <c r="I27" s="8" t="str">
        <f t="shared" si="0"/>
        <v/>
      </c>
    </row>
    <row r="28" spans="1:9" x14ac:dyDescent="0.2">
      <c r="A28" s="7">
        <v>44</v>
      </c>
      <c r="B28" s="24">
        <v>5.6114296631440722E-4</v>
      </c>
      <c r="C28" s="24">
        <v>6.17257262945848E-4</v>
      </c>
      <c r="D28" s="24">
        <v>6.7898298924043291E-4</v>
      </c>
      <c r="E28" s="24">
        <v>7.4688128816447624E-4</v>
      </c>
      <c r="F28" s="24">
        <v>8.2156941698092393E-4</v>
      </c>
      <c r="G28" s="24">
        <v>9.0372635867901638E-4</v>
      </c>
      <c r="I28" s="8" t="str">
        <f t="shared" si="0"/>
        <v/>
      </c>
    </row>
    <row r="29" spans="1:9" x14ac:dyDescent="0.2">
      <c r="A29" s="7">
        <v>45</v>
      </c>
      <c r="B29" s="24">
        <v>5.9126428297699089E-4</v>
      </c>
      <c r="C29" s="24">
        <v>6.5039071127469001E-4</v>
      </c>
      <c r="D29" s="24">
        <v>7.1542978240215908E-4</v>
      </c>
      <c r="E29" s="24">
        <v>7.8697276064237508E-4</v>
      </c>
      <c r="F29" s="24">
        <v>8.6567003670661271E-4</v>
      </c>
      <c r="G29" s="24">
        <v>9.522370403772741E-4</v>
      </c>
      <c r="I29" s="8" t="str">
        <f t="shared" si="0"/>
        <v/>
      </c>
    </row>
    <row r="30" spans="1:9" x14ac:dyDescent="0.2">
      <c r="A30" s="7">
        <v>46</v>
      </c>
      <c r="B30" s="24">
        <v>6.2388347573344438E-4</v>
      </c>
      <c r="C30" s="24">
        <v>6.8627182330678886E-4</v>
      </c>
      <c r="D30" s="24">
        <v>7.5489900563746777E-4</v>
      </c>
      <c r="E30" s="24">
        <v>8.3038890620121459E-4</v>
      </c>
      <c r="F30" s="24">
        <v>9.1342779682133609E-4</v>
      </c>
      <c r="G30" s="24">
        <v>1.0047705765034701E-3</v>
      </c>
      <c r="I30" s="8" t="str">
        <f t="shared" si="0"/>
        <v/>
      </c>
    </row>
    <row r="31" spans="1:9" x14ac:dyDescent="0.2">
      <c r="A31" s="7">
        <v>47</v>
      </c>
      <c r="B31" s="24">
        <v>6.5923725372987361E-4</v>
      </c>
      <c r="C31" s="24">
        <v>7.2516097910286105E-4</v>
      </c>
      <c r="D31" s="24">
        <v>7.9767707701314716E-4</v>
      </c>
      <c r="E31" s="24">
        <v>8.7744478471446193E-4</v>
      </c>
      <c r="F31" s="24">
        <v>9.6518926318590816E-4</v>
      </c>
      <c r="G31" s="24">
        <v>1.0617081895044991E-3</v>
      </c>
      <c r="I31" s="8" t="str">
        <f t="shared" si="0"/>
        <v/>
      </c>
    </row>
    <row r="32" spans="1:9" x14ac:dyDescent="0.2">
      <c r="A32" s="7">
        <v>48</v>
      </c>
      <c r="B32" s="24">
        <v>6.9758812302372409E-4</v>
      </c>
      <c r="C32" s="24">
        <v>7.6734693532609654E-4</v>
      </c>
      <c r="D32" s="24">
        <v>8.4408162885870632E-4</v>
      </c>
      <c r="E32" s="24">
        <v>9.2848979174457703E-4</v>
      </c>
      <c r="F32" s="24">
        <v>1.0213387709190351E-3</v>
      </c>
      <c r="G32" s="24">
        <v>1.123472648010938E-3</v>
      </c>
      <c r="I32" s="8" t="str">
        <f t="shared" si="0"/>
        <v/>
      </c>
    </row>
    <row r="33" spans="1:9" x14ac:dyDescent="0.2">
      <c r="A33" s="7">
        <v>49</v>
      </c>
      <c r="B33" s="24">
        <v>7.3922748213094309E-4</v>
      </c>
      <c r="C33" s="24">
        <v>8.1315023034403747E-4</v>
      </c>
      <c r="D33" s="24">
        <v>8.9446525337844127E-4</v>
      </c>
      <c r="E33" s="24">
        <v>9.8391177871628554E-4</v>
      </c>
      <c r="F33" s="24">
        <v>1.082302956587914E-3</v>
      </c>
      <c r="G33" s="24">
        <v>1.1905332522467061E-3</v>
      </c>
      <c r="I33" s="8" t="str">
        <f t="shared" si="0"/>
        <v/>
      </c>
    </row>
    <row r="34" spans="1:9" x14ac:dyDescent="0.2">
      <c r="A34" s="7">
        <v>50</v>
      </c>
      <c r="B34" s="24">
        <v>7.8447912222558863E-4</v>
      </c>
      <c r="C34" s="24">
        <v>8.6292703444814755E-4</v>
      </c>
      <c r="D34" s="24">
        <v>9.492197378929624E-4</v>
      </c>
      <c r="E34" s="24">
        <v>1.0441417116822591E-3</v>
      </c>
      <c r="F34" s="24">
        <v>1.1485558828504851E-3</v>
      </c>
      <c r="G34" s="24">
        <v>1.263411471135533E-3</v>
      </c>
      <c r="I34" s="8" t="str">
        <f t="shared" ref="I34:I65" si="1">IF(COUNTIF(B34:G34,1)=6,A34,"")</f>
        <v/>
      </c>
    </row>
    <row r="35" spans="1:9" x14ac:dyDescent="0.2">
      <c r="A35" s="7">
        <v>51</v>
      </c>
      <c r="B35" s="24">
        <v>8.3370318885332044E-4</v>
      </c>
      <c r="C35" s="24">
        <v>9.1707350773865257E-4</v>
      </c>
      <c r="D35" s="24">
        <v>1.0087808585125179E-3</v>
      </c>
      <c r="E35" s="24">
        <v>1.10965894436377E-3</v>
      </c>
      <c r="F35" s="24">
        <v>1.220624838800147E-3</v>
      </c>
      <c r="G35" s="24">
        <v>1.3426873226801621E-3</v>
      </c>
      <c r="I35" s="8" t="str">
        <f t="shared" si="1"/>
        <v/>
      </c>
    </row>
    <row r="36" spans="1:9" x14ac:dyDescent="0.2">
      <c r="A36" s="7">
        <v>52</v>
      </c>
      <c r="B36" s="24">
        <v>8.8730067053835319E-4</v>
      </c>
      <c r="C36" s="24">
        <v>9.7603073759218863E-4</v>
      </c>
      <c r="D36" s="24">
        <v>1.073633811351408E-3</v>
      </c>
      <c r="E36" s="24">
        <v>1.180997192486548E-3</v>
      </c>
      <c r="F36" s="24">
        <v>1.299096911735203E-3</v>
      </c>
      <c r="G36" s="24">
        <v>1.4290066029087241E-3</v>
      </c>
      <c r="I36" s="8" t="str">
        <f t="shared" si="1"/>
        <v/>
      </c>
    </row>
    <row r="37" spans="1:9" x14ac:dyDescent="0.2">
      <c r="A37" s="7">
        <v>53</v>
      </c>
      <c r="B37" s="24">
        <v>9.4571848953304985E-4</v>
      </c>
      <c r="C37" s="24">
        <v>1.040290338486355E-3</v>
      </c>
      <c r="D37" s="24">
        <v>1.1443193723349909E-3</v>
      </c>
      <c r="E37" s="24">
        <v>1.25875130956849E-3</v>
      </c>
      <c r="F37" s="24">
        <v>1.384626440525339E-3</v>
      </c>
      <c r="G37" s="24">
        <v>1.523089084577873E-3</v>
      </c>
      <c r="I37" s="8" t="str">
        <f t="shared" si="1"/>
        <v/>
      </c>
    </row>
    <row r="38" spans="1:9" x14ac:dyDescent="0.2">
      <c r="A38" s="7">
        <v>54</v>
      </c>
      <c r="B38" s="24">
        <v>1.009455281406362E-3</v>
      </c>
      <c r="C38" s="24">
        <v>1.110400809546999E-3</v>
      </c>
      <c r="D38" s="24">
        <v>1.2214408905016989E-3</v>
      </c>
      <c r="E38" s="24">
        <v>1.343584979551869E-3</v>
      </c>
      <c r="F38" s="24">
        <v>1.477943477507056E-3</v>
      </c>
      <c r="G38" s="24">
        <v>1.625737825257762E-3</v>
      </c>
      <c r="I38" s="8" t="str">
        <f t="shared" si="1"/>
        <v/>
      </c>
    </row>
    <row r="39" spans="1:9" x14ac:dyDescent="0.2">
      <c r="A39" s="7">
        <v>55</v>
      </c>
      <c r="B39" s="24">
        <v>1.0790679634573399E-3</v>
      </c>
      <c r="C39" s="24">
        <v>1.186974759803075E-3</v>
      </c>
      <c r="D39" s="24">
        <v>1.3056722357833821E-3</v>
      </c>
      <c r="E39" s="24">
        <v>1.4362394593617201E-3</v>
      </c>
      <c r="F39" s="24">
        <v>1.579863405297893E-3</v>
      </c>
      <c r="G39" s="24">
        <v>1.737849745827682E-3</v>
      </c>
      <c r="I39" s="8" t="str">
        <f t="shared" si="1"/>
        <v/>
      </c>
    </row>
    <row r="40" spans="1:9" x14ac:dyDescent="0.2">
      <c r="A40" s="7">
        <v>56</v>
      </c>
      <c r="B40" s="24">
        <v>1.1551792073849841E-3</v>
      </c>
      <c r="C40" s="24">
        <v>1.270697128123482E-3</v>
      </c>
      <c r="D40" s="24">
        <v>1.39776684093583E-3</v>
      </c>
      <c r="E40" s="24">
        <v>1.537543525029414E-3</v>
      </c>
      <c r="F40" s="24">
        <v>1.691297877532355E-3</v>
      </c>
      <c r="G40" s="24">
        <v>1.8604276652855909E-3</v>
      </c>
      <c r="I40" s="8" t="str">
        <f t="shared" si="1"/>
        <v/>
      </c>
    </row>
    <row r="41" spans="1:9" x14ac:dyDescent="0.2">
      <c r="A41" s="7">
        <v>57</v>
      </c>
      <c r="B41" s="24">
        <v>1.23848594961408E-3</v>
      </c>
      <c r="C41" s="24">
        <v>1.3623345445754891E-3</v>
      </c>
      <c r="D41" s="24">
        <v>1.4985679990330381E-3</v>
      </c>
      <c r="E41" s="24">
        <v>1.648424798936341E-3</v>
      </c>
      <c r="F41" s="24">
        <v>1.813267278829976E-3</v>
      </c>
      <c r="G41" s="24">
        <v>1.9945940067129741E-3</v>
      </c>
      <c r="I41" s="8" t="str">
        <f t="shared" si="1"/>
        <v/>
      </c>
    </row>
    <row r="42" spans="1:9" x14ac:dyDescent="0.2">
      <c r="A42" s="7">
        <v>58</v>
      </c>
      <c r="B42" s="24">
        <v>1.329769093601377E-3</v>
      </c>
      <c r="C42" s="24">
        <v>1.4627460029615149E-3</v>
      </c>
      <c r="D42" s="24">
        <v>1.609020603257667E-3</v>
      </c>
      <c r="E42" s="24">
        <v>1.769922663583434E-3</v>
      </c>
      <c r="F42" s="24">
        <v>1.9469149299417769E-3</v>
      </c>
      <c r="G42" s="24">
        <v>2.1416064229359548E-3</v>
      </c>
      <c r="I42" s="8" t="str">
        <f t="shared" si="1"/>
        <v/>
      </c>
    </row>
    <row r="43" spans="1:9" x14ac:dyDescent="0.2">
      <c r="A43" s="7">
        <v>59</v>
      </c>
      <c r="B43" s="24">
        <v>1.429904582839669E-3</v>
      </c>
      <c r="C43" s="24">
        <v>1.5728950411236359E-3</v>
      </c>
      <c r="D43" s="24">
        <v>1.7301845452360001E-3</v>
      </c>
      <c r="E43" s="24">
        <v>1.9032029997596001E-3</v>
      </c>
      <c r="F43" s="24">
        <v>2.0935232997355601E-3</v>
      </c>
      <c r="G43" s="24">
        <v>2.3028756297091158E-3</v>
      </c>
      <c r="I43" s="8" t="str">
        <f t="shared" si="1"/>
        <v/>
      </c>
    </row>
    <row r="44" spans="1:9" x14ac:dyDescent="0.2">
      <c r="A44" s="7">
        <v>60</v>
      </c>
      <c r="B44" s="24">
        <v>1.539876051743219E-3</v>
      </c>
      <c r="C44" s="24">
        <v>1.6938636569175411E-3</v>
      </c>
      <c r="D44" s="24">
        <v>1.863250022609295E-3</v>
      </c>
      <c r="E44" s="24">
        <v>2.049575024870224E-3</v>
      </c>
      <c r="F44" s="24">
        <v>2.2545325273572469E-3</v>
      </c>
      <c r="G44" s="24">
        <v>2.4799857800929721E-3</v>
      </c>
      <c r="I44" s="8" t="str">
        <f t="shared" si="1"/>
        <v/>
      </c>
    </row>
    <row r="45" spans="1:9" x14ac:dyDescent="0.2">
      <c r="A45" s="7">
        <v>61</v>
      </c>
      <c r="B45" s="24">
        <v>1.6607892948515401E-3</v>
      </c>
      <c r="C45" s="24">
        <v>1.8268682243366939E-3</v>
      </c>
      <c r="D45" s="24">
        <v>2.0095550467703629E-3</v>
      </c>
      <c r="E45" s="24">
        <v>2.2105105514474001E-3</v>
      </c>
      <c r="F45" s="24">
        <v>2.4315616065921399E-3</v>
      </c>
      <c r="G45" s="24">
        <v>2.6747177672513541E-3</v>
      </c>
      <c r="I45" s="8" t="str">
        <f t="shared" si="1"/>
        <v/>
      </c>
    </row>
    <row r="46" spans="1:9" x14ac:dyDescent="0.2">
      <c r="A46" s="7">
        <v>62</v>
      </c>
      <c r="B46" s="24">
        <v>1.793888833675047E-3</v>
      </c>
      <c r="C46" s="24">
        <v>1.9732777170425519E-3</v>
      </c>
      <c r="D46" s="24">
        <v>2.1706054887468081E-3</v>
      </c>
      <c r="E46" s="24">
        <v>2.3876660376214881E-3</v>
      </c>
      <c r="F46" s="24">
        <v>2.6264326413836369E-3</v>
      </c>
      <c r="G46" s="24">
        <v>2.8890759055220012E-3</v>
      </c>
      <c r="I46" s="8" t="str">
        <f t="shared" si="1"/>
        <v/>
      </c>
    </row>
    <row r="47" spans="1:9" x14ac:dyDescent="0.2">
      <c r="A47" s="7">
        <v>63</v>
      </c>
      <c r="B47" s="24">
        <v>1.9405769060295661E-3</v>
      </c>
      <c r="C47" s="24">
        <v>2.1346345966325232E-3</v>
      </c>
      <c r="D47" s="24">
        <v>2.3480980562957752E-3</v>
      </c>
      <c r="E47" s="24">
        <v>2.5829078619253529E-3</v>
      </c>
      <c r="F47" s="24">
        <v>2.841198648117888E-3</v>
      </c>
      <c r="G47" s="24">
        <v>3.1253185129296781E-3</v>
      </c>
      <c r="I47" s="8" t="str">
        <f t="shared" si="1"/>
        <v/>
      </c>
    </row>
    <row r="48" spans="1:9" x14ac:dyDescent="0.2">
      <c r="A48" s="7">
        <v>64</v>
      </c>
      <c r="B48" s="24">
        <v>2.1024352560544191E-3</v>
      </c>
      <c r="C48" s="24">
        <v>2.3126787816598608E-3</v>
      </c>
      <c r="D48" s="24">
        <v>2.5439466598258468E-3</v>
      </c>
      <c r="E48" s="24">
        <v>2.7983413258084321E-3</v>
      </c>
      <c r="F48" s="24">
        <v>3.078175458389276E-3</v>
      </c>
      <c r="G48" s="24">
        <v>3.3859930042282041E-3</v>
      </c>
      <c r="I48" s="8" t="str">
        <f t="shared" si="1"/>
        <v/>
      </c>
    </row>
    <row r="49" spans="1:9" x14ac:dyDescent="0.2">
      <c r="A49" s="7">
        <v>65</v>
      </c>
      <c r="B49" s="24">
        <v>2.281250165694602E-3</v>
      </c>
      <c r="C49" s="24">
        <v>2.5093751822640618E-3</v>
      </c>
      <c r="D49" s="24">
        <v>2.7603127004904682E-3</v>
      </c>
      <c r="E49" s="24">
        <v>3.036343970539515E-3</v>
      </c>
      <c r="F49" s="24">
        <v>3.3399783675934669E-3</v>
      </c>
      <c r="G49" s="24">
        <v>3.673976204352814E-3</v>
      </c>
      <c r="I49" s="8" t="str">
        <f t="shared" si="1"/>
        <v/>
      </c>
    </row>
    <row r="50" spans="1:9" x14ac:dyDescent="0.2">
      <c r="A50" s="7">
        <v>66</v>
      </c>
      <c r="B50" s="24">
        <v>2.4790412419286958E-3</v>
      </c>
      <c r="C50" s="24">
        <v>2.7269453661215659E-3</v>
      </c>
      <c r="D50" s="24">
        <v>2.9996399027337221E-3</v>
      </c>
      <c r="E50" s="24">
        <v>3.299603893007094E-3</v>
      </c>
      <c r="F50" s="24">
        <v>3.6295642823078039E-3</v>
      </c>
      <c r="G50" s="24">
        <v>3.9925207105385848E-3</v>
      </c>
      <c r="I50" s="8" t="str">
        <f t="shared" si="1"/>
        <v/>
      </c>
    </row>
    <row r="51" spans="1:9" x14ac:dyDescent="0.2">
      <c r="A51" s="7">
        <v>67</v>
      </c>
      <c r="B51" s="24">
        <v>2.6980945604392109E-3</v>
      </c>
      <c r="C51" s="24">
        <v>2.9679040164831321E-3</v>
      </c>
      <c r="D51" s="24">
        <v>3.2646944181314451E-3</v>
      </c>
      <c r="E51" s="24">
        <v>3.59116385994459E-3</v>
      </c>
      <c r="F51" s="24">
        <v>3.9502802459390491E-3</v>
      </c>
      <c r="G51" s="24">
        <v>4.3453082705329554E-3</v>
      </c>
      <c r="I51" s="8" t="str">
        <f t="shared" si="1"/>
        <v/>
      </c>
    </row>
    <row r="52" spans="1:9" x14ac:dyDescent="0.2">
      <c r="A52" s="7">
        <v>68</v>
      </c>
      <c r="B52" s="24">
        <v>2.9410008681289971E-3</v>
      </c>
      <c r="C52" s="24">
        <v>3.2351009549418971E-3</v>
      </c>
      <c r="D52" s="24">
        <v>3.5586110504360869E-3</v>
      </c>
      <c r="E52" s="24">
        <v>3.9144721554796964E-3</v>
      </c>
      <c r="F52" s="24">
        <v>4.3059193710276661E-3</v>
      </c>
      <c r="G52" s="24">
        <v>4.7365113081304332E-3</v>
      </c>
      <c r="I52" s="8" t="str">
        <f t="shared" si="1"/>
        <v/>
      </c>
    </row>
    <row r="53" spans="1:9" x14ac:dyDescent="0.2">
      <c r="A53" s="7">
        <v>69</v>
      </c>
      <c r="B53" s="24">
        <v>3.210699666725728E-3</v>
      </c>
      <c r="C53" s="24">
        <v>3.531769633398301E-3</v>
      </c>
      <c r="D53" s="24">
        <v>3.8849465967381318E-3</v>
      </c>
      <c r="E53" s="24">
        <v>4.2734412564119457E-3</v>
      </c>
      <c r="F53" s="24">
        <v>4.7007853820531407E-3</v>
      </c>
      <c r="G53" s="24">
        <v>5.1708639202584549E-3</v>
      </c>
      <c r="I53" s="8" t="str">
        <f t="shared" si="1"/>
        <v/>
      </c>
    </row>
    <row r="54" spans="1:9" x14ac:dyDescent="0.2">
      <c r="A54" s="7">
        <v>70</v>
      </c>
      <c r="B54" s="24">
        <v>3.510530141071987E-3</v>
      </c>
      <c r="C54" s="24">
        <v>3.8615831551791859E-3</v>
      </c>
      <c r="D54" s="24">
        <v>4.2477414706971047E-3</v>
      </c>
      <c r="E54" s="24">
        <v>4.6725156177668146E-3</v>
      </c>
      <c r="F54" s="24">
        <v>5.1397671795434972E-3</v>
      </c>
      <c r="G54" s="24">
        <v>5.653743897497847E-3</v>
      </c>
      <c r="I54" s="8" t="str">
        <f t="shared" si="1"/>
        <v/>
      </c>
    </row>
    <row r="55" spans="1:9" x14ac:dyDescent="0.2">
      <c r="A55" s="7">
        <v>71</v>
      </c>
      <c r="B55" s="24">
        <v>3.844290062620606E-3</v>
      </c>
      <c r="C55" s="24">
        <v>4.2287190688826666E-3</v>
      </c>
      <c r="D55" s="24">
        <v>4.6515909757709334E-3</v>
      </c>
      <c r="E55" s="24">
        <v>5.1167500733480271E-3</v>
      </c>
      <c r="F55" s="24">
        <v>5.6284250806828296E-3</v>
      </c>
      <c r="G55" s="24">
        <v>6.1912675887511141E-3</v>
      </c>
      <c r="I55" s="8" t="str">
        <f t="shared" si="1"/>
        <v/>
      </c>
    </row>
    <row r="56" spans="1:9" x14ac:dyDescent="0.2">
      <c r="A56" s="7">
        <v>72</v>
      </c>
      <c r="B56" s="24">
        <v>4.2163039959880544E-3</v>
      </c>
      <c r="C56" s="24">
        <v>4.6379343955868591E-3</v>
      </c>
      <c r="D56" s="24">
        <v>5.1017278351455451E-3</v>
      </c>
      <c r="E56" s="24">
        <v>5.6119006186601001E-3</v>
      </c>
      <c r="F56" s="24">
        <v>6.1730906805261103E-3</v>
      </c>
      <c r="G56" s="24">
        <v>6.7903997485787206E-3</v>
      </c>
      <c r="I56" s="8" t="str">
        <f t="shared" si="1"/>
        <v/>
      </c>
    </row>
    <row r="57" spans="1:9" x14ac:dyDescent="0.2">
      <c r="A57" s="7">
        <v>73</v>
      </c>
      <c r="B57" s="24">
        <v>4.6315023699631157E-3</v>
      </c>
      <c r="C57" s="24">
        <v>5.0946526069594279E-3</v>
      </c>
      <c r="D57" s="24">
        <v>5.6041178676553708E-3</v>
      </c>
      <c r="E57" s="24">
        <v>6.1645296544209083E-3</v>
      </c>
      <c r="F57" s="24">
        <v>6.780982619863E-3</v>
      </c>
      <c r="G57" s="24">
        <v>7.4590808818493009E-3</v>
      </c>
      <c r="I57" s="8" t="str">
        <f t="shared" si="1"/>
        <v/>
      </c>
    </row>
    <row r="58" spans="1:9" x14ac:dyDescent="0.2">
      <c r="A58" s="7">
        <v>74</v>
      </c>
      <c r="B58" s="24">
        <v>5.0955132510828137E-3</v>
      </c>
      <c r="C58" s="24">
        <v>5.6050645761910956E-3</v>
      </c>
      <c r="D58" s="24">
        <v>6.1655710338102054E-3</v>
      </c>
      <c r="E58" s="24">
        <v>6.7821281371912264E-3</v>
      </c>
      <c r="F58" s="24">
        <v>7.4603409509103498E-3</v>
      </c>
      <c r="G58" s="24">
        <v>8.2063750460013851E-3</v>
      </c>
      <c r="I58" s="8" t="str">
        <f t="shared" si="1"/>
        <v/>
      </c>
    </row>
    <row r="59" spans="1:9" x14ac:dyDescent="0.2">
      <c r="A59" s="7">
        <v>75</v>
      </c>
      <c r="B59" s="24">
        <v>5.6147689861203503E-3</v>
      </c>
      <c r="C59" s="24">
        <v>6.1762458847323858E-3</v>
      </c>
      <c r="D59" s="24">
        <v>6.7938704732056253E-3</v>
      </c>
      <c r="E59" s="24">
        <v>7.4732575205261886E-3</v>
      </c>
      <c r="F59" s="24">
        <v>8.2205832725788085E-3</v>
      </c>
      <c r="G59" s="24">
        <v>9.0426415998366896E-3</v>
      </c>
      <c r="I59" s="8" t="str">
        <f t="shared" si="1"/>
        <v/>
      </c>
    </row>
    <row r="60" spans="1:9" x14ac:dyDescent="0.2">
      <c r="A60" s="7">
        <v>76</v>
      </c>
      <c r="B60" s="24">
        <v>6.1966302696224657E-3</v>
      </c>
      <c r="C60" s="24">
        <v>6.8162932965847127E-3</v>
      </c>
      <c r="D60" s="24">
        <v>7.4979226262431847E-3</v>
      </c>
      <c r="E60" s="24">
        <v>8.2477148888675036E-3</v>
      </c>
      <c r="F60" s="24">
        <v>9.0724863777542544E-3</v>
      </c>
      <c r="G60" s="24">
        <v>9.97973501552968E-3</v>
      </c>
      <c r="I60" s="8" t="str">
        <f t="shared" si="1"/>
        <v/>
      </c>
    </row>
    <row r="61" spans="1:9" x14ac:dyDescent="0.2">
      <c r="A61" s="7">
        <v>77</v>
      </c>
      <c r="B61" s="24">
        <v>6.8495306560512293E-3</v>
      </c>
      <c r="C61" s="24">
        <v>7.5344837216563534E-3</v>
      </c>
      <c r="D61" s="24">
        <v>8.287932093821988E-3</v>
      </c>
      <c r="E61" s="24">
        <v>9.1167253032041883E-3</v>
      </c>
      <c r="F61" s="24">
        <v>1.002839783352461E-2</v>
      </c>
      <c r="G61" s="24">
        <v>1.103123761687707E-2</v>
      </c>
      <c r="I61" s="8" t="str">
        <f t="shared" si="1"/>
        <v/>
      </c>
    </row>
    <row r="62" spans="1:9" x14ac:dyDescent="0.2">
      <c r="A62" s="7">
        <v>78</v>
      </c>
      <c r="B62" s="24">
        <v>7.5831450876836003E-3</v>
      </c>
      <c r="C62" s="24">
        <v>8.3414595964519615E-3</v>
      </c>
      <c r="D62" s="24">
        <v>9.1756055560971578E-3</v>
      </c>
      <c r="E62" s="24">
        <v>1.009316611170687E-2</v>
      </c>
      <c r="F62" s="24">
        <v>1.110248272287756E-2</v>
      </c>
      <c r="G62" s="24">
        <v>1.221273099516532E-2</v>
      </c>
      <c r="I62" s="8" t="str">
        <f t="shared" si="1"/>
        <v/>
      </c>
    </row>
    <row r="63" spans="1:9" x14ac:dyDescent="0.2">
      <c r="A63" s="7">
        <v>79</v>
      </c>
      <c r="B63" s="24">
        <v>8.4085866667251135E-3</v>
      </c>
      <c r="C63" s="24">
        <v>9.2494453333976257E-3</v>
      </c>
      <c r="D63" s="24">
        <v>1.0174389866737389E-2</v>
      </c>
      <c r="E63" s="24">
        <v>1.1191828853411131E-2</v>
      </c>
      <c r="F63" s="24">
        <v>1.231101173875224E-2</v>
      </c>
      <c r="G63" s="24">
        <v>1.354211291262747E-2</v>
      </c>
      <c r="I63" s="8" t="str">
        <f t="shared" si="1"/>
        <v/>
      </c>
    </row>
    <row r="64" spans="1:9" x14ac:dyDescent="0.2">
      <c r="A64" s="7">
        <v>80</v>
      </c>
      <c r="B64" s="24">
        <v>9.3386366842819341E-3</v>
      </c>
      <c r="C64" s="24">
        <v>1.0272500352710131E-2</v>
      </c>
      <c r="D64" s="24">
        <v>1.1299750387981139E-2</v>
      </c>
      <c r="E64" s="24">
        <v>1.242972542677926E-2</v>
      </c>
      <c r="F64" s="24">
        <v>1.3672697969457189E-2</v>
      </c>
      <c r="G64" s="24">
        <v>1.5039967766402909E-2</v>
      </c>
      <c r="I64" s="8" t="str">
        <f t="shared" si="1"/>
        <v/>
      </c>
    </row>
    <row r="65" spans="1:9" x14ac:dyDescent="0.2">
      <c r="A65" s="7">
        <v>81</v>
      </c>
      <c r="B65" s="24">
        <v>1.0388013855493081E-2</v>
      </c>
      <c r="C65" s="24">
        <v>1.1426815241042391E-2</v>
      </c>
      <c r="D65" s="24">
        <v>1.256949676514663E-2</v>
      </c>
      <c r="E65" s="24">
        <v>1.382644644166129E-2</v>
      </c>
      <c r="F65" s="24">
        <v>1.5209091085827421E-2</v>
      </c>
      <c r="G65" s="24">
        <v>1.673000019441017E-2</v>
      </c>
      <c r="I65" s="8" t="str">
        <f t="shared" si="1"/>
        <v/>
      </c>
    </row>
    <row r="66" spans="1:9" x14ac:dyDescent="0.2">
      <c r="A66" s="7">
        <v>82</v>
      </c>
      <c r="B66" s="24">
        <v>1.157368983020542E-2</v>
      </c>
      <c r="C66" s="24">
        <v>1.2731058813225969E-2</v>
      </c>
      <c r="D66" s="24">
        <v>1.4004164694548569E-2</v>
      </c>
      <c r="E66" s="24">
        <v>1.5404581164003421E-2</v>
      </c>
      <c r="F66" s="24">
        <v>1.6945039280403772E-2</v>
      </c>
      <c r="G66" s="24">
        <v>1.8639543208444149E-2</v>
      </c>
      <c r="I66" s="8" t="str">
        <f t="shared" ref="I66:I97" si="2">IF(COUNTIF(B66:G66,1)=6,A66,"")</f>
        <v/>
      </c>
    </row>
    <row r="67" spans="1:9" x14ac:dyDescent="0.2">
      <c r="A67" s="7">
        <v>83</v>
      </c>
      <c r="B67" s="24">
        <v>1.291525938959877E-2</v>
      </c>
      <c r="C67" s="24">
        <v>1.420678532855865E-2</v>
      </c>
      <c r="D67" s="24">
        <v>1.5627463861414521E-2</v>
      </c>
      <c r="E67" s="24">
        <v>1.719021024755597E-2</v>
      </c>
      <c r="F67" s="24">
        <v>1.8909231272311571E-2</v>
      </c>
      <c r="G67" s="24">
        <v>2.080015439954273E-2</v>
      </c>
      <c r="I67" s="8" t="str">
        <f t="shared" si="2"/>
        <v/>
      </c>
    </row>
    <row r="68" spans="1:9" x14ac:dyDescent="0.2">
      <c r="A68" s="7">
        <v>84</v>
      </c>
      <c r="B68" s="24">
        <v>1.4435375346602129E-2</v>
      </c>
      <c r="C68" s="24">
        <v>1.587891288126235E-2</v>
      </c>
      <c r="D68" s="24">
        <v>1.7466804169388589E-2</v>
      </c>
      <c r="E68" s="24">
        <v>1.9213484586327441E-2</v>
      </c>
      <c r="F68" s="24">
        <v>2.1134833044960191E-2</v>
      </c>
      <c r="G68" s="24">
        <v>2.3248316349456209E-2</v>
      </c>
      <c r="I68" s="8" t="str">
        <f t="shared" si="2"/>
        <v/>
      </c>
    </row>
    <row r="69" spans="1:9" x14ac:dyDescent="0.2">
      <c r="A69" s="7">
        <v>85</v>
      </c>
      <c r="B69" s="24">
        <v>1.616026009703804E-2</v>
      </c>
      <c r="C69" s="24">
        <v>1.777628610674184E-2</v>
      </c>
      <c r="D69" s="24">
        <v>1.9553914717416031E-2</v>
      </c>
      <c r="E69" s="24">
        <v>2.1509306189157629E-2</v>
      </c>
      <c r="F69" s="24">
        <v>2.3660236808073401E-2</v>
      </c>
      <c r="G69" s="24">
        <v>2.602626048888074E-2</v>
      </c>
      <c r="I69" s="8" t="str">
        <f t="shared" si="2"/>
        <v/>
      </c>
    </row>
    <row r="70" spans="1:9" x14ac:dyDescent="0.2">
      <c r="A70" s="7">
        <v>86</v>
      </c>
      <c r="B70" s="24">
        <v>1.8120308086311689E-2</v>
      </c>
      <c r="C70" s="24">
        <v>1.993233889494286E-2</v>
      </c>
      <c r="D70" s="24">
        <v>2.1925572784437141E-2</v>
      </c>
      <c r="E70" s="24">
        <v>2.4118130062880858E-2</v>
      </c>
      <c r="F70" s="24">
        <v>2.6529943069168949E-2</v>
      </c>
      <c r="G70" s="24">
        <v>2.9182937376085849E-2</v>
      </c>
      <c r="I70" s="8" t="str">
        <f t="shared" si="2"/>
        <v/>
      </c>
    </row>
    <row r="71" spans="1:9" x14ac:dyDescent="0.2">
      <c r="A71" s="7">
        <v>87</v>
      </c>
      <c r="B71" s="24">
        <v>2.0350796244866059E-2</v>
      </c>
      <c r="C71" s="24">
        <v>2.2385875869352669E-2</v>
      </c>
      <c r="D71" s="24">
        <v>2.462446345628793E-2</v>
      </c>
      <c r="E71" s="24">
        <v>2.708690980191673E-2</v>
      </c>
      <c r="F71" s="24">
        <v>2.9795600782108401E-2</v>
      </c>
      <c r="G71" s="24">
        <v>3.2775160860319237E-2</v>
      </c>
      <c r="I71" s="8" t="str">
        <f t="shared" si="2"/>
        <v/>
      </c>
    </row>
    <row r="72" spans="1:9" x14ac:dyDescent="0.2">
      <c r="A72" s="7">
        <v>88</v>
      </c>
      <c r="B72" s="24">
        <v>2.2892722804094729E-2</v>
      </c>
      <c r="C72" s="24">
        <v>2.5181995084504201E-2</v>
      </c>
      <c r="D72" s="24">
        <v>2.770019459295462E-2</v>
      </c>
      <c r="E72" s="24">
        <v>3.0470214052250089E-2</v>
      </c>
      <c r="F72" s="24">
        <v>3.3517235457475099E-2</v>
      </c>
      <c r="G72" s="24">
        <v>3.6868959003222609E-2</v>
      </c>
      <c r="I72" s="8" t="str">
        <f t="shared" si="2"/>
        <v/>
      </c>
    </row>
    <row r="73" spans="1:9" x14ac:dyDescent="0.2">
      <c r="A73" s="7">
        <v>89</v>
      </c>
      <c r="B73" s="24">
        <v>2.5793798954470391E-2</v>
      </c>
      <c r="C73" s="24">
        <v>2.837317884991743E-2</v>
      </c>
      <c r="D73" s="24">
        <v>3.1210496734909179E-2</v>
      </c>
      <c r="E73" s="24">
        <v>3.4331546408400103E-2</v>
      </c>
      <c r="F73" s="24">
        <v>3.7764701049240117E-2</v>
      </c>
      <c r="G73" s="24">
        <v>4.1541171154164128E-2</v>
      </c>
      <c r="I73" s="8" t="str">
        <f t="shared" si="2"/>
        <v/>
      </c>
    </row>
    <row r="74" spans="1:9" x14ac:dyDescent="0.2">
      <c r="A74" s="7">
        <v>90</v>
      </c>
      <c r="B74" s="24">
        <v>2.9109622697643701E-2</v>
      </c>
      <c r="C74" s="24">
        <v>3.2020584967408068E-2</v>
      </c>
      <c r="D74" s="24">
        <v>3.5222643464148877E-2</v>
      </c>
      <c r="E74" s="24">
        <v>3.8744907810563771E-2</v>
      </c>
      <c r="F74" s="24">
        <v>4.2619398591620151E-2</v>
      </c>
      <c r="G74" s="24">
        <v>4.688133845078217E-2</v>
      </c>
      <c r="I74" s="8" t="str">
        <f t="shared" si="2"/>
        <v/>
      </c>
    </row>
    <row r="75" spans="1:9" x14ac:dyDescent="0.2">
      <c r="A75" s="7">
        <v>91</v>
      </c>
      <c r="B75" s="24">
        <v>3.2905070155685737E-2</v>
      </c>
      <c r="C75" s="24">
        <v>3.6195577171254323E-2</v>
      </c>
      <c r="D75" s="24">
        <v>3.9815134888379747E-2</v>
      </c>
      <c r="E75" s="24">
        <v>4.379664837721773E-2</v>
      </c>
      <c r="F75" s="24">
        <v>4.8176313214939509E-2</v>
      </c>
      <c r="G75" s="24">
        <v>5.2993944536433461E-2</v>
      </c>
      <c r="I75" s="8" t="str">
        <f t="shared" si="2"/>
        <v/>
      </c>
    </row>
    <row r="76" spans="1:9" x14ac:dyDescent="0.2">
      <c r="A76" s="7">
        <v>92</v>
      </c>
      <c r="B76" s="24">
        <v>3.7255946755678518E-2</v>
      </c>
      <c r="C76" s="24">
        <v>4.0981541431246382E-2</v>
      </c>
      <c r="D76" s="24">
        <v>4.5079695574371019E-2</v>
      </c>
      <c r="E76" s="24">
        <v>4.9587665131808123E-2</v>
      </c>
      <c r="F76" s="24">
        <v>5.4546431644988937E-2</v>
      </c>
      <c r="G76" s="24">
        <v>6.0001074809487832E-2</v>
      </c>
      <c r="I76" s="8" t="str">
        <f t="shared" si="2"/>
        <v/>
      </c>
    </row>
    <row r="77" spans="1:9" x14ac:dyDescent="0.2">
      <c r="A77" s="7">
        <v>93</v>
      </c>
      <c r="B77" s="24">
        <v>4.2250949378824183E-2</v>
      </c>
      <c r="C77" s="24">
        <v>4.64760443167066E-2</v>
      </c>
      <c r="D77" s="24">
        <v>5.1123648748377257E-2</v>
      </c>
      <c r="E77" s="24">
        <v>5.6236013623214988E-2</v>
      </c>
      <c r="F77" s="24">
        <v>6.18596149855365E-2</v>
      </c>
      <c r="G77" s="24">
        <v>6.8045576484090153E-2</v>
      </c>
      <c r="I77" s="8" t="str">
        <f t="shared" si="2"/>
        <v/>
      </c>
    </row>
    <row r="78" spans="1:9" x14ac:dyDescent="0.2">
      <c r="A78" s="7">
        <v>94</v>
      </c>
      <c r="B78" s="24">
        <v>4.7994001084520309E-2</v>
      </c>
      <c r="C78" s="24">
        <v>5.2793401192972343E-2</v>
      </c>
      <c r="D78" s="24">
        <v>5.8072741312269582E-2</v>
      </c>
      <c r="E78" s="24">
        <v>6.3880015443496543E-2</v>
      </c>
      <c r="F78" s="24">
        <v>7.026801698784621E-2</v>
      </c>
      <c r="G78" s="24">
        <v>7.7294818686630837E-2</v>
      </c>
      <c r="I78" s="8" t="str">
        <f t="shared" si="2"/>
        <v/>
      </c>
    </row>
    <row r="79" spans="1:9" x14ac:dyDescent="0.2">
      <c r="A79" s="7">
        <v>95</v>
      </c>
      <c r="B79" s="24">
        <v>5.4607032802187261E-2</v>
      </c>
      <c r="C79" s="24">
        <v>6.0067736082405988E-2</v>
      </c>
      <c r="D79" s="24">
        <v>6.6074509690646599E-2</v>
      </c>
      <c r="E79" s="24">
        <v>7.2681960659711262E-2</v>
      </c>
      <c r="F79" s="24">
        <v>7.9950156725682398E-2</v>
      </c>
      <c r="G79" s="24">
        <v>8.7945172398250643E-2</v>
      </c>
      <c r="I79" s="8" t="str">
        <f t="shared" si="2"/>
        <v/>
      </c>
    </row>
    <row r="80" spans="1:9" x14ac:dyDescent="0.2">
      <c r="A80" s="7">
        <v>96</v>
      </c>
      <c r="B80" s="24">
        <v>6.2233301932556918E-2</v>
      </c>
      <c r="C80" s="24">
        <v>6.8456632125812614E-2</v>
      </c>
      <c r="D80" s="24">
        <v>7.5302295338393888E-2</v>
      </c>
      <c r="E80" s="24">
        <v>8.2832524872233276E-2</v>
      </c>
      <c r="F80" s="24">
        <v>9.1115777359456612E-2</v>
      </c>
      <c r="G80" s="24">
        <v>0.1002273550954023</v>
      </c>
      <c r="I80" s="8" t="str">
        <f t="shared" si="2"/>
        <v/>
      </c>
    </row>
    <row r="81" spans="1:9" x14ac:dyDescent="0.2">
      <c r="A81" s="7">
        <v>97</v>
      </c>
      <c r="B81" s="24">
        <v>7.104135673834143E-2</v>
      </c>
      <c r="C81" s="24">
        <v>7.8145492412175582E-2</v>
      </c>
      <c r="D81" s="24">
        <v>8.5960041653393146E-2</v>
      </c>
      <c r="E81" s="24">
        <v>9.4556045818732462E-2</v>
      </c>
      <c r="F81" s="24">
        <v>0.1040116504006057</v>
      </c>
      <c r="G81" s="24">
        <v>0.1144128154406663</v>
      </c>
      <c r="I81" s="8" t="str">
        <f t="shared" si="2"/>
        <v/>
      </c>
    </row>
    <row r="82" spans="1:9" x14ac:dyDescent="0.2">
      <c r="A82" s="7">
        <v>98</v>
      </c>
      <c r="B82" s="24">
        <v>8.1229778499755684E-2</v>
      </c>
      <c r="C82" s="24">
        <v>8.9352756349731263E-2</v>
      </c>
      <c r="D82" s="24">
        <v>9.8288031984704399E-2</v>
      </c>
      <c r="E82" s="24">
        <v>0.1081168351831748</v>
      </c>
      <c r="F82" s="24">
        <v>0.11892851870149231</v>
      </c>
      <c r="G82" s="24">
        <v>0.13082137057164159</v>
      </c>
      <c r="I82" s="8" t="str">
        <f t="shared" si="2"/>
        <v/>
      </c>
    </row>
    <row r="83" spans="1:9" x14ac:dyDescent="0.2">
      <c r="A83" s="7">
        <v>99</v>
      </c>
      <c r="B83" s="24">
        <v>9.3032861611879236E-2</v>
      </c>
      <c r="C83" s="24">
        <v>0.1023361477730672</v>
      </c>
      <c r="D83" s="24">
        <v>0.1125697625503739</v>
      </c>
      <c r="E83" s="24">
        <v>0.1238267388054113</v>
      </c>
      <c r="F83" s="24">
        <v>0.13620941268595241</v>
      </c>
      <c r="G83" s="24">
        <v>0.14983035395454769</v>
      </c>
      <c r="I83" s="8" t="str">
        <f t="shared" si="2"/>
        <v/>
      </c>
    </row>
    <row r="84" spans="1:9" x14ac:dyDescent="0.2">
      <c r="A84" s="7">
        <v>100</v>
      </c>
      <c r="B84" s="24">
        <v>0.1067274262812674</v>
      </c>
      <c r="C84" s="24">
        <v>0.1174001689093942</v>
      </c>
      <c r="D84" s="24">
        <v>0.1291401858003336</v>
      </c>
      <c r="E84" s="24">
        <v>0.14205420438036701</v>
      </c>
      <c r="F84" s="24">
        <v>0.15625962481840369</v>
      </c>
      <c r="G84" s="24">
        <v>0.17188558730024411</v>
      </c>
      <c r="I84" s="8" t="str">
        <f t="shared" si="2"/>
        <v/>
      </c>
    </row>
    <row r="85" spans="1:9" x14ac:dyDescent="0.2">
      <c r="A85" s="7">
        <v>101</v>
      </c>
      <c r="B85" s="24">
        <v>0.1226410006907388</v>
      </c>
      <c r="C85" s="24">
        <v>0.13490510075981271</v>
      </c>
      <c r="D85" s="24">
        <v>0.14839561083579389</v>
      </c>
      <c r="E85" s="24">
        <v>0.16323517191937331</v>
      </c>
      <c r="F85" s="24">
        <v>0.1795586891113107</v>
      </c>
      <c r="G85" s="24">
        <v>0.19751455802244169</v>
      </c>
      <c r="I85" s="8" t="str">
        <f t="shared" si="2"/>
        <v/>
      </c>
    </row>
    <row r="86" spans="1:9" x14ac:dyDescent="0.2">
      <c r="A86" s="7">
        <v>102</v>
      </c>
      <c r="B86" s="24">
        <v>0.1411616612443195</v>
      </c>
      <c r="C86" s="24">
        <v>0.1552778273687514</v>
      </c>
      <c r="D86" s="24">
        <v>0.17080561010562659</v>
      </c>
      <c r="E86" s="24">
        <v>0.1878861711161893</v>
      </c>
      <c r="F86" s="24">
        <v>0.20667478822780819</v>
      </c>
      <c r="G86" s="24">
        <v>0.22734226705058899</v>
      </c>
      <c r="I86" s="8" t="str">
        <f t="shared" si="2"/>
        <v/>
      </c>
    </row>
    <row r="87" spans="1:9" x14ac:dyDescent="0.2">
      <c r="A87" s="7">
        <v>103</v>
      </c>
      <c r="B87" s="24">
        <v>0.1627498830132505</v>
      </c>
      <c r="C87" s="24">
        <v>0.17902487131457551</v>
      </c>
      <c r="D87" s="24">
        <v>0.1969273584460331</v>
      </c>
      <c r="E87" s="24">
        <v>0.21662009429063639</v>
      </c>
      <c r="F87" s="24">
        <v>0.2382821037197001</v>
      </c>
      <c r="G87" s="24">
        <v>0.26211031409167013</v>
      </c>
      <c r="I87" s="8" t="str">
        <f t="shared" si="2"/>
        <v/>
      </c>
    </row>
    <row r="88" spans="1:9" x14ac:dyDescent="0.2">
      <c r="A88" s="7">
        <v>104</v>
      </c>
      <c r="B88" s="24">
        <v>0.18795283055622591</v>
      </c>
      <c r="C88" s="24">
        <v>0.20674811361184861</v>
      </c>
      <c r="D88" s="24">
        <v>0.2274229249730334</v>
      </c>
      <c r="E88" s="24">
        <v>0.25016521747033682</v>
      </c>
      <c r="F88" s="24">
        <v>0.27518173921737049</v>
      </c>
      <c r="G88" s="24">
        <v>0.3026999131391076</v>
      </c>
      <c r="I88" s="8" t="str">
        <f t="shared" si="2"/>
        <v/>
      </c>
    </row>
    <row r="89" spans="1:9" x14ac:dyDescent="0.2">
      <c r="A89" s="7">
        <v>105</v>
      </c>
      <c r="B89" s="24">
        <v>0.21742161533844639</v>
      </c>
      <c r="C89" s="24">
        <v>0.2391637768722911</v>
      </c>
      <c r="D89" s="24">
        <v>0.26308015455952022</v>
      </c>
      <c r="E89" s="24">
        <v>0.28938817001547229</v>
      </c>
      <c r="F89" s="24">
        <v>0.31832698701701961</v>
      </c>
      <c r="G89" s="24">
        <v>0.35015968571872153</v>
      </c>
      <c r="I89" s="8" t="str">
        <f t="shared" si="2"/>
        <v/>
      </c>
    </row>
    <row r="90" spans="1:9" x14ac:dyDescent="0.2">
      <c r="A90" s="7">
        <v>106</v>
      </c>
      <c r="B90" s="24">
        <v>0.25193216433073212</v>
      </c>
      <c r="C90" s="24">
        <v>0.27712538076380527</v>
      </c>
      <c r="D90" s="24">
        <v>0.30483791884018591</v>
      </c>
      <c r="E90" s="24">
        <v>0.33532171072420452</v>
      </c>
      <c r="F90" s="24">
        <v>0.36885388179662493</v>
      </c>
      <c r="G90" s="24">
        <v>0.40573926997628751</v>
      </c>
      <c r="I90" s="8" t="str">
        <f t="shared" si="2"/>
        <v/>
      </c>
    </row>
    <row r="91" spans="1:9" x14ac:dyDescent="0.2">
      <c r="A91" s="7">
        <v>107</v>
      </c>
      <c r="B91" s="24">
        <v>0.29241049040458078</v>
      </c>
      <c r="C91" s="24">
        <v>0.32165153944503888</v>
      </c>
      <c r="D91" s="24">
        <v>0.3538166933895428</v>
      </c>
      <c r="E91" s="24">
        <v>0.38919836272849712</v>
      </c>
      <c r="F91" s="24">
        <v>0.42811819900134679</v>
      </c>
      <c r="G91" s="24">
        <v>0.47093001890148162</v>
      </c>
      <c r="I91" s="8" t="str">
        <f t="shared" si="2"/>
        <v/>
      </c>
    </row>
    <row r="92" spans="1:9" x14ac:dyDescent="0.2">
      <c r="A92" s="7">
        <v>108</v>
      </c>
      <c r="B92" s="24">
        <v>0.33996333556283093</v>
      </c>
      <c r="C92" s="24">
        <v>0.37395966911911399</v>
      </c>
      <c r="D92" s="24">
        <v>0.41135563603102548</v>
      </c>
      <c r="E92" s="24">
        <v>0.45249119963412809</v>
      </c>
      <c r="F92" s="24">
        <v>0.49774031959754089</v>
      </c>
      <c r="G92" s="24">
        <v>0.54751435155729511</v>
      </c>
      <c r="I92" s="8" t="str">
        <f t="shared" si="2"/>
        <v/>
      </c>
    </row>
    <row r="93" spans="1:9" x14ac:dyDescent="0.2">
      <c r="A93" s="7">
        <v>109</v>
      </c>
      <c r="B93" s="24">
        <v>0.39591538125390352</v>
      </c>
      <c r="C93" s="24">
        <v>0.43550691937929392</v>
      </c>
      <c r="D93" s="24">
        <v>0.47905761131722341</v>
      </c>
      <c r="E93" s="24">
        <v>0.52696337244894575</v>
      </c>
      <c r="F93" s="24">
        <v>0.5796597096938404</v>
      </c>
      <c r="G93" s="24">
        <v>0.63762568066322445</v>
      </c>
      <c r="I93" s="8" t="str">
        <f t="shared" si="2"/>
        <v/>
      </c>
    </row>
    <row r="94" spans="1:9" x14ac:dyDescent="0.2">
      <c r="A94" s="7">
        <v>110</v>
      </c>
      <c r="B94" s="24">
        <v>0.46185449652515831</v>
      </c>
      <c r="C94" s="24">
        <v>0.50803994617767423</v>
      </c>
      <c r="D94" s="24">
        <v>0.55884394079544175</v>
      </c>
      <c r="E94" s="24">
        <v>0.61472833487498602</v>
      </c>
      <c r="F94" s="24">
        <v>0.67620116836248467</v>
      </c>
      <c r="G94" s="24">
        <v>0.74382128519873325</v>
      </c>
      <c r="I94" s="8" t="str">
        <f t="shared" si="2"/>
        <v/>
      </c>
    </row>
    <row r="95" spans="1:9" x14ac:dyDescent="0.2">
      <c r="A95" s="7">
        <v>111</v>
      </c>
      <c r="B95" s="24">
        <v>0.5396868377647932</v>
      </c>
      <c r="C95" s="24">
        <v>0.59365552154127255</v>
      </c>
      <c r="D95" s="24">
        <v>0.65302107369539986</v>
      </c>
      <c r="E95" s="24">
        <v>0.71832318106493986</v>
      </c>
      <c r="F95" s="24">
        <v>0.79015549917143391</v>
      </c>
      <c r="G95" s="24">
        <v>0.86917104908857734</v>
      </c>
      <c r="I95" s="8" t="str">
        <f t="shared" si="2"/>
        <v/>
      </c>
    </row>
    <row r="96" spans="1:9" x14ac:dyDescent="0.2">
      <c r="A96" s="7">
        <v>112</v>
      </c>
      <c r="B96" s="24">
        <v>0.63170403982251422</v>
      </c>
      <c r="C96" s="24">
        <v>0.69487444380476571</v>
      </c>
      <c r="D96" s="24">
        <v>0.76436188818524231</v>
      </c>
      <c r="E96" s="24">
        <v>0.84079807700376663</v>
      </c>
      <c r="F96" s="24">
        <v>0.92487788470414334</v>
      </c>
      <c r="G96" s="24">
        <v>1</v>
      </c>
      <c r="I96" s="8" t="str">
        <f t="shared" si="2"/>
        <v/>
      </c>
    </row>
    <row r="97" spans="1:9" x14ac:dyDescent="0.2">
      <c r="A97" s="7">
        <v>113</v>
      </c>
      <c r="B97" s="24">
        <v>0.74066526821002854</v>
      </c>
      <c r="C97" s="24">
        <v>0.81473179503103144</v>
      </c>
      <c r="D97" s="24">
        <v>0.89620497453413461</v>
      </c>
      <c r="E97" s="24">
        <v>0.98582547198754811</v>
      </c>
      <c r="F97" s="24">
        <v>1</v>
      </c>
      <c r="G97" s="24">
        <v>1</v>
      </c>
      <c r="I97" s="8" t="str">
        <f t="shared" si="2"/>
        <v/>
      </c>
    </row>
    <row r="98" spans="1:9" x14ac:dyDescent="0.2">
      <c r="A98" s="7">
        <v>114</v>
      </c>
      <c r="B98" s="24">
        <v>0.86989756208357649</v>
      </c>
      <c r="C98" s="24">
        <v>0.95688731829193419</v>
      </c>
      <c r="D98" s="24">
        <v>1</v>
      </c>
      <c r="E98" s="24">
        <v>1</v>
      </c>
      <c r="F98" s="24">
        <v>1</v>
      </c>
      <c r="G98" s="24">
        <v>1</v>
      </c>
      <c r="I98" s="8" t="str">
        <f t="shared" ref="I98:I104" si="3">IF(COUNTIF(B98:G98,1)=6,A98,"")</f>
        <v/>
      </c>
    </row>
    <row r="99" spans="1:9" x14ac:dyDescent="0.2">
      <c r="A99" s="7">
        <v>115</v>
      </c>
      <c r="B99" s="24">
        <v>1</v>
      </c>
      <c r="C99" s="24">
        <v>1</v>
      </c>
      <c r="D99" s="24">
        <v>1</v>
      </c>
      <c r="E99" s="24">
        <v>1</v>
      </c>
      <c r="F99" s="24">
        <v>1</v>
      </c>
      <c r="G99" s="24">
        <v>1</v>
      </c>
      <c r="I99" s="8">
        <f t="shared" si="3"/>
        <v>115</v>
      </c>
    </row>
    <row r="100" spans="1:9" x14ac:dyDescent="0.2">
      <c r="A100" s="7">
        <v>116</v>
      </c>
      <c r="B100" s="24">
        <v>1</v>
      </c>
      <c r="C100" s="24">
        <v>1</v>
      </c>
      <c r="D100" s="24">
        <v>1</v>
      </c>
      <c r="E100" s="24">
        <v>1</v>
      </c>
      <c r="F100" s="24">
        <v>1</v>
      </c>
      <c r="G100" s="24">
        <v>1</v>
      </c>
      <c r="I100" s="8">
        <f t="shared" si="3"/>
        <v>116</v>
      </c>
    </row>
    <row r="101" spans="1:9" x14ac:dyDescent="0.2">
      <c r="A101" s="7">
        <v>117</v>
      </c>
      <c r="B101" s="24">
        <v>1</v>
      </c>
      <c r="C101" s="24">
        <v>1</v>
      </c>
      <c r="D101" s="24">
        <v>1</v>
      </c>
      <c r="E101" s="24">
        <v>1</v>
      </c>
      <c r="F101" s="24">
        <v>1</v>
      </c>
      <c r="G101" s="24">
        <v>1</v>
      </c>
      <c r="I101" s="8">
        <f t="shared" si="3"/>
        <v>117</v>
      </c>
    </row>
    <row r="102" spans="1:9" x14ac:dyDescent="0.2">
      <c r="A102" s="7">
        <v>118</v>
      </c>
      <c r="B102" s="24">
        <v>1</v>
      </c>
      <c r="C102" s="24">
        <v>1</v>
      </c>
      <c r="D102" s="24">
        <v>1</v>
      </c>
      <c r="E102" s="24">
        <v>1</v>
      </c>
      <c r="F102" s="24">
        <v>1</v>
      </c>
      <c r="G102" s="24">
        <v>1</v>
      </c>
      <c r="I102" s="8">
        <f t="shared" si="3"/>
        <v>118</v>
      </c>
    </row>
    <row r="103" spans="1:9" x14ac:dyDescent="0.2">
      <c r="A103" s="7">
        <v>119</v>
      </c>
      <c r="B103" s="24">
        <v>1</v>
      </c>
      <c r="C103" s="24">
        <v>1</v>
      </c>
      <c r="D103" s="24">
        <v>1</v>
      </c>
      <c r="E103" s="24">
        <v>1</v>
      </c>
      <c r="F103" s="24">
        <v>1</v>
      </c>
      <c r="G103" s="24">
        <v>1</v>
      </c>
      <c r="I103" s="8">
        <f t="shared" si="3"/>
        <v>119</v>
      </c>
    </row>
    <row r="104" spans="1:9" x14ac:dyDescent="0.2">
      <c r="A104" s="7">
        <v>120</v>
      </c>
      <c r="B104" s="24">
        <v>1</v>
      </c>
      <c r="C104" s="24">
        <v>1</v>
      </c>
      <c r="D104" s="24">
        <v>1</v>
      </c>
      <c r="E104" s="24">
        <v>1</v>
      </c>
      <c r="F104" s="24">
        <v>1</v>
      </c>
      <c r="G104" s="24">
        <v>1</v>
      </c>
      <c r="I104" s="8">
        <f t="shared" si="3"/>
        <v>120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152"/>
  <sheetViews>
    <sheetView workbookViewId="0"/>
  </sheetViews>
  <sheetFormatPr baseColWidth="10" defaultColWidth="8.83203125" defaultRowHeight="15" x14ac:dyDescent="0.2"/>
  <cols>
    <col min="1" max="1" width="8" customWidth="1"/>
    <col min="2" max="2" width="15" customWidth="1"/>
  </cols>
  <sheetData>
    <row r="1" spans="1:2" x14ac:dyDescent="0.2">
      <c r="A1" s="10" t="s">
        <v>169</v>
      </c>
      <c r="B1" s="10" t="s">
        <v>170</v>
      </c>
    </row>
    <row r="2" spans="1:2" x14ac:dyDescent="0.2">
      <c r="A2" s="7">
        <v>0</v>
      </c>
      <c r="B2" s="23">
        <v>0</v>
      </c>
    </row>
    <row r="3" spans="1:2" x14ac:dyDescent="0.2">
      <c r="A3" s="7">
        <v>1</v>
      </c>
      <c r="B3" s="23">
        <v>5.5500000000000002E-3</v>
      </c>
    </row>
    <row r="4" spans="1:2" x14ac:dyDescent="0.2">
      <c r="A4" s="7">
        <v>2</v>
      </c>
      <c r="B4" s="23">
        <v>6.8400000000000006E-3</v>
      </c>
    </row>
    <row r="5" spans="1:2" x14ac:dyDescent="0.2">
      <c r="A5" s="7">
        <v>3</v>
      </c>
      <c r="B5" s="23">
        <v>7.8799999999999999E-3</v>
      </c>
    </row>
    <row r="6" spans="1:2" x14ac:dyDescent="0.2">
      <c r="A6" s="7">
        <v>4</v>
      </c>
      <c r="B6" s="23">
        <v>8.6599999999999993E-3</v>
      </c>
    </row>
    <row r="7" spans="1:2" x14ac:dyDescent="0.2">
      <c r="A7" s="7">
        <v>5</v>
      </c>
      <c r="B7" s="23">
        <v>9.3699999999999999E-3</v>
      </c>
    </row>
    <row r="8" spans="1:2" x14ac:dyDescent="0.2">
      <c r="A8" s="7">
        <v>6</v>
      </c>
      <c r="B8" s="23">
        <v>9.9699999999999997E-3</v>
      </c>
    </row>
    <row r="9" spans="1:2" x14ac:dyDescent="0.2">
      <c r="A9" s="7">
        <v>7</v>
      </c>
      <c r="B9" s="23">
        <v>1.0500000000000001E-2</v>
      </c>
    </row>
    <row r="10" spans="1:2" x14ac:dyDescent="0.2">
      <c r="A10" s="7">
        <v>8</v>
      </c>
      <c r="B10" s="23">
        <v>1.098E-2</v>
      </c>
    </row>
    <row r="11" spans="1:2" x14ac:dyDescent="0.2">
      <c r="A11" s="7">
        <v>9</v>
      </c>
      <c r="B11" s="23">
        <v>1.1440000000000001E-2</v>
      </c>
    </row>
    <row r="12" spans="1:2" x14ac:dyDescent="0.2">
      <c r="A12" s="7">
        <v>10</v>
      </c>
      <c r="B12" s="23">
        <v>1.188E-2</v>
      </c>
    </row>
    <row r="13" spans="1:2" x14ac:dyDescent="0.2">
      <c r="A13" s="7">
        <v>11</v>
      </c>
      <c r="B13" s="23">
        <v>1.226E-2</v>
      </c>
    </row>
    <row r="14" spans="1:2" x14ac:dyDescent="0.2">
      <c r="A14" s="7">
        <v>12</v>
      </c>
      <c r="B14" s="23">
        <v>1.259E-2</v>
      </c>
    </row>
    <row r="15" spans="1:2" x14ac:dyDescent="0.2">
      <c r="A15" s="7">
        <v>13</v>
      </c>
      <c r="B15" s="23">
        <v>1.285E-2</v>
      </c>
    </row>
    <row r="16" spans="1:2" x14ac:dyDescent="0.2">
      <c r="A16" s="7">
        <v>14</v>
      </c>
      <c r="B16" s="23">
        <v>1.308E-2</v>
      </c>
    </row>
    <row r="17" spans="1:2" x14ac:dyDescent="0.2">
      <c r="A17" s="7">
        <v>15</v>
      </c>
      <c r="B17" s="23">
        <v>1.3299999999999999E-2</v>
      </c>
    </row>
    <row r="18" spans="1:2" x14ac:dyDescent="0.2">
      <c r="A18" s="7">
        <v>16</v>
      </c>
      <c r="B18" s="23">
        <v>1.345E-2</v>
      </c>
    </row>
    <row r="19" spans="1:2" x14ac:dyDescent="0.2">
      <c r="A19" s="7">
        <v>17</v>
      </c>
      <c r="B19" s="23">
        <v>1.358E-2</v>
      </c>
    </row>
    <row r="20" spans="1:2" x14ac:dyDescent="0.2">
      <c r="A20" s="7">
        <v>18</v>
      </c>
      <c r="B20" s="23">
        <v>1.3679999999999999E-2</v>
      </c>
    </row>
    <row r="21" spans="1:2" x14ac:dyDescent="0.2">
      <c r="A21" s="7">
        <v>19</v>
      </c>
      <c r="B21" s="23">
        <v>1.375E-2</v>
      </c>
    </row>
    <row r="22" spans="1:2" x14ac:dyDescent="0.2">
      <c r="A22" s="7">
        <v>20</v>
      </c>
      <c r="B22" s="23">
        <v>1.3780000000000001E-2</v>
      </c>
    </row>
    <row r="23" spans="1:2" x14ac:dyDescent="0.2">
      <c r="A23" s="7">
        <v>21</v>
      </c>
      <c r="B23" s="23">
        <v>1.379E-2</v>
      </c>
    </row>
    <row r="24" spans="1:2" x14ac:dyDescent="0.2">
      <c r="A24" s="7">
        <v>22</v>
      </c>
      <c r="B24" s="23">
        <v>1.376E-2</v>
      </c>
    </row>
    <row r="25" spans="1:2" x14ac:dyDescent="0.2">
      <c r="A25" s="7">
        <v>23</v>
      </c>
      <c r="B25" s="23">
        <v>1.3729999999999999E-2</v>
      </c>
    </row>
    <row r="26" spans="1:2" x14ac:dyDescent="0.2">
      <c r="A26" s="7">
        <v>24</v>
      </c>
      <c r="B26" s="23">
        <v>1.3690000000000001E-2</v>
      </c>
    </row>
    <row r="27" spans="1:2" x14ac:dyDescent="0.2">
      <c r="A27" s="7">
        <v>25</v>
      </c>
      <c r="B27" s="23">
        <v>1.3650000000000001E-2</v>
      </c>
    </row>
    <row r="28" spans="1:2" x14ac:dyDescent="0.2">
      <c r="A28" s="7">
        <v>26</v>
      </c>
      <c r="B28" s="23">
        <v>1.3610000000000001E-2</v>
      </c>
    </row>
    <row r="29" spans="1:2" x14ac:dyDescent="0.2">
      <c r="A29" s="7">
        <v>27</v>
      </c>
      <c r="B29" s="23">
        <v>1.3559999999999999E-2</v>
      </c>
    </row>
    <row r="30" spans="1:2" x14ac:dyDescent="0.2">
      <c r="A30" s="7">
        <v>28</v>
      </c>
      <c r="B30" s="23">
        <v>1.3509999999999999E-2</v>
      </c>
    </row>
    <row r="31" spans="1:2" x14ac:dyDescent="0.2">
      <c r="A31" s="7">
        <v>29</v>
      </c>
      <c r="B31" s="23">
        <v>1.346E-2</v>
      </c>
    </row>
    <row r="32" spans="1:2" x14ac:dyDescent="0.2">
      <c r="A32" s="7">
        <v>30</v>
      </c>
      <c r="B32" s="23">
        <v>1.34E-2</v>
      </c>
    </row>
    <row r="33" spans="1:2" x14ac:dyDescent="0.2">
      <c r="A33" s="7">
        <v>31</v>
      </c>
      <c r="B33" s="23">
        <v>1.333E-2</v>
      </c>
    </row>
    <row r="34" spans="1:2" x14ac:dyDescent="0.2">
      <c r="A34" s="7">
        <v>32</v>
      </c>
      <c r="B34" s="23">
        <v>1.325E-2</v>
      </c>
    </row>
    <row r="35" spans="1:2" x14ac:dyDescent="0.2">
      <c r="A35" s="7">
        <v>33</v>
      </c>
      <c r="B35" s="23">
        <v>1.316E-2</v>
      </c>
    </row>
    <row r="36" spans="1:2" x14ac:dyDescent="0.2">
      <c r="A36" s="7">
        <v>34</v>
      </c>
      <c r="B36" s="23">
        <v>1.306E-2</v>
      </c>
    </row>
    <row r="37" spans="1:2" x14ac:dyDescent="0.2">
      <c r="A37" s="7">
        <v>35</v>
      </c>
      <c r="B37" s="23">
        <v>1.295E-2</v>
      </c>
    </row>
    <row r="38" spans="1:2" x14ac:dyDescent="0.2">
      <c r="A38" s="7">
        <v>36</v>
      </c>
      <c r="B38" s="23">
        <v>1.2829999999999999E-2</v>
      </c>
    </row>
    <row r="39" spans="1:2" x14ac:dyDescent="0.2">
      <c r="A39" s="7">
        <v>37</v>
      </c>
      <c r="B39" s="23">
        <v>1.2710000000000001E-2</v>
      </c>
    </row>
    <row r="40" spans="1:2" x14ac:dyDescent="0.2">
      <c r="A40" s="7">
        <v>38</v>
      </c>
      <c r="B40" s="23">
        <v>1.26E-2</v>
      </c>
    </row>
    <row r="41" spans="1:2" x14ac:dyDescent="0.2">
      <c r="A41" s="7">
        <v>39</v>
      </c>
      <c r="B41" s="23">
        <v>1.2500000000000001E-2</v>
      </c>
    </row>
    <row r="42" spans="1:2" x14ac:dyDescent="0.2">
      <c r="A42" s="7">
        <v>40</v>
      </c>
      <c r="B42" s="23">
        <v>1.2409999999999999E-2</v>
      </c>
    </row>
    <row r="43" spans="1:2" x14ac:dyDescent="0.2">
      <c r="A43" s="7">
        <v>41</v>
      </c>
      <c r="B43" s="23">
        <v>1.235E-2</v>
      </c>
    </row>
    <row r="44" spans="1:2" x14ac:dyDescent="0.2">
      <c r="A44" s="7">
        <v>42</v>
      </c>
      <c r="B44" s="23">
        <v>1.2290000000000001E-2</v>
      </c>
    </row>
    <row r="45" spans="1:2" x14ac:dyDescent="0.2">
      <c r="A45" s="7">
        <v>43</v>
      </c>
      <c r="B45" s="23">
        <v>1.222E-2</v>
      </c>
    </row>
    <row r="46" spans="1:2" x14ac:dyDescent="0.2">
      <c r="A46" s="7">
        <v>44</v>
      </c>
      <c r="B46" s="23">
        <v>1.214E-2</v>
      </c>
    </row>
    <row r="47" spans="1:2" x14ac:dyDescent="0.2">
      <c r="A47" s="7">
        <v>45</v>
      </c>
      <c r="B47" s="23">
        <v>1.2030000000000001E-2</v>
      </c>
    </row>
    <row r="48" spans="1:2" x14ac:dyDescent="0.2">
      <c r="A48" s="7">
        <v>46</v>
      </c>
      <c r="B48" s="23">
        <v>1.1900000000000001E-2</v>
      </c>
    </row>
    <row r="49" spans="1:2" x14ac:dyDescent="0.2">
      <c r="A49" s="7">
        <v>47</v>
      </c>
      <c r="B49" s="23">
        <v>1.1780000000000001E-2</v>
      </c>
    </row>
    <row r="50" spans="1:2" x14ac:dyDescent="0.2">
      <c r="A50" s="7">
        <v>48</v>
      </c>
      <c r="B50" s="23">
        <v>1.1679999999999999E-2</v>
      </c>
    </row>
    <row r="51" spans="1:2" x14ac:dyDescent="0.2">
      <c r="A51" s="7">
        <v>49</v>
      </c>
      <c r="B51" s="23">
        <v>1.1639999999999999E-2</v>
      </c>
    </row>
    <row r="52" spans="1:2" x14ac:dyDescent="0.2">
      <c r="A52" s="7">
        <v>50</v>
      </c>
      <c r="B52" s="23">
        <v>1.166E-2</v>
      </c>
    </row>
    <row r="53" spans="1:2" x14ac:dyDescent="0.2">
      <c r="A53" s="7">
        <v>51</v>
      </c>
      <c r="B53" s="23">
        <v>1.1769999999999999E-2</v>
      </c>
    </row>
    <row r="54" spans="1:2" x14ac:dyDescent="0.2">
      <c r="A54" s="7">
        <v>52</v>
      </c>
      <c r="B54" s="23">
        <v>1.193E-2</v>
      </c>
    </row>
    <row r="55" spans="1:2" x14ac:dyDescent="0.2">
      <c r="A55" s="7">
        <v>53</v>
      </c>
      <c r="B55" s="23">
        <v>1.2149999999999999E-2</v>
      </c>
    </row>
    <row r="56" spans="1:2" x14ac:dyDescent="0.2">
      <c r="A56" s="7">
        <v>54</v>
      </c>
      <c r="B56" s="23">
        <v>1.2409999999999999E-2</v>
      </c>
    </row>
    <row r="57" spans="1:2" x14ac:dyDescent="0.2">
      <c r="A57" s="7">
        <v>55</v>
      </c>
      <c r="B57" s="23">
        <v>1.2699999999999999E-2</v>
      </c>
    </row>
    <row r="58" spans="1:2" x14ac:dyDescent="0.2">
      <c r="A58" s="7">
        <v>56</v>
      </c>
      <c r="B58" s="23">
        <v>1.3010000000000001E-2</v>
      </c>
    </row>
    <row r="59" spans="1:2" x14ac:dyDescent="0.2">
      <c r="A59" s="7">
        <v>57</v>
      </c>
      <c r="B59" s="23">
        <v>1.333E-2</v>
      </c>
    </row>
    <row r="60" spans="1:2" x14ac:dyDescent="0.2">
      <c r="A60" s="7">
        <v>58</v>
      </c>
      <c r="B60" s="23">
        <v>1.367E-2</v>
      </c>
    </row>
    <row r="61" spans="1:2" x14ac:dyDescent="0.2">
      <c r="A61" s="7">
        <v>59</v>
      </c>
      <c r="B61" s="23">
        <v>1.4019999999999999E-2</v>
      </c>
    </row>
    <row r="62" spans="1:2" x14ac:dyDescent="0.2">
      <c r="A62" s="7">
        <v>60</v>
      </c>
      <c r="B62" s="23">
        <v>1.4370000000000001E-2</v>
      </c>
    </row>
    <row r="63" spans="1:2" x14ac:dyDescent="0.2">
      <c r="A63" s="7">
        <v>61</v>
      </c>
      <c r="B63" s="23">
        <v>1.473E-2</v>
      </c>
    </row>
    <row r="64" spans="1:2" x14ac:dyDescent="0.2">
      <c r="A64" s="7">
        <v>62</v>
      </c>
      <c r="B64" s="23">
        <v>1.508E-2</v>
      </c>
    </row>
    <row r="65" spans="1:2" x14ac:dyDescent="0.2">
      <c r="A65" s="7">
        <v>63</v>
      </c>
      <c r="B65" s="23">
        <v>1.5429999999999999E-2</v>
      </c>
    </row>
    <row r="66" spans="1:2" x14ac:dyDescent="0.2">
      <c r="A66" s="7">
        <v>64</v>
      </c>
      <c r="B66" s="23">
        <v>1.5789999999999998E-2</v>
      </c>
    </row>
    <row r="67" spans="1:2" x14ac:dyDescent="0.2">
      <c r="A67" s="7">
        <v>65</v>
      </c>
      <c r="B67" s="23">
        <v>1.6129999999999999E-2</v>
      </c>
    </row>
    <row r="68" spans="1:2" x14ac:dyDescent="0.2">
      <c r="A68" s="7">
        <v>66</v>
      </c>
      <c r="B68" s="23">
        <v>1.6480000000000002E-2</v>
      </c>
    </row>
    <row r="69" spans="1:2" x14ac:dyDescent="0.2">
      <c r="A69" s="7">
        <v>67</v>
      </c>
      <c r="B69" s="23">
        <v>1.6820000000000002E-2</v>
      </c>
    </row>
    <row r="70" spans="1:2" x14ac:dyDescent="0.2">
      <c r="A70" s="7">
        <v>68</v>
      </c>
      <c r="B70" s="23">
        <v>1.7149999999999999E-2</v>
      </c>
    </row>
    <row r="71" spans="1:2" x14ac:dyDescent="0.2">
      <c r="A71" s="7">
        <v>69</v>
      </c>
      <c r="B71" s="23">
        <v>1.7479999999999999E-2</v>
      </c>
    </row>
    <row r="72" spans="1:2" x14ac:dyDescent="0.2">
      <c r="A72" s="7">
        <v>70</v>
      </c>
      <c r="B72" s="23">
        <v>1.78E-2</v>
      </c>
    </row>
    <row r="73" spans="1:2" x14ac:dyDescent="0.2">
      <c r="A73" s="7">
        <v>71</v>
      </c>
      <c r="B73" s="23">
        <v>1.8120000000000001E-2</v>
      </c>
    </row>
    <row r="74" spans="1:2" x14ac:dyDescent="0.2">
      <c r="A74" s="7">
        <v>72</v>
      </c>
      <c r="B74" s="23">
        <v>1.8429999999999998E-2</v>
      </c>
    </row>
    <row r="75" spans="1:2" x14ac:dyDescent="0.2">
      <c r="A75" s="7">
        <v>73</v>
      </c>
      <c r="B75" s="23">
        <v>1.874E-2</v>
      </c>
    </row>
    <row r="76" spans="1:2" x14ac:dyDescent="0.2">
      <c r="A76" s="7">
        <v>74</v>
      </c>
      <c r="B76" s="23">
        <v>1.9029999999999998E-2</v>
      </c>
    </row>
    <row r="77" spans="1:2" x14ac:dyDescent="0.2">
      <c r="A77" s="7">
        <v>75</v>
      </c>
      <c r="B77" s="23">
        <v>1.933E-2</v>
      </c>
    </row>
    <row r="78" spans="1:2" x14ac:dyDescent="0.2">
      <c r="A78" s="7">
        <v>76</v>
      </c>
      <c r="B78" s="23">
        <v>1.9609999999999999E-2</v>
      </c>
    </row>
    <row r="79" spans="1:2" x14ac:dyDescent="0.2">
      <c r="A79" s="7">
        <v>77</v>
      </c>
      <c r="B79" s="23">
        <v>1.9890000000000001E-2</v>
      </c>
    </row>
    <row r="80" spans="1:2" x14ac:dyDescent="0.2">
      <c r="A80" s="7">
        <v>78</v>
      </c>
      <c r="B80" s="23">
        <v>2.0160000000000001E-2</v>
      </c>
    </row>
    <row r="81" spans="1:2" x14ac:dyDescent="0.2">
      <c r="A81" s="7">
        <v>79</v>
      </c>
      <c r="B81" s="23">
        <v>2.043E-2</v>
      </c>
    </row>
    <row r="82" spans="1:2" x14ac:dyDescent="0.2">
      <c r="A82" s="7">
        <v>80</v>
      </c>
      <c r="B82" s="23">
        <v>2.069E-2</v>
      </c>
    </row>
    <row r="83" spans="1:2" x14ac:dyDescent="0.2">
      <c r="A83" s="7">
        <v>81</v>
      </c>
      <c r="B83" s="23">
        <v>2.095E-2</v>
      </c>
    </row>
    <row r="84" spans="1:2" x14ac:dyDescent="0.2">
      <c r="A84" s="7">
        <v>82</v>
      </c>
      <c r="B84" s="23">
        <v>2.12E-2</v>
      </c>
    </row>
    <row r="85" spans="1:2" x14ac:dyDescent="0.2">
      <c r="A85" s="7">
        <v>83</v>
      </c>
      <c r="B85" s="23">
        <v>2.1440000000000001E-2</v>
      </c>
    </row>
    <row r="86" spans="1:2" x14ac:dyDescent="0.2">
      <c r="A86" s="7">
        <v>84</v>
      </c>
      <c r="B86" s="23">
        <v>2.1680000000000001E-2</v>
      </c>
    </row>
    <row r="87" spans="1:2" x14ac:dyDescent="0.2">
      <c r="A87" s="7">
        <v>85</v>
      </c>
      <c r="B87" s="23">
        <v>2.1919999999999999E-2</v>
      </c>
    </row>
    <row r="88" spans="1:2" x14ac:dyDescent="0.2">
      <c r="A88" s="7">
        <v>86</v>
      </c>
      <c r="B88" s="23">
        <v>2.215E-2</v>
      </c>
    </row>
    <row r="89" spans="1:2" x14ac:dyDescent="0.2">
      <c r="A89" s="7">
        <v>87</v>
      </c>
      <c r="B89" s="23">
        <v>2.2370000000000001E-2</v>
      </c>
    </row>
    <row r="90" spans="1:2" x14ac:dyDescent="0.2">
      <c r="A90" s="7">
        <v>88</v>
      </c>
      <c r="B90" s="23">
        <v>2.2589999999999999E-2</v>
      </c>
    </row>
    <row r="91" spans="1:2" x14ac:dyDescent="0.2">
      <c r="A91" s="7">
        <v>89</v>
      </c>
      <c r="B91" s="23">
        <v>2.2800000000000001E-2</v>
      </c>
    </row>
    <row r="92" spans="1:2" x14ac:dyDescent="0.2">
      <c r="A92" s="7">
        <v>90</v>
      </c>
      <c r="B92" s="23">
        <v>2.3009999999999999E-2</v>
      </c>
    </row>
    <row r="93" spans="1:2" x14ac:dyDescent="0.2">
      <c r="A93" s="7">
        <v>91</v>
      </c>
      <c r="B93" s="23">
        <v>2.3220000000000001E-2</v>
      </c>
    </row>
    <row r="94" spans="1:2" x14ac:dyDescent="0.2">
      <c r="A94" s="7">
        <v>92</v>
      </c>
      <c r="B94" s="23">
        <v>2.342E-2</v>
      </c>
    </row>
    <row r="95" spans="1:2" x14ac:dyDescent="0.2">
      <c r="A95" s="7">
        <v>93</v>
      </c>
      <c r="B95" s="23">
        <v>2.3619999999999999E-2</v>
      </c>
    </row>
    <row r="96" spans="1:2" x14ac:dyDescent="0.2">
      <c r="A96" s="7">
        <v>94</v>
      </c>
      <c r="B96" s="23">
        <v>2.3810000000000001E-2</v>
      </c>
    </row>
    <row r="97" spans="1:2" x14ac:dyDescent="0.2">
      <c r="A97" s="7">
        <v>95</v>
      </c>
      <c r="B97" s="23">
        <v>2.4E-2</v>
      </c>
    </row>
    <row r="98" spans="1:2" x14ac:dyDescent="0.2">
      <c r="A98" s="7">
        <v>96</v>
      </c>
      <c r="B98" s="23">
        <v>2.419E-2</v>
      </c>
    </row>
    <row r="99" spans="1:2" x14ac:dyDescent="0.2">
      <c r="A99" s="7">
        <v>97</v>
      </c>
      <c r="B99" s="23">
        <v>2.4369999999999999E-2</v>
      </c>
    </row>
    <row r="100" spans="1:2" x14ac:dyDescent="0.2">
      <c r="A100" s="7">
        <v>98</v>
      </c>
      <c r="B100" s="23">
        <v>2.4549999999999999E-2</v>
      </c>
    </row>
    <row r="101" spans="1:2" x14ac:dyDescent="0.2">
      <c r="A101" s="7">
        <v>99</v>
      </c>
      <c r="B101" s="23">
        <v>2.4719999999999999E-2</v>
      </c>
    </row>
    <row r="102" spans="1:2" x14ac:dyDescent="0.2">
      <c r="A102" s="7">
        <v>100</v>
      </c>
      <c r="B102" s="23">
        <v>2.4889999999999999E-2</v>
      </c>
    </row>
    <row r="103" spans="1:2" x14ac:dyDescent="0.2">
      <c r="A103" s="7">
        <v>101</v>
      </c>
      <c r="B103" s="23">
        <v>2.5059999999999999E-2</v>
      </c>
    </row>
    <row r="104" spans="1:2" x14ac:dyDescent="0.2">
      <c r="A104" s="7">
        <v>102</v>
      </c>
      <c r="B104" s="23">
        <v>2.5219999999999999E-2</v>
      </c>
    </row>
    <row r="105" spans="1:2" x14ac:dyDescent="0.2">
      <c r="A105" s="7">
        <v>103</v>
      </c>
      <c r="B105" s="23">
        <v>2.5389999999999999E-2</v>
      </c>
    </row>
    <row r="106" spans="1:2" x14ac:dyDescent="0.2">
      <c r="A106" s="7">
        <v>104</v>
      </c>
      <c r="B106" s="23">
        <v>2.554E-2</v>
      </c>
    </row>
    <row r="107" spans="1:2" x14ac:dyDescent="0.2">
      <c r="A107" s="7">
        <v>105</v>
      </c>
      <c r="B107" s="23">
        <v>2.5700000000000001E-2</v>
      </c>
    </row>
    <row r="108" spans="1:2" x14ac:dyDescent="0.2">
      <c r="A108" s="7">
        <v>106</v>
      </c>
      <c r="B108" s="23">
        <v>2.5850000000000001E-2</v>
      </c>
    </row>
    <row r="109" spans="1:2" x14ac:dyDescent="0.2">
      <c r="A109" s="7">
        <v>107</v>
      </c>
      <c r="B109" s="23">
        <v>2.5999999999999999E-2</v>
      </c>
    </row>
    <row r="110" spans="1:2" x14ac:dyDescent="0.2">
      <c r="A110" s="7">
        <v>108</v>
      </c>
      <c r="B110" s="23">
        <v>2.615E-2</v>
      </c>
    </row>
    <row r="111" spans="1:2" x14ac:dyDescent="0.2">
      <c r="A111" s="7">
        <v>109</v>
      </c>
      <c r="B111" s="23">
        <v>2.6290000000000001E-2</v>
      </c>
    </row>
    <row r="112" spans="1:2" x14ac:dyDescent="0.2">
      <c r="A112" s="7">
        <v>110</v>
      </c>
      <c r="B112" s="23">
        <v>2.6429999999999999E-2</v>
      </c>
    </row>
    <row r="113" spans="1:2" x14ac:dyDescent="0.2">
      <c r="A113" s="7">
        <v>111</v>
      </c>
      <c r="B113" s="23">
        <v>2.657E-2</v>
      </c>
    </row>
    <row r="114" spans="1:2" x14ac:dyDescent="0.2">
      <c r="A114" s="7">
        <v>112</v>
      </c>
      <c r="B114" s="23">
        <v>2.6710000000000001E-2</v>
      </c>
    </row>
    <row r="115" spans="1:2" x14ac:dyDescent="0.2">
      <c r="A115" s="7">
        <v>113</v>
      </c>
      <c r="B115" s="23">
        <v>2.6839999999999999E-2</v>
      </c>
    </row>
    <row r="116" spans="1:2" x14ac:dyDescent="0.2">
      <c r="A116" s="7">
        <v>114</v>
      </c>
      <c r="B116" s="23">
        <v>2.6980000000000001E-2</v>
      </c>
    </row>
    <row r="117" spans="1:2" x14ac:dyDescent="0.2">
      <c r="A117" s="7">
        <v>115</v>
      </c>
      <c r="B117" s="23">
        <v>2.7109999999999999E-2</v>
      </c>
    </row>
    <row r="118" spans="1:2" x14ac:dyDescent="0.2">
      <c r="A118" s="7">
        <v>116</v>
      </c>
      <c r="B118" s="23">
        <v>2.7230000000000001E-2</v>
      </c>
    </row>
    <row r="119" spans="1:2" x14ac:dyDescent="0.2">
      <c r="A119" s="7">
        <v>117</v>
      </c>
      <c r="B119" s="23">
        <v>2.7359999999999999E-2</v>
      </c>
    </row>
    <row r="120" spans="1:2" x14ac:dyDescent="0.2">
      <c r="A120" s="7">
        <v>118</v>
      </c>
      <c r="B120" s="23">
        <v>2.7480000000000001E-2</v>
      </c>
    </row>
    <row r="121" spans="1:2" x14ac:dyDescent="0.2">
      <c r="A121" s="7">
        <v>119</v>
      </c>
      <c r="B121" s="23">
        <v>2.76E-2</v>
      </c>
    </row>
    <row r="122" spans="1:2" x14ac:dyDescent="0.2">
      <c r="A122" s="7">
        <v>120</v>
      </c>
      <c r="B122" s="23">
        <v>2.7720000000000002E-2</v>
      </c>
    </row>
    <row r="123" spans="1:2" x14ac:dyDescent="0.2">
      <c r="A123" s="7">
        <v>121</v>
      </c>
      <c r="B123" s="23">
        <v>2.784E-2</v>
      </c>
    </row>
    <row r="124" spans="1:2" x14ac:dyDescent="0.2">
      <c r="A124" s="7">
        <v>122</v>
      </c>
      <c r="B124" s="23">
        <v>2.7949999999999999E-2</v>
      </c>
    </row>
    <row r="125" spans="1:2" x14ac:dyDescent="0.2">
      <c r="A125" s="7">
        <v>123</v>
      </c>
      <c r="B125" s="23">
        <v>2.8070000000000001E-2</v>
      </c>
    </row>
    <row r="126" spans="1:2" x14ac:dyDescent="0.2">
      <c r="A126" s="7">
        <v>124</v>
      </c>
      <c r="B126" s="23">
        <v>2.818E-2</v>
      </c>
    </row>
    <row r="127" spans="1:2" x14ac:dyDescent="0.2">
      <c r="A127" s="7">
        <v>125</v>
      </c>
      <c r="B127" s="23">
        <v>2.8289999999999999E-2</v>
      </c>
    </row>
    <row r="128" spans="1:2" x14ac:dyDescent="0.2">
      <c r="A128" s="7">
        <v>126</v>
      </c>
      <c r="B128" s="23">
        <v>2.8400000000000002E-2</v>
      </c>
    </row>
    <row r="129" spans="1:2" x14ac:dyDescent="0.2">
      <c r="A129" s="7">
        <v>127</v>
      </c>
      <c r="B129" s="23">
        <v>2.8500000000000001E-2</v>
      </c>
    </row>
    <row r="130" spans="1:2" x14ac:dyDescent="0.2">
      <c r="A130" s="7">
        <v>128</v>
      </c>
      <c r="B130" s="23">
        <v>2.861000000000001E-2</v>
      </c>
    </row>
    <row r="131" spans="1:2" x14ac:dyDescent="0.2">
      <c r="A131" s="7">
        <v>129</v>
      </c>
      <c r="B131" s="23">
        <v>2.871000000000001E-2</v>
      </c>
    </row>
    <row r="132" spans="1:2" x14ac:dyDescent="0.2">
      <c r="A132" s="7">
        <v>130</v>
      </c>
      <c r="B132" s="23">
        <v>2.8809999999999999E-2</v>
      </c>
    </row>
    <row r="133" spans="1:2" x14ac:dyDescent="0.2">
      <c r="A133" s="7">
        <v>131</v>
      </c>
      <c r="B133" s="23">
        <v>2.8910000000000002E-2</v>
      </c>
    </row>
    <row r="134" spans="1:2" x14ac:dyDescent="0.2">
      <c r="A134" s="7">
        <v>132</v>
      </c>
      <c r="B134" s="23">
        <v>2.9010000000000001E-2</v>
      </c>
    </row>
    <row r="135" spans="1:2" x14ac:dyDescent="0.2">
      <c r="A135" s="7">
        <v>133</v>
      </c>
      <c r="B135" s="23">
        <v>2.9110000000000011E-2</v>
      </c>
    </row>
    <row r="136" spans="1:2" x14ac:dyDescent="0.2">
      <c r="A136" s="7">
        <v>134</v>
      </c>
      <c r="B136" s="23">
        <v>2.92E-2</v>
      </c>
    </row>
    <row r="137" spans="1:2" x14ac:dyDescent="0.2">
      <c r="A137" s="7">
        <v>135</v>
      </c>
      <c r="B137" s="23">
        <v>2.93E-2</v>
      </c>
    </row>
    <row r="138" spans="1:2" x14ac:dyDescent="0.2">
      <c r="A138" s="7">
        <v>136</v>
      </c>
      <c r="B138" s="23">
        <v>2.9389999999999999E-2</v>
      </c>
    </row>
    <row r="139" spans="1:2" x14ac:dyDescent="0.2">
      <c r="A139" s="7">
        <v>137</v>
      </c>
      <c r="B139" s="23">
        <v>2.948000000000001E-2</v>
      </c>
    </row>
    <row r="140" spans="1:2" x14ac:dyDescent="0.2">
      <c r="A140" s="7">
        <v>138</v>
      </c>
      <c r="B140" s="23">
        <v>2.9569999999999999E-2</v>
      </c>
    </row>
    <row r="141" spans="1:2" x14ac:dyDescent="0.2">
      <c r="A141" s="7">
        <v>139</v>
      </c>
      <c r="B141" s="23">
        <v>2.9659999999999999E-2</v>
      </c>
    </row>
    <row r="142" spans="1:2" x14ac:dyDescent="0.2">
      <c r="A142" s="7">
        <v>140</v>
      </c>
      <c r="B142" s="23">
        <v>2.9749999999999999E-2</v>
      </c>
    </row>
    <row r="143" spans="1:2" x14ac:dyDescent="0.2">
      <c r="A143" s="7">
        <v>141</v>
      </c>
      <c r="B143" s="23">
        <v>2.9839999999999998E-2</v>
      </c>
    </row>
    <row r="144" spans="1:2" x14ac:dyDescent="0.2">
      <c r="A144" s="7">
        <v>142</v>
      </c>
      <c r="B144" s="23">
        <v>2.9919999999999999E-2</v>
      </c>
    </row>
    <row r="145" spans="1:2" x14ac:dyDescent="0.2">
      <c r="A145" s="7">
        <v>143</v>
      </c>
      <c r="B145" s="23">
        <v>3.0009999999999998E-2</v>
      </c>
    </row>
    <row r="146" spans="1:2" x14ac:dyDescent="0.2">
      <c r="A146" s="7">
        <v>144</v>
      </c>
      <c r="B146" s="23">
        <v>3.0089999999999999E-2</v>
      </c>
    </row>
    <row r="147" spans="1:2" x14ac:dyDescent="0.2">
      <c r="A147" s="7">
        <v>145</v>
      </c>
      <c r="B147" s="23">
        <v>3.0169999999999999E-2</v>
      </c>
    </row>
    <row r="148" spans="1:2" x14ac:dyDescent="0.2">
      <c r="A148" s="7">
        <v>146</v>
      </c>
      <c r="B148" s="23">
        <v>3.0249999999999999E-2</v>
      </c>
    </row>
    <row r="149" spans="1:2" x14ac:dyDescent="0.2">
      <c r="A149" s="7">
        <v>147</v>
      </c>
      <c r="B149" s="23">
        <v>3.033000000000001E-2</v>
      </c>
    </row>
    <row r="150" spans="1:2" x14ac:dyDescent="0.2">
      <c r="A150" s="7">
        <v>148</v>
      </c>
      <c r="B150" s="23">
        <v>3.041000000000001E-2</v>
      </c>
    </row>
    <row r="151" spans="1:2" x14ac:dyDescent="0.2">
      <c r="A151" s="7">
        <v>149</v>
      </c>
      <c r="B151" s="23">
        <v>3.049E-2</v>
      </c>
    </row>
    <row r="152" spans="1:2" x14ac:dyDescent="0.2">
      <c r="A152" s="7">
        <v>150</v>
      </c>
      <c r="B152" s="23">
        <v>3.0560000000000011E-2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12"/>
  <sheetViews>
    <sheetView workbookViewId="0"/>
  </sheetViews>
  <sheetFormatPr baseColWidth="10" defaultColWidth="8.83203125" defaultRowHeight="15" x14ac:dyDescent="0.2"/>
  <cols>
    <col min="1" max="1" width="11" customWidth="1"/>
    <col min="2" max="4" width="10" customWidth="1"/>
  </cols>
  <sheetData>
    <row r="1" spans="1:4" x14ac:dyDescent="0.2">
      <c r="A1" s="10" t="s">
        <v>171</v>
      </c>
      <c r="B1" s="10" t="s">
        <v>156</v>
      </c>
      <c r="C1" s="10" t="s">
        <v>172</v>
      </c>
      <c r="D1" s="10" t="s">
        <v>158</v>
      </c>
    </row>
    <row r="2" spans="1:4" x14ac:dyDescent="0.2">
      <c r="A2" s="7">
        <v>0</v>
      </c>
      <c r="B2" s="23">
        <v>0.1</v>
      </c>
      <c r="C2" s="23">
        <v>0.08</v>
      </c>
      <c r="D2" s="23">
        <v>0.05</v>
      </c>
    </row>
    <row r="3" spans="1:4" x14ac:dyDescent="0.2">
      <c r="A3" s="7">
        <v>1</v>
      </c>
      <c r="B3" s="23">
        <v>9.0000000000000011E-2</v>
      </c>
      <c r="C3" s="23">
        <v>7.0000000000000007E-2</v>
      </c>
      <c r="D3" s="23">
        <v>0.04</v>
      </c>
    </row>
    <row r="4" spans="1:4" x14ac:dyDescent="0.2">
      <c r="A4" s="7">
        <v>2</v>
      </c>
      <c r="B4" s="23">
        <v>8.0000000000000016E-2</v>
      </c>
      <c r="C4" s="23">
        <v>0.06</v>
      </c>
      <c r="D4" s="23">
        <v>0.03</v>
      </c>
    </row>
    <row r="5" spans="1:4" x14ac:dyDescent="0.2">
      <c r="A5" s="7">
        <v>3</v>
      </c>
      <c r="B5" s="23">
        <v>7.0000000000000021E-2</v>
      </c>
      <c r="C5" s="23">
        <v>0.05</v>
      </c>
      <c r="D5" s="23">
        <v>0.02</v>
      </c>
    </row>
    <row r="6" spans="1:4" x14ac:dyDescent="0.2">
      <c r="A6" s="7">
        <v>4</v>
      </c>
      <c r="B6" s="23">
        <v>6.0000000000000019E-2</v>
      </c>
      <c r="C6" s="23">
        <v>0.04</v>
      </c>
      <c r="D6" s="23">
        <v>9.9999999999999967E-3</v>
      </c>
    </row>
    <row r="7" spans="1:4" x14ac:dyDescent="0.2">
      <c r="A7" s="7">
        <v>5</v>
      </c>
      <c r="B7" s="23">
        <v>5.0000000000000017E-2</v>
      </c>
      <c r="C7" s="23">
        <v>0.03</v>
      </c>
      <c r="D7" s="23">
        <v>0</v>
      </c>
    </row>
    <row r="8" spans="1:4" x14ac:dyDescent="0.2">
      <c r="A8" s="7">
        <v>6</v>
      </c>
      <c r="B8" s="23">
        <v>4.0000000000000008E-2</v>
      </c>
      <c r="C8" s="23">
        <v>0.02</v>
      </c>
      <c r="D8" s="23">
        <v>0</v>
      </c>
    </row>
    <row r="9" spans="1:4" x14ac:dyDescent="0.2">
      <c r="A9" s="7">
        <v>7</v>
      </c>
      <c r="B9" s="23">
        <v>3.0000000000000009E-2</v>
      </c>
      <c r="C9" s="23">
        <v>9.9999999999999967E-3</v>
      </c>
      <c r="D9" s="23">
        <v>0</v>
      </c>
    </row>
    <row r="10" spans="1:4" x14ac:dyDescent="0.2">
      <c r="A10" s="7">
        <v>8</v>
      </c>
      <c r="B10" s="23">
        <v>2.0000000000000011E-2</v>
      </c>
      <c r="C10" s="23">
        <v>0</v>
      </c>
      <c r="D10" s="23">
        <v>0</v>
      </c>
    </row>
    <row r="11" spans="1:4" x14ac:dyDescent="0.2">
      <c r="A11" s="7">
        <v>9</v>
      </c>
      <c r="B11" s="23">
        <v>1.0000000000000011E-2</v>
      </c>
      <c r="C11" s="23">
        <v>0</v>
      </c>
      <c r="D11" s="23">
        <v>0</v>
      </c>
    </row>
    <row r="12" spans="1:4" x14ac:dyDescent="0.2">
      <c r="A12" s="7">
        <v>10</v>
      </c>
      <c r="B12" s="23">
        <v>0</v>
      </c>
      <c r="C12" s="23">
        <v>0</v>
      </c>
      <c r="D12" s="23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QH12"/>
  <sheetViews>
    <sheetView workbookViewId="0">
      <pane xSplit="1" ySplit="2" topLeftCell="B3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10" customWidth="1"/>
  </cols>
  <sheetData>
    <row r="1" spans="1:1802" x14ac:dyDescent="0.2">
      <c r="A1" s="3" t="s">
        <v>173</v>
      </c>
    </row>
    <row r="2" spans="1:1802" x14ac:dyDescent="0.2">
      <c r="A2" s="10" t="s">
        <v>174</v>
      </c>
      <c r="B2" s="26">
        <v>0</v>
      </c>
      <c r="C2" s="26">
        <v>1</v>
      </c>
      <c r="D2" s="26">
        <v>2</v>
      </c>
      <c r="E2" s="26">
        <v>3</v>
      </c>
      <c r="F2" s="26">
        <v>4</v>
      </c>
      <c r="G2" s="26">
        <v>5</v>
      </c>
      <c r="H2" s="26">
        <v>6</v>
      </c>
      <c r="I2" s="26">
        <v>7</v>
      </c>
      <c r="J2" s="26">
        <v>8</v>
      </c>
      <c r="K2" s="26">
        <v>9</v>
      </c>
      <c r="L2" s="26">
        <v>10</v>
      </c>
      <c r="M2" s="26">
        <v>11</v>
      </c>
      <c r="N2" s="26">
        <v>12</v>
      </c>
      <c r="O2" s="26">
        <v>13</v>
      </c>
      <c r="P2" s="26">
        <v>14</v>
      </c>
      <c r="Q2" s="26">
        <v>15</v>
      </c>
      <c r="R2" s="26">
        <v>16</v>
      </c>
      <c r="S2" s="26">
        <v>17</v>
      </c>
      <c r="T2" s="26">
        <v>18</v>
      </c>
      <c r="U2" s="26">
        <v>19</v>
      </c>
      <c r="V2" s="26">
        <v>20</v>
      </c>
      <c r="W2" s="26">
        <v>21</v>
      </c>
      <c r="X2" s="26">
        <v>22</v>
      </c>
      <c r="Y2" s="26">
        <v>23</v>
      </c>
      <c r="Z2" s="26">
        <v>24</v>
      </c>
      <c r="AA2" s="26">
        <v>25</v>
      </c>
      <c r="AB2" s="26">
        <v>26</v>
      </c>
      <c r="AC2" s="26">
        <v>27</v>
      </c>
      <c r="AD2" s="26">
        <v>28</v>
      </c>
      <c r="AE2" s="26">
        <v>29</v>
      </c>
      <c r="AF2" s="26">
        <v>30</v>
      </c>
      <c r="AG2" s="26">
        <v>31</v>
      </c>
      <c r="AH2" s="26">
        <v>32</v>
      </c>
      <c r="AI2" s="26">
        <v>33</v>
      </c>
      <c r="AJ2" s="26">
        <v>34</v>
      </c>
      <c r="AK2" s="26">
        <v>35</v>
      </c>
      <c r="AL2" s="26">
        <v>36</v>
      </c>
      <c r="AM2" s="26">
        <v>37</v>
      </c>
      <c r="AN2" s="26">
        <v>38</v>
      </c>
      <c r="AO2" s="26">
        <v>39</v>
      </c>
      <c r="AP2" s="26">
        <v>40</v>
      </c>
      <c r="AQ2" s="26">
        <v>41</v>
      </c>
      <c r="AR2" s="26">
        <v>42</v>
      </c>
      <c r="AS2" s="26">
        <v>43</v>
      </c>
      <c r="AT2" s="26">
        <v>44</v>
      </c>
      <c r="AU2" s="26">
        <v>45</v>
      </c>
      <c r="AV2" s="26">
        <v>46</v>
      </c>
      <c r="AW2" s="26">
        <v>47</v>
      </c>
      <c r="AX2" s="26">
        <v>48</v>
      </c>
      <c r="AY2" s="26">
        <v>49</v>
      </c>
      <c r="AZ2" s="26">
        <v>50</v>
      </c>
      <c r="BA2" s="26">
        <v>51</v>
      </c>
      <c r="BB2" s="26">
        <v>52</v>
      </c>
      <c r="BC2" s="26">
        <v>53</v>
      </c>
      <c r="BD2" s="26">
        <v>54</v>
      </c>
      <c r="BE2" s="26">
        <v>55</v>
      </c>
      <c r="BF2" s="26">
        <v>56</v>
      </c>
      <c r="BG2" s="26">
        <v>57</v>
      </c>
      <c r="BH2" s="26">
        <v>58</v>
      </c>
      <c r="BI2" s="26">
        <v>59</v>
      </c>
      <c r="BJ2" s="26">
        <v>60</v>
      </c>
      <c r="BK2" s="26">
        <v>61</v>
      </c>
      <c r="BL2" s="26">
        <v>62</v>
      </c>
      <c r="BM2" s="26">
        <v>63</v>
      </c>
      <c r="BN2" s="26">
        <v>64</v>
      </c>
      <c r="BO2" s="26">
        <v>65</v>
      </c>
      <c r="BP2" s="26">
        <v>66</v>
      </c>
      <c r="BQ2" s="26">
        <v>67</v>
      </c>
      <c r="BR2" s="26">
        <v>68</v>
      </c>
      <c r="BS2" s="26">
        <v>69</v>
      </c>
      <c r="BT2" s="26">
        <v>70</v>
      </c>
      <c r="BU2" s="26">
        <v>71</v>
      </c>
      <c r="BV2" s="26">
        <v>72</v>
      </c>
      <c r="BW2" s="26">
        <v>73</v>
      </c>
      <c r="BX2" s="26">
        <v>74</v>
      </c>
      <c r="BY2" s="26">
        <v>75</v>
      </c>
      <c r="BZ2" s="26">
        <v>76</v>
      </c>
      <c r="CA2" s="26">
        <v>77</v>
      </c>
      <c r="CB2" s="26">
        <v>78</v>
      </c>
      <c r="CC2" s="26">
        <v>79</v>
      </c>
      <c r="CD2" s="26">
        <v>80</v>
      </c>
      <c r="CE2" s="26">
        <v>81</v>
      </c>
      <c r="CF2" s="26">
        <v>82</v>
      </c>
      <c r="CG2" s="26">
        <v>83</v>
      </c>
      <c r="CH2" s="26">
        <v>84</v>
      </c>
      <c r="CI2" s="26">
        <v>85</v>
      </c>
      <c r="CJ2" s="26">
        <v>86</v>
      </c>
      <c r="CK2" s="26">
        <v>87</v>
      </c>
      <c r="CL2" s="26">
        <v>88</v>
      </c>
      <c r="CM2" s="26">
        <v>89</v>
      </c>
      <c r="CN2" s="26">
        <v>90</v>
      </c>
      <c r="CO2" s="26">
        <v>91</v>
      </c>
      <c r="CP2" s="26">
        <v>92</v>
      </c>
      <c r="CQ2" s="26">
        <v>93</v>
      </c>
      <c r="CR2" s="26">
        <v>94</v>
      </c>
      <c r="CS2" s="26">
        <v>95</v>
      </c>
      <c r="CT2" s="26">
        <v>96</v>
      </c>
      <c r="CU2" s="26">
        <v>97</v>
      </c>
      <c r="CV2" s="26">
        <v>98</v>
      </c>
      <c r="CW2" s="26">
        <v>99</v>
      </c>
      <c r="CX2" s="26">
        <v>100</v>
      </c>
      <c r="CY2" s="26">
        <v>101</v>
      </c>
      <c r="CZ2" s="26">
        <v>102</v>
      </c>
      <c r="DA2" s="26">
        <v>103</v>
      </c>
      <c r="DB2" s="26">
        <v>104</v>
      </c>
      <c r="DC2" s="26">
        <v>105</v>
      </c>
      <c r="DD2" s="26">
        <v>106</v>
      </c>
      <c r="DE2" s="26">
        <v>107</v>
      </c>
      <c r="DF2" s="26">
        <v>108</v>
      </c>
      <c r="DG2" s="26">
        <v>109</v>
      </c>
      <c r="DH2" s="26">
        <v>110</v>
      </c>
      <c r="DI2" s="26">
        <v>111</v>
      </c>
      <c r="DJ2" s="26">
        <v>112</v>
      </c>
      <c r="DK2" s="26">
        <v>113</v>
      </c>
      <c r="DL2" s="26">
        <v>114</v>
      </c>
      <c r="DM2" s="26">
        <v>115</v>
      </c>
      <c r="DN2" s="26">
        <v>116</v>
      </c>
      <c r="DO2" s="26">
        <v>117</v>
      </c>
      <c r="DP2" s="26">
        <v>118</v>
      </c>
      <c r="DQ2" s="26">
        <v>119</v>
      </c>
      <c r="DR2" s="26">
        <v>120</v>
      </c>
      <c r="DS2" s="26">
        <v>121</v>
      </c>
      <c r="DT2" s="26">
        <v>122</v>
      </c>
      <c r="DU2" s="26">
        <v>123</v>
      </c>
      <c r="DV2" s="26">
        <v>124</v>
      </c>
      <c r="DW2" s="26">
        <v>125</v>
      </c>
      <c r="DX2" s="26">
        <v>126</v>
      </c>
      <c r="DY2" s="26">
        <v>127</v>
      </c>
      <c r="DZ2" s="26">
        <v>128</v>
      </c>
      <c r="EA2" s="26">
        <v>129</v>
      </c>
      <c r="EB2" s="26">
        <v>130</v>
      </c>
      <c r="EC2" s="26">
        <v>131</v>
      </c>
      <c r="ED2" s="26">
        <v>132</v>
      </c>
      <c r="EE2" s="26">
        <v>133</v>
      </c>
      <c r="EF2" s="26">
        <v>134</v>
      </c>
      <c r="EG2" s="26">
        <v>135</v>
      </c>
      <c r="EH2" s="26">
        <v>136</v>
      </c>
      <c r="EI2" s="26">
        <v>137</v>
      </c>
      <c r="EJ2" s="26">
        <v>138</v>
      </c>
      <c r="EK2" s="26">
        <v>139</v>
      </c>
      <c r="EL2" s="26">
        <v>140</v>
      </c>
      <c r="EM2" s="26">
        <v>141</v>
      </c>
      <c r="EN2" s="26">
        <v>142</v>
      </c>
      <c r="EO2" s="26">
        <v>143</v>
      </c>
      <c r="EP2" s="26">
        <v>144</v>
      </c>
      <c r="EQ2" s="26">
        <v>145</v>
      </c>
      <c r="ER2" s="26">
        <v>146</v>
      </c>
      <c r="ES2" s="26">
        <v>147</v>
      </c>
      <c r="ET2" s="26">
        <v>148</v>
      </c>
      <c r="EU2" s="26">
        <v>149</v>
      </c>
      <c r="EV2" s="26">
        <v>150</v>
      </c>
      <c r="EW2" s="26">
        <v>151</v>
      </c>
      <c r="EX2" s="26">
        <v>152</v>
      </c>
      <c r="EY2" s="26">
        <v>153</v>
      </c>
      <c r="EZ2" s="26">
        <v>154</v>
      </c>
      <c r="FA2" s="26">
        <v>155</v>
      </c>
      <c r="FB2" s="26">
        <v>156</v>
      </c>
      <c r="FC2" s="26">
        <v>157</v>
      </c>
      <c r="FD2" s="26">
        <v>158</v>
      </c>
      <c r="FE2" s="26">
        <v>159</v>
      </c>
      <c r="FF2" s="26">
        <v>160</v>
      </c>
      <c r="FG2" s="26">
        <v>161</v>
      </c>
      <c r="FH2" s="26">
        <v>162</v>
      </c>
      <c r="FI2" s="26">
        <v>163</v>
      </c>
      <c r="FJ2" s="26">
        <v>164</v>
      </c>
      <c r="FK2" s="26">
        <v>165</v>
      </c>
      <c r="FL2" s="26">
        <v>166</v>
      </c>
      <c r="FM2" s="26">
        <v>167</v>
      </c>
      <c r="FN2" s="26">
        <v>168</v>
      </c>
      <c r="FO2" s="26">
        <v>169</v>
      </c>
      <c r="FP2" s="26">
        <v>170</v>
      </c>
      <c r="FQ2" s="26">
        <v>171</v>
      </c>
      <c r="FR2" s="26">
        <v>172</v>
      </c>
      <c r="FS2" s="26">
        <v>173</v>
      </c>
      <c r="FT2" s="26">
        <v>174</v>
      </c>
      <c r="FU2" s="26">
        <v>175</v>
      </c>
      <c r="FV2" s="26">
        <v>176</v>
      </c>
      <c r="FW2" s="26">
        <v>177</v>
      </c>
      <c r="FX2" s="26">
        <v>178</v>
      </c>
      <c r="FY2" s="26">
        <v>179</v>
      </c>
      <c r="FZ2" s="26">
        <v>180</v>
      </c>
      <c r="GA2" s="26">
        <v>181</v>
      </c>
      <c r="GB2" s="26">
        <v>182</v>
      </c>
      <c r="GC2" s="26">
        <v>183</v>
      </c>
      <c r="GD2" s="26">
        <v>184</v>
      </c>
      <c r="GE2" s="26">
        <v>185</v>
      </c>
      <c r="GF2" s="26">
        <v>186</v>
      </c>
      <c r="GG2" s="26">
        <v>187</v>
      </c>
      <c r="GH2" s="26">
        <v>188</v>
      </c>
      <c r="GI2" s="26">
        <v>189</v>
      </c>
      <c r="GJ2" s="26">
        <v>190</v>
      </c>
      <c r="GK2" s="26">
        <v>191</v>
      </c>
      <c r="GL2" s="26">
        <v>192</v>
      </c>
      <c r="GM2" s="26">
        <v>193</v>
      </c>
      <c r="GN2" s="26">
        <v>194</v>
      </c>
      <c r="GO2" s="26">
        <v>195</v>
      </c>
      <c r="GP2" s="26">
        <v>196</v>
      </c>
      <c r="GQ2" s="26">
        <v>197</v>
      </c>
      <c r="GR2" s="26">
        <v>198</v>
      </c>
      <c r="GS2" s="26">
        <v>199</v>
      </c>
      <c r="GT2" s="26">
        <v>200</v>
      </c>
      <c r="GU2" s="26">
        <v>201</v>
      </c>
      <c r="GV2" s="26">
        <v>202</v>
      </c>
      <c r="GW2" s="26">
        <v>203</v>
      </c>
      <c r="GX2" s="26">
        <v>204</v>
      </c>
      <c r="GY2" s="26">
        <v>205</v>
      </c>
      <c r="GZ2" s="26">
        <v>206</v>
      </c>
      <c r="HA2" s="26">
        <v>207</v>
      </c>
      <c r="HB2" s="26">
        <v>208</v>
      </c>
      <c r="HC2" s="26">
        <v>209</v>
      </c>
      <c r="HD2" s="26">
        <v>210</v>
      </c>
      <c r="HE2" s="26">
        <v>211</v>
      </c>
      <c r="HF2" s="26">
        <v>212</v>
      </c>
      <c r="HG2" s="26">
        <v>213</v>
      </c>
      <c r="HH2" s="26">
        <v>214</v>
      </c>
      <c r="HI2" s="26">
        <v>215</v>
      </c>
      <c r="HJ2" s="26">
        <v>216</v>
      </c>
      <c r="HK2" s="26">
        <v>217</v>
      </c>
      <c r="HL2" s="26">
        <v>218</v>
      </c>
      <c r="HM2" s="26">
        <v>219</v>
      </c>
      <c r="HN2" s="26">
        <v>220</v>
      </c>
      <c r="HO2" s="26">
        <v>221</v>
      </c>
      <c r="HP2" s="26">
        <v>222</v>
      </c>
      <c r="HQ2" s="26">
        <v>223</v>
      </c>
      <c r="HR2" s="26">
        <v>224</v>
      </c>
      <c r="HS2" s="26">
        <v>225</v>
      </c>
      <c r="HT2" s="26">
        <v>226</v>
      </c>
      <c r="HU2" s="26">
        <v>227</v>
      </c>
      <c r="HV2" s="26">
        <v>228</v>
      </c>
      <c r="HW2" s="26">
        <v>229</v>
      </c>
      <c r="HX2" s="26">
        <v>230</v>
      </c>
      <c r="HY2" s="26">
        <v>231</v>
      </c>
      <c r="HZ2" s="26">
        <v>232</v>
      </c>
      <c r="IA2" s="26">
        <v>233</v>
      </c>
      <c r="IB2" s="26">
        <v>234</v>
      </c>
      <c r="IC2" s="26">
        <v>235</v>
      </c>
      <c r="ID2" s="26">
        <v>236</v>
      </c>
      <c r="IE2" s="26">
        <v>237</v>
      </c>
      <c r="IF2" s="26">
        <v>238</v>
      </c>
      <c r="IG2" s="26">
        <v>239</v>
      </c>
      <c r="IH2" s="26">
        <v>240</v>
      </c>
      <c r="II2" s="26">
        <v>241</v>
      </c>
      <c r="IJ2" s="26">
        <v>242</v>
      </c>
      <c r="IK2" s="26">
        <v>243</v>
      </c>
      <c r="IL2" s="26">
        <v>244</v>
      </c>
      <c r="IM2" s="26">
        <v>245</v>
      </c>
      <c r="IN2" s="26">
        <v>246</v>
      </c>
      <c r="IO2" s="26">
        <v>247</v>
      </c>
      <c r="IP2" s="26">
        <v>248</v>
      </c>
      <c r="IQ2" s="26">
        <v>249</v>
      </c>
      <c r="IR2" s="26">
        <v>250</v>
      </c>
      <c r="IS2" s="26">
        <v>251</v>
      </c>
      <c r="IT2" s="26">
        <v>252</v>
      </c>
      <c r="IU2" s="26">
        <v>253</v>
      </c>
      <c r="IV2" s="26">
        <v>254</v>
      </c>
      <c r="IW2" s="26">
        <v>255</v>
      </c>
      <c r="IX2" s="26">
        <v>256</v>
      </c>
      <c r="IY2" s="26">
        <v>257</v>
      </c>
      <c r="IZ2" s="26">
        <v>258</v>
      </c>
      <c r="JA2" s="26">
        <v>259</v>
      </c>
      <c r="JB2" s="26">
        <v>260</v>
      </c>
      <c r="JC2" s="26">
        <v>261</v>
      </c>
      <c r="JD2" s="26">
        <v>262</v>
      </c>
      <c r="JE2" s="26">
        <v>263</v>
      </c>
      <c r="JF2" s="26">
        <v>264</v>
      </c>
      <c r="JG2" s="26">
        <v>265</v>
      </c>
      <c r="JH2" s="26">
        <v>266</v>
      </c>
      <c r="JI2" s="26">
        <v>267</v>
      </c>
      <c r="JJ2" s="26">
        <v>268</v>
      </c>
      <c r="JK2" s="26">
        <v>269</v>
      </c>
      <c r="JL2" s="26">
        <v>270</v>
      </c>
      <c r="JM2" s="26">
        <v>271</v>
      </c>
      <c r="JN2" s="26">
        <v>272</v>
      </c>
      <c r="JO2" s="26">
        <v>273</v>
      </c>
      <c r="JP2" s="26">
        <v>274</v>
      </c>
      <c r="JQ2" s="26">
        <v>275</v>
      </c>
      <c r="JR2" s="26">
        <v>276</v>
      </c>
      <c r="JS2" s="26">
        <v>277</v>
      </c>
      <c r="JT2" s="26">
        <v>278</v>
      </c>
      <c r="JU2" s="26">
        <v>279</v>
      </c>
      <c r="JV2" s="26">
        <v>280</v>
      </c>
      <c r="JW2" s="26">
        <v>281</v>
      </c>
      <c r="JX2" s="26">
        <v>282</v>
      </c>
      <c r="JY2" s="26">
        <v>283</v>
      </c>
      <c r="JZ2" s="26">
        <v>284</v>
      </c>
      <c r="KA2" s="26">
        <v>285</v>
      </c>
      <c r="KB2" s="26">
        <v>286</v>
      </c>
      <c r="KC2" s="26">
        <v>287</v>
      </c>
      <c r="KD2" s="26">
        <v>288</v>
      </c>
      <c r="KE2" s="26">
        <v>289</v>
      </c>
      <c r="KF2" s="26">
        <v>290</v>
      </c>
      <c r="KG2" s="26">
        <v>291</v>
      </c>
      <c r="KH2" s="26">
        <v>292</v>
      </c>
      <c r="KI2" s="26">
        <v>293</v>
      </c>
      <c r="KJ2" s="26">
        <v>294</v>
      </c>
      <c r="KK2" s="26">
        <v>295</v>
      </c>
      <c r="KL2" s="26">
        <v>296</v>
      </c>
      <c r="KM2" s="26">
        <v>297</v>
      </c>
      <c r="KN2" s="26">
        <v>298</v>
      </c>
      <c r="KO2" s="26">
        <v>299</v>
      </c>
      <c r="KP2" s="26">
        <v>300</v>
      </c>
      <c r="KQ2" s="26">
        <v>301</v>
      </c>
      <c r="KR2" s="26">
        <v>302</v>
      </c>
      <c r="KS2" s="26">
        <v>303</v>
      </c>
      <c r="KT2" s="26">
        <v>304</v>
      </c>
      <c r="KU2" s="26">
        <v>305</v>
      </c>
      <c r="KV2" s="26">
        <v>306</v>
      </c>
      <c r="KW2" s="26">
        <v>307</v>
      </c>
      <c r="KX2" s="26">
        <v>308</v>
      </c>
      <c r="KY2" s="26">
        <v>309</v>
      </c>
      <c r="KZ2" s="26">
        <v>310</v>
      </c>
      <c r="LA2" s="26">
        <v>311</v>
      </c>
      <c r="LB2" s="26">
        <v>312</v>
      </c>
      <c r="LC2" s="26">
        <v>313</v>
      </c>
      <c r="LD2" s="26">
        <v>314</v>
      </c>
      <c r="LE2" s="26">
        <v>315</v>
      </c>
      <c r="LF2" s="26">
        <v>316</v>
      </c>
      <c r="LG2" s="26">
        <v>317</v>
      </c>
      <c r="LH2" s="26">
        <v>318</v>
      </c>
      <c r="LI2" s="26">
        <v>319</v>
      </c>
      <c r="LJ2" s="26">
        <v>320</v>
      </c>
      <c r="LK2" s="26">
        <v>321</v>
      </c>
      <c r="LL2" s="26">
        <v>322</v>
      </c>
      <c r="LM2" s="26">
        <v>323</v>
      </c>
      <c r="LN2" s="26">
        <v>324</v>
      </c>
      <c r="LO2" s="26">
        <v>325</v>
      </c>
      <c r="LP2" s="26">
        <v>326</v>
      </c>
      <c r="LQ2" s="26">
        <v>327</v>
      </c>
      <c r="LR2" s="26">
        <v>328</v>
      </c>
      <c r="LS2" s="26">
        <v>329</v>
      </c>
      <c r="LT2" s="26">
        <v>330</v>
      </c>
      <c r="LU2" s="26">
        <v>331</v>
      </c>
      <c r="LV2" s="26">
        <v>332</v>
      </c>
      <c r="LW2" s="26">
        <v>333</v>
      </c>
      <c r="LX2" s="26">
        <v>334</v>
      </c>
      <c r="LY2" s="26">
        <v>335</v>
      </c>
      <c r="LZ2" s="26">
        <v>336</v>
      </c>
      <c r="MA2" s="26">
        <v>337</v>
      </c>
      <c r="MB2" s="26">
        <v>338</v>
      </c>
      <c r="MC2" s="26">
        <v>339</v>
      </c>
      <c r="MD2" s="26">
        <v>340</v>
      </c>
      <c r="ME2" s="26">
        <v>341</v>
      </c>
      <c r="MF2" s="26">
        <v>342</v>
      </c>
      <c r="MG2" s="26">
        <v>343</v>
      </c>
      <c r="MH2" s="26">
        <v>344</v>
      </c>
      <c r="MI2" s="26">
        <v>345</v>
      </c>
      <c r="MJ2" s="26">
        <v>346</v>
      </c>
      <c r="MK2" s="26">
        <v>347</v>
      </c>
      <c r="ML2" s="26">
        <v>348</v>
      </c>
      <c r="MM2" s="26">
        <v>349</v>
      </c>
      <c r="MN2" s="26">
        <v>350</v>
      </c>
      <c r="MO2" s="26">
        <v>351</v>
      </c>
      <c r="MP2" s="26">
        <v>352</v>
      </c>
      <c r="MQ2" s="26">
        <v>353</v>
      </c>
      <c r="MR2" s="26">
        <v>354</v>
      </c>
      <c r="MS2" s="26">
        <v>355</v>
      </c>
      <c r="MT2" s="26">
        <v>356</v>
      </c>
      <c r="MU2" s="26">
        <v>357</v>
      </c>
      <c r="MV2" s="26">
        <v>358</v>
      </c>
      <c r="MW2" s="26">
        <v>359</v>
      </c>
      <c r="MX2" s="26">
        <v>360</v>
      </c>
      <c r="MY2" s="26">
        <v>361</v>
      </c>
      <c r="MZ2" s="26">
        <v>362</v>
      </c>
      <c r="NA2" s="26">
        <v>363</v>
      </c>
      <c r="NB2" s="26">
        <v>364</v>
      </c>
      <c r="NC2" s="26">
        <v>365</v>
      </c>
      <c r="ND2" s="26">
        <v>366</v>
      </c>
      <c r="NE2" s="26">
        <v>367</v>
      </c>
      <c r="NF2" s="26">
        <v>368</v>
      </c>
      <c r="NG2" s="26">
        <v>369</v>
      </c>
      <c r="NH2" s="26">
        <v>370</v>
      </c>
      <c r="NI2" s="26">
        <v>371</v>
      </c>
      <c r="NJ2" s="26">
        <v>372</v>
      </c>
      <c r="NK2" s="26">
        <v>373</v>
      </c>
      <c r="NL2" s="26">
        <v>374</v>
      </c>
      <c r="NM2" s="26">
        <v>375</v>
      </c>
      <c r="NN2" s="26">
        <v>376</v>
      </c>
      <c r="NO2" s="26">
        <v>377</v>
      </c>
      <c r="NP2" s="26">
        <v>378</v>
      </c>
      <c r="NQ2" s="26">
        <v>379</v>
      </c>
      <c r="NR2" s="26">
        <v>380</v>
      </c>
      <c r="NS2" s="26">
        <v>381</v>
      </c>
      <c r="NT2" s="26">
        <v>382</v>
      </c>
      <c r="NU2" s="26">
        <v>383</v>
      </c>
      <c r="NV2" s="26">
        <v>384</v>
      </c>
      <c r="NW2" s="26">
        <v>385</v>
      </c>
      <c r="NX2" s="26">
        <v>386</v>
      </c>
      <c r="NY2" s="26">
        <v>387</v>
      </c>
      <c r="NZ2" s="26">
        <v>388</v>
      </c>
      <c r="OA2" s="26">
        <v>389</v>
      </c>
      <c r="OB2" s="26">
        <v>390</v>
      </c>
      <c r="OC2" s="26">
        <v>391</v>
      </c>
      <c r="OD2" s="26">
        <v>392</v>
      </c>
      <c r="OE2" s="26">
        <v>393</v>
      </c>
      <c r="OF2" s="26">
        <v>394</v>
      </c>
      <c r="OG2" s="26">
        <v>395</v>
      </c>
      <c r="OH2" s="26">
        <v>396</v>
      </c>
      <c r="OI2" s="26">
        <v>397</v>
      </c>
      <c r="OJ2" s="26">
        <v>398</v>
      </c>
      <c r="OK2" s="26">
        <v>399</v>
      </c>
      <c r="OL2" s="26">
        <v>400</v>
      </c>
      <c r="OM2" s="26">
        <v>401</v>
      </c>
      <c r="ON2" s="26">
        <v>402</v>
      </c>
      <c r="OO2" s="26">
        <v>403</v>
      </c>
      <c r="OP2" s="26">
        <v>404</v>
      </c>
      <c r="OQ2" s="26">
        <v>405</v>
      </c>
      <c r="OR2" s="26">
        <v>406</v>
      </c>
      <c r="OS2" s="26">
        <v>407</v>
      </c>
      <c r="OT2" s="26">
        <v>408</v>
      </c>
      <c r="OU2" s="26">
        <v>409</v>
      </c>
      <c r="OV2" s="26">
        <v>410</v>
      </c>
      <c r="OW2" s="26">
        <v>411</v>
      </c>
      <c r="OX2" s="26">
        <v>412</v>
      </c>
      <c r="OY2" s="26">
        <v>413</v>
      </c>
      <c r="OZ2" s="26">
        <v>414</v>
      </c>
      <c r="PA2" s="26">
        <v>415</v>
      </c>
      <c r="PB2" s="26">
        <v>416</v>
      </c>
      <c r="PC2" s="26">
        <v>417</v>
      </c>
      <c r="PD2" s="26">
        <v>418</v>
      </c>
      <c r="PE2" s="26">
        <v>419</v>
      </c>
      <c r="PF2" s="26">
        <v>420</v>
      </c>
      <c r="PG2" s="26">
        <v>421</v>
      </c>
      <c r="PH2" s="26">
        <v>422</v>
      </c>
      <c r="PI2" s="26">
        <v>423</v>
      </c>
      <c r="PJ2" s="26">
        <v>424</v>
      </c>
      <c r="PK2" s="26">
        <v>425</v>
      </c>
      <c r="PL2" s="26">
        <v>426</v>
      </c>
      <c r="PM2" s="26">
        <v>427</v>
      </c>
      <c r="PN2" s="26">
        <v>428</v>
      </c>
      <c r="PO2" s="26">
        <v>429</v>
      </c>
      <c r="PP2" s="26">
        <v>430</v>
      </c>
      <c r="PQ2" s="26">
        <v>431</v>
      </c>
      <c r="PR2" s="26">
        <v>432</v>
      </c>
      <c r="PS2" s="26">
        <v>433</v>
      </c>
      <c r="PT2" s="26">
        <v>434</v>
      </c>
      <c r="PU2" s="26">
        <v>435</v>
      </c>
      <c r="PV2" s="26">
        <v>436</v>
      </c>
      <c r="PW2" s="26">
        <v>437</v>
      </c>
      <c r="PX2" s="26">
        <v>438</v>
      </c>
      <c r="PY2" s="26">
        <v>439</v>
      </c>
      <c r="PZ2" s="26">
        <v>440</v>
      </c>
      <c r="QA2" s="26">
        <v>441</v>
      </c>
      <c r="QB2" s="26">
        <v>442</v>
      </c>
      <c r="QC2" s="26">
        <v>443</v>
      </c>
      <c r="QD2" s="26">
        <v>444</v>
      </c>
      <c r="QE2" s="26">
        <v>445</v>
      </c>
      <c r="QF2" s="26">
        <v>446</v>
      </c>
      <c r="QG2" s="26">
        <v>447</v>
      </c>
      <c r="QH2" s="26">
        <v>448</v>
      </c>
      <c r="QI2" s="26">
        <v>449</v>
      </c>
      <c r="QJ2" s="26">
        <v>450</v>
      </c>
      <c r="QK2" s="26">
        <v>451</v>
      </c>
      <c r="QL2" s="26">
        <v>452</v>
      </c>
      <c r="QM2" s="26">
        <v>453</v>
      </c>
      <c r="QN2" s="26">
        <v>454</v>
      </c>
      <c r="QO2" s="26">
        <v>455</v>
      </c>
      <c r="QP2" s="26">
        <v>456</v>
      </c>
      <c r="QQ2" s="26">
        <v>457</v>
      </c>
      <c r="QR2" s="26">
        <v>458</v>
      </c>
      <c r="QS2" s="26">
        <v>459</v>
      </c>
      <c r="QT2" s="26">
        <v>460</v>
      </c>
      <c r="QU2" s="26">
        <v>461</v>
      </c>
      <c r="QV2" s="26">
        <v>462</v>
      </c>
      <c r="QW2" s="26">
        <v>463</v>
      </c>
      <c r="QX2" s="26">
        <v>464</v>
      </c>
      <c r="QY2" s="26">
        <v>465</v>
      </c>
      <c r="QZ2" s="26">
        <v>466</v>
      </c>
      <c r="RA2" s="26">
        <v>467</v>
      </c>
      <c r="RB2" s="26">
        <v>468</v>
      </c>
      <c r="RC2" s="26">
        <v>469</v>
      </c>
      <c r="RD2" s="26">
        <v>470</v>
      </c>
      <c r="RE2" s="26">
        <v>471</v>
      </c>
      <c r="RF2" s="26">
        <v>472</v>
      </c>
      <c r="RG2" s="26">
        <v>473</v>
      </c>
      <c r="RH2" s="26">
        <v>474</v>
      </c>
      <c r="RI2" s="26">
        <v>475</v>
      </c>
      <c r="RJ2" s="26">
        <v>476</v>
      </c>
      <c r="RK2" s="26">
        <v>477</v>
      </c>
      <c r="RL2" s="26">
        <v>478</v>
      </c>
      <c r="RM2" s="26">
        <v>479</v>
      </c>
      <c r="RN2" s="26">
        <v>480</v>
      </c>
      <c r="RO2" s="26">
        <v>481</v>
      </c>
      <c r="RP2" s="26">
        <v>482</v>
      </c>
      <c r="RQ2" s="26">
        <v>483</v>
      </c>
      <c r="RR2" s="26">
        <v>484</v>
      </c>
      <c r="RS2" s="26">
        <v>485</v>
      </c>
      <c r="RT2" s="26">
        <v>486</v>
      </c>
      <c r="RU2" s="26">
        <v>487</v>
      </c>
      <c r="RV2" s="26">
        <v>488</v>
      </c>
      <c r="RW2" s="26">
        <v>489</v>
      </c>
      <c r="RX2" s="26">
        <v>490</v>
      </c>
      <c r="RY2" s="26">
        <v>491</v>
      </c>
      <c r="RZ2" s="26">
        <v>492</v>
      </c>
      <c r="SA2" s="26">
        <v>493</v>
      </c>
      <c r="SB2" s="26">
        <v>494</v>
      </c>
      <c r="SC2" s="26">
        <v>495</v>
      </c>
      <c r="SD2" s="26">
        <v>496</v>
      </c>
      <c r="SE2" s="26">
        <v>497</v>
      </c>
      <c r="SF2" s="26">
        <v>498</v>
      </c>
      <c r="SG2" s="26">
        <v>499</v>
      </c>
      <c r="SH2" s="26">
        <v>500</v>
      </c>
      <c r="SI2" s="26">
        <v>501</v>
      </c>
      <c r="SJ2" s="26">
        <v>502</v>
      </c>
      <c r="SK2" s="26">
        <v>503</v>
      </c>
      <c r="SL2" s="26">
        <v>504</v>
      </c>
      <c r="SM2" s="26">
        <v>505</v>
      </c>
      <c r="SN2" s="26">
        <v>506</v>
      </c>
      <c r="SO2" s="26">
        <v>507</v>
      </c>
      <c r="SP2" s="26">
        <v>508</v>
      </c>
      <c r="SQ2" s="26">
        <v>509</v>
      </c>
      <c r="SR2" s="26">
        <v>510</v>
      </c>
      <c r="SS2" s="26">
        <v>511</v>
      </c>
      <c r="ST2" s="26">
        <v>512</v>
      </c>
      <c r="SU2" s="26">
        <v>513</v>
      </c>
      <c r="SV2" s="26">
        <v>514</v>
      </c>
      <c r="SW2" s="26">
        <v>515</v>
      </c>
      <c r="SX2" s="26">
        <v>516</v>
      </c>
      <c r="SY2" s="26">
        <v>517</v>
      </c>
      <c r="SZ2" s="26">
        <v>518</v>
      </c>
      <c r="TA2" s="26">
        <v>519</v>
      </c>
      <c r="TB2" s="26">
        <v>520</v>
      </c>
      <c r="TC2" s="26">
        <v>521</v>
      </c>
      <c r="TD2" s="26">
        <v>522</v>
      </c>
      <c r="TE2" s="26">
        <v>523</v>
      </c>
      <c r="TF2" s="26">
        <v>524</v>
      </c>
      <c r="TG2" s="26">
        <v>525</v>
      </c>
      <c r="TH2" s="26">
        <v>526</v>
      </c>
      <c r="TI2" s="26">
        <v>527</v>
      </c>
      <c r="TJ2" s="26">
        <v>528</v>
      </c>
      <c r="TK2" s="26">
        <v>529</v>
      </c>
      <c r="TL2" s="26">
        <v>530</v>
      </c>
      <c r="TM2" s="26">
        <v>531</v>
      </c>
      <c r="TN2" s="26">
        <v>532</v>
      </c>
      <c r="TO2" s="26">
        <v>533</v>
      </c>
      <c r="TP2" s="26">
        <v>534</v>
      </c>
      <c r="TQ2" s="26">
        <v>535</v>
      </c>
      <c r="TR2" s="26">
        <v>536</v>
      </c>
      <c r="TS2" s="26">
        <v>537</v>
      </c>
      <c r="TT2" s="26">
        <v>538</v>
      </c>
      <c r="TU2" s="26">
        <v>539</v>
      </c>
      <c r="TV2" s="26">
        <v>540</v>
      </c>
      <c r="TW2" s="26">
        <v>541</v>
      </c>
      <c r="TX2" s="26">
        <v>542</v>
      </c>
      <c r="TY2" s="26">
        <v>543</v>
      </c>
      <c r="TZ2" s="26">
        <v>544</v>
      </c>
      <c r="UA2" s="26">
        <v>545</v>
      </c>
      <c r="UB2" s="26">
        <v>546</v>
      </c>
      <c r="UC2" s="26">
        <v>547</v>
      </c>
      <c r="UD2" s="26">
        <v>548</v>
      </c>
      <c r="UE2" s="26">
        <v>549</v>
      </c>
      <c r="UF2" s="26">
        <v>550</v>
      </c>
      <c r="UG2" s="26">
        <v>551</v>
      </c>
      <c r="UH2" s="26">
        <v>552</v>
      </c>
      <c r="UI2" s="26">
        <v>553</v>
      </c>
      <c r="UJ2" s="26">
        <v>554</v>
      </c>
      <c r="UK2" s="26">
        <v>555</v>
      </c>
      <c r="UL2" s="26">
        <v>556</v>
      </c>
      <c r="UM2" s="26">
        <v>557</v>
      </c>
      <c r="UN2" s="26">
        <v>558</v>
      </c>
      <c r="UO2" s="26">
        <v>559</v>
      </c>
      <c r="UP2" s="26">
        <v>560</v>
      </c>
      <c r="UQ2" s="26">
        <v>561</v>
      </c>
      <c r="UR2" s="26">
        <v>562</v>
      </c>
      <c r="US2" s="26">
        <v>563</v>
      </c>
      <c r="UT2" s="26">
        <v>564</v>
      </c>
      <c r="UU2" s="26">
        <v>565</v>
      </c>
      <c r="UV2" s="26">
        <v>566</v>
      </c>
      <c r="UW2" s="26">
        <v>567</v>
      </c>
      <c r="UX2" s="26">
        <v>568</v>
      </c>
      <c r="UY2" s="26">
        <v>569</v>
      </c>
      <c r="UZ2" s="26">
        <v>570</v>
      </c>
      <c r="VA2" s="26">
        <v>571</v>
      </c>
      <c r="VB2" s="26">
        <v>572</v>
      </c>
      <c r="VC2" s="26">
        <v>573</v>
      </c>
      <c r="VD2" s="26">
        <v>574</v>
      </c>
      <c r="VE2" s="26">
        <v>575</v>
      </c>
      <c r="VF2" s="26">
        <v>576</v>
      </c>
      <c r="VG2" s="26">
        <v>577</v>
      </c>
      <c r="VH2" s="26">
        <v>578</v>
      </c>
      <c r="VI2" s="26">
        <v>579</v>
      </c>
      <c r="VJ2" s="26">
        <v>580</v>
      </c>
      <c r="VK2" s="26">
        <v>581</v>
      </c>
      <c r="VL2" s="26">
        <v>582</v>
      </c>
      <c r="VM2" s="26">
        <v>583</v>
      </c>
      <c r="VN2" s="26">
        <v>584</v>
      </c>
      <c r="VO2" s="26">
        <v>585</v>
      </c>
      <c r="VP2" s="26">
        <v>586</v>
      </c>
      <c r="VQ2" s="26">
        <v>587</v>
      </c>
      <c r="VR2" s="26">
        <v>588</v>
      </c>
      <c r="VS2" s="26">
        <v>589</v>
      </c>
      <c r="VT2" s="26">
        <v>590</v>
      </c>
      <c r="VU2" s="26">
        <v>591</v>
      </c>
      <c r="VV2" s="26">
        <v>592</v>
      </c>
      <c r="VW2" s="26">
        <v>593</v>
      </c>
      <c r="VX2" s="26">
        <v>594</v>
      </c>
      <c r="VY2" s="26">
        <v>595</v>
      </c>
      <c r="VZ2" s="26">
        <v>596</v>
      </c>
      <c r="WA2" s="26">
        <v>597</v>
      </c>
      <c r="WB2" s="26">
        <v>598</v>
      </c>
      <c r="WC2" s="26">
        <v>599</v>
      </c>
      <c r="WD2" s="26">
        <v>600</v>
      </c>
      <c r="WE2" s="26">
        <v>601</v>
      </c>
      <c r="WF2" s="26">
        <v>602</v>
      </c>
      <c r="WG2" s="26">
        <v>603</v>
      </c>
      <c r="WH2" s="26">
        <v>604</v>
      </c>
      <c r="WI2" s="26">
        <v>605</v>
      </c>
      <c r="WJ2" s="26">
        <v>606</v>
      </c>
      <c r="WK2" s="26">
        <v>607</v>
      </c>
      <c r="WL2" s="26">
        <v>608</v>
      </c>
      <c r="WM2" s="26">
        <v>609</v>
      </c>
      <c r="WN2" s="26">
        <v>610</v>
      </c>
      <c r="WO2" s="26">
        <v>611</v>
      </c>
      <c r="WP2" s="26">
        <v>612</v>
      </c>
      <c r="WQ2" s="26">
        <v>613</v>
      </c>
      <c r="WR2" s="26">
        <v>614</v>
      </c>
      <c r="WS2" s="26">
        <v>615</v>
      </c>
      <c r="WT2" s="26">
        <v>616</v>
      </c>
      <c r="WU2" s="26">
        <v>617</v>
      </c>
      <c r="WV2" s="26">
        <v>618</v>
      </c>
      <c r="WW2" s="26">
        <v>619</v>
      </c>
      <c r="WX2" s="26">
        <v>620</v>
      </c>
      <c r="WY2" s="26">
        <v>621</v>
      </c>
      <c r="WZ2" s="26">
        <v>622</v>
      </c>
      <c r="XA2" s="26">
        <v>623</v>
      </c>
      <c r="XB2" s="26">
        <v>624</v>
      </c>
      <c r="XC2" s="26">
        <v>625</v>
      </c>
      <c r="XD2" s="26">
        <v>626</v>
      </c>
      <c r="XE2" s="26">
        <v>627</v>
      </c>
      <c r="XF2" s="26">
        <v>628</v>
      </c>
      <c r="XG2" s="26">
        <v>629</v>
      </c>
      <c r="XH2" s="26">
        <v>630</v>
      </c>
      <c r="XI2" s="26">
        <v>631</v>
      </c>
      <c r="XJ2" s="26">
        <v>632</v>
      </c>
      <c r="XK2" s="26">
        <v>633</v>
      </c>
      <c r="XL2" s="26">
        <v>634</v>
      </c>
      <c r="XM2" s="26">
        <v>635</v>
      </c>
      <c r="XN2" s="26">
        <v>636</v>
      </c>
      <c r="XO2" s="26">
        <v>637</v>
      </c>
      <c r="XP2" s="26">
        <v>638</v>
      </c>
      <c r="XQ2" s="26">
        <v>639</v>
      </c>
      <c r="XR2" s="26">
        <v>640</v>
      </c>
      <c r="XS2" s="26">
        <v>641</v>
      </c>
      <c r="XT2" s="26">
        <v>642</v>
      </c>
      <c r="XU2" s="26">
        <v>643</v>
      </c>
      <c r="XV2" s="26">
        <v>644</v>
      </c>
      <c r="XW2" s="26">
        <v>645</v>
      </c>
      <c r="XX2" s="26">
        <v>646</v>
      </c>
      <c r="XY2" s="26">
        <v>647</v>
      </c>
      <c r="XZ2" s="26">
        <v>648</v>
      </c>
      <c r="YA2" s="26">
        <v>649</v>
      </c>
      <c r="YB2" s="26">
        <v>650</v>
      </c>
      <c r="YC2" s="26">
        <v>651</v>
      </c>
      <c r="YD2" s="26">
        <v>652</v>
      </c>
      <c r="YE2" s="26">
        <v>653</v>
      </c>
      <c r="YF2" s="26">
        <v>654</v>
      </c>
      <c r="YG2" s="26">
        <v>655</v>
      </c>
      <c r="YH2" s="26">
        <v>656</v>
      </c>
      <c r="YI2" s="26">
        <v>657</v>
      </c>
      <c r="YJ2" s="26">
        <v>658</v>
      </c>
      <c r="YK2" s="26">
        <v>659</v>
      </c>
      <c r="YL2" s="26">
        <v>660</v>
      </c>
      <c r="YM2" s="26">
        <v>661</v>
      </c>
      <c r="YN2" s="26">
        <v>662</v>
      </c>
      <c r="YO2" s="26">
        <v>663</v>
      </c>
      <c r="YP2" s="26">
        <v>664</v>
      </c>
      <c r="YQ2" s="26">
        <v>665</v>
      </c>
      <c r="YR2" s="26">
        <v>666</v>
      </c>
      <c r="YS2" s="26">
        <v>667</v>
      </c>
      <c r="YT2" s="26">
        <v>668</v>
      </c>
      <c r="YU2" s="26">
        <v>669</v>
      </c>
      <c r="YV2" s="26">
        <v>670</v>
      </c>
      <c r="YW2" s="26">
        <v>671</v>
      </c>
      <c r="YX2" s="26">
        <v>672</v>
      </c>
      <c r="YY2" s="26">
        <v>673</v>
      </c>
      <c r="YZ2" s="26">
        <v>674</v>
      </c>
      <c r="ZA2" s="26">
        <v>675</v>
      </c>
      <c r="ZB2" s="26">
        <v>676</v>
      </c>
      <c r="ZC2" s="26">
        <v>677</v>
      </c>
      <c r="ZD2" s="26">
        <v>678</v>
      </c>
      <c r="ZE2" s="26">
        <v>679</v>
      </c>
      <c r="ZF2" s="26">
        <v>680</v>
      </c>
      <c r="ZG2" s="26">
        <v>681</v>
      </c>
      <c r="ZH2" s="26">
        <v>682</v>
      </c>
      <c r="ZI2" s="26">
        <v>683</v>
      </c>
      <c r="ZJ2" s="26">
        <v>684</v>
      </c>
      <c r="ZK2" s="26">
        <v>685</v>
      </c>
      <c r="ZL2" s="26">
        <v>686</v>
      </c>
      <c r="ZM2" s="26">
        <v>687</v>
      </c>
      <c r="ZN2" s="26">
        <v>688</v>
      </c>
      <c r="ZO2" s="26">
        <v>689</v>
      </c>
      <c r="ZP2" s="26">
        <v>690</v>
      </c>
      <c r="ZQ2" s="26">
        <v>691</v>
      </c>
      <c r="ZR2" s="26">
        <v>692</v>
      </c>
      <c r="ZS2" s="26">
        <v>693</v>
      </c>
      <c r="ZT2" s="26">
        <v>694</v>
      </c>
      <c r="ZU2" s="26">
        <v>695</v>
      </c>
      <c r="ZV2" s="26">
        <v>696</v>
      </c>
      <c r="ZW2" s="26">
        <v>697</v>
      </c>
      <c r="ZX2" s="26">
        <v>698</v>
      </c>
      <c r="ZY2" s="26">
        <v>699</v>
      </c>
      <c r="ZZ2" s="26">
        <v>700</v>
      </c>
      <c r="AAA2" s="26">
        <v>701</v>
      </c>
      <c r="AAB2" s="26">
        <v>702</v>
      </c>
      <c r="AAC2" s="26">
        <v>703</v>
      </c>
      <c r="AAD2" s="26">
        <v>704</v>
      </c>
      <c r="AAE2" s="26">
        <v>705</v>
      </c>
      <c r="AAF2" s="26">
        <v>706</v>
      </c>
      <c r="AAG2" s="26">
        <v>707</v>
      </c>
      <c r="AAH2" s="26">
        <v>708</v>
      </c>
      <c r="AAI2" s="26">
        <v>709</v>
      </c>
      <c r="AAJ2" s="26">
        <v>710</v>
      </c>
      <c r="AAK2" s="26">
        <v>711</v>
      </c>
      <c r="AAL2" s="26">
        <v>712</v>
      </c>
      <c r="AAM2" s="26">
        <v>713</v>
      </c>
      <c r="AAN2" s="26">
        <v>714</v>
      </c>
      <c r="AAO2" s="26">
        <v>715</v>
      </c>
      <c r="AAP2" s="26">
        <v>716</v>
      </c>
      <c r="AAQ2" s="26">
        <v>717</v>
      </c>
      <c r="AAR2" s="26">
        <v>718</v>
      </c>
      <c r="AAS2" s="26">
        <v>719</v>
      </c>
      <c r="AAT2" s="26">
        <v>720</v>
      </c>
      <c r="AAU2" s="26">
        <v>721</v>
      </c>
      <c r="AAV2" s="26">
        <v>722</v>
      </c>
      <c r="AAW2" s="26">
        <v>723</v>
      </c>
      <c r="AAX2" s="26">
        <v>724</v>
      </c>
      <c r="AAY2" s="26">
        <v>725</v>
      </c>
      <c r="AAZ2" s="26">
        <v>726</v>
      </c>
      <c r="ABA2" s="26">
        <v>727</v>
      </c>
      <c r="ABB2" s="26">
        <v>728</v>
      </c>
      <c r="ABC2" s="26">
        <v>729</v>
      </c>
      <c r="ABD2" s="26">
        <v>730</v>
      </c>
      <c r="ABE2" s="26">
        <v>731</v>
      </c>
      <c r="ABF2" s="26">
        <v>732</v>
      </c>
      <c r="ABG2" s="26">
        <v>733</v>
      </c>
      <c r="ABH2" s="26">
        <v>734</v>
      </c>
      <c r="ABI2" s="26">
        <v>735</v>
      </c>
      <c r="ABJ2" s="26">
        <v>736</v>
      </c>
      <c r="ABK2" s="26">
        <v>737</v>
      </c>
      <c r="ABL2" s="26">
        <v>738</v>
      </c>
      <c r="ABM2" s="26">
        <v>739</v>
      </c>
      <c r="ABN2" s="26">
        <v>740</v>
      </c>
      <c r="ABO2" s="26">
        <v>741</v>
      </c>
      <c r="ABP2" s="26">
        <v>742</v>
      </c>
      <c r="ABQ2" s="26">
        <v>743</v>
      </c>
      <c r="ABR2" s="26">
        <v>744</v>
      </c>
      <c r="ABS2" s="26">
        <v>745</v>
      </c>
      <c r="ABT2" s="26">
        <v>746</v>
      </c>
      <c r="ABU2" s="26">
        <v>747</v>
      </c>
      <c r="ABV2" s="26">
        <v>748</v>
      </c>
      <c r="ABW2" s="26">
        <v>749</v>
      </c>
      <c r="ABX2" s="26">
        <v>750</v>
      </c>
      <c r="ABY2" s="26">
        <v>751</v>
      </c>
      <c r="ABZ2" s="26">
        <v>752</v>
      </c>
      <c r="ACA2" s="26">
        <v>753</v>
      </c>
      <c r="ACB2" s="26">
        <v>754</v>
      </c>
      <c r="ACC2" s="26">
        <v>755</v>
      </c>
      <c r="ACD2" s="26">
        <v>756</v>
      </c>
      <c r="ACE2" s="26">
        <v>757</v>
      </c>
      <c r="ACF2" s="26">
        <v>758</v>
      </c>
      <c r="ACG2" s="26">
        <v>759</v>
      </c>
      <c r="ACH2" s="26">
        <v>760</v>
      </c>
      <c r="ACI2" s="26">
        <v>761</v>
      </c>
      <c r="ACJ2" s="26">
        <v>762</v>
      </c>
      <c r="ACK2" s="26">
        <v>763</v>
      </c>
      <c r="ACL2" s="26">
        <v>764</v>
      </c>
      <c r="ACM2" s="26">
        <v>765</v>
      </c>
      <c r="ACN2" s="26">
        <v>766</v>
      </c>
      <c r="ACO2" s="26">
        <v>767</v>
      </c>
      <c r="ACP2" s="26">
        <v>768</v>
      </c>
      <c r="ACQ2" s="26">
        <v>769</v>
      </c>
      <c r="ACR2" s="26">
        <v>770</v>
      </c>
      <c r="ACS2" s="26">
        <v>771</v>
      </c>
      <c r="ACT2" s="26">
        <v>772</v>
      </c>
      <c r="ACU2" s="26">
        <v>773</v>
      </c>
      <c r="ACV2" s="26">
        <v>774</v>
      </c>
      <c r="ACW2" s="26">
        <v>775</v>
      </c>
      <c r="ACX2" s="26">
        <v>776</v>
      </c>
      <c r="ACY2" s="26">
        <v>777</v>
      </c>
      <c r="ACZ2" s="26">
        <v>778</v>
      </c>
      <c r="ADA2" s="26">
        <v>779</v>
      </c>
      <c r="ADB2" s="26">
        <v>780</v>
      </c>
      <c r="ADC2" s="26">
        <v>781</v>
      </c>
      <c r="ADD2" s="26">
        <v>782</v>
      </c>
      <c r="ADE2" s="26">
        <v>783</v>
      </c>
      <c r="ADF2" s="26">
        <v>784</v>
      </c>
      <c r="ADG2" s="26">
        <v>785</v>
      </c>
      <c r="ADH2" s="26">
        <v>786</v>
      </c>
      <c r="ADI2" s="26">
        <v>787</v>
      </c>
      <c r="ADJ2" s="26">
        <v>788</v>
      </c>
      <c r="ADK2" s="26">
        <v>789</v>
      </c>
      <c r="ADL2" s="26">
        <v>790</v>
      </c>
      <c r="ADM2" s="26">
        <v>791</v>
      </c>
      <c r="ADN2" s="26">
        <v>792</v>
      </c>
      <c r="ADO2" s="26">
        <v>793</v>
      </c>
      <c r="ADP2" s="26">
        <v>794</v>
      </c>
      <c r="ADQ2" s="26">
        <v>795</v>
      </c>
      <c r="ADR2" s="26">
        <v>796</v>
      </c>
      <c r="ADS2" s="26">
        <v>797</v>
      </c>
      <c r="ADT2" s="26">
        <v>798</v>
      </c>
      <c r="ADU2" s="26">
        <v>799</v>
      </c>
      <c r="ADV2" s="26">
        <v>800</v>
      </c>
      <c r="ADW2" s="26">
        <v>801</v>
      </c>
      <c r="ADX2" s="26">
        <v>802</v>
      </c>
      <c r="ADY2" s="26">
        <v>803</v>
      </c>
      <c r="ADZ2" s="26">
        <v>804</v>
      </c>
      <c r="AEA2" s="26">
        <v>805</v>
      </c>
      <c r="AEB2" s="26">
        <v>806</v>
      </c>
      <c r="AEC2" s="26">
        <v>807</v>
      </c>
      <c r="AED2" s="26">
        <v>808</v>
      </c>
      <c r="AEE2" s="26">
        <v>809</v>
      </c>
      <c r="AEF2" s="26">
        <v>810</v>
      </c>
      <c r="AEG2" s="26">
        <v>811</v>
      </c>
      <c r="AEH2" s="26">
        <v>812</v>
      </c>
      <c r="AEI2" s="26">
        <v>813</v>
      </c>
      <c r="AEJ2" s="26">
        <v>814</v>
      </c>
      <c r="AEK2" s="26">
        <v>815</v>
      </c>
      <c r="AEL2" s="26">
        <v>816</v>
      </c>
      <c r="AEM2" s="26">
        <v>817</v>
      </c>
      <c r="AEN2" s="26">
        <v>818</v>
      </c>
      <c r="AEO2" s="26">
        <v>819</v>
      </c>
      <c r="AEP2" s="26">
        <v>820</v>
      </c>
      <c r="AEQ2" s="26">
        <v>821</v>
      </c>
      <c r="AER2" s="26">
        <v>822</v>
      </c>
      <c r="AES2" s="26">
        <v>823</v>
      </c>
      <c r="AET2" s="26">
        <v>824</v>
      </c>
      <c r="AEU2" s="26">
        <v>825</v>
      </c>
      <c r="AEV2" s="26">
        <v>826</v>
      </c>
      <c r="AEW2" s="26">
        <v>827</v>
      </c>
      <c r="AEX2" s="26">
        <v>828</v>
      </c>
      <c r="AEY2" s="26">
        <v>829</v>
      </c>
      <c r="AEZ2" s="26">
        <v>830</v>
      </c>
      <c r="AFA2" s="26">
        <v>831</v>
      </c>
      <c r="AFB2" s="26">
        <v>832</v>
      </c>
      <c r="AFC2" s="26">
        <v>833</v>
      </c>
      <c r="AFD2" s="26">
        <v>834</v>
      </c>
      <c r="AFE2" s="26">
        <v>835</v>
      </c>
      <c r="AFF2" s="26">
        <v>836</v>
      </c>
      <c r="AFG2" s="26">
        <v>837</v>
      </c>
      <c r="AFH2" s="26">
        <v>838</v>
      </c>
      <c r="AFI2" s="26">
        <v>839</v>
      </c>
      <c r="AFJ2" s="26">
        <v>840</v>
      </c>
      <c r="AFK2" s="26">
        <v>841</v>
      </c>
      <c r="AFL2" s="26">
        <v>842</v>
      </c>
      <c r="AFM2" s="26">
        <v>843</v>
      </c>
      <c r="AFN2" s="26">
        <v>844</v>
      </c>
      <c r="AFO2" s="26">
        <v>845</v>
      </c>
      <c r="AFP2" s="26">
        <v>846</v>
      </c>
      <c r="AFQ2" s="26">
        <v>847</v>
      </c>
      <c r="AFR2" s="26">
        <v>848</v>
      </c>
      <c r="AFS2" s="26">
        <v>849</v>
      </c>
      <c r="AFT2" s="26">
        <v>850</v>
      </c>
      <c r="AFU2" s="26">
        <v>851</v>
      </c>
      <c r="AFV2" s="26">
        <v>852</v>
      </c>
      <c r="AFW2" s="26">
        <v>853</v>
      </c>
      <c r="AFX2" s="26">
        <v>854</v>
      </c>
      <c r="AFY2" s="26">
        <v>855</v>
      </c>
      <c r="AFZ2" s="26">
        <v>856</v>
      </c>
      <c r="AGA2" s="26">
        <v>857</v>
      </c>
      <c r="AGB2" s="26">
        <v>858</v>
      </c>
      <c r="AGC2" s="26">
        <v>859</v>
      </c>
      <c r="AGD2" s="26">
        <v>860</v>
      </c>
      <c r="AGE2" s="26">
        <v>861</v>
      </c>
      <c r="AGF2" s="26">
        <v>862</v>
      </c>
      <c r="AGG2" s="26">
        <v>863</v>
      </c>
      <c r="AGH2" s="26">
        <v>864</v>
      </c>
      <c r="AGI2" s="26">
        <v>865</v>
      </c>
      <c r="AGJ2" s="26">
        <v>866</v>
      </c>
      <c r="AGK2" s="26">
        <v>867</v>
      </c>
      <c r="AGL2" s="26">
        <v>868</v>
      </c>
      <c r="AGM2" s="26">
        <v>869</v>
      </c>
      <c r="AGN2" s="26">
        <v>870</v>
      </c>
      <c r="AGO2" s="26">
        <v>871</v>
      </c>
      <c r="AGP2" s="26">
        <v>872</v>
      </c>
      <c r="AGQ2" s="26">
        <v>873</v>
      </c>
      <c r="AGR2" s="26">
        <v>874</v>
      </c>
      <c r="AGS2" s="26">
        <v>875</v>
      </c>
      <c r="AGT2" s="26">
        <v>876</v>
      </c>
      <c r="AGU2" s="26">
        <v>877</v>
      </c>
      <c r="AGV2" s="26">
        <v>878</v>
      </c>
      <c r="AGW2" s="26">
        <v>879</v>
      </c>
      <c r="AGX2" s="26">
        <v>880</v>
      </c>
      <c r="AGY2" s="26">
        <v>881</v>
      </c>
      <c r="AGZ2" s="26">
        <v>882</v>
      </c>
      <c r="AHA2" s="26">
        <v>883</v>
      </c>
      <c r="AHB2" s="26">
        <v>884</v>
      </c>
      <c r="AHC2" s="26">
        <v>885</v>
      </c>
      <c r="AHD2" s="26">
        <v>886</v>
      </c>
      <c r="AHE2" s="26">
        <v>887</v>
      </c>
      <c r="AHF2" s="26">
        <v>888</v>
      </c>
      <c r="AHG2" s="26">
        <v>889</v>
      </c>
      <c r="AHH2" s="26">
        <v>890</v>
      </c>
      <c r="AHI2" s="26">
        <v>891</v>
      </c>
      <c r="AHJ2" s="26">
        <v>892</v>
      </c>
      <c r="AHK2" s="26">
        <v>893</v>
      </c>
      <c r="AHL2" s="26">
        <v>894</v>
      </c>
      <c r="AHM2" s="26">
        <v>895</v>
      </c>
      <c r="AHN2" s="26">
        <v>896</v>
      </c>
      <c r="AHO2" s="26">
        <v>897</v>
      </c>
      <c r="AHP2" s="26">
        <v>898</v>
      </c>
      <c r="AHQ2" s="26">
        <v>899</v>
      </c>
      <c r="AHR2" s="26">
        <v>900</v>
      </c>
      <c r="AHS2" s="26">
        <v>901</v>
      </c>
      <c r="AHT2" s="26">
        <v>902</v>
      </c>
      <c r="AHU2" s="26">
        <v>903</v>
      </c>
      <c r="AHV2" s="26">
        <v>904</v>
      </c>
      <c r="AHW2" s="26">
        <v>905</v>
      </c>
      <c r="AHX2" s="26">
        <v>906</v>
      </c>
      <c r="AHY2" s="26">
        <v>907</v>
      </c>
      <c r="AHZ2" s="26">
        <v>908</v>
      </c>
      <c r="AIA2" s="26">
        <v>909</v>
      </c>
      <c r="AIB2" s="26">
        <v>910</v>
      </c>
      <c r="AIC2" s="26">
        <v>911</v>
      </c>
      <c r="AID2" s="26">
        <v>912</v>
      </c>
      <c r="AIE2" s="26">
        <v>913</v>
      </c>
      <c r="AIF2" s="26">
        <v>914</v>
      </c>
      <c r="AIG2" s="26">
        <v>915</v>
      </c>
      <c r="AIH2" s="26">
        <v>916</v>
      </c>
      <c r="AII2" s="26">
        <v>917</v>
      </c>
      <c r="AIJ2" s="26">
        <v>918</v>
      </c>
      <c r="AIK2" s="26">
        <v>919</v>
      </c>
      <c r="AIL2" s="26">
        <v>920</v>
      </c>
      <c r="AIM2" s="26">
        <v>921</v>
      </c>
      <c r="AIN2" s="26">
        <v>922</v>
      </c>
      <c r="AIO2" s="26">
        <v>923</v>
      </c>
      <c r="AIP2" s="26">
        <v>924</v>
      </c>
      <c r="AIQ2" s="26">
        <v>925</v>
      </c>
      <c r="AIR2" s="26">
        <v>926</v>
      </c>
      <c r="AIS2" s="26">
        <v>927</v>
      </c>
      <c r="AIT2" s="26">
        <v>928</v>
      </c>
      <c r="AIU2" s="26">
        <v>929</v>
      </c>
      <c r="AIV2" s="26">
        <v>930</v>
      </c>
      <c r="AIW2" s="26">
        <v>931</v>
      </c>
      <c r="AIX2" s="26">
        <v>932</v>
      </c>
      <c r="AIY2" s="26">
        <v>933</v>
      </c>
      <c r="AIZ2" s="26">
        <v>934</v>
      </c>
      <c r="AJA2" s="26">
        <v>935</v>
      </c>
      <c r="AJB2" s="26">
        <v>936</v>
      </c>
      <c r="AJC2" s="26">
        <v>937</v>
      </c>
      <c r="AJD2" s="26">
        <v>938</v>
      </c>
      <c r="AJE2" s="26">
        <v>939</v>
      </c>
      <c r="AJF2" s="26">
        <v>940</v>
      </c>
      <c r="AJG2" s="26">
        <v>941</v>
      </c>
      <c r="AJH2" s="26">
        <v>942</v>
      </c>
      <c r="AJI2" s="26">
        <v>943</v>
      </c>
      <c r="AJJ2" s="26">
        <v>944</v>
      </c>
      <c r="AJK2" s="26">
        <v>945</v>
      </c>
      <c r="AJL2" s="26">
        <v>946</v>
      </c>
      <c r="AJM2" s="26">
        <v>947</v>
      </c>
      <c r="AJN2" s="26">
        <v>948</v>
      </c>
      <c r="AJO2" s="26">
        <v>949</v>
      </c>
      <c r="AJP2" s="26">
        <v>950</v>
      </c>
      <c r="AJQ2" s="26">
        <v>951</v>
      </c>
      <c r="AJR2" s="26">
        <v>952</v>
      </c>
      <c r="AJS2" s="26">
        <v>953</v>
      </c>
      <c r="AJT2" s="26">
        <v>954</v>
      </c>
      <c r="AJU2" s="26">
        <v>955</v>
      </c>
      <c r="AJV2" s="26">
        <v>956</v>
      </c>
      <c r="AJW2" s="26">
        <v>957</v>
      </c>
      <c r="AJX2" s="26">
        <v>958</v>
      </c>
      <c r="AJY2" s="26">
        <v>959</v>
      </c>
      <c r="AJZ2" s="26">
        <v>960</v>
      </c>
      <c r="AKA2" s="26">
        <v>961</v>
      </c>
      <c r="AKB2" s="26">
        <v>962</v>
      </c>
      <c r="AKC2" s="26">
        <v>963</v>
      </c>
      <c r="AKD2" s="26">
        <v>964</v>
      </c>
      <c r="AKE2" s="26">
        <v>965</v>
      </c>
      <c r="AKF2" s="26">
        <v>966</v>
      </c>
      <c r="AKG2" s="26">
        <v>967</v>
      </c>
      <c r="AKH2" s="26">
        <v>968</v>
      </c>
      <c r="AKI2" s="26">
        <v>969</v>
      </c>
      <c r="AKJ2" s="26">
        <v>970</v>
      </c>
      <c r="AKK2" s="26">
        <v>971</v>
      </c>
      <c r="AKL2" s="26">
        <v>972</v>
      </c>
      <c r="AKM2" s="26">
        <v>973</v>
      </c>
      <c r="AKN2" s="26">
        <v>974</v>
      </c>
      <c r="AKO2" s="26">
        <v>975</v>
      </c>
      <c r="AKP2" s="26">
        <v>976</v>
      </c>
      <c r="AKQ2" s="26">
        <v>977</v>
      </c>
      <c r="AKR2" s="26">
        <v>978</v>
      </c>
      <c r="AKS2" s="26">
        <v>979</v>
      </c>
      <c r="AKT2" s="26">
        <v>980</v>
      </c>
      <c r="AKU2" s="26">
        <v>981</v>
      </c>
      <c r="AKV2" s="26">
        <v>982</v>
      </c>
      <c r="AKW2" s="26">
        <v>983</v>
      </c>
      <c r="AKX2" s="26">
        <v>984</v>
      </c>
      <c r="AKY2" s="26">
        <v>985</v>
      </c>
      <c r="AKZ2" s="26">
        <v>986</v>
      </c>
      <c r="ALA2" s="26">
        <v>987</v>
      </c>
      <c r="ALB2" s="26">
        <v>988</v>
      </c>
      <c r="ALC2" s="26">
        <v>989</v>
      </c>
      <c r="ALD2" s="26">
        <v>990</v>
      </c>
      <c r="ALE2" s="26">
        <v>991</v>
      </c>
      <c r="ALF2" s="26">
        <v>992</v>
      </c>
      <c r="ALG2" s="26">
        <v>993</v>
      </c>
      <c r="ALH2" s="26">
        <v>994</v>
      </c>
      <c r="ALI2" s="26">
        <v>995</v>
      </c>
      <c r="ALJ2" s="26">
        <v>996</v>
      </c>
      <c r="ALK2" s="26">
        <v>997</v>
      </c>
      <c r="ALL2" s="26">
        <v>998</v>
      </c>
      <c r="ALM2" s="26">
        <v>999</v>
      </c>
      <c r="ALN2" s="26">
        <v>1000</v>
      </c>
      <c r="ALO2" s="26">
        <v>1001</v>
      </c>
      <c r="ALP2" s="26">
        <v>1002</v>
      </c>
      <c r="ALQ2" s="26">
        <v>1003</v>
      </c>
      <c r="ALR2" s="26">
        <v>1004</v>
      </c>
      <c r="ALS2" s="26">
        <v>1005</v>
      </c>
      <c r="ALT2" s="26">
        <v>1006</v>
      </c>
      <c r="ALU2" s="26">
        <v>1007</v>
      </c>
      <c r="ALV2" s="26">
        <v>1008</v>
      </c>
      <c r="ALW2" s="26">
        <v>1009</v>
      </c>
      <c r="ALX2" s="26">
        <v>1010</v>
      </c>
      <c r="ALY2" s="26">
        <v>1011</v>
      </c>
      <c r="ALZ2" s="26">
        <v>1012</v>
      </c>
      <c r="AMA2" s="26">
        <v>1013</v>
      </c>
      <c r="AMB2" s="26">
        <v>1014</v>
      </c>
      <c r="AMC2" s="26">
        <v>1015</v>
      </c>
      <c r="AMD2" s="26">
        <v>1016</v>
      </c>
      <c r="AME2" s="26">
        <v>1017</v>
      </c>
      <c r="AMF2" s="26">
        <v>1018</v>
      </c>
      <c r="AMG2" s="26">
        <v>1019</v>
      </c>
      <c r="AMH2" s="26">
        <v>1020</v>
      </c>
      <c r="AMI2" s="26">
        <v>1021</v>
      </c>
      <c r="AMJ2" s="26">
        <v>1022</v>
      </c>
      <c r="AMK2" s="26">
        <v>1023</v>
      </c>
      <c r="AML2" s="26">
        <v>1024</v>
      </c>
      <c r="AMM2" s="26">
        <v>1025</v>
      </c>
      <c r="AMN2" s="26">
        <v>1026</v>
      </c>
      <c r="AMO2" s="26">
        <v>1027</v>
      </c>
      <c r="AMP2" s="26">
        <v>1028</v>
      </c>
      <c r="AMQ2" s="26">
        <v>1029</v>
      </c>
      <c r="AMR2" s="26">
        <v>1030</v>
      </c>
      <c r="AMS2" s="26">
        <v>1031</v>
      </c>
      <c r="AMT2" s="26">
        <v>1032</v>
      </c>
      <c r="AMU2" s="26">
        <v>1033</v>
      </c>
      <c r="AMV2" s="26">
        <v>1034</v>
      </c>
      <c r="AMW2" s="26">
        <v>1035</v>
      </c>
      <c r="AMX2" s="26">
        <v>1036</v>
      </c>
      <c r="AMY2" s="26">
        <v>1037</v>
      </c>
      <c r="AMZ2" s="26">
        <v>1038</v>
      </c>
      <c r="ANA2" s="26">
        <v>1039</v>
      </c>
      <c r="ANB2" s="26">
        <v>1040</v>
      </c>
      <c r="ANC2" s="26">
        <v>1041</v>
      </c>
      <c r="AND2" s="26">
        <v>1042</v>
      </c>
      <c r="ANE2" s="26">
        <v>1043</v>
      </c>
      <c r="ANF2" s="26">
        <v>1044</v>
      </c>
      <c r="ANG2" s="26">
        <v>1045</v>
      </c>
      <c r="ANH2" s="26">
        <v>1046</v>
      </c>
      <c r="ANI2" s="26">
        <v>1047</v>
      </c>
      <c r="ANJ2" s="26">
        <v>1048</v>
      </c>
      <c r="ANK2" s="26">
        <v>1049</v>
      </c>
      <c r="ANL2" s="26">
        <v>1050</v>
      </c>
      <c r="ANM2" s="26">
        <v>1051</v>
      </c>
      <c r="ANN2" s="26">
        <v>1052</v>
      </c>
      <c r="ANO2" s="26">
        <v>1053</v>
      </c>
      <c r="ANP2" s="26">
        <v>1054</v>
      </c>
      <c r="ANQ2" s="26">
        <v>1055</v>
      </c>
      <c r="ANR2" s="26">
        <v>1056</v>
      </c>
      <c r="ANS2" s="26">
        <v>1057</v>
      </c>
      <c r="ANT2" s="26">
        <v>1058</v>
      </c>
      <c r="ANU2" s="26">
        <v>1059</v>
      </c>
      <c r="ANV2" s="26">
        <v>1060</v>
      </c>
      <c r="ANW2" s="26">
        <v>1061</v>
      </c>
      <c r="ANX2" s="26">
        <v>1062</v>
      </c>
      <c r="ANY2" s="26">
        <v>1063</v>
      </c>
      <c r="ANZ2" s="26">
        <v>1064</v>
      </c>
      <c r="AOA2" s="26">
        <v>1065</v>
      </c>
      <c r="AOB2" s="26">
        <v>1066</v>
      </c>
      <c r="AOC2" s="26">
        <v>1067</v>
      </c>
      <c r="AOD2" s="26">
        <v>1068</v>
      </c>
      <c r="AOE2" s="26">
        <v>1069</v>
      </c>
      <c r="AOF2" s="26">
        <v>1070</v>
      </c>
      <c r="AOG2" s="26">
        <v>1071</v>
      </c>
      <c r="AOH2" s="26">
        <v>1072</v>
      </c>
      <c r="AOI2" s="26">
        <v>1073</v>
      </c>
      <c r="AOJ2" s="26">
        <v>1074</v>
      </c>
      <c r="AOK2" s="26">
        <v>1075</v>
      </c>
      <c r="AOL2" s="26">
        <v>1076</v>
      </c>
      <c r="AOM2" s="26">
        <v>1077</v>
      </c>
      <c r="AON2" s="26">
        <v>1078</v>
      </c>
      <c r="AOO2" s="26">
        <v>1079</v>
      </c>
      <c r="AOP2" s="26">
        <v>1080</v>
      </c>
      <c r="AOQ2" s="26">
        <v>1081</v>
      </c>
      <c r="AOR2" s="26">
        <v>1082</v>
      </c>
      <c r="AOS2" s="26">
        <v>1083</v>
      </c>
      <c r="AOT2" s="26">
        <v>1084</v>
      </c>
      <c r="AOU2" s="26">
        <v>1085</v>
      </c>
      <c r="AOV2" s="26">
        <v>1086</v>
      </c>
      <c r="AOW2" s="26">
        <v>1087</v>
      </c>
      <c r="AOX2" s="26">
        <v>1088</v>
      </c>
      <c r="AOY2" s="26">
        <v>1089</v>
      </c>
      <c r="AOZ2" s="26">
        <v>1090</v>
      </c>
      <c r="APA2" s="26">
        <v>1091</v>
      </c>
      <c r="APB2" s="26">
        <v>1092</v>
      </c>
      <c r="APC2" s="26">
        <v>1093</v>
      </c>
      <c r="APD2" s="26">
        <v>1094</v>
      </c>
      <c r="APE2" s="26">
        <v>1095</v>
      </c>
      <c r="APF2" s="26">
        <v>1096</v>
      </c>
      <c r="APG2" s="26">
        <v>1097</v>
      </c>
      <c r="APH2" s="26">
        <v>1098</v>
      </c>
      <c r="API2" s="26">
        <v>1099</v>
      </c>
      <c r="APJ2" s="26">
        <v>1100</v>
      </c>
      <c r="APK2" s="26">
        <v>1101</v>
      </c>
      <c r="APL2" s="26">
        <v>1102</v>
      </c>
      <c r="APM2" s="26">
        <v>1103</v>
      </c>
      <c r="APN2" s="26">
        <v>1104</v>
      </c>
      <c r="APO2" s="26">
        <v>1105</v>
      </c>
      <c r="APP2" s="26">
        <v>1106</v>
      </c>
      <c r="APQ2" s="26">
        <v>1107</v>
      </c>
      <c r="APR2" s="26">
        <v>1108</v>
      </c>
      <c r="APS2" s="26">
        <v>1109</v>
      </c>
      <c r="APT2" s="26">
        <v>1110</v>
      </c>
      <c r="APU2" s="26">
        <v>1111</v>
      </c>
      <c r="APV2" s="26">
        <v>1112</v>
      </c>
      <c r="APW2" s="26">
        <v>1113</v>
      </c>
      <c r="APX2" s="26">
        <v>1114</v>
      </c>
      <c r="APY2" s="26">
        <v>1115</v>
      </c>
      <c r="APZ2" s="26">
        <v>1116</v>
      </c>
      <c r="AQA2" s="26">
        <v>1117</v>
      </c>
      <c r="AQB2" s="26">
        <v>1118</v>
      </c>
      <c r="AQC2" s="26">
        <v>1119</v>
      </c>
      <c r="AQD2" s="26">
        <v>1120</v>
      </c>
      <c r="AQE2" s="26">
        <v>1121</v>
      </c>
      <c r="AQF2" s="26">
        <v>1122</v>
      </c>
      <c r="AQG2" s="26">
        <v>1123</v>
      </c>
      <c r="AQH2" s="26">
        <v>1124</v>
      </c>
      <c r="AQI2" s="26">
        <v>1125</v>
      </c>
      <c r="AQJ2" s="26">
        <v>1126</v>
      </c>
      <c r="AQK2" s="26">
        <v>1127</v>
      </c>
      <c r="AQL2" s="26">
        <v>1128</v>
      </c>
      <c r="AQM2" s="26">
        <v>1129</v>
      </c>
      <c r="AQN2" s="26">
        <v>1130</v>
      </c>
      <c r="AQO2" s="26">
        <v>1131</v>
      </c>
      <c r="AQP2" s="26">
        <v>1132</v>
      </c>
      <c r="AQQ2" s="26">
        <v>1133</v>
      </c>
      <c r="AQR2" s="26">
        <v>1134</v>
      </c>
      <c r="AQS2" s="26">
        <v>1135</v>
      </c>
      <c r="AQT2" s="26">
        <v>1136</v>
      </c>
      <c r="AQU2" s="26">
        <v>1137</v>
      </c>
      <c r="AQV2" s="26">
        <v>1138</v>
      </c>
      <c r="AQW2" s="26">
        <v>1139</v>
      </c>
      <c r="AQX2" s="26">
        <v>1140</v>
      </c>
      <c r="AQY2" s="26">
        <v>1141</v>
      </c>
      <c r="AQZ2" s="26">
        <v>1142</v>
      </c>
      <c r="ARA2" s="26">
        <v>1143</v>
      </c>
      <c r="ARB2" s="26">
        <v>1144</v>
      </c>
      <c r="ARC2" s="26">
        <v>1145</v>
      </c>
      <c r="ARD2" s="26">
        <v>1146</v>
      </c>
      <c r="ARE2" s="26">
        <v>1147</v>
      </c>
      <c r="ARF2" s="26">
        <v>1148</v>
      </c>
      <c r="ARG2" s="26">
        <v>1149</v>
      </c>
      <c r="ARH2" s="26">
        <v>1150</v>
      </c>
      <c r="ARI2" s="26">
        <v>1151</v>
      </c>
      <c r="ARJ2" s="26">
        <v>1152</v>
      </c>
      <c r="ARK2" s="26">
        <v>1153</v>
      </c>
      <c r="ARL2" s="26">
        <v>1154</v>
      </c>
      <c r="ARM2" s="26">
        <v>1155</v>
      </c>
      <c r="ARN2" s="26">
        <v>1156</v>
      </c>
      <c r="ARO2" s="26">
        <v>1157</v>
      </c>
      <c r="ARP2" s="26">
        <v>1158</v>
      </c>
      <c r="ARQ2" s="26">
        <v>1159</v>
      </c>
      <c r="ARR2" s="26">
        <v>1160</v>
      </c>
      <c r="ARS2" s="26">
        <v>1161</v>
      </c>
      <c r="ART2" s="26">
        <v>1162</v>
      </c>
      <c r="ARU2" s="26">
        <v>1163</v>
      </c>
      <c r="ARV2" s="26">
        <v>1164</v>
      </c>
      <c r="ARW2" s="26">
        <v>1165</v>
      </c>
      <c r="ARX2" s="26">
        <v>1166</v>
      </c>
      <c r="ARY2" s="26">
        <v>1167</v>
      </c>
      <c r="ARZ2" s="26">
        <v>1168</v>
      </c>
      <c r="ASA2" s="26">
        <v>1169</v>
      </c>
      <c r="ASB2" s="26">
        <v>1170</v>
      </c>
      <c r="ASC2" s="26">
        <v>1171</v>
      </c>
      <c r="ASD2" s="26">
        <v>1172</v>
      </c>
      <c r="ASE2" s="26">
        <v>1173</v>
      </c>
      <c r="ASF2" s="26">
        <v>1174</v>
      </c>
      <c r="ASG2" s="26">
        <v>1175</v>
      </c>
      <c r="ASH2" s="26">
        <v>1176</v>
      </c>
      <c r="ASI2" s="26">
        <v>1177</v>
      </c>
      <c r="ASJ2" s="26">
        <v>1178</v>
      </c>
      <c r="ASK2" s="26">
        <v>1179</v>
      </c>
      <c r="ASL2" s="26">
        <v>1180</v>
      </c>
      <c r="ASM2" s="26">
        <v>1181</v>
      </c>
      <c r="ASN2" s="26">
        <v>1182</v>
      </c>
      <c r="ASO2" s="26">
        <v>1183</v>
      </c>
      <c r="ASP2" s="26">
        <v>1184</v>
      </c>
      <c r="ASQ2" s="26">
        <v>1185</v>
      </c>
      <c r="ASR2" s="26">
        <v>1186</v>
      </c>
      <c r="ASS2" s="26">
        <v>1187</v>
      </c>
      <c r="AST2" s="26">
        <v>1188</v>
      </c>
      <c r="ASU2" s="26">
        <v>1189</v>
      </c>
      <c r="ASV2" s="26">
        <v>1190</v>
      </c>
      <c r="ASW2" s="26">
        <v>1191</v>
      </c>
      <c r="ASX2" s="26">
        <v>1192</v>
      </c>
      <c r="ASY2" s="26">
        <v>1193</v>
      </c>
      <c r="ASZ2" s="26">
        <v>1194</v>
      </c>
      <c r="ATA2" s="26">
        <v>1195</v>
      </c>
      <c r="ATB2" s="26">
        <v>1196</v>
      </c>
      <c r="ATC2" s="26">
        <v>1197</v>
      </c>
      <c r="ATD2" s="26">
        <v>1198</v>
      </c>
      <c r="ATE2" s="26">
        <v>1199</v>
      </c>
      <c r="ATF2" s="26">
        <v>1200</v>
      </c>
      <c r="ATG2" s="26">
        <v>1201</v>
      </c>
      <c r="ATH2" s="26">
        <v>1202</v>
      </c>
      <c r="ATI2" s="26">
        <v>1203</v>
      </c>
      <c r="ATJ2" s="26">
        <v>1204</v>
      </c>
      <c r="ATK2" s="26">
        <v>1205</v>
      </c>
      <c r="ATL2" s="26">
        <v>1206</v>
      </c>
      <c r="ATM2" s="26">
        <v>1207</v>
      </c>
      <c r="ATN2" s="26">
        <v>1208</v>
      </c>
      <c r="ATO2" s="26">
        <v>1209</v>
      </c>
      <c r="ATP2" s="26">
        <v>1210</v>
      </c>
      <c r="ATQ2" s="26">
        <v>1211</v>
      </c>
      <c r="ATR2" s="26">
        <v>1212</v>
      </c>
      <c r="ATS2" s="26">
        <v>1213</v>
      </c>
      <c r="ATT2" s="26">
        <v>1214</v>
      </c>
      <c r="ATU2" s="26">
        <v>1215</v>
      </c>
      <c r="ATV2" s="26">
        <v>1216</v>
      </c>
      <c r="ATW2" s="26">
        <v>1217</v>
      </c>
      <c r="ATX2" s="26">
        <v>1218</v>
      </c>
      <c r="ATY2" s="26">
        <v>1219</v>
      </c>
      <c r="ATZ2" s="26">
        <v>1220</v>
      </c>
      <c r="AUA2" s="26">
        <v>1221</v>
      </c>
      <c r="AUB2" s="26">
        <v>1222</v>
      </c>
      <c r="AUC2" s="26">
        <v>1223</v>
      </c>
      <c r="AUD2" s="26">
        <v>1224</v>
      </c>
      <c r="AUE2" s="26">
        <v>1225</v>
      </c>
      <c r="AUF2" s="26">
        <v>1226</v>
      </c>
      <c r="AUG2" s="26">
        <v>1227</v>
      </c>
      <c r="AUH2" s="26">
        <v>1228</v>
      </c>
      <c r="AUI2" s="26">
        <v>1229</v>
      </c>
      <c r="AUJ2" s="26">
        <v>1230</v>
      </c>
      <c r="AUK2" s="26">
        <v>1231</v>
      </c>
      <c r="AUL2" s="26">
        <v>1232</v>
      </c>
      <c r="AUM2" s="26">
        <v>1233</v>
      </c>
      <c r="AUN2" s="26">
        <v>1234</v>
      </c>
      <c r="AUO2" s="26">
        <v>1235</v>
      </c>
      <c r="AUP2" s="26">
        <v>1236</v>
      </c>
      <c r="AUQ2" s="26">
        <v>1237</v>
      </c>
      <c r="AUR2" s="26">
        <v>1238</v>
      </c>
      <c r="AUS2" s="26">
        <v>1239</v>
      </c>
      <c r="AUT2" s="26">
        <v>1240</v>
      </c>
      <c r="AUU2" s="26">
        <v>1241</v>
      </c>
      <c r="AUV2" s="26">
        <v>1242</v>
      </c>
      <c r="AUW2" s="26">
        <v>1243</v>
      </c>
      <c r="AUX2" s="26">
        <v>1244</v>
      </c>
      <c r="AUY2" s="26">
        <v>1245</v>
      </c>
      <c r="AUZ2" s="26">
        <v>1246</v>
      </c>
      <c r="AVA2" s="26">
        <v>1247</v>
      </c>
      <c r="AVB2" s="26">
        <v>1248</v>
      </c>
      <c r="AVC2" s="26">
        <v>1249</v>
      </c>
      <c r="AVD2" s="26">
        <v>1250</v>
      </c>
      <c r="AVE2" s="26">
        <v>1251</v>
      </c>
      <c r="AVF2" s="26">
        <v>1252</v>
      </c>
      <c r="AVG2" s="26">
        <v>1253</v>
      </c>
      <c r="AVH2" s="26">
        <v>1254</v>
      </c>
      <c r="AVI2" s="26">
        <v>1255</v>
      </c>
      <c r="AVJ2" s="26">
        <v>1256</v>
      </c>
      <c r="AVK2" s="26">
        <v>1257</v>
      </c>
      <c r="AVL2" s="26">
        <v>1258</v>
      </c>
      <c r="AVM2" s="26">
        <v>1259</v>
      </c>
      <c r="AVN2" s="26">
        <v>1260</v>
      </c>
      <c r="AVO2" s="26">
        <v>1261</v>
      </c>
      <c r="AVP2" s="26">
        <v>1262</v>
      </c>
      <c r="AVQ2" s="26">
        <v>1263</v>
      </c>
      <c r="AVR2" s="26">
        <v>1264</v>
      </c>
      <c r="AVS2" s="26">
        <v>1265</v>
      </c>
      <c r="AVT2" s="26">
        <v>1266</v>
      </c>
      <c r="AVU2" s="26">
        <v>1267</v>
      </c>
      <c r="AVV2" s="26">
        <v>1268</v>
      </c>
      <c r="AVW2" s="26">
        <v>1269</v>
      </c>
      <c r="AVX2" s="26">
        <v>1270</v>
      </c>
      <c r="AVY2" s="26">
        <v>1271</v>
      </c>
      <c r="AVZ2" s="26">
        <v>1272</v>
      </c>
      <c r="AWA2" s="26">
        <v>1273</v>
      </c>
      <c r="AWB2" s="26">
        <v>1274</v>
      </c>
      <c r="AWC2" s="26">
        <v>1275</v>
      </c>
      <c r="AWD2" s="26">
        <v>1276</v>
      </c>
      <c r="AWE2" s="26">
        <v>1277</v>
      </c>
      <c r="AWF2" s="26">
        <v>1278</v>
      </c>
      <c r="AWG2" s="26">
        <v>1279</v>
      </c>
      <c r="AWH2" s="26">
        <v>1280</v>
      </c>
      <c r="AWI2" s="26">
        <v>1281</v>
      </c>
      <c r="AWJ2" s="26">
        <v>1282</v>
      </c>
      <c r="AWK2" s="26">
        <v>1283</v>
      </c>
      <c r="AWL2" s="26">
        <v>1284</v>
      </c>
      <c r="AWM2" s="26">
        <v>1285</v>
      </c>
      <c r="AWN2" s="26">
        <v>1286</v>
      </c>
      <c r="AWO2" s="26">
        <v>1287</v>
      </c>
      <c r="AWP2" s="26">
        <v>1288</v>
      </c>
      <c r="AWQ2" s="26">
        <v>1289</v>
      </c>
      <c r="AWR2" s="26">
        <v>1290</v>
      </c>
      <c r="AWS2" s="26">
        <v>1291</v>
      </c>
      <c r="AWT2" s="26">
        <v>1292</v>
      </c>
      <c r="AWU2" s="26">
        <v>1293</v>
      </c>
      <c r="AWV2" s="26">
        <v>1294</v>
      </c>
      <c r="AWW2" s="26">
        <v>1295</v>
      </c>
      <c r="AWX2" s="26">
        <v>1296</v>
      </c>
      <c r="AWY2" s="26">
        <v>1297</v>
      </c>
      <c r="AWZ2" s="26">
        <v>1298</v>
      </c>
      <c r="AXA2" s="26">
        <v>1299</v>
      </c>
      <c r="AXB2" s="26">
        <v>1300</v>
      </c>
      <c r="AXC2" s="26">
        <v>1301</v>
      </c>
      <c r="AXD2" s="26">
        <v>1302</v>
      </c>
      <c r="AXE2" s="26">
        <v>1303</v>
      </c>
      <c r="AXF2" s="26">
        <v>1304</v>
      </c>
      <c r="AXG2" s="26">
        <v>1305</v>
      </c>
      <c r="AXH2" s="26">
        <v>1306</v>
      </c>
      <c r="AXI2" s="26">
        <v>1307</v>
      </c>
      <c r="AXJ2" s="26">
        <v>1308</v>
      </c>
      <c r="AXK2" s="26">
        <v>1309</v>
      </c>
      <c r="AXL2" s="26">
        <v>1310</v>
      </c>
      <c r="AXM2" s="26">
        <v>1311</v>
      </c>
      <c r="AXN2" s="26">
        <v>1312</v>
      </c>
      <c r="AXO2" s="26">
        <v>1313</v>
      </c>
      <c r="AXP2" s="26">
        <v>1314</v>
      </c>
      <c r="AXQ2" s="26">
        <v>1315</v>
      </c>
      <c r="AXR2" s="26">
        <v>1316</v>
      </c>
      <c r="AXS2" s="26">
        <v>1317</v>
      </c>
      <c r="AXT2" s="26">
        <v>1318</v>
      </c>
      <c r="AXU2" s="26">
        <v>1319</v>
      </c>
      <c r="AXV2" s="26">
        <v>1320</v>
      </c>
      <c r="AXW2" s="26">
        <v>1321</v>
      </c>
      <c r="AXX2" s="26">
        <v>1322</v>
      </c>
      <c r="AXY2" s="26">
        <v>1323</v>
      </c>
      <c r="AXZ2" s="26">
        <v>1324</v>
      </c>
      <c r="AYA2" s="26">
        <v>1325</v>
      </c>
      <c r="AYB2" s="26">
        <v>1326</v>
      </c>
      <c r="AYC2" s="26">
        <v>1327</v>
      </c>
      <c r="AYD2" s="26">
        <v>1328</v>
      </c>
      <c r="AYE2" s="26">
        <v>1329</v>
      </c>
      <c r="AYF2" s="26">
        <v>1330</v>
      </c>
      <c r="AYG2" s="26">
        <v>1331</v>
      </c>
      <c r="AYH2" s="26">
        <v>1332</v>
      </c>
      <c r="AYI2" s="26">
        <v>1333</v>
      </c>
      <c r="AYJ2" s="26">
        <v>1334</v>
      </c>
      <c r="AYK2" s="26">
        <v>1335</v>
      </c>
      <c r="AYL2" s="26">
        <v>1336</v>
      </c>
      <c r="AYM2" s="26">
        <v>1337</v>
      </c>
      <c r="AYN2" s="26">
        <v>1338</v>
      </c>
      <c r="AYO2" s="26">
        <v>1339</v>
      </c>
      <c r="AYP2" s="26">
        <v>1340</v>
      </c>
      <c r="AYQ2" s="26">
        <v>1341</v>
      </c>
      <c r="AYR2" s="26">
        <v>1342</v>
      </c>
      <c r="AYS2" s="26">
        <v>1343</v>
      </c>
      <c r="AYT2" s="26">
        <v>1344</v>
      </c>
      <c r="AYU2" s="26">
        <v>1345</v>
      </c>
      <c r="AYV2" s="26">
        <v>1346</v>
      </c>
      <c r="AYW2" s="26">
        <v>1347</v>
      </c>
      <c r="AYX2" s="26">
        <v>1348</v>
      </c>
      <c r="AYY2" s="26">
        <v>1349</v>
      </c>
      <c r="AYZ2" s="26">
        <v>1350</v>
      </c>
      <c r="AZA2" s="26">
        <v>1351</v>
      </c>
      <c r="AZB2" s="26">
        <v>1352</v>
      </c>
      <c r="AZC2" s="26">
        <v>1353</v>
      </c>
      <c r="AZD2" s="26">
        <v>1354</v>
      </c>
      <c r="AZE2" s="26">
        <v>1355</v>
      </c>
      <c r="AZF2" s="26">
        <v>1356</v>
      </c>
      <c r="AZG2" s="26">
        <v>1357</v>
      </c>
      <c r="AZH2" s="26">
        <v>1358</v>
      </c>
      <c r="AZI2" s="26">
        <v>1359</v>
      </c>
      <c r="AZJ2" s="26">
        <v>1360</v>
      </c>
      <c r="AZK2" s="26">
        <v>1361</v>
      </c>
      <c r="AZL2" s="26">
        <v>1362</v>
      </c>
      <c r="AZM2" s="26">
        <v>1363</v>
      </c>
      <c r="AZN2" s="26">
        <v>1364</v>
      </c>
      <c r="AZO2" s="26">
        <v>1365</v>
      </c>
      <c r="AZP2" s="26">
        <v>1366</v>
      </c>
      <c r="AZQ2" s="26">
        <v>1367</v>
      </c>
      <c r="AZR2" s="26">
        <v>1368</v>
      </c>
      <c r="AZS2" s="26">
        <v>1369</v>
      </c>
      <c r="AZT2" s="26">
        <v>1370</v>
      </c>
      <c r="AZU2" s="26">
        <v>1371</v>
      </c>
      <c r="AZV2" s="26">
        <v>1372</v>
      </c>
      <c r="AZW2" s="26">
        <v>1373</v>
      </c>
      <c r="AZX2" s="26">
        <v>1374</v>
      </c>
      <c r="AZY2" s="26">
        <v>1375</v>
      </c>
      <c r="AZZ2" s="26">
        <v>1376</v>
      </c>
      <c r="BAA2" s="26">
        <v>1377</v>
      </c>
      <c r="BAB2" s="26">
        <v>1378</v>
      </c>
      <c r="BAC2" s="26">
        <v>1379</v>
      </c>
      <c r="BAD2" s="26">
        <v>1380</v>
      </c>
      <c r="BAE2" s="26">
        <v>1381</v>
      </c>
      <c r="BAF2" s="26">
        <v>1382</v>
      </c>
      <c r="BAG2" s="26">
        <v>1383</v>
      </c>
      <c r="BAH2" s="26">
        <v>1384</v>
      </c>
      <c r="BAI2" s="26">
        <v>1385</v>
      </c>
      <c r="BAJ2" s="26">
        <v>1386</v>
      </c>
      <c r="BAK2" s="26">
        <v>1387</v>
      </c>
      <c r="BAL2" s="26">
        <v>1388</v>
      </c>
      <c r="BAM2" s="26">
        <v>1389</v>
      </c>
      <c r="BAN2" s="26">
        <v>1390</v>
      </c>
      <c r="BAO2" s="26">
        <v>1391</v>
      </c>
      <c r="BAP2" s="26">
        <v>1392</v>
      </c>
      <c r="BAQ2" s="26">
        <v>1393</v>
      </c>
      <c r="BAR2" s="26">
        <v>1394</v>
      </c>
      <c r="BAS2" s="26">
        <v>1395</v>
      </c>
      <c r="BAT2" s="26">
        <v>1396</v>
      </c>
      <c r="BAU2" s="26">
        <v>1397</v>
      </c>
      <c r="BAV2" s="26">
        <v>1398</v>
      </c>
      <c r="BAW2" s="26">
        <v>1399</v>
      </c>
      <c r="BAX2" s="26">
        <v>1400</v>
      </c>
      <c r="BAY2" s="26">
        <v>1401</v>
      </c>
      <c r="BAZ2" s="26">
        <v>1402</v>
      </c>
      <c r="BBA2" s="26">
        <v>1403</v>
      </c>
      <c r="BBB2" s="26">
        <v>1404</v>
      </c>
      <c r="BBC2" s="26">
        <v>1405</v>
      </c>
      <c r="BBD2" s="26">
        <v>1406</v>
      </c>
      <c r="BBE2" s="26">
        <v>1407</v>
      </c>
      <c r="BBF2" s="26">
        <v>1408</v>
      </c>
      <c r="BBG2" s="26">
        <v>1409</v>
      </c>
      <c r="BBH2" s="26">
        <v>1410</v>
      </c>
      <c r="BBI2" s="26">
        <v>1411</v>
      </c>
      <c r="BBJ2" s="26">
        <v>1412</v>
      </c>
      <c r="BBK2" s="26">
        <v>1413</v>
      </c>
      <c r="BBL2" s="26">
        <v>1414</v>
      </c>
      <c r="BBM2" s="26">
        <v>1415</v>
      </c>
      <c r="BBN2" s="26">
        <v>1416</v>
      </c>
      <c r="BBO2" s="26">
        <v>1417</v>
      </c>
      <c r="BBP2" s="26">
        <v>1418</v>
      </c>
      <c r="BBQ2" s="26">
        <v>1419</v>
      </c>
      <c r="BBR2" s="26">
        <v>1420</v>
      </c>
      <c r="BBS2" s="26">
        <v>1421</v>
      </c>
      <c r="BBT2" s="26">
        <v>1422</v>
      </c>
      <c r="BBU2" s="26">
        <v>1423</v>
      </c>
      <c r="BBV2" s="26">
        <v>1424</v>
      </c>
      <c r="BBW2" s="26">
        <v>1425</v>
      </c>
      <c r="BBX2" s="26">
        <v>1426</v>
      </c>
      <c r="BBY2" s="26">
        <v>1427</v>
      </c>
      <c r="BBZ2" s="26">
        <v>1428</v>
      </c>
      <c r="BCA2" s="26">
        <v>1429</v>
      </c>
      <c r="BCB2" s="26">
        <v>1430</v>
      </c>
      <c r="BCC2" s="26">
        <v>1431</v>
      </c>
      <c r="BCD2" s="26">
        <v>1432</v>
      </c>
      <c r="BCE2" s="26">
        <v>1433</v>
      </c>
      <c r="BCF2" s="26">
        <v>1434</v>
      </c>
      <c r="BCG2" s="26">
        <v>1435</v>
      </c>
      <c r="BCH2" s="26">
        <v>1436</v>
      </c>
      <c r="BCI2" s="26">
        <v>1437</v>
      </c>
      <c r="BCJ2" s="26">
        <v>1438</v>
      </c>
      <c r="BCK2" s="26">
        <v>1439</v>
      </c>
      <c r="BCL2" s="26">
        <v>1440</v>
      </c>
      <c r="BCM2" s="26">
        <v>1441</v>
      </c>
      <c r="BCN2" s="26">
        <v>1442</v>
      </c>
      <c r="BCO2" s="26">
        <v>1443</v>
      </c>
      <c r="BCP2" s="26">
        <v>1444</v>
      </c>
      <c r="BCQ2" s="26">
        <v>1445</v>
      </c>
      <c r="BCR2" s="26">
        <v>1446</v>
      </c>
      <c r="BCS2" s="26">
        <v>1447</v>
      </c>
      <c r="BCT2" s="26">
        <v>1448</v>
      </c>
      <c r="BCU2" s="26">
        <v>1449</v>
      </c>
      <c r="BCV2" s="26">
        <v>1450</v>
      </c>
      <c r="BCW2" s="26">
        <v>1451</v>
      </c>
      <c r="BCX2" s="26">
        <v>1452</v>
      </c>
      <c r="BCY2" s="26">
        <v>1453</v>
      </c>
      <c r="BCZ2" s="26">
        <v>1454</v>
      </c>
      <c r="BDA2" s="26">
        <v>1455</v>
      </c>
      <c r="BDB2" s="26">
        <v>1456</v>
      </c>
      <c r="BDC2" s="26">
        <v>1457</v>
      </c>
      <c r="BDD2" s="26">
        <v>1458</v>
      </c>
      <c r="BDE2" s="26">
        <v>1459</v>
      </c>
      <c r="BDF2" s="26">
        <v>1460</v>
      </c>
      <c r="BDG2" s="26">
        <v>1461</v>
      </c>
      <c r="BDH2" s="26">
        <v>1462</v>
      </c>
      <c r="BDI2" s="26">
        <v>1463</v>
      </c>
      <c r="BDJ2" s="26">
        <v>1464</v>
      </c>
      <c r="BDK2" s="26">
        <v>1465</v>
      </c>
      <c r="BDL2" s="26">
        <v>1466</v>
      </c>
      <c r="BDM2" s="26">
        <v>1467</v>
      </c>
      <c r="BDN2" s="26">
        <v>1468</v>
      </c>
      <c r="BDO2" s="26">
        <v>1469</v>
      </c>
      <c r="BDP2" s="26">
        <v>1470</v>
      </c>
      <c r="BDQ2" s="26">
        <v>1471</v>
      </c>
      <c r="BDR2" s="26">
        <v>1472</v>
      </c>
      <c r="BDS2" s="26">
        <v>1473</v>
      </c>
      <c r="BDT2" s="26">
        <v>1474</v>
      </c>
      <c r="BDU2" s="26">
        <v>1475</v>
      </c>
      <c r="BDV2" s="26">
        <v>1476</v>
      </c>
      <c r="BDW2" s="26">
        <v>1477</v>
      </c>
      <c r="BDX2" s="26">
        <v>1478</v>
      </c>
      <c r="BDY2" s="26">
        <v>1479</v>
      </c>
      <c r="BDZ2" s="26">
        <v>1480</v>
      </c>
      <c r="BEA2" s="26">
        <v>1481</v>
      </c>
      <c r="BEB2" s="26">
        <v>1482</v>
      </c>
      <c r="BEC2" s="26">
        <v>1483</v>
      </c>
      <c r="BED2" s="26">
        <v>1484</v>
      </c>
      <c r="BEE2" s="26">
        <v>1485</v>
      </c>
      <c r="BEF2" s="26">
        <v>1486</v>
      </c>
      <c r="BEG2" s="26">
        <v>1487</v>
      </c>
      <c r="BEH2" s="26">
        <v>1488</v>
      </c>
      <c r="BEI2" s="26">
        <v>1489</v>
      </c>
      <c r="BEJ2" s="26">
        <v>1490</v>
      </c>
      <c r="BEK2" s="26">
        <v>1491</v>
      </c>
      <c r="BEL2" s="26">
        <v>1492</v>
      </c>
      <c r="BEM2" s="26">
        <v>1493</v>
      </c>
      <c r="BEN2" s="26">
        <v>1494</v>
      </c>
      <c r="BEO2" s="26">
        <v>1495</v>
      </c>
      <c r="BEP2" s="26">
        <v>1496</v>
      </c>
      <c r="BEQ2" s="26">
        <v>1497</v>
      </c>
      <c r="BER2" s="26">
        <v>1498</v>
      </c>
      <c r="BES2" s="26">
        <v>1499</v>
      </c>
      <c r="BET2" s="26">
        <v>1500</v>
      </c>
      <c r="BEU2" s="26">
        <v>1501</v>
      </c>
      <c r="BEV2" s="26">
        <v>1502</v>
      </c>
      <c r="BEW2" s="26">
        <v>1503</v>
      </c>
      <c r="BEX2" s="26">
        <v>1504</v>
      </c>
      <c r="BEY2" s="26">
        <v>1505</v>
      </c>
      <c r="BEZ2" s="26">
        <v>1506</v>
      </c>
      <c r="BFA2" s="26">
        <v>1507</v>
      </c>
      <c r="BFB2" s="26">
        <v>1508</v>
      </c>
      <c r="BFC2" s="26">
        <v>1509</v>
      </c>
      <c r="BFD2" s="26">
        <v>1510</v>
      </c>
      <c r="BFE2" s="26">
        <v>1511</v>
      </c>
      <c r="BFF2" s="26">
        <v>1512</v>
      </c>
      <c r="BFG2" s="26">
        <v>1513</v>
      </c>
      <c r="BFH2" s="26">
        <v>1514</v>
      </c>
      <c r="BFI2" s="26">
        <v>1515</v>
      </c>
      <c r="BFJ2" s="26">
        <v>1516</v>
      </c>
      <c r="BFK2" s="26">
        <v>1517</v>
      </c>
      <c r="BFL2" s="26">
        <v>1518</v>
      </c>
      <c r="BFM2" s="26">
        <v>1519</v>
      </c>
      <c r="BFN2" s="26">
        <v>1520</v>
      </c>
      <c r="BFO2" s="26">
        <v>1521</v>
      </c>
      <c r="BFP2" s="26">
        <v>1522</v>
      </c>
      <c r="BFQ2" s="26">
        <v>1523</v>
      </c>
      <c r="BFR2" s="26">
        <v>1524</v>
      </c>
      <c r="BFS2" s="26">
        <v>1525</v>
      </c>
      <c r="BFT2" s="26">
        <v>1526</v>
      </c>
      <c r="BFU2" s="26">
        <v>1527</v>
      </c>
      <c r="BFV2" s="26">
        <v>1528</v>
      </c>
      <c r="BFW2" s="26">
        <v>1529</v>
      </c>
      <c r="BFX2" s="26">
        <v>1530</v>
      </c>
      <c r="BFY2" s="26">
        <v>1531</v>
      </c>
      <c r="BFZ2" s="26">
        <v>1532</v>
      </c>
      <c r="BGA2" s="26">
        <v>1533</v>
      </c>
      <c r="BGB2" s="26">
        <v>1534</v>
      </c>
      <c r="BGC2" s="26">
        <v>1535</v>
      </c>
      <c r="BGD2" s="26">
        <v>1536</v>
      </c>
      <c r="BGE2" s="26">
        <v>1537</v>
      </c>
      <c r="BGF2" s="26">
        <v>1538</v>
      </c>
      <c r="BGG2" s="26">
        <v>1539</v>
      </c>
      <c r="BGH2" s="26">
        <v>1540</v>
      </c>
      <c r="BGI2" s="26">
        <v>1541</v>
      </c>
      <c r="BGJ2" s="26">
        <v>1542</v>
      </c>
      <c r="BGK2" s="26">
        <v>1543</v>
      </c>
      <c r="BGL2" s="26">
        <v>1544</v>
      </c>
      <c r="BGM2" s="26">
        <v>1545</v>
      </c>
      <c r="BGN2" s="26">
        <v>1546</v>
      </c>
      <c r="BGO2" s="26">
        <v>1547</v>
      </c>
      <c r="BGP2" s="26">
        <v>1548</v>
      </c>
      <c r="BGQ2" s="26">
        <v>1549</v>
      </c>
      <c r="BGR2" s="26">
        <v>1550</v>
      </c>
      <c r="BGS2" s="26">
        <v>1551</v>
      </c>
      <c r="BGT2" s="26">
        <v>1552</v>
      </c>
      <c r="BGU2" s="26">
        <v>1553</v>
      </c>
      <c r="BGV2" s="26">
        <v>1554</v>
      </c>
      <c r="BGW2" s="26">
        <v>1555</v>
      </c>
      <c r="BGX2" s="26">
        <v>1556</v>
      </c>
      <c r="BGY2" s="26">
        <v>1557</v>
      </c>
      <c r="BGZ2" s="26">
        <v>1558</v>
      </c>
      <c r="BHA2" s="26">
        <v>1559</v>
      </c>
      <c r="BHB2" s="26">
        <v>1560</v>
      </c>
      <c r="BHC2" s="26">
        <v>1561</v>
      </c>
      <c r="BHD2" s="26">
        <v>1562</v>
      </c>
      <c r="BHE2" s="26">
        <v>1563</v>
      </c>
      <c r="BHF2" s="26">
        <v>1564</v>
      </c>
      <c r="BHG2" s="26">
        <v>1565</v>
      </c>
      <c r="BHH2" s="26">
        <v>1566</v>
      </c>
      <c r="BHI2" s="26">
        <v>1567</v>
      </c>
      <c r="BHJ2" s="26">
        <v>1568</v>
      </c>
      <c r="BHK2" s="26">
        <v>1569</v>
      </c>
      <c r="BHL2" s="26">
        <v>1570</v>
      </c>
      <c r="BHM2" s="26">
        <v>1571</v>
      </c>
      <c r="BHN2" s="26">
        <v>1572</v>
      </c>
      <c r="BHO2" s="26">
        <v>1573</v>
      </c>
      <c r="BHP2" s="26">
        <v>1574</v>
      </c>
      <c r="BHQ2" s="26">
        <v>1575</v>
      </c>
      <c r="BHR2" s="26">
        <v>1576</v>
      </c>
      <c r="BHS2" s="26">
        <v>1577</v>
      </c>
      <c r="BHT2" s="26">
        <v>1578</v>
      </c>
      <c r="BHU2" s="26">
        <v>1579</v>
      </c>
      <c r="BHV2" s="26">
        <v>1580</v>
      </c>
      <c r="BHW2" s="26">
        <v>1581</v>
      </c>
      <c r="BHX2" s="26">
        <v>1582</v>
      </c>
      <c r="BHY2" s="26">
        <v>1583</v>
      </c>
      <c r="BHZ2" s="26">
        <v>1584</v>
      </c>
      <c r="BIA2" s="26">
        <v>1585</v>
      </c>
      <c r="BIB2" s="26">
        <v>1586</v>
      </c>
      <c r="BIC2" s="26">
        <v>1587</v>
      </c>
      <c r="BID2" s="26">
        <v>1588</v>
      </c>
      <c r="BIE2" s="26">
        <v>1589</v>
      </c>
      <c r="BIF2" s="26">
        <v>1590</v>
      </c>
      <c r="BIG2" s="26">
        <v>1591</v>
      </c>
      <c r="BIH2" s="26">
        <v>1592</v>
      </c>
      <c r="BII2" s="26">
        <v>1593</v>
      </c>
      <c r="BIJ2" s="26">
        <v>1594</v>
      </c>
      <c r="BIK2" s="26">
        <v>1595</v>
      </c>
      <c r="BIL2" s="26">
        <v>1596</v>
      </c>
      <c r="BIM2" s="26">
        <v>1597</v>
      </c>
      <c r="BIN2" s="26">
        <v>1598</v>
      </c>
      <c r="BIO2" s="26">
        <v>1599</v>
      </c>
      <c r="BIP2" s="26">
        <v>1600</v>
      </c>
      <c r="BIQ2" s="26">
        <v>1601</v>
      </c>
      <c r="BIR2" s="26">
        <v>1602</v>
      </c>
      <c r="BIS2" s="26">
        <v>1603</v>
      </c>
      <c r="BIT2" s="26">
        <v>1604</v>
      </c>
      <c r="BIU2" s="26">
        <v>1605</v>
      </c>
      <c r="BIV2" s="26">
        <v>1606</v>
      </c>
      <c r="BIW2" s="26">
        <v>1607</v>
      </c>
      <c r="BIX2" s="26">
        <v>1608</v>
      </c>
      <c r="BIY2" s="26">
        <v>1609</v>
      </c>
      <c r="BIZ2" s="26">
        <v>1610</v>
      </c>
      <c r="BJA2" s="26">
        <v>1611</v>
      </c>
      <c r="BJB2" s="26">
        <v>1612</v>
      </c>
      <c r="BJC2" s="26">
        <v>1613</v>
      </c>
      <c r="BJD2" s="26">
        <v>1614</v>
      </c>
      <c r="BJE2" s="26">
        <v>1615</v>
      </c>
      <c r="BJF2" s="26">
        <v>1616</v>
      </c>
      <c r="BJG2" s="26">
        <v>1617</v>
      </c>
      <c r="BJH2" s="26">
        <v>1618</v>
      </c>
      <c r="BJI2" s="26">
        <v>1619</v>
      </c>
      <c r="BJJ2" s="26">
        <v>1620</v>
      </c>
      <c r="BJK2" s="26">
        <v>1621</v>
      </c>
      <c r="BJL2" s="26">
        <v>1622</v>
      </c>
      <c r="BJM2" s="26">
        <v>1623</v>
      </c>
      <c r="BJN2" s="26">
        <v>1624</v>
      </c>
      <c r="BJO2" s="26">
        <v>1625</v>
      </c>
      <c r="BJP2" s="26">
        <v>1626</v>
      </c>
      <c r="BJQ2" s="26">
        <v>1627</v>
      </c>
      <c r="BJR2" s="26">
        <v>1628</v>
      </c>
      <c r="BJS2" s="26">
        <v>1629</v>
      </c>
      <c r="BJT2" s="26">
        <v>1630</v>
      </c>
      <c r="BJU2" s="26">
        <v>1631</v>
      </c>
      <c r="BJV2" s="26">
        <v>1632</v>
      </c>
      <c r="BJW2" s="26">
        <v>1633</v>
      </c>
      <c r="BJX2" s="26">
        <v>1634</v>
      </c>
      <c r="BJY2" s="26">
        <v>1635</v>
      </c>
      <c r="BJZ2" s="26">
        <v>1636</v>
      </c>
      <c r="BKA2" s="26">
        <v>1637</v>
      </c>
      <c r="BKB2" s="26">
        <v>1638</v>
      </c>
      <c r="BKC2" s="26">
        <v>1639</v>
      </c>
      <c r="BKD2" s="26">
        <v>1640</v>
      </c>
      <c r="BKE2" s="26">
        <v>1641</v>
      </c>
      <c r="BKF2" s="26">
        <v>1642</v>
      </c>
      <c r="BKG2" s="26">
        <v>1643</v>
      </c>
      <c r="BKH2" s="26">
        <v>1644</v>
      </c>
      <c r="BKI2" s="26">
        <v>1645</v>
      </c>
      <c r="BKJ2" s="26">
        <v>1646</v>
      </c>
      <c r="BKK2" s="26">
        <v>1647</v>
      </c>
      <c r="BKL2" s="26">
        <v>1648</v>
      </c>
      <c r="BKM2" s="26">
        <v>1649</v>
      </c>
      <c r="BKN2" s="26">
        <v>1650</v>
      </c>
      <c r="BKO2" s="26">
        <v>1651</v>
      </c>
      <c r="BKP2" s="26">
        <v>1652</v>
      </c>
      <c r="BKQ2" s="26">
        <v>1653</v>
      </c>
      <c r="BKR2" s="26">
        <v>1654</v>
      </c>
      <c r="BKS2" s="26">
        <v>1655</v>
      </c>
      <c r="BKT2" s="26">
        <v>1656</v>
      </c>
      <c r="BKU2" s="26">
        <v>1657</v>
      </c>
      <c r="BKV2" s="26">
        <v>1658</v>
      </c>
      <c r="BKW2" s="26">
        <v>1659</v>
      </c>
      <c r="BKX2" s="26">
        <v>1660</v>
      </c>
      <c r="BKY2" s="26">
        <v>1661</v>
      </c>
      <c r="BKZ2" s="26">
        <v>1662</v>
      </c>
      <c r="BLA2" s="26">
        <v>1663</v>
      </c>
      <c r="BLB2" s="26">
        <v>1664</v>
      </c>
      <c r="BLC2" s="26">
        <v>1665</v>
      </c>
      <c r="BLD2" s="26">
        <v>1666</v>
      </c>
      <c r="BLE2" s="26">
        <v>1667</v>
      </c>
      <c r="BLF2" s="26">
        <v>1668</v>
      </c>
      <c r="BLG2" s="26">
        <v>1669</v>
      </c>
      <c r="BLH2" s="26">
        <v>1670</v>
      </c>
      <c r="BLI2" s="26">
        <v>1671</v>
      </c>
      <c r="BLJ2" s="26">
        <v>1672</v>
      </c>
      <c r="BLK2" s="26">
        <v>1673</v>
      </c>
      <c r="BLL2" s="26">
        <v>1674</v>
      </c>
      <c r="BLM2" s="26">
        <v>1675</v>
      </c>
      <c r="BLN2" s="26">
        <v>1676</v>
      </c>
      <c r="BLO2" s="26">
        <v>1677</v>
      </c>
      <c r="BLP2" s="26">
        <v>1678</v>
      </c>
      <c r="BLQ2" s="26">
        <v>1679</v>
      </c>
      <c r="BLR2" s="26">
        <v>1680</v>
      </c>
      <c r="BLS2" s="26">
        <v>1681</v>
      </c>
      <c r="BLT2" s="26">
        <v>1682</v>
      </c>
      <c r="BLU2" s="26">
        <v>1683</v>
      </c>
      <c r="BLV2" s="26">
        <v>1684</v>
      </c>
      <c r="BLW2" s="26">
        <v>1685</v>
      </c>
      <c r="BLX2" s="26">
        <v>1686</v>
      </c>
      <c r="BLY2" s="26">
        <v>1687</v>
      </c>
      <c r="BLZ2" s="26">
        <v>1688</v>
      </c>
      <c r="BMA2" s="26">
        <v>1689</v>
      </c>
      <c r="BMB2" s="26">
        <v>1690</v>
      </c>
      <c r="BMC2" s="26">
        <v>1691</v>
      </c>
      <c r="BMD2" s="26">
        <v>1692</v>
      </c>
      <c r="BME2" s="26">
        <v>1693</v>
      </c>
      <c r="BMF2" s="26">
        <v>1694</v>
      </c>
      <c r="BMG2" s="26">
        <v>1695</v>
      </c>
      <c r="BMH2" s="26">
        <v>1696</v>
      </c>
      <c r="BMI2" s="26">
        <v>1697</v>
      </c>
      <c r="BMJ2" s="26">
        <v>1698</v>
      </c>
      <c r="BMK2" s="26">
        <v>1699</v>
      </c>
      <c r="BML2" s="26">
        <v>1700</v>
      </c>
      <c r="BMM2" s="26">
        <v>1701</v>
      </c>
      <c r="BMN2" s="26">
        <v>1702</v>
      </c>
      <c r="BMO2" s="26">
        <v>1703</v>
      </c>
      <c r="BMP2" s="26">
        <v>1704</v>
      </c>
      <c r="BMQ2" s="26">
        <v>1705</v>
      </c>
      <c r="BMR2" s="26">
        <v>1706</v>
      </c>
      <c r="BMS2" s="26">
        <v>1707</v>
      </c>
      <c r="BMT2" s="26">
        <v>1708</v>
      </c>
      <c r="BMU2" s="26">
        <v>1709</v>
      </c>
      <c r="BMV2" s="26">
        <v>1710</v>
      </c>
      <c r="BMW2" s="26">
        <v>1711</v>
      </c>
      <c r="BMX2" s="26">
        <v>1712</v>
      </c>
      <c r="BMY2" s="26">
        <v>1713</v>
      </c>
      <c r="BMZ2" s="26">
        <v>1714</v>
      </c>
      <c r="BNA2" s="26">
        <v>1715</v>
      </c>
      <c r="BNB2" s="26">
        <v>1716</v>
      </c>
      <c r="BNC2" s="26">
        <v>1717</v>
      </c>
      <c r="BND2" s="26">
        <v>1718</v>
      </c>
      <c r="BNE2" s="26">
        <v>1719</v>
      </c>
      <c r="BNF2" s="26">
        <v>1720</v>
      </c>
      <c r="BNG2" s="26">
        <v>1721</v>
      </c>
      <c r="BNH2" s="26">
        <v>1722</v>
      </c>
      <c r="BNI2" s="26">
        <v>1723</v>
      </c>
      <c r="BNJ2" s="26">
        <v>1724</v>
      </c>
      <c r="BNK2" s="26">
        <v>1725</v>
      </c>
      <c r="BNL2" s="26">
        <v>1726</v>
      </c>
      <c r="BNM2" s="26">
        <v>1727</v>
      </c>
      <c r="BNN2" s="26">
        <v>1728</v>
      </c>
      <c r="BNO2" s="26">
        <v>1729</v>
      </c>
      <c r="BNP2" s="26">
        <v>1730</v>
      </c>
      <c r="BNQ2" s="26">
        <v>1731</v>
      </c>
      <c r="BNR2" s="26">
        <v>1732</v>
      </c>
      <c r="BNS2" s="26">
        <v>1733</v>
      </c>
      <c r="BNT2" s="26">
        <v>1734</v>
      </c>
      <c r="BNU2" s="26">
        <v>1735</v>
      </c>
      <c r="BNV2" s="26">
        <v>1736</v>
      </c>
      <c r="BNW2" s="26">
        <v>1737</v>
      </c>
      <c r="BNX2" s="26">
        <v>1738</v>
      </c>
      <c r="BNY2" s="26">
        <v>1739</v>
      </c>
      <c r="BNZ2" s="26">
        <v>1740</v>
      </c>
      <c r="BOA2" s="26">
        <v>1741</v>
      </c>
      <c r="BOB2" s="26">
        <v>1742</v>
      </c>
      <c r="BOC2" s="26">
        <v>1743</v>
      </c>
      <c r="BOD2" s="26">
        <v>1744</v>
      </c>
      <c r="BOE2" s="26">
        <v>1745</v>
      </c>
      <c r="BOF2" s="26">
        <v>1746</v>
      </c>
      <c r="BOG2" s="26">
        <v>1747</v>
      </c>
      <c r="BOH2" s="26">
        <v>1748</v>
      </c>
      <c r="BOI2" s="26">
        <v>1749</v>
      </c>
      <c r="BOJ2" s="26">
        <v>1750</v>
      </c>
      <c r="BOK2" s="26">
        <v>1751</v>
      </c>
      <c r="BOL2" s="26">
        <v>1752</v>
      </c>
      <c r="BOM2" s="26">
        <v>1753</v>
      </c>
      <c r="BON2" s="26">
        <v>1754</v>
      </c>
      <c r="BOO2" s="26">
        <v>1755</v>
      </c>
      <c r="BOP2" s="26">
        <v>1756</v>
      </c>
      <c r="BOQ2" s="26">
        <v>1757</v>
      </c>
      <c r="BOR2" s="26">
        <v>1758</v>
      </c>
      <c r="BOS2" s="26">
        <v>1759</v>
      </c>
      <c r="BOT2" s="26">
        <v>1760</v>
      </c>
      <c r="BOU2" s="26">
        <v>1761</v>
      </c>
      <c r="BOV2" s="26">
        <v>1762</v>
      </c>
      <c r="BOW2" s="26">
        <v>1763</v>
      </c>
      <c r="BOX2" s="26">
        <v>1764</v>
      </c>
      <c r="BOY2" s="26">
        <v>1765</v>
      </c>
      <c r="BOZ2" s="26">
        <v>1766</v>
      </c>
      <c r="BPA2" s="26">
        <v>1767</v>
      </c>
      <c r="BPB2" s="26">
        <v>1768</v>
      </c>
      <c r="BPC2" s="26">
        <v>1769</v>
      </c>
      <c r="BPD2" s="26">
        <v>1770</v>
      </c>
      <c r="BPE2" s="26">
        <v>1771</v>
      </c>
      <c r="BPF2" s="26">
        <v>1772</v>
      </c>
      <c r="BPG2" s="26">
        <v>1773</v>
      </c>
      <c r="BPH2" s="26">
        <v>1774</v>
      </c>
      <c r="BPI2" s="26">
        <v>1775</v>
      </c>
      <c r="BPJ2" s="26">
        <v>1776</v>
      </c>
      <c r="BPK2" s="26">
        <v>1777</v>
      </c>
      <c r="BPL2" s="26">
        <v>1778</v>
      </c>
      <c r="BPM2" s="26">
        <v>1779</v>
      </c>
      <c r="BPN2" s="26">
        <v>1780</v>
      </c>
      <c r="BPO2" s="26">
        <v>1781</v>
      </c>
      <c r="BPP2" s="26">
        <v>1782</v>
      </c>
      <c r="BPQ2" s="26">
        <v>1783</v>
      </c>
      <c r="BPR2" s="26">
        <v>1784</v>
      </c>
      <c r="BPS2" s="26">
        <v>1785</v>
      </c>
      <c r="BPT2" s="26">
        <v>1786</v>
      </c>
      <c r="BPU2" s="26">
        <v>1787</v>
      </c>
      <c r="BPV2" s="26">
        <v>1788</v>
      </c>
      <c r="BPW2" s="26">
        <v>1789</v>
      </c>
      <c r="BPX2" s="26">
        <v>1790</v>
      </c>
      <c r="BPY2" s="26">
        <v>1791</v>
      </c>
      <c r="BPZ2" s="26">
        <v>1792</v>
      </c>
      <c r="BQA2" s="26">
        <v>1793</v>
      </c>
      <c r="BQB2" s="26">
        <v>1794</v>
      </c>
      <c r="BQC2" s="26">
        <v>1795</v>
      </c>
      <c r="BQD2" s="26">
        <v>1796</v>
      </c>
      <c r="BQE2" s="26">
        <v>1797</v>
      </c>
      <c r="BQF2" s="26">
        <v>1798</v>
      </c>
      <c r="BQG2" s="26">
        <v>1799</v>
      </c>
      <c r="BQH2" s="26">
        <v>1800</v>
      </c>
    </row>
    <row r="3" spans="1:1802" x14ac:dyDescent="0.2">
      <c r="A3" s="7">
        <v>1</v>
      </c>
      <c r="B3" s="7">
        <v>-0.44330390652467999</v>
      </c>
      <c r="C3" s="7">
        <v>-1.8788145465664301</v>
      </c>
      <c r="D3" s="7">
        <v>1.4616345651996001</v>
      </c>
      <c r="E3" s="7">
        <v>0.24920594112403199</v>
      </c>
      <c r="F3" s="7">
        <v>-0.97380636187530101</v>
      </c>
      <c r="G3" s="7">
        <v>0.29024587334642299</v>
      </c>
      <c r="H3" s="7">
        <v>7.70033664013349E-2</v>
      </c>
      <c r="I3" s="7">
        <v>0.54060851396724796</v>
      </c>
      <c r="J3" s="7">
        <v>-0.459256102254471</v>
      </c>
      <c r="K3" s="7">
        <v>0.12040670614439899</v>
      </c>
      <c r="L3" s="7">
        <v>-0.39807275348670301</v>
      </c>
      <c r="M3" s="7">
        <v>0.55007421918047905</v>
      </c>
      <c r="N3" s="7">
        <v>-0.18235299508342201</v>
      </c>
      <c r="O3" s="7">
        <v>-0.749530919435489</v>
      </c>
      <c r="P3" s="7">
        <v>0.54633667126194296</v>
      </c>
      <c r="Q3" s="7">
        <v>-1.8951374060700701</v>
      </c>
      <c r="R3" s="7">
        <v>0.51355761253228704</v>
      </c>
      <c r="S3" s="7">
        <v>-0.83967646072510405</v>
      </c>
      <c r="T3" s="7">
        <v>0.68773668657648901</v>
      </c>
      <c r="U3" s="7">
        <v>-0.27170730667587201</v>
      </c>
      <c r="V3" s="7">
        <v>0.43118626362242901</v>
      </c>
      <c r="W3" s="7">
        <v>1.6014664785250401</v>
      </c>
      <c r="X3" s="7">
        <v>-0.75250275492627305</v>
      </c>
      <c r="Y3" s="7">
        <v>0.15628148701601599</v>
      </c>
      <c r="Z3" s="7">
        <v>1.6772907906613199</v>
      </c>
      <c r="AA3" s="7">
        <v>0.66190129879447002</v>
      </c>
      <c r="AB3" s="7">
        <v>-0.16285932607452</v>
      </c>
      <c r="AC3" s="7">
        <v>0.28520242697308401</v>
      </c>
      <c r="AD3" s="7">
        <v>-2.40782750123378</v>
      </c>
      <c r="AE3" s="7">
        <v>-0.14190745275122299</v>
      </c>
      <c r="AF3" s="7">
        <v>0.51425248851305305</v>
      </c>
      <c r="AG3" s="7">
        <v>0.25919144558774398</v>
      </c>
      <c r="AH3" s="7">
        <v>0.30574654761464598</v>
      </c>
      <c r="AI3" s="7">
        <v>0.699398611988436</v>
      </c>
      <c r="AJ3" s="7">
        <v>-0.72791464881982804</v>
      </c>
      <c r="AK3" s="7">
        <v>-0.97380662951035002</v>
      </c>
      <c r="AL3" s="7">
        <v>1.6231347560901099</v>
      </c>
      <c r="AM3" s="7">
        <v>-0.81676244077519999</v>
      </c>
      <c r="AN3" s="7">
        <v>-0.77340489858235195</v>
      </c>
      <c r="AO3" s="7">
        <v>1.3771102830476201</v>
      </c>
      <c r="AP3" s="7">
        <v>0.182912649756243</v>
      </c>
      <c r="AQ3" s="7">
        <v>-0.20568931433545201</v>
      </c>
      <c r="AR3" s="7">
        <v>0.398419498998838</v>
      </c>
      <c r="AS3" s="7">
        <v>-0.32463712711345499</v>
      </c>
      <c r="AT3" s="7">
        <v>-2.0208122749011701</v>
      </c>
      <c r="AU3" s="7">
        <v>-1.76133728722301</v>
      </c>
      <c r="AV3" s="7">
        <v>-0.23786562047762899</v>
      </c>
      <c r="AW3" s="7">
        <v>0.56492624083043497</v>
      </c>
      <c r="AX3" s="7">
        <v>-2.4993189299476701</v>
      </c>
      <c r="AY3" s="7">
        <v>0.55893119255167401</v>
      </c>
      <c r="AZ3" s="7">
        <v>0.13303328501415901</v>
      </c>
      <c r="BA3" s="7">
        <v>1.13943608641435</v>
      </c>
      <c r="BB3" s="7">
        <v>-0.60947089305229896</v>
      </c>
      <c r="BC3" s="7">
        <v>0.146171053503171</v>
      </c>
      <c r="BD3" s="7">
        <v>0.83840177396983995</v>
      </c>
      <c r="BE3" s="7">
        <v>0.82545594609856199</v>
      </c>
      <c r="BF3" s="7">
        <v>-0.25364823100262202</v>
      </c>
      <c r="BG3" s="7">
        <v>0.204652009772674</v>
      </c>
      <c r="BH3" s="7">
        <v>-0.61172988961181696</v>
      </c>
      <c r="BI3" s="7">
        <v>-0.53514064125540906</v>
      </c>
      <c r="BJ3" s="7">
        <v>0.281560137443507</v>
      </c>
      <c r="BK3" s="7">
        <v>-3.1223595877555601E-2</v>
      </c>
      <c r="BL3" s="7">
        <v>2.6606884351968701E-2</v>
      </c>
      <c r="BM3" s="7">
        <v>0.18382938590706999</v>
      </c>
      <c r="BN3" s="7">
        <v>-0.161831210468841</v>
      </c>
      <c r="BO3" s="7">
        <v>1.5329137677981699</v>
      </c>
      <c r="BP3" s="7">
        <v>1.9082721765253401</v>
      </c>
      <c r="BQ3" s="7">
        <v>0.23717012626037301</v>
      </c>
      <c r="BR3" s="7">
        <v>-1.1856282126715001</v>
      </c>
      <c r="BS3" s="7">
        <v>-0.159162170458202</v>
      </c>
      <c r="BT3" s="7">
        <v>-0.101903924716333</v>
      </c>
      <c r="BU3" s="7">
        <v>-0.60285400226854402</v>
      </c>
      <c r="BV3" s="7">
        <v>-7.9224899526038603E-2</v>
      </c>
      <c r="BW3" s="7">
        <v>3.10688482657932E-2</v>
      </c>
      <c r="BX3" s="7">
        <v>-0.57304088099325301</v>
      </c>
      <c r="BY3" s="7">
        <v>-0.65396038164343295</v>
      </c>
      <c r="BZ3" s="7">
        <v>-0.81988562280005495</v>
      </c>
      <c r="CA3" s="7">
        <v>-0.47873360332910397</v>
      </c>
      <c r="CB3" s="7">
        <v>-0.12869807889969601</v>
      </c>
      <c r="CC3" s="7">
        <v>-1.7811166808505701</v>
      </c>
      <c r="CD3" s="7">
        <v>-0.58526443661638705</v>
      </c>
      <c r="CE3" s="7">
        <v>0.59126478378307701</v>
      </c>
      <c r="CF3" s="7">
        <v>0.26567337007844499</v>
      </c>
      <c r="CG3" s="7">
        <v>0.89714265363101098</v>
      </c>
      <c r="CH3" s="7">
        <v>-1.6116987177978701</v>
      </c>
      <c r="CI3" s="7">
        <v>-0.57163953793429101</v>
      </c>
      <c r="CJ3" s="7">
        <v>-0.84337140924007603</v>
      </c>
      <c r="CK3" s="7">
        <v>1.7556430607909801</v>
      </c>
      <c r="CL3" s="7">
        <v>-1.09373304538456</v>
      </c>
      <c r="CM3" s="7">
        <v>-0.401798342656151</v>
      </c>
      <c r="CN3" s="7">
        <v>1.51176142861898</v>
      </c>
      <c r="CO3" s="7">
        <v>0.239586496790751</v>
      </c>
      <c r="CP3" s="7">
        <v>-0.199174726084207</v>
      </c>
      <c r="CQ3" s="7">
        <v>1.9145427778802999</v>
      </c>
      <c r="CR3" s="7">
        <v>-0.66264497489836605</v>
      </c>
      <c r="CS3" s="7">
        <v>-1.30637789265418</v>
      </c>
      <c r="CT3" s="7">
        <v>-0.123225078656804</v>
      </c>
      <c r="CU3" s="7">
        <v>0.13770418550180299</v>
      </c>
      <c r="CV3" s="7">
        <v>0.272772375456447</v>
      </c>
      <c r="CW3" s="7">
        <v>-0.82724199861230996</v>
      </c>
      <c r="CX3" s="7">
        <v>6.1861559576938098E-2</v>
      </c>
      <c r="CY3" s="7">
        <v>0.56605329565459395</v>
      </c>
      <c r="CZ3" s="7">
        <v>1.3020493874844601</v>
      </c>
      <c r="DA3" s="7">
        <v>0.16748207978563001</v>
      </c>
      <c r="DB3" s="7">
        <v>0.354039947770665</v>
      </c>
      <c r="DC3" s="7">
        <v>0.43863171367417703</v>
      </c>
      <c r="DD3" s="7">
        <v>-0.52115696763653996</v>
      </c>
      <c r="DE3" s="7">
        <v>0.137415896308167</v>
      </c>
      <c r="DF3" s="7">
        <v>2.2688154752474401</v>
      </c>
      <c r="DG3" s="7">
        <v>0.55960999455165505</v>
      </c>
      <c r="DH3" s="7">
        <v>0.47129352050886297</v>
      </c>
      <c r="DI3" s="7">
        <v>-0.64200276031620296</v>
      </c>
      <c r="DJ3" s="7">
        <v>-1.9515560829371399E-2</v>
      </c>
      <c r="DK3" s="7">
        <v>6.6157564433261498E-2</v>
      </c>
      <c r="DL3" s="7">
        <v>-0.30152157507807598</v>
      </c>
      <c r="DM3" s="7">
        <v>-0.37496795928796101</v>
      </c>
      <c r="DN3" s="7">
        <v>0.20571202158506099</v>
      </c>
      <c r="DO3" s="7">
        <v>-0.95484697144688502</v>
      </c>
      <c r="DP3" s="7">
        <v>1.5811332039719499</v>
      </c>
      <c r="DQ3" s="7">
        <v>1.6016756237001499</v>
      </c>
      <c r="DR3" s="7">
        <v>1.0001700269974201</v>
      </c>
      <c r="DS3" s="7">
        <v>0.117755275217519</v>
      </c>
      <c r="DT3" s="7">
        <v>4.5258383940964202E-2</v>
      </c>
      <c r="DU3" s="7">
        <v>0.34470581085338398</v>
      </c>
      <c r="DV3" s="7">
        <v>0.16498234157828601</v>
      </c>
      <c r="DW3" s="7">
        <v>0.96307323841220405</v>
      </c>
      <c r="DX3" s="7">
        <v>-0.83525131566296495</v>
      </c>
      <c r="DY3" s="7">
        <v>0.71596609897195596</v>
      </c>
      <c r="DZ3" s="7">
        <v>-0.74231921768573395</v>
      </c>
      <c r="EA3" s="7">
        <v>-0.16883443013987601</v>
      </c>
      <c r="EB3" s="7">
        <v>0.204417906980808</v>
      </c>
      <c r="EC3" s="7">
        <v>0.52009230021271502</v>
      </c>
      <c r="ED3" s="7">
        <v>-0.63177118237359797</v>
      </c>
      <c r="EE3" s="7">
        <v>0.113607333421105</v>
      </c>
      <c r="EF3" s="7">
        <v>-0.692320124851875</v>
      </c>
      <c r="EG3" s="7">
        <v>0.319246559164511</v>
      </c>
      <c r="EH3" s="7">
        <v>2.0005480490307201</v>
      </c>
      <c r="EI3" s="7">
        <v>-0.61972533066825697</v>
      </c>
      <c r="EJ3" s="7">
        <v>0.90859739397477901</v>
      </c>
      <c r="EK3" s="7">
        <v>1.2606989460897899</v>
      </c>
      <c r="EL3" s="7">
        <v>0.138081487102269</v>
      </c>
      <c r="EM3" s="7">
        <v>-0.84407232417540701</v>
      </c>
      <c r="EN3" s="7">
        <v>-1.1552664354897699</v>
      </c>
      <c r="EO3" s="7">
        <v>1.4333456046328099</v>
      </c>
      <c r="EP3" s="7">
        <v>-1.4257269365360601</v>
      </c>
      <c r="EQ3" s="7">
        <v>-0.54261894346648498</v>
      </c>
      <c r="ER3" s="7">
        <v>3.6687835430364898E-2</v>
      </c>
      <c r="ES3" s="7">
        <v>0.36866111733794399</v>
      </c>
      <c r="ET3" s="7">
        <v>1.25198579419624</v>
      </c>
      <c r="EU3" s="7">
        <v>0.57236169507206802</v>
      </c>
      <c r="EV3" s="7">
        <v>-0.22460888679742999</v>
      </c>
      <c r="EW3" s="7">
        <v>1.47080611066565</v>
      </c>
      <c r="EX3" s="7">
        <v>0.45294495215300601</v>
      </c>
      <c r="EY3" s="7">
        <v>0.40872407842652198</v>
      </c>
      <c r="EZ3" s="7">
        <v>0.88562597734260695</v>
      </c>
      <c r="FA3" s="7">
        <v>0.87194533220851</v>
      </c>
      <c r="FB3" s="7">
        <v>-0.91508803287608498</v>
      </c>
      <c r="FC3" s="7">
        <v>0.70390858151094704</v>
      </c>
      <c r="FD3" s="7">
        <v>-0.64483787198267595</v>
      </c>
      <c r="FE3" s="7">
        <v>-0.25258525524182002</v>
      </c>
      <c r="FF3" s="7">
        <v>-0.81262138894896896</v>
      </c>
      <c r="FG3" s="7">
        <v>0.866150659791324</v>
      </c>
      <c r="FH3" s="7">
        <v>0.18038122511332599</v>
      </c>
      <c r="FI3" s="7">
        <v>-0.175631890360708</v>
      </c>
      <c r="FJ3" s="7">
        <v>-0.56063608458857195</v>
      </c>
      <c r="FK3" s="7">
        <v>0.60723820115039795</v>
      </c>
      <c r="FL3" s="7">
        <v>0.80147925658385299</v>
      </c>
      <c r="FM3" s="7">
        <v>2.7136905634678699</v>
      </c>
      <c r="FN3" s="7">
        <v>-2.01089600980935</v>
      </c>
      <c r="FO3" s="7">
        <v>-0.35335046904790501</v>
      </c>
      <c r="FP3" s="7">
        <v>0.90471842962418503</v>
      </c>
      <c r="FQ3" s="7">
        <v>0.87213422560763199</v>
      </c>
      <c r="FR3" s="7">
        <v>-0.95920508334932797</v>
      </c>
      <c r="FS3" s="7">
        <v>0.23370009785377299</v>
      </c>
      <c r="FT3" s="7">
        <v>-2.18215508665984</v>
      </c>
      <c r="FU3" s="7">
        <v>5.9623192602759501E-2</v>
      </c>
      <c r="FV3" s="7">
        <v>1.45115448961271</v>
      </c>
      <c r="FW3" s="7">
        <v>-1.8113262619119599</v>
      </c>
      <c r="FX3" s="7">
        <v>-1.0992845418982999</v>
      </c>
      <c r="FY3" s="7">
        <v>0.72503917747105695</v>
      </c>
      <c r="FZ3" s="7">
        <v>-4.7965403413251201E-2</v>
      </c>
      <c r="GA3" s="7">
        <v>-0.55301962430557206</v>
      </c>
      <c r="GB3" s="7">
        <v>-0.84967287485513798</v>
      </c>
      <c r="GC3" s="7">
        <v>0.46404067770502899</v>
      </c>
      <c r="GD3" s="7">
        <v>0.38932064237778102</v>
      </c>
      <c r="GE3" s="7">
        <v>-1.05386660155499</v>
      </c>
      <c r="GF3" s="7">
        <v>-0.32837005890302201</v>
      </c>
      <c r="GG3" s="7">
        <v>1.28889110509338</v>
      </c>
      <c r="GH3" s="7">
        <v>-0.13804758228580599</v>
      </c>
      <c r="GI3" s="7">
        <v>0.51726749537717098</v>
      </c>
      <c r="GJ3" s="7">
        <v>0.56397583598318701</v>
      </c>
      <c r="GK3" s="7">
        <v>-0.67645046199161696</v>
      </c>
      <c r="GL3" s="7">
        <v>1.1899690927722499</v>
      </c>
      <c r="GM3" s="7">
        <v>0.52677232119893702</v>
      </c>
      <c r="GN3" s="7">
        <v>1.3378535870010799</v>
      </c>
      <c r="GO3" s="7">
        <v>-0.82394795845389601</v>
      </c>
      <c r="GP3" s="7">
        <v>0.25286813305970202</v>
      </c>
      <c r="GQ3" s="7">
        <v>0.91831895174255895</v>
      </c>
      <c r="GR3" s="7">
        <v>-2.07430295108552</v>
      </c>
      <c r="GS3" s="7">
        <v>0.33497402684679201</v>
      </c>
      <c r="GT3" s="7">
        <v>-0.529625178921041</v>
      </c>
      <c r="GU3" s="7">
        <v>-0.41750648886434799</v>
      </c>
      <c r="GV3" s="7">
        <v>-1.4734350766120601</v>
      </c>
      <c r="GW3" s="7">
        <v>-3.8869043606234097E-2</v>
      </c>
      <c r="GX3" s="7">
        <v>0.94031160548780701</v>
      </c>
      <c r="GY3" s="7">
        <v>-1.0522537097204301</v>
      </c>
      <c r="GZ3" s="7">
        <v>1.3124273932599899</v>
      </c>
      <c r="HA3" s="7">
        <v>-1.19891587756435</v>
      </c>
      <c r="HB3" s="7">
        <v>1.3536925075715101</v>
      </c>
      <c r="HC3" s="7">
        <v>1.4830950750340901</v>
      </c>
      <c r="HD3" s="7">
        <v>0.63258708364860305</v>
      </c>
      <c r="HE3" s="7">
        <v>1.84189985662584</v>
      </c>
      <c r="HF3" s="7">
        <v>1.1306269051491</v>
      </c>
      <c r="HG3" s="7">
        <v>3.0665186996205299E-2</v>
      </c>
      <c r="HH3" s="7">
        <v>-0.24272363750716799</v>
      </c>
      <c r="HI3" s="7">
        <v>0.39499783532621502</v>
      </c>
      <c r="HJ3" s="7">
        <v>0.69381422010022897</v>
      </c>
      <c r="HK3" s="7">
        <v>-0.62157742778763203</v>
      </c>
      <c r="HL3" s="7">
        <v>0.58361196828823503</v>
      </c>
      <c r="HM3" s="7">
        <v>0.76401824242235095</v>
      </c>
      <c r="HN3" s="7">
        <v>-1.48809127768709</v>
      </c>
      <c r="HO3" s="7">
        <v>5.5981198509571103E-2</v>
      </c>
      <c r="HP3" s="7">
        <v>-2.14059726986802</v>
      </c>
      <c r="HQ3" s="7">
        <v>-0.84174142289033005</v>
      </c>
      <c r="HR3" s="7">
        <v>-0.66261001307234302</v>
      </c>
      <c r="HS3" s="7">
        <v>5.5447870414562603E-2</v>
      </c>
      <c r="HT3" s="7">
        <v>-2.0290231512296701</v>
      </c>
      <c r="HU3" s="7">
        <v>0.63645965016751604</v>
      </c>
      <c r="HV3" s="7">
        <v>-0.97720000960337805</v>
      </c>
      <c r="HW3" s="7">
        <v>0.78988738664491698</v>
      </c>
      <c r="HX3" s="7">
        <v>1.25501775259238</v>
      </c>
      <c r="HY3" s="7">
        <v>-0.90272866436059196</v>
      </c>
      <c r="HZ3" s="7">
        <v>0.37078354473096498</v>
      </c>
      <c r="IA3" s="7">
        <v>1.3974199476518301</v>
      </c>
      <c r="IB3" s="7">
        <v>-0.68003141524352595</v>
      </c>
      <c r="IC3" s="7">
        <v>1.8356071417617199</v>
      </c>
      <c r="ID3" s="7">
        <v>1.63622384640898</v>
      </c>
      <c r="IE3" s="7">
        <v>0.31918475378450301</v>
      </c>
      <c r="IF3" s="7">
        <v>1.05261724596978</v>
      </c>
      <c r="IG3" s="7">
        <v>-0.72040878680688802</v>
      </c>
      <c r="IH3" s="7">
        <v>-1.21873942584884</v>
      </c>
      <c r="II3" s="7">
        <v>-1.6067682615048899</v>
      </c>
      <c r="IJ3" s="7">
        <v>-1.35727064706551</v>
      </c>
      <c r="IK3" s="7">
        <v>-1.3848893160729701</v>
      </c>
      <c r="IL3" s="7">
        <v>0.49111803292202499</v>
      </c>
      <c r="IM3" s="7">
        <v>-0.57103063802521203</v>
      </c>
      <c r="IN3" s="7">
        <v>1.76177651918759</v>
      </c>
      <c r="IO3" s="7">
        <v>1.0356364515908001</v>
      </c>
      <c r="IP3" s="7">
        <v>2.1686304632589599</v>
      </c>
      <c r="IQ3" s="7">
        <v>-0.558130031860394</v>
      </c>
      <c r="IR3" s="7">
        <v>1.2728257824412099</v>
      </c>
      <c r="IS3" s="7">
        <v>-9.9421732103910296E-2</v>
      </c>
      <c r="IT3" s="7">
        <v>-4.9802269241542498E-2</v>
      </c>
      <c r="IU3" s="7">
        <v>0.99291780826906895</v>
      </c>
      <c r="IV3" s="7">
        <v>7.8033171330110701E-2</v>
      </c>
      <c r="IW3" s="7">
        <v>-0.74293477278132003</v>
      </c>
      <c r="IX3" s="7">
        <v>1.8396735798305901</v>
      </c>
      <c r="IY3" s="7">
        <v>-0.42679405656956299</v>
      </c>
      <c r="IZ3" s="7">
        <v>0.66081274306599402</v>
      </c>
      <c r="JA3" s="7">
        <v>0.39392567144454499</v>
      </c>
      <c r="JB3" s="7">
        <v>-1.0262290429152601</v>
      </c>
      <c r="JC3" s="7">
        <v>0.70955219189940499</v>
      </c>
      <c r="JD3" s="7">
        <v>0.83927356644414397</v>
      </c>
      <c r="JE3" s="7">
        <v>-1.1377004559308499</v>
      </c>
      <c r="JF3" s="7">
        <v>-1.38661798208665</v>
      </c>
      <c r="JG3" s="7">
        <v>-1.2686000477189101</v>
      </c>
      <c r="JH3" s="7">
        <v>1.2475926761177001</v>
      </c>
      <c r="JI3" s="7">
        <v>-0.33598592385276499</v>
      </c>
      <c r="JJ3" s="7">
        <v>1.01785401960375</v>
      </c>
      <c r="JK3" s="7">
        <v>-0.66383651217300899</v>
      </c>
      <c r="JL3" s="7">
        <v>0.51183685545349</v>
      </c>
      <c r="JM3" s="7">
        <v>-1.4227573639975399</v>
      </c>
      <c r="JN3" s="7">
        <v>-0.28378439194180599</v>
      </c>
      <c r="JO3" s="7">
        <v>0.46929761938669001</v>
      </c>
      <c r="JP3" s="7">
        <v>-0.65848710623654205</v>
      </c>
      <c r="JQ3" s="7">
        <v>-1.7263301090765699</v>
      </c>
      <c r="JR3" s="7">
        <v>0.33526915156568199</v>
      </c>
      <c r="JS3" s="7">
        <v>-1.03120555228268</v>
      </c>
      <c r="JT3" s="7">
        <v>-0.82826407539080105</v>
      </c>
      <c r="JU3" s="7">
        <v>1.3821303002045</v>
      </c>
      <c r="JV3" s="7">
        <v>1.6952658715811799</v>
      </c>
      <c r="JW3" s="7">
        <v>-0.14743730610880201</v>
      </c>
      <c r="JX3" s="7">
        <v>-0.25493463522125798</v>
      </c>
      <c r="JY3" s="7">
        <v>0.146290135926018</v>
      </c>
      <c r="JZ3" s="7">
        <v>-2.1067897600167198</v>
      </c>
      <c r="KA3" s="7">
        <v>-0.84671432928593404</v>
      </c>
      <c r="KB3" s="7">
        <v>0.50441583070899698</v>
      </c>
      <c r="KC3" s="7">
        <v>0.92362299425188499</v>
      </c>
      <c r="KD3" s="7">
        <v>-0.21944900205796</v>
      </c>
      <c r="KE3" s="7">
        <v>-0.45146695727724101</v>
      </c>
      <c r="KF3" s="7">
        <v>0.15857358346952799</v>
      </c>
      <c r="KG3" s="7">
        <v>-0.88944423695167796</v>
      </c>
      <c r="KH3" s="7">
        <v>-1.7530173895260699</v>
      </c>
      <c r="KI3" s="7">
        <v>-0.111805470663509</v>
      </c>
      <c r="KJ3" s="7">
        <v>2.1280548292871</v>
      </c>
      <c r="KK3" s="7">
        <v>0.15808488826276201</v>
      </c>
      <c r="KL3" s="7">
        <v>3.6171467578684902</v>
      </c>
      <c r="KM3" s="7">
        <v>0.54994154722407995</v>
      </c>
      <c r="KN3" s="7">
        <v>1.49348743554506</v>
      </c>
      <c r="KO3" s="7">
        <v>-0.19392476012162399</v>
      </c>
      <c r="KP3" s="7">
        <v>-2.01010662615636</v>
      </c>
      <c r="KQ3" s="7">
        <v>-0.44942840843756099</v>
      </c>
      <c r="KR3" s="7">
        <v>0.60792142402190397</v>
      </c>
      <c r="KS3" s="7">
        <v>-0.847677620532309</v>
      </c>
      <c r="KT3" s="7">
        <v>0.74168965949725596</v>
      </c>
      <c r="KU3" s="7">
        <v>-9.8461704450517301E-2</v>
      </c>
      <c r="KV3" s="7">
        <v>-1.03160033451558</v>
      </c>
      <c r="KW3" s="7">
        <v>1.3402134217672199</v>
      </c>
      <c r="KX3" s="7">
        <v>0.74344729736637205</v>
      </c>
      <c r="KY3" s="7">
        <v>-0.77142604588513397</v>
      </c>
      <c r="KZ3" s="7">
        <v>6.2569794903227505E-2</v>
      </c>
      <c r="LA3" s="7">
        <v>1.29951980706609</v>
      </c>
      <c r="LB3" s="7">
        <v>-2.5541675740557301</v>
      </c>
      <c r="LC3" s="7">
        <v>1.7421217765810499</v>
      </c>
      <c r="LD3" s="7">
        <v>-1.2431948763075</v>
      </c>
      <c r="LE3" s="7">
        <v>1.2764422251612999</v>
      </c>
      <c r="LF3" s="7">
        <v>0.82473113436395595</v>
      </c>
      <c r="LG3" s="7">
        <v>0.56242665148625604</v>
      </c>
      <c r="LH3" s="7">
        <v>0.38356348737741303</v>
      </c>
      <c r="LI3" s="7">
        <v>0.69840014674797202</v>
      </c>
      <c r="LJ3" s="7">
        <v>0.81697228153074497</v>
      </c>
      <c r="LK3" s="7">
        <v>0.49459497136001201</v>
      </c>
      <c r="LL3" s="7">
        <v>0.101364783336529</v>
      </c>
      <c r="LM3" s="7">
        <v>0.31951379698654298</v>
      </c>
      <c r="LN3" s="7">
        <v>1.05453245038663</v>
      </c>
      <c r="LO3" s="7">
        <v>0.46862924251154597</v>
      </c>
      <c r="LP3" s="7">
        <v>-1.06836966834354</v>
      </c>
      <c r="LQ3" s="7">
        <v>1.5265164953535599</v>
      </c>
      <c r="LR3" s="7">
        <v>0.444424812791473</v>
      </c>
      <c r="LS3" s="7">
        <v>-0.20441995535920399</v>
      </c>
      <c r="LT3" s="7">
        <v>-0.79287201605320201</v>
      </c>
      <c r="LU3" s="7">
        <v>-1.5163909434388001</v>
      </c>
      <c r="LV3" s="7">
        <v>-0.89420062043691095</v>
      </c>
      <c r="LW3" s="7">
        <v>5.9635699043038198E-2</v>
      </c>
      <c r="LX3" s="7">
        <v>-1.4553136368219901</v>
      </c>
      <c r="LY3" s="7">
        <v>-0.13666412157539101</v>
      </c>
      <c r="LZ3" s="7">
        <v>-0.171672110990953</v>
      </c>
      <c r="MA3" s="7">
        <v>-0.86765686433491795</v>
      </c>
      <c r="MB3" s="7">
        <v>-0.30451404147817801</v>
      </c>
      <c r="MC3" s="7">
        <v>-5.8549347595481201E-2</v>
      </c>
      <c r="MD3" s="7">
        <v>1.17847493589942</v>
      </c>
      <c r="ME3" s="7">
        <v>0.68736905933706804</v>
      </c>
      <c r="MF3" s="7">
        <v>0.39598040262408601</v>
      </c>
      <c r="MG3" s="7">
        <v>0.54823295486727197</v>
      </c>
      <c r="MH3" s="7">
        <v>0.55984870362218797</v>
      </c>
      <c r="MI3" s="7">
        <v>-0.70659243752585299</v>
      </c>
      <c r="MJ3" s="7">
        <v>-0.84805648922431198</v>
      </c>
      <c r="MK3" s="7">
        <v>-0.61461665437105795</v>
      </c>
      <c r="ML3" s="7">
        <v>-0.54366394230989501</v>
      </c>
      <c r="MM3" s="7">
        <v>-1.0956134668652999</v>
      </c>
      <c r="MN3" s="7">
        <v>-1.7834532157092</v>
      </c>
      <c r="MO3" s="7">
        <v>1.45185358416224</v>
      </c>
      <c r="MP3" s="7">
        <v>1.32689709820626</v>
      </c>
      <c r="MQ3" s="7">
        <v>0.48696803118460302</v>
      </c>
      <c r="MR3" s="7">
        <v>0.20304919040212699</v>
      </c>
      <c r="MS3" s="7">
        <v>0.35314289106716001</v>
      </c>
      <c r="MT3" s="7">
        <v>-0.54396168654562405</v>
      </c>
      <c r="MU3" s="7">
        <v>-1.06792796385399</v>
      </c>
      <c r="MV3" s="7">
        <v>0.85372149132181596</v>
      </c>
      <c r="MW3" s="7">
        <v>-0.44110074810187999</v>
      </c>
      <c r="MX3" s="7">
        <v>-0.67330673997538504</v>
      </c>
      <c r="MY3" s="7">
        <v>1.3167569823404399</v>
      </c>
      <c r="MZ3" s="7">
        <v>0.27436551638762802</v>
      </c>
      <c r="NA3" s="7">
        <v>0.72981942720683901</v>
      </c>
      <c r="NB3" s="7">
        <v>-0.69037172844345396</v>
      </c>
      <c r="NC3" s="7">
        <v>1.3064355975347699</v>
      </c>
      <c r="ND3" s="7">
        <v>-0.120437325823464</v>
      </c>
      <c r="NE3" s="7">
        <v>-0.32256142186028303</v>
      </c>
      <c r="NF3" s="7">
        <v>0.74087035339215102</v>
      </c>
      <c r="NG3" s="7">
        <v>2.1410201272822098</v>
      </c>
      <c r="NH3" s="7">
        <v>0.84304316797804402</v>
      </c>
      <c r="NI3" s="7">
        <v>1.05832628046057</v>
      </c>
      <c r="NJ3" s="7">
        <v>1.3403358599909001</v>
      </c>
      <c r="NK3" s="7">
        <v>-0.180942711654068</v>
      </c>
      <c r="NL3" s="7">
        <v>0.21551752467718699</v>
      </c>
      <c r="NM3" s="7">
        <v>-7.4267850768885896E-2</v>
      </c>
      <c r="NN3" s="7">
        <v>-1.0006284068183</v>
      </c>
      <c r="NO3" s="7">
        <v>0.37460683753137503</v>
      </c>
      <c r="NP3" s="7">
        <v>-0.47371061938744902</v>
      </c>
      <c r="NQ3" s="7">
        <v>-0.990129948621575</v>
      </c>
      <c r="NR3" s="7">
        <v>-0.55125223176887395</v>
      </c>
      <c r="NS3" s="7">
        <v>1.36218973710397</v>
      </c>
      <c r="NT3" s="7">
        <v>3.1985327319463998E-2</v>
      </c>
      <c r="NU3" s="7">
        <v>-0.25802467906903997</v>
      </c>
      <c r="NV3" s="7">
        <v>0.73101087045407598</v>
      </c>
      <c r="NW3" s="7">
        <v>-0.111739637296278</v>
      </c>
      <c r="NX3" s="7">
        <v>0.106360527521642</v>
      </c>
      <c r="NY3" s="7">
        <v>0.66615402282130798</v>
      </c>
      <c r="NZ3" s="7">
        <v>-5.3687910195621497E-2</v>
      </c>
      <c r="OA3" s="7">
        <v>-0.742890965860866</v>
      </c>
      <c r="OB3" s="7">
        <v>1.5394255945070501</v>
      </c>
      <c r="OC3" s="7">
        <v>0.17904190428067099</v>
      </c>
      <c r="OD3" s="7">
        <v>0.86631869510039705</v>
      </c>
      <c r="OE3" s="7">
        <v>1.3964832991712299</v>
      </c>
      <c r="OF3" s="7">
        <v>-1.0732574437714399</v>
      </c>
      <c r="OG3" s="7">
        <v>1.41215043143276</v>
      </c>
      <c r="OH3" s="7">
        <v>1.2015282089820201</v>
      </c>
      <c r="OI3" s="7">
        <v>-0.189803265470252</v>
      </c>
      <c r="OJ3" s="7">
        <v>-0.44114224488515502</v>
      </c>
      <c r="OK3" s="7">
        <v>0.25652301354475598</v>
      </c>
      <c r="OL3" s="7">
        <v>-1.5706101941508199</v>
      </c>
      <c r="OM3" s="7">
        <v>0.85215803647353505</v>
      </c>
      <c r="ON3" s="7">
        <v>1.19600397683523</v>
      </c>
      <c r="OO3" s="7">
        <v>-2.2104772942408801</v>
      </c>
      <c r="OP3" s="7">
        <v>-0.156994187643404</v>
      </c>
      <c r="OQ3" s="7">
        <v>1.51627876439215</v>
      </c>
      <c r="OR3" s="7">
        <v>0.34106581653899398</v>
      </c>
      <c r="OS3" s="7">
        <v>-1.58901325948357</v>
      </c>
      <c r="OT3" s="7">
        <v>-9.3372924151169504E-2</v>
      </c>
      <c r="OU3" s="7">
        <v>0.17490860916061099</v>
      </c>
      <c r="OV3" s="7">
        <v>-9.2647653460655205E-2</v>
      </c>
      <c r="OW3" s="7">
        <v>-0.85052582727118098</v>
      </c>
      <c r="OX3" s="7">
        <v>-0.23611526525669699</v>
      </c>
      <c r="OY3" s="7">
        <v>-0.22168854591336501</v>
      </c>
      <c r="OZ3" s="7">
        <v>-1.3155473171474401</v>
      </c>
      <c r="PA3" s="7">
        <v>-0.52292429176288202</v>
      </c>
      <c r="PB3" s="7">
        <v>0.25689706893542003</v>
      </c>
      <c r="PC3" s="7">
        <v>0.61877786946637603</v>
      </c>
      <c r="PD3" s="7">
        <v>-0.712928767390274</v>
      </c>
      <c r="PE3" s="7">
        <v>4.14109148001085E-2</v>
      </c>
      <c r="PF3" s="7">
        <v>0.37680522455373</v>
      </c>
      <c r="PG3" s="7">
        <v>3.3885026268336502</v>
      </c>
      <c r="PH3" s="7">
        <v>3.69347626987263</v>
      </c>
      <c r="PI3" s="7">
        <v>-1.0979066833914199</v>
      </c>
      <c r="PJ3" s="7">
        <v>0.85750505983572201</v>
      </c>
      <c r="PK3" s="7">
        <v>-3.1895105342661001E-3</v>
      </c>
      <c r="PL3" s="7">
        <v>-2.1461340768685102</v>
      </c>
      <c r="PM3" s="7">
        <v>0.473800794337359</v>
      </c>
      <c r="PN3" s="7">
        <v>0.238062042606136</v>
      </c>
      <c r="PO3" s="7">
        <v>0.990328576937478</v>
      </c>
      <c r="PP3" s="7">
        <v>-2.31048337644427</v>
      </c>
      <c r="PQ3" s="7">
        <v>1.2063073084182101</v>
      </c>
      <c r="PR3" s="7">
        <v>0.26624187308255198</v>
      </c>
      <c r="PS3" s="7">
        <v>0.72876584971423697</v>
      </c>
      <c r="PT3" s="7">
        <v>-0.95661194355787205</v>
      </c>
      <c r="PU3" s="7">
        <v>-0.24756449181971299</v>
      </c>
      <c r="PV3" s="7">
        <v>-6.5477505660389193E-2</v>
      </c>
      <c r="PW3" s="7">
        <v>-0.42752980809631302</v>
      </c>
      <c r="PX3" s="7">
        <v>-0.10656693044120499</v>
      </c>
      <c r="PY3" s="7">
        <v>0.96900099345302304</v>
      </c>
      <c r="PZ3" s="7">
        <v>-0.24179046056443401</v>
      </c>
      <c r="QA3" s="7">
        <v>1.34406175132302</v>
      </c>
      <c r="QB3" s="7">
        <v>1.94130453135807E-2</v>
      </c>
      <c r="QC3" s="7">
        <v>-1.7733515638481601</v>
      </c>
      <c r="QD3" s="7">
        <v>-0.70088546869908597</v>
      </c>
      <c r="QE3" s="7">
        <v>-0.99624455283819202</v>
      </c>
      <c r="QF3" s="7">
        <v>0.58097858061089003</v>
      </c>
      <c r="QG3" s="7">
        <v>0.72401154977389603</v>
      </c>
      <c r="QH3" s="7">
        <v>0.54493428482746498</v>
      </c>
      <c r="QI3" s="7">
        <v>-1.43881221526003</v>
      </c>
      <c r="QJ3" s="7">
        <v>8.5716477514511599E-2</v>
      </c>
      <c r="QK3" s="7">
        <v>1.7208345667729299</v>
      </c>
      <c r="QL3" s="7">
        <v>0.12634982978380599</v>
      </c>
      <c r="QM3" s="7">
        <v>5.7305012195432797E-2</v>
      </c>
      <c r="QN3" s="7">
        <v>-1.50900904221887</v>
      </c>
      <c r="QO3" s="7">
        <v>0.31199367249760301</v>
      </c>
      <c r="QP3" s="7">
        <v>1.2632839685964401</v>
      </c>
      <c r="QQ3" s="7">
        <v>-0.77396494235033098</v>
      </c>
      <c r="QR3" s="7">
        <v>-0.116402558380863</v>
      </c>
      <c r="QS3" s="7">
        <v>1.03044174645691</v>
      </c>
      <c r="QT3" s="7">
        <v>-0.62362125508629795</v>
      </c>
      <c r="QU3" s="7">
        <v>-2.1270259141214001</v>
      </c>
      <c r="QV3" s="7">
        <v>-1.08721380730519</v>
      </c>
      <c r="QW3" s="7">
        <v>1.20721436787448</v>
      </c>
      <c r="QX3" s="7">
        <v>0.70952482818386997</v>
      </c>
      <c r="QY3" s="7">
        <v>0.27182715459187101</v>
      </c>
      <c r="QZ3" s="7">
        <v>-0.34446659810373198</v>
      </c>
      <c r="RA3" s="7">
        <v>1.7116555937744</v>
      </c>
      <c r="RB3" s="7">
        <v>-0.471570723522797</v>
      </c>
      <c r="RC3" s="7">
        <v>-1.5307742982497801</v>
      </c>
      <c r="RD3" s="7">
        <v>1.9131378219169499E-2</v>
      </c>
      <c r="RE3" s="7">
        <v>2.7404589454739701E-2</v>
      </c>
      <c r="RF3" s="7">
        <v>-0.71187490230185202</v>
      </c>
      <c r="RG3" s="7">
        <v>1.77800904965366</v>
      </c>
      <c r="RH3" s="7">
        <v>-0.13913030340288601</v>
      </c>
      <c r="RI3" s="7">
        <v>0.792296533403962</v>
      </c>
      <c r="RJ3" s="7">
        <v>-1.3539883908529899</v>
      </c>
      <c r="RK3" s="7">
        <v>1.0600128961913</v>
      </c>
      <c r="RL3" s="7">
        <v>-1.14730658122813</v>
      </c>
      <c r="RM3" s="7">
        <v>0.285514510239535</v>
      </c>
      <c r="RN3" s="7">
        <v>-0.88357216514530301</v>
      </c>
      <c r="RO3" s="7">
        <v>-1.4507153012965399</v>
      </c>
      <c r="RP3" s="7">
        <v>0.51623282781713198</v>
      </c>
      <c r="RQ3" s="7">
        <v>-0.95767651592884395</v>
      </c>
      <c r="RR3" s="7">
        <v>-0.48396127028583902</v>
      </c>
      <c r="RS3" s="7">
        <v>-7.2217286991378193E-2</v>
      </c>
      <c r="RT3" s="7">
        <v>-0.61267995906421502</v>
      </c>
      <c r="RU3" s="7">
        <v>-0.74697296867176799</v>
      </c>
      <c r="RV3" s="7">
        <v>-0.51225822757682904</v>
      </c>
      <c r="RW3" s="7">
        <v>2.4031621811463899</v>
      </c>
      <c r="RX3" s="7">
        <v>-1.11040199649782</v>
      </c>
      <c r="RY3" s="7">
        <v>0.42830597967818301</v>
      </c>
      <c r="RZ3" s="7">
        <v>-0.65173583359027698</v>
      </c>
      <c r="SA3" s="7">
        <v>1.4389006684271699</v>
      </c>
      <c r="SB3" s="7">
        <v>-1.3972845399138101</v>
      </c>
      <c r="SC3" s="7">
        <v>-0.65883149928345897</v>
      </c>
      <c r="SD3" s="7">
        <v>0.51420586600002505</v>
      </c>
      <c r="SE3" s="7">
        <v>-0.93000181602443799</v>
      </c>
      <c r="SF3" s="7">
        <v>0.71555892087249595</v>
      </c>
      <c r="SG3" s="7">
        <v>0.78001566576246795</v>
      </c>
      <c r="SH3" s="7">
        <v>-1.3710744484084001</v>
      </c>
      <c r="SI3" s="7">
        <v>-0.45236811414133499</v>
      </c>
      <c r="SJ3" s="7">
        <v>0.61676184679585699</v>
      </c>
      <c r="SK3" s="7">
        <v>-0.64387300880445697</v>
      </c>
      <c r="SL3" s="7">
        <v>-0.33579484448383001</v>
      </c>
      <c r="SM3" s="7">
        <v>1.4537728734712401</v>
      </c>
      <c r="SN3" s="7">
        <v>0.19676718193976001</v>
      </c>
      <c r="SO3" s="7">
        <v>-0.56239231574506698</v>
      </c>
      <c r="SP3" s="7">
        <v>0.18553943180370899</v>
      </c>
      <c r="SQ3" s="7">
        <v>-1.2345956190293199</v>
      </c>
      <c r="SR3" s="7">
        <v>-1.3659964298896199</v>
      </c>
      <c r="SS3" s="7">
        <v>-0.797613372979319</v>
      </c>
      <c r="ST3" s="7">
        <v>-0.140109251582516</v>
      </c>
      <c r="SU3" s="7">
        <v>2.0656032761785998</v>
      </c>
      <c r="SV3" s="7">
        <v>-2.0790064316174601</v>
      </c>
      <c r="SW3" s="7">
        <v>-0.15192127632766</v>
      </c>
      <c r="SX3" s="7">
        <v>0.83903287645563096</v>
      </c>
      <c r="SY3" s="7">
        <v>-1.24559090028561</v>
      </c>
      <c r="SZ3" s="7">
        <v>-5.9761561980485003E-2</v>
      </c>
      <c r="TA3" s="7">
        <v>0.26112836800238198</v>
      </c>
      <c r="TB3" s="7">
        <v>1.9740474365349501</v>
      </c>
      <c r="TC3" s="7">
        <v>1.4354318028573601</v>
      </c>
      <c r="TD3" s="7">
        <v>-0.65946387629791503</v>
      </c>
      <c r="TE3" s="7">
        <v>-0.58756293275119797</v>
      </c>
      <c r="TF3" s="7">
        <v>-0.59894198486378902</v>
      </c>
      <c r="TG3" s="7">
        <v>1.9209987098297101</v>
      </c>
      <c r="TH3" s="7">
        <v>-2.063236687986</v>
      </c>
      <c r="TI3" s="7">
        <v>1.1761197810756701</v>
      </c>
      <c r="TJ3" s="7">
        <v>0.68606531984447106</v>
      </c>
      <c r="TK3" s="7">
        <v>0.92195689841072204</v>
      </c>
      <c r="TL3" s="7">
        <v>9.6308855722118999E-3</v>
      </c>
      <c r="TM3" s="7">
        <v>0.76844149619444702</v>
      </c>
      <c r="TN3" s="7">
        <v>-0.84300100680988099</v>
      </c>
      <c r="TO3" s="7">
        <v>0.79329052700654101</v>
      </c>
      <c r="TP3" s="7">
        <v>0.35422435951786502</v>
      </c>
      <c r="TQ3" s="7">
        <v>0.32409152344078601</v>
      </c>
      <c r="TR3" s="7">
        <v>-0.70896698518273604</v>
      </c>
      <c r="TS3" s="7">
        <v>0.29312121376439398</v>
      </c>
      <c r="TT3" s="7">
        <v>0.65951307061794795</v>
      </c>
      <c r="TU3" s="7">
        <v>-1.5690587232467701</v>
      </c>
      <c r="TV3" s="7">
        <v>-1.05237849847327</v>
      </c>
      <c r="TW3" s="7">
        <v>-0.62828759770170295</v>
      </c>
      <c r="TX3" s="7">
        <v>1.2803906473478199</v>
      </c>
      <c r="TY3" s="7">
        <v>0.45907352611470997</v>
      </c>
      <c r="TZ3" s="7">
        <v>-0.68277836678379</v>
      </c>
      <c r="UA3" s="7">
        <v>-1.2707112009672801</v>
      </c>
      <c r="UB3" s="7">
        <v>-1.20821214852912</v>
      </c>
      <c r="UC3" s="7">
        <v>0.115411047596504</v>
      </c>
      <c r="UD3" s="7">
        <v>0.566112459541252</v>
      </c>
      <c r="UE3" s="7">
        <v>-0.42029507735312699</v>
      </c>
      <c r="UF3" s="7">
        <v>-6.7237250142038504E-2</v>
      </c>
      <c r="UG3" s="7">
        <v>0.25577922415563398</v>
      </c>
      <c r="UH3" s="7">
        <v>-9.1495792641432001E-3</v>
      </c>
      <c r="UI3" s="7">
        <v>0.159730491102968</v>
      </c>
      <c r="UJ3" s="7">
        <v>1.59919861612865</v>
      </c>
      <c r="UK3" s="7">
        <v>-0.17442353002064201</v>
      </c>
      <c r="UL3" s="7">
        <v>1.04227564383613</v>
      </c>
      <c r="UM3" s="7">
        <v>-1.0480543178094499</v>
      </c>
      <c r="UN3" s="7">
        <v>-1.2305474333772599</v>
      </c>
      <c r="UO3" s="7">
        <v>-1.6042541464558699</v>
      </c>
      <c r="UP3" s="7">
        <v>-0.41482844788440298</v>
      </c>
      <c r="UQ3" s="7">
        <v>0.54208141099602802</v>
      </c>
      <c r="UR3" s="7">
        <v>2.9751332181303201</v>
      </c>
      <c r="US3" s="7">
        <v>-0.33460991071790902</v>
      </c>
      <c r="UT3" s="7">
        <v>-0.46712488399559399</v>
      </c>
      <c r="UU3" s="7">
        <v>-0.71552490527025603</v>
      </c>
      <c r="UV3" s="7">
        <v>0.487496452765105</v>
      </c>
      <c r="UW3" s="7">
        <v>-0.965357917382754</v>
      </c>
      <c r="UX3" s="7">
        <v>0.69918046731297701</v>
      </c>
      <c r="UY3" s="7">
        <v>0.76315044409686295</v>
      </c>
      <c r="UZ3" s="7">
        <v>-1.0127933123955599</v>
      </c>
      <c r="VA3" s="7">
        <v>0.23667050587831401</v>
      </c>
      <c r="VB3" s="7">
        <v>-0.87164952349992697</v>
      </c>
      <c r="VC3" s="7">
        <v>-1.4354329583016601</v>
      </c>
      <c r="VD3" s="7">
        <v>0.31737124970612202</v>
      </c>
      <c r="VE3" s="7">
        <v>0.288413238415619</v>
      </c>
      <c r="VF3" s="7">
        <v>0.36047646483833901</v>
      </c>
      <c r="VG3" s="7">
        <v>-1.3443716469329401</v>
      </c>
      <c r="VH3" s="7">
        <v>-0.89484228686304401</v>
      </c>
      <c r="VI3" s="7">
        <v>-0.43791532394433902</v>
      </c>
      <c r="VJ3" s="7">
        <v>-0.96335632938660798</v>
      </c>
      <c r="VK3" s="7">
        <v>0.21220918516279899</v>
      </c>
      <c r="VL3" s="7">
        <v>-0.92104499590333999</v>
      </c>
      <c r="VM3" s="7">
        <v>0.56333287398740195</v>
      </c>
      <c r="VN3" s="7">
        <v>0.28129150275430098</v>
      </c>
      <c r="VO3" s="7">
        <v>-0.13391896170748599</v>
      </c>
      <c r="VP3" s="7">
        <v>-7.7222942267323194E-2</v>
      </c>
      <c r="VQ3" s="7">
        <v>-0.56335417655319797</v>
      </c>
      <c r="VR3" s="7">
        <v>1.1184731144587901</v>
      </c>
      <c r="VS3" s="7">
        <v>0.63203799871013799</v>
      </c>
      <c r="VT3" s="7">
        <v>0.42915490524588401</v>
      </c>
      <c r="VU3" s="7">
        <v>-0.45610946532767399</v>
      </c>
      <c r="VV3" s="7">
        <v>-0.55844582756604499</v>
      </c>
      <c r="VW3" s="7">
        <v>0.35068733313948802</v>
      </c>
      <c r="VX3" s="7">
        <v>1.0261008009541399</v>
      </c>
      <c r="VY3" s="7">
        <v>-1.8416972083624501</v>
      </c>
      <c r="VZ3" s="7">
        <v>-1.1431630816435501</v>
      </c>
      <c r="WA3" s="7">
        <v>7.6802519726506702E-2</v>
      </c>
      <c r="WB3" s="7">
        <v>0.26451797379124897</v>
      </c>
      <c r="WC3" s="7">
        <v>0.79603025750443801</v>
      </c>
      <c r="WD3" s="7">
        <v>0.70543462198262996</v>
      </c>
      <c r="WE3" s="7">
        <v>-1.57056798945357</v>
      </c>
      <c r="WF3" s="7">
        <v>1.40452856861658</v>
      </c>
      <c r="WG3" s="7">
        <v>-0.12899053429302701</v>
      </c>
      <c r="WH3" s="7">
        <v>-1.5463414451299899</v>
      </c>
      <c r="WI3" s="7">
        <v>0.89589369856841905</v>
      </c>
      <c r="WJ3" s="7">
        <v>-0.121576777640496</v>
      </c>
      <c r="WK3" s="7">
        <v>1.3088076225534699</v>
      </c>
      <c r="WL3" s="7">
        <v>-0.99787333034657</v>
      </c>
      <c r="WM3" s="7">
        <v>1.67702517405462</v>
      </c>
      <c r="WN3" s="7">
        <v>0.94799207276349595</v>
      </c>
      <c r="WO3" s="7">
        <v>4.58765588499511E-2</v>
      </c>
      <c r="WP3" s="7">
        <v>-0.98392425017142404</v>
      </c>
      <c r="WQ3" s="7">
        <v>-0.73078930189018199</v>
      </c>
      <c r="WR3" s="7">
        <v>-9.19513986178008E-2</v>
      </c>
      <c r="WS3" s="7">
        <v>-1.44158874363834E-2</v>
      </c>
      <c r="WT3" s="7">
        <v>-0.60385513086486897</v>
      </c>
      <c r="WU3" s="7">
        <v>-0.89326111298253696</v>
      </c>
      <c r="WV3" s="7">
        <v>-0.76543140760449502</v>
      </c>
      <c r="WW3" s="7">
        <v>-1.29729450312484</v>
      </c>
      <c r="WX3" s="7">
        <v>-1.13472092396617</v>
      </c>
      <c r="WY3" s="7">
        <v>1.34115844222035</v>
      </c>
      <c r="WZ3" s="7">
        <v>-0.92368468111171298</v>
      </c>
      <c r="XA3" s="7">
        <v>0.59793096462177897</v>
      </c>
      <c r="XB3" s="7">
        <v>1.5679608911629099</v>
      </c>
      <c r="XC3" s="7">
        <v>-0.52032433388426202</v>
      </c>
      <c r="XD3" s="7">
        <v>0.100024984327188</v>
      </c>
      <c r="XE3" s="7">
        <v>-0.15685308075943799</v>
      </c>
      <c r="XF3" s="7">
        <v>-1.31125404294262</v>
      </c>
      <c r="XG3" s="7">
        <v>0.29302551251007602</v>
      </c>
      <c r="XH3" s="7">
        <v>-0.46387378953418901</v>
      </c>
      <c r="XI3" s="7">
        <v>1.09811634791949</v>
      </c>
      <c r="XJ3" s="7">
        <v>-0.48652681131574399</v>
      </c>
      <c r="XK3" s="7">
        <v>-0.136241103214368</v>
      </c>
      <c r="XL3" s="7">
        <v>1.72119637850491</v>
      </c>
      <c r="XM3" s="7">
        <v>0.65270544266390595</v>
      </c>
      <c r="XN3" s="7">
        <v>-0.42301973924132702</v>
      </c>
      <c r="XO3" s="7">
        <v>2.0677856598099398</v>
      </c>
      <c r="XP3" s="7">
        <v>0.83243690084981403</v>
      </c>
      <c r="XQ3" s="7">
        <v>-4.5059114046350001E-4</v>
      </c>
      <c r="XR3" s="7">
        <v>-0.283346259827011</v>
      </c>
      <c r="XS3" s="7">
        <v>-0.119052108697372</v>
      </c>
      <c r="XT3" s="7">
        <v>0.407749501041688</v>
      </c>
      <c r="XU3" s="7">
        <v>0.44635923282546602</v>
      </c>
      <c r="XV3" s="7">
        <v>0.223954757661181</v>
      </c>
      <c r="XW3" s="7">
        <v>-6.0555817567023003E-2</v>
      </c>
      <c r="XX3" s="7">
        <v>-1.1315511019262501</v>
      </c>
      <c r="XY3" s="7">
        <v>-1.7304655995899301</v>
      </c>
      <c r="XZ3" s="7">
        <v>-1.13790190501591</v>
      </c>
      <c r="YA3" s="7">
        <v>-3.1998273194072599E-2</v>
      </c>
      <c r="YB3" s="7">
        <v>-0.346265057651166</v>
      </c>
      <c r="YC3" s="7">
        <v>-1.2280953170412801</v>
      </c>
      <c r="YD3" s="7">
        <v>-0.83522125236360201</v>
      </c>
      <c r="YE3" s="7">
        <v>-0.372648744198114</v>
      </c>
      <c r="YF3" s="7">
        <v>-1.3680782385386601</v>
      </c>
      <c r="YG3" s="7">
        <v>-0.21262446490035899</v>
      </c>
      <c r="YH3" s="7">
        <v>-0.11216296425971101</v>
      </c>
      <c r="YI3" s="7">
        <v>-0.55240330598590603</v>
      </c>
      <c r="YJ3" s="7">
        <v>-0.55109364078087297</v>
      </c>
      <c r="YK3" s="7">
        <v>-0.47971801496302702</v>
      </c>
      <c r="YL3" s="7">
        <v>1.25956662338342</v>
      </c>
      <c r="YM3" s="7">
        <v>1.2790718641383001</v>
      </c>
      <c r="YN3" s="7">
        <v>-0.87450341751504101</v>
      </c>
      <c r="YO3" s="7">
        <v>-0.21028124274106699</v>
      </c>
      <c r="YP3" s="7">
        <v>-0.2809961981936</v>
      </c>
      <c r="YQ3" s="7">
        <v>-0.146486427729667</v>
      </c>
      <c r="YR3" s="7">
        <v>-5.70709344817825E-2</v>
      </c>
      <c r="YS3" s="7">
        <v>-0.42312990691532198</v>
      </c>
      <c r="YT3" s="7">
        <v>1.6119562171034401</v>
      </c>
      <c r="YU3" s="7">
        <v>-1.71473451030531</v>
      </c>
      <c r="YV3" s="7">
        <v>-0.35665109306763498</v>
      </c>
      <c r="YW3" s="7">
        <v>1.2873922717592901</v>
      </c>
      <c r="YX3" s="7">
        <v>3.03777620316724</v>
      </c>
      <c r="YY3" s="7">
        <v>0.26320856198145398</v>
      </c>
      <c r="YZ3" s="7">
        <v>-0.60102573502853296</v>
      </c>
      <c r="ZA3" s="7">
        <v>-0.15513797614800301</v>
      </c>
      <c r="ZB3" s="7">
        <v>0.57917992625302905</v>
      </c>
      <c r="ZC3" s="7">
        <v>0.30813159408955798</v>
      </c>
      <c r="ZD3" s="7">
        <v>-2.4513934360836598</v>
      </c>
      <c r="ZE3" s="7">
        <v>-8.0463957305752898E-2</v>
      </c>
      <c r="ZF3" s="7">
        <v>-0.35048364698637602</v>
      </c>
      <c r="ZG3" s="7">
        <v>1.14902343006105</v>
      </c>
      <c r="ZH3" s="7">
        <v>-0.80612360803045002</v>
      </c>
      <c r="ZI3" s="7">
        <v>7.5611289078132707E-2</v>
      </c>
      <c r="ZJ3" s="7">
        <v>-0.20174287751644099</v>
      </c>
      <c r="ZK3" s="7">
        <v>-1.3320734394998499</v>
      </c>
      <c r="ZL3" s="7">
        <v>-1.8958877846957E-2</v>
      </c>
      <c r="ZM3" s="7">
        <v>2.0037002069310499</v>
      </c>
      <c r="ZN3" s="7">
        <v>-1.1780721451467899</v>
      </c>
      <c r="ZO3" s="7">
        <v>0.18437902933247999</v>
      </c>
      <c r="ZP3" s="7">
        <v>-0.54365364752438206</v>
      </c>
      <c r="ZQ3" s="7">
        <v>-9.0320813260236096E-2</v>
      </c>
      <c r="ZR3" s="7">
        <v>-1.56186735902987</v>
      </c>
      <c r="ZS3" s="7">
        <v>-1.32747472132109</v>
      </c>
      <c r="ZT3" s="7">
        <v>-0.47921178512997697</v>
      </c>
      <c r="ZU3" s="7">
        <v>1.1896342051980799</v>
      </c>
      <c r="ZV3" s="7">
        <v>-0.105585411208968</v>
      </c>
      <c r="ZW3" s="7">
        <v>0.295017557029016</v>
      </c>
      <c r="ZX3" s="7">
        <v>0.587017461457222</v>
      </c>
      <c r="ZY3" s="7">
        <v>2.28657173517735</v>
      </c>
      <c r="ZZ3" s="7">
        <v>-0.45913366108777798</v>
      </c>
      <c r="AAA3" s="7">
        <v>-0.60067806461925499</v>
      </c>
      <c r="AAB3" s="7">
        <v>-1.66876780116913</v>
      </c>
      <c r="AAC3" s="7">
        <v>-0.12465285126945</v>
      </c>
      <c r="AAD3" s="7">
        <v>2.15283911910837</v>
      </c>
      <c r="AAE3" s="7">
        <v>0.37705837061429898</v>
      </c>
      <c r="AAF3" s="7">
        <v>0.18315041124890999</v>
      </c>
      <c r="AAG3" s="7">
        <v>0.182061490685438</v>
      </c>
      <c r="AAH3" s="7">
        <v>-0.17598530112650801</v>
      </c>
      <c r="AAI3" s="7">
        <v>-0.343088882656504</v>
      </c>
      <c r="AAJ3" s="7">
        <v>-1.37409185479174</v>
      </c>
      <c r="AAK3" s="7">
        <v>-0.10032194358535999</v>
      </c>
      <c r="AAL3" s="7">
        <v>-2.0734527198192501</v>
      </c>
      <c r="AAM3" s="7">
        <v>-0.68959732597364898</v>
      </c>
      <c r="AAN3" s="7">
        <v>0.65682969597595198</v>
      </c>
      <c r="AAO3" s="7">
        <v>-1.16050978017212</v>
      </c>
      <c r="AAP3" s="7">
        <v>-0.23574924606789599</v>
      </c>
      <c r="AAQ3" s="7">
        <v>1.2128987416060799</v>
      </c>
      <c r="AAR3" s="7">
        <v>-0.484416054661786</v>
      </c>
      <c r="AAS3" s="7">
        <v>-0.37683771501062602</v>
      </c>
      <c r="AAT3" s="7">
        <v>1.06971084758457</v>
      </c>
      <c r="AAU3" s="7">
        <v>-0.92563162793090104</v>
      </c>
      <c r="AAV3" s="7">
        <v>5.2023041565882798E-2</v>
      </c>
      <c r="AAW3" s="7">
        <v>0.18080474014720699</v>
      </c>
      <c r="AAX3" s="7">
        <v>-0.34787591160627201</v>
      </c>
      <c r="AAY3" s="7">
        <v>4.3275907027828901E-2</v>
      </c>
      <c r="AAZ3" s="7">
        <v>-0.73536755530364994</v>
      </c>
      <c r="ABA3" s="7">
        <v>-2.3604350365384099</v>
      </c>
      <c r="ABB3" s="7">
        <v>-3.54223638873069E-2</v>
      </c>
      <c r="ABC3" s="7">
        <v>0.720554909248457</v>
      </c>
      <c r="ABD3" s="7">
        <v>-4.9247073848852602E-2</v>
      </c>
      <c r="ABE3" s="7">
        <v>1.78507693975384</v>
      </c>
      <c r="ABF3" s="7">
        <v>-2.3659914345285298</v>
      </c>
      <c r="ABG3" s="7">
        <v>-1.5637732021091999</v>
      </c>
      <c r="ABH3" s="7">
        <v>-2.7616873762049701E-2</v>
      </c>
      <c r="ABI3" s="7">
        <v>-0.236815989484504</v>
      </c>
      <c r="ABJ3" s="7">
        <v>0.59033151514941495</v>
      </c>
      <c r="ABK3" s="7">
        <v>0.87607961515311095</v>
      </c>
      <c r="ABL3" s="7">
        <v>-0.45143906202196399</v>
      </c>
      <c r="ABM3" s="7">
        <v>-1.08585926849546</v>
      </c>
      <c r="ABN3" s="7">
        <v>0.77591886250880104</v>
      </c>
      <c r="ABO3" s="7">
        <v>-1.01506416740621</v>
      </c>
      <c r="ABP3" s="7">
        <v>1.0163505448547501</v>
      </c>
      <c r="ABQ3" s="7">
        <v>-0.31946932432043001</v>
      </c>
      <c r="ABR3" s="7">
        <v>0.62530658596962896</v>
      </c>
      <c r="ABS3" s="7">
        <v>-1.0880071401212099</v>
      </c>
      <c r="ABT3" s="7">
        <v>1.8162584579207499</v>
      </c>
      <c r="ABU3" s="7">
        <v>1.3495748344139</v>
      </c>
      <c r="ABV3" s="7">
        <v>0.48801216398842701</v>
      </c>
      <c r="ABW3" s="7">
        <v>-1.14105786081329</v>
      </c>
      <c r="ABX3" s="7">
        <v>0.59256979691038802</v>
      </c>
      <c r="ABY3" s="7">
        <v>-1.3540572601941701</v>
      </c>
      <c r="ABZ3" s="7">
        <v>-2.00730135998562</v>
      </c>
      <c r="ACA3" s="7">
        <v>-2.0054177000783501E-2</v>
      </c>
      <c r="ACB3" s="7">
        <v>-0.59295098632201904</v>
      </c>
      <c r="ACC3" s="7">
        <v>-0.57362997624257905</v>
      </c>
      <c r="ACD3" s="7">
        <v>0.20679374612161899</v>
      </c>
      <c r="ACE3" s="7">
        <v>6.4565932761467895E-2</v>
      </c>
      <c r="ACF3" s="7">
        <v>-2.13232675525785</v>
      </c>
      <c r="ACG3" s="7">
        <v>1.73690662146549</v>
      </c>
      <c r="ACH3" s="7">
        <v>1.7661335373877101</v>
      </c>
      <c r="ACI3" s="7">
        <v>-1.35495020945898</v>
      </c>
      <c r="ACJ3" s="7">
        <v>1.0922765778364001</v>
      </c>
      <c r="ACK3" s="7">
        <v>-0.71647192367564505</v>
      </c>
      <c r="ACL3" s="7">
        <v>0.89223301162846702</v>
      </c>
      <c r="ACM3" s="7">
        <v>0.97613754089904403</v>
      </c>
      <c r="ACN3" s="7">
        <v>1.49496639934081</v>
      </c>
      <c r="ACO3" s="7">
        <v>-1.3304035385584201</v>
      </c>
      <c r="ACP3" s="7">
        <v>-2.0367550294215202</v>
      </c>
      <c r="ACQ3" s="7">
        <v>-0.71781363680229504</v>
      </c>
      <c r="ACR3" s="7">
        <v>0.78938317515210199</v>
      </c>
      <c r="ACS3" s="7">
        <v>-0.66476076247892801</v>
      </c>
      <c r="ACT3" s="7">
        <v>-0.86511870151384695</v>
      </c>
      <c r="ACU3" s="7">
        <v>0.31195066147440298</v>
      </c>
      <c r="ACV3" s="7">
        <v>-0.822818756569899</v>
      </c>
      <c r="ACW3" s="7">
        <v>1.5401340823796099</v>
      </c>
      <c r="ACX3" s="7">
        <v>0.54935586744933496</v>
      </c>
      <c r="ACY3" s="7">
        <v>0.97716135084607103</v>
      </c>
      <c r="ACZ3" s="7">
        <v>0.485366997678504</v>
      </c>
      <c r="ADA3" s="7">
        <v>3.5167343713373697E-2</v>
      </c>
      <c r="ADB3" s="7">
        <v>1.6847911953517301</v>
      </c>
      <c r="ADC3" s="7">
        <v>1.1029209383068199</v>
      </c>
      <c r="ADD3" s="7">
        <v>-2.5015144967517702</v>
      </c>
      <c r="ADE3" s="7">
        <v>-0.216487202174454</v>
      </c>
      <c r="ADF3" s="7">
        <v>-0.22974972561028201</v>
      </c>
      <c r="ADG3" s="7">
        <v>0.51058080657028604</v>
      </c>
      <c r="ADH3" s="7">
        <v>-0.955217111572356</v>
      </c>
      <c r="ADI3" s="7">
        <v>-0.189236812193043</v>
      </c>
      <c r="ADJ3" s="7">
        <v>-2.0334975164731901</v>
      </c>
      <c r="ADK3" s="7">
        <v>0.33670100547322102</v>
      </c>
      <c r="ADL3" s="7">
        <v>-0.65162520543896896</v>
      </c>
      <c r="ADM3" s="7">
        <v>-0.70382280276312104</v>
      </c>
      <c r="ADN3" s="7">
        <v>-0.23398451689423899</v>
      </c>
      <c r="ADO3" s="7">
        <v>-6.2556059586393997E-3</v>
      </c>
      <c r="ADP3" s="7">
        <v>-0.19756372540245701</v>
      </c>
      <c r="ADQ3" s="7">
        <v>-1.5538542076828401</v>
      </c>
      <c r="ADR3" s="7">
        <v>0.33991671385622302</v>
      </c>
      <c r="ADS3" s="7">
        <v>-0.71143708688186102</v>
      </c>
      <c r="ADT3" s="7">
        <v>1.7424400816883101</v>
      </c>
      <c r="ADU3" s="7">
        <v>-1.95998727319875</v>
      </c>
      <c r="ADV3" s="7">
        <v>-5.2757651971010601E-2</v>
      </c>
      <c r="ADW3" s="7">
        <v>1.4146126696467101</v>
      </c>
      <c r="ADX3" s="7">
        <v>0.62454599772611397</v>
      </c>
      <c r="ADY3" s="7">
        <v>0.31985278864866601</v>
      </c>
      <c r="ADZ3" s="7">
        <v>0.21178621205610701</v>
      </c>
      <c r="AEA3" s="7">
        <v>-0.14799528261077599</v>
      </c>
      <c r="AEB3" s="7">
        <v>0.82213372633346504</v>
      </c>
      <c r="AEC3" s="7">
        <v>-0.55351838142793997</v>
      </c>
      <c r="AED3" s="7">
        <v>-0.53221939922843597</v>
      </c>
      <c r="AEE3" s="7">
        <v>1.65525339329163</v>
      </c>
      <c r="AEF3" s="7">
        <v>0.59313856633731499</v>
      </c>
      <c r="AEG3" s="7">
        <v>-1.7935946451287199</v>
      </c>
      <c r="AEH3" s="7">
        <v>-0.141363532051864</v>
      </c>
      <c r="AEI3" s="7">
        <v>-0.479345216362076</v>
      </c>
      <c r="AEJ3" s="7">
        <v>0.333169783819251</v>
      </c>
      <c r="AEK3" s="7">
        <v>-1.5094686397070101</v>
      </c>
      <c r="AEL3" s="7">
        <v>1.1747873370528901</v>
      </c>
      <c r="AEM3" s="7">
        <v>-1.49140547158361</v>
      </c>
      <c r="AEN3" s="7">
        <v>-0.715304068579661</v>
      </c>
      <c r="AEO3" s="7">
        <v>0.918276383160606</v>
      </c>
      <c r="AEP3" s="7">
        <v>-1.60916374791429</v>
      </c>
      <c r="AEQ3" s="7">
        <v>1.04615611881903</v>
      </c>
      <c r="AER3" s="7">
        <v>0.95949260752454901</v>
      </c>
      <c r="AES3" s="7">
        <v>-0.75054352838414495</v>
      </c>
      <c r="AET3" s="7">
        <v>0.23833019459667201</v>
      </c>
      <c r="AEU3" s="7">
        <v>-0.115467487938111</v>
      </c>
      <c r="AEV3" s="7">
        <v>1.9668039049853501</v>
      </c>
      <c r="AEW3" s="7">
        <v>-0.40761614305342297</v>
      </c>
      <c r="AEX3" s="7">
        <v>1.4633701312043801</v>
      </c>
      <c r="AEY3" s="7">
        <v>-0.73181706084757003</v>
      </c>
      <c r="AEZ3" s="7">
        <v>0.48995109422793198</v>
      </c>
      <c r="AFA3" s="7">
        <v>-0.81150674841067805</v>
      </c>
      <c r="AFB3" s="7">
        <v>-0.87119045618919899</v>
      </c>
      <c r="AFC3" s="7">
        <v>2.4012210398302698</v>
      </c>
      <c r="AFD3" s="7">
        <v>0.19528198482899001</v>
      </c>
      <c r="AFE3" s="7">
        <v>-0.294038595186356</v>
      </c>
      <c r="AFF3" s="7">
        <v>2.4519624357569798</v>
      </c>
      <c r="AFG3" s="7">
        <v>0.77917990237444901</v>
      </c>
      <c r="AFH3" s="7">
        <v>0.55394369708800695</v>
      </c>
      <c r="AFI3" s="7">
        <v>2.1676872484742898E-2</v>
      </c>
      <c r="AFJ3" s="7">
        <v>9.5444437465961901E-2</v>
      </c>
      <c r="AFK3" s="7">
        <v>-0.35713590665648498</v>
      </c>
      <c r="AFL3" s="7">
        <v>-0.17712279472016901</v>
      </c>
      <c r="AFM3" s="7">
        <v>-2.57155303490697</v>
      </c>
      <c r="AFN3" s="7">
        <v>0.1067973812059</v>
      </c>
      <c r="AFO3" s="7">
        <v>0.144274761724909</v>
      </c>
      <c r="AFP3" s="7">
        <v>0.44567114565017801</v>
      </c>
      <c r="AFQ3" s="7">
        <v>-0.85440315416304102</v>
      </c>
      <c r="AFR3" s="7">
        <v>-0.12758449341311501</v>
      </c>
      <c r="AFS3" s="7">
        <v>0.38404124757428398</v>
      </c>
      <c r="AFT3" s="7">
        <v>0.68589422358892405</v>
      </c>
      <c r="AFU3" s="7">
        <v>1.20733893864886</v>
      </c>
      <c r="AFV3" s="7">
        <v>-1.0466186225668099</v>
      </c>
      <c r="AFW3" s="7">
        <v>2.6293139200689</v>
      </c>
      <c r="AFX3" s="7">
        <v>0.98687299257866501</v>
      </c>
      <c r="AFY3" s="7">
        <v>-0.244594031372558</v>
      </c>
      <c r="AFZ3" s="7">
        <v>-1.9347879719044501</v>
      </c>
      <c r="AGA3" s="7">
        <v>0.35315964775170899</v>
      </c>
      <c r="AGB3" s="7">
        <v>1.16082910905421</v>
      </c>
      <c r="AGC3" s="7">
        <v>-0.37949084311195802</v>
      </c>
      <c r="AGD3" s="7">
        <v>-0.38342346825562701</v>
      </c>
      <c r="AGE3" s="7">
        <v>2.4572601670791201</v>
      </c>
      <c r="AGF3" s="7">
        <v>-4.5997099162384501E-2</v>
      </c>
      <c r="AGG3" s="7">
        <v>-0.934420897335695</v>
      </c>
      <c r="AGH3" s="7">
        <v>-0.25579314004390202</v>
      </c>
      <c r="AGI3" s="7">
        <v>0.28285635927771502</v>
      </c>
      <c r="AGJ3" s="7">
        <v>-0.30663879629971902</v>
      </c>
      <c r="AGK3" s="7">
        <v>0.10284512778022201</v>
      </c>
      <c r="AGL3" s="7">
        <v>1.8308809320291699</v>
      </c>
      <c r="AGM3" s="7">
        <v>0.34473666328827801</v>
      </c>
      <c r="AGN3" s="7">
        <v>0.77218733395734396</v>
      </c>
      <c r="AGO3" s="7">
        <v>0.147009499554663</v>
      </c>
      <c r="AGP3" s="7">
        <v>-0.49285269600574</v>
      </c>
      <c r="AGQ3" s="7">
        <v>0.52988008618995497</v>
      </c>
      <c r="AGR3" s="7">
        <v>0.66460575160176505</v>
      </c>
      <c r="AGS3" s="7">
        <v>-0.34114843774221398</v>
      </c>
      <c r="AGT3" s="7">
        <v>-0.75610171097910694</v>
      </c>
      <c r="AGU3" s="7">
        <v>2.1414338706104799</v>
      </c>
      <c r="AGV3" s="7">
        <v>-0.44963083937958398</v>
      </c>
      <c r="AGW3" s="7">
        <v>1.2190946691262501</v>
      </c>
      <c r="AGX3" s="7">
        <v>0.217758758408331</v>
      </c>
      <c r="AGY3" s="7">
        <v>2.00619896395881</v>
      </c>
      <c r="AGZ3" s="7">
        <v>0.63774489917623101</v>
      </c>
      <c r="AHA3" s="7">
        <v>0.84190882765906105</v>
      </c>
      <c r="AHB3" s="7">
        <v>-0.179292883469478</v>
      </c>
      <c r="AHC3" s="7">
        <v>-2.7128470047570499</v>
      </c>
      <c r="AHD3" s="7">
        <v>1.00234922068028</v>
      </c>
      <c r="AHE3" s="7">
        <v>-0.88630231705528295</v>
      </c>
      <c r="AHF3" s="7">
        <v>0.54641564197611303</v>
      </c>
      <c r="AHG3" s="7">
        <v>2.6172440348704001E-2</v>
      </c>
      <c r="AHH3" s="7">
        <v>0.275434548399072</v>
      </c>
      <c r="AHI3" s="7">
        <v>0.69379278769548702</v>
      </c>
      <c r="AHJ3" s="7">
        <v>1.03060392346073</v>
      </c>
      <c r="AHK3" s="7">
        <v>-0.26346609623364498</v>
      </c>
      <c r="AHL3" s="7">
        <v>-0.53631831056821</v>
      </c>
      <c r="AHM3" s="7">
        <v>-0.104510679457405</v>
      </c>
      <c r="AHN3" s="7">
        <v>-0.46134636917446398</v>
      </c>
      <c r="AHO3" s="7">
        <v>0.56115071238199898</v>
      </c>
      <c r="AHP3" s="7">
        <v>-0.44660168069157402</v>
      </c>
      <c r="AHQ3" s="7">
        <v>0.475459816585596</v>
      </c>
      <c r="AHR3" s="7">
        <v>-0.33434395015407797</v>
      </c>
      <c r="AHS3" s="7">
        <v>-0.32221680127338598</v>
      </c>
      <c r="AHT3" s="7">
        <v>-1.4375600826663</v>
      </c>
      <c r="AHU3" s="7">
        <v>-1.42795613945973</v>
      </c>
      <c r="AHV3" s="7">
        <v>0.49524689123141402</v>
      </c>
      <c r="AHW3" s="7">
        <v>0.59221523646503704</v>
      </c>
      <c r="AHX3" s="7">
        <v>-0.66766560800195496</v>
      </c>
      <c r="AHY3" s="7">
        <v>-1.6472476088738801</v>
      </c>
      <c r="AHZ3" s="7">
        <v>-0.97027908032288801</v>
      </c>
      <c r="AIA3" s="7">
        <v>-0.78422589557880396</v>
      </c>
      <c r="AIB3" s="7">
        <v>2.03192769479117</v>
      </c>
      <c r="AIC3" s="7">
        <v>-0.432522526137959</v>
      </c>
      <c r="AID3" s="7">
        <v>1.61421849331377</v>
      </c>
      <c r="AIE3" s="7">
        <v>-0.35012611667851001</v>
      </c>
      <c r="AIF3" s="7">
        <v>-0.13065960873721</v>
      </c>
      <c r="AIG3" s="7">
        <v>-0.96595191131247204</v>
      </c>
      <c r="AIH3" s="7">
        <v>0.42408506759826398</v>
      </c>
      <c r="AII3" s="7">
        <v>-0.62651124399136904</v>
      </c>
      <c r="AIJ3" s="7">
        <v>0.683811963557859</v>
      </c>
      <c r="AIK3" s="7">
        <v>-1.1007322137237101</v>
      </c>
      <c r="AIL3" s="7">
        <v>-3.12744007889693E-2</v>
      </c>
      <c r="AIM3" s="7">
        <v>-0.44207417782055702</v>
      </c>
      <c r="AIN3" s="7">
        <v>0.22107305567029001</v>
      </c>
      <c r="AIO3" s="7">
        <v>0.69434746405313097</v>
      </c>
      <c r="AIP3" s="7">
        <v>-1.6733304239479501</v>
      </c>
      <c r="AIQ3" s="7">
        <v>-0.131895037309784</v>
      </c>
      <c r="AIR3" s="7">
        <v>1.10557781450544</v>
      </c>
      <c r="AIS3" s="7">
        <v>0.34541599539550499</v>
      </c>
      <c r="AIT3" s="7">
        <v>-0.22958814078263601</v>
      </c>
      <c r="AIU3" s="7">
        <v>0.62691622820064197</v>
      </c>
      <c r="AIV3" s="7">
        <v>-1.4365488655808101</v>
      </c>
      <c r="AIW3" s="7">
        <v>-0.29769503149536902</v>
      </c>
      <c r="AIX3" s="7">
        <v>3.6230970219613197E-2</v>
      </c>
      <c r="AIY3" s="7">
        <v>-0.73197769852448602</v>
      </c>
      <c r="AIZ3" s="7">
        <v>-0.394434669531395</v>
      </c>
      <c r="AJA3" s="7">
        <v>-0.71871459595569498</v>
      </c>
      <c r="AJB3" s="7">
        <v>-0.49567370054190102</v>
      </c>
      <c r="AJC3" s="7">
        <v>1.4818862221609499</v>
      </c>
      <c r="AJD3" s="7">
        <v>2.6579482749085299</v>
      </c>
      <c r="AJE3" s="7">
        <v>-0.75570102684454399</v>
      </c>
      <c r="AJF3" s="7">
        <v>-1.1172591593072101</v>
      </c>
      <c r="AJG3" s="7">
        <v>0.687583186895389</v>
      </c>
      <c r="AJH3" s="7">
        <v>3.1044619366266502</v>
      </c>
      <c r="AJI3" s="7">
        <v>-1.59024966954316</v>
      </c>
      <c r="AJJ3" s="7">
        <v>-6.8531953454897196E-2</v>
      </c>
      <c r="AJK3" s="7">
        <v>-1.36391560349943</v>
      </c>
      <c r="AJL3" s="7">
        <v>1.0205154913262</v>
      </c>
      <c r="AJM3" s="7">
        <v>-0.57271630424505005</v>
      </c>
      <c r="AJN3" s="7">
        <v>-1.72139643853006</v>
      </c>
      <c r="AJO3" s="7">
        <v>0.242803134700664</v>
      </c>
      <c r="AJP3" s="7">
        <v>-0.43027714168224002</v>
      </c>
      <c r="AJQ3" s="7">
        <v>-0.26268800115830598</v>
      </c>
      <c r="AJR3" s="7">
        <v>0.214167347098289</v>
      </c>
      <c r="AJS3" s="7">
        <v>0.44200759092837</v>
      </c>
      <c r="AJT3" s="7">
        <v>-1.6730455840284399</v>
      </c>
      <c r="AJU3" s="7">
        <v>-1.5749986524159101</v>
      </c>
      <c r="AJV3" s="7">
        <v>-0.36458355437353501</v>
      </c>
      <c r="AJW3" s="7">
        <v>1.08196998787141</v>
      </c>
      <c r="AJX3" s="7">
        <v>-0.18661140406558399</v>
      </c>
      <c r="AJY3" s="7">
        <v>0.19389856713912401</v>
      </c>
      <c r="AJZ3" s="7">
        <v>-3.9939870263273697E-2</v>
      </c>
      <c r="AKA3" s="7">
        <v>0.61166581950332399</v>
      </c>
      <c r="AKB3" s="7">
        <v>9.5991563162742995E-3</v>
      </c>
      <c r="AKC3" s="7">
        <v>-0.56395023935243305</v>
      </c>
      <c r="AKD3" s="7">
        <v>0.35475579851130001</v>
      </c>
      <c r="AKE3" s="7">
        <v>-0.67793757977202695</v>
      </c>
      <c r="AKF3" s="7">
        <v>-0.28139042664478497</v>
      </c>
      <c r="AKG3" s="7">
        <v>-0.159564529607438</v>
      </c>
      <c r="AKH3" s="7">
        <v>2.4254366273191E-2</v>
      </c>
      <c r="AKI3" s="7">
        <v>-0.86270488977923498</v>
      </c>
      <c r="AKJ3" s="7">
        <v>0.56097675282979598</v>
      </c>
      <c r="AKK3" s="7">
        <v>0.119723895137369</v>
      </c>
      <c r="AKL3" s="7">
        <v>-0.36561174011351599</v>
      </c>
      <c r="AKM3" s="7">
        <v>2.4991661191002699</v>
      </c>
      <c r="AKN3" s="7">
        <v>2.1416985891551401</v>
      </c>
      <c r="AKO3" s="7">
        <v>0.252629128565101</v>
      </c>
      <c r="AKP3" s="7">
        <v>-0.55439746195148099</v>
      </c>
      <c r="AKQ3" s="7">
        <v>-0.43957360830893499</v>
      </c>
      <c r="AKR3" s="7">
        <v>1.10651010529931</v>
      </c>
      <c r="AKS3" s="7">
        <v>-1.16502214443796</v>
      </c>
      <c r="AKT3" s="7">
        <v>2.6836198642393798</v>
      </c>
      <c r="AKU3" s="7">
        <v>-2.4448795368820999</v>
      </c>
      <c r="AKV3" s="7">
        <v>0.15331254295986399</v>
      </c>
      <c r="AKW3" s="7">
        <v>-0.73559548895134297</v>
      </c>
      <c r="AKX3" s="7">
        <v>-1.1020662076538399</v>
      </c>
      <c r="AKY3" s="7">
        <v>-1.6427928541141401</v>
      </c>
      <c r="AKZ3" s="7">
        <v>1.19274259516643E-2</v>
      </c>
      <c r="ALA3" s="7">
        <v>1.3001959145243001</v>
      </c>
      <c r="ALB3" s="7">
        <v>0.52980777668575796</v>
      </c>
      <c r="ALC3" s="7">
        <v>0.29737504942278897</v>
      </c>
      <c r="ALD3" s="7">
        <v>-0.44247788020145601</v>
      </c>
      <c r="ALE3" s="7">
        <v>-0.650495340550443</v>
      </c>
      <c r="ALF3" s="7">
        <v>0.74370931615995695</v>
      </c>
      <c r="ALG3" s="7">
        <v>-0.22385322090651499</v>
      </c>
      <c r="ALH3" s="7">
        <v>0.17349664334130399</v>
      </c>
      <c r="ALI3" s="7">
        <v>1.85794924219709</v>
      </c>
      <c r="ALJ3" s="7">
        <v>-1.3901730663443399</v>
      </c>
      <c r="ALK3" s="7">
        <v>2.0759735086307698E-2</v>
      </c>
      <c r="ALL3" s="7">
        <v>-0.36418558663828898</v>
      </c>
      <c r="ALM3" s="7">
        <v>2.3250173212454599</v>
      </c>
      <c r="ALN3" s="7">
        <v>1.85277096250831</v>
      </c>
      <c r="ALO3" s="7">
        <v>0.722235620138865</v>
      </c>
      <c r="ALP3" s="7">
        <v>-0.29881024851155802</v>
      </c>
      <c r="ALQ3" s="7">
        <v>0.96406320637152099</v>
      </c>
      <c r="ALR3" s="7">
        <v>-0.87709337852817504</v>
      </c>
      <c r="ALS3" s="7">
        <v>0.46672808311153702</v>
      </c>
      <c r="ALT3" s="7">
        <v>-0.26610833289818198</v>
      </c>
      <c r="ALU3" s="7">
        <v>0.90544022530417101</v>
      </c>
      <c r="ALV3" s="7">
        <v>-0.43643740111574097</v>
      </c>
      <c r="ALW3" s="7">
        <v>1.73563229165836</v>
      </c>
      <c r="ALX3" s="7">
        <v>0.32601780223355997</v>
      </c>
      <c r="ALY3" s="7">
        <v>1.75860992124913</v>
      </c>
      <c r="ALZ3" s="7">
        <v>-1.3759890358554601</v>
      </c>
      <c r="AMA3" s="7">
        <v>-0.96632498931222399</v>
      </c>
      <c r="AMB3" s="7">
        <v>-8.3649466246934104E-2</v>
      </c>
      <c r="AMC3" s="7">
        <v>-8.4645113458395593E-2</v>
      </c>
      <c r="AMD3" s="7">
        <v>1.5723398424189601</v>
      </c>
      <c r="AME3" s="7">
        <v>-1.7767133846421199</v>
      </c>
      <c r="AMF3" s="7">
        <v>0.61147328678233404</v>
      </c>
      <c r="AMG3" s="7">
        <v>-0.87490676776100396</v>
      </c>
      <c r="AMH3" s="7">
        <v>-0.341009569210034</v>
      </c>
      <c r="AMI3" s="7">
        <v>1.6770508404872699</v>
      </c>
      <c r="AMJ3" s="7">
        <v>-0.64847319157776895</v>
      </c>
      <c r="AMK3" s="7">
        <v>-0.17728632365612201</v>
      </c>
      <c r="AML3" s="7">
        <v>-0.76624609097552798</v>
      </c>
      <c r="AMM3" s="7">
        <v>-1.79842044758032</v>
      </c>
      <c r="AMN3" s="7">
        <v>-0.394637799126005</v>
      </c>
      <c r="AMO3" s="7">
        <v>-0.41021507673097801</v>
      </c>
      <c r="AMP3" s="7">
        <v>3.22507399353045</v>
      </c>
      <c r="AMQ3" s="7">
        <v>0.32975320610331299</v>
      </c>
      <c r="AMR3" s="7">
        <v>1.3841819840671801</v>
      </c>
      <c r="AMS3" s="7">
        <v>1.33284200205866</v>
      </c>
      <c r="AMT3" s="7">
        <v>-0.70793584832976697</v>
      </c>
      <c r="AMU3" s="7">
        <v>-0.74107001115883298</v>
      </c>
      <c r="AMV3" s="7">
        <v>0.98638180865318104</v>
      </c>
      <c r="AMW3" s="7">
        <v>0.46898065070753903</v>
      </c>
      <c r="AMX3" s="7">
        <v>1.6898565595289801</v>
      </c>
      <c r="AMY3" s="7">
        <v>1.8753175818627801</v>
      </c>
      <c r="AMZ3" s="7">
        <v>2.0901792064313498</v>
      </c>
      <c r="ANA3" s="7">
        <v>0.933865969188162</v>
      </c>
      <c r="ANB3" s="7">
        <v>-0.93506206462561203</v>
      </c>
      <c r="ANC3" s="7">
        <v>-1.4505929054764299</v>
      </c>
      <c r="AND3" s="7">
        <v>1.13741855003166</v>
      </c>
      <c r="ANE3" s="7">
        <v>0.71933397382156705</v>
      </c>
      <c r="ANF3" s="7">
        <v>0.20937913526667101</v>
      </c>
      <c r="ANG3" s="7">
        <v>7.8097124357739398E-2</v>
      </c>
      <c r="ANH3" s="7">
        <v>-1.2070734532097001</v>
      </c>
      <c r="ANI3" s="7">
        <v>0.90287619986702305</v>
      </c>
      <c r="ANJ3" s="7">
        <v>-0.46908307016197998</v>
      </c>
      <c r="ANK3" s="7">
        <v>-0.91841258776226098</v>
      </c>
      <c r="ANL3" s="7">
        <v>-1.70516574812688</v>
      </c>
      <c r="ANM3" s="7">
        <v>-0.71241189327964005</v>
      </c>
      <c r="ANN3" s="7">
        <v>-0.61499588783748205</v>
      </c>
      <c r="ANO3" s="7">
        <v>0.18477072888262799</v>
      </c>
      <c r="ANP3" s="7">
        <v>-1.13732545109852</v>
      </c>
      <c r="ANQ3" s="7">
        <v>0.47896951741863802</v>
      </c>
      <c r="ANR3" s="7">
        <v>-0.29179258550494203</v>
      </c>
      <c r="ANS3" s="7">
        <v>-0.162874352843345</v>
      </c>
      <c r="ANT3" s="7">
        <v>1.79888713528283</v>
      </c>
      <c r="ANU3" s="7">
        <v>0.55688046323500096</v>
      </c>
      <c r="ANV3" s="7">
        <v>-0.56606807194261</v>
      </c>
      <c r="ANW3" s="7">
        <v>-0.38922901361798201</v>
      </c>
      <c r="ANX3" s="7">
        <v>-0.49794438958277198</v>
      </c>
      <c r="ANY3" s="7">
        <v>0.44003183156992798</v>
      </c>
      <c r="ANZ3" s="7">
        <v>-0.244200810710371</v>
      </c>
      <c r="AOA3" s="7">
        <v>0.45412903660854598</v>
      </c>
      <c r="AOB3" s="7">
        <v>0.48593189994945202</v>
      </c>
      <c r="AOC3" s="7">
        <v>0.21538500028274801</v>
      </c>
      <c r="AOD3" s="7">
        <v>-0.80988284184381898</v>
      </c>
      <c r="AOE3" s="7">
        <v>-7.1224427305651095E-2</v>
      </c>
      <c r="AOF3" s="7">
        <v>-0.173359676821256</v>
      </c>
      <c r="AOG3" s="7">
        <v>0.53269139808257804</v>
      </c>
      <c r="AOH3" s="7">
        <v>1.1889355140273199</v>
      </c>
      <c r="AOI3" s="7">
        <v>-0.58552738073841504</v>
      </c>
      <c r="AOJ3" s="7">
        <v>-0.57266253298082703</v>
      </c>
      <c r="AOK3" s="7">
        <v>-1.54357021825915</v>
      </c>
      <c r="AOL3" s="7">
        <v>-0.65041681649029304</v>
      </c>
      <c r="AOM3" s="7">
        <v>-0.63183045010774097</v>
      </c>
      <c r="AON3" s="7">
        <v>-0.44906434091063502</v>
      </c>
      <c r="AOO3" s="7">
        <v>0.17575294050171</v>
      </c>
      <c r="AOP3" s="7">
        <v>1.4680960038912501</v>
      </c>
      <c r="AOQ3" s="7">
        <v>-0.36733326030257402</v>
      </c>
      <c r="AOR3" s="7">
        <v>0.28351744188175398</v>
      </c>
      <c r="AOS3" s="7">
        <v>-0.37416773866719999</v>
      </c>
      <c r="AOT3" s="7">
        <v>0.35770306587474598</v>
      </c>
      <c r="AOU3" s="7">
        <v>0.46765287205039102</v>
      </c>
      <c r="AOV3" s="7">
        <v>0.98463652858630102</v>
      </c>
      <c r="AOW3" s="7">
        <v>-1.2058785683047</v>
      </c>
      <c r="AOX3" s="7">
        <v>0.57565742467632997</v>
      </c>
      <c r="AOY3" s="7">
        <v>-1.6106994100568801</v>
      </c>
      <c r="AOZ3" s="7">
        <v>0.246029859228374</v>
      </c>
      <c r="APA3" s="7">
        <v>-1.5028275637097801</v>
      </c>
      <c r="APB3" s="7">
        <v>-1.0482481281699501</v>
      </c>
      <c r="APC3" s="7">
        <v>0.27304963601395199</v>
      </c>
      <c r="APD3" s="7">
        <v>3.5088580507224298</v>
      </c>
      <c r="APE3" s="7">
        <v>-0.38082256336464998</v>
      </c>
      <c r="APF3" s="7">
        <v>-1.30729192380702</v>
      </c>
      <c r="APG3" s="7">
        <v>-0.94709764234762295</v>
      </c>
      <c r="APH3" s="7">
        <v>-0.51669147224407896</v>
      </c>
      <c r="API3" s="7">
        <v>0.51563130436599902</v>
      </c>
      <c r="APJ3" s="7">
        <v>0.47936182528764498</v>
      </c>
      <c r="APK3" s="7">
        <v>-0.141497634741441</v>
      </c>
      <c r="APL3" s="7">
        <v>-1.1128921749638001</v>
      </c>
      <c r="APM3" s="7">
        <v>-0.20356429613375199</v>
      </c>
      <c r="APN3" s="7">
        <v>1.28219344853323</v>
      </c>
      <c r="APO3" s="7">
        <v>0.65447332843441697</v>
      </c>
      <c r="APP3" s="7">
        <v>1.56630378416363</v>
      </c>
      <c r="APQ3" s="7">
        <v>-2.6457340003204801</v>
      </c>
      <c r="APR3" s="7">
        <v>1.268976621815</v>
      </c>
      <c r="APS3" s="7">
        <v>-2.2841179099886899</v>
      </c>
      <c r="APT3" s="7">
        <v>-0.194915816641303</v>
      </c>
      <c r="APU3" s="7">
        <v>-3.75419639603502E-2</v>
      </c>
      <c r="APV3" s="7">
        <v>0.17280464981657001</v>
      </c>
      <c r="APW3" s="7">
        <v>0.16772093541774</v>
      </c>
      <c r="APX3" s="7">
        <v>-0.54280587619467802</v>
      </c>
      <c r="APY3" s="7">
        <v>0.281946409564449</v>
      </c>
      <c r="APZ3" s="7">
        <v>0.10187552048302601</v>
      </c>
      <c r="AQA3" s="7">
        <v>5.1804012625921297E-2</v>
      </c>
      <c r="AQB3" s="7">
        <v>-0.44642108136139202</v>
      </c>
      <c r="AQC3" s="7">
        <v>1.06466261928685</v>
      </c>
      <c r="AQD3" s="7">
        <v>1.74447506640887</v>
      </c>
      <c r="AQE3" s="7">
        <v>-0.412906871690357</v>
      </c>
      <c r="AQF3" s="7">
        <v>-4.5154392539024799E-2</v>
      </c>
      <c r="AQG3" s="7">
        <v>1.76808939249393</v>
      </c>
      <c r="AQH3" s="7">
        <v>1.30417618831973</v>
      </c>
      <c r="AQI3" s="7">
        <v>0.945648001950118</v>
      </c>
      <c r="AQJ3" s="7">
        <v>-6.1646245041634302E-2</v>
      </c>
      <c r="AQK3" s="7">
        <v>0.26139453696630499</v>
      </c>
      <c r="AQL3" s="7">
        <v>-0.53711495492283801</v>
      </c>
      <c r="AQM3" s="7">
        <v>0.913362273396777</v>
      </c>
      <c r="AQN3" s="7">
        <v>1.44926471151737</v>
      </c>
      <c r="AQO3" s="7">
        <v>-1.13262814326447</v>
      </c>
      <c r="AQP3" s="7">
        <v>-2.5928538283751201E-2</v>
      </c>
      <c r="AQQ3" s="7">
        <v>-1.1087635827160001</v>
      </c>
      <c r="AQR3" s="7">
        <v>-1.46568955085288</v>
      </c>
      <c r="AQS3" s="7">
        <v>-0.58173652973188295</v>
      </c>
      <c r="AQT3" s="7">
        <v>-1.4600218929766899</v>
      </c>
      <c r="AQU3" s="7">
        <v>-1.03825169966777</v>
      </c>
      <c r="AQV3" s="7">
        <v>0.63296046701694098</v>
      </c>
      <c r="AQW3" s="7">
        <v>-1.46540744030045</v>
      </c>
      <c r="AQX3" s="7">
        <v>0.65178610961194405</v>
      </c>
      <c r="AQY3" s="7">
        <v>-1.09346043719786</v>
      </c>
      <c r="AQZ3" s="7">
        <v>0.14400085179895999</v>
      </c>
      <c r="ARA3" s="7">
        <v>1.1154713940577501</v>
      </c>
      <c r="ARB3" s="7">
        <v>-0.52185399477305305</v>
      </c>
      <c r="ARC3" s="7">
        <v>-1.3442504680560099</v>
      </c>
      <c r="ARD3" s="7">
        <v>1.02945662251491</v>
      </c>
      <c r="ARE3" s="7">
        <v>1.39994682826232</v>
      </c>
      <c r="ARF3" s="7">
        <v>-0.48458923357290401</v>
      </c>
      <c r="ARG3" s="7">
        <v>1.0308352707970201</v>
      </c>
      <c r="ARH3" s="7">
        <v>-0.73829281876559905</v>
      </c>
      <c r="ARI3" s="7">
        <v>0.214686110263034</v>
      </c>
      <c r="ARJ3" s="7">
        <v>-0.68489765257896595</v>
      </c>
      <c r="ARK3" s="7">
        <v>-1.01321253464341</v>
      </c>
      <c r="ARL3" s="7">
        <v>-1.04739224979352</v>
      </c>
      <c r="ARM3" s="7">
        <v>0.147699252252594</v>
      </c>
      <c r="ARN3" s="7">
        <v>-1.5839508620821301</v>
      </c>
      <c r="ARO3" s="7">
        <v>-0.51450229477030296</v>
      </c>
      <c r="ARP3" s="7">
        <v>0.84242249345752895</v>
      </c>
      <c r="ARQ3" s="7">
        <v>-0.82124867385932598</v>
      </c>
      <c r="ARR3" s="7">
        <v>4.2991253387314098E-2</v>
      </c>
      <c r="ARS3" s="7">
        <v>-0.807135208740414</v>
      </c>
      <c r="ART3" s="7">
        <v>0.27017075719926298</v>
      </c>
      <c r="ARU3" s="7">
        <v>-2.12264667355949</v>
      </c>
      <c r="ARV3" s="7">
        <v>-0.13202212391908899</v>
      </c>
      <c r="ARW3" s="7">
        <v>-0.163179126258509</v>
      </c>
      <c r="ARX3" s="7">
        <v>-1.84722189554526</v>
      </c>
      <c r="ARY3" s="7">
        <v>1.93804473399633</v>
      </c>
      <c r="ARZ3" s="7">
        <v>0.28161103389722197</v>
      </c>
      <c r="ASA3" s="7">
        <v>-1.24753533499583</v>
      </c>
      <c r="ASB3" s="7">
        <v>0.14191801229010301</v>
      </c>
      <c r="ASC3" s="7">
        <v>-0.21963782784880401</v>
      </c>
      <c r="ASD3" s="7">
        <v>-0.52970812610407703</v>
      </c>
      <c r="ASE3" s="7">
        <v>0.56612037854899699</v>
      </c>
      <c r="ASF3" s="7">
        <v>1.7603688991973401</v>
      </c>
      <c r="ASG3" s="7">
        <v>-0.93423726773498705</v>
      </c>
      <c r="ASH3" s="7">
        <v>-0.49503981977334899</v>
      </c>
      <c r="ASI3" s="7">
        <v>0.76527805648284497</v>
      </c>
      <c r="ASJ3" s="7">
        <v>0.43191728062527401</v>
      </c>
      <c r="ASK3" s="7">
        <v>-0.201340831155436</v>
      </c>
      <c r="ASL3" s="7">
        <v>1.48899163255203</v>
      </c>
      <c r="ASM3" s="7">
        <v>-0.61374487834979696</v>
      </c>
      <c r="ASN3" s="7">
        <v>-1.29760018065653E-2</v>
      </c>
      <c r="ASO3" s="7">
        <v>-0.30384732856358398</v>
      </c>
      <c r="ASP3" s="7">
        <v>1.16604883063555E-2</v>
      </c>
      <c r="ASQ3" s="7">
        <v>-1.01534052094521</v>
      </c>
      <c r="ASR3" s="7">
        <v>-0.90819257487250304</v>
      </c>
      <c r="ASS3" s="7">
        <v>1.47399409267574</v>
      </c>
      <c r="AST3" s="7">
        <v>1.62823621574286</v>
      </c>
      <c r="ASU3" s="7">
        <v>-3.2285824334072899</v>
      </c>
      <c r="ASV3" s="7">
        <v>0.60869659067334703</v>
      </c>
      <c r="ASW3" s="7">
        <v>-0.50060722213432596</v>
      </c>
      <c r="ASX3" s="7">
        <v>0.37714744685650298</v>
      </c>
      <c r="ASY3" s="7">
        <v>0.34334263002632898</v>
      </c>
      <c r="ASZ3" s="7">
        <v>1.70494863826704</v>
      </c>
      <c r="ATA3" s="7">
        <v>0.193053634109805</v>
      </c>
      <c r="ATB3" s="7">
        <v>0.51697953274313302</v>
      </c>
      <c r="ATC3" s="7">
        <v>0.59408798876392099</v>
      </c>
      <c r="ATD3" s="7">
        <v>-0.29181872689159999</v>
      </c>
      <c r="ATE3" s="7">
        <v>-0.44747768331091498</v>
      </c>
      <c r="ATF3" s="7">
        <v>0.17605527180847699</v>
      </c>
      <c r="ATG3" s="7">
        <v>1.55557362833983</v>
      </c>
      <c r="ATH3" s="7">
        <v>-2.17279548921034</v>
      </c>
      <c r="ATI3" s="7">
        <v>2.5141491304860502</v>
      </c>
      <c r="ATJ3" s="7">
        <v>-1.3358265914148</v>
      </c>
      <c r="ATK3" s="7">
        <v>-1.2504109847146001</v>
      </c>
      <c r="ATL3" s="7">
        <v>-1.14439210016154</v>
      </c>
      <c r="ATM3" s="7">
        <v>0.68835682692108302</v>
      </c>
      <c r="ATN3" s="7">
        <v>0.27933563473909601</v>
      </c>
      <c r="ATO3" s="7">
        <v>0.16109435034154099</v>
      </c>
      <c r="ATP3" s="7">
        <v>0.603337152864446</v>
      </c>
      <c r="ATQ3" s="7">
        <v>2.6110365469946801</v>
      </c>
      <c r="ATR3" s="7">
        <v>-0.854631567899099</v>
      </c>
      <c r="ATS3" s="7">
        <v>0.459534799682076</v>
      </c>
      <c r="ATT3" s="7">
        <v>2.0591581320082999E-2</v>
      </c>
      <c r="ATU3" s="7">
        <v>1.88219308063642</v>
      </c>
      <c r="ATV3" s="7">
        <v>2.2790973680948898</v>
      </c>
      <c r="ATW3" s="7">
        <v>2.0831560397993898</v>
      </c>
      <c r="ATX3" s="7">
        <v>3.0415559848597198</v>
      </c>
      <c r="ATY3" s="7">
        <v>-0.62438263322837395</v>
      </c>
      <c r="ATZ3" s="7">
        <v>-7.8551059595593206E-2</v>
      </c>
      <c r="AUA3" s="7">
        <v>-1.96185409211143</v>
      </c>
      <c r="AUB3" s="7">
        <v>-0.41806340539248799</v>
      </c>
      <c r="AUC3" s="7">
        <v>-0.276484740972957</v>
      </c>
      <c r="AUD3" s="7">
        <v>8.7546993898341405E-2</v>
      </c>
      <c r="AUE3" s="7">
        <v>-0.50516484710614196</v>
      </c>
      <c r="AUF3" s="7">
        <v>1.09955618977959</v>
      </c>
      <c r="AUG3" s="7">
        <v>0.52297109631765704</v>
      </c>
      <c r="AUH3" s="7">
        <v>0.18683461027397599</v>
      </c>
      <c r="AUI3" s="7">
        <v>-0.60143339116860295</v>
      </c>
      <c r="AUJ3" s="7">
        <v>-2.7582560544694599</v>
      </c>
      <c r="AUK3" s="7">
        <v>-1.0720339952729101</v>
      </c>
      <c r="AUL3" s="7">
        <v>0.55125382566854297</v>
      </c>
      <c r="AUM3" s="7">
        <v>0.23888064475515799</v>
      </c>
      <c r="AUN3" s="7">
        <v>-0.58519781040864804</v>
      </c>
      <c r="AUO3" s="7">
        <v>-0.83895587563501295</v>
      </c>
      <c r="AUP3" s="7">
        <v>-0.32978084782024297</v>
      </c>
      <c r="AUQ3" s="7">
        <v>3.8370726945055299E-2</v>
      </c>
      <c r="AUR3" s="7">
        <v>1.3989619422608299</v>
      </c>
      <c r="AUS3" s="7">
        <v>-0.94357537797846602</v>
      </c>
      <c r="AUT3" s="7">
        <v>1.2026786241465901</v>
      </c>
      <c r="AUU3" s="7">
        <v>-0.24287361496451099</v>
      </c>
      <c r="AUV3" s="7">
        <v>0.197156419109034</v>
      </c>
      <c r="AUW3" s="7">
        <v>-0.74837768508688096</v>
      </c>
      <c r="AUX3" s="7">
        <v>0.57099908487127904</v>
      </c>
      <c r="AUY3" s="7">
        <v>-8.0760898377806603E-2</v>
      </c>
      <c r="AUZ3" s="7">
        <v>1.9685178804168999</v>
      </c>
      <c r="AVA3" s="7">
        <v>-1.92518588124003</v>
      </c>
      <c r="AVB3" s="7">
        <v>-0.75047874727592701</v>
      </c>
      <c r="AVC3" s="7">
        <v>-3.1086595708564801</v>
      </c>
      <c r="AVD3" s="7">
        <v>0.88902160137805597</v>
      </c>
      <c r="AVE3" s="7">
        <v>-0.17903306706421501</v>
      </c>
      <c r="AVF3" s="7">
        <v>1.1872511640447001</v>
      </c>
      <c r="AVG3" s="7">
        <v>-9.2605467890330001E-2</v>
      </c>
      <c r="AVH3" s="7">
        <v>-1.51420578490076</v>
      </c>
      <c r="AVI3" s="7">
        <v>-3.2523567779193301</v>
      </c>
      <c r="AVJ3" s="7">
        <v>0.85240703134220597</v>
      </c>
      <c r="AVK3" s="7">
        <v>0.65491862717597504</v>
      </c>
      <c r="AVL3" s="7">
        <v>0.145831093129593</v>
      </c>
      <c r="AVM3" s="7">
        <v>1.6622538196361201</v>
      </c>
      <c r="AVN3" s="7">
        <v>1.52159362533364</v>
      </c>
      <c r="AVO3" s="7">
        <v>-0.68596119540578804</v>
      </c>
      <c r="AVP3" s="7">
        <v>1.09373621568377</v>
      </c>
      <c r="AVQ3" s="7">
        <v>-0.31723995845386499</v>
      </c>
      <c r="AVR3" s="7">
        <v>-1.2118399703201199</v>
      </c>
      <c r="AVS3" s="7">
        <v>-2.64311585870655E-2</v>
      </c>
      <c r="AVT3" s="7">
        <v>-0.32006373994564202</v>
      </c>
      <c r="AVU3" s="7">
        <v>1.1192386333779001</v>
      </c>
      <c r="AVV3" s="7">
        <v>-0.17150955050469399</v>
      </c>
      <c r="AVW3" s="7">
        <v>-1.2431414749087599</v>
      </c>
      <c r="AVX3" s="7">
        <v>-0.34846766301049198</v>
      </c>
      <c r="AVY3" s="7">
        <v>-0.68961410114341104</v>
      </c>
      <c r="AVZ3" s="7">
        <v>1.9183226530073301</v>
      </c>
      <c r="AWA3" s="7">
        <v>0.55198714364540602</v>
      </c>
      <c r="AWB3" s="7">
        <v>-0.19455503387086701</v>
      </c>
      <c r="AWC3" s="7">
        <v>0.16033555670071001</v>
      </c>
      <c r="AWD3" s="7">
        <v>1.53338196807028</v>
      </c>
      <c r="AWE3" s="7">
        <v>-1.2223889896137199</v>
      </c>
      <c r="AWF3" s="7">
        <v>0.16441635498486101</v>
      </c>
      <c r="AWG3" s="7">
        <v>-1.7352400171086899</v>
      </c>
      <c r="AWH3" s="7">
        <v>-0.29481137590581202</v>
      </c>
      <c r="AWI3" s="7">
        <v>1.80809853067185</v>
      </c>
      <c r="AWJ3" s="7">
        <v>0.23031573153340401</v>
      </c>
      <c r="AWK3" s="7">
        <v>-2.5607843418630098</v>
      </c>
      <c r="AWL3" s="7">
        <v>-0.186634716263791</v>
      </c>
      <c r="AWM3" s="7">
        <v>0.38482465614459099</v>
      </c>
      <c r="AWN3" s="7">
        <v>0.28090407267085299</v>
      </c>
      <c r="AWO3" s="7">
        <v>-9.92957172749937E-2</v>
      </c>
      <c r="AWP3" s="7">
        <v>-1.6618959311591299</v>
      </c>
      <c r="AWQ3" s="7">
        <v>-0.81706186585368601</v>
      </c>
      <c r="AWR3" s="7">
        <v>-1.21761507979262</v>
      </c>
      <c r="AWS3" s="7">
        <v>1.7186132150122</v>
      </c>
      <c r="AWT3" s="7">
        <v>1.7773581796743001</v>
      </c>
      <c r="AWU3" s="7">
        <v>-0.47147406881325199</v>
      </c>
      <c r="AWV3" s="7">
        <v>-0.34925905435909099</v>
      </c>
      <c r="AWW3" s="7">
        <v>-0.59609733336757398</v>
      </c>
      <c r="AWX3" s="7">
        <v>-3.1734758867147501E-2</v>
      </c>
      <c r="AWY3" s="7">
        <v>-0.36614226165557801</v>
      </c>
      <c r="AWZ3" s="7">
        <v>1.2053749227794901</v>
      </c>
      <c r="AXA3" s="7">
        <v>-0.80293021165578504</v>
      </c>
      <c r="AXB3" s="7">
        <v>-0.56766879584295804</v>
      </c>
      <c r="AXC3" s="7">
        <v>0.75797492678839096</v>
      </c>
      <c r="AXD3" s="7">
        <v>-0.16366310676080401</v>
      </c>
      <c r="AXE3" s="7">
        <v>-0.36003182034686299</v>
      </c>
      <c r="AXF3" s="7">
        <v>2.0119420039501801</v>
      </c>
      <c r="AXG3" s="7">
        <v>-0.97073302396370897</v>
      </c>
      <c r="AXH3" s="7">
        <v>-0.112180606380158</v>
      </c>
      <c r="AXI3" s="7">
        <v>1.8198751952844501</v>
      </c>
      <c r="AXJ3" s="7">
        <v>1.79257491284274</v>
      </c>
      <c r="AXK3" s="7">
        <v>-1.4716883720040601</v>
      </c>
      <c r="AXL3" s="7">
        <v>1.0391579453050499</v>
      </c>
      <c r="AXM3" s="7">
        <v>1.3232592392587099</v>
      </c>
      <c r="AXN3" s="7">
        <v>1.0468547467278799</v>
      </c>
      <c r="AXO3" s="7">
        <v>-1.8698309906641299</v>
      </c>
      <c r="AXP3" s="7">
        <v>-0.44179613439222698</v>
      </c>
      <c r="AXQ3" s="7">
        <v>0.74584722203856701</v>
      </c>
      <c r="AXR3" s="7">
        <v>-0.18665618729011499</v>
      </c>
      <c r="AXS3" s="7">
        <v>2.07481113774453</v>
      </c>
      <c r="AXT3" s="7">
        <v>-0.12865651106429801</v>
      </c>
      <c r="AXU3" s="7">
        <v>0.48578981792401499</v>
      </c>
      <c r="AXV3" s="7">
        <v>0.64729672759866896</v>
      </c>
      <c r="AXW3" s="7">
        <v>0.45802395212401997</v>
      </c>
      <c r="AXX3" s="7">
        <v>0.33727495091738402</v>
      </c>
      <c r="AXY3" s="7">
        <v>-0.450160402183089</v>
      </c>
      <c r="AXZ3" s="7">
        <v>-2.0898492846555001</v>
      </c>
      <c r="AYA3" s="7">
        <v>-2.55131550038405</v>
      </c>
      <c r="AYB3" s="7">
        <v>0.95608026814121405</v>
      </c>
      <c r="AYC3" s="7">
        <v>-3.1767527653103797E-2</v>
      </c>
      <c r="AYD3" s="7">
        <v>-1.2272255455026699</v>
      </c>
      <c r="AYE3" s="7">
        <v>-0.94168927934514601</v>
      </c>
      <c r="AYF3" s="7">
        <v>-3.5653365914447697E-2</v>
      </c>
      <c r="AYG3" s="7">
        <v>-1.4953600704121599</v>
      </c>
      <c r="AYH3" s="7">
        <v>-0.16570589192905399</v>
      </c>
      <c r="AYI3" s="7">
        <v>0.95172059196327197</v>
      </c>
      <c r="AYJ3" s="7">
        <v>-1.12566509538332</v>
      </c>
      <c r="AYK3" s="7">
        <v>-0.80116156373185698</v>
      </c>
      <c r="AYL3" s="7">
        <v>2.61064098122747</v>
      </c>
      <c r="AYM3" s="7">
        <v>0.75749363104456802</v>
      </c>
      <c r="AYN3" s="7">
        <v>0.62703185903443703</v>
      </c>
      <c r="AYO3" s="7">
        <v>1.4164498563293499</v>
      </c>
      <c r="AYP3" s="7">
        <v>-0.47666348113359502</v>
      </c>
      <c r="AYQ3" s="7">
        <v>-0.57491283580867703</v>
      </c>
      <c r="AYR3" s="7">
        <v>-1.59348777469448</v>
      </c>
      <c r="AYS3" s="7">
        <v>-1.17112816353853</v>
      </c>
      <c r="AYT3" s="7">
        <v>-1.9929347453752499</v>
      </c>
      <c r="AYU3" s="7">
        <v>2.3769795357387</v>
      </c>
      <c r="AYV3" s="7">
        <v>-0.108488368950934</v>
      </c>
      <c r="AYW3" s="7">
        <v>0.75458050533182097</v>
      </c>
      <c r="AYX3" s="7">
        <v>0.801816504715953</v>
      </c>
      <c r="AYY3" s="7">
        <v>-1.49335417649498</v>
      </c>
      <c r="AYZ3" s="7">
        <v>-0.24456793191018</v>
      </c>
      <c r="AZA3" s="7">
        <v>0.68025664771247996</v>
      </c>
      <c r="AZB3" s="7">
        <v>-0.24328289548492599</v>
      </c>
      <c r="AZC3" s="7">
        <v>-0.89751284108252005</v>
      </c>
      <c r="AZD3" s="7">
        <v>1.22870762216381</v>
      </c>
      <c r="AZE3" s="7">
        <v>1.5505752119885301</v>
      </c>
      <c r="AZF3" s="7">
        <v>-0.38980618650294302</v>
      </c>
      <c r="AZG3" s="7">
        <v>0.85693037657705595</v>
      </c>
      <c r="AZH3" s="7">
        <v>-0.284299819304343</v>
      </c>
      <c r="AZI3" s="7">
        <v>-0.38849461556131598</v>
      </c>
      <c r="AZJ3" s="7">
        <v>-1.48634121781941</v>
      </c>
      <c r="AZK3" s="7">
        <v>-0.46721278210761202</v>
      </c>
      <c r="AZL3" s="7">
        <v>1.6405026141257399</v>
      </c>
      <c r="AZM3" s="7">
        <v>0.69227305441332698</v>
      </c>
      <c r="AZN3" s="7">
        <v>1.10744333033327</v>
      </c>
      <c r="AZO3" s="7">
        <v>-0.35539612389623798</v>
      </c>
      <c r="AZP3" s="7">
        <v>-1.89664306077587</v>
      </c>
      <c r="AZQ3" s="7">
        <v>-1.11172490744242</v>
      </c>
      <c r="AZR3" s="7">
        <v>-0.445396190841712</v>
      </c>
      <c r="AZS3" s="7">
        <v>-0.53553869879487304</v>
      </c>
      <c r="AZT3" s="7">
        <v>0.39010521159646799</v>
      </c>
      <c r="AZU3" s="7">
        <v>0.44562956888459498</v>
      </c>
      <c r="AZV3" s="7">
        <v>-1.15385875492408</v>
      </c>
      <c r="AZW3" s="7">
        <v>-1.5926976942704301</v>
      </c>
      <c r="AZX3" s="7">
        <v>1.0399769910687</v>
      </c>
      <c r="AZY3" s="7">
        <v>0.20066475306782799</v>
      </c>
      <c r="AZZ3" s="7">
        <v>2.02372308435565</v>
      </c>
      <c r="BAA3" s="7">
        <v>-0.76684419759945799</v>
      </c>
      <c r="BAB3" s="7">
        <v>-0.40000423504048299</v>
      </c>
      <c r="BAC3" s="7">
        <v>-0.31183197575341698</v>
      </c>
      <c r="BAD3" s="7">
        <v>-1.2614016239465999</v>
      </c>
      <c r="BAE3" s="7">
        <v>-0.29773948680122603</v>
      </c>
      <c r="BAF3" s="7">
        <v>0.36218358773737003</v>
      </c>
      <c r="BAG3" s="7">
        <v>-1.28371228504</v>
      </c>
      <c r="BAH3" s="7">
        <v>0.67631170375022298</v>
      </c>
      <c r="BAI3" s="7">
        <v>2.2034096708066202</v>
      </c>
      <c r="BAJ3" s="7">
        <v>-5.1102787452739898E-2</v>
      </c>
      <c r="BAK3" s="7">
        <v>1.69134524624031</v>
      </c>
      <c r="BAL3" s="7">
        <v>0.56877273366581504</v>
      </c>
      <c r="BAM3" s="7">
        <v>1.6426496580060099</v>
      </c>
      <c r="BAN3" s="7">
        <v>-0.76879422735158398</v>
      </c>
      <c r="BAO3" s="7">
        <v>-0.97915741960087999</v>
      </c>
      <c r="BAP3" s="7">
        <v>-1.43207086512943</v>
      </c>
      <c r="BAQ3" s="7">
        <v>7.7004026639420006E-2</v>
      </c>
      <c r="BAR3" s="7">
        <v>-0.65325553192907504</v>
      </c>
      <c r="BAS3" s="7">
        <v>-1.90021365510935</v>
      </c>
      <c r="BAT3" s="7">
        <v>-6.1981684116595499E-2</v>
      </c>
      <c r="BAU3" s="7">
        <v>-1.64058799121511</v>
      </c>
      <c r="BAV3" s="7">
        <v>1.1081374677243401</v>
      </c>
      <c r="BAW3" s="7">
        <v>-0.497492734918766</v>
      </c>
      <c r="BAX3" s="7">
        <v>-1.9147957261255599</v>
      </c>
      <c r="BAY3" s="7">
        <v>-1.53440472741571</v>
      </c>
      <c r="BAZ3" s="7">
        <v>-1.1239647163372699</v>
      </c>
      <c r="BBA3" s="7">
        <v>2.5446183226337902</v>
      </c>
      <c r="BBB3" s="7">
        <v>0.74940908418308505</v>
      </c>
      <c r="BBC3" s="7">
        <v>0.46547880553018001</v>
      </c>
      <c r="BBD3" s="7">
        <v>-0.88272118079755402</v>
      </c>
      <c r="BBE3" s="7">
        <v>-1.11976170819974</v>
      </c>
      <c r="BBF3" s="7">
        <v>0.85113634682286399</v>
      </c>
      <c r="BBG3" s="7">
        <v>0.73661332639996602</v>
      </c>
      <c r="BBH3" s="7">
        <v>-0.48736506755136999</v>
      </c>
      <c r="BBI3" s="7">
        <v>-9.6675142537730796E-2</v>
      </c>
      <c r="BBJ3" s="7">
        <v>5.2850185332649603E-2</v>
      </c>
      <c r="BBK3" s="7">
        <v>0.83079401176044898</v>
      </c>
      <c r="BBL3" s="7">
        <v>-0.40697621742511397</v>
      </c>
      <c r="BBM3" s="7">
        <v>-1.8228160747030799</v>
      </c>
      <c r="BBN3" s="7">
        <v>0.81113478645525905</v>
      </c>
      <c r="BBO3" s="7">
        <v>-1.76224451126062</v>
      </c>
      <c r="BBP3" s="7">
        <v>1.4488349652902099</v>
      </c>
      <c r="BBQ3" s="7">
        <v>0.118179493940253</v>
      </c>
      <c r="BBR3" s="7">
        <v>1.6342399990366501</v>
      </c>
      <c r="BBS3" s="7">
        <v>-5.5439198025726097E-2</v>
      </c>
      <c r="BBT3" s="7">
        <v>-2.3743797972263101</v>
      </c>
      <c r="BBU3" s="7">
        <v>0.79164519800447697</v>
      </c>
      <c r="BBV3" s="7">
        <v>0.200455878013414</v>
      </c>
      <c r="BBW3" s="7">
        <v>0.110516655349349</v>
      </c>
      <c r="BBX3" s="7">
        <v>1.4195645978434299</v>
      </c>
      <c r="BBY3" s="7">
        <v>-1.9298677698670801</v>
      </c>
      <c r="BBZ3" s="7">
        <v>-1.10356045551312</v>
      </c>
      <c r="BCA3" s="7">
        <v>0.37740875817998198</v>
      </c>
      <c r="BCB3" s="7">
        <v>-0.600163854828896</v>
      </c>
      <c r="BCC3" s="7">
        <v>-0.90042752592333997</v>
      </c>
      <c r="BCD3" s="7">
        <v>2.7294363659637999</v>
      </c>
      <c r="BCE3" s="7">
        <v>0.64090664895769101</v>
      </c>
      <c r="BCF3" s="7">
        <v>-1.80469584787936</v>
      </c>
      <c r="BCG3" s="7">
        <v>-1.3892890753354801</v>
      </c>
      <c r="BCH3" s="7">
        <v>-1.0616781792780201</v>
      </c>
      <c r="BCI3" s="7">
        <v>4.33929913196913E-2</v>
      </c>
      <c r="BCJ3" s="7">
        <v>-0.606782068602439</v>
      </c>
      <c r="BCK3" s="7">
        <v>-8.3934455061871097E-2</v>
      </c>
      <c r="BCL3" s="7">
        <v>-0.139604971456666</v>
      </c>
      <c r="BCM3" s="7">
        <v>-0.24211415546746701</v>
      </c>
      <c r="BCN3" s="7">
        <v>0.245735564092496</v>
      </c>
      <c r="BCO3" s="7">
        <v>0.97879122540871599</v>
      </c>
      <c r="BCP3" s="7">
        <v>-0.45201306838649402</v>
      </c>
      <c r="BCQ3" s="7">
        <v>-2.5779422989329501</v>
      </c>
      <c r="BCR3" s="7">
        <v>-1.41276868727893</v>
      </c>
      <c r="BCS3" s="7">
        <v>-0.99219534148770105</v>
      </c>
      <c r="BCT3" s="7">
        <v>0.222859158946384</v>
      </c>
      <c r="BCU3" s="7">
        <v>5.6607298408969199E-2</v>
      </c>
      <c r="BCV3" s="7">
        <v>1.0205322793795</v>
      </c>
      <c r="BCW3" s="7">
        <v>0.416068035559573</v>
      </c>
      <c r="BCX3" s="7">
        <v>-1.2018737110628801</v>
      </c>
      <c r="BCY3" s="7">
        <v>-0.995736844617919</v>
      </c>
      <c r="BCZ3" s="7">
        <v>-0.103363477924949</v>
      </c>
      <c r="BDA3" s="7">
        <v>1.3544878063796999</v>
      </c>
      <c r="BDB3" s="7">
        <v>7.4825867261573004E-3</v>
      </c>
      <c r="BDC3" s="7">
        <v>-0.25168443026107601</v>
      </c>
      <c r="BDD3" s="7">
        <v>-0.56522847851481495</v>
      </c>
      <c r="BDE3" s="7">
        <v>-0.88352742705093401</v>
      </c>
      <c r="BDF3" s="7">
        <v>-1.46625645893779</v>
      </c>
      <c r="BDG3" s="7">
        <v>3.3256560521310001E-4</v>
      </c>
      <c r="BDH3" s="7">
        <v>1.43890205335485</v>
      </c>
      <c r="BDI3" s="7">
        <v>-1.19305825420932</v>
      </c>
      <c r="BDJ3" s="7">
        <v>-0.88332173155153604</v>
      </c>
      <c r="BDK3" s="7">
        <v>0.992760590382611</v>
      </c>
      <c r="BDL3" s="7">
        <v>-0.33846931700628102</v>
      </c>
      <c r="BDM3" s="7">
        <v>1.3411091576741301</v>
      </c>
      <c r="BDN3" s="7">
        <v>0.383654067729365</v>
      </c>
      <c r="BDO3" s="7">
        <v>-0.77068018521113502</v>
      </c>
      <c r="BDP3" s="7">
        <v>-0.70750318917847899</v>
      </c>
      <c r="BDQ3" s="7">
        <v>-0.972560833528612</v>
      </c>
      <c r="BDR3" s="7">
        <v>-1.7223093156823199</v>
      </c>
      <c r="BDS3" s="7">
        <v>-0.30477481777842902</v>
      </c>
      <c r="BDT3" s="7">
        <v>-4.8695209463994298E-2</v>
      </c>
      <c r="BDU3" s="7">
        <v>-0.159359007267041</v>
      </c>
      <c r="BDV3" s="7">
        <v>-0.48127145556596501</v>
      </c>
      <c r="BDW3" s="7">
        <v>-1.6684282662368699</v>
      </c>
      <c r="BDX3" s="7">
        <v>-1.7438260435830599</v>
      </c>
      <c r="BDY3" s="7">
        <v>-0.97220777107549605</v>
      </c>
      <c r="BDZ3" s="7">
        <v>1.8012754398947499</v>
      </c>
      <c r="BEA3" s="7">
        <v>-0.93423144376520595</v>
      </c>
      <c r="BEB3" s="7">
        <v>1.72065647627892</v>
      </c>
      <c r="BEC3" s="7">
        <v>-0.84389956352448403</v>
      </c>
      <c r="BED3" s="7">
        <v>6.1721141722631601E-2</v>
      </c>
      <c r="BEE3" s="7">
        <v>-0.70290620131002601</v>
      </c>
      <c r="BEF3" s="7">
        <v>-1.0370306797012601</v>
      </c>
      <c r="BEG3" s="7">
        <v>-1.05955383415102</v>
      </c>
      <c r="BEH3" s="7">
        <v>0.55385845765803798</v>
      </c>
      <c r="BEI3" s="7">
        <v>-0.51970246586962598</v>
      </c>
      <c r="BEJ3" s="7">
        <v>-1.9149002682914</v>
      </c>
      <c r="BEK3" s="7">
        <v>0.49862394895477202</v>
      </c>
      <c r="BEL3" s="7">
        <v>-0.84273291141121598</v>
      </c>
      <c r="BEM3" s="7">
        <v>-1.78578729525337</v>
      </c>
      <c r="BEN3" s="7">
        <v>-0.44045767638585098</v>
      </c>
      <c r="BEO3" s="7">
        <v>-0.60129929558616801</v>
      </c>
      <c r="BEP3" s="7">
        <v>-0.511964101826756</v>
      </c>
      <c r="BEQ3" s="7">
        <v>0.42897956333209802</v>
      </c>
      <c r="BER3" s="7">
        <v>-1.23270480051535</v>
      </c>
      <c r="BES3" s="7">
        <v>-2.1079400835052899</v>
      </c>
      <c r="BET3" s="7">
        <v>1.54845168357101</v>
      </c>
      <c r="BEU3" s="7">
        <v>0.18410061935953101</v>
      </c>
      <c r="BEV3" s="7">
        <v>0.15370814829158699</v>
      </c>
      <c r="BEW3" s="7">
        <v>-0.10335980461751</v>
      </c>
      <c r="BEX3" s="7">
        <v>0.87466522224927501</v>
      </c>
      <c r="BEY3" s="7">
        <v>-0.67056591721502501</v>
      </c>
      <c r="BEZ3" s="7">
        <v>0.41492192474810602</v>
      </c>
      <c r="BFA3" s="7">
        <v>0.34672555008200201</v>
      </c>
      <c r="BFB3" s="7">
        <v>0.38891995479311697</v>
      </c>
      <c r="BFC3" s="7">
        <v>-0.11855495269888899</v>
      </c>
      <c r="BFD3" s="7">
        <v>-0.51327599405953905</v>
      </c>
      <c r="BFE3" s="7">
        <v>-0.49185495205417701</v>
      </c>
      <c r="BFF3" s="7">
        <v>-0.73108694164573995</v>
      </c>
      <c r="BFG3" s="7">
        <v>-4.8665394755040399E-2</v>
      </c>
      <c r="BFH3" s="7">
        <v>1.50239709862439</v>
      </c>
      <c r="BFI3" s="7">
        <v>-1.2032053067530399</v>
      </c>
      <c r="BFJ3" s="7">
        <v>0.89355965349887001</v>
      </c>
      <c r="BFK3" s="7">
        <v>0.65931409547166797</v>
      </c>
      <c r="BFL3" s="7">
        <v>-9.3203779133769996E-2</v>
      </c>
      <c r="BFM3" s="7">
        <v>-0.93279839745242599</v>
      </c>
      <c r="BFN3" s="7">
        <v>6.4313669777383998E-3</v>
      </c>
      <c r="BFO3" s="7">
        <v>-0.86716746126241695</v>
      </c>
      <c r="BFP3" s="7">
        <v>1.2108009955727499</v>
      </c>
      <c r="BFQ3" s="7">
        <v>1.2520689159162099</v>
      </c>
      <c r="BFR3" s="7">
        <v>-0.32272213692456703</v>
      </c>
      <c r="BFS3" s="7">
        <v>-0.39096101392829802</v>
      </c>
      <c r="BFT3" s="7">
        <v>5.6898168797398001E-2</v>
      </c>
      <c r="BFU3" s="7">
        <v>-0.52766785249433201</v>
      </c>
      <c r="BFV3" s="7">
        <v>0.22681119584131901</v>
      </c>
      <c r="BFW3" s="7">
        <v>1.72647842912348</v>
      </c>
      <c r="BFX3" s="7">
        <v>-0.40278838186018601</v>
      </c>
      <c r="BFY3" s="7">
        <v>-0.17228621098094599</v>
      </c>
      <c r="BFZ3" s="7">
        <v>1.6453282790185999</v>
      </c>
      <c r="BGA3" s="7">
        <v>1.5337224034255501</v>
      </c>
      <c r="BGB3" s="7">
        <v>0.71363525678375095</v>
      </c>
      <c r="BGC3" s="7">
        <v>1.2984381210556999</v>
      </c>
      <c r="BGD3" s="7">
        <v>-1.0025101529845</v>
      </c>
      <c r="BGE3" s="7">
        <v>-1.39329844723066</v>
      </c>
      <c r="BGF3" s="7">
        <v>-1.38814649150105</v>
      </c>
      <c r="BGG3" s="7">
        <v>0.34295580313788099</v>
      </c>
      <c r="BGH3" s="7">
        <v>0.98475115835810201</v>
      </c>
      <c r="BGI3" s="7">
        <v>0.54485164608249304</v>
      </c>
      <c r="BGJ3" s="7">
        <v>1.1306835009363301</v>
      </c>
      <c r="BGK3" s="7">
        <v>0.59115985930582304</v>
      </c>
      <c r="BGL3" s="7">
        <v>-4.2507714131623603E-2</v>
      </c>
      <c r="BGM3" s="7">
        <v>1.6844741483593599</v>
      </c>
      <c r="BGN3" s="7">
        <v>-0.16427318345724601</v>
      </c>
      <c r="BGO3" s="7">
        <v>0.78863855295107799</v>
      </c>
      <c r="BGP3" s="7">
        <v>4.3914107401345902E-2</v>
      </c>
      <c r="BGQ3" s="7">
        <v>1.27401854889254</v>
      </c>
      <c r="BGR3" s="7">
        <v>-1.7382944560058</v>
      </c>
      <c r="BGS3" s="7">
        <v>-2.1620145311211898</v>
      </c>
      <c r="BGT3" s="7">
        <v>1.1782589491883799</v>
      </c>
      <c r="BGU3" s="7">
        <v>-1.07061734378692</v>
      </c>
      <c r="BGV3" s="7">
        <v>-0.29171018253859499</v>
      </c>
      <c r="BGW3" s="7">
        <v>0.61272569386099995</v>
      </c>
      <c r="BGX3" s="7">
        <v>0.50291968932206899</v>
      </c>
      <c r="BGY3" s="7">
        <v>-0.61175515379601797</v>
      </c>
      <c r="BGZ3" s="7">
        <v>1.4356415875284201</v>
      </c>
      <c r="BHA3" s="7">
        <v>0.89656068280670698</v>
      </c>
      <c r="BHB3" s="7">
        <v>0.26922774048002102</v>
      </c>
      <c r="BHC3" s="7">
        <v>-1.0122082235038701</v>
      </c>
      <c r="BHD3" s="7">
        <v>2.5687667883048101E-2</v>
      </c>
      <c r="BHE3" s="7">
        <v>-1.6679124803291601</v>
      </c>
      <c r="BHF3" s="7">
        <v>0.76517227892628303</v>
      </c>
      <c r="BHG3" s="7">
        <v>-0.39684741871476398</v>
      </c>
      <c r="BHH3" s="7">
        <v>0.53778798748001</v>
      </c>
      <c r="BHI3" s="7">
        <v>-1.2612155834972301</v>
      </c>
      <c r="BHJ3" s="7">
        <v>-0.73070288163846697</v>
      </c>
      <c r="BHK3" s="7">
        <v>-0.60201526866911603</v>
      </c>
      <c r="BHL3" s="7">
        <v>0.79931981283081699</v>
      </c>
      <c r="BHM3" s="7">
        <v>1.3089626232657501</v>
      </c>
      <c r="BHN3" s="7">
        <v>-0.867068977583489</v>
      </c>
      <c r="BHO3" s="7">
        <v>0.32671524092521098</v>
      </c>
      <c r="BHP3" s="7">
        <v>-2.0606941950066799</v>
      </c>
      <c r="BHQ3" s="7">
        <v>0.437609603669883</v>
      </c>
      <c r="BHR3" s="7">
        <v>1.58172046024465</v>
      </c>
      <c r="BHS3" s="7">
        <v>-0.266766872690122</v>
      </c>
      <c r="BHT3" s="7">
        <v>0.26215607636752197</v>
      </c>
      <c r="BHU3" s="7">
        <v>-0.98704466991548001</v>
      </c>
      <c r="BHV3" s="7">
        <v>0.52233229733167896</v>
      </c>
      <c r="BHW3" s="7">
        <v>-0.33621126758125602</v>
      </c>
      <c r="BHX3" s="7">
        <v>-0.99514172995625905</v>
      </c>
      <c r="BHY3" s="7">
        <v>0.64443035821353301</v>
      </c>
      <c r="BHZ3" s="7">
        <v>1.11990393022835</v>
      </c>
      <c r="BIA3" s="7">
        <v>3.794096988734009</v>
      </c>
      <c r="BIB3" s="7">
        <v>-0.66564651920650797</v>
      </c>
      <c r="BIC3" s="7">
        <v>0.387625907046871</v>
      </c>
      <c r="BID3" s="7">
        <v>-3.2912840298730303E-2</v>
      </c>
      <c r="BIE3" s="7">
        <v>0.26953817798380397</v>
      </c>
      <c r="BIF3" s="7">
        <v>1.25613351395144</v>
      </c>
      <c r="BIG3" s="7">
        <v>0.47620415875196098</v>
      </c>
      <c r="BIH3" s="7">
        <v>-0.43271041906933599</v>
      </c>
      <c r="BII3" s="7">
        <v>-1.14262528238867E-2</v>
      </c>
      <c r="BIJ3" s="7">
        <v>0.62997889473520197</v>
      </c>
      <c r="BIK3" s="7">
        <v>-0.19612827619602599</v>
      </c>
      <c r="BIL3" s="7">
        <v>-0.21277819982503399</v>
      </c>
      <c r="BIM3" s="7">
        <v>0.25290979000066399</v>
      </c>
      <c r="BIN3" s="7">
        <v>-0.11097173943734701</v>
      </c>
      <c r="BIO3" s="7">
        <v>-0.98750252920910397</v>
      </c>
      <c r="BIP3" s="7">
        <v>1.52487615823602</v>
      </c>
      <c r="BIQ3" s="7">
        <v>1.9952951375479</v>
      </c>
      <c r="BIR3" s="7">
        <v>0.467636895827924</v>
      </c>
      <c r="BIS3" s="7">
        <v>-0.290879812478408</v>
      </c>
      <c r="BIT3" s="7">
        <v>0.42055300095901998</v>
      </c>
      <c r="BIU3" s="7">
        <v>1.49742274862281</v>
      </c>
      <c r="BIV3" s="7">
        <v>-1.4316519196194599</v>
      </c>
      <c r="BIW3" s="7">
        <v>1.0245544248815399</v>
      </c>
      <c r="BIX3" s="7">
        <v>-0.64006521777075598</v>
      </c>
      <c r="BIY3" s="7">
        <v>-0.64958215881117598</v>
      </c>
      <c r="BIZ3" s="7">
        <v>1.0397169266373101</v>
      </c>
      <c r="BJA3" s="7">
        <v>1.92954717998818</v>
      </c>
      <c r="BJB3" s="7">
        <v>-1.13295929198254</v>
      </c>
      <c r="BJC3" s="7">
        <v>0.64524298343003295</v>
      </c>
      <c r="BJD3" s="7">
        <v>0.37762875345028701</v>
      </c>
      <c r="BJE3" s="7">
        <v>-1.4724192848281701</v>
      </c>
      <c r="BJF3" s="7">
        <v>-0.29555037312079302</v>
      </c>
      <c r="BJG3" s="7">
        <v>-1.0940143483160301</v>
      </c>
      <c r="BJH3" s="7">
        <v>-0.92544664908783203</v>
      </c>
      <c r="BJI3" s="7">
        <v>1.31173494978353</v>
      </c>
      <c r="BJJ3" s="7">
        <v>-0.91460919226757398</v>
      </c>
      <c r="BJK3" s="7">
        <v>0.72435882589745204</v>
      </c>
      <c r="BJL3" s="7">
        <v>-0.96533164953371997</v>
      </c>
      <c r="BJM3" s="7">
        <v>0.33847820241864501</v>
      </c>
      <c r="BJN3" s="7">
        <v>-0.303790128425449</v>
      </c>
      <c r="BJO3" s="7">
        <v>3.96352175066483E-2</v>
      </c>
      <c r="BJP3" s="7">
        <v>-1.1034038993024999</v>
      </c>
      <c r="BJQ3" s="7">
        <v>0.40923025212019298</v>
      </c>
      <c r="BJR3" s="7">
        <v>-0.60225591151658198</v>
      </c>
      <c r="BJS3" s="7">
        <v>1.28646199501253</v>
      </c>
      <c r="BJT3" s="7">
        <v>-0.38126277787472101</v>
      </c>
      <c r="BJU3" s="7">
        <v>0.85727966710901604</v>
      </c>
      <c r="BJV3" s="7">
        <v>1.12759392442271</v>
      </c>
      <c r="BJW3" s="7">
        <v>0.55379939770703401</v>
      </c>
      <c r="BJX3" s="7">
        <v>-1.1302737147906301</v>
      </c>
      <c r="BJY3" s="7">
        <v>0.99279322918203095</v>
      </c>
      <c r="BJZ3" s="7">
        <v>0.396288839200367</v>
      </c>
      <c r="BKA3" s="7">
        <v>0.16433321924201999</v>
      </c>
      <c r="BKB3" s="7">
        <v>0.86199643038707796</v>
      </c>
      <c r="BKC3" s="7">
        <v>-1.09166344990078</v>
      </c>
      <c r="BKD3" s="7">
        <v>-0.28009101332339498</v>
      </c>
      <c r="BKE3" s="7">
        <v>2.1527893982483799</v>
      </c>
      <c r="BKF3" s="7">
        <v>-0.46735484886498702</v>
      </c>
      <c r="BKG3" s="7">
        <v>-0.40256231850381102</v>
      </c>
      <c r="BKH3" s="7">
        <v>1.2618467786641601</v>
      </c>
      <c r="BKI3" s="7">
        <v>5.8153478683470698E-2</v>
      </c>
      <c r="BKJ3" s="7">
        <v>-2.7804397617239398</v>
      </c>
      <c r="BKK3" s="7">
        <v>-1.1812652749106101</v>
      </c>
      <c r="BKL3" s="7">
        <v>-1.0459139053695701</v>
      </c>
      <c r="BKM3" s="7">
        <v>1.27707076002356</v>
      </c>
      <c r="BKN3" s="7">
        <v>-1.2673860973623701</v>
      </c>
      <c r="BKO3" s="7">
        <v>-1.0645430358391601</v>
      </c>
      <c r="BKP3" s="7">
        <v>0.91369560589355303</v>
      </c>
      <c r="BKQ3" s="7">
        <v>0.72066948576034595</v>
      </c>
      <c r="BKR3" s="7">
        <v>-5.5722536413739601E-2</v>
      </c>
      <c r="BKS3" s="7">
        <v>1.03822377883774</v>
      </c>
      <c r="BKT3" s="7">
        <v>-0.82824186806548805</v>
      </c>
      <c r="BKU3" s="7">
        <v>1.12462785978575</v>
      </c>
      <c r="BKV3" s="7">
        <v>-0.45875747183306997</v>
      </c>
      <c r="BKW3" s="7">
        <v>0.38795872940724502</v>
      </c>
      <c r="BKX3" s="7">
        <v>-0.64268230236495405</v>
      </c>
      <c r="BKY3" s="7">
        <v>4.3814216862212499E-2</v>
      </c>
      <c r="BKZ3" s="7">
        <v>1.34302207905534</v>
      </c>
      <c r="BLA3" s="7">
        <v>8.1095896757960001E-2</v>
      </c>
      <c r="BLB3" s="7">
        <v>1.11578245117256</v>
      </c>
      <c r="BLC3" s="7">
        <v>0.42170094744460301</v>
      </c>
      <c r="BLD3" s="7">
        <v>1.24783969326775</v>
      </c>
      <c r="BLE3" s="7">
        <v>0.72279955429308496</v>
      </c>
      <c r="BLF3" s="7">
        <v>1.7612850380606</v>
      </c>
      <c r="BLG3" s="7">
        <v>3.0575514604679201E-2</v>
      </c>
      <c r="BLH3" s="7">
        <v>-0.40187471682842901</v>
      </c>
      <c r="BLI3" s="7">
        <v>-1.43766474936683</v>
      </c>
      <c r="BLJ3" s="7">
        <v>-0.973889750128071</v>
      </c>
      <c r="BLK3" s="7">
        <v>-1.3046597215136599</v>
      </c>
      <c r="BLL3" s="7">
        <v>-0.23285269831566799</v>
      </c>
      <c r="BLM3" s="7">
        <v>-0.57472708201789302</v>
      </c>
      <c r="BLN3" s="7">
        <v>-1.01284721763321</v>
      </c>
      <c r="BLO3" s="7">
        <v>0.89937553913266099</v>
      </c>
      <c r="BLP3" s="7">
        <v>0.32230796125396499</v>
      </c>
      <c r="BLQ3" s="7">
        <v>-0.66889020579763603</v>
      </c>
      <c r="BLR3" s="7">
        <v>0.222208326068569</v>
      </c>
      <c r="BLS3" s="7">
        <v>-1.4817704270493001E-2</v>
      </c>
      <c r="BLT3" s="7">
        <v>-0.754274038138396</v>
      </c>
      <c r="BLU3" s="7">
        <v>-0.319238868607714</v>
      </c>
      <c r="BLV3" s="7">
        <v>0.141957663993245</v>
      </c>
      <c r="BLW3" s="7">
        <v>1.2454186595838099</v>
      </c>
      <c r="BLX3" s="7">
        <v>0.351571829661803</v>
      </c>
      <c r="BLY3" s="7">
        <v>-0.18358922462269101</v>
      </c>
      <c r="BLZ3" s="7">
        <v>-0.21772454561729401</v>
      </c>
      <c r="BMA3" s="7">
        <v>0.97451177685415202</v>
      </c>
      <c r="BMB3" s="7">
        <v>1.0699663817464</v>
      </c>
      <c r="BMC3" s="7">
        <v>0.37695784130266202</v>
      </c>
      <c r="BMD3" s="7">
        <v>-0.53904818732076898</v>
      </c>
      <c r="BME3" s="7">
        <v>1.1449134870584301</v>
      </c>
      <c r="BMF3" s="7">
        <v>0.115970964583349</v>
      </c>
      <c r="BMG3" s="7">
        <v>-2.3330098060569199E-2</v>
      </c>
      <c r="BMH3" s="7">
        <v>0.97340873388107296</v>
      </c>
      <c r="BMI3" s="7">
        <v>0.61474277845014602</v>
      </c>
      <c r="BMJ3" s="7">
        <v>-2.6813217787410601</v>
      </c>
      <c r="BMK3" s="7">
        <v>0.24156494621466901</v>
      </c>
      <c r="BML3" s="7">
        <v>-4.4410962753330799E-2</v>
      </c>
      <c r="BMM3" s="7">
        <v>1.22505474648594</v>
      </c>
      <c r="BMN3" s="7">
        <v>-1.96257747280946</v>
      </c>
      <c r="BMO3" s="7">
        <v>-2.4705777695239002E-3</v>
      </c>
      <c r="BMP3" s="7">
        <v>0.21679916177947001</v>
      </c>
      <c r="BMQ3" s="7">
        <v>-1.2047150639795099</v>
      </c>
      <c r="BMR3" s="7">
        <v>1.52014799776823</v>
      </c>
      <c r="BMS3" s="7">
        <v>-1.04282846845308</v>
      </c>
      <c r="BMT3" s="7">
        <v>-1.0118713832758399</v>
      </c>
      <c r="BMU3" s="7">
        <v>0.45878954223943702</v>
      </c>
      <c r="BMV3" s="7">
        <v>-0.26218531798047401</v>
      </c>
      <c r="BMW3" s="7">
        <v>-0.83978533456190196</v>
      </c>
      <c r="BMX3" s="7">
        <v>-0.96874863374639697</v>
      </c>
      <c r="BMY3" s="7">
        <v>-0.60990789908529897</v>
      </c>
      <c r="BMZ3" s="7">
        <v>0.36494431224527601</v>
      </c>
      <c r="BNA3" s="7">
        <v>-1.2373284617065901</v>
      </c>
      <c r="BNB3" s="7">
        <v>0.25513359986819001</v>
      </c>
      <c r="BNC3" s="7">
        <v>0.59310580153313097</v>
      </c>
      <c r="BND3" s="7">
        <v>-0.765609691886184</v>
      </c>
      <c r="BNE3" s="7">
        <v>-0.77775672583537603</v>
      </c>
      <c r="BNF3" s="7">
        <v>1.1338019678383899</v>
      </c>
      <c r="BNG3" s="7">
        <v>1.6312668062673099</v>
      </c>
      <c r="BNH3" s="7">
        <v>1.35455680608628</v>
      </c>
      <c r="BNI3" s="7">
        <v>7.7172782744839505E-2</v>
      </c>
      <c r="BNJ3" s="7">
        <v>1.3080144063077099</v>
      </c>
      <c r="BNK3" s="7">
        <v>0.32358164443836901</v>
      </c>
      <c r="BNL3" s="7">
        <v>-0.60891862941525199</v>
      </c>
      <c r="BNM3" s="7">
        <v>0.63815270861150097</v>
      </c>
      <c r="BNN3" s="7">
        <v>-0.24395314321422401</v>
      </c>
      <c r="BNO3" s="7">
        <v>1.83528804647483</v>
      </c>
      <c r="BNP3" s="7">
        <v>-0.36954879158387199</v>
      </c>
      <c r="BNQ3" s="7">
        <v>0.77172076667678202</v>
      </c>
      <c r="BNR3" s="7">
        <v>0.36387423734178798</v>
      </c>
      <c r="BNS3" s="7">
        <v>0.14539511020197399</v>
      </c>
      <c r="BNT3" s="7">
        <v>9.4665753087698604E-2</v>
      </c>
      <c r="BNU3" s="7">
        <v>-1.7374079128076401</v>
      </c>
      <c r="BNV3" s="7">
        <v>0.50759448522597805</v>
      </c>
      <c r="BNW3" s="7">
        <v>-0.64669927230003799</v>
      </c>
      <c r="BNX3" s="7">
        <v>-1.3120225736609901</v>
      </c>
      <c r="BNY3" s="7">
        <v>-3.5390576187114199E-2</v>
      </c>
      <c r="BNZ3" s="7">
        <v>0.71114141409074205</v>
      </c>
      <c r="BOA3" s="7">
        <v>-0.22936353592514699</v>
      </c>
      <c r="BOB3" s="7">
        <v>0.69892812240413504</v>
      </c>
      <c r="BOC3" s="7">
        <v>0.38598114589501498</v>
      </c>
      <c r="BOD3" s="7">
        <v>0.415714755932936</v>
      </c>
      <c r="BOE3" s="7">
        <v>1.2102020815949199</v>
      </c>
      <c r="BOF3" s="7">
        <v>-1.36721357584213</v>
      </c>
      <c r="BOG3" s="7">
        <v>-0.69027753206076004</v>
      </c>
      <c r="BOH3" s="7">
        <v>-3.0348406844144999E-3</v>
      </c>
      <c r="BOI3" s="7">
        <v>1.04185136334988</v>
      </c>
      <c r="BOJ3" s="7">
        <v>1.0910171101420101</v>
      </c>
      <c r="BOK3" s="7">
        <v>2.1659587022629899E-2</v>
      </c>
      <c r="BOL3" s="7">
        <v>-0.21139351571864201</v>
      </c>
      <c r="BOM3" s="7">
        <v>-1.61389227565277</v>
      </c>
      <c r="BON3" s="7">
        <v>0.20796409396649901</v>
      </c>
      <c r="BOO3" s="7">
        <v>0.44470657232622302</v>
      </c>
      <c r="BOP3" s="7">
        <v>0.92157777721661605</v>
      </c>
      <c r="BOQ3" s="7">
        <v>1.05429003494887</v>
      </c>
      <c r="BOR3" s="7">
        <v>0.26242657503012601</v>
      </c>
      <c r="BOS3" s="7">
        <v>-1.45441441450696</v>
      </c>
      <c r="BOT3" s="7">
        <v>0.10638870604338201</v>
      </c>
      <c r="BOU3" s="7">
        <v>-9.5606892752472403E-2</v>
      </c>
      <c r="BOV3" s="7">
        <v>-0.533261001363594</v>
      </c>
      <c r="BOW3" s="7">
        <v>0.80758055523279604</v>
      </c>
      <c r="BOX3" s="7">
        <v>-0.99873708994786803</v>
      </c>
      <c r="BOY3" s="7">
        <v>-1.4598705119881901</v>
      </c>
      <c r="BOZ3" s="7">
        <v>0.640511203998404</v>
      </c>
      <c r="BPA3" s="7">
        <v>0.421379694160123</v>
      </c>
      <c r="BPB3" s="7">
        <v>-1.21987134646349</v>
      </c>
      <c r="BPC3" s="7">
        <v>0.39093558025951602</v>
      </c>
      <c r="BPD3" s="7">
        <v>-0.62344383917732205</v>
      </c>
      <c r="BPE3" s="7">
        <v>0.16334642140853101</v>
      </c>
      <c r="BPF3" s="7">
        <v>1.50387979812754</v>
      </c>
      <c r="BPG3" s="7">
        <v>1.46773733533505</v>
      </c>
      <c r="BPH3" s="7">
        <v>1.2779312076009099</v>
      </c>
      <c r="BPI3" s="7">
        <v>-2.74130674224656</v>
      </c>
      <c r="BPJ3" s="7">
        <v>0.53873898512683804</v>
      </c>
      <c r="BPK3" s="7">
        <v>0.57105947770590504</v>
      </c>
      <c r="BPL3" s="7">
        <v>-0.72127274139313802</v>
      </c>
      <c r="BPM3" s="7">
        <v>-0.26785116054790498</v>
      </c>
      <c r="BPN3" s="7">
        <v>0.69601864619593801</v>
      </c>
      <c r="BPO3" s="7">
        <v>-0.67178853884595202</v>
      </c>
      <c r="BPP3" s="7">
        <v>0.41946706569057302</v>
      </c>
      <c r="BPQ3" s="7">
        <v>-0.16540524173780199</v>
      </c>
      <c r="BPR3" s="7">
        <v>-0.19090412814479901</v>
      </c>
      <c r="BPS3" s="7">
        <v>-0.34019893916557697</v>
      </c>
      <c r="BPT3" s="7">
        <v>-0.18390482924781101</v>
      </c>
      <c r="BPU3" s="7">
        <v>0.773226946094836</v>
      </c>
      <c r="BPV3" s="7">
        <v>-0.12940726352882501</v>
      </c>
      <c r="BPW3" s="7">
        <v>3.7088106190393398E-2</v>
      </c>
      <c r="BPX3" s="7">
        <v>0.37029136832186599</v>
      </c>
      <c r="BPY3" s="7">
        <v>-0.65703518054871202</v>
      </c>
      <c r="BPZ3" s="7">
        <v>0.26091017303004399</v>
      </c>
      <c r="BQA3" s="7">
        <v>6.7410325147918407E-2</v>
      </c>
      <c r="BQB3" s="7">
        <v>1.1032403630507199</v>
      </c>
      <c r="BQC3" s="7">
        <v>-0.54400909836449596</v>
      </c>
      <c r="BQD3" s="7">
        <v>1.1553895341799001</v>
      </c>
      <c r="BQE3" s="7">
        <v>-1.29730941286507</v>
      </c>
      <c r="BQF3" s="7">
        <v>0.47152746452446997</v>
      </c>
      <c r="BQG3" s="7">
        <v>-0.95072738272953805</v>
      </c>
      <c r="BQH3" s="7">
        <v>1.0768102163223401</v>
      </c>
    </row>
    <row r="4" spans="1:1802" x14ac:dyDescent="0.2">
      <c r="A4" s="7">
        <v>2</v>
      </c>
      <c r="B4" s="7">
        <v>-2.4095640332338402</v>
      </c>
      <c r="C4" s="7">
        <v>-1.5081863000782301</v>
      </c>
      <c r="D4" s="7">
        <v>0.98157485283486101</v>
      </c>
      <c r="E4" s="7">
        <v>-1.9834513936848901</v>
      </c>
      <c r="F4" s="7">
        <v>-0.99504545309825898</v>
      </c>
      <c r="G4" s="7">
        <v>0.59075826601764203</v>
      </c>
      <c r="H4" s="7">
        <v>-1.0911893245342501</v>
      </c>
      <c r="I4" s="7">
        <v>0.81213784691782798</v>
      </c>
      <c r="J4" s="7">
        <v>8.7936337909432796E-2</v>
      </c>
      <c r="K4" s="7">
        <v>-0.78403685188188899</v>
      </c>
      <c r="L4" s="7">
        <v>0.25405050159590398</v>
      </c>
      <c r="M4" s="7">
        <v>-1.4454103951113</v>
      </c>
      <c r="N4" s="7">
        <v>-0.28717090365398301</v>
      </c>
      <c r="O4" s="7">
        <v>-0.80545960155500895</v>
      </c>
      <c r="P4" s="7">
        <v>1.2153728028833499</v>
      </c>
      <c r="Q4" s="7">
        <v>0.27483780256467499</v>
      </c>
      <c r="R4" s="7">
        <v>0.31978658281309702</v>
      </c>
      <c r="S4" s="7">
        <v>-1.20873291936397</v>
      </c>
      <c r="T4" s="7">
        <v>1.6686519490402301</v>
      </c>
      <c r="U4" s="7">
        <v>-1.11397403086789</v>
      </c>
      <c r="V4" s="7">
        <v>-2.1852674122155702</v>
      </c>
      <c r="W4" s="7">
        <v>0.84629005607689101</v>
      </c>
      <c r="X4" s="7">
        <v>2.1921514279711598</v>
      </c>
      <c r="Y4" s="7">
        <v>0.50150885753655705</v>
      </c>
      <c r="Z4" s="7">
        <v>-7.2799994974602197E-2</v>
      </c>
      <c r="AA4" s="7">
        <v>0.45982964575726099</v>
      </c>
      <c r="AB4" s="7">
        <v>-5.3489570734500599E-2</v>
      </c>
      <c r="AC4" s="7">
        <v>-0.87018613691219404</v>
      </c>
      <c r="AD4" s="7">
        <v>-0.2652223932244</v>
      </c>
      <c r="AE4" s="7">
        <v>0.696695160754779</v>
      </c>
      <c r="AF4" s="7">
        <v>-0.87009709079634301</v>
      </c>
      <c r="AG4" s="7">
        <v>-1.78263699695884</v>
      </c>
      <c r="AH4" s="7">
        <v>1.10747295138066</v>
      </c>
      <c r="AI4" s="7">
        <v>-0.75577587530743495</v>
      </c>
      <c r="AJ4" s="7">
        <v>0.80828304107794102</v>
      </c>
      <c r="AK4" s="7">
        <v>-0.81371939766494905</v>
      </c>
      <c r="AL4" s="7">
        <v>-1.5099571573570201</v>
      </c>
      <c r="AM4" s="7">
        <v>-1.0309334561107999</v>
      </c>
      <c r="AN4" s="7">
        <v>-0.64358416712280797</v>
      </c>
      <c r="AO4" s="7">
        <v>5.1772157171718999E-2</v>
      </c>
      <c r="AP4" s="7">
        <v>-0.42566493503858199</v>
      </c>
      <c r="AQ4" s="7">
        <v>-2.8007801915612501E-2</v>
      </c>
      <c r="AR4" s="7">
        <v>0.76805126942881097</v>
      </c>
      <c r="AS4" s="7">
        <v>-0.64145432633469202</v>
      </c>
      <c r="AT4" s="7">
        <v>-0.98359225126411098</v>
      </c>
      <c r="AU4" s="7">
        <v>1.84476499202442</v>
      </c>
      <c r="AV4" s="7">
        <v>-0.48035952861472098</v>
      </c>
      <c r="AW4" s="7">
        <v>0.857981050891643</v>
      </c>
      <c r="AX4" s="7">
        <v>-9.6230845593749906E-2</v>
      </c>
      <c r="AY4" s="7">
        <v>2.5149280672654499</v>
      </c>
      <c r="AZ4" s="7">
        <v>0.452950507243291</v>
      </c>
      <c r="BA4" s="7">
        <v>0.71264273547435097</v>
      </c>
      <c r="BB4" s="7">
        <v>0.53287722387272696</v>
      </c>
      <c r="BC4" s="7">
        <v>-1.02979711382494</v>
      </c>
      <c r="BD4" s="7">
        <v>0.17740511908501699</v>
      </c>
      <c r="BE4" s="7">
        <v>0.193856787125223</v>
      </c>
      <c r="BF4" s="7">
        <v>1.16696046592151</v>
      </c>
      <c r="BG4" s="7">
        <v>-0.97828315632729701</v>
      </c>
      <c r="BH4" s="7">
        <v>-2.6382586073880798</v>
      </c>
      <c r="BI4" s="7">
        <v>1.0892428973139301</v>
      </c>
      <c r="BJ4" s="7">
        <v>-0.19811768717808501</v>
      </c>
      <c r="BK4" s="7">
        <v>-1.2183254553746601</v>
      </c>
      <c r="BL4" s="7">
        <v>0.33088995552755901</v>
      </c>
      <c r="BM4" s="7">
        <v>-0.32457761376072303</v>
      </c>
      <c r="BN4" s="7">
        <v>-0.77032687891527996</v>
      </c>
      <c r="BO4" s="7">
        <v>1.6697583136283001</v>
      </c>
      <c r="BP4" s="7">
        <v>0.23804083076979601</v>
      </c>
      <c r="BQ4" s="7">
        <v>-0.10003068209089</v>
      </c>
      <c r="BR4" s="7">
        <v>-1.36791688670969</v>
      </c>
      <c r="BS4" s="7">
        <v>0.28492844654025801</v>
      </c>
      <c r="BT4" s="7">
        <v>-1.5617718844558399</v>
      </c>
      <c r="BU4" s="7">
        <v>-1.1154624387240299</v>
      </c>
      <c r="BV4" s="7">
        <v>-1.9399016286839199</v>
      </c>
      <c r="BW4" s="7">
        <v>-7.5405086142189395E-2</v>
      </c>
      <c r="BX4" s="7">
        <v>0.66613297401870097</v>
      </c>
      <c r="BY4" s="7">
        <v>-0.63085407488914402</v>
      </c>
      <c r="BZ4" s="7">
        <v>0.67641837778547398</v>
      </c>
      <c r="CA4" s="7">
        <v>0.48981766679811301</v>
      </c>
      <c r="CB4" s="7">
        <v>-0.33603759562582902</v>
      </c>
      <c r="CC4" s="7">
        <v>-1.69887879402293</v>
      </c>
      <c r="CD4" s="7">
        <v>0.171830149137537</v>
      </c>
      <c r="CE4" s="7">
        <v>-1.42943901960913</v>
      </c>
      <c r="CF4" s="7">
        <v>1.0554482982115899E-2</v>
      </c>
      <c r="CG4" s="7">
        <v>-1.371824823936</v>
      </c>
      <c r="CH4" s="7">
        <v>-1.9736899057809001</v>
      </c>
      <c r="CI4" s="7">
        <v>-0.39260584524657</v>
      </c>
      <c r="CJ4" s="7">
        <v>-1.41357478796924</v>
      </c>
      <c r="CK4" s="7">
        <v>-0.44824691913303399</v>
      </c>
      <c r="CL4" s="7">
        <v>7.3233111538125506E-2</v>
      </c>
      <c r="CM4" s="7">
        <v>1.0952092519477199</v>
      </c>
      <c r="CN4" s="7">
        <v>-0.20610818963979699</v>
      </c>
      <c r="CO4" s="7">
        <v>-0.66302611268499401</v>
      </c>
      <c r="CP4" s="7">
        <v>0.54744948510220004</v>
      </c>
      <c r="CQ4" s="7">
        <v>0.65507882352879199</v>
      </c>
      <c r="CR4" s="7">
        <v>9.9456431583900801E-2</v>
      </c>
      <c r="CS4" s="7">
        <v>0.35072577543095401</v>
      </c>
      <c r="CT4" s="7">
        <v>-1.2867611724563599</v>
      </c>
      <c r="CU4" s="7">
        <v>-0.78344712652508097</v>
      </c>
      <c r="CV4" s="7">
        <v>-1.6248134012536699</v>
      </c>
      <c r="CW4" s="7">
        <v>-1.2987294737799799</v>
      </c>
      <c r="CX4" s="7">
        <v>-0.27801328828186</v>
      </c>
      <c r="CY4" s="7">
        <v>0.33374321272697499</v>
      </c>
      <c r="CZ4" s="7">
        <v>1.31691131697826</v>
      </c>
      <c r="DA4" s="7">
        <v>1.31051537995173</v>
      </c>
      <c r="DB4" s="7">
        <v>0.24767684208330601</v>
      </c>
      <c r="DC4" s="7">
        <v>7.0749391823775806E-2</v>
      </c>
      <c r="DD4" s="7">
        <v>0.136680876093427</v>
      </c>
      <c r="DE4" s="7">
        <v>0.75132627907674998</v>
      </c>
      <c r="DF4" s="7">
        <v>-0.46487777646684197</v>
      </c>
      <c r="DG4" s="7">
        <v>0.19943860202629399</v>
      </c>
      <c r="DH4" s="7">
        <v>-1.60684934851273</v>
      </c>
      <c r="DI4" s="7">
        <v>-0.99025036670135202</v>
      </c>
      <c r="DJ4" s="7">
        <v>-2.2275808154892E-2</v>
      </c>
      <c r="DK4" s="7">
        <v>0.52167119261936901</v>
      </c>
      <c r="DL4" s="7">
        <v>0.89442267735611503</v>
      </c>
      <c r="DM4" s="7">
        <v>0.73794588741512102</v>
      </c>
      <c r="DN4" s="7">
        <v>-1.4557470241302499</v>
      </c>
      <c r="DO4" s="7">
        <v>0.51132095231366403</v>
      </c>
      <c r="DP4" s="7">
        <v>-0.74467305473198298</v>
      </c>
      <c r="DQ4" s="7">
        <v>-6.86585699610648E-2</v>
      </c>
      <c r="DR4" s="7">
        <v>-1.18552558225269</v>
      </c>
      <c r="DS4" s="7">
        <v>-0.75575713590758997</v>
      </c>
      <c r="DT4" s="7">
        <v>1.14825572900191</v>
      </c>
      <c r="DU4" s="7">
        <v>0.299970706696983</v>
      </c>
      <c r="DV4" s="7">
        <v>1.1976664856685</v>
      </c>
      <c r="DW4" s="7">
        <v>-1.16836275607563</v>
      </c>
      <c r="DX4" s="7">
        <v>0.20528544572245699</v>
      </c>
      <c r="DY4" s="7">
        <v>1.59792390262561</v>
      </c>
      <c r="DZ4" s="7">
        <v>-0.908348507149634</v>
      </c>
      <c r="EA4" s="7">
        <v>-0.76977637339168203</v>
      </c>
      <c r="EB4" s="7">
        <v>-9.2524651800227495E-2</v>
      </c>
      <c r="EC4" s="7">
        <v>0.657173494477028</v>
      </c>
      <c r="ED4" s="7">
        <v>-1.5895908770268901</v>
      </c>
      <c r="EE4" s="7">
        <v>0.96286408292069303</v>
      </c>
      <c r="EF4" s="7">
        <v>-0.67411843795454296</v>
      </c>
      <c r="EG4" s="7">
        <v>-0.78081856158110396</v>
      </c>
      <c r="EH4" s="7">
        <v>-0.87101408803223102</v>
      </c>
      <c r="EI4" s="7">
        <v>-0.48410440228851997</v>
      </c>
      <c r="EJ4" s="7">
        <v>-0.58757804503585498</v>
      </c>
      <c r="EK4" s="7">
        <v>-0.24788947668879799</v>
      </c>
      <c r="EL4" s="7">
        <v>1.0665005349868</v>
      </c>
      <c r="EM4" s="7">
        <v>1.3365711413400001</v>
      </c>
      <c r="EN4" s="7">
        <v>-0.522374572860002</v>
      </c>
      <c r="EO4" s="7">
        <v>0.45148992286696399</v>
      </c>
      <c r="EP4" s="7">
        <v>-0.94161229339369101</v>
      </c>
      <c r="EQ4" s="7">
        <v>0.36026245238045101</v>
      </c>
      <c r="ER4" s="7">
        <v>2.6336182741133798</v>
      </c>
      <c r="ES4" s="7">
        <v>0.76621105803757605</v>
      </c>
      <c r="ET4" s="7">
        <v>0.62983514198282797</v>
      </c>
      <c r="EU4" s="7">
        <v>0.39517836242718402</v>
      </c>
      <c r="EV4" s="7">
        <v>-0.484145526985028</v>
      </c>
      <c r="EW4" s="7">
        <v>0.17481145138464299</v>
      </c>
      <c r="EX4" s="7">
        <v>-0.19286166174108299</v>
      </c>
      <c r="EY4" s="7">
        <v>0.71779515212752298</v>
      </c>
      <c r="EZ4" s="7">
        <v>-0.58602544172086302</v>
      </c>
      <c r="FA4" s="7">
        <v>0.96599122850172503</v>
      </c>
      <c r="FB4" s="7">
        <v>0.46702921150921201</v>
      </c>
      <c r="FC4" s="7">
        <v>-0.17447903162159101</v>
      </c>
      <c r="FD4" s="7">
        <v>0.70814377935574102</v>
      </c>
      <c r="FE4" s="7">
        <v>0.55457513643584599</v>
      </c>
      <c r="FF4" s="7">
        <v>-0.29916126414885202</v>
      </c>
      <c r="FG4" s="7">
        <v>-0.153724540464688</v>
      </c>
      <c r="FH4" s="7">
        <v>2.0181257424987799E-2</v>
      </c>
      <c r="FI4" s="7">
        <v>1.79089788264995</v>
      </c>
      <c r="FJ4" s="7">
        <v>0.88998757567592202</v>
      </c>
      <c r="FK4" s="7">
        <v>-0.12589742425099901</v>
      </c>
      <c r="FL4" s="7">
        <v>0.54350690494769505</v>
      </c>
      <c r="FM4" s="7">
        <v>1.4593884607452901</v>
      </c>
      <c r="FN4" s="7">
        <v>0.25900764073196902</v>
      </c>
      <c r="FO4" s="7">
        <v>-0.405370882538165</v>
      </c>
      <c r="FP4" s="7">
        <v>-1.98534079521556</v>
      </c>
      <c r="FQ4" s="7">
        <v>1.43852567738939</v>
      </c>
      <c r="FR4" s="7">
        <v>0.51608654637660201</v>
      </c>
      <c r="FS4" s="7">
        <v>0.610785570685627</v>
      </c>
      <c r="FT4" s="7">
        <v>1.4139148959405701</v>
      </c>
      <c r="FU4" s="7">
        <v>-0.47495849833361198</v>
      </c>
      <c r="FV4" s="7">
        <v>0.59884192097775601</v>
      </c>
      <c r="FW4" s="7">
        <v>0.75163690992121701</v>
      </c>
      <c r="FX4" s="7">
        <v>-0.45067446359177099</v>
      </c>
      <c r="FY4" s="7">
        <v>2.40531976602177</v>
      </c>
      <c r="FZ4" s="7">
        <v>1.46867848022345</v>
      </c>
      <c r="GA4" s="7">
        <v>0.54435863424136899</v>
      </c>
      <c r="GB4" s="7">
        <v>-0.50726650982041699</v>
      </c>
      <c r="GC4" s="7">
        <v>-0.42085598733199098</v>
      </c>
      <c r="GD4" s="7">
        <v>0.154290813344727</v>
      </c>
      <c r="GE4" s="7">
        <v>0.31548610062039301</v>
      </c>
      <c r="GF4" s="7">
        <v>8.2413903833372396E-2</v>
      </c>
      <c r="GG4" s="7">
        <v>5.3482876581529303E-2</v>
      </c>
      <c r="GH4" s="7">
        <v>0.689887743638122</v>
      </c>
      <c r="GI4" s="7">
        <v>0.47754929746826402</v>
      </c>
      <c r="GJ4" s="7">
        <v>-1.0726576322205199</v>
      </c>
      <c r="GK4" s="7">
        <v>-0.68100585925120005</v>
      </c>
      <c r="GL4" s="7">
        <v>-1.39498382691012</v>
      </c>
      <c r="GM4" s="7">
        <v>5.5864587391734E-2</v>
      </c>
      <c r="GN4" s="7">
        <v>-0.74808419889189404</v>
      </c>
      <c r="GO4" s="7">
        <v>0.23834138054756801</v>
      </c>
      <c r="GP4" s="7">
        <v>-4.4015698547470401E-2</v>
      </c>
      <c r="GQ4" s="7">
        <v>-0.56398739262049402</v>
      </c>
      <c r="GR4" s="7">
        <v>-0.20029303369993301</v>
      </c>
      <c r="GS4" s="7">
        <v>0.53415751262054101</v>
      </c>
      <c r="GT4" s="7">
        <v>0.176304238665732</v>
      </c>
      <c r="GU4" s="7">
        <v>1.50242739147042</v>
      </c>
      <c r="GV4" s="7">
        <v>-0.174878466100929</v>
      </c>
      <c r="GW4" s="7">
        <v>-4.5723192949535502E-2</v>
      </c>
      <c r="GX4" s="7">
        <v>-0.31139286811950501</v>
      </c>
      <c r="GY4" s="7">
        <v>1.34178409149251E-2</v>
      </c>
      <c r="GZ4" s="7">
        <v>1.15585939420688</v>
      </c>
      <c r="HA4" s="7">
        <v>1.8552183647214</v>
      </c>
      <c r="HB4" s="7">
        <v>2.1549848999394099</v>
      </c>
      <c r="HC4" s="7">
        <v>-1.19063950032959</v>
      </c>
      <c r="HD4" s="7">
        <v>-0.75516911787010299</v>
      </c>
      <c r="HE4" s="7">
        <v>-2.6545417541196301E-2</v>
      </c>
      <c r="HF4" s="7">
        <v>0.448897455851483</v>
      </c>
      <c r="HG4" s="7">
        <v>-0.61410593220863097</v>
      </c>
      <c r="HH4" s="7">
        <v>-2.25782175579427E-2</v>
      </c>
      <c r="HI4" s="7">
        <v>-0.109600831027712</v>
      </c>
      <c r="HJ4" s="7">
        <v>0.39786073350671203</v>
      </c>
      <c r="HK4" s="7">
        <v>0.210366536706975</v>
      </c>
      <c r="HL4" s="7">
        <v>0.73808017524967795</v>
      </c>
      <c r="HM4" s="7">
        <v>-1.93624637544655</v>
      </c>
      <c r="HN4" s="7">
        <v>1.34543044772396</v>
      </c>
      <c r="HO4" s="7">
        <v>0.63283939186016502</v>
      </c>
      <c r="HP4" s="7">
        <v>0.64177285661225802</v>
      </c>
      <c r="HQ4" s="7">
        <v>-1.42089298685915</v>
      </c>
      <c r="HR4" s="7">
        <v>-0.59423416105205695</v>
      </c>
      <c r="HS4" s="7">
        <v>1.2547597080141399</v>
      </c>
      <c r="HT4" s="7">
        <v>0.12867445892096299</v>
      </c>
      <c r="HU4" s="7">
        <v>-1.45652148042159</v>
      </c>
      <c r="HV4" s="7">
        <v>-0.98287730993578104</v>
      </c>
      <c r="HW4" s="7">
        <v>-1.26227196003231</v>
      </c>
      <c r="HX4" s="7">
        <v>-0.83716137919883904</v>
      </c>
      <c r="HY4" s="7">
        <v>4.26361961784711E-2</v>
      </c>
      <c r="HZ4" s="7">
        <v>0.15619412968339799</v>
      </c>
      <c r="IA4" s="7">
        <v>0.80060451835627999</v>
      </c>
      <c r="IB4" s="7">
        <v>-1.2835592651477301</v>
      </c>
      <c r="IC4" s="7">
        <v>-1.3255868668306301</v>
      </c>
      <c r="ID4" s="7">
        <v>-1.9907743879538999</v>
      </c>
      <c r="IE4" s="7">
        <v>1.1811936088250501</v>
      </c>
      <c r="IF4" s="7">
        <v>0.64813025563008897</v>
      </c>
      <c r="IG4" s="7">
        <v>4.3994991853321598E-2</v>
      </c>
      <c r="IH4" s="7">
        <v>0.43089354076895398</v>
      </c>
      <c r="II4" s="7">
        <v>1.0549934581139799</v>
      </c>
      <c r="IJ4" s="7">
        <v>-0.91816045780347999</v>
      </c>
      <c r="IK4" s="7">
        <v>0.713918273826042</v>
      </c>
      <c r="IL4" s="7">
        <v>0.36292037942121802</v>
      </c>
      <c r="IM4" s="7">
        <v>0.55163257918108299</v>
      </c>
      <c r="IN4" s="7">
        <v>0.83083170152540398</v>
      </c>
      <c r="IO4" s="7">
        <v>-0.83772216793924303</v>
      </c>
      <c r="IP4" s="7">
        <v>-1.64868918586985</v>
      </c>
      <c r="IQ4" s="7">
        <v>2.0720281856399398</v>
      </c>
      <c r="IR4" s="7">
        <v>0.72864440194287405</v>
      </c>
      <c r="IS4" s="7">
        <v>-5.5745542491070298E-2</v>
      </c>
      <c r="IT4" s="7">
        <v>-0.19936411513555899</v>
      </c>
      <c r="IU4" s="7">
        <v>1.2561529040511501</v>
      </c>
      <c r="IV4" s="7">
        <v>-0.21385479909573299</v>
      </c>
      <c r="IW4" s="7">
        <v>-0.64158790648839803</v>
      </c>
      <c r="IX4" s="7">
        <v>-1.97368488439378</v>
      </c>
      <c r="IY4" s="7">
        <v>-1.6460539116552899</v>
      </c>
      <c r="IZ4" s="7">
        <v>-0.107690592117132</v>
      </c>
      <c r="JA4" s="7">
        <v>0.55769347280154502</v>
      </c>
      <c r="JB4" s="7">
        <v>-1.3007340840756001</v>
      </c>
      <c r="JC4" s="7">
        <v>1.6624628808050199</v>
      </c>
      <c r="JD4" s="7">
        <v>0.89740097933750795</v>
      </c>
      <c r="JE4" s="7">
        <v>1.1188932308553901</v>
      </c>
      <c r="JF4" s="7">
        <v>-0.63493478970361406</v>
      </c>
      <c r="JG4" s="7">
        <v>-0.96000297049660799</v>
      </c>
      <c r="JH4" s="7">
        <v>0.229525160351437</v>
      </c>
      <c r="JI4" s="7">
        <v>0.77364921917299201</v>
      </c>
      <c r="JJ4" s="7">
        <v>-0.34026750529138799</v>
      </c>
      <c r="JK4" s="7">
        <v>-0.78100328796067697</v>
      </c>
      <c r="JL4" s="7">
        <v>1.8319278542050399</v>
      </c>
      <c r="JM4" s="7">
        <v>1.00583568432813</v>
      </c>
      <c r="JN4" s="7">
        <v>1.32787481598302</v>
      </c>
      <c r="JO4" s="7">
        <v>0.23545710925973201</v>
      </c>
      <c r="JP4" s="7">
        <v>0.38469509576434402</v>
      </c>
      <c r="JQ4" s="7">
        <v>-0.32355137655667399</v>
      </c>
      <c r="JR4" s="7">
        <v>0.39910329611404799</v>
      </c>
      <c r="JS4" s="7">
        <v>-0.25440252484729098</v>
      </c>
      <c r="JT4" s="7">
        <v>0.16153664527689501</v>
      </c>
      <c r="JU4" s="7">
        <v>-0.94805894480903197</v>
      </c>
      <c r="JV4" s="7">
        <v>1.8909836694656399</v>
      </c>
      <c r="JW4" s="7">
        <v>-0.24531998153454901</v>
      </c>
      <c r="JX4" s="7">
        <v>0.64724256083979603</v>
      </c>
      <c r="JY4" s="7">
        <v>0.60259779469138297</v>
      </c>
      <c r="JZ4" s="7">
        <v>2.47549679458136E-2</v>
      </c>
      <c r="KA4" s="7">
        <v>-0.72640256094595901</v>
      </c>
      <c r="KB4" s="7">
        <v>1.5371868547991101</v>
      </c>
      <c r="KC4" s="7">
        <v>-2.0555938375426099</v>
      </c>
      <c r="KD4" s="7">
        <v>1.4376934730877899</v>
      </c>
      <c r="KE4" s="7">
        <v>0.70412763613734097</v>
      </c>
      <c r="KF4" s="7">
        <v>-7.1893642488181997E-3</v>
      </c>
      <c r="KG4" s="7">
        <v>-1.09831039880833</v>
      </c>
      <c r="KH4" s="7">
        <v>8.5861867959270394E-2</v>
      </c>
      <c r="KI4" s="7">
        <v>-0.438509967110842</v>
      </c>
      <c r="KJ4" s="7">
        <v>-2.5698188021569101E-2</v>
      </c>
      <c r="KK4" s="7">
        <v>2.0602857606653799</v>
      </c>
      <c r="KL4" s="7">
        <v>1.4001174808002901</v>
      </c>
      <c r="KM4" s="7">
        <v>7.6836194545870096E-2</v>
      </c>
      <c r="KN4" s="7">
        <v>-1.01959725079584</v>
      </c>
      <c r="KO4" s="7">
        <v>-0.49087613657029899</v>
      </c>
      <c r="KP4" s="7">
        <v>0.25205633459514698</v>
      </c>
      <c r="KQ4" s="7">
        <v>0.74667953805901499</v>
      </c>
      <c r="KR4" s="7">
        <v>0.84112701832242598</v>
      </c>
      <c r="KS4" s="7">
        <v>1.06605739302316</v>
      </c>
      <c r="KT4" s="7">
        <v>-1.61396537794398</v>
      </c>
      <c r="KU4" s="7">
        <v>-0.48291074074378199</v>
      </c>
      <c r="KV4" s="7">
        <v>-0.19448317410771401</v>
      </c>
      <c r="KW4" s="7">
        <v>-0.303043802079488</v>
      </c>
      <c r="KX4" s="7">
        <v>-2.3238127236283002</v>
      </c>
      <c r="KY4" s="7">
        <v>-1.1547144594134999</v>
      </c>
      <c r="KZ4" s="7">
        <v>-0.99965412299392797</v>
      </c>
      <c r="LA4" s="7">
        <v>-0.62845726184631401</v>
      </c>
      <c r="LB4" s="7">
        <v>-9.8434814556562097E-2</v>
      </c>
      <c r="LC4" s="7">
        <v>-0.96015116765726405</v>
      </c>
      <c r="LD4" s="7">
        <v>-1.17297569032015</v>
      </c>
      <c r="LE4" s="7">
        <v>-0.14721562341665201</v>
      </c>
      <c r="LF4" s="7">
        <v>1.2406235867103701</v>
      </c>
      <c r="LG4" s="7">
        <v>0.54439643412771899</v>
      </c>
      <c r="LH4" s="7">
        <v>0.160032262712719</v>
      </c>
      <c r="LI4" s="7">
        <v>-0.95718006105926501</v>
      </c>
      <c r="LJ4" s="7">
        <v>0.88055300983192397</v>
      </c>
      <c r="LK4" s="7">
        <v>0.406567131011913</v>
      </c>
      <c r="LL4" s="7">
        <v>-0.27887026149439997</v>
      </c>
      <c r="LM4" s="7">
        <v>-0.20126276011003699</v>
      </c>
      <c r="LN4" s="7">
        <v>7.6368267930437703E-2</v>
      </c>
      <c r="LO4" s="7">
        <v>5.4679281762952003E-2</v>
      </c>
      <c r="LP4" s="7">
        <v>0.13641735079598999</v>
      </c>
      <c r="LQ4" s="7">
        <v>0.31427907058865301</v>
      </c>
      <c r="LR4" s="7">
        <v>-7.3446308914048894E-2</v>
      </c>
      <c r="LS4" s="7">
        <v>-0.87461311115187601</v>
      </c>
      <c r="LT4" s="7">
        <v>2.8518265167975998</v>
      </c>
      <c r="LU4" s="7">
        <v>-5.1592729198755703E-2</v>
      </c>
      <c r="LV4" s="7">
        <v>-1.3738970402509401</v>
      </c>
      <c r="LW4" s="7">
        <v>0.70905587370837997</v>
      </c>
      <c r="LX4" s="7">
        <v>-1.5902563228984301</v>
      </c>
      <c r="LY4" s="7">
        <v>1.89681907314208</v>
      </c>
      <c r="LZ4" s="7">
        <v>1.6309173489222599</v>
      </c>
      <c r="MA4" s="7">
        <v>-0.19038562600960601</v>
      </c>
      <c r="MB4" s="7">
        <v>-0.43287047850564198</v>
      </c>
      <c r="MC4" s="7">
        <v>-1.98877925949755</v>
      </c>
      <c r="MD4" s="7">
        <v>1.47038546125693</v>
      </c>
      <c r="ME4" s="7">
        <v>3.8787188754504799E-2</v>
      </c>
      <c r="MF4" s="7">
        <v>6.8563244830835604E-2</v>
      </c>
      <c r="MG4" s="7">
        <v>0.66522113247790904</v>
      </c>
      <c r="MH4" s="7">
        <v>-0.91932006578151504</v>
      </c>
      <c r="MI4" s="7">
        <v>-1.0177020719398899</v>
      </c>
      <c r="MJ4" s="7">
        <v>-0.28735912682180897</v>
      </c>
      <c r="MK4" s="7">
        <v>-1.3348710270036701</v>
      </c>
      <c r="ML4" s="7">
        <v>0.54895336055174504</v>
      </c>
      <c r="MM4" s="7">
        <v>0.47680811430280801</v>
      </c>
      <c r="MN4" s="7">
        <v>-0.69913746277821598</v>
      </c>
      <c r="MO4" s="7">
        <v>-0.26519019292162199</v>
      </c>
      <c r="MP4" s="7">
        <v>0.26490992692220799</v>
      </c>
      <c r="MQ4" s="7">
        <v>-2.0276392788101498</v>
      </c>
      <c r="MR4" s="7">
        <v>0.68326984373852095</v>
      </c>
      <c r="MS4" s="7">
        <v>1.6338523339794</v>
      </c>
      <c r="MT4" s="7">
        <v>0.18906292810667799</v>
      </c>
      <c r="MU4" s="7">
        <v>1.5582053233717099</v>
      </c>
      <c r="MV4" s="7">
        <v>0.38833187435068001</v>
      </c>
      <c r="MW4" s="7">
        <v>-0.37173440661389601</v>
      </c>
      <c r="MX4" s="7">
        <v>-0.37580997094601798</v>
      </c>
      <c r="MY4" s="7">
        <v>0.82921170290310597</v>
      </c>
      <c r="MZ4" s="7">
        <v>-1.2170848560310299</v>
      </c>
      <c r="NA4" s="7">
        <v>-0.120344854915457</v>
      </c>
      <c r="NB4" s="7">
        <v>-0.703587240336634</v>
      </c>
      <c r="NC4" s="7">
        <v>-0.47443876561648801</v>
      </c>
      <c r="ND4" s="7">
        <v>-1.4946667033099199</v>
      </c>
      <c r="NE4" s="7">
        <v>2.60300989354652</v>
      </c>
      <c r="NF4" s="7">
        <v>-2.0173913335703699</v>
      </c>
      <c r="NG4" s="7">
        <v>0.30330627254690601</v>
      </c>
      <c r="NH4" s="7">
        <v>-0.22706187445627499</v>
      </c>
      <c r="NI4" s="7">
        <v>-0.477840243895369</v>
      </c>
      <c r="NJ4" s="7">
        <v>-9.2313783490824003E-2</v>
      </c>
      <c r="NK4" s="7">
        <v>0.19300970871126799</v>
      </c>
      <c r="NL4" s="7">
        <v>0.50195546892797405</v>
      </c>
      <c r="NM4" s="7">
        <v>-0.97311907434593303</v>
      </c>
      <c r="NN4" s="7">
        <v>1.0525817544771201</v>
      </c>
      <c r="NO4" s="7">
        <v>0.50870914521016997</v>
      </c>
      <c r="NP4" s="7">
        <v>0.68014488794392003</v>
      </c>
      <c r="NQ4" s="7">
        <v>-0.89328020217245896</v>
      </c>
      <c r="NR4" s="7">
        <v>-0.64541954779816901</v>
      </c>
      <c r="NS4" s="7">
        <v>-2.0423276021914901E-2</v>
      </c>
      <c r="NT4" s="7">
        <v>2.09734290139165</v>
      </c>
      <c r="NU4" s="7">
        <v>0.60075472470338198</v>
      </c>
      <c r="NV4" s="7">
        <v>1.0969230300311399</v>
      </c>
      <c r="NW4" s="7">
        <v>-0.65859776939348003</v>
      </c>
      <c r="NX4" s="7">
        <v>-0.51476236672489195</v>
      </c>
      <c r="NY4" s="7">
        <v>-1.29583850873938</v>
      </c>
      <c r="NZ4" s="7">
        <v>-0.84913675676542599</v>
      </c>
      <c r="OA4" s="7">
        <v>0.38302855320353402</v>
      </c>
      <c r="OB4" s="7">
        <v>0.93418779380698902</v>
      </c>
      <c r="OC4" s="7">
        <v>8.3337847650630195E-2</v>
      </c>
      <c r="OD4" s="7">
        <v>-0.25329765992255399</v>
      </c>
      <c r="OE4" s="7">
        <v>0.57219851893300699</v>
      </c>
      <c r="OF4" s="7">
        <v>0.285693907847828</v>
      </c>
      <c r="OG4" s="7">
        <v>1.4652598299399</v>
      </c>
      <c r="OH4" s="7">
        <v>-0.67678101087973996</v>
      </c>
      <c r="OI4" s="7">
        <v>0.357291043458975</v>
      </c>
      <c r="OJ4" s="7">
        <v>-0.75844906238299103</v>
      </c>
      <c r="OK4" s="7">
        <v>-0.37464538735846897</v>
      </c>
      <c r="OL4" s="7">
        <v>1.99559926385971</v>
      </c>
      <c r="OM4" s="7">
        <v>-0.21151331287410299</v>
      </c>
      <c r="ON4" s="7">
        <v>0.95908543221929698</v>
      </c>
      <c r="OO4" s="7">
        <v>-1.0827697777115399</v>
      </c>
      <c r="OP4" s="7">
        <v>0.75260516464788896</v>
      </c>
      <c r="OQ4" s="7">
        <v>-1.4879430278978101</v>
      </c>
      <c r="OR4" s="7">
        <v>0.510948527830689</v>
      </c>
      <c r="OS4" s="7">
        <v>0.27849608151251398</v>
      </c>
      <c r="OT4" s="7">
        <v>-9.8240653555739604E-2</v>
      </c>
      <c r="OU4" s="7">
        <v>-1.4630652808401801</v>
      </c>
      <c r="OV4" s="7">
        <v>0.290287293876206</v>
      </c>
      <c r="OW4" s="7">
        <v>0.75363213003850804</v>
      </c>
      <c r="OX4" s="7">
        <v>-1.80063418352191</v>
      </c>
      <c r="OY4" s="7">
        <v>-0.16985354171053499</v>
      </c>
      <c r="OZ4" s="7">
        <v>0.60202070619080505</v>
      </c>
      <c r="PA4" s="7">
        <v>-0.86001646424775602</v>
      </c>
      <c r="PB4" s="7">
        <v>-0.90859672234634303</v>
      </c>
      <c r="PC4" s="7">
        <v>-1.7541721574568101</v>
      </c>
      <c r="PD4" s="7">
        <v>9.7219941055760498E-2</v>
      </c>
      <c r="PE4" s="7">
        <v>-0.141965038248141</v>
      </c>
      <c r="PF4" s="7">
        <v>-0.586644370853591</v>
      </c>
      <c r="PG4" s="7">
        <v>1.6574088271647101</v>
      </c>
      <c r="PH4" s="7">
        <v>0.90789430858698195</v>
      </c>
      <c r="PI4" s="7">
        <v>0.27190415766994303</v>
      </c>
      <c r="PJ4" s="7">
        <v>0.15985982457979001</v>
      </c>
      <c r="PK4" s="7">
        <v>-1.2308919415239099</v>
      </c>
      <c r="PL4" s="7">
        <v>-1.5715402507437299</v>
      </c>
      <c r="PM4" s="7">
        <v>-0.77285591079527705</v>
      </c>
      <c r="PN4" s="7">
        <v>-2.6156324402641302</v>
      </c>
      <c r="PO4" s="7">
        <v>-1.2466181316813301</v>
      </c>
      <c r="PP4" s="7">
        <v>-1.8452120789195099</v>
      </c>
      <c r="PQ4" s="7">
        <v>1.2698386537451201</v>
      </c>
      <c r="PR4" s="7">
        <v>1.67998132973956</v>
      </c>
      <c r="PS4" s="7">
        <v>-0.27227563801397597</v>
      </c>
      <c r="PT4" s="7">
        <v>1.6382736920509</v>
      </c>
      <c r="PU4" s="7">
        <v>0.55044459608907803</v>
      </c>
      <c r="PV4" s="7">
        <v>1.02725074504654</v>
      </c>
      <c r="PW4" s="7">
        <v>-1.43624032019055</v>
      </c>
      <c r="PX4" s="7">
        <v>5.8534150465370798E-2</v>
      </c>
      <c r="PY4" s="7">
        <v>0.255256446620163</v>
      </c>
      <c r="PZ4" s="7">
        <v>0.481305353075833</v>
      </c>
      <c r="QA4" s="7">
        <v>3.3039087784265099E-2</v>
      </c>
      <c r="QB4" s="7">
        <v>0.117754573450496</v>
      </c>
      <c r="QC4" s="7">
        <v>-1.14781765887913</v>
      </c>
      <c r="QD4" s="7">
        <v>0.45233620383580803</v>
      </c>
      <c r="QE4" s="7">
        <v>-0.109962726224136</v>
      </c>
      <c r="QF4" s="7">
        <v>3.3480382949202601</v>
      </c>
      <c r="QG4" s="7">
        <v>-0.81543035894759197</v>
      </c>
      <c r="QH4" s="7">
        <v>1.2607072030895099</v>
      </c>
      <c r="QI4" s="7">
        <v>-0.41127485432691002</v>
      </c>
      <c r="QJ4" s="7">
        <v>0.26437401882646699</v>
      </c>
      <c r="QK4" s="7">
        <v>2.3483532048764202</v>
      </c>
      <c r="QL4" s="7">
        <v>2.23015529547492</v>
      </c>
      <c r="QM4" s="7">
        <v>-7.6452606015295604E-2</v>
      </c>
      <c r="QN4" s="7">
        <v>-1.24617608421702</v>
      </c>
      <c r="QO4" s="7">
        <v>0.72864634824183605</v>
      </c>
      <c r="QP4" s="7">
        <v>-0.75358176714676095</v>
      </c>
      <c r="QQ4" s="7">
        <v>1.5580445131574101</v>
      </c>
      <c r="QR4" s="7">
        <v>0.30238167275456002</v>
      </c>
      <c r="QS4" s="7">
        <v>-1.473646612935E-4</v>
      </c>
      <c r="QT4" s="7">
        <v>0.56341892079004796</v>
      </c>
      <c r="QU4" s="7">
        <v>1.03839978513138</v>
      </c>
      <c r="QV4" s="7">
        <v>1.2033407636175</v>
      </c>
      <c r="QW4" s="7">
        <v>0.46142682410802199</v>
      </c>
      <c r="QX4" s="7">
        <v>-0.34419745303935501</v>
      </c>
      <c r="QY4" s="7">
        <v>-4.1006052215155298E-2</v>
      </c>
      <c r="QZ4" s="7">
        <v>-1.9159993159775099</v>
      </c>
      <c r="RA4" s="7">
        <v>0.58808380995231002</v>
      </c>
      <c r="RB4" s="7">
        <v>0.56365048745012003</v>
      </c>
      <c r="RC4" s="7">
        <v>-1.3306466276158999</v>
      </c>
      <c r="RD4" s="7">
        <v>-0.75772903154627702</v>
      </c>
      <c r="RE4" s="7">
        <v>-0.74384137991590704</v>
      </c>
      <c r="RF4" s="7">
        <v>1.3682018903774</v>
      </c>
      <c r="RG4" s="7">
        <v>-0.60372651117887199</v>
      </c>
      <c r="RH4" s="7">
        <v>-0.29702022431382602</v>
      </c>
      <c r="RI4" s="7">
        <v>-0.16870905857250701</v>
      </c>
      <c r="RJ4" s="7">
        <v>0.38697900030722598</v>
      </c>
      <c r="RK4" s="7">
        <v>1.13321355816476</v>
      </c>
      <c r="RL4" s="7">
        <v>0.84357499388695301</v>
      </c>
      <c r="RM4" s="7">
        <v>-1.3715451791331901</v>
      </c>
      <c r="RN4" s="7">
        <v>-0.67688688548852705</v>
      </c>
      <c r="RO4" s="7">
        <v>6.1506886565463902E-2</v>
      </c>
      <c r="RP4" s="7">
        <v>1.40548497783309</v>
      </c>
      <c r="RQ4" s="7">
        <v>0.18193195299551601</v>
      </c>
      <c r="RR4" s="7">
        <v>0.89216452893010401</v>
      </c>
      <c r="RS4" s="7">
        <v>-0.46189058729392402</v>
      </c>
      <c r="RT4" s="7">
        <v>1.4580789012672299</v>
      </c>
      <c r="RU4" s="7">
        <v>-0.32370943638740501</v>
      </c>
      <c r="RV4" s="7">
        <v>0.24172660719237499</v>
      </c>
      <c r="RW4" s="7">
        <v>-1.1360920386344901E-2</v>
      </c>
      <c r="RX4" s="7">
        <v>0.54625879214052397</v>
      </c>
      <c r="RY4" s="7">
        <v>-0.18622393898690601</v>
      </c>
      <c r="RZ4" s="7">
        <v>-0.20103605223467</v>
      </c>
      <c r="SA4" s="7">
        <v>1.7938349453065701</v>
      </c>
      <c r="SB4" s="7">
        <v>0.65579190281274602</v>
      </c>
      <c r="SC4" s="7">
        <v>-1.4256175620503799</v>
      </c>
      <c r="SD4" s="7">
        <v>-2.8598017806077398</v>
      </c>
      <c r="SE4" s="7">
        <v>-0.42295923478243602</v>
      </c>
      <c r="SF4" s="7">
        <v>1.1537777147817201</v>
      </c>
      <c r="SG4" s="7">
        <v>0.82591817938215095</v>
      </c>
      <c r="SH4" s="7">
        <v>2.8172898394332301E-2</v>
      </c>
      <c r="SI4" s="7">
        <v>1.0720101653020599</v>
      </c>
      <c r="SJ4" s="7">
        <v>0.61322485997504395</v>
      </c>
      <c r="SK4" s="7">
        <v>-1.0347275509584</v>
      </c>
      <c r="SL4" s="7">
        <v>0.87957597934597997</v>
      </c>
      <c r="SM4" s="7">
        <v>-0.78230740027700196</v>
      </c>
      <c r="SN4" s="7">
        <v>-0.68991270339819799</v>
      </c>
      <c r="SO4" s="7">
        <v>0.60285927876344203</v>
      </c>
      <c r="SP4" s="7">
        <v>0.260612641937568</v>
      </c>
      <c r="SQ4" s="7">
        <v>-0.83565947646062499</v>
      </c>
      <c r="SR4" s="7">
        <v>0.769254693640543</v>
      </c>
      <c r="SS4" s="7">
        <v>-0.19856300151697301</v>
      </c>
      <c r="ST4" s="7">
        <v>0.42778189848429299</v>
      </c>
      <c r="SU4" s="7">
        <v>-5.5704271287173E-3</v>
      </c>
      <c r="SV4" s="7">
        <v>0.90340512379427096</v>
      </c>
      <c r="SW4" s="7">
        <v>0.53002257866358704</v>
      </c>
      <c r="SX4" s="7">
        <v>-0.40624038574712701</v>
      </c>
      <c r="SY4" s="7">
        <v>1.0204052676628299</v>
      </c>
      <c r="SZ4" s="7">
        <v>-1.7259275549612301</v>
      </c>
      <c r="TA4" s="7">
        <v>-1.34784903624467</v>
      </c>
      <c r="TB4" s="7">
        <v>0.34976258991940201</v>
      </c>
      <c r="TC4" s="7">
        <v>-0.48765078931878098</v>
      </c>
      <c r="TD4" s="7">
        <v>-0.89762283885970195</v>
      </c>
      <c r="TE4" s="7">
        <v>-1.0276136811402401</v>
      </c>
      <c r="TF4" s="7">
        <v>1.11108650321854</v>
      </c>
      <c r="TG4" s="7">
        <v>1.1903677247319799</v>
      </c>
      <c r="TH4" s="7">
        <v>-1.10635378784447</v>
      </c>
      <c r="TI4" s="7">
        <v>-1.3990183177411</v>
      </c>
      <c r="TJ4" s="7">
        <v>0.24106758904428799</v>
      </c>
      <c r="TK4" s="7">
        <v>-2.1259771415415001</v>
      </c>
      <c r="TL4" s="7">
        <v>0.58667992076582398</v>
      </c>
      <c r="TM4" s="7">
        <v>1.6925894223018401</v>
      </c>
      <c r="TN4" s="7">
        <v>0.12611552095824999</v>
      </c>
      <c r="TO4" s="7">
        <v>-1.3604033671095399</v>
      </c>
      <c r="TP4" s="7">
        <v>2.6691092872676601</v>
      </c>
      <c r="TQ4" s="7">
        <v>-1.3876041665235199</v>
      </c>
      <c r="TR4" s="7">
        <v>1.4149068931968201</v>
      </c>
      <c r="TS4" s="7">
        <v>-0.74687210507115298</v>
      </c>
      <c r="TT4" s="7">
        <v>0.720976012920583</v>
      </c>
      <c r="TU4" s="7">
        <v>-7.9437396885929296E-2</v>
      </c>
      <c r="TV4" s="7">
        <v>-1.5904712827196099</v>
      </c>
      <c r="TW4" s="7">
        <v>-0.98390560528828197</v>
      </c>
      <c r="TX4" s="7">
        <v>-0.56212525227546895</v>
      </c>
      <c r="TY4" s="7">
        <v>0.53480481591617601</v>
      </c>
      <c r="TZ4" s="7">
        <v>-6.9592571484439605E-2</v>
      </c>
      <c r="UA4" s="7">
        <v>2.8975828117725499</v>
      </c>
      <c r="UB4" s="7">
        <v>-0.92741736960290999</v>
      </c>
      <c r="UC4" s="7">
        <v>0.15801526982450201</v>
      </c>
      <c r="UD4" s="7">
        <v>0.151617445543799</v>
      </c>
      <c r="UE4" s="7">
        <v>0.25746789821178301</v>
      </c>
      <c r="UF4" s="7">
        <v>-0.146067915677938</v>
      </c>
      <c r="UG4" s="7">
        <v>-1.75808470004582E-2</v>
      </c>
      <c r="UH4" s="7">
        <v>0.70918187538467603</v>
      </c>
      <c r="UI4" s="7">
        <v>-0.19295436001751901</v>
      </c>
      <c r="UJ4" s="7">
        <v>-0.199970981443476</v>
      </c>
      <c r="UK4" s="7">
        <v>-0.66908408455298396</v>
      </c>
      <c r="UL4" s="7">
        <v>0.43096373782313402</v>
      </c>
      <c r="UM4" s="7">
        <v>-0.66078825173347899</v>
      </c>
      <c r="UN4" s="7">
        <v>-0.19234496598555301</v>
      </c>
      <c r="UO4" s="7">
        <v>-6.88884465955414E-2</v>
      </c>
      <c r="UP4" s="7">
        <v>1.2183948640693301</v>
      </c>
      <c r="UQ4" s="7">
        <v>-0.51483933670384796</v>
      </c>
      <c r="UR4" s="7">
        <v>-1.3020510155912099</v>
      </c>
      <c r="US4" s="7">
        <v>-0.95886310894114801</v>
      </c>
      <c r="UT4" s="7">
        <v>1.44088092359222</v>
      </c>
      <c r="UU4" s="7">
        <v>0.21043229063346799</v>
      </c>
      <c r="UV4" s="7">
        <v>-0.74493694358418905</v>
      </c>
      <c r="UW4" s="7">
        <v>-0.30037182150555097</v>
      </c>
      <c r="UX4" s="7">
        <v>-1.0728287244588299</v>
      </c>
      <c r="UY4" s="7">
        <v>-0.71469811975066999</v>
      </c>
      <c r="UZ4" s="7">
        <v>0.82235765549963402</v>
      </c>
      <c r="VA4" s="7">
        <v>0.26970948666664601</v>
      </c>
      <c r="VB4" s="7">
        <v>-1.57390534647943E-2</v>
      </c>
      <c r="VC4" s="7">
        <v>-0.23959612170915501</v>
      </c>
      <c r="VD4" s="7">
        <v>0.24594986385654799</v>
      </c>
      <c r="VE4" s="7">
        <v>0.82914417907951199</v>
      </c>
      <c r="VF4" s="7">
        <v>0.15710061107456799</v>
      </c>
      <c r="VG4" s="7">
        <v>-0.21822133103835301</v>
      </c>
      <c r="VH4" s="7">
        <v>4.2143030157511203E-2</v>
      </c>
      <c r="VI4" s="7">
        <v>-1.7252509165257199</v>
      </c>
      <c r="VJ4" s="7">
        <v>1.02325754492704</v>
      </c>
      <c r="VK4" s="7">
        <v>-0.35450352225609499</v>
      </c>
      <c r="VL4" s="7">
        <v>2.3444727534090601</v>
      </c>
      <c r="VM4" s="7">
        <v>0.63864810225132895</v>
      </c>
      <c r="VN4" s="7">
        <v>-0.38462491411256999</v>
      </c>
      <c r="VO4" s="7">
        <v>2.81327995826509</v>
      </c>
      <c r="VP4" s="7">
        <v>0.79952096936739103</v>
      </c>
      <c r="VQ4" s="7">
        <v>0.37928719571816999</v>
      </c>
      <c r="VR4" s="7">
        <v>0.97865995703444697</v>
      </c>
      <c r="VS4" s="7">
        <v>-0.38081290333595402</v>
      </c>
      <c r="VT4" s="7">
        <v>0.504817746711825</v>
      </c>
      <c r="VU4" s="7">
        <v>-0.48219148375785298</v>
      </c>
      <c r="VV4" s="7">
        <v>-4.5830766146953299E-2</v>
      </c>
      <c r="VW4" s="7">
        <v>-0.90149682603604597</v>
      </c>
      <c r="VX4" s="7">
        <v>-0.87176525291604001</v>
      </c>
      <c r="VY4" s="7">
        <v>0.22847925185415499</v>
      </c>
      <c r="VZ4" s="7">
        <v>0.95577551399654304</v>
      </c>
      <c r="WA4" s="7">
        <v>1.1953326652508001</v>
      </c>
      <c r="WB4" s="7">
        <v>2.1162573844283399</v>
      </c>
      <c r="WC4" s="7">
        <v>0.16151984323306201</v>
      </c>
      <c r="WD4" s="7">
        <v>-2.2147685093886098</v>
      </c>
      <c r="WE4" s="7">
        <v>1.49864793436924</v>
      </c>
      <c r="WF4" s="7">
        <v>0.29639369544240302</v>
      </c>
      <c r="WG4" s="7">
        <v>-0.105001663851022</v>
      </c>
      <c r="WH4" s="7">
        <v>-0.53253523523019397</v>
      </c>
      <c r="WI4" s="7">
        <v>-1.3662887544312601</v>
      </c>
      <c r="WJ4" s="7">
        <v>1.6647124108301801</v>
      </c>
      <c r="WK4" s="7">
        <v>1.19896495750511</v>
      </c>
      <c r="WL4" s="7">
        <v>0.99985384783314102</v>
      </c>
      <c r="WM4" s="7">
        <v>0.688466922145622</v>
      </c>
      <c r="WN4" s="7">
        <v>0.63873350317389799</v>
      </c>
      <c r="WO4" s="7">
        <v>-0.113257878876508</v>
      </c>
      <c r="WP4" s="7">
        <v>-0.18148738791202099</v>
      </c>
      <c r="WQ4" s="7">
        <v>-8.7067249879717701E-2</v>
      </c>
      <c r="WR4" s="7">
        <v>0.68712955038247403</v>
      </c>
      <c r="WS4" s="7">
        <v>1.76340627805045</v>
      </c>
      <c r="WT4" s="7">
        <v>-0.36752598033877498</v>
      </c>
      <c r="WU4" s="7">
        <v>0.65160673995225005</v>
      </c>
      <c r="WV4" s="7">
        <v>-1.3244668569758099E-2</v>
      </c>
      <c r="WW4" s="7">
        <v>0.249197403849822</v>
      </c>
      <c r="WX4" s="7">
        <v>-0.98969041729679796</v>
      </c>
      <c r="WY4" s="7">
        <v>-0.99734490649868601</v>
      </c>
      <c r="WZ4" s="7">
        <v>-0.33622338771184401</v>
      </c>
      <c r="XA4" s="7">
        <v>-1.6934574940034599</v>
      </c>
      <c r="XB4" s="7">
        <v>-0.405159233399428</v>
      </c>
      <c r="XC4" s="7">
        <v>1.14076677129282</v>
      </c>
      <c r="XD4" s="7">
        <v>-2.2552585414422701</v>
      </c>
      <c r="XE4" s="7">
        <v>-1.1901329014805799</v>
      </c>
      <c r="XF4" s="7">
        <v>-0.53481324416056597</v>
      </c>
      <c r="XG4" s="7">
        <v>-1.17197976173925</v>
      </c>
      <c r="XH4" s="7">
        <v>0.136690381731887</v>
      </c>
      <c r="XI4" s="7">
        <v>1.3649067526888501</v>
      </c>
      <c r="XJ4" s="7">
        <v>0.179050305679056</v>
      </c>
      <c r="XK4" s="7">
        <v>1.1978154952284501</v>
      </c>
      <c r="XL4" s="7">
        <v>-0.44484544165583001</v>
      </c>
      <c r="XM4" s="7">
        <v>1.2546838847337001</v>
      </c>
      <c r="XN4" s="7">
        <v>-0.55365895182491198</v>
      </c>
      <c r="XO4" s="7">
        <v>0.93865471152536595</v>
      </c>
      <c r="XP4" s="7">
        <v>1.1208037173832299</v>
      </c>
      <c r="XQ4" s="7">
        <v>-0.921267557967552</v>
      </c>
      <c r="XR4" s="7">
        <v>1.2876654678257</v>
      </c>
      <c r="XS4" s="7">
        <v>-1.98059394225282</v>
      </c>
      <c r="XT4" s="7">
        <v>-0.76873730680182295</v>
      </c>
      <c r="XU4" s="7">
        <v>1.1974021240206301</v>
      </c>
      <c r="XV4" s="7">
        <v>-0.235885641918368</v>
      </c>
      <c r="XW4" s="7">
        <v>-1.43509983240349</v>
      </c>
      <c r="XX4" s="7">
        <v>0.15949588029433201</v>
      </c>
      <c r="XY4" s="7">
        <v>-1.5937407123701099</v>
      </c>
      <c r="XZ4" s="7">
        <v>0.210393009512857</v>
      </c>
      <c r="YA4" s="7">
        <v>-1.2713888371186901</v>
      </c>
      <c r="YB4" s="7">
        <v>1.4161039058175999</v>
      </c>
      <c r="YC4" s="7">
        <v>-1.0300646246691301</v>
      </c>
      <c r="YD4" s="7">
        <v>-1.1263877952475101</v>
      </c>
      <c r="YE4" s="7">
        <v>-1.33410469052803</v>
      </c>
      <c r="YF4" s="7">
        <v>3.3090649269804297E-2</v>
      </c>
      <c r="YG4" s="7">
        <v>-0.20763466159091101</v>
      </c>
      <c r="YH4" s="7">
        <v>-2.8580741640162399</v>
      </c>
      <c r="YI4" s="7">
        <v>-0.77293246106505498</v>
      </c>
      <c r="YJ4" s="7">
        <v>-1.10807573326358</v>
      </c>
      <c r="YK4" s="7">
        <v>1.4299039479659801</v>
      </c>
      <c r="YL4" s="7">
        <v>-1.18768835670028E-2</v>
      </c>
      <c r="YM4" s="7">
        <v>0.90500041103177298</v>
      </c>
      <c r="YN4" s="7">
        <v>1.5699833417415101</v>
      </c>
      <c r="YO4" s="7">
        <v>0.13979512170939801</v>
      </c>
      <c r="YP4" s="7">
        <v>-0.36388455101605199</v>
      </c>
      <c r="YQ4" s="7">
        <v>-4.2109979132785601E-2</v>
      </c>
      <c r="YR4" s="7">
        <v>1.6594331120019601</v>
      </c>
      <c r="YS4" s="7">
        <v>-0.51232363680999904</v>
      </c>
      <c r="YT4" s="7">
        <v>-0.79105063697717504</v>
      </c>
      <c r="YU4" s="7">
        <v>0.30536034482374202</v>
      </c>
      <c r="YV4" s="7">
        <v>-0.322889474058902</v>
      </c>
      <c r="YW4" s="7">
        <v>9.81778000930566E-2</v>
      </c>
      <c r="YX4" s="7">
        <v>0.223430964959655</v>
      </c>
      <c r="YY4" s="7">
        <v>-3.0994038942199299E-2</v>
      </c>
      <c r="YZ4" s="7">
        <v>0.65587208836144895</v>
      </c>
      <c r="ZA4" s="7">
        <v>0.85796992879011502</v>
      </c>
      <c r="ZB4" s="7">
        <v>-1.9586695933528</v>
      </c>
      <c r="ZC4" s="7">
        <v>0.65041019162104396</v>
      </c>
      <c r="ZD4" s="7">
        <v>-0.187816055747725</v>
      </c>
      <c r="ZE4" s="7">
        <v>-1.82503759044809</v>
      </c>
      <c r="ZF4" s="7">
        <v>-1.1642752159366201</v>
      </c>
      <c r="ZG4" s="7">
        <v>1.0963067499233401</v>
      </c>
      <c r="ZH4" s="7">
        <v>-0.96841753758959004</v>
      </c>
      <c r="ZI4" s="7">
        <v>-0.35522023871636998</v>
      </c>
      <c r="ZJ4" s="7">
        <v>1.94227596076364</v>
      </c>
      <c r="ZK4" s="7">
        <v>0.94039477744879296</v>
      </c>
      <c r="ZL4" s="7">
        <v>-0.44488616492385402</v>
      </c>
      <c r="ZM4" s="7">
        <v>-0.70367477722567495</v>
      </c>
      <c r="ZN4" s="7">
        <v>1.9169099473011499</v>
      </c>
      <c r="ZO4" s="7">
        <v>-5.9602116699026299E-2</v>
      </c>
      <c r="ZP4" s="7">
        <v>-1.1201680398899101</v>
      </c>
      <c r="ZQ4" s="7">
        <v>-1.11629997834919</v>
      </c>
      <c r="ZR4" s="7">
        <v>0.40559006067437797</v>
      </c>
      <c r="ZS4" s="7">
        <v>1.27529376394633</v>
      </c>
      <c r="ZT4" s="7">
        <v>1.04387458292691</v>
      </c>
      <c r="ZU4" s="7">
        <v>-0.63747198736257504</v>
      </c>
      <c r="ZV4" s="7">
        <v>1.1194254375050501</v>
      </c>
      <c r="ZW4" s="7">
        <v>1.38755533934774</v>
      </c>
      <c r="ZX4" s="7">
        <v>1.03934578639861E-2</v>
      </c>
      <c r="ZY4" s="7">
        <v>-0.656508952661225</v>
      </c>
      <c r="ZZ4" s="7">
        <v>-0.73803981475673697</v>
      </c>
      <c r="AAA4" s="7">
        <v>0.73737569371935896</v>
      </c>
      <c r="AAB4" s="7">
        <v>-0.93535728790952699</v>
      </c>
      <c r="AAC4" s="7">
        <v>-0.39436982293057399</v>
      </c>
      <c r="AAD4" s="7">
        <v>0.226261908286611</v>
      </c>
      <c r="AAE4" s="7">
        <v>0.14756527490452001</v>
      </c>
      <c r="AAF4" s="7">
        <v>1.3061966300237</v>
      </c>
      <c r="AAG4" s="7">
        <v>-0.39483242819915199</v>
      </c>
      <c r="AAH4" s="7">
        <v>-1.83363259758871</v>
      </c>
      <c r="AAI4" s="7">
        <v>-0.16903846885979501</v>
      </c>
      <c r="AAJ4" s="7">
        <v>-0.44401648242118402</v>
      </c>
      <c r="AAK4" s="7">
        <v>8.9578890315315698E-2</v>
      </c>
      <c r="AAL4" s="7">
        <v>-1.33229634025175</v>
      </c>
      <c r="AAM4" s="7">
        <v>0.92598891861592802</v>
      </c>
      <c r="AAN4" s="7">
        <v>4.6615815310307299E-2</v>
      </c>
      <c r="AAO4" s="7">
        <v>0.232518846046564</v>
      </c>
      <c r="AAP4" s="7">
        <v>-0.97867973641660599</v>
      </c>
      <c r="AAQ4" s="7">
        <v>-0.49350616534907099</v>
      </c>
      <c r="AAR4" s="7">
        <v>0.235303093462403</v>
      </c>
      <c r="AAS4" s="7">
        <v>-1.2531079725576699</v>
      </c>
      <c r="AAT4" s="7">
        <v>-0.73351590932735</v>
      </c>
      <c r="AAU4" s="7">
        <v>2.0505671925822102</v>
      </c>
      <c r="AAV4" s="7">
        <v>0.63095544287122896</v>
      </c>
      <c r="AAW4" s="7">
        <v>0.79581721309774101</v>
      </c>
      <c r="AAX4" s="7">
        <v>-5.7591040090582399E-2</v>
      </c>
      <c r="AAY4" s="7">
        <v>-0.15917662525249501</v>
      </c>
      <c r="AAZ4" s="7">
        <v>0.26635668240592097</v>
      </c>
      <c r="ABA4" s="7">
        <v>-0.207113297163555</v>
      </c>
      <c r="ABB4" s="7">
        <v>-0.83781229225819598</v>
      </c>
      <c r="ABC4" s="7">
        <v>0.26597621886846001</v>
      </c>
      <c r="ABD4" s="7">
        <v>-3.8458638120788202E-2</v>
      </c>
      <c r="ABE4" s="7">
        <v>-0.84414321061686504</v>
      </c>
      <c r="ABF4" s="7">
        <v>-0.81048016336929996</v>
      </c>
      <c r="ABG4" s="7">
        <v>0.16316302860635901</v>
      </c>
      <c r="ABH4" s="7">
        <v>0.115856204561085</v>
      </c>
      <c r="ABI4" s="7">
        <v>-1.06917774959037</v>
      </c>
      <c r="ABJ4" s="7">
        <v>0.371467818307469</v>
      </c>
      <c r="ABK4" s="7">
        <v>-0.57743949074501599</v>
      </c>
      <c r="ABL4" s="7">
        <v>-0.71314196708855104</v>
      </c>
      <c r="ABM4" s="7">
        <v>4.7335755953800497E-2</v>
      </c>
      <c r="ABN4" s="7">
        <v>1.6667248668040999</v>
      </c>
      <c r="ABO4" s="7">
        <v>-0.68234807300793698</v>
      </c>
      <c r="ABP4" s="7">
        <v>-1.9710181695772599</v>
      </c>
      <c r="ABQ4" s="7">
        <v>1.5696014733455299</v>
      </c>
      <c r="ABR4" s="7">
        <v>-2.1111026797871699</v>
      </c>
      <c r="ABS4" s="7">
        <v>-0.49025587998350301</v>
      </c>
      <c r="ABT4" s="7">
        <v>-0.69271009879399303</v>
      </c>
      <c r="ABU4" s="7">
        <v>-0.17972331053954901</v>
      </c>
      <c r="ABV4" s="7">
        <v>-0.15269191419652101</v>
      </c>
      <c r="ABW4" s="7">
        <v>-0.51431214749988297</v>
      </c>
      <c r="ABX4" s="7">
        <v>0.293003464538934</v>
      </c>
      <c r="ABY4" s="7">
        <v>2.26749621791107</v>
      </c>
      <c r="ABZ4" s="7">
        <v>0.23016206582088899</v>
      </c>
      <c r="ACA4" s="7">
        <v>-0.14992443986911599</v>
      </c>
      <c r="ACB4" s="7">
        <v>-8.3298671302345306E-2</v>
      </c>
      <c r="ACC4" s="7">
        <v>1.34251967267266</v>
      </c>
      <c r="ACD4" s="7">
        <v>0.335985175894844</v>
      </c>
      <c r="ACE4" s="7">
        <v>-0.49053534142093203</v>
      </c>
      <c r="ACF4" s="7">
        <v>-1.88642628393459</v>
      </c>
      <c r="ACG4" s="7">
        <v>1.3331658797439101</v>
      </c>
      <c r="ACH4" s="7">
        <v>-0.38626165238390298</v>
      </c>
      <c r="ACI4" s="7">
        <v>-8.95416898003559E-2</v>
      </c>
      <c r="ACJ4" s="7">
        <v>1.2465629385149199</v>
      </c>
      <c r="ACK4" s="7">
        <v>-9.3167510384388006E-3</v>
      </c>
      <c r="ACL4" s="7">
        <v>0.97949388199673804</v>
      </c>
      <c r="ACM4" s="7">
        <v>0.54120155684712001</v>
      </c>
      <c r="ACN4" s="7">
        <v>-3.7894414880310201E-2</v>
      </c>
      <c r="ACO4" s="7">
        <v>-2.88449496450556</v>
      </c>
      <c r="ACP4" s="7">
        <v>0.39607282757857798</v>
      </c>
      <c r="ACQ4" s="7">
        <v>-0.243901770560564</v>
      </c>
      <c r="ACR4" s="7">
        <v>1.1340373174026099</v>
      </c>
      <c r="ACS4" s="7">
        <v>-0.266437127659021</v>
      </c>
      <c r="ACT4" s="7">
        <v>2.3434599621708498</v>
      </c>
      <c r="ACU4" s="7">
        <v>-1.75655550207313</v>
      </c>
      <c r="ACV4" s="7">
        <v>9.4262511105564301E-2</v>
      </c>
      <c r="ACW4" s="7">
        <v>-1.4479046905642701</v>
      </c>
      <c r="ACX4" s="7">
        <v>0.94421596160620003</v>
      </c>
      <c r="ACY4" s="7">
        <v>-1.2632802218478401</v>
      </c>
      <c r="ACZ4" s="7">
        <v>-0.66379968249497501</v>
      </c>
      <c r="ADA4" s="7">
        <v>-2.0236516585610902</v>
      </c>
      <c r="ADB4" s="7">
        <v>1.7429467041590501</v>
      </c>
      <c r="ADC4" s="7">
        <v>1.83701851229998</v>
      </c>
      <c r="ADD4" s="7">
        <v>0.135203152390131</v>
      </c>
      <c r="ADE4" s="7">
        <v>1.2038717389268001</v>
      </c>
      <c r="ADF4" s="7">
        <v>-0.956450676983297</v>
      </c>
      <c r="ADG4" s="7">
        <v>0.72144701993450899</v>
      </c>
      <c r="ADH4" s="7">
        <v>-1.44842430058887</v>
      </c>
      <c r="ADI4" s="7">
        <v>-0.70976308163962498</v>
      </c>
      <c r="ADJ4" s="7">
        <v>0.47950289391463302</v>
      </c>
      <c r="ADK4" s="7">
        <v>5.2399023167774603E-2</v>
      </c>
      <c r="ADL4" s="7">
        <v>-0.65346955551210695</v>
      </c>
      <c r="ADM4" s="7">
        <v>0.28446250863223799</v>
      </c>
      <c r="ADN4" s="7">
        <v>1.0973521668496</v>
      </c>
      <c r="ADO4" s="7">
        <v>1.03910173567571</v>
      </c>
      <c r="ADP4" s="7">
        <v>0.48167089442987499</v>
      </c>
      <c r="ADQ4" s="7">
        <v>1.95851017454329</v>
      </c>
      <c r="ADR4" s="7">
        <v>0.80874964945470296</v>
      </c>
      <c r="ADS4" s="7">
        <v>6.4518674153717995E-2</v>
      </c>
      <c r="ADT4" s="7">
        <v>-1.1465504029968501</v>
      </c>
      <c r="ADU4" s="7">
        <v>0.88905472996457002</v>
      </c>
      <c r="ADV4" s="7">
        <v>-0.566317568136947</v>
      </c>
      <c r="ADW4" s="7">
        <v>-1.1379676944852</v>
      </c>
      <c r="ADX4" s="7">
        <v>1.36056562553928</v>
      </c>
      <c r="ADY4" s="7">
        <v>1.1174801902787199</v>
      </c>
      <c r="ADZ4" s="7">
        <v>0.77042847506142298</v>
      </c>
      <c r="AEA4" s="7">
        <v>0.64620659456491503</v>
      </c>
      <c r="AEB4" s="7">
        <v>-1.30812638799336</v>
      </c>
      <c r="AEC4" s="7">
        <v>1.18905010792187</v>
      </c>
      <c r="AED4" s="7">
        <v>0.70123587898934903</v>
      </c>
      <c r="AEE4" s="7">
        <v>0.508238715228988</v>
      </c>
      <c r="AEF4" s="7">
        <v>1.0745648184974299</v>
      </c>
      <c r="AEG4" s="7">
        <v>0.206424786932488</v>
      </c>
      <c r="AEH4" s="7">
        <v>0.390296153050668</v>
      </c>
      <c r="AEI4" s="7">
        <v>1.4652062633993199</v>
      </c>
      <c r="AEJ4" s="7">
        <v>-0.33496819745059803</v>
      </c>
      <c r="AEK4" s="7">
        <v>1.1473922704017101</v>
      </c>
      <c r="AEL4" s="7">
        <v>-6.0662532692310402E-2</v>
      </c>
      <c r="AEM4" s="7">
        <v>-0.917760301800019</v>
      </c>
      <c r="AEN4" s="7">
        <v>-0.64338272318359702</v>
      </c>
      <c r="AEO4" s="7">
        <v>0.986976839672569</v>
      </c>
      <c r="AEP4" s="7">
        <v>0.31027651082079599</v>
      </c>
      <c r="AEQ4" s="7">
        <v>0.49477057924538898</v>
      </c>
      <c r="AER4" s="7">
        <v>-5.24425278076769E-2</v>
      </c>
      <c r="AES4" s="7">
        <v>-0.69246136024657101</v>
      </c>
      <c r="AET4" s="7">
        <v>0.56849519467612997</v>
      </c>
      <c r="AEU4" s="7">
        <v>1.0545190271684799</v>
      </c>
      <c r="AEV4" s="7">
        <v>0.52859607772773398</v>
      </c>
      <c r="AEW4" s="7">
        <v>-0.55143441585004804</v>
      </c>
      <c r="AEX4" s="7">
        <v>-0.317303197019489</v>
      </c>
      <c r="AEY4" s="7">
        <v>2.4447632864241098</v>
      </c>
      <c r="AEZ4" s="7">
        <v>0.32168680435292202</v>
      </c>
      <c r="AFA4" s="7">
        <v>-0.42846392593312399</v>
      </c>
      <c r="AFB4" s="7">
        <v>-0.47487087972276598</v>
      </c>
      <c r="AFC4" s="7">
        <v>-1.67273347562259</v>
      </c>
      <c r="AFD4" s="7">
        <v>0.42767010764396401</v>
      </c>
      <c r="AFE4" s="7">
        <v>2.1492125248337701</v>
      </c>
      <c r="AFF4" s="7">
        <v>0.79746155587529799</v>
      </c>
      <c r="AFG4" s="7">
        <v>-0.178805384919036</v>
      </c>
      <c r="AFH4" s="7">
        <v>1.0779723751963499</v>
      </c>
      <c r="AFI4" s="7">
        <v>-0.558601681841982</v>
      </c>
      <c r="AFJ4" s="7">
        <v>0.60113990895324598</v>
      </c>
      <c r="AFK4" s="7">
        <v>0.76541379542023502</v>
      </c>
      <c r="AFL4" s="7">
        <v>-0.60852969226472897</v>
      </c>
      <c r="AFM4" s="7">
        <v>1.2284729902096601</v>
      </c>
      <c r="AFN4" s="7">
        <v>-0.171840622784866</v>
      </c>
      <c r="AFO4" s="7">
        <v>-1.0989132543278799</v>
      </c>
      <c r="AFP4" s="7">
        <v>-0.44356604906522101</v>
      </c>
      <c r="AFQ4" s="7">
        <v>-0.17914993935942999</v>
      </c>
      <c r="AFR4" s="7">
        <v>1.6802180951805801</v>
      </c>
      <c r="AFS4" s="7">
        <v>1.3993344417256699</v>
      </c>
      <c r="AFT4" s="7">
        <v>8.3990954318553992E-3</v>
      </c>
      <c r="AFU4" s="7">
        <v>-1.64481821578048</v>
      </c>
      <c r="AFV4" s="7">
        <v>0.66387027809260302</v>
      </c>
      <c r="AFW4" s="7">
        <v>0.72082931223829905</v>
      </c>
      <c r="AFX4" s="7">
        <v>1.0028205909204599</v>
      </c>
      <c r="AFY4" s="7">
        <v>7.4811413095539998E-4</v>
      </c>
      <c r="AFZ4" s="7">
        <v>-0.52967903528938398</v>
      </c>
      <c r="AGA4" s="7">
        <v>-0.34389554524966198</v>
      </c>
      <c r="AGB4" s="7">
        <v>0.70130436122217399</v>
      </c>
      <c r="AGC4" s="7">
        <v>-2.4211836760301999</v>
      </c>
      <c r="AGD4" s="7">
        <v>0.48269074219507202</v>
      </c>
      <c r="AGE4" s="7">
        <v>-1.2416037884494</v>
      </c>
      <c r="AGF4" s="7">
        <v>-0.62320806232544201</v>
      </c>
      <c r="AGG4" s="7">
        <v>-1.8931451620434701</v>
      </c>
      <c r="AGH4" s="7">
        <v>-0.72671317512032696</v>
      </c>
      <c r="AGI4" s="7">
        <v>-1.0077108878716501</v>
      </c>
      <c r="AGJ4" s="7">
        <v>-0.38521125136832401</v>
      </c>
      <c r="AGK4" s="7">
        <v>1.14583244802877</v>
      </c>
      <c r="AGL4" s="7">
        <v>-1.5486679440445199</v>
      </c>
      <c r="AGM4" s="7">
        <v>0.56658439956643802</v>
      </c>
      <c r="AGN4" s="7">
        <v>0.49298564837327602</v>
      </c>
      <c r="AGO4" s="7">
        <v>1.6743009965907301</v>
      </c>
      <c r="AGP4" s="7">
        <v>-0.928947310701007</v>
      </c>
      <c r="AGQ4" s="7">
        <v>-0.15166255394880401</v>
      </c>
      <c r="AGR4" s="7">
        <v>-0.97036693365300997</v>
      </c>
      <c r="AGS4" s="7">
        <v>-0.64606255756704001</v>
      </c>
      <c r="AGT4" s="7">
        <v>-0.13592262594425</v>
      </c>
      <c r="AGU4" s="7">
        <v>-0.28186367668069001</v>
      </c>
      <c r="AGV4" s="7">
        <v>-0.32623217720178399</v>
      </c>
      <c r="AGW4" s="7">
        <v>-0.33269940590556302</v>
      </c>
      <c r="AGX4" s="7">
        <v>-2.7101008870408898</v>
      </c>
      <c r="AGY4" s="7">
        <v>-0.28367249435410902</v>
      </c>
      <c r="AGZ4" s="7">
        <v>1.44946275770934</v>
      </c>
      <c r="AHA4" s="7">
        <v>0.67995166783858396</v>
      </c>
      <c r="AHB4" s="7">
        <v>6.2799766968968898E-2</v>
      </c>
      <c r="AHC4" s="7">
        <v>1.0163568235273801</v>
      </c>
      <c r="AHD4" s="7">
        <v>1.3707880006826399E-2</v>
      </c>
      <c r="AHE4" s="7">
        <v>0.22566769280127799</v>
      </c>
      <c r="AHF4" s="7">
        <v>0.169538841102123</v>
      </c>
      <c r="AHG4" s="7">
        <v>-2.0665613263600302</v>
      </c>
      <c r="AHH4" s="7">
        <v>0.26438780009378798</v>
      </c>
      <c r="AHI4" s="7">
        <v>-0.51723705187699998</v>
      </c>
      <c r="AHJ4" s="7">
        <v>-0.12491425921495999</v>
      </c>
      <c r="AHK4" s="7">
        <v>-1.1310335252003001</v>
      </c>
      <c r="AHL4" s="7">
        <v>-6.8572232068136604E-2</v>
      </c>
      <c r="AHM4" s="7">
        <v>-1.1755279154448</v>
      </c>
      <c r="AHN4" s="7">
        <v>-0.67703357772782702</v>
      </c>
      <c r="AHO4" s="7">
        <v>-2.02056335153237</v>
      </c>
      <c r="AHP4" s="7">
        <v>-1.77314427331087</v>
      </c>
      <c r="AHQ4" s="7">
        <v>-0.605414283431289</v>
      </c>
      <c r="AHR4" s="7">
        <v>-0.37000650882852498</v>
      </c>
      <c r="AHS4" s="7">
        <v>0.563297868801242</v>
      </c>
      <c r="AHT4" s="7">
        <v>1.2463227753083701</v>
      </c>
      <c r="AHU4" s="7">
        <v>-0.53880586837385802</v>
      </c>
      <c r="AHV4" s="7">
        <v>-0.350364754128833</v>
      </c>
      <c r="AHW4" s="7">
        <v>-0.182072878453506</v>
      </c>
      <c r="AHX4" s="7">
        <v>1.38858701468101</v>
      </c>
      <c r="AHY4" s="7">
        <v>0.67076190943357705</v>
      </c>
      <c r="AHZ4" s="7">
        <v>-2.2298737577113901</v>
      </c>
      <c r="AIA4" s="7">
        <v>-1.2741827813964399</v>
      </c>
      <c r="AIB4" s="7">
        <v>0.88563966528724702</v>
      </c>
      <c r="AIC4" s="7">
        <v>1.32180660962205</v>
      </c>
      <c r="AID4" s="7">
        <v>0.48345892790412398</v>
      </c>
      <c r="AIE4" s="7">
        <v>1.2585093573258599</v>
      </c>
      <c r="AIF4" s="7">
        <v>-7.3823523312542397E-2</v>
      </c>
      <c r="AIG4" s="7">
        <v>1.49311926876677</v>
      </c>
      <c r="AIH4" s="7">
        <v>-0.31423957833867699</v>
      </c>
      <c r="AII4" s="7">
        <v>-1.5216457101726499</v>
      </c>
      <c r="AIJ4" s="7">
        <v>-1.8555466431872001</v>
      </c>
      <c r="AIK4" s="7">
        <v>-0.47348581581766902</v>
      </c>
      <c r="AIL4" s="7">
        <v>-0.389251934939848</v>
      </c>
      <c r="AIM4" s="7">
        <v>0.19048315057908899</v>
      </c>
      <c r="AIN4" s="7">
        <v>1.29196687598388</v>
      </c>
      <c r="AIO4" s="7">
        <v>-0.117458085212583</v>
      </c>
      <c r="AIP4" s="7">
        <v>-0.36170500371276798</v>
      </c>
      <c r="AIQ4" s="7">
        <v>1.81088649459586</v>
      </c>
      <c r="AIR4" s="7">
        <v>0.68004871116914101</v>
      </c>
      <c r="AIS4" s="7">
        <v>-0.82419438473045703</v>
      </c>
      <c r="AIT4" s="7">
        <v>-0.56161117340917099</v>
      </c>
      <c r="AIU4" s="7">
        <v>7.9090330779999302E-2</v>
      </c>
      <c r="AIV4" s="7">
        <v>0.38512194319322601</v>
      </c>
      <c r="AIW4" s="7">
        <v>0.77449137975586901</v>
      </c>
      <c r="AIX4" s="7">
        <v>-0.18539657268892601</v>
      </c>
      <c r="AIY4" s="7">
        <v>-1.3145597925129999</v>
      </c>
      <c r="AIZ4" s="7">
        <v>-1.38119861495442</v>
      </c>
      <c r="AJA4" s="7">
        <v>0.67295490790121704</v>
      </c>
      <c r="AJB4" s="7">
        <v>-0.99156436541690396</v>
      </c>
      <c r="AJC4" s="7">
        <v>-0.82029059048979802</v>
      </c>
      <c r="AJD4" s="7">
        <v>1.0207449285447101</v>
      </c>
      <c r="AJE4" s="7">
        <v>0.87080397165930101</v>
      </c>
      <c r="AJF4" s="7">
        <v>-5.9301123072112397E-2</v>
      </c>
      <c r="AJG4" s="7">
        <v>-0.441926620916965</v>
      </c>
      <c r="AJH4" s="7">
        <v>-1.1753984566410201</v>
      </c>
      <c r="AJI4" s="7">
        <v>1.83409304502523</v>
      </c>
      <c r="AJJ4" s="7">
        <v>-0.59129636725402002</v>
      </c>
      <c r="AJK4" s="7">
        <v>0.104059004621033</v>
      </c>
      <c r="AJL4" s="7">
        <v>6.4650652816678797E-2</v>
      </c>
      <c r="AJM4" s="7">
        <v>0.62045535787556005</v>
      </c>
      <c r="AJN4" s="7">
        <v>-0.16138781823387099</v>
      </c>
      <c r="AJO4" s="7">
        <v>0.73194397754114404</v>
      </c>
      <c r="AJP4" s="7">
        <v>1.0770498788585401</v>
      </c>
      <c r="AJQ4" s="7">
        <v>1.06226524072657</v>
      </c>
      <c r="AJR4" s="7">
        <v>6.6612100737237695E-2</v>
      </c>
      <c r="AJS4" s="7">
        <v>-1.20836993259768</v>
      </c>
      <c r="AJT4" s="7">
        <v>1.1289263080426799</v>
      </c>
      <c r="AJU4" s="7">
        <v>-0.50876766703933995</v>
      </c>
      <c r="AJV4" s="7">
        <v>0.63572177927004703</v>
      </c>
      <c r="AJW4" s="7">
        <v>1.06575125818883</v>
      </c>
      <c r="AJX4" s="7">
        <v>1.1306848552011799</v>
      </c>
      <c r="AJY4" s="7">
        <v>7.0350622778595995E-2</v>
      </c>
      <c r="AJZ4" s="7">
        <v>0.88093593771631995</v>
      </c>
      <c r="AKA4" s="7">
        <v>-1.03268969458297</v>
      </c>
      <c r="AKB4" s="7">
        <v>-1.5745900250242</v>
      </c>
      <c r="AKC4" s="7">
        <v>1.53108657476439</v>
      </c>
      <c r="AKD4" s="7">
        <v>-1.62640829889218</v>
      </c>
      <c r="AKE4" s="7">
        <v>1.10094927544873</v>
      </c>
      <c r="AKF4" s="7">
        <v>-0.56026207193598399</v>
      </c>
      <c r="AKG4" s="7">
        <v>-1.2023386115128301</v>
      </c>
      <c r="AKH4" s="7">
        <v>-0.39407864293266298</v>
      </c>
      <c r="AKI4" s="7">
        <v>-0.59444912548252304</v>
      </c>
      <c r="AKJ4" s="7">
        <v>0.33044284474445001</v>
      </c>
      <c r="AKK4" s="7">
        <v>-0.68708247560793501</v>
      </c>
      <c r="AKL4" s="7">
        <v>-0.44052229480632699</v>
      </c>
      <c r="AKM4" s="7">
        <v>-0.79213358098393905</v>
      </c>
      <c r="AKN4" s="7">
        <v>-0.76679739671236602</v>
      </c>
      <c r="AKO4" s="7">
        <v>0.68053102024496703</v>
      </c>
      <c r="AKP4" s="7">
        <v>0.53759620885855397</v>
      </c>
      <c r="AKQ4" s="7">
        <v>-0.36458610789443302</v>
      </c>
      <c r="AKR4" s="7">
        <v>-1.1518904978528399</v>
      </c>
      <c r="AKS4" s="7">
        <v>-0.177933326484572</v>
      </c>
      <c r="AKT4" s="7">
        <v>1.1554480704886201</v>
      </c>
      <c r="AKU4" s="7">
        <v>-0.51867578902976796</v>
      </c>
      <c r="AKV4" s="7">
        <v>0.40511426297914199</v>
      </c>
      <c r="AKW4" s="7">
        <v>-0.51697264384823405</v>
      </c>
      <c r="AKX4" s="7">
        <v>0.15330508393207201</v>
      </c>
      <c r="AKY4" s="7">
        <v>-0.53798537563039495</v>
      </c>
      <c r="AKZ4" s="7">
        <v>-0.99303920401689905</v>
      </c>
      <c r="ALA4" s="7">
        <v>1.2138585290484301</v>
      </c>
      <c r="ALB4" s="7">
        <v>-0.35597968692628001</v>
      </c>
      <c r="ALC4" s="7">
        <v>0.48647753045141401</v>
      </c>
      <c r="ALD4" s="7">
        <v>2.0263517047650299</v>
      </c>
      <c r="ALE4" s="7">
        <v>-3.61439881928486E-2</v>
      </c>
      <c r="ALF4" s="7">
        <v>-1.30916544696676</v>
      </c>
      <c r="ALG4" s="7">
        <v>1.0775242710380799</v>
      </c>
      <c r="ALH4" s="7">
        <v>1.70312133703553</v>
      </c>
      <c r="ALI4" s="7">
        <v>0.60527605532469198</v>
      </c>
      <c r="ALJ4" s="7">
        <v>-0.64472920039933601</v>
      </c>
      <c r="ALK4" s="7">
        <v>-0.62703857263567797</v>
      </c>
      <c r="ALL4" s="7">
        <v>-0.97195501100013304</v>
      </c>
      <c r="ALM4" s="7">
        <v>1.9782632577741699</v>
      </c>
      <c r="ALN4" s="7">
        <v>-8.4427369930940993E-2</v>
      </c>
      <c r="ALO4" s="7">
        <v>-1.1397695008331701</v>
      </c>
      <c r="ALP4" s="7">
        <v>1.3677563606901899</v>
      </c>
      <c r="ALQ4" s="7">
        <v>0.99490755968093303</v>
      </c>
      <c r="ALR4" s="7">
        <v>-0.28464340811882</v>
      </c>
      <c r="ALS4" s="7">
        <v>-0.57623468139891998</v>
      </c>
      <c r="ALT4" s="7">
        <v>-1.0042341675318001</v>
      </c>
      <c r="ALU4" s="7">
        <v>0.73164872696683203</v>
      </c>
      <c r="ALV4" s="7">
        <v>-0.52678429658555503</v>
      </c>
      <c r="ALW4" s="7">
        <v>1.0307621520125301</v>
      </c>
      <c r="ALX4" s="7">
        <v>-0.51415574263074904</v>
      </c>
      <c r="ALY4" s="7">
        <v>-0.369784420155924</v>
      </c>
      <c r="ALZ4" s="7">
        <v>0.56917441964140203</v>
      </c>
      <c r="AMA4" s="7">
        <v>-0.16151306370033</v>
      </c>
      <c r="AMB4" s="7">
        <v>-0.486909174888284</v>
      </c>
      <c r="AMC4" s="7">
        <v>-0.37676542631255699</v>
      </c>
      <c r="AMD4" s="7">
        <v>1.5804871746414</v>
      </c>
      <c r="AME4" s="7">
        <v>0.83416739028086395</v>
      </c>
      <c r="AMF4" s="7">
        <v>-2.5820459029400298</v>
      </c>
      <c r="AMG4" s="7">
        <v>-0.23289372967006</v>
      </c>
      <c r="AMH4" s="7">
        <v>-0.48675674710002897</v>
      </c>
      <c r="AMI4" s="7">
        <v>1.11815490584392</v>
      </c>
      <c r="AMJ4" s="7">
        <v>-1.6980808416048301</v>
      </c>
      <c r="AMK4" s="7">
        <v>0.15405264075018299</v>
      </c>
      <c r="AML4" s="7">
        <v>1.29705649399248</v>
      </c>
      <c r="AMM4" s="7">
        <v>0.44999892821231502</v>
      </c>
      <c r="AMN4" s="7">
        <v>-0.14371549658083599</v>
      </c>
      <c r="AMO4" s="7">
        <v>1.3909642347223301</v>
      </c>
      <c r="AMP4" s="7">
        <v>0.266475994763123</v>
      </c>
      <c r="AMQ4" s="7">
        <v>9.3176397375037495E-2</v>
      </c>
      <c r="AMR4" s="7">
        <v>-0.13495668952635201</v>
      </c>
      <c r="AMS4" s="7">
        <v>-0.14920380159032101</v>
      </c>
      <c r="AMT4" s="7">
        <v>-1.6913754163408601</v>
      </c>
      <c r="AMU4" s="7">
        <v>-0.25535258869444399</v>
      </c>
      <c r="AMV4" s="7">
        <v>0.231692808889368</v>
      </c>
      <c r="AMW4" s="7">
        <v>-0.79038308594807405</v>
      </c>
      <c r="AMX4" s="7">
        <v>-0.194064328480474</v>
      </c>
      <c r="AMY4" s="7">
        <v>-7.4570236671117002E-3</v>
      </c>
      <c r="AMZ4" s="7">
        <v>-0.48590667443899399</v>
      </c>
      <c r="ANA4" s="7">
        <v>-0.24763388378122</v>
      </c>
      <c r="ANB4" s="7">
        <v>-1.83605805682916</v>
      </c>
      <c r="ANC4" s="7">
        <v>-1.2195651735534101</v>
      </c>
      <c r="AND4" s="7">
        <v>-0.53927503812765898</v>
      </c>
      <c r="ANE4" s="7">
        <v>-0.36842248545342698</v>
      </c>
      <c r="ANF4" s="7">
        <v>0.78884775133510798</v>
      </c>
      <c r="ANG4" s="7">
        <v>0.82103881198628903</v>
      </c>
      <c r="ANH4" s="7">
        <v>-0.41094092614563499</v>
      </c>
      <c r="ANI4" s="7">
        <v>-2.4238806517020699E-2</v>
      </c>
      <c r="ANJ4" s="7">
        <v>-1.1226319450814599</v>
      </c>
      <c r="ANK4" s="7">
        <v>-0.201497276640932</v>
      </c>
      <c r="ANL4" s="7">
        <v>-1.0054864930032601</v>
      </c>
      <c r="ANM4" s="7">
        <v>0.86223593698489498</v>
      </c>
      <c r="ANN4" s="7">
        <v>0.62304536781983699</v>
      </c>
      <c r="ANO4" s="7">
        <v>0.21770060137357</v>
      </c>
      <c r="ANP4" s="7">
        <v>1.4480463416286501E-2</v>
      </c>
      <c r="ANQ4" s="7">
        <v>1.85713694030443</v>
      </c>
      <c r="ANR4" s="7">
        <v>-0.282688689675895</v>
      </c>
      <c r="ANS4" s="7">
        <v>-1.2298268504059799</v>
      </c>
      <c r="ANT4" s="7">
        <v>-1.49795624119946</v>
      </c>
      <c r="ANU4" s="7">
        <v>-1.0276942983556201E-2</v>
      </c>
      <c r="ANV4" s="7">
        <v>-0.84581123608642195</v>
      </c>
      <c r="ANW4" s="7">
        <v>2.7899730560825202</v>
      </c>
      <c r="ANX4" s="7">
        <v>0.99921924900737302</v>
      </c>
      <c r="ANY4" s="7">
        <v>0.71504076964527796</v>
      </c>
      <c r="ANZ4" s="7">
        <v>-0.191011905848403</v>
      </c>
      <c r="AOA4" s="7">
        <v>-0.609359844770061</v>
      </c>
      <c r="AOB4" s="7">
        <v>0.40428190587294799</v>
      </c>
      <c r="AOC4" s="7">
        <v>-0.49012293530672202</v>
      </c>
      <c r="AOD4" s="7">
        <v>-0.31519969741916798</v>
      </c>
      <c r="AOE4" s="7">
        <v>-2.50299900115439E-2</v>
      </c>
      <c r="AOF4" s="7">
        <v>-0.72193721127333998</v>
      </c>
      <c r="AOG4" s="7">
        <v>1.0173852899112601</v>
      </c>
      <c r="AOH4" s="7">
        <v>1.61845331880319</v>
      </c>
      <c r="AOI4" s="7">
        <v>0.15559832239589</v>
      </c>
      <c r="AOJ4" s="7">
        <v>0.79409919529819595</v>
      </c>
      <c r="AOK4" s="7">
        <v>-7.9126961217903594E-2</v>
      </c>
      <c r="AOL4" s="7">
        <v>-0.48199966341252698</v>
      </c>
      <c r="AOM4" s="7">
        <v>0.69760035130777198</v>
      </c>
      <c r="AON4" s="7">
        <v>-1.01636003000497</v>
      </c>
      <c r="AOO4" s="7">
        <v>-1.35415642970299</v>
      </c>
      <c r="AOP4" s="7">
        <v>0.80786041005595199</v>
      </c>
      <c r="AOQ4" s="7">
        <v>0.297869014247237</v>
      </c>
      <c r="AOR4" s="7">
        <v>-0.68407233810585599</v>
      </c>
      <c r="AOS4" s="7">
        <v>0.67721025761471998</v>
      </c>
      <c r="AOT4" s="7">
        <v>1.8316609427125301</v>
      </c>
      <c r="AOU4" s="7">
        <v>0.274813328601962</v>
      </c>
      <c r="AOV4" s="7">
        <v>-1.3799245444728001</v>
      </c>
      <c r="AOW4" s="7">
        <v>-0.59545421563601497</v>
      </c>
      <c r="AOX4" s="7">
        <v>0.72015939323684097</v>
      </c>
      <c r="AOY4" s="7">
        <v>-0.26007981238629801</v>
      </c>
      <c r="AOZ4" s="7">
        <v>-1.41175619458512</v>
      </c>
      <c r="APA4" s="7">
        <v>0.64553290266390995</v>
      </c>
      <c r="APB4" s="7">
        <v>-0.59233135215119503</v>
      </c>
      <c r="APC4" s="7">
        <v>3.3524085914344297E-2</v>
      </c>
      <c r="APD4" s="7">
        <v>-8.6359948588060606E-2</v>
      </c>
      <c r="APE4" s="7">
        <v>7.2975147977924301E-2</v>
      </c>
      <c r="APF4" s="7">
        <v>0.52525861869372703</v>
      </c>
      <c r="APG4" s="7">
        <v>-1.18782080720175</v>
      </c>
      <c r="APH4" s="7">
        <v>1.5528852634927</v>
      </c>
      <c r="API4" s="7">
        <v>-0.157174849099736</v>
      </c>
      <c r="APJ4" s="7">
        <v>-1.1026115869389399</v>
      </c>
      <c r="APK4" s="7">
        <v>-2.26951260701146</v>
      </c>
      <c r="APL4" s="7">
        <v>1.15335020350199</v>
      </c>
      <c r="APM4" s="7">
        <v>0.41585020467463701</v>
      </c>
      <c r="APN4" s="7">
        <v>-0.19919777590169499</v>
      </c>
      <c r="APO4" s="7">
        <v>-0.64203465776276203</v>
      </c>
      <c r="APP4" s="7">
        <v>-3.3954762309772797E-2</v>
      </c>
      <c r="APQ4" s="7">
        <v>0.39508789907754199</v>
      </c>
      <c r="APR4" s="7">
        <v>0.36325498202842998</v>
      </c>
      <c r="APS4" s="7">
        <v>0.511498231348685</v>
      </c>
      <c r="APT4" s="7">
        <v>0.73597849007473803</v>
      </c>
      <c r="APU4" s="7">
        <v>-0.58688114763878896</v>
      </c>
      <c r="APV4" s="7">
        <v>0.92586472343872495</v>
      </c>
      <c r="APW4" s="7">
        <v>1.76322317013088</v>
      </c>
      <c r="APX4" s="7">
        <v>0.78892432756884701</v>
      </c>
      <c r="APY4" s="7">
        <v>0.41895791433373403</v>
      </c>
      <c r="APZ4" s="7">
        <v>0.363480731921484</v>
      </c>
      <c r="AQA4" s="7">
        <v>-1.40578270328289</v>
      </c>
      <c r="AQB4" s="7">
        <v>-0.54845155295293302</v>
      </c>
      <c r="AQC4" s="7">
        <v>0.29637360479374902</v>
      </c>
      <c r="AQD4" s="7">
        <v>0.239438971892349</v>
      </c>
      <c r="AQE4" s="7">
        <v>-5.9743112175849801E-2</v>
      </c>
      <c r="AQF4" s="7">
        <v>1.7293283919306901</v>
      </c>
      <c r="AQG4" s="7">
        <v>1.3472899137555201</v>
      </c>
      <c r="AQH4" s="7">
        <v>-0.76678167048495005</v>
      </c>
      <c r="AQI4" s="7">
        <v>-1.2085474379644301</v>
      </c>
      <c r="AQJ4" s="7">
        <v>0.37580284367846101</v>
      </c>
      <c r="AQK4" s="7">
        <v>2.5653560573818801</v>
      </c>
      <c r="AQL4" s="7">
        <v>0.30340055387214798</v>
      </c>
      <c r="AQM4" s="7">
        <v>1.7512533678414399</v>
      </c>
      <c r="AQN4" s="7">
        <v>2.2676504365301602</v>
      </c>
      <c r="AQO4" s="7">
        <v>0.78320337231201298</v>
      </c>
      <c r="AQP4" s="7">
        <v>-7.1629528711277896E-2</v>
      </c>
      <c r="AQQ4" s="7">
        <v>-1.22824893924725</v>
      </c>
      <c r="AQR4" s="7">
        <v>-0.78397592582968001</v>
      </c>
      <c r="AQS4" s="7">
        <v>0.28384076490090199</v>
      </c>
      <c r="AQT4" s="7">
        <v>1.2483773841052099</v>
      </c>
      <c r="AQU4" s="7">
        <v>-1.39088070415166</v>
      </c>
      <c r="AQV4" s="7">
        <v>1.21871537601536</v>
      </c>
      <c r="AQW4" s="7">
        <v>1.0072569911443501</v>
      </c>
      <c r="AQX4" s="7">
        <v>0.357779008323235</v>
      </c>
      <c r="AQY4" s="7">
        <v>0.28753210535904999</v>
      </c>
      <c r="AQZ4" s="7">
        <v>-0.32794308392434202</v>
      </c>
      <c r="ARA4" s="7">
        <v>-0.344024568736776</v>
      </c>
      <c r="ARB4" s="7">
        <v>-8.3791731142003004E-3</v>
      </c>
      <c r="ARC4" s="7">
        <v>0.62513325251187601</v>
      </c>
      <c r="ARD4" s="7">
        <v>0.53734080802592499</v>
      </c>
      <c r="ARE4" s="7">
        <v>-0.84169837143285997</v>
      </c>
      <c r="ARF4" s="7">
        <v>-1.7649057386976701</v>
      </c>
      <c r="ARG4" s="7">
        <v>-1.0511524817990401</v>
      </c>
      <c r="ARH4" s="7">
        <v>-0.98134891486452003</v>
      </c>
      <c r="ARI4" s="7">
        <v>0.94998062242616499</v>
      </c>
      <c r="ARJ4" s="7">
        <v>-2.9179400951159802</v>
      </c>
      <c r="ARK4" s="7">
        <v>0.78903127197084899</v>
      </c>
      <c r="ARL4" s="7">
        <v>-0.32022043254638599</v>
      </c>
      <c r="ARM4" s="7">
        <v>0.804268065153662</v>
      </c>
      <c r="ARN4" s="7">
        <v>1.54519687632299</v>
      </c>
      <c r="ARO4" s="7">
        <v>-0.48603463986947798</v>
      </c>
      <c r="ARP4" s="7">
        <v>0.31701457035994701</v>
      </c>
      <c r="ARQ4" s="7">
        <v>0.46838437755650503</v>
      </c>
      <c r="ARR4" s="7">
        <v>0.41062499253865298</v>
      </c>
      <c r="ARS4" s="7">
        <v>-1.2669175047297201</v>
      </c>
      <c r="ART4" s="7">
        <v>-1.2319673792239501</v>
      </c>
      <c r="ARU4" s="7">
        <v>1.82144525625262</v>
      </c>
      <c r="ARV4" s="7">
        <v>-1.0752266394790899</v>
      </c>
      <c r="ARW4" s="7">
        <v>1.1792982023388101</v>
      </c>
      <c r="ARX4" s="7">
        <v>0.67879449907099798</v>
      </c>
      <c r="ARY4" s="7">
        <v>-0.293409084796316</v>
      </c>
      <c r="ARZ4" s="7">
        <v>0.14003200825286499</v>
      </c>
      <c r="ASA4" s="7">
        <v>-0.67599084597333603</v>
      </c>
      <c r="ASB4" s="7">
        <v>1.0520724089562901</v>
      </c>
      <c r="ASC4" s="7">
        <v>1.13831329022136</v>
      </c>
      <c r="ASD4" s="7">
        <v>-0.33207112185222798</v>
      </c>
      <c r="ASE4" s="7">
        <v>-0.44416839940926101</v>
      </c>
      <c r="ASF4" s="7">
        <v>-0.43245441611998803</v>
      </c>
      <c r="ASG4" s="7">
        <v>-0.58614112232982296</v>
      </c>
      <c r="ASH4" s="7">
        <v>-0.16129413899979</v>
      </c>
      <c r="ASI4" s="7">
        <v>-1.2505321989913001</v>
      </c>
      <c r="ASJ4" s="7">
        <v>-0.67699437615040503</v>
      </c>
      <c r="ASK4" s="7">
        <v>-0.19288418332676699</v>
      </c>
      <c r="ASL4" s="7">
        <v>0.27332585046073499</v>
      </c>
      <c r="ASM4" s="7">
        <v>0.36882031466056098</v>
      </c>
      <c r="ASN4" s="7">
        <v>-0.96132456275508704</v>
      </c>
      <c r="ASO4" s="7">
        <v>0.47814719950048501</v>
      </c>
      <c r="ASP4" s="7">
        <v>-1.3573413367303E-2</v>
      </c>
      <c r="ASQ4" s="7">
        <v>-0.26009818704884902</v>
      </c>
      <c r="ASR4" s="7">
        <v>8.7727753852588006E-2</v>
      </c>
      <c r="ASS4" s="7">
        <v>0.189351203393022</v>
      </c>
      <c r="AST4" s="7">
        <v>0.75837787259508305</v>
      </c>
      <c r="ASU4" s="7">
        <v>-1.0366629324579999</v>
      </c>
      <c r="ASV4" s="7">
        <v>0.64210319232872803</v>
      </c>
      <c r="ASW4" s="7">
        <v>1.5024654663565999</v>
      </c>
      <c r="ASX4" s="7">
        <v>-0.72928050433725</v>
      </c>
      <c r="ASY4" s="7">
        <v>-2.7362488702520002E-4</v>
      </c>
      <c r="ASZ4" s="7">
        <v>-1.5687370158879499</v>
      </c>
      <c r="ATA4" s="7">
        <v>-0.22632769218079599</v>
      </c>
      <c r="ATB4" s="7">
        <v>1.3316505585848899</v>
      </c>
      <c r="ATC4" s="7">
        <v>-0.36580633855213701</v>
      </c>
      <c r="ATD4" s="7">
        <v>-0.60164536376915501</v>
      </c>
      <c r="ATE4" s="7">
        <v>0.39841797531206302</v>
      </c>
      <c r="ATF4" s="7">
        <v>-1.59986364643839</v>
      </c>
      <c r="ATG4" s="7">
        <v>-0.79082133480389505</v>
      </c>
      <c r="ATH4" s="7">
        <v>0.69265584245421696</v>
      </c>
      <c r="ATI4" s="7">
        <v>-1.3155317341124499</v>
      </c>
      <c r="ATJ4" s="7">
        <v>-0.334609389726644</v>
      </c>
      <c r="ATK4" s="7">
        <v>0.69347356211203603</v>
      </c>
      <c r="ATL4" s="7">
        <v>0.31198020760374201</v>
      </c>
      <c r="ATM4" s="7">
        <v>-0.97674386214233899</v>
      </c>
      <c r="ATN4" s="7">
        <v>-0.88739481005841303</v>
      </c>
      <c r="ATO4" s="7">
        <v>1.78371215976014</v>
      </c>
      <c r="ATP4" s="7">
        <v>-0.63589242849399596</v>
      </c>
      <c r="ATQ4" s="7">
        <v>0.13673182122581401</v>
      </c>
      <c r="ATR4" s="7">
        <v>-1.5293542256035</v>
      </c>
      <c r="ATS4" s="7">
        <v>1.8223802725850899</v>
      </c>
      <c r="ATT4" s="7">
        <v>-0.26018098224179897</v>
      </c>
      <c r="ATU4" s="7">
        <v>-2.05450720983427</v>
      </c>
      <c r="ATV4" s="7">
        <v>-0.48027155919488601</v>
      </c>
      <c r="ATW4" s="7">
        <v>0.13791728574046899</v>
      </c>
      <c r="ATX4" s="7">
        <v>1.18206915421995</v>
      </c>
      <c r="ATY4" s="7">
        <v>0.57703545189195604</v>
      </c>
      <c r="ATZ4" s="7">
        <v>0.89817352486246405</v>
      </c>
      <c r="AUA4" s="7">
        <v>0.254101978090852</v>
      </c>
      <c r="AUB4" s="7">
        <v>-0.58405250277596499</v>
      </c>
      <c r="AUC4" s="7">
        <v>-0.34245212532196501</v>
      </c>
      <c r="AUD4" s="7">
        <v>1.1755286544083501</v>
      </c>
      <c r="AUE4" s="7">
        <v>-1.31251629643705</v>
      </c>
      <c r="AUF4" s="7">
        <v>1.9711076002516901</v>
      </c>
      <c r="AUG4" s="7">
        <v>-9.5141326157452202E-2</v>
      </c>
      <c r="AUH4" s="7">
        <v>-2.6145140528806801</v>
      </c>
      <c r="AUI4" s="7">
        <v>-0.57660804666854204</v>
      </c>
      <c r="AUJ4" s="7">
        <v>0.96082557496287802</v>
      </c>
      <c r="AUK4" s="7">
        <v>1.4029867571852299</v>
      </c>
      <c r="AUL4" s="7">
        <v>-0.56256723825244304</v>
      </c>
      <c r="AUM4" s="7">
        <v>0.980625571292702</v>
      </c>
      <c r="AUN4" s="7">
        <v>1.0926037276003699</v>
      </c>
      <c r="AUO4" s="7">
        <v>1.54984708369753</v>
      </c>
      <c r="AUP4" s="7">
        <v>-0.229319131692548</v>
      </c>
      <c r="AUQ4" s="7">
        <v>-1.0446190102383199</v>
      </c>
      <c r="AUR4" s="7">
        <v>-0.21155049877075699</v>
      </c>
      <c r="AUS4" s="7">
        <v>-0.24928766886092901</v>
      </c>
      <c r="AUT4" s="7">
        <v>1.9424062445970001</v>
      </c>
      <c r="AUU4" s="7">
        <v>-0.12912310932947099</v>
      </c>
      <c r="AUV4" s="7">
        <v>0.56159825229202398</v>
      </c>
      <c r="AUW4" s="7">
        <v>0.13144577188792</v>
      </c>
      <c r="AUX4" s="7">
        <v>0.34828238388573401</v>
      </c>
      <c r="AUY4" s="7">
        <v>-1.12139024842784</v>
      </c>
      <c r="AUZ4" s="7">
        <v>-1.1871445943791501</v>
      </c>
      <c r="AVA4" s="7">
        <v>-0.55677800484484496</v>
      </c>
      <c r="AVB4" s="7">
        <v>2.5117295074962999E-2</v>
      </c>
      <c r="AVC4" s="7">
        <v>0.16271303254192401</v>
      </c>
      <c r="AVD4" s="7">
        <v>0.20601882124354501</v>
      </c>
      <c r="AVE4" s="7">
        <v>0.44815700154330002</v>
      </c>
      <c r="AVF4" s="7">
        <v>0.64655931115413501</v>
      </c>
      <c r="AVG4" s="7">
        <v>-1.07610712335267</v>
      </c>
      <c r="AVH4" s="7">
        <v>0.90755215274886902</v>
      </c>
      <c r="AVI4" s="7">
        <v>0.72125476161423097</v>
      </c>
      <c r="AVJ4" s="7">
        <v>0.64426324145875902</v>
      </c>
      <c r="AVK4" s="7">
        <v>0.24119098163445801</v>
      </c>
      <c r="AVL4" s="7">
        <v>0.72091045782043195</v>
      </c>
      <c r="AVM4" s="7">
        <v>-2.3650289449048301</v>
      </c>
      <c r="AVN4" s="7">
        <v>-0.94945906685896597</v>
      </c>
      <c r="AVO4" s="7">
        <v>-1.14135042195743</v>
      </c>
      <c r="AVP4" s="7">
        <v>-4.0408903371895802E-2</v>
      </c>
      <c r="AVQ4" s="7">
        <v>-0.80485660298544803</v>
      </c>
      <c r="AVR4" s="7">
        <v>0.32699009159523601</v>
      </c>
      <c r="AVS4" s="7">
        <v>-2.1818500305036599</v>
      </c>
      <c r="AVT4" s="7">
        <v>-1.40151722366553</v>
      </c>
      <c r="AVU4" s="7">
        <v>-0.97340410842847502</v>
      </c>
      <c r="AVV4" s="7">
        <v>0.58645000752840104</v>
      </c>
      <c r="AVW4" s="7">
        <v>0.86573578098884196</v>
      </c>
      <c r="AVX4" s="7">
        <v>-0.406734001374843</v>
      </c>
      <c r="AVY4" s="7">
        <v>0.16431424789830901</v>
      </c>
      <c r="AVZ4" s="7">
        <v>-0.59386762377856095</v>
      </c>
      <c r="AWA4" s="7">
        <v>4.0024249202474202E-2</v>
      </c>
      <c r="AWB4" s="7">
        <v>0.18489867301264301</v>
      </c>
      <c r="AWC4" s="7">
        <v>1.78423680476131</v>
      </c>
      <c r="AWD4" s="7">
        <v>-2.87802222101543</v>
      </c>
      <c r="AWE4" s="7">
        <v>0.55081018296392503</v>
      </c>
      <c r="AWF4" s="7">
        <v>1.7981327549272601</v>
      </c>
      <c r="AWG4" s="7">
        <v>-0.79194182434345195</v>
      </c>
      <c r="AWH4" s="7">
        <v>0.87532154962005804</v>
      </c>
      <c r="AWI4" s="7">
        <v>-1.2889685116290299</v>
      </c>
      <c r="AWJ4" s="7">
        <v>1.4158894334760299</v>
      </c>
      <c r="AWK4" s="7">
        <v>0.33084131639007203</v>
      </c>
      <c r="AWL4" s="7">
        <v>0.94047573390819705</v>
      </c>
      <c r="AWM4" s="7">
        <v>0.84753464786800103</v>
      </c>
      <c r="AWN4" s="7">
        <v>0.17162873390351899</v>
      </c>
      <c r="AWO4" s="7">
        <v>0.35374047968867001</v>
      </c>
      <c r="AWP4" s="7">
        <v>0.35216799291143502</v>
      </c>
      <c r="AWQ4" s="7">
        <v>0.92579755560218702</v>
      </c>
      <c r="AWR4" s="7">
        <v>1.0594472004811599</v>
      </c>
      <c r="AWS4" s="7">
        <v>-1.4505443463260299</v>
      </c>
      <c r="AWT4" s="7">
        <v>1.0398378690032299</v>
      </c>
      <c r="AWU4" s="7">
        <v>-0.13022179184778901</v>
      </c>
      <c r="AWV4" s="7">
        <v>-9.6539195342256606E-2</v>
      </c>
      <c r="AWW4" s="7">
        <v>6.5234493334817401E-2</v>
      </c>
      <c r="AWX4" s="7">
        <v>1.0736997729708899</v>
      </c>
      <c r="AWY4" s="7">
        <v>-0.85946482218651699</v>
      </c>
      <c r="AWZ4" s="7">
        <v>-0.60970756963070305</v>
      </c>
      <c r="AXA4" s="7">
        <v>0.227773175019791</v>
      </c>
      <c r="AXB4" s="7">
        <v>-0.58964273350919505</v>
      </c>
      <c r="AXC4" s="7">
        <v>0.16660339329234899</v>
      </c>
      <c r="AXD4" s="7">
        <v>-0.29570509105100701</v>
      </c>
      <c r="AXE4" s="7">
        <v>-0.76889782321683997</v>
      </c>
      <c r="AXF4" s="7">
        <v>-0.60736424305539805</v>
      </c>
      <c r="AXG4" s="7">
        <v>-1.02734298838285</v>
      </c>
      <c r="AXH4" s="7">
        <v>0.71127701378567398</v>
      </c>
      <c r="AXI4" s="7">
        <v>-3.7337315149860897E-2</v>
      </c>
      <c r="AXJ4" s="7">
        <v>1.1332503471622799</v>
      </c>
      <c r="AXK4" s="7">
        <v>-8.9439050934547997E-3</v>
      </c>
      <c r="AXL4" s="7">
        <v>1.33259858303747</v>
      </c>
      <c r="AXM4" s="7">
        <v>-1.34354121716238</v>
      </c>
      <c r="AXN4" s="7">
        <v>-0.43431406157626101</v>
      </c>
      <c r="AXO4" s="7">
        <v>0.14298522301678099</v>
      </c>
      <c r="AXP4" s="7">
        <v>0.59775371558280399</v>
      </c>
      <c r="AXQ4" s="7">
        <v>-0.46971954169345798</v>
      </c>
      <c r="AXR4" s="7">
        <v>-0.450909804651555</v>
      </c>
      <c r="AXS4" s="7">
        <v>-2.2934231579775699</v>
      </c>
      <c r="AXT4" s="7">
        <v>0.64258118181425805</v>
      </c>
      <c r="AXU4" s="7">
        <v>-1.77990606907904</v>
      </c>
      <c r="AXV4" s="7">
        <v>0.20284819024859399</v>
      </c>
      <c r="AXW4" s="7">
        <v>1.0572652579283</v>
      </c>
      <c r="AXX4" s="7">
        <v>-0.53162755851636301</v>
      </c>
      <c r="AXY4" s="7">
        <v>0.298699189677051</v>
      </c>
      <c r="AXZ4" s="7">
        <v>-1.10515655353933</v>
      </c>
      <c r="AYA4" s="7">
        <v>-1.2955524001352401</v>
      </c>
      <c r="AYB4" s="7">
        <v>-1.50166869009921</v>
      </c>
      <c r="AYC4" s="7">
        <v>-0.57520422016393002</v>
      </c>
      <c r="AYD4" s="7">
        <v>-0.57451094697402405</v>
      </c>
      <c r="AYE4" s="7">
        <v>1.0257527048638599</v>
      </c>
      <c r="AYF4" s="7">
        <v>-1.1249237918836601</v>
      </c>
      <c r="AYG4" s="7">
        <v>-0.830519419511213</v>
      </c>
      <c r="AYH4" s="7">
        <v>-6.8069426338992003E-3</v>
      </c>
      <c r="AYI4" s="7">
        <v>1.0239764658555099</v>
      </c>
      <c r="AYJ4" s="7">
        <v>-0.34217316991581598</v>
      </c>
      <c r="AYK4" s="7">
        <v>0.404634303036839</v>
      </c>
      <c r="AYL4" s="7">
        <v>-1.4426637687606101</v>
      </c>
      <c r="AYM4" s="7">
        <v>-1.2759396678287001</v>
      </c>
      <c r="AYN4" s="7">
        <v>-1.5184016735458401</v>
      </c>
      <c r="AYO4" s="7">
        <v>0.88305034617165801</v>
      </c>
      <c r="AYP4" s="7">
        <v>-1.2808798269383901</v>
      </c>
      <c r="AYQ4" s="7">
        <v>2.05569006465493E-2</v>
      </c>
      <c r="AYR4" s="7">
        <v>-1.53842450682881</v>
      </c>
      <c r="AYS4" s="7">
        <v>0.33471520088089102</v>
      </c>
      <c r="AYT4" s="7">
        <v>1.60117263302284</v>
      </c>
      <c r="AYU4" s="7">
        <v>0.321036717679057</v>
      </c>
      <c r="AYV4" s="7">
        <v>2.33622802608319</v>
      </c>
      <c r="AYW4" s="7">
        <v>-1.56257462021181</v>
      </c>
      <c r="AYX4" s="7">
        <v>1.11509230625638</v>
      </c>
      <c r="AYY4" s="7">
        <v>-1.05373558772433</v>
      </c>
      <c r="AYZ4" s="7">
        <v>-0.66580103125117995</v>
      </c>
      <c r="AZA4" s="7">
        <v>-0.33249602219225</v>
      </c>
      <c r="AZB4" s="7">
        <v>-3.2260906122751599E-2</v>
      </c>
      <c r="AZC4" s="7">
        <v>-1.53570798731685</v>
      </c>
      <c r="AZD4" s="7">
        <v>1.1881837234146</v>
      </c>
      <c r="AZE4" s="7">
        <v>0.21885303848795401</v>
      </c>
      <c r="AZF4" s="7">
        <v>0.21136457631929001</v>
      </c>
      <c r="AZG4" s="7">
        <v>5.6003070761193798E-2</v>
      </c>
      <c r="AZH4" s="7">
        <v>0.80315087458391099</v>
      </c>
      <c r="AZI4" s="7">
        <v>0.38927719780730302</v>
      </c>
      <c r="AZJ4" s="7">
        <v>-1.0955474188481999</v>
      </c>
      <c r="AZK4" s="7">
        <v>0.38303732027324899</v>
      </c>
      <c r="AZL4" s="7">
        <v>0.95215122920397399</v>
      </c>
      <c r="AZM4" s="7">
        <v>0.82875179552059697</v>
      </c>
      <c r="AZN4" s="7">
        <v>0.26736100635558202</v>
      </c>
      <c r="AZO4" s="7">
        <v>0.40463477105897</v>
      </c>
      <c r="AZP4" s="7">
        <v>1.4082246367072999</v>
      </c>
      <c r="AZQ4" s="7">
        <v>1.0943836973301699</v>
      </c>
      <c r="AZR4" s="7">
        <v>0.25820640074071199</v>
      </c>
      <c r="AZS4" s="7">
        <v>-7.3919276740716994E-2</v>
      </c>
      <c r="AZT4" s="7">
        <v>0.75931502304822596</v>
      </c>
      <c r="AZU4" s="7">
        <v>0.20784670252756801</v>
      </c>
      <c r="AZV4" s="7">
        <v>-1.1428875984089699</v>
      </c>
      <c r="AZW4" s="7">
        <v>-0.56380632095332806</v>
      </c>
      <c r="AZX4" s="7">
        <v>-0.141808507987916</v>
      </c>
      <c r="AZY4" s="7">
        <v>1.76654095441911</v>
      </c>
      <c r="AZZ4" s="7">
        <v>-0.84064669662504998</v>
      </c>
      <c r="BAA4" s="7">
        <v>-0.49083281382623201</v>
      </c>
      <c r="BAB4" s="7">
        <v>-1.1000346461280199</v>
      </c>
      <c r="BAC4" s="7">
        <v>0.24849705638436101</v>
      </c>
      <c r="BAD4" s="7">
        <v>-0.31862333299309598</v>
      </c>
      <c r="BAE4" s="7">
        <v>-0.25636703469588501</v>
      </c>
      <c r="BAF4" s="7">
        <v>-0.33479259593475302</v>
      </c>
      <c r="BAG4" s="7">
        <v>-0.65136841013164803</v>
      </c>
      <c r="BAH4" s="7">
        <v>0.60547681845740897</v>
      </c>
      <c r="BAI4" s="7">
        <v>0.42994330468172298</v>
      </c>
      <c r="BAJ4" s="7">
        <v>1.84118976096371</v>
      </c>
      <c r="BAK4" s="7">
        <v>1.57880288346572</v>
      </c>
      <c r="BAL4" s="7">
        <v>0.72492803721972299</v>
      </c>
      <c r="BAM4" s="7">
        <v>1.2454787750872401E-2</v>
      </c>
      <c r="BAN4" s="7">
        <v>2.99958818675586E-2</v>
      </c>
      <c r="BAO4" s="7">
        <v>-0.62810085132364701</v>
      </c>
      <c r="BAP4" s="7">
        <v>0.25694057924366898</v>
      </c>
      <c r="BAQ4" s="7">
        <v>0.74294797236671795</v>
      </c>
      <c r="BAR4" s="7">
        <v>-0.58120105811348399</v>
      </c>
      <c r="BAS4" s="7">
        <v>0.29162708308464702</v>
      </c>
      <c r="BAT4" s="7">
        <v>-2.9562790718590999</v>
      </c>
      <c r="BAU4" s="7">
        <v>-0.25789589537009899</v>
      </c>
      <c r="BAV4" s="7">
        <v>-0.94602998255817705</v>
      </c>
      <c r="BAW4" s="7">
        <v>0.71014230787263499</v>
      </c>
      <c r="BAX4" s="7">
        <v>-0.76538741066399196</v>
      </c>
      <c r="BAY4" s="7">
        <v>1.0880962256111499</v>
      </c>
      <c r="BAZ4" s="7">
        <v>1.3063951443217601</v>
      </c>
      <c r="BBA4" s="7">
        <v>0.69448158768856305</v>
      </c>
      <c r="BBB4" s="7">
        <v>-1.86851906640584</v>
      </c>
      <c r="BBC4" s="7">
        <v>-1.19400448988778</v>
      </c>
      <c r="BBD4" s="7">
        <v>0.26973435306073101</v>
      </c>
      <c r="BBE4" s="7">
        <v>-2.4639234163588601</v>
      </c>
      <c r="BBF4" s="7">
        <v>-1.1038714864296999</v>
      </c>
      <c r="BBG4" s="7">
        <v>0.19773829001145099</v>
      </c>
      <c r="BBH4" s="7">
        <v>-1.1187722225805801</v>
      </c>
      <c r="BBI4" s="7">
        <v>-0.89496463865529896</v>
      </c>
      <c r="BBJ4" s="7">
        <v>-1.23233713168835</v>
      </c>
      <c r="BBK4" s="7">
        <v>-0.33900310229195202</v>
      </c>
      <c r="BBL4" s="7">
        <v>7.6815057027068506E-2</v>
      </c>
      <c r="BBM4" s="7">
        <v>-0.37223028728669899</v>
      </c>
      <c r="BBN4" s="7">
        <v>9.7641829435615293E-2</v>
      </c>
      <c r="BBO4" s="7">
        <v>-1.6441499713493199</v>
      </c>
      <c r="BBP4" s="7">
        <v>1.41314422355617</v>
      </c>
      <c r="BBQ4" s="7">
        <v>0.17815098055871201</v>
      </c>
      <c r="BBR4" s="7">
        <v>0.83907633965881701</v>
      </c>
      <c r="BBS4" s="7">
        <v>-0.17759092350185601</v>
      </c>
      <c r="BBT4" s="7">
        <v>0.44089027348849102</v>
      </c>
      <c r="BBU4" s="7">
        <v>-0.26586150209555798</v>
      </c>
      <c r="BBV4" s="7">
        <v>-0.43058041614736597</v>
      </c>
      <c r="BBW4" s="7">
        <v>0.39041470425108699</v>
      </c>
      <c r="BBX4" s="7">
        <v>0.44305183666474102</v>
      </c>
      <c r="BBY4" s="7">
        <v>-0.51894077487631196</v>
      </c>
      <c r="BBZ4" s="7">
        <v>-0.42524109540555399</v>
      </c>
      <c r="BCA4" s="7">
        <v>2.3705124378609201E-2</v>
      </c>
      <c r="BCB4" s="7">
        <v>-1.6093065116377601</v>
      </c>
      <c r="BCC4" s="7">
        <v>1.3687290722715699</v>
      </c>
      <c r="BCD4" s="7">
        <v>-1.3304649248165099</v>
      </c>
      <c r="BCE4" s="7">
        <v>-0.432615178344184</v>
      </c>
      <c r="BCF4" s="7">
        <v>-6.7994725793450894E-2</v>
      </c>
      <c r="BCG4" s="7">
        <v>2.1814277897285201</v>
      </c>
      <c r="BCH4" s="7">
        <v>-1.31316512815068</v>
      </c>
      <c r="BCI4" s="7">
        <v>-1.1981051589590399</v>
      </c>
      <c r="BCJ4" s="7">
        <v>-0.41744912936725498</v>
      </c>
      <c r="BCK4" s="7">
        <v>1.7583730321952401E-2</v>
      </c>
      <c r="BCL4" s="7">
        <v>0.28696851035229498</v>
      </c>
      <c r="BCM4" s="7">
        <v>-1.6103058205418599</v>
      </c>
      <c r="BCN4" s="7">
        <v>0.98428131196216795</v>
      </c>
      <c r="BCO4" s="7">
        <v>0.12989348109190199</v>
      </c>
      <c r="BCP4" s="7">
        <v>-1.7286514435665701E-2</v>
      </c>
      <c r="BCQ4" s="7">
        <v>0.670302810907768</v>
      </c>
      <c r="BCR4" s="7">
        <v>1.1574790613761201</v>
      </c>
      <c r="BCS4" s="7">
        <v>-0.59026562888824996</v>
      </c>
      <c r="BCT4" s="7">
        <v>0.111329572532468</v>
      </c>
      <c r="BCU4" s="7">
        <v>-1.42398784005017</v>
      </c>
      <c r="BCV4" s="7">
        <v>-0.62997669129466705</v>
      </c>
      <c r="BCW4" s="7">
        <v>1.78131525868117</v>
      </c>
      <c r="BCX4" s="7">
        <v>0.56055072273245499</v>
      </c>
      <c r="BCY4" s="7">
        <v>-1.5729027466188601</v>
      </c>
      <c r="BCZ4" s="7">
        <v>-0.91721226546825696</v>
      </c>
      <c r="BDA4" s="7">
        <v>-1.17954287859441</v>
      </c>
      <c r="BDB4" s="7">
        <v>0.92180812908680299</v>
      </c>
      <c r="BDC4" s="7">
        <v>-0.71371485715570504</v>
      </c>
      <c r="BDD4" s="7">
        <v>-1.7557295976332501</v>
      </c>
      <c r="BDE4" s="7">
        <v>-0.68482151723945295</v>
      </c>
      <c r="BDF4" s="7">
        <v>0.63432507199340404</v>
      </c>
      <c r="BDG4" s="7">
        <v>-0.334586775286706</v>
      </c>
      <c r="BDH4" s="7">
        <v>-2.3341283488974098</v>
      </c>
      <c r="BDI4" s="7">
        <v>-1.7364067754058701</v>
      </c>
      <c r="BDJ4" s="7">
        <v>1.01651439248919</v>
      </c>
      <c r="BDK4" s="7">
        <v>-0.54240017162764098</v>
      </c>
      <c r="BDL4" s="7">
        <v>-0.165122697282064</v>
      </c>
      <c r="BDM4" s="7">
        <v>-0.84288242082499998</v>
      </c>
      <c r="BDN4" s="7">
        <v>-0.56729662017981497</v>
      </c>
      <c r="BDO4" s="7">
        <v>0.113534628884304</v>
      </c>
      <c r="BDP4" s="7">
        <v>-0.75948246636600303</v>
      </c>
      <c r="BDQ4" s="7">
        <v>0.63198480981675897</v>
      </c>
      <c r="BDR4" s="7">
        <v>-0.90251834180678003</v>
      </c>
      <c r="BDS4" s="7">
        <v>-1.27037268439287</v>
      </c>
      <c r="BDT4" s="7">
        <v>1.1625741919424799</v>
      </c>
      <c r="BDU4" s="7">
        <v>-0.43741337001069103</v>
      </c>
      <c r="BDV4" s="7">
        <v>-0.26421363279519799</v>
      </c>
      <c r="BDW4" s="7">
        <v>-0.54904343659351396</v>
      </c>
      <c r="BDX4" s="7">
        <v>0.47399446530099398</v>
      </c>
      <c r="BDY4" s="7">
        <v>-1.33096041647416</v>
      </c>
      <c r="BDZ4" s="7">
        <v>0.26447697456742197</v>
      </c>
      <c r="BEA4" s="7">
        <v>-0.74862807683257704</v>
      </c>
      <c r="BEB4" s="7">
        <v>1.9501706776988901</v>
      </c>
      <c r="BEC4" s="7">
        <v>0.22097590160073799</v>
      </c>
      <c r="BED4" s="7">
        <v>0.18415719508744599</v>
      </c>
      <c r="BEE4" s="7">
        <v>0.78461748187318703</v>
      </c>
      <c r="BEF4" s="7">
        <v>-0.25449590908868303</v>
      </c>
      <c r="BEG4" s="7">
        <v>-2.09948949092548E-2</v>
      </c>
      <c r="BEH4" s="7">
        <v>-0.56154670257627604</v>
      </c>
      <c r="BEI4" s="7">
        <v>-0.50809300621847797</v>
      </c>
      <c r="BEJ4" s="7">
        <v>-0.84603927493658804</v>
      </c>
      <c r="BEK4" s="7">
        <v>0.97574412006385203</v>
      </c>
      <c r="BEL4" s="7">
        <v>0.16506355268546599</v>
      </c>
      <c r="BEM4" s="7">
        <v>0.2248636101764</v>
      </c>
      <c r="BEN4" s="7">
        <v>-0.19103954428207001</v>
      </c>
      <c r="BEO4" s="7">
        <v>0.63217604726330801</v>
      </c>
      <c r="BEP4" s="7">
        <v>-0.94275699184122097</v>
      </c>
      <c r="BEQ4" s="7">
        <v>0.94669043602493597</v>
      </c>
      <c r="BER4" s="7">
        <v>-0.13380660547065701</v>
      </c>
      <c r="BES4" s="7">
        <v>0.13526293371272499</v>
      </c>
      <c r="BET4" s="7">
        <v>-0.338616556906712</v>
      </c>
      <c r="BEU4" s="7">
        <v>-0.64107061715871305</v>
      </c>
      <c r="BEV4" s="7">
        <v>-0.80943496472168197</v>
      </c>
      <c r="BEW4" s="7">
        <v>0.28716997452079002</v>
      </c>
      <c r="BEX4" s="7">
        <v>-0.55212898121389498</v>
      </c>
      <c r="BEY4" s="7">
        <v>-0.18720774472072699</v>
      </c>
      <c r="BEZ4" s="7">
        <v>-0.53896632569435499</v>
      </c>
      <c r="BFA4" s="7">
        <v>-1.2613966368462399</v>
      </c>
      <c r="BFB4" s="7">
        <v>-0.60922603427640998</v>
      </c>
      <c r="BFC4" s="7">
        <v>-1.52968093497892</v>
      </c>
      <c r="BFD4" s="7">
        <v>1.71318787543901</v>
      </c>
      <c r="BFE4" s="7">
        <v>-0.64516942550724998</v>
      </c>
      <c r="BFF4" s="7">
        <v>1.2491029097450199</v>
      </c>
      <c r="BFG4" s="7">
        <v>0.261898690233489</v>
      </c>
      <c r="BFH4" s="7">
        <v>1.09818770333784</v>
      </c>
      <c r="BFI4" s="7">
        <v>-0.84650403204603897</v>
      </c>
      <c r="BFJ4" s="7">
        <v>0.37975414535459701</v>
      </c>
      <c r="BFK4" s="7">
        <v>-0.13832086857425499</v>
      </c>
      <c r="BFL4" s="7">
        <v>-0.96054793605968902</v>
      </c>
      <c r="BFM4" s="7">
        <v>0.37553016015299601</v>
      </c>
      <c r="BFN4" s="7">
        <v>-0.18777419847217</v>
      </c>
      <c r="BFO4" s="7">
        <v>1.2204687841508799</v>
      </c>
      <c r="BFP4" s="7">
        <v>-0.71149544571912204</v>
      </c>
      <c r="BFQ4" s="7">
        <v>0.96426185475361503</v>
      </c>
      <c r="BFR4" s="7">
        <v>0.32012958353520499</v>
      </c>
      <c r="BFS4" s="7">
        <v>-0.42508489998853999</v>
      </c>
      <c r="BFT4" s="7">
        <v>0.41591149308384101</v>
      </c>
      <c r="BFU4" s="7">
        <v>0.10064485786718699</v>
      </c>
      <c r="BFV4" s="7">
        <v>-0.52648808663813296</v>
      </c>
      <c r="BFW4" s="7">
        <v>0.58019561924951202</v>
      </c>
      <c r="BFX4" s="7">
        <v>-0.208244500114728</v>
      </c>
      <c r="BFY4" s="7">
        <v>-1.1563977701467101</v>
      </c>
      <c r="BFZ4" s="7">
        <v>1.7180837463989899E-2</v>
      </c>
      <c r="BGA4" s="7">
        <v>-2.8901338463482001E-2</v>
      </c>
      <c r="BGB4" s="7">
        <v>-0.95206953911051695</v>
      </c>
      <c r="BGC4" s="7">
        <v>-1.6194173364092399</v>
      </c>
      <c r="BGD4" s="7">
        <v>0.31202585961454898</v>
      </c>
      <c r="BGE4" s="7">
        <v>-6.4172267076868503E-2</v>
      </c>
      <c r="BGF4" s="7">
        <v>2.36783418505108</v>
      </c>
      <c r="BGG4" s="7">
        <v>-0.19332433411198999</v>
      </c>
      <c r="BGH4" s="7">
        <v>-1.5342358372879401</v>
      </c>
      <c r="BGI4" s="7">
        <v>-0.69794140317657605</v>
      </c>
      <c r="BGJ4" s="7">
        <v>-2.2826343713314998E-3</v>
      </c>
      <c r="BGK4" s="7">
        <v>-1.9095736703306201</v>
      </c>
      <c r="BGL4" s="7">
        <v>-0.64784675329074004</v>
      </c>
      <c r="BGM4" s="7">
        <v>-0.29672350557232102</v>
      </c>
      <c r="BGN4" s="7">
        <v>-0.287273634029025</v>
      </c>
      <c r="BGO4" s="7">
        <v>0.34037632827165698</v>
      </c>
      <c r="BGP4" s="7">
        <v>-0.16511460085994401</v>
      </c>
      <c r="BGQ4" s="7">
        <v>2.0699201906826898</v>
      </c>
      <c r="BGR4" s="7">
        <v>0.52161799575505297</v>
      </c>
      <c r="BGS4" s="7">
        <v>-0.86724622983835797</v>
      </c>
      <c r="BGT4" s="7">
        <v>-0.73225430039997996</v>
      </c>
      <c r="BGU4" s="7">
        <v>2.0764648454783798</v>
      </c>
      <c r="BGV4" s="7">
        <v>-1.0482918230057101</v>
      </c>
      <c r="BGW4" s="7">
        <v>0.18313134751743099</v>
      </c>
      <c r="BGX4" s="7">
        <v>-0.249967570993405</v>
      </c>
      <c r="BGY4" s="7">
        <v>-0.94056599748899705</v>
      </c>
      <c r="BGZ4" s="7">
        <v>-7.4537360309449699E-2</v>
      </c>
      <c r="BHA4" s="7">
        <v>0.98507904258163503</v>
      </c>
      <c r="BHB4" s="7">
        <v>2.10103721222093</v>
      </c>
      <c r="BHC4" s="7">
        <v>-0.168159191494206</v>
      </c>
      <c r="BHD4" s="7">
        <v>1.5237802559948099</v>
      </c>
      <c r="BHE4" s="7">
        <v>1.04049188595339</v>
      </c>
      <c r="BHF4" s="7">
        <v>-0.59752211046846604</v>
      </c>
      <c r="BHG4" s="7">
        <v>0.30435650362098299</v>
      </c>
      <c r="BHH4" s="7">
        <v>-0.20291076688902199</v>
      </c>
      <c r="BHI4" s="7">
        <v>-0.18047424983492</v>
      </c>
      <c r="BHJ4" s="7">
        <v>0.47638251455742198</v>
      </c>
      <c r="BHK4" s="7">
        <v>-2.4400267132578899E-2</v>
      </c>
      <c r="BHL4" s="7">
        <v>0.25879875637003202</v>
      </c>
      <c r="BHM4" s="7">
        <v>-1.5918624197789599</v>
      </c>
      <c r="BHN4" s="7">
        <v>1.53859879099981</v>
      </c>
      <c r="BHO4" s="7">
        <v>-0.74456711515551399</v>
      </c>
      <c r="BHP4" s="7">
        <v>1.12108581942332</v>
      </c>
      <c r="BHQ4" s="7">
        <v>0.81633497686463896</v>
      </c>
      <c r="BHR4" s="7">
        <v>0.17598425693384001</v>
      </c>
      <c r="BHS4" s="7">
        <v>-1.99210743523686</v>
      </c>
      <c r="BHT4" s="7">
        <v>-0.27822780730487601</v>
      </c>
      <c r="BHU4" s="7">
        <v>-1.23838667418836</v>
      </c>
      <c r="BHV4" s="7">
        <v>0.43409338643298301</v>
      </c>
      <c r="BHW4" s="7">
        <v>-0.85221000102932198</v>
      </c>
      <c r="BHX4" s="7">
        <v>-0.29677845076402998</v>
      </c>
      <c r="BHY4" s="7">
        <v>0.16372793030879401</v>
      </c>
      <c r="BHZ4" s="7">
        <v>-0.92241347765874404</v>
      </c>
      <c r="BIA4" s="7">
        <v>-0.20356977307103599</v>
      </c>
      <c r="BIB4" s="7">
        <v>1.5093742134055099</v>
      </c>
      <c r="BIC4" s="7">
        <v>-1.66025763530672</v>
      </c>
      <c r="BID4" s="7">
        <v>-7.4827536269433698E-2</v>
      </c>
      <c r="BIE4" s="7">
        <v>0.76408065427937999</v>
      </c>
      <c r="BIF4" s="7">
        <v>-0.25323200910464899</v>
      </c>
      <c r="BIG4" s="7">
        <v>-0.61572161733471897</v>
      </c>
      <c r="BIH4" s="7">
        <v>8.5323281438477297E-2</v>
      </c>
      <c r="BII4" s="7">
        <v>-1.0111003692098499</v>
      </c>
      <c r="BIJ4" s="7">
        <v>0.47602104566157399</v>
      </c>
      <c r="BIK4" s="7">
        <v>2.3824330609029198</v>
      </c>
      <c r="BIL4" s="7">
        <v>-0.53464682936581898</v>
      </c>
      <c r="BIM4" s="7">
        <v>-0.36459618289954798</v>
      </c>
      <c r="BIN4" s="7">
        <v>0.148131639601498</v>
      </c>
      <c r="BIO4" s="7">
        <v>-0.11919284971036199</v>
      </c>
      <c r="BIP4" s="7">
        <v>-1.7939561134687702E-2</v>
      </c>
      <c r="BIQ4" s="7">
        <v>1.84839406786301</v>
      </c>
      <c r="BIR4" s="7">
        <v>0.13662226492125601</v>
      </c>
      <c r="BIS4" s="7">
        <v>0.299494251495726</v>
      </c>
      <c r="BIT4" s="7">
        <v>-0.26141900338455298</v>
      </c>
      <c r="BIU4" s="7">
        <v>-0.31948321984293998</v>
      </c>
      <c r="BIV4" s="7">
        <v>0.78142758971201298</v>
      </c>
      <c r="BIW4" s="7">
        <v>2.7242217289177599</v>
      </c>
      <c r="BIX4" s="7">
        <v>0.80582712645636301</v>
      </c>
      <c r="BIY4" s="7">
        <v>-0.98309405488701196</v>
      </c>
      <c r="BIZ4" s="7">
        <v>0.44130613099216698</v>
      </c>
      <c r="BJA4" s="7">
        <v>0.80289570257707399</v>
      </c>
      <c r="BJB4" s="7">
        <v>0.78566146728861996</v>
      </c>
      <c r="BJC4" s="7">
        <v>1.08376838971873</v>
      </c>
      <c r="BJD4" s="7">
        <v>0.51137414135387804</v>
      </c>
      <c r="BJE4" s="7">
        <v>-0.923168934779943</v>
      </c>
      <c r="BJF4" s="7">
        <v>0.39984890634118297</v>
      </c>
      <c r="BJG4" s="7">
        <v>0.44313193442839699</v>
      </c>
      <c r="BJH4" s="7">
        <v>-0.679173111861756</v>
      </c>
      <c r="BJI4" s="7">
        <v>-0.100550657276832</v>
      </c>
      <c r="BJJ4" s="7">
        <v>-0.50392966612742895</v>
      </c>
      <c r="BJK4" s="7">
        <v>0.18683255868998699</v>
      </c>
      <c r="BJL4" s="7">
        <v>0.22031436814209299</v>
      </c>
      <c r="BJM4" s="7">
        <v>-0.38023112120763702</v>
      </c>
      <c r="BJN4" s="7">
        <v>0.85925647409512196</v>
      </c>
      <c r="BJO4" s="7">
        <v>-1.48502482987912</v>
      </c>
      <c r="BJP4" s="7">
        <v>-0.70413165004086598</v>
      </c>
      <c r="BJQ4" s="7">
        <v>0.296192796222707</v>
      </c>
      <c r="BJR4" s="7">
        <v>0.37573822705211701</v>
      </c>
      <c r="BJS4" s="7">
        <v>-0.31461641824459002</v>
      </c>
      <c r="BJT4" s="7">
        <v>0.28906983528438202</v>
      </c>
      <c r="BJU4" s="7">
        <v>0.83494135432084504</v>
      </c>
      <c r="BJV4" s="7">
        <v>-1.14234142081829</v>
      </c>
      <c r="BJW4" s="7">
        <v>0.14085735109441999</v>
      </c>
      <c r="BJX4" s="7">
        <v>0.487905846137697</v>
      </c>
      <c r="BJY4" s="7">
        <v>1.2498196585513499</v>
      </c>
      <c r="BJZ4" s="7">
        <v>-0.18623506156092001</v>
      </c>
      <c r="BKA4" s="7">
        <v>1.09263353587407</v>
      </c>
      <c r="BKB4" s="7">
        <v>-0.87690408190189495</v>
      </c>
      <c r="BKC4" s="7">
        <v>5.2630000079910998E-2</v>
      </c>
      <c r="BKD4" s="7">
        <v>-1.5476987625188201</v>
      </c>
      <c r="BKE4" s="7">
        <v>-0.84808561440690999</v>
      </c>
      <c r="BKF4" s="7">
        <v>0.316033946467914</v>
      </c>
      <c r="BKG4" s="7">
        <v>0.822890840518679</v>
      </c>
      <c r="BKH4" s="7">
        <v>-2.2381984724169999</v>
      </c>
      <c r="BKI4" s="7">
        <v>-0.19624090348487899</v>
      </c>
      <c r="BKJ4" s="7">
        <v>-0.421535177617892</v>
      </c>
      <c r="BKK4" s="7">
        <v>0.52358239994954303</v>
      </c>
      <c r="BKL4" s="7">
        <v>2.81035825833921E-2</v>
      </c>
      <c r="BKM4" s="7">
        <v>-0.33070896355042201</v>
      </c>
      <c r="BKN4" s="7">
        <v>1.4470560299124799</v>
      </c>
      <c r="BKO4" s="7">
        <v>-1.39188823520024</v>
      </c>
      <c r="BKP4" s="7">
        <v>-1.0058219932413199</v>
      </c>
      <c r="BKQ4" s="7">
        <v>0.31449132733556301</v>
      </c>
      <c r="BKR4" s="7">
        <v>-0.31902666649154898</v>
      </c>
      <c r="BKS4" s="7">
        <v>1.4372165546131701</v>
      </c>
      <c r="BKT4" s="7">
        <v>-2.78378143328358</v>
      </c>
      <c r="BKU4" s="7">
        <v>-2.3468952745478702</v>
      </c>
      <c r="BKV4" s="7">
        <v>-0.29293038679273098</v>
      </c>
      <c r="BKW4" s="7">
        <v>0.95279735346078498</v>
      </c>
      <c r="BKX4" s="7">
        <v>1.2199130633582</v>
      </c>
      <c r="BKY4" s="7">
        <v>1.71817748727777</v>
      </c>
      <c r="BKZ4" s="7">
        <v>-0.39946061706729302</v>
      </c>
      <c r="BLA4" s="7">
        <v>-0.90220243933629796</v>
      </c>
      <c r="BLB4" s="7">
        <v>-1.1840288172129501</v>
      </c>
      <c r="BLC4" s="7">
        <v>0.67538829264275202</v>
      </c>
      <c r="BLD4" s="7">
        <v>-1.61055628700423</v>
      </c>
      <c r="BLE4" s="7">
        <v>0.74030152809914196</v>
      </c>
      <c r="BLF4" s="7">
        <v>-1.0646739691304301</v>
      </c>
      <c r="BLG4" s="7">
        <v>0.294345199585831</v>
      </c>
      <c r="BLH4" s="7">
        <v>0.521144945160813</v>
      </c>
      <c r="BLI4" s="7">
        <v>-1.3190770132457299</v>
      </c>
      <c r="BLJ4" s="7">
        <v>1.3200449722529399</v>
      </c>
      <c r="BLK4" s="7">
        <v>0.62884461658636903</v>
      </c>
      <c r="BLL4" s="7">
        <v>0.46128279997782901</v>
      </c>
      <c r="BLM4" s="7">
        <v>0.45316011869909301</v>
      </c>
      <c r="BLN4" s="7">
        <v>1.2644064876757299</v>
      </c>
      <c r="BLO4" s="7">
        <v>0.81540308668487704</v>
      </c>
      <c r="BLP4" s="7">
        <v>0.68766959423789198</v>
      </c>
      <c r="BLQ4" s="7">
        <v>0.39942164828339299</v>
      </c>
      <c r="BLR4" s="7">
        <v>0.47143253336791602</v>
      </c>
      <c r="BLS4" s="7">
        <v>0.330387266232473</v>
      </c>
      <c r="BLT4" s="7">
        <v>-0.956931345937302</v>
      </c>
      <c r="BLU4" s="7">
        <v>-0.30822450782920002</v>
      </c>
      <c r="BLV4" s="7">
        <v>-0.109378714167332</v>
      </c>
      <c r="BLW4" s="7">
        <v>0.92092728597436102</v>
      </c>
      <c r="BLX4" s="7">
        <v>0.56322209498471698</v>
      </c>
      <c r="BLY4" s="7">
        <v>0.12277565049917601</v>
      </c>
      <c r="BLZ4" s="7">
        <v>-0.80999519420327404</v>
      </c>
      <c r="BMA4" s="7">
        <v>0.24421661083448801</v>
      </c>
      <c r="BMB4" s="7">
        <v>-0.55137029583020303</v>
      </c>
      <c r="BMC4" s="7">
        <v>1.0167086134446801</v>
      </c>
      <c r="BMD4" s="7">
        <v>-1.1205727392978599</v>
      </c>
      <c r="BME4" s="7">
        <v>-0.180633943527296</v>
      </c>
      <c r="BMF4" s="7">
        <v>0.41466331632759601</v>
      </c>
      <c r="BMG4" s="7">
        <v>-0.81215547335459903</v>
      </c>
      <c r="BMH4" s="7">
        <v>0.65251862371149005</v>
      </c>
      <c r="BMI4" s="7">
        <v>-0.83672921531284095</v>
      </c>
      <c r="BMJ4" s="7">
        <v>4.0835839409454601E-2</v>
      </c>
      <c r="BMK4" s="7">
        <v>0.136007986137545</v>
      </c>
      <c r="BML4" s="7">
        <v>1.1075210234692301</v>
      </c>
      <c r="BMM4" s="7">
        <v>9.8957651781700601E-2</v>
      </c>
      <c r="BMN4" s="7">
        <v>1.02835025049044</v>
      </c>
      <c r="BMO4" s="7">
        <v>0.161010388008168</v>
      </c>
      <c r="BMP4" s="7">
        <v>-1.60297447752158</v>
      </c>
      <c r="BMQ4" s="7">
        <v>0.28871097589350497</v>
      </c>
      <c r="BMR4" s="7">
        <v>1.12208674717247</v>
      </c>
      <c r="BMS4" s="7">
        <v>1.5349868209711901</v>
      </c>
      <c r="BMT4" s="7">
        <v>0.93855171967861295</v>
      </c>
      <c r="BMU4" s="7">
        <v>0.19642453179423999</v>
      </c>
      <c r="BMV4" s="7">
        <v>-0.10809589554460899</v>
      </c>
      <c r="BMW4" s="7">
        <v>-0.27524830005409701</v>
      </c>
      <c r="BMX4" s="7">
        <v>-2.2544805597758302</v>
      </c>
      <c r="BMY4" s="7">
        <v>0.62965466876659804</v>
      </c>
      <c r="BMZ4" s="7">
        <v>-1.1666379387599499</v>
      </c>
      <c r="BNA4" s="7">
        <v>-0.350685617771896</v>
      </c>
      <c r="BNB4" s="7">
        <v>0.87147195983091597</v>
      </c>
      <c r="BNC4" s="7">
        <v>-1.93785815880908</v>
      </c>
      <c r="BND4" s="7">
        <v>-2.8902507363355898E-2</v>
      </c>
      <c r="BNE4" s="7">
        <v>-0.223724285316445</v>
      </c>
      <c r="BNF4" s="7">
        <v>-1.1696163098324099</v>
      </c>
      <c r="BNG4" s="7">
        <v>-1.12009409822363</v>
      </c>
      <c r="BNH4" s="7">
        <v>1.0998251880019001</v>
      </c>
      <c r="BNI4" s="7">
        <v>0.180196348797037</v>
      </c>
      <c r="BNJ4" s="7">
        <v>0.49603757545754601</v>
      </c>
      <c r="BNK4" s="7">
        <v>-0.71865032312216404</v>
      </c>
      <c r="BNL4" s="7">
        <v>-0.26110758684615398</v>
      </c>
      <c r="BNM4" s="7">
        <v>0.25123625004577899</v>
      </c>
      <c r="BNN4" s="7">
        <v>-0.32640935074241001</v>
      </c>
      <c r="BNO4" s="7">
        <v>-0.63402248471179701</v>
      </c>
      <c r="BNP4" s="7">
        <v>-0.614022054912294</v>
      </c>
      <c r="BNQ4" s="7">
        <v>0.84722421499206801</v>
      </c>
      <c r="BNR4" s="7">
        <v>-1.38545032415448</v>
      </c>
      <c r="BNS4" s="7">
        <v>1.3231451551878</v>
      </c>
      <c r="BNT4" s="7">
        <v>-0.37043494100649099</v>
      </c>
      <c r="BNU4" s="7">
        <v>-0.93152591570800802</v>
      </c>
      <c r="BNV4" s="7">
        <v>-0.96768549991695496</v>
      </c>
      <c r="BNW4" s="7">
        <v>-5.8271206478321201E-2</v>
      </c>
      <c r="BNX4" s="7">
        <v>0.15624691603997901</v>
      </c>
      <c r="BNY4" s="7">
        <v>-0.73089790426883905</v>
      </c>
      <c r="BNZ4" s="7">
        <v>-0.21992493916536399</v>
      </c>
      <c r="BOA4" s="7">
        <v>-0.14983757309712001</v>
      </c>
      <c r="BOB4" s="7">
        <v>-0.95185468641732895</v>
      </c>
      <c r="BOC4" s="7">
        <v>-0.52732615508313796</v>
      </c>
      <c r="BOD4" s="7">
        <v>0.98951050221128101</v>
      </c>
      <c r="BOE4" s="7">
        <v>-9.8813423279504996E-3</v>
      </c>
      <c r="BOF4" s="7">
        <v>1.67090635545761</v>
      </c>
      <c r="BOG4" s="7">
        <v>-0.284762868564717</v>
      </c>
      <c r="BOH4" s="7">
        <v>-0.99707000889618702</v>
      </c>
      <c r="BOI4" s="7">
        <v>0.65307885294229495</v>
      </c>
      <c r="BOJ4" s="7">
        <v>-9.9434801682718003E-3</v>
      </c>
      <c r="BOK4" s="7">
        <v>-0.44499244816625999</v>
      </c>
      <c r="BOL4" s="7">
        <v>1.2911305322193001</v>
      </c>
      <c r="BOM4" s="7">
        <v>0.80641038828732203</v>
      </c>
      <c r="BON4" s="7">
        <v>2.2145491910938699</v>
      </c>
      <c r="BOO4" s="7">
        <v>-0.66943528562994004</v>
      </c>
      <c r="BOP4" s="7">
        <v>-1.62490333397061</v>
      </c>
      <c r="BOQ4" s="7">
        <v>1.2732653511866401</v>
      </c>
      <c r="BOR4" s="7">
        <v>0.22813783192085699</v>
      </c>
      <c r="BOS4" s="7">
        <v>-0.41330774475607701</v>
      </c>
      <c r="BOT4" s="7">
        <v>-0.21509661963987101</v>
      </c>
      <c r="BOU4" s="7">
        <v>0.30042672632307699</v>
      </c>
      <c r="BOV4" s="7">
        <v>-0.22151801796122</v>
      </c>
      <c r="BOW4" s="7">
        <v>0.63967595479389405</v>
      </c>
      <c r="BOX4" s="7">
        <v>1.11096303910923</v>
      </c>
      <c r="BOY4" s="7">
        <v>-1.0785965192862199</v>
      </c>
      <c r="BOZ4" s="7">
        <v>-0.53328349441434997</v>
      </c>
      <c r="BPA4" s="7">
        <v>0.82479259343957201</v>
      </c>
      <c r="BPB4" s="7">
        <v>-0.92814755479094202</v>
      </c>
      <c r="BPC4" s="7">
        <v>-1.30768131202329</v>
      </c>
      <c r="BPD4" s="7">
        <v>0.35982975855105997</v>
      </c>
      <c r="BPE4" s="7">
        <v>-1.71204430403052</v>
      </c>
      <c r="BPF4" s="7">
        <v>1.5868821344684301</v>
      </c>
      <c r="BPG4" s="7">
        <v>-2.2791664591016101</v>
      </c>
      <c r="BPH4" s="7">
        <v>-0.34308310538314901</v>
      </c>
      <c r="BPI4" s="7">
        <v>-0.190166181875706</v>
      </c>
      <c r="BPJ4" s="7">
        <v>0.121751725543624</v>
      </c>
      <c r="BPK4" s="7">
        <v>-0.621418670936011</v>
      </c>
      <c r="BPL4" s="7">
        <v>-1.87356083690792</v>
      </c>
      <c r="BPM4" s="7">
        <v>-0.73791637493689499</v>
      </c>
      <c r="BPN4" s="7">
        <v>1.7044562153199101</v>
      </c>
      <c r="BPO4" s="7">
        <v>0.45736075243702601</v>
      </c>
      <c r="BPP4" s="7">
        <v>0.72654611271684999</v>
      </c>
      <c r="BPQ4" s="7">
        <v>0.50401650196479097</v>
      </c>
      <c r="BPR4" s="7">
        <v>0.67296334549605596</v>
      </c>
      <c r="BPS4" s="7">
        <v>-0.62527723014145797</v>
      </c>
      <c r="BPT4" s="7">
        <v>0.42503591958354098</v>
      </c>
      <c r="BPU4" s="7">
        <v>-1.0735675567827501</v>
      </c>
      <c r="BPV4" s="7">
        <v>9.2508837433568303E-2</v>
      </c>
      <c r="BPW4" s="7">
        <v>-0.67431348961076398</v>
      </c>
      <c r="BPX4" s="7">
        <v>-1.0426949066734299</v>
      </c>
      <c r="BPY4" s="7">
        <v>-0.33013562251895601</v>
      </c>
      <c r="BPZ4" s="7">
        <v>0.27781725605243601</v>
      </c>
      <c r="BQA4" s="7">
        <v>0.552095904023164</v>
      </c>
      <c r="BQB4" s="7">
        <v>-0.47206690926417999</v>
      </c>
      <c r="BQC4" s="7">
        <v>-0.58034875411354803</v>
      </c>
      <c r="BQD4" s="7">
        <v>0.15055040849205201</v>
      </c>
      <c r="BQE4" s="7">
        <v>-0.494021642516627</v>
      </c>
      <c r="BQF4" s="7">
        <v>0.129454241775702</v>
      </c>
      <c r="BQG4" s="7">
        <v>-0.57719798012100298</v>
      </c>
      <c r="BQH4" s="7">
        <v>-1.1033136253873601</v>
      </c>
    </row>
    <row r="5" spans="1:1802" x14ac:dyDescent="0.2">
      <c r="A5" s="7">
        <v>3</v>
      </c>
      <c r="B5" s="7">
        <v>1.3056923399367</v>
      </c>
      <c r="C5" s="7">
        <v>1.7105156436642901</v>
      </c>
      <c r="D5" s="7">
        <v>-0.24815810451220999</v>
      </c>
      <c r="E5" s="7">
        <v>0.64789605925831095</v>
      </c>
      <c r="F5" s="7">
        <v>0.29421739488873999</v>
      </c>
      <c r="G5" s="7">
        <v>0.55682338315146895</v>
      </c>
      <c r="H5" s="7">
        <v>-0.38491788001133298</v>
      </c>
      <c r="I5" s="7">
        <v>-0.88378260528903896</v>
      </c>
      <c r="J5" s="7">
        <v>-1.0051174515118799</v>
      </c>
      <c r="K5" s="7">
        <v>-1.1332795900855099</v>
      </c>
      <c r="L5" s="7">
        <v>-1.3062226167089399</v>
      </c>
      <c r="M5" s="7">
        <v>0.48374713738021202</v>
      </c>
      <c r="N5" s="7">
        <v>0.140487147743942</v>
      </c>
      <c r="O5" s="7">
        <v>-1.3686373598686601</v>
      </c>
      <c r="P5" s="7">
        <v>0.58026761254653203</v>
      </c>
      <c r="Q5" s="7">
        <v>-0.65359204285983596</v>
      </c>
      <c r="R5" s="7">
        <v>-0.727582728362552</v>
      </c>
      <c r="S5" s="7">
        <v>3.10516455111593</v>
      </c>
      <c r="T5" s="7">
        <v>-1.0441792600723001</v>
      </c>
      <c r="U5" s="7">
        <v>-1.3114512371589</v>
      </c>
      <c r="V5" s="7">
        <v>-1.24292264308411</v>
      </c>
      <c r="W5" s="7">
        <v>-0.75479832585465401</v>
      </c>
      <c r="X5" s="7">
        <v>2.4561304608156198</v>
      </c>
      <c r="Y5" s="7">
        <v>0.39923922479354701</v>
      </c>
      <c r="Z5" s="7">
        <v>-0.25088369991971099</v>
      </c>
      <c r="AA5" s="7">
        <v>1.1466819824224701</v>
      </c>
      <c r="AB5" s="7">
        <v>-0.78125096206988598</v>
      </c>
      <c r="AC5" s="7">
        <v>1.81088418192317</v>
      </c>
      <c r="AD5" s="7">
        <v>-0.66089398457149795</v>
      </c>
      <c r="AE5" s="7">
        <v>0.62618083445280603</v>
      </c>
      <c r="AF5" s="7">
        <v>0.60486367129357599</v>
      </c>
      <c r="AG5" s="7">
        <v>0.71876597308064005</v>
      </c>
      <c r="AH5" s="7">
        <v>-1.26763647880959</v>
      </c>
      <c r="AI5" s="7">
        <v>1.19008471431741</v>
      </c>
      <c r="AJ5" s="7">
        <v>0.69434449345645599</v>
      </c>
      <c r="AK5" s="7">
        <v>-2.9833757139122102E-2</v>
      </c>
      <c r="AL5" s="7">
        <v>0.42233709295953997</v>
      </c>
      <c r="AM5" s="7">
        <v>-0.82855430440820899</v>
      </c>
      <c r="AN5" s="7">
        <v>1.72668272836935</v>
      </c>
      <c r="AO5" s="7">
        <v>-2.7788263533862899E-2</v>
      </c>
      <c r="AP5" s="7">
        <v>-0.97375782986430803</v>
      </c>
      <c r="AQ5" s="7">
        <v>-1.1423046918934201</v>
      </c>
      <c r="AR5" s="7">
        <v>-1.52774343061304</v>
      </c>
      <c r="AS5" s="7">
        <v>1.49130780410404</v>
      </c>
      <c r="AT5" s="7">
        <v>-1.5560762547790199</v>
      </c>
      <c r="AU5" s="7">
        <v>-0.39881291505534799</v>
      </c>
      <c r="AV5" s="7">
        <v>1.5125119542623799</v>
      </c>
      <c r="AW5" s="7">
        <v>-0.49151299882676303</v>
      </c>
      <c r="AX5" s="7">
        <v>5.7504528165434901E-2</v>
      </c>
      <c r="AY5" s="7">
        <v>-0.21600705931196901</v>
      </c>
      <c r="AZ5" s="7">
        <v>-0.20807670952944601</v>
      </c>
      <c r="BA5" s="7">
        <v>-0.39921075020774499</v>
      </c>
      <c r="BB5" s="7">
        <v>-0.46053695737830902</v>
      </c>
      <c r="BC5" s="7">
        <v>-0.43136882549100602</v>
      </c>
      <c r="BD5" s="7">
        <v>1.31948887950434</v>
      </c>
      <c r="BE5" s="7">
        <v>-6.9098518342171497E-2</v>
      </c>
      <c r="BF5" s="7">
        <v>-0.87131135611858601</v>
      </c>
      <c r="BG5" s="7">
        <v>1.18101211056387</v>
      </c>
      <c r="BH5" s="7">
        <v>2.8545139924387501</v>
      </c>
      <c r="BI5" s="7">
        <v>-1.8244228090457299E-2</v>
      </c>
      <c r="BJ5" s="7">
        <v>-5.4583498091165902E-2</v>
      </c>
      <c r="BK5" s="7">
        <v>-3.1191780714914299</v>
      </c>
      <c r="BL5" s="7">
        <v>1.60427298226685</v>
      </c>
      <c r="BM5" s="7">
        <v>0.44217481133833197</v>
      </c>
      <c r="BN5" s="7">
        <v>-0.21869305018303301</v>
      </c>
      <c r="BO5" s="7">
        <v>-1.57287059495123</v>
      </c>
      <c r="BP5" s="7">
        <v>1.2662328033798</v>
      </c>
      <c r="BQ5" s="7">
        <v>0.17729818202230499</v>
      </c>
      <c r="BR5" s="7">
        <v>0.217030443942581</v>
      </c>
      <c r="BS5" s="7">
        <v>0.73860109572337396</v>
      </c>
      <c r="BT5" s="7">
        <v>-1.6687477394950601</v>
      </c>
      <c r="BU5" s="7">
        <v>-1.14575708934576</v>
      </c>
      <c r="BV5" s="7">
        <v>1.6704907395976301</v>
      </c>
      <c r="BW5" s="7">
        <v>0.63486964918173105</v>
      </c>
      <c r="BX5" s="7">
        <v>0.192787865259191</v>
      </c>
      <c r="BY5" s="7">
        <v>0.70670505860150301</v>
      </c>
      <c r="BZ5" s="7">
        <v>1.1096986936007101</v>
      </c>
      <c r="CA5" s="7">
        <v>0.219620997705641</v>
      </c>
      <c r="CB5" s="7">
        <v>-0.21797088288650099</v>
      </c>
      <c r="CC5" s="7">
        <v>0.40518709736226699</v>
      </c>
      <c r="CD5" s="7">
        <v>-0.209549850320322</v>
      </c>
      <c r="CE5" s="7">
        <v>1.7512434160353101</v>
      </c>
      <c r="CF5" s="7">
        <v>-0.49498453691087002</v>
      </c>
      <c r="CG5" s="7">
        <v>0.34327986943175698</v>
      </c>
      <c r="CH5" s="7">
        <v>-0.376024553569695</v>
      </c>
      <c r="CI5" s="7">
        <v>-0.351264426228309</v>
      </c>
      <c r="CJ5" s="7">
        <v>-0.57828862021324601</v>
      </c>
      <c r="CK5" s="7">
        <v>0.53025152863273595</v>
      </c>
      <c r="CL5" s="7">
        <v>1.68080087067247</v>
      </c>
      <c r="CM5" s="7">
        <v>-0.78005822254212398</v>
      </c>
      <c r="CN5" s="7">
        <v>-1.32271497493477</v>
      </c>
      <c r="CO5" s="7">
        <v>-0.13325375723663099</v>
      </c>
      <c r="CP5" s="7">
        <v>-0.1748432351392</v>
      </c>
      <c r="CQ5" s="7">
        <v>0.13477088383196201</v>
      </c>
      <c r="CR5" s="7">
        <v>1.11017579170602</v>
      </c>
      <c r="CS5" s="7">
        <v>1.54083858062838</v>
      </c>
      <c r="CT5" s="7">
        <v>1.36824709705553</v>
      </c>
      <c r="CU5" s="7">
        <v>-0.46822058539386202</v>
      </c>
      <c r="CV5" s="7">
        <v>0.79189177009051803</v>
      </c>
      <c r="CW5" s="7">
        <v>-1.1973979581532399</v>
      </c>
      <c r="CX5" s="7">
        <v>-0.439894599810565</v>
      </c>
      <c r="CY5" s="7">
        <v>-1.2294287479010599</v>
      </c>
      <c r="CZ5" s="7">
        <v>0.39877041299897398</v>
      </c>
      <c r="DA5" s="7">
        <v>0.78973275064340398</v>
      </c>
      <c r="DB5" s="7">
        <v>-0.98370169771409699</v>
      </c>
      <c r="DC5" s="7">
        <v>0.33000320953749201</v>
      </c>
      <c r="DD5" s="7">
        <v>-0.584351186165187</v>
      </c>
      <c r="DE5" s="7">
        <v>-1.42396436787837</v>
      </c>
      <c r="DF5" s="7">
        <v>0.55585676949414997</v>
      </c>
      <c r="DG5" s="7">
        <v>-1.90160614757269</v>
      </c>
      <c r="DH5" s="7">
        <v>-0.217264121043065</v>
      </c>
      <c r="DI5" s="7">
        <v>-0.77186314221601104</v>
      </c>
      <c r="DJ5" s="7">
        <v>-0.84029402249595997</v>
      </c>
      <c r="DK5" s="7">
        <v>-0.90792328327884297</v>
      </c>
      <c r="DL5" s="7">
        <v>1.01588863337292</v>
      </c>
      <c r="DM5" s="7">
        <v>-1.25206341052243</v>
      </c>
      <c r="DN5" s="7">
        <v>0.99823361400233501</v>
      </c>
      <c r="DO5" s="7">
        <v>-0.73343458318890498</v>
      </c>
      <c r="DP5" s="7">
        <v>-2.4953818061000699</v>
      </c>
      <c r="DQ5" s="7">
        <v>-0.97735592645605096</v>
      </c>
      <c r="DR5" s="7">
        <v>-0.68624426113958603</v>
      </c>
      <c r="DS5" s="7">
        <v>2.9257599917731301</v>
      </c>
      <c r="DT5" s="7">
        <v>0.46896975027173399</v>
      </c>
      <c r="DU5" s="7">
        <v>-9.6479429638341899E-2</v>
      </c>
      <c r="DV5" s="7">
        <v>-0.67711061726328203</v>
      </c>
      <c r="DW5" s="7">
        <v>-8.9840027474959103E-2</v>
      </c>
      <c r="DX5" s="7">
        <v>1.45587915812957</v>
      </c>
      <c r="DY5" s="7">
        <v>0.58161985822639595</v>
      </c>
      <c r="DZ5" s="7">
        <v>-0.65368646689558696</v>
      </c>
      <c r="EA5" s="7">
        <v>0.54587081650587099</v>
      </c>
      <c r="EB5" s="7">
        <v>1.3415536609287799</v>
      </c>
      <c r="EC5" s="7">
        <v>-1.5567933982714199</v>
      </c>
      <c r="ED5" s="7">
        <v>1.6479540608778001</v>
      </c>
      <c r="EE5" s="7">
        <v>-6.7574895745628003E-3</v>
      </c>
      <c r="EF5" s="7">
        <v>-1.5086093504623901</v>
      </c>
      <c r="EG5" s="7">
        <v>-0.49442880392441901</v>
      </c>
      <c r="EH5" s="7">
        <v>0.26277777983880501</v>
      </c>
      <c r="EI5" s="7">
        <v>-0.27272705473774</v>
      </c>
      <c r="EJ5" s="7">
        <v>-0.68978081999262997</v>
      </c>
      <c r="EK5" s="7">
        <v>-2.5253902090315101</v>
      </c>
      <c r="EL5" s="7">
        <v>-0.82520523253219902</v>
      </c>
      <c r="EM5" s="7">
        <v>0.43230402318191802</v>
      </c>
      <c r="EN5" s="7">
        <v>7.1635746296001999E-3</v>
      </c>
      <c r="EO5" s="7">
        <v>0.377420595877412</v>
      </c>
      <c r="EP5" s="7">
        <v>1.91851861623928</v>
      </c>
      <c r="EQ5" s="7">
        <v>-1.63824593422994</v>
      </c>
      <c r="ER5" s="7">
        <v>-0.52280749193728204</v>
      </c>
      <c r="ES5" s="7">
        <v>-0.83405418178818003</v>
      </c>
      <c r="ET5" s="7">
        <v>-0.34166280334098997</v>
      </c>
      <c r="EU5" s="7">
        <v>-1.4528766578544301</v>
      </c>
      <c r="EV5" s="7">
        <v>-1.07817613736264</v>
      </c>
      <c r="EW5" s="7">
        <v>1.79579994181716</v>
      </c>
      <c r="EX5" s="7">
        <v>0.308018438436235</v>
      </c>
      <c r="EY5" s="7">
        <v>-0.13783786996092001</v>
      </c>
      <c r="EZ5" s="7">
        <v>-0.65756004077768204</v>
      </c>
      <c r="FA5" s="7">
        <v>8.4554378989627907E-2</v>
      </c>
      <c r="FB5" s="7">
        <v>0.933271777555574</v>
      </c>
      <c r="FC5" s="7">
        <v>-0.60219099835563605</v>
      </c>
      <c r="FD5" s="7">
        <v>0.27904874717241801</v>
      </c>
      <c r="FE5" s="7">
        <v>0.47762813304243701</v>
      </c>
      <c r="FF5" s="7">
        <v>-1.9792809909804201</v>
      </c>
      <c r="FG5" s="7">
        <v>-0.78701726426837004</v>
      </c>
      <c r="FH5" s="7">
        <v>0.17028638498368801</v>
      </c>
      <c r="FI5" s="7">
        <v>-1.34595457599144</v>
      </c>
      <c r="FJ5" s="7">
        <v>-0.31976070604899998</v>
      </c>
      <c r="FK5" s="7">
        <v>5.27221037230413E-2</v>
      </c>
      <c r="FL5" s="7">
        <v>0.21806391599901601</v>
      </c>
      <c r="FM5" s="7">
        <v>-0.82411995176959896</v>
      </c>
      <c r="FN5" s="7">
        <v>-0.94723126334142205</v>
      </c>
      <c r="FO5" s="7">
        <v>8.3126620329325399E-2</v>
      </c>
      <c r="FP5" s="7">
        <v>-0.59323648193822098</v>
      </c>
      <c r="FQ5" s="7">
        <v>-2.0048150110609702</v>
      </c>
      <c r="FR5" s="7">
        <v>0.445511183516412</v>
      </c>
      <c r="FS5" s="7">
        <v>1.1804484981177401</v>
      </c>
      <c r="FT5" s="7">
        <v>0.60775849971461104</v>
      </c>
      <c r="FU5" s="7">
        <v>-0.126519191147172</v>
      </c>
      <c r="FV5" s="7">
        <v>1.1473419483268701</v>
      </c>
      <c r="FW5" s="7">
        <v>1.0643898187973</v>
      </c>
      <c r="FX5" s="7">
        <v>-0.75863284557926902</v>
      </c>
      <c r="FY5" s="7">
        <v>-1.21666714128927</v>
      </c>
      <c r="FZ5" s="7">
        <v>-1.13417628607114</v>
      </c>
      <c r="GA5" s="7">
        <v>-0.31525410737512699</v>
      </c>
      <c r="GB5" s="7">
        <v>-1.3457275612716</v>
      </c>
      <c r="GC5" s="7">
        <v>-0.38410530044564001</v>
      </c>
      <c r="GD5" s="7">
        <v>7.7664236965376096E-2</v>
      </c>
      <c r="GE5" s="7">
        <v>0.42231451456662</v>
      </c>
      <c r="GF5" s="7">
        <v>-0.99275282038893897</v>
      </c>
      <c r="GG5" s="7">
        <v>0.14084025056338001</v>
      </c>
      <c r="GH5" s="7">
        <v>0.62108655046865802</v>
      </c>
      <c r="GI5" s="7">
        <v>1.20597224969706</v>
      </c>
      <c r="GJ5" s="7">
        <v>0.19013737460536301</v>
      </c>
      <c r="GK5" s="7">
        <v>2.1996862651982299</v>
      </c>
      <c r="GL5" s="7">
        <v>3.6034518957374202E-2</v>
      </c>
      <c r="GM5" s="7">
        <v>-1.5818794590265199</v>
      </c>
      <c r="GN5" s="7">
        <v>0.199108192011203</v>
      </c>
      <c r="GO5" s="7">
        <v>-0.95584303387917702</v>
      </c>
      <c r="GP5" s="7">
        <v>-1.35230688550803</v>
      </c>
      <c r="GQ5" s="7">
        <v>-0.29832129871568702</v>
      </c>
      <c r="GR5" s="7">
        <v>-0.90865293480149101</v>
      </c>
      <c r="GS5" s="7">
        <v>1.2012093501035099</v>
      </c>
      <c r="GT5" s="7">
        <v>-0.53296897393208598</v>
      </c>
      <c r="GU5" s="7">
        <v>5.9346732555591301E-2</v>
      </c>
      <c r="GV5" s="7">
        <v>1.8531764010524299E-2</v>
      </c>
      <c r="GW5" s="7">
        <v>3.2573763430915199</v>
      </c>
      <c r="GX5" s="7">
        <v>-0.215250550962552</v>
      </c>
      <c r="GY5" s="7">
        <v>-1.3566990169751001</v>
      </c>
      <c r="GZ5" s="7">
        <v>1.9116150658849</v>
      </c>
      <c r="HA5" s="7">
        <v>1.58366100665177</v>
      </c>
      <c r="HB5" s="7">
        <v>0.23604045009984201</v>
      </c>
      <c r="HC5" s="7">
        <v>1.11749846011882</v>
      </c>
      <c r="HD5" s="7">
        <v>1.06724772689166</v>
      </c>
      <c r="HE5" s="7">
        <v>-1.6720514067857399</v>
      </c>
      <c r="HF5" s="7">
        <v>-0.589990918875688</v>
      </c>
      <c r="HG5" s="7">
        <v>1.90217401923068</v>
      </c>
      <c r="HH5" s="7">
        <v>-9.1804300105383999E-2</v>
      </c>
      <c r="HI5" s="7">
        <v>1.22543548624145</v>
      </c>
      <c r="HJ5" s="7">
        <v>-0.54045507654298097</v>
      </c>
      <c r="HK5" s="7">
        <v>-0.156724127967522</v>
      </c>
      <c r="HL5" s="7">
        <v>-1.81970135949495</v>
      </c>
      <c r="HM5" s="7">
        <v>0.63408970786683905</v>
      </c>
      <c r="HN5" s="7">
        <v>-1.77110368391641</v>
      </c>
      <c r="HO5" s="7">
        <v>0.75906357132137503</v>
      </c>
      <c r="HP5" s="7">
        <v>0.24454854327220801</v>
      </c>
      <c r="HQ5" s="7">
        <v>-1.28545860472175</v>
      </c>
      <c r="HR5" s="7">
        <v>-1.65885895344421</v>
      </c>
      <c r="HS5" s="7">
        <v>-0.71535985731176299</v>
      </c>
      <c r="HT5" s="7">
        <v>-0.261111941332547</v>
      </c>
      <c r="HU5" s="7">
        <v>-0.56081838984534005</v>
      </c>
      <c r="HV5" s="7">
        <v>0.67908395899067897</v>
      </c>
      <c r="HW5" s="7">
        <v>1.47228511584763</v>
      </c>
      <c r="HX5" s="7">
        <v>-0.84392842966201798</v>
      </c>
      <c r="HY5" s="7">
        <v>1.3537929340230801</v>
      </c>
      <c r="HZ5" s="7">
        <v>2.2287582616914401</v>
      </c>
      <c r="IA5" s="7">
        <v>1.3119904784240199</v>
      </c>
      <c r="IB5" s="7">
        <v>1.01308700565478</v>
      </c>
      <c r="IC5" s="7">
        <v>0.86406045977791301</v>
      </c>
      <c r="ID5" s="7">
        <v>-2.3574011843101599</v>
      </c>
      <c r="IE5" s="7">
        <v>0.77164571771461998</v>
      </c>
      <c r="IF5" s="7">
        <v>-1.3922733676019501</v>
      </c>
      <c r="IG5" s="7">
        <v>-2.49232440865672</v>
      </c>
      <c r="IH5" s="7">
        <v>-7.4092189265149003E-2</v>
      </c>
      <c r="II5" s="7">
        <v>-1.83325346391082</v>
      </c>
      <c r="IJ5" s="7">
        <v>2.1151301134762698E-2</v>
      </c>
      <c r="IK5" s="7">
        <v>-2.2319807596324899</v>
      </c>
      <c r="IL5" s="7">
        <v>1.6930496261268999</v>
      </c>
      <c r="IM5" s="7">
        <v>1.8116340114171701</v>
      </c>
      <c r="IN5" s="7">
        <v>-2.43181854554481</v>
      </c>
      <c r="IO5" s="7">
        <v>0.28067979002688198</v>
      </c>
      <c r="IP5" s="7">
        <v>-0.20523434017973599</v>
      </c>
      <c r="IQ5" s="7">
        <v>2.3831330621039002</v>
      </c>
      <c r="IR5" s="7">
        <v>-0.80935991057340195</v>
      </c>
      <c r="IS5" s="7">
        <v>1.0608814139714</v>
      </c>
      <c r="IT5" s="7">
        <v>-0.22757193237912299</v>
      </c>
      <c r="IU5" s="7">
        <v>2.2486620884041302</v>
      </c>
      <c r="IV5" s="7">
        <v>-1.40494762816861</v>
      </c>
      <c r="IW5" s="7">
        <v>2.1938506607214201</v>
      </c>
      <c r="IX5" s="7">
        <v>-0.95443861625814796</v>
      </c>
      <c r="IY5" s="7">
        <v>-2.3576407188532298</v>
      </c>
      <c r="IZ5" s="7">
        <v>-0.36708512914825597</v>
      </c>
      <c r="JA5" s="7">
        <v>-0.95789070280760302</v>
      </c>
      <c r="JB5" s="7">
        <v>-0.77128001287834302</v>
      </c>
      <c r="JC5" s="7">
        <v>0.29303173929871901</v>
      </c>
      <c r="JD5" s="7">
        <v>-0.96817212608702796</v>
      </c>
      <c r="JE5" s="7">
        <v>-0.89379489542760604</v>
      </c>
      <c r="JF5" s="7">
        <v>1.4756697438944399</v>
      </c>
      <c r="JG5" s="7">
        <v>0.54835749415645396</v>
      </c>
      <c r="JH5" s="7">
        <v>2.2994511571802101</v>
      </c>
      <c r="JI5" s="7">
        <v>-0.22329673212041601</v>
      </c>
      <c r="JJ5" s="7">
        <v>0.25491594126378297</v>
      </c>
      <c r="JK5" s="7">
        <v>0.70700917779135497</v>
      </c>
      <c r="JL5" s="7">
        <v>0.80058323115085706</v>
      </c>
      <c r="JM5" s="7">
        <v>-0.72693539661491902</v>
      </c>
      <c r="JN5" s="7">
        <v>-1.08388917636645</v>
      </c>
      <c r="JO5" s="7">
        <v>0.316306702213209</v>
      </c>
      <c r="JP5" s="7">
        <v>0.78736419990926698</v>
      </c>
      <c r="JQ5" s="7">
        <v>0.62915488995042501</v>
      </c>
      <c r="JR5" s="7">
        <v>-1.8146747654556701</v>
      </c>
      <c r="JS5" s="7">
        <v>0.259034015517978</v>
      </c>
      <c r="JT5" s="7">
        <v>0.74870669117525901</v>
      </c>
      <c r="JU5" s="7">
        <v>-0.378063377633509</v>
      </c>
      <c r="JV5" s="7">
        <v>-0.22757513387716399</v>
      </c>
      <c r="JW5" s="7">
        <v>-4.8694911465570298E-2</v>
      </c>
      <c r="JX5" s="7">
        <v>2.4582404010800798</v>
      </c>
      <c r="JY5" s="7">
        <v>0.45859344516505801</v>
      </c>
      <c r="JZ5" s="7">
        <v>0.353579873094927</v>
      </c>
      <c r="KA5" s="7">
        <v>-3.0218587325403501E-2</v>
      </c>
      <c r="KB5" s="7">
        <v>0.71344522764327001</v>
      </c>
      <c r="KC5" s="7">
        <v>0.42924791774709897</v>
      </c>
      <c r="KD5" s="7">
        <v>1.03748066142282</v>
      </c>
      <c r="KE5" s="7">
        <v>-0.14449411460583</v>
      </c>
      <c r="KF5" s="7">
        <v>1.1371379067641001</v>
      </c>
      <c r="KG5" s="7">
        <v>-4.2349576772569002E-2</v>
      </c>
      <c r="KH5" s="7">
        <v>-0.97730677691174905</v>
      </c>
      <c r="KI5" s="7">
        <v>-5.8466966487385003E-2</v>
      </c>
      <c r="KJ5" s="7">
        <v>0.58545177633581602</v>
      </c>
      <c r="KK5" s="7">
        <v>1.04501170006236</v>
      </c>
      <c r="KL5" s="7">
        <v>-1.64479885820015</v>
      </c>
      <c r="KM5" s="7">
        <v>1.7047748572557899</v>
      </c>
      <c r="KN5" s="7">
        <v>1.4761887418613</v>
      </c>
      <c r="KO5" s="7">
        <v>0.12167077510152</v>
      </c>
      <c r="KP5" s="7">
        <v>-0.23190660374866101</v>
      </c>
      <c r="KQ5" s="7">
        <v>-7.0407770677866494E-2</v>
      </c>
      <c r="KR5" s="7">
        <v>-1.05825277973709</v>
      </c>
      <c r="KS5" s="7">
        <v>-0.51982850862893604</v>
      </c>
      <c r="KT5" s="7">
        <v>0.50528659302961398</v>
      </c>
      <c r="KU5" s="7">
        <v>-0.82638717522230198</v>
      </c>
      <c r="KV5" s="7">
        <v>-0.79924269829797501</v>
      </c>
      <c r="KW5" s="7">
        <v>0.84013967988167004</v>
      </c>
      <c r="KX5" s="7">
        <v>-0.17084555978683599</v>
      </c>
      <c r="KY5" s="7">
        <v>0.26033915070073399</v>
      </c>
      <c r="KZ5" s="7">
        <v>0.201057269095543</v>
      </c>
      <c r="LA5" s="7">
        <v>-0.169446322298972</v>
      </c>
      <c r="LB5" s="7">
        <v>-2.4294081179217102</v>
      </c>
      <c r="LC5" s="7">
        <v>0.74188828281207198</v>
      </c>
      <c r="LD5" s="7">
        <v>-0.52625888249859898</v>
      </c>
      <c r="LE5" s="7">
        <v>-0.64479334714837599</v>
      </c>
      <c r="LF5" s="7">
        <v>2.95258077612226E-2</v>
      </c>
      <c r="LG5" s="7">
        <v>0.30908106272712099</v>
      </c>
      <c r="LH5" s="7">
        <v>0.19184518122091701</v>
      </c>
      <c r="LI5" s="7">
        <v>0.233555712044825</v>
      </c>
      <c r="LJ5" s="7">
        <v>-0.19521610176958201</v>
      </c>
      <c r="LK5" s="7">
        <v>0.98333813257653402</v>
      </c>
      <c r="LL5" s="7">
        <v>1.1226222046827701</v>
      </c>
      <c r="LM5" s="7">
        <v>0.64039755061395998</v>
      </c>
      <c r="LN5" s="7">
        <v>-7.8240742022796905E-2</v>
      </c>
      <c r="LO5" s="7">
        <v>-1.7807540317981301</v>
      </c>
      <c r="LP5" s="7">
        <v>-0.88840028420251704</v>
      </c>
      <c r="LQ5" s="7">
        <v>-0.91521552960625296</v>
      </c>
      <c r="LR5" s="7">
        <v>0.29205154940874101</v>
      </c>
      <c r="LS5" s="7">
        <v>1.10758099842303</v>
      </c>
      <c r="LT5" s="7">
        <v>-0.403852899644084</v>
      </c>
      <c r="LU5" s="7">
        <v>0.98969554089280998</v>
      </c>
      <c r="LV5" s="7">
        <v>0.23788615773480101</v>
      </c>
      <c r="LW5" s="7">
        <v>-2.4100020964879598</v>
      </c>
      <c r="LX5" s="7">
        <v>9.4092725680235204E-2</v>
      </c>
      <c r="LY5" s="7">
        <v>0.49904257120347401</v>
      </c>
      <c r="LZ5" s="7">
        <v>-1.3298352902866599</v>
      </c>
      <c r="MA5" s="7">
        <v>-0.311395806318851</v>
      </c>
      <c r="MB5" s="7">
        <v>-1.4200997274853799</v>
      </c>
      <c r="MC5" s="7">
        <v>0.485872023180621</v>
      </c>
      <c r="MD5" s="7">
        <v>1.8755125712544001</v>
      </c>
      <c r="ME5" s="7">
        <v>-0.16542316907363699</v>
      </c>
      <c r="MF5" s="7">
        <v>-0.63408527186761698</v>
      </c>
      <c r="MG5" s="7">
        <v>-4.5587231622319403E-2</v>
      </c>
      <c r="MH5" s="7">
        <v>-0.51541829055821697</v>
      </c>
      <c r="MI5" s="7">
        <v>-0.36512290067196201</v>
      </c>
      <c r="MJ5" s="7">
        <v>5.61051752250512E-2</v>
      </c>
      <c r="MK5" s="7">
        <v>-1.0953855806747399</v>
      </c>
      <c r="ML5" s="7">
        <v>-0.26635560275256998</v>
      </c>
      <c r="MM5" s="7">
        <v>0.73462867354936101</v>
      </c>
      <c r="MN5" s="7">
        <v>0.195868235870681</v>
      </c>
      <c r="MO5" s="7">
        <v>-0.47836969616597003</v>
      </c>
      <c r="MP5" s="7">
        <v>-0.83549028131112102</v>
      </c>
      <c r="MQ5" s="7">
        <v>0.52297362741686204</v>
      </c>
      <c r="MR5" s="7">
        <v>-1.16065013608652</v>
      </c>
      <c r="MS5" s="7">
        <v>-0.303523148940121</v>
      </c>
      <c r="MT5" s="7">
        <v>-0.44157170591284201</v>
      </c>
      <c r="MU5" s="7">
        <v>1.43251845617378</v>
      </c>
      <c r="MV5" s="7">
        <v>0.43892840668942501</v>
      </c>
      <c r="MW5" s="7">
        <v>-0.242220790028325</v>
      </c>
      <c r="MX5" s="7">
        <v>0.18000389651353901</v>
      </c>
      <c r="MY5" s="7">
        <v>-0.67846929590254401</v>
      </c>
      <c r="MZ5" s="7">
        <v>1.8874636240795399</v>
      </c>
      <c r="NA5" s="7">
        <v>0.37222771468204202</v>
      </c>
      <c r="NB5" s="7">
        <v>-0.85388268752543905</v>
      </c>
      <c r="NC5" s="7">
        <v>-0.38332484161156799</v>
      </c>
      <c r="ND5" s="7">
        <v>-0.76094311413975102</v>
      </c>
      <c r="NE5" s="7">
        <v>-5.4005919006646697E-2</v>
      </c>
      <c r="NF5" s="7">
        <v>0.32457936059286702</v>
      </c>
      <c r="NG5" s="7">
        <v>0.495377903551937</v>
      </c>
      <c r="NH5" s="7">
        <v>-2.3361935777683298</v>
      </c>
      <c r="NI5" s="7">
        <v>-1.8865948361768099</v>
      </c>
      <c r="NJ5" s="7">
        <v>0.96052098097460503</v>
      </c>
      <c r="NK5" s="7">
        <v>-0.66792702059240205</v>
      </c>
      <c r="NL5" s="7">
        <v>-0.218650856905406</v>
      </c>
      <c r="NM5" s="7">
        <v>-1.62456954988099</v>
      </c>
      <c r="NN5" s="7">
        <v>-0.49752814065955198</v>
      </c>
      <c r="NO5" s="7">
        <v>0.55006517747806205</v>
      </c>
      <c r="NP5" s="7">
        <v>2.8765405284315902E-2</v>
      </c>
      <c r="NQ5" s="7">
        <v>-0.28955988618162498</v>
      </c>
      <c r="NR5" s="7">
        <v>-0.39218319340777302</v>
      </c>
      <c r="NS5" s="7">
        <v>6.3058561110796496E-2</v>
      </c>
      <c r="NT5" s="7">
        <v>-0.44800892917894802</v>
      </c>
      <c r="NU5" s="7">
        <v>-3.9726447360186601E-2</v>
      </c>
      <c r="NV5" s="7">
        <v>-0.95436857169231304</v>
      </c>
      <c r="NW5" s="7">
        <v>-1.6945129006170601</v>
      </c>
      <c r="NX5" s="7">
        <v>-0.53888949248297602</v>
      </c>
      <c r="NY5" s="7">
        <v>0.19791004351705699</v>
      </c>
      <c r="NZ5" s="7">
        <v>0.215887044785076</v>
      </c>
      <c r="OA5" s="7">
        <v>-1.8432853295612801</v>
      </c>
      <c r="OB5" s="7">
        <v>-0.23223192034370599</v>
      </c>
      <c r="OC5" s="7">
        <v>-1.15863328505013</v>
      </c>
      <c r="OD5" s="7">
        <v>-0.452844564933161</v>
      </c>
      <c r="OE5" s="7">
        <v>0.31423539931183903</v>
      </c>
      <c r="OF5" s="7">
        <v>-1.1389697055196299</v>
      </c>
      <c r="OG5" s="7">
        <v>-1.0234716867454301</v>
      </c>
      <c r="OH5" s="7">
        <v>-0.52294724969695605</v>
      </c>
      <c r="OI5" s="7">
        <v>0.41547809244825601</v>
      </c>
      <c r="OJ5" s="7">
        <v>5.92776631623027E-2</v>
      </c>
      <c r="OK5" s="7">
        <v>-0.86098133048459002</v>
      </c>
      <c r="OL5" s="7">
        <v>-0.97073291543506801</v>
      </c>
      <c r="OM5" s="7">
        <v>-1.0872717516903301</v>
      </c>
      <c r="ON5" s="7">
        <v>-1.63328562939616</v>
      </c>
      <c r="OO5" s="7">
        <v>0.13790958705325801</v>
      </c>
      <c r="OP5" s="7">
        <v>-1.0798323712149001</v>
      </c>
      <c r="OQ5" s="7">
        <v>3.7730729990953303E-2</v>
      </c>
      <c r="OR5" s="7">
        <v>-0.52571870359457795</v>
      </c>
      <c r="OS5" s="7">
        <v>0.20907170110905501</v>
      </c>
      <c r="OT5" s="7">
        <v>-0.94663254374607497</v>
      </c>
      <c r="OU5" s="7">
        <v>-0.31102541376757697</v>
      </c>
      <c r="OV5" s="7">
        <v>-0.19441408022227299</v>
      </c>
      <c r="OW5" s="7">
        <v>7.2771322825383594E-2</v>
      </c>
      <c r="OX5" s="7">
        <v>-1.3427394862054001</v>
      </c>
      <c r="OY5" s="7">
        <v>1.15780268179505</v>
      </c>
      <c r="OZ5" s="7">
        <v>0.32238983904403701</v>
      </c>
      <c r="PA5" s="7">
        <v>-0.198784099016687</v>
      </c>
      <c r="PB5" s="7">
        <v>1.3095963854816099</v>
      </c>
      <c r="PC5" s="7">
        <v>-0.78719316984598098</v>
      </c>
      <c r="PD5" s="7">
        <v>-0.95456534279448901</v>
      </c>
      <c r="PE5" s="7">
        <v>-0.78650931495156995</v>
      </c>
      <c r="PF5" s="7">
        <v>1.65662994771684</v>
      </c>
      <c r="PG5" s="7">
        <v>0.10213774218774201</v>
      </c>
      <c r="PH5" s="7">
        <v>1.64693980370754</v>
      </c>
      <c r="PI5" s="7">
        <v>-0.39832323862963598</v>
      </c>
      <c r="PJ5" s="7">
        <v>0.55089706794182702</v>
      </c>
      <c r="PK5" s="7">
        <v>-0.22807896846676601</v>
      </c>
      <c r="PL5" s="7">
        <v>-0.21040366537382299</v>
      </c>
      <c r="PM5" s="7">
        <v>0.90380931887387905</v>
      </c>
      <c r="PN5" s="7">
        <v>-1.0793268792108099</v>
      </c>
      <c r="PO5" s="7">
        <v>-0.37216877219446098</v>
      </c>
      <c r="PP5" s="7">
        <v>0.22019271845701699</v>
      </c>
      <c r="PQ5" s="7">
        <v>-0.22631221839670701</v>
      </c>
      <c r="PR5" s="7">
        <v>5.1842601178780999E-2</v>
      </c>
      <c r="PS5" s="7">
        <v>-0.24603538949897599</v>
      </c>
      <c r="PT5" s="7">
        <v>-1.4134368247337199</v>
      </c>
      <c r="PU5" s="7">
        <v>-0.27537844848589998</v>
      </c>
      <c r="PV5" s="7">
        <v>-0.21481488527836301</v>
      </c>
      <c r="PW5" s="7">
        <v>0.104691278600354</v>
      </c>
      <c r="PX5" s="7">
        <v>1.3319201327402901</v>
      </c>
      <c r="PY5" s="7">
        <v>0.73717651529591</v>
      </c>
      <c r="PZ5" s="7">
        <v>0.112149400740142</v>
      </c>
      <c r="QA5" s="7">
        <v>3.5471379465240398</v>
      </c>
      <c r="QB5" s="7">
        <v>7.4642872096179202E-2</v>
      </c>
      <c r="QC5" s="7">
        <v>1.0864112460808599</v>
      </c>
      <c r="QD5" s="7">
        <v>0.34122449529163201</v>
      </c>
      <c r="QE5" s="7">
        <v>0.90846513569037002</v>
      </c>
      <c r="QF5" s="7">
        <v>-0.66238414182220395</v>
      </c>
      <c r="QG5" s="7">
        <v>6.3307685839429695E-2</v>
      </c>
      <c r="QH5" s="7">
        <v>-0.34426824760998997</v>
      </c>
      <c r="QI5" s="7">
        <v>0.82388069883932102</v>
      </c>
      <c r="QJ5" s="7">
        <v>-0.18332929152350699</v>
      </c>
      <c r="QK5" s="7">
        <v>-1.83650624397165</v>
      </c>
      <c r="QL5" s="7">
        <v>0.97439418721791604</v>
      </c>
      <c r="QM5" s="7">
        <v>-2.35468450494376E-2</v>
      </c>
      <c r="QN5" s="7">
        <v>0.16130988658600501</v>
      </c>
      <c r="QO5" s="7">
        <v>1.5484677576258501</v>
      </c>
      <c r="QP5" s="7">
        <v>2.24475849367419</v>
      </c>
      <c r="QQ5" s="7">
        <v>2.38437100596874</v>
      </c>
      <c r="QR5" s="7">
        <v>0.160534432192419</v>
      </c>
      <c r="QS5" s="7">
        <v>-1.03841850963118</v>
      </c>
      <c r="QT5" s="7">
        <v>-0.45027151556698403</v>
      </c>
      <c r="QU5" s="7">
        <v>0.17406464137517</v>
      </c>
      <c r="QV5" s="7">
        <v>-2.0602076128401801</v>
      </c>
      <c r="QW5" s="7">
        <v>-0.14570114865532599</v>
      </c>
      <c r="QX5" s="7">
        <v>0.52920192359533103</v>
      </c>
      <c r="QY5" s="7">
        <v>0.44351293371252598</v>
      </c>
      <c r="QZ5" s="7">
        <v>-1.22647783982562</v>
      </c>
      <c r="RA5" s="7">
        <v>-1.75435570438967</v>
      </c>
      <c r="RB5" s="7">
        <v>1.8023998357914099</v>
      </c>
      <c r="RC5" s="7">
        <v>0.21508020374221301</v>
      </c>
      <c r="RD5" s="7">
        <v>2.3938992226881801</v>
      </c>
      <c r="RE5" s="7">
        <v>2.2211375062732901</v>
      </c>
      <c r="RF5" s="7">
        <v>1.721395474158</v>
      </c>
      <c r="RG5" s="7">
        <v>-0.78056143085637597</v>
      </c>
      <c r="RH5" s="7">
        <v>0.112655728572362</v>
      </c>
      <c r="RI5" s="7">
        <v>-0.54093294109483503</v>
      </c>
      <c r="RJ5" s="7">
        <v>0.48550715813323198</v>
      </c>
      <c r="RK5" s="7">
        <v>1.52997757870068</v>
      </c>
      <c r="RL5" s="7">
        <v>2.0014391585538802</v>
      </c>
      <c r="RM5" s="7">
        <v>-1.2549701921763401</v>
      </c>
      <c r="RN5" s="7">
        <v>1.63835503463754</v>
      </c>
      <c r="RO5" s="7">
        <v>1.90778717748025</v>
      </c>
      <c r="RP5" s="7">
        <v>0.40070242044394999</v>
      </c>
      <c r="RQ5" s="7">
        <v>-0.386338840808997</v>
      </c>
      <c r="RR5" s="7">
        <v>0.208554570063577</v>
      </c>
      <c r="RS5" s="7">
        <v>1.3876169374626599</v>
      </c>
      <c r="RT5" s="7">
        <v>-0.60757366268314905</v>
      </c>
      <c r="RU5" s="7">
        <v>-1.36360919578421</v>
      </c>
      <c r="RV5" s="7">
        <v>-1.8191811881034201</v>
      </c>
      <c r="RW5" s="7">
        <v>-0.52513859175981803</v>
      </c>
      <c r="RX5" s="7">
        <v>-0.478958583665273</v>
      </c>
      <c r="RY5" s="7">
        <v>-0.52912903848582404</v>
      </c>
      <c r="RZ5" s="7">
        <v>1.8904991571776199E-2</v>
      </c>
      <c r="SA5" s="7">
        <v>-0.76135842268590603</v>
      </c>
      <c r="SB5" s="7">
        <v>-0.75349471812162205</v>
      </c>
      <c r="SC5" s="7">
        <v>0.22019859394183</v>
      </c>
      <c r="SD5" s="7">
        <v>-2.0905608295378699</v>
      </c>
      <c r="SE5" s="7">
        <v>1.34239847853335</v>
      </c>
      <c r="SF5" s="7">
        <v>-0.30873948782701699</v>
      </c>
      <c r="SG5" s="7">
        <v>-6.4428399703745601E-2</v>
      </c>
      <c r="SH5" s="7">
        <v>2.22436095206871</v>
      </c>
      <c r="SI5" s="7">
        <v>-0.44078537011521801</v>
      </c>
      <c r="SJ5" s="7">
        <v>0.46898742568004698</v>
      </c>
      <c r="SK5" s="7">
        <v>-0.95215645992155196</v>
      </c>
      <c r="SL5" s="7">
        <v>0.66377702663462701</v>
      </c>
      <c r="SM5" s="7">
        <v>-0.98789264492488005</v>
      </c>
      <c r="SN5" s="7">
        <v>0.145985047993728</v>
      </c>
      <c r="SO5" s="7">
        <v>0.20828317303371799</v>
      </c>
      <c r="SP5" s="7">
        <v>-2.3636114620103301</v>
      </c>
      <c r="SQ5" s="7">
        <v>-1.14267840408387</v>
      </c>
      <c r="SR5" s="7">
        <v>-0.54051115186132004</v>
      </c>
      <c r="SS5" s="7">
        <v>0.95281979585379195</v>
      </c>
      <c r="ST5" s="7">
        <v>1.1938349833831501</v>
      </c>
      <c r="SU5" s="7">
        <v>-0.46978704440792801</v>
      </c>
      <c r="SV5" s="7">
        <v>-0.57529273765386502</v>
      </c>
      <c r="SW5" s="7">
        <v>-0.98826694863490105</v>
      </c>
      <c r="SX5" s="7">
        <v>0.79488999169133701</v>
      </c>
      <c r="SY5" s="7">
        <v>0.63139666730075195</v>
      </c>
      <c r="SZ5" s="7">
        <v>-0.915325183354599</v>
      </c>
      <c r="TA5" s="7">
        <v>-0.43418924431746397</v>
      </c>
      <c r="TB5" s="7">
        <v>0.25724254407853903</v>
      </c>
      <c r="TC5" s="7">
        <v>-0.58948012286671603</v>
      </c>
      <c r="TD5" s="7">
        <v>-2.8350814537588299E-2</v>
      </c>
      <c r="TE5" s="7">
        <v>-0.82399399546928898</v>
      </c>
      <c r="TF5" s="7">
        <v>0.21874888304627199</v>
      </c>
      <c r="TG5" s="7">
        <v>-0.33859902746648401</v>
      </c>
      <c r="TH5" s="7">
        <v>0.28099578373379303</v>
      </c>
      <c r="TI5" s="7">
        <v>0.453021487751265</v>
      </c>
      <c r="TJ5" s="7">
        <v>0.596487032964514</v>
      </c>
      <c r="TK5" s="7">
        <v>-2.9860063197959299</v>
      </c>
      <c r="TL5" s="7">
        <v>-0.56975902721493199</v>
      </c>
      <c r="TM5" s="7">
        <v>-1.4394482975145499</v>
      </c>
      <c r="TN5" s="7">
        <v>-0.49798937314466102</v>
      </c>
      <c r="TO5" s="7">
        <v>1.4521587954708799</v>
      </c>
      <c r="TP5" s="7">
        <v>0.75516342757579202</v>
      </c>
      <c r="TQ5" s="7">
        <v>-6.3126862587587595E-2</v>
      </c>
      <c r="TR5" s="7">
        <v>-0.90763125634366304</v>
      </c>
      <c r="TS5" s="7">
        <v>0.51965597834843702</v>
      </c>
      <c r="TT5" s="7">
        <v>-1.4426182001300101</v>
      </c>
      <c r="TU5" s="7">
        <v>-0.23597579961769899</v>
      </c>
      <c r="TV5" s="7">
        <v>1.9517271136433401</v>
      </c>
      <c r="TW5" s="7">
        <v>-1.4531613349255299</v>
      </c>
      <c r="TX5" s="7">
        <v>0.46122152730212301</v>
      </c>
      <c r="TY5" s="7">
        <v>0.13222687120172</v>
      </c>
      <c r="TZ5" s="7">
        <v>9.9373604337055804E-2</v>
      </c>
      <c r="UA5" s="7">
        <v>1.2587338865428499</v>
      </c>
      <c r="UB5" s="7">
        <v>-0.97475267167618296</v>
      </c>
      <c r="UC5" s="7">
        <v>-0.150157020376919</v>
      </c>
      <c r="UD5" s="7">
        <v>-0.56662143934147502</v>
      </c>
      <c r="UE5" s="7">
        <v>0.392716597915375</v>
      </c>
      <c r="UF5" s="7">
        <v>0.73860378681495098</v>
      </c>
      <c r="UG5" s="7">
        <v>-1.0892101505843199</v>
      </c>
      <c r="UH5" s="7">
        <v>-0.82002241400466402</v>
      </c>
      <c r="UI5" s="7">
        <v>0.75289043985380599</v>
      </c>
      <c r="UJ5" s="7">
        <v>0.76175130641858502</v>
      </c>
      <c r="UK5" s="7">
        <v>0.92342100476739097</v>
      </c>
      <c r="UL5" s="7">
        <v>1.22798562490403</v>
      </c>
      <c r="UM5" s="7">
        <v>2.3297501576239501</v>
      </c>
      <c r="UN5" s="7">
        <v>-2.3149849294612199</v>
      </c>
      <c r="UO5" s="7">
        <v>-0.48896988673806302</v>
      </c>
      <c r="UP5" s="7">
        <v>0.95990904804129196</v>
      </c>
      <c r="UQ5" s="7">
        <v>0.91828389669924704</v>
      </c>
      <c r="UR5" s="7">
        <v>0.39458910071081899</v>
      </c>
      <c r="US5" s="7">
        <v>0.78649413601686102</v>
      </c>
      <c r="UT5" s="7">
        <v>1.1658131794539099</v>
      </c>
      <c r="UU5" s="7">
        <v>-0.44162058444555302</v>
      </c>
      <c r="UV5" s="7">
        <v>-1.60337704430522</v>
      </c>
      <c r="UW5" s="7">
        <v>-1.1366506506408101</v>
      </c>
      <c r="UX5" s="7">
        <v>0.12498339602759199</v>
      </c>
      <c r="UY5" s="7">
        <v>-9.2423099321633201E-2</v>
      </c>
      <c r="UZ5" s="7">
        <v>-0.39513724249999699</v>
      </c>
      <c r="VA5" s="7">
        <v>-0.29858047758679701</v>
      </c>
      <c r="VB5" s="7">
        <v>0.47284644079701699</v>
      </c>
      <c r="VC5" s="7">
        <v>-0.86785875673314306</v>
      </c>
      <c r="VD5" s="7">
        <v>-0.77957918875521903</v>
      </c>
      <c r="VE5" s="7">
        <v>0.68984004912880104</v>
      </c>
      <c r="VF5" s="7">
        <v>0.51815007667906299</v>
      </c>
      <c r="VG5" s="7">
        <v>0.59649693442616503</v>
      </c>
      <c r="VH5" s="7">
        <v>0.97865029135288295</v>
      </c>
      <c r="VI5" s="7">
        <v>0.97094929103015204</v>
      </c>
      <c r="VJ5" s="7">
        <v>-0.46200962559573699</v>
      </c>
      <c r="VK5" s="7">
        <v>-0.171966295783405</v>
      </c>
      <c r="VL5" s="7">
        <v>9.4295155011397805E-2</v>
      </c>
      <c r="VM5" s="7">
        <v>1.90503886128051</v>
      </c>
      <c r="VN5" s="7">
        <v>-0.71041031250139597</v>
      </c>
      <c r="VO5" s="7">
        <v>1.9584893595258599</v>
      </c>
      <c r="VP5" s="7">
        <v>-8.2069714544047503E-2</v>
      </c>
      <c r="VQ5" s="7">
        <v>-0.19459107992225599</v>
      </c>
      <c r="VR5" s="7">
        <v>0.94360731735543402</v>
      </c>
      <c r="VS5" s="7">
        <v>-0.96973798539768596</v>
      </c>
      <c r="VT5" s="7">
        <v>-0.62287503085360596</v>
      </c>
      <c r="VU5" s="7">
        <v>0.12882308688733901</v>
      </c>
      <c r="VV5" s="7">
        <v>1.01354358276818</v>
      </c>
      <c r="VW5" s="7">
        <v>0.104161718658396</v>
      </c>
      <c r="VX5" s="7">
        <v>1.30739200418389</v>
      </c>
      <c r="VY5" s="7">
        <v>-0.31432676127569897</v>
      </c>
      <c r="VZ5" s="7">
        <v>0.19667644560884701</v>
      </c>
      <c r="WA5" s="7">
        <v>1.17760121740593</v>
      </c>
      <c r="WB5" s="7">
        <v>-0.252669070542129</v>
      </c>
      <c r="WC5" s="7">
        <v>-0.83067241774469902</v>
      </c>
      <c r="WD5" s="7">
        <v>-0.62038309442019501</v>
      </c>
      <c r="WE5" s="7">
        <v>1.2871239368163501</v>
      </c>
      <c r="WF5" s="7">
        <v>-0.27123719598281998</v>
      </c>
      <c r="WG5" s="7">
        <v>-0.201557880394206</v>
      </c>
      <c r="WH5" s="7">
        <v>-0.110015196983096</v>
      </c>
      <c r="WI5" s="7">
        <v>1.7082004838175999</v>
      </c>
      <c r="WJ5" s="7">
        <v>-0.96933521717608595</v>
      </c>
      <c r="WK5" s="7">
        <v>1.8198650917311701</v>
      </c>
      <c r="WL5" s="7">
        <v>-0.76194063753336005</v>
      </c>
      <c r="WM5" s="7">
        <v>-1.57524950280531</v>
      </c>
      <c r="WN5" s="7">
        <v>-0.828350622626019</v>
      </c>
      <c r="WO5" s="7">
        <v>0.49228339495450302</v>
      </c>
      <c r="WP5" s="7">
        <v>-0.50382474945068101</v>
      </c>
      <c r="WQ5" s="7">
        <v>-0.30793144665397898</v>
      </c>
      <c r="WR5" s="7">
        <v>1.8855515913959</v>
      </c>
      <c r="WS5" s="7">
        <v>-0.40211208943134402</v>
      </c>
      <c r="WT5" s="7">
        <v>-0.31546513582420099</v>
      </c>
      <c r="WU5" s="7">
        <v>-0.45788321518252501</v>
      </c>
      <c r="WV5" s="7">
        <v>-1.41257778770457</v>
      </c>
      <c r="WW5" s="7">
        <v>-0.127293690949462</v>
      </c>
      <c r="WX5" s="7">
        <v>0.73324691836363598</v>
      </c>
      <c r="WY5" s="7">
        <v>0.189608224443401</v>
      </c>
      <c r="WZ5" s="7">
        <v>1.30677421937867</v>
      </c>
      <c r="XA5" s="7">
        <v>0.139638602733995</v>
      </c>
      <c r="XB5" s="7">
        <v>0.168881043699631</v>
      </c>
      <c r="XC5" s="7">
        <v>2.3633731327111801E-2</v>
      </c>
      <c r="XD5" s="7">
        <v>1.81283577637923</v>
      </c>
      <c r="XE5" s="7">
        <v>1.9083862245132299</v>
      </c>
      <c r="XF5" s="7">
        <v>0.209767813068789</v>
      </c>
      <c r="XG5" s="7">
        <v>-0.58902267761055205</v>
      </c>
      <c r="XH5" s="7">
        <v>-7.2909882613184998E-2</v>
      </c>
      <c r="XI5" s="7">
        <v>0.75961815444465897</v>
      </c>
      <c r="XJ5" s="7">
        <v>-0.262392910446828</v>
      </c>
      <c r="XK5" s="7">
        <v>1.41747603249446</v>
      </c>
      <c r="XL5" s="7">
        <v>0.39407474506191797</v>
      </c>
      <c r="XM5" s="7">
        <v>-1.01953950859258</v>
      </c>
      <c r="XN5" s="7">
        <v>0.85057925610247798</v>
      </c>
      <c r="XO5" s="7">
        <v>-0.425027505291033</v>
      </c>
      <c r="XP5" s="7">
        <v>-1.28697507906485</v>
      </c>
      <c r="XQ5" s="7">
        <v>3.2682146749496499</v>
      </c>
      <c r="XR5" s="7">
        <v>-0.99397308757242397</v>
      </c>
      <c r="XS5" s="7">
        <v>4.7537359541054702E-2</v>
      </c>
      <c r="XT5" s="7">
        <v>-0.67699223783920803</v>
      </c>
      <c r="XU5" s="7">
        <v>0.631319671031084</v>
      </c>
      <c r="XV5" s="7">
        <v>0.76993962838270003</v>
      </c>
      <c r="XW5" s="7">
        <v>-0.12950312857757099</v>
      </c>
      <c r="XX5" s="7">
        <v>9.74847356949438E-2</v>
      </c>
      <c r="XY5" s="7">
        <v>0.21285992491408001</v>
      </c>
      <c r="XZ5" s="7">
        <v>-0.68732744149353697</v>
      </c>
      <c r="YA5" s="7">
        <v>-1.0014069400414001</v>
      </c>
      <c r="YB5" s="7">
        <v>0.40117058941968697</v>
      </c>
      <c r="YC5" s="7">
        <v>0.86680092096086503</v>
      </c>
      <c r="YD5" s="7">
        <v>-0.26476638392938101</v>
      </c>
      <c r="YE5" s="7">
        <v>-1.0678681583315099</v>
      </c>
      <c r="YF5" s="7">
        <v>0.101171805961459</v>
      </c>
      <c r="YG5" s="7">
        <v>-1.4039103275840701</v>
      </c>
      <c r="YH5" s="7">
        <v>1.4596951879984901</v>
      </c>
      <c r="YI5" s="7">
        <v>0.47313925429178499</v>
      </c>
      <c r="YJ5" s="7">
        <v>1.75479425685685</v>
      </c>
      <c r="YK5" s="7">
        <v>-2.3783899613989701</v>
      </c>
      <c r="YL5" s="7">
        <v>0.75650658823808803</v>
      </c>
      <c r="YM5" s="7">
        <v>-0.36663402608187101</v>
      </c>
      <c r="YN5" s="7">
        <v>0.90939304998844595</v>
      </c>
      <c r="YO5" s="7">
        <v>1.4721685425126301</v>
      </c>
      <c r="YP5" s="7">
        <v>-1.06596227777969</v>
      </c>
      <c r="YQ5" s="7">
        <v>0.42699284068272297</v>
      </c>
      <c r="YR5" s="7">
        <v>5.6567815452569198E-2</v>
      </c>
      <c r="YS5" s="7">
        <v>-1.25211999822048</v>
      </c>
      <c r="YT5" s="7">
        <v>0.76346355837347402</v>
      </c>
      <c r="YU5" s="7">
        <v>-0.23779782781317199</v>
      </c>
      <c r="YV5" s="7">
        <v>-0.25418242094400001</v>
      </c>
      <c r="YW5" s="7">
        <v>9.8039666747680998E-2</v>
      </c>
      <c r="YX5" s="7">
        <v>0.60186685952644903</v>
      </c>
      <c r="YY5" s="7">
        <v>-0.20170110025232399</v>
      </c>
      <c r="YZ5" s="7">
        <v>0.20893319328107099</v>
      </c>
      <c r="ZA5" s="7">
        <v>-1.94019755667667</v>
      </c>
      <c r="ZB5" s="7">
        <v>1.1592525304251999</v>
      </c>
      <c r="ZC5" s="7">
        <v>0.60138900256680305</v>
      </c>
      <c r="ZD5" s="7">
        <v>1.7918007977824499</v>
      </c>
      <c r="ZE5" s="7">
        <v>0.29897736479217402</v>
      </c>
      <c r="ZF5" s="7">
        <v>-0.15478953155598399</v>
      </c>
      <c r="ZG5" s="7">
        <v>-0.84221265987344696</v>
      </c>
      <c r="ZH5" s="7">
        <v>-0.12152429655959</v>
      </c>
      <c r="ZI5" s="7">
        <v>0.421236763755372</v>
      </c>
      <c r="ZJ5" s="7">
        <v>0.57199720949731603</v>
      </c>
      <c r="ZK5" s="7">
        <v>0.66152531472085796</v>
      </c>
      <c r="ZL5" s="7">
        <v>-1.9225989967056802E-2</v>
      </c>
      <c r="ZM5" s="7">
        <v>-0.75786976877642198</v>
      </c>
      <c r="ZN5" s="7">
        <v>1.3768585924729599</v>
      </c>
      <c r="ZO5" s="7">
        <v>-1.2334111469017199</v>
      </c>
      <c r="ZP5" s="7">
        <v>1.7010746604846501</v>
      </c>
      <c r="ZQ5" s="7">
        <v>-0.438860113540264</v>
      </c>
      <c r="ZR5" s="7">
        <v>-1.75131796888091</v>
      </c>
      <c r="ZS5" s="7">
        <v>-0.12869897438658001</v>
      </c>
      <c r="ZT5" s="7">
        <v>-1.39971816501929</v>
      </c>
      <c r="ZU5" s="7">
        <v>0.48106712327735401</v>
      </c>
      <c r="ZV5" s="7">
        <v>-0.25630309696350001</v>
      </c>
      <c r="ZW5" s="7">
        <v>-2.3439009152361199</v>
      </c>
      <c r="ZX5" s="7">
        <v>1.02206126309631</v>
      </c>
      <c r="ZY5" s="7">
        <v>1.1000945561734401</v>
      </c>
      <c r="ZZ5" s="7">
        <v>0.13240167330962199</v>
      </c>
      <c r="AAA5" s="7">
        <v>-0.49834899095236002</v>
      </c>
      <c r="AAB5" s="7">
        <v>-0.197077491693435</v>
      </c>
      <c r="AAC5" s="7">
        <v>0.61198769686693999</v>
      </c>
      <c r="AAD5" s="7">
        <v>-0.92108068722484204</v>
      </c>
      <c r="AAE5" s="7">
        <v>1.3980377327303</v>
      </c>
      <c r="AAF5" s="7">
        <v>0.21818993739973599</v>
      </c>
      <c r="AAG5" s="7">
        <v>1.4509324856553301</v>
      </c>
      <c r="AAH5" s="7">
        <v>1.1321365955120899</v>
      </c>
      <c r="AAI5" s="7">
        <v>-0.440947185630712</v>
      </c>
      <c r="AAJ5" s="7">
        <v>0.413202553119215</v>
      </c>
      <c r="AAK5" s="7">
        <v>-0.88384383239703801</v>
      </c>
      <c r="AAL5" s="7">
        <v>-0.631180545428777</v>
      </c>
      <c r="AAM5" s="7">
        <v>-1.6501293537475199</v>
      </c>
      <c r="AAN5" s="7">
        <v>0.84952141785844004</v>
      </c>
      <c r="AAO5" s="7">
        <v>-0.70227026788097702</v>
      </c>
      <c r="AAP5" s="7">
        <v>-6.4126488626228897E-2</v>
      </c>
      <c r="AAQ5" s="7">
        <v>1.1193667907431999</v>
      </c>
      <c r="AAR5" s="7">
        <v>0.503563770491125</v>
      </c>
      <c r="AAS5" s="7">
        <v>0.54107173403600595</v>
      </c>
      <c r="AAT5" s="7">
        <v>-1.1693194510246701</v>
      </c>
      <c r="AAU5" s="7">
        <v>1.0834888324680401</v>
      </c>
      <c r="AAV5" s="7">
        <v>0.39853323769592502</v>
      </c>
      <c r="AAW5" s="7">
        <v>0.85291539051119103</v>
      </c>
      <c r="AAX5" s="7">
        <v>1.28881631864539</v>
      </c>
      <c r="AAY5" s="7">
        <v>1.10440857709177</v>
      </c>
      <c r="AAZ5" s="7">
        <v>-0.65942746056809598</v>
      </c>
      <c r="ABA5" s="7">
        <v>0.79365463283584003</v>
      </c>
      <c r="ABB5" s="7">
        <v>0.97280634437006097</v>
      </c>
      <c r="ABC5" s="7">
        <v>0.79074521214776905</v>
      </c>
      <c r="ABD5" s="7">
        <v>-0.339047279830752</v>
      </c>
      <c r="ABE5" s="7">
        <v>-7.0862305909489998E-2</v>
      </c>
      <c r="ABF5" s="7">
        <v>0.74938587652291599</v>
      </c>
      <c r="ABG5" s="7">
        <v>-0.96227955888275196</v>
      </c>
      <c r="ABH5" s="7">
        <v>0.28711325689196399</v>
      </c>
      <c r="ABI5" s="7">
        <v>0.28117763061034801</v>
      </c>
      <c r="ABJ5" s="7">
        <v>0.61763289155717405</v>
      </c>
      <c r="ABK5" s="7">
        <v>-0.18015723764848099</v>
      </c>
      <c r="ABL5" s="7">
        <v>3.3996966695403401</v>
      </c>
      <c r="ABM5" s="7">
        <v>0.13971766648653</v>
      </c>
      <c r="ABN5" s="7">
        <v>1.73777969082368</v>
      </c>
      <c r="ABO5" s="7">
        <v>1.1545813602161401</v>
      </c>
      <c r="ABP5" s="7">
        <v>0.19379721778609299</v>
      </c>
      <c r="ABQ5" s="7">
        <v>1.24355243214362</v>
      </c>
      <c r="ABR5" s="7">
        <v>-0.18271958136035599</v>
      </c>
      <c r="ABS5" s="7">
        <v>1.6487516927986201</v>
      </c>
      <c r="ABT5" s="7">
        <v>0.43076489319732703</v>
      </c>
      <c r="ABU5" s="7">
        <v>0.31307331717312897</v>
      </c>
      <c r="ABV5" s="7">
        <v>-3.5928759815797198E-2</v>
      </c>
      <c r="ABW5" s="7">
        <v>1.30375978879904</v>
      </c>
      <c r="ABX5" s="7">
        <v>-9.6358661707332594E-2</v>
      </c>
      <c r="ABY5" s="7">
        <v>0.35319370045645099</v>
      </c>
      <c r="ABZ5" s="7">
        <v>0.47058940514889303</v>
      </c>
      <c r="ACA5" s="7">
        <v>0.28655496043356399</v>
      </c>
      <c r="ACB5" s="7">
        <v>0.59537059979635298</v>
      </c>
      <c r="ACC5" s="7">
        <v>-1.2628960263373701</v>
      </c>
      <c r="ACD5" s="7">
        <v>2.2269281219010599</v>
      </c>
      <c r="ACE5" s="7">
        <v>0.96281955920927498</v>
      </c>
      <c r="ACF5" s="7">
        <v>-0.29606631464753103</v>
      </c>
      <c r="ACG5" s="7">
        <v>-1.0602458765436999</v>
      </c>
      <c r="ACH5" s="7">
        <v>0.48094521275305402</v>
      </c>
      <c r="ACI5" s="7">
        <v>1.1595973575485099</v>
      </c>
      <c r="ACJ5" s="7">
        <v>1.23263065223763</v>
      </c>
      <c r="ACK5" s="7">
        <v>2.2869082824450602</v>
      </c>
      <c r="ACL5" s="7">
        <v>0.93601764500311502</v>
      </c>
      <c r="ACM5" s="7">
        <v>0.23973618184373099</v>
      </c>
      <c r="ACN5" s="7">
        <v>-0.98514827227587898</v>
      </c>
      <c r="ACO5" s="7">
        <v>-1.7494072550278701</v>
      </c>
      <c r="ACP5" s="7">
        <v>-0.347267397869921</v>
      </c>
      <c r="ACQ5" s="7">
        <v>1.03150821903279</v>
      </c>
      <c r="ACR5" s="7">
        <v>0.25984245246537702</v>
      </c>
      <c r="ACS5" s="7">
        <v>-1.20561094057664</v>
      </c>
      <c r="ACT5" s="7">
        <v>-1.86406724038121</v>
      </c>
      <c r="ACU5" s="7">
        <v>1.5273340768402901</v>
      </c>
      <c r="ACV5" s="7">
        <v>-3.28870635534782</v>
      </c>
      <c r="ACW5" s="7">
        <v>-0.169890201711411</v>
      </c>
      <c r="ACX5" s="7">
        <v>-0.22155478466582401</v>
      </c>
      <c r="ACY5" s="7">
        <v>2.55736519382185</v>
      </c>
      <c r="ACZ5" s="7">
        <v>-1.0475920382156501</v>
      </c>
      <c r="ADA5" s="7">
        <v>0.627480650224856</v>
      </c>
      <c r="ADB5" s="7">
        <v>1.3637227755452199</v>
      </c>
      <c r="ADC5" s="7">
        <v>1.8999402346900001</v>
      </c>
      <c r="ADD5" s="7">
        <v>-0.24395155642694299</v>
      </c>
      <c r="ADE5" s="7">
        <v>-0.42580187190065899</v>
      </c>
      <c r="ADF5" s="7">
        <v>-1.10114588352037</v>
      </c>
      <c r="ADG5" s="7">
        <v>0.71746454092263801</v>
      </c>
      <c r="ADH5" s="7">
        <v>-0.80774286683776597</v>
      </c>
      <c r="ADI5" s="7">
        <v>1.03077764445619</v>
      </c>
      <c r="ADJ5" s="7">
        <v>-2.4027541025704102</v>
      </c>
      <c r="ADK5" s="7">
        <v>-0.168781578261434</v>
      </c>
      <c r="ADL5" s="7">
        <v>3.3992112986330598E-2</v>
      </c>
      <c r="ADM5" s="7">
        <v>-1.03951180824342E-2</v>
      </c>
      <c r="ADN5" s="7">
        <v>1.30756493118746</v>
      </c>
      <c r="ADO5" s="7">
        <v>-0.20176907361368601</v>
      </c>
      <c r="ADP5" s="7">
        <v>-0.61014396515617397</v>
      </c>
      <c r="ADQ5" s="7">
        <v>-0.28792614511703002</v>
      </c>
      <c r="ADR5" s="7">
        <v>-2.3679354698435798E-2</v>
      </c>
      <c r="ADS5" s="7">
        <v>0.60713767346867198</v>
      </c>
      <c r="ADT5" s="7">
        <v>0.84596494506584996</v>
      </c>
      <c r="ADU5" s="7">
        <v>5.9383288507247001E-2</v>
      </c>
      <c r="ADV5" s="7">
        <v>-1.8353770465672601</v>
      </c>
      <c r="ADW5" s="7">
        <v>-1.47892321389661</v>
      </c>
      <c r="ADX5" s="7">
        <v>0.28156233783273699</v>
      </c>
      <c r="ADY5" s="7">
        <v>1.2040476396244</v>
      </c>
      <c r="ADZ5" s="7">
        <v>1.3723914829210999</v>
      </c>
      <c r="AEA5" s="7">
        <v>1.0075668131828499</v>
      </c>
      <c r="AEB5" s="7">
        <v>2.5109433377207702</v>
      </c>
      <c r="AEC5" s="7">
        <v>0.98772435898691502</v>
      </c>
      <c r="AED5" s="7">
        <v>0.66545621064611304</v>
      </c>
      <c r="AEE5" s="7">
        <v>1.29188781803389</v>
      </c>
      <c r="AEF5" s="7">
        <v>0.30159545907153101</v>
      </c>
      <c r="AEG5" s="7">
        <v>-1.19013372472019</v>
      </c>
      <c r="AEH5" s="7">
        <v>0.31485723867856602</v>
      </c>
      <c r="AEI5" s="7">
        <v>8.8769006032266506E-2</v>
      </c>
      <c r="AEJ5" s="7">
        <v>0.13002167549017299</v>
      </c>
      <c r="AEK5" s="7">
        <v>0.45393704811075802</v>
      </c>
      <c r="AEL5" s="7">
        <v>-0.10254150827069</v>
      </c>
      <c r="AEM5" s="7">
        <v>-0.67996635864024502</v>
      </c>
      <c r="AEN5" s="7">
        <v>-0.75136406846744896</v>
      </c>
      <c r="AEO5" s="7">
        <v>-1.3641511440385501</v>
      </c>
      <c r="AEP5" s="7">
        <v>-1.07477763597815</v>
      </c>
      <c r="AEQ5" s="7">
        <v>0.10011091359209601</v>
      </c>
      <c r="AER5" s="7">
        <v>-0.55699260049485599</v>
      </c>
      <c r="AES5" s="7">
        <v>0.45969758514979098</v>
      </c>
      <c r="AET5" s="7">
        <v>-0.50729419033876499</v>
      </c>
      <c r="AEU5" s="7">
        <v>0.56438237122871204</v>
      </c>
      <c r="AEV5" s="7">
        <v>-0.29482989520702502</v>
      </c>
      <c r="AEW5" s="7">
        <v>0.68856503467413899</v>
      </c>
      <c r="AEX5" s="7">
        <v>1.6346407415322299</v>
      </c>
      <c r="AEY5" s="7">
        <v>0.31489831838312898</v>
      </c>
      <c r="AEZ5" s="7">
        <v>1.1117479542386099</v>
      </c>
      <c r="AFA5" s="7">
        <v>-1.5194872270998001</v>
      </c>
      <c r="AFB5" s="7">
        <v>-0.86170001664764795</v>
      </c>
      <c r="AFC5" s="7">
        <v>0.39511248025443302</v>
      </c>
      <c r="AFD5" s="7">
        <v>-0.89203840014539204</v>
      </c>
      <c r="AFE5" s="7">
        <v>0.81267153987439</v>
      </c>
      <c r="AFF5" s="7">
        <v>0.23149738022414801</v>
      </c>
      <c r="AFG5" s="7">
        <v>0.90653498593943505</v>
      </c>
      <c r="AFH5" s="7">
        <v>-0.44457777102555401</v>
      </c>
      <c r="AFI5" s="7">
        <v>0.16954751658539699</v>
      </c>
      <c r="AFJ5" s="7">
        <v>0.82794524305392703</v>
      </c>
      <c r="AFK5" s="7">
        <v>-1.76706158864289</v>
      </c>
      <c r="AFL5" s="7">
        <v>-0.43416018222580299</v>
      </c>
      <c r="AFM5" s="7">
        <v>-0.13525252897169601</v>
      </c>
      <c r="AFN5" s="7">
        <v>-1.11714489226753</v>
      </c>
      <c r="AFO5" s="7">
        <v>-1.14271370861312</v>
      </c>
      <c r="AFP5" s="7">
        <v>-0.79435724302275901</v>
      </c>
      <c r="AFQ5" s="7">
        <v>-1.96185736966738</v>
      </c>
      <c r="AFR5" s="7">
        <v>-0.58600138619647302</v>
      </c>
      <c r="AFS5" s="7">
        <v>-2.0215403414675102</v>
      </c>
      <c r="AFT5" s="7">
        <v>-0.23041003677192801</v>
      </c>
      <c r="AFU5" s="7">
        <v>0.46556016497044</v>
      </c>
      <c r="AFV5" s="7">
        <v>0.27779534199483202</v>
      </c>
      <c r="AFW5" s="7">
        <v>6.9669803486179696E-2</v>
      </c>
      <c r="AFX5" s="7">
        <v>-0.79200102187811705</v>
      </c>
      <c r="AFY5" s="7">
        <v>-0.217236335626494</v>
      </c>
      <c r="AFZ5" s="7">
        <v>-0.18351829305192</v>
      </c>
      <c r="AGA5" s="7">
        <v>-4.3399813292740702E-2</v>
      </c>
      <c r="AGB5" s="7">
        <v>-0.68400722040314998</v>
      </c>
      <c r="AGC5" s="7">
        <v>0.89941826446016704</v>
      </c>
      <c r="AGD5" s="7">
        <v>-0.73162590332510802</v>
      </c>
      <c r="AGE5" s="7">
        <v>-0.83851600684074601</v>
      </c>
      <c r="AGF5" s="7">
        <v>0.41694285465921399</v>
      </c>
      <c r="AGG5" s="7">
        <v>0.32550369798524897</v>
      </c>
      <c r="AGH5" s="7">
        <v>0.93391937193743602</v>
      </c>
      <c r="AGI5" s="7">
        <v>-0.61757608559030597</v>
      </c>
      <c r="AGJ5" s="7">
        <v>-0.622235412730613</v>
      </c>
      <c r="AGK5" s="7">
        <v>-0.66964269639329099</v>
      </c>
      <c r="AGL5" s="7">
        <v>-0.36758996867356902</v>
      </c>
      <c r="AGM5" s="7">
        <v>1.0918739140784</v>
      </c>
      <c r="AGN5" s="7">
        <v>1.1557205842670799</v>
      </c>
      <c r="AGO5" s="7">
        <v>4.8139781385344797E-2</v>
      </c>
      <c r="AGP5" s="7">
        <v>0.19912702735142901</v>
      </c>
      <c r="AGQ5" s="7">
        <v>-0.26606020066965702</v>
      </c>
      <c r="AGR5" s="7">
        <v>0.199398571561334</v>
      </c>
      <c r="AGS5" s="7">
        <v>-0.39090515436915102</v>
      </c>
      <c r="AGT5" s="7">
        <v>-1.10913883087062</v>
      </c>
      <c r="AGU5" s="7">
        <v>0.177786558697789</v>
      </c>
      <c r="AGV5" s="7">
        <v>0.70975173422271798</v>
      </c>
      <c r="AGW5" s="7">
        <v>0.73334346408526396</v>
      </c>
      <c r="AGX5" s="7">
        <v>-5.6191380541346897E-2</v>
      </c>
      <c r="AGY5" s="7">
        <v>-0.19689071281399201</v>
      </c>
      <c r="AGZ5" s="7">
        <v>-1.72657593863075</v>
      </c>
      <c r="AHA5" s="7">
        <v>-1.63833357160611</v>
      </c>
      <c r="AHB5" s="7">
        <v>0.27099234720916399</v>
      </c>
      <c r="AHC5" s="7">
        <v>0.44801655202775398</v>
      </c>
      <c r="AHD5" s="7">
        <v>-0.51274800853143498</v>
      </c>
      <c r="AHE5" s="7">
        <v>0.19984554496099999</v>
      </c>
      <c r="AHF5" s="7">
        <v>0.80499903462407496</v>
      </c>
      <c r="AHG5" s="7">
        <v>2.2726403386645599</v>
      </c>
      <c r="AHH5" s="7">
        <v>-0.73912588102232302</v>
      </c>
      <c r="AHI5" s="7">
        <v>-0.89252422979151502</v>
      </c>
      <c r="AHJ5" s="7">
        <v>0.96511510899997899</v>
      </c>
      <c r="AHK5" s="7">
        <v>-4.6121577332064401E-2</v>
      </c>
      <c r="AHL5" s="7">
        <v>-0.53232469384485304</v>
      </c>
      <c r="AHM5" s="7">
        <v>-0.75167294194912504</v>
      </c>
      <c r="AHN5" s="7">
        <v>-1.42543886416773</v>
      </c>
      <c r="AHO5" s="7">
        <v>-0.15891730503500501</v>
      </c>
      <c r="AHP5" s="7">
        <v>1.33682305485524</v>
      </c>
      <c r="AHQ5" s="7">
        <v>-0.95130916916435204</v>
      </c>
      <c r="AHR5" s="7">
        <v>-0.26902428686257601</v>
      </c>
      <c r="AHS5" s="7">
        <v>8.3512074360124297E-2</v>
      </c>
      <c r="AHT5" s="7">
        <v>0.24485290290547901</v>
      </c>
      <c r="AHU5" s="7">
        <v>-1.6959825914787401</v>
      </c>
      <c r="AHV5" s="7">
        <v>-1.28465565558878</v>
      </c>
      <c r="AHW5" s="7">
        <v>6.5035597428813693E-2</v>
      </c>
      <c r="AHX5" s="7">
        <v>-0.35441500956883698</v>
      </c>
      <c r="AHY5" s="7">
        <v>-0.91748009914538298</v>
      </c>
      <c r="AHZ5" s="7">
        <v>-0.18445809628273399</v>
      </c>
      <c r="AIA5" s="7">
        <v>-2.9782099834326301</v>
      </c>
      <c r="AIB5" s="7">
        <v>-0.82858352988502004</v>
      </c>
      <c r="AIC5" s="7">
        <v>-0.92705538609687599</v>
      </c>
      <c r="AID5" s="7">
        <v>0.99403805785481303</v>
      </c>
      <c r="AIE5" s="7">
        <v>1.1515130761231001</v>
      </c>
      <c r="AIF5" s="7">
        <v>-1.0942484338757299</v>
      </c>
      <c r="AIG5" s="7">
        <v>7.2294989713221305E-2</v>
      </c>
      <c r="AIH5" s="7">
        <v>1.79706714407157</v>
      </c>
      <c r="AII5" s="7">
        <v>-1.4038213322050399</v>
      </c>
      <c r="AIJ5" s="7">
        <v>-1.0330491517848801</v>
      </c>
      <c r="AIK5" s="7">
        <v>-0.37417488107462599</v>
      </c>
      <c r="AIL5" s="7">
        <v>-1.01920478515075</v>
      </c>
      <c r="AIM5" s="7">
        <v>1.0865995071572301</v>
      </c>
      <c r="AIN5" s="7">
        <v>0.70322852589523999</v>
      </c>
      <c r="AIO5" s="7">
        <v>0.63120726466376997</v>
      </c>
      <c r="AIP5" s="7">
        <v>-0.835385063103676</v>
      </c>
      <c r="AIQ5" s="7">
        <v>-2.34087098765785</v>
      </c>
      <c r="AIR5" s="7">
        <v>2.5161795464904899</v>
      </c>
      <c r="AIS5" s="7">
        <v>0.25443512552627501</v>
      </c>
      <c r="AIT5" s="7">
        <v>0.58681553315203105</v>
      </c>
      <c r="AIU5" s="7">
        <v>-0.22583433267992101</v>
      </c>
      <c r="AIV5" s="7">
        <v>-0.62592307400506797</v>
      </c>
      <c r="AIW5" s="7">
        <v>2.1932229337567501</v>
      </c>
      <c r="AIX5" s="7">
        <v>-0.59409558403068496</v>
      </c>
      <c r="AIY5" s="7">
        <v>1.50947795084869</v>
      </c>
      <c r="AIZ5" s="7">
        <v>0.46719265970547003</v>
      </c>
      <c r="AJA5" s="7">
        <v>0.77864529018895001</v>
      </c>
      <c r="AJB5" s="7">
        <v>0.33027385824737099</v>
      </c>
      <c r="AJC5" s="7">
        <v>1.0362114198705601</v>
      </c>
      <c r="AJD5" s="7">
        <v>2.0040359396687202</v>
      </c>
      <c r="AJE5" s="7">
        <v>-0.60442050933236202</v>
      </c>
      <c r="AJF5" s="7">
        <v>0.69955609211613501</v>
      </c>
      <c r="AJG5" s="7">
        <v>0.50846681541004501</v>
      </c>
      <c r="AJH5" s="7">
        <v>0.101996768113526</v>
      </c>
      <c r="AJI5" s="7">
        <v>0.36023916880562501</v>
      </c>
      <c r="AJJ5" s="7">
        <v>1.57239360029042</v>
      </c>
      <c r="AJK5" s="7">
        <v>0.25831263402670002</v>
      </c>
      <c r="AJL5" s="7">
        <v>0.46398987790944102</v>
      </c>
      <c r="AJM5" s="7">
        <v>1.1858923433591499</v>
      </c>
      <c r="AJN5" s="7">
        <v>0.41167554508707599</v>
      </c>
      <c r="AJO5" s="7">
        <v>0.161381050010174</v>
      </c>
      <c r="AJP5" s="7">
        <v>1.2634373100410401</v>
      </c>
      <c r="AJQ5" s="7">
        <v>1.0424523025447501</v>
      </c>
      <c r="AJR5" s="7">
        <v>-1.15277673981048</v>
      </c>
      <c r="AJS5" s="7">
        <v>0.89894440739916903</v>
      </c>
      <c r="AJT5" s="7">
        <v>-7.1121071863230897E-2</v>
      </c>
      <c r="AJU5" s="7">
        <v>0.69675309142931796</v>
      </c>
      <c r="AJV5" s="7">
        <v>0.69229960050115802</v>
      </c>
      <c r="AJW5" s="7">
        <v>-1.27187896318508</v>
      </c>
      <c r="AJX5" s="7">
        <v>-0.124021461823638</v>
      </c>
      <c r="AJY5" s="7">
        <v>0.20359178270849901</v>
      </c>
      <c r="AJZ5" s="7">
        <v>0.58853784411670995</v>
      </c>
      <c r="AKA5" s="7">
        <v>-0.54172456345841002</v>
      </c>
      <c r="AKB5" s="7">
        <v>1.61868759787961</v>
      </c>
      <c r="AKC5" s="7">
        <v>0.68920092442826497</v>
      </c>
      <c r="AKD5" s="7">
        <v>1.13272966085434</v>
      </c>
      <c r="AKE5" s="7">
        <v>0.19000178975172799</v>
      </c>
      <c r="AKF5" s="7">
        <v>0.151056341198474</v>
      </c>
      <c r="AKG5" s="7">
        <v>1.43922264060633</v>
      </c>
      <c r="AKH5" s="7">
        <v>1.65052758411272</v>
      </c>
      <c r="AKI5" s="7">
        <v>0.88098805382994805</v>
      </c>
      <c r="AKJ5" s="7">
        <v>0.85899232262081104</v>
      </c>
      <c r="AKK5" s="7">
        <v>-1.3061023164465799</v>
      </c>
      <c r="AKL5" s="7">
        <v>-2.8650459720994199</v>
      </c>
      <c r="AKM5" s="7">
        <v>0.55688062400437599</v>
      </c>
      <c r="AKN5" s="7">
        <v>0.19988987497673599</v>
      </c>
      <c r="AKO5" s="7">
        <v>0.34749398710711299</v>
      </c>
      <c r="AKP5" s="7">
        <v>1.0408413654416999</v>
      </c>
      <c r="AKQ5" s="7">
        <v>-1.6684612629590001</v>
      </c>
      <c r="AKR5" s="7">
        <v>0.17787816366151199</v>
      </c>
      <c r="AKS5" s="7">
        <v>8.1188310512198505E-2</v>
      </c>
      <c r="AKT5" s="7">
        <v>0.57132989286059299</v>
      </c>
      <c r="AKU5" s="7">
        <v>-4.0195773823178099E-2</v>
      </c>
      <c r="AKV5" s="7">
        <v>0.35073427114623501</v>
      </c>
      <c r="AKW5" s="7">
        <v>-1.1430887069123601</v>
      </c>
      <c r="AKX5" s="7">
        <v>-0.327618387464991</v>
      </c>
      <c r="AKY5" s="7">
        <v>1.18941689828161</v>
      </c>
      <c r="AKZ5" s="7">
        <v>-0.89964279564307004</v>
      </c>
      <c r="ALA5" s="7">
        <v>-1.4600225528569</v>
      </c>
      <c r="ALB5" s="7">
        <v>-1.7222486691108501</v>
      </c>
      <c r="ALC5" s="7">
        <v>0.19734290656966699</v>
      </c>
      <c r="ALD5" s="7">
        <v>0.713463485240312</v>
      </c>
      <c r="ALE5" s="7">
        <v>-0.12718611652390999</v>
      </c>
      <c r="ALF5" s="7">
        <v>-0.17437785509469</v>
      </c>
      <c r="ALG5" s="7">
        <v>0.66488456631926396</v>
      </c>
      <c r="ALH5" s="7">
        <v>-0.27775061549227797</v>
      </c>
      <c r="ALI5" s="7">
        <v>1.03395926949436</v>
      </c>
      <c r="ALJ5" s="7">
        <v>-1.4027193036030501</v>
      </c>
      <c r="ALK5" s="7">
        <v>1.4023086780059899</v>
      </c>
      <c r="ALL5" s="7">
        <v>0.42794372938480202</v>
      </c>
      <c r="ALM5" s="7">
        <v>-8.28772779741241E-2</v>
      </c>
      <c r="ALN5" s="7">
        <v>-1.6475835526470199</v>
      </c>
      <c r="ALO5" s="7">
        <v>-0.23710747341205099</v>
      </c>
      <c r="ALP5" s="7">
        <v>-0.17711694168545999</v>
      </c>
      <c r="ALQ5" s="7">
        <v>-0.88394550952691398</v>
      </c>
      <c r="ALR5" s="7">
        <v>-0.51327616567369805</v>
      </c>
      <c r="ALS5" s="7">
        <v>4.89534598058569E-2</v>
      </c>
      <c r="ALT5" s="7">
        <v>-2.4569503375542001</v>
      </c>
      <c r="ALU5" s="7">
        <v>1.03280420416478</v>
      </c>
      <c r="ALV5" s="7">
        <v>0.68994904319286599</v>
      </c>
      <c r="ALW5" s="7">
        <v>-0.121385418872132</v>
      </c>
      <c r="ALX5" s="7">
        <v>6.37494160487595E-2</v>
      </c>
      <c r="ALY5" s="7">
        <v>2.1055928025094399</v>
      </c>
      <c r="ALZ5" s="7">
        <v>0.96739557887086702</v>
      </c>
      <c r="AMA5" s="7">
        <v>0.52749621958235104</v>
      </c>
      <c r="AMB5" s="7">
        <v>0.58797968233236597</v>
      </c>
      <c r="AMC5" s="7">
        <v>1.2031330928020501</v>
      </c>
      <c r="AMD5" s="7">
        <v>0.277954689062265</v>
      </c>
      <c r="AME5" s="7">
        <v>-0.31198788755670998</v>
      </c>
      <c r="AMF5" s="7">
        <v>-0.51527256626044704</v>
      </c>
      <c r="AMG5" s="7">
        <v>-0.14573009875455101</v>
      </c>
      <c r="AMH5" s="7">
        <v>-0.16581583663187799</v>
      </c>
      <c r="AMI5" s="7">
        <v>0.60010742233099801</v>
      </c>
      <c r="AMJ5" s="7">
        <v>-0.79101944091621401</v>
      </c>
      <c r="AMK5" s="7">
        <v>0.43514672995528603</v>
      </c>
      <c r="AML5" s="7">
        <v>-1.78122053091835</v>
      </c>
      <c r="AMM5" s="7">
        <v>1.8729655191724</v>
      </c>
      <c r="AMN5" s="7">
        <v>1.7651936420796599</v>
      </c>
      <c r="AMO5" s="7">
        <v>-0.38496566244644698</v>
      </c>
      <c r="AMP5" s="7">
        <v>-2.12194841562604</v>
      </c>
      <c r="AMQ5" s="7">
        <v>9.4762611106648298E-2</v>
      </c>
      <c r="AMR5" s="7">
        <v>1.17714527913168E-2</v>
      </c>
      <c r="AMS5" s="7">
        <v>-0.33466648829861301</v>
      </c>
      <c r="AMT5" s="7">
        <v>-2.3774945136728998E-2</v>
      </c>
      <c r="AMU5" s="7">
        <v>0.94730254036245698</v>
      </c>
      <c r="AMV5" s="7">
        <v>0.144697504534847</v>
      </c>
      <c r="AMW5" s="7">
        <v>0.53261011682052495</v>
      </c>
      <c r="AMX5" s="7">
        <v>-5.7911379134177099E-2</v>
      </c>
      <c r="AMY5" s="7">
        <v>0.71608974366793399</v>
      </c>
      <c r="AMZ5" s="7">
        <v>1.19045757192122</v>
      </c>
      <c r="ANA5" s="7">
        <v>0.79665373142271101</v>
      </c>
      <c r="ANB5" s="7">
        <v>-1.7898016815234801</v>
      </c>
      <c r="ANC5" s="7">
        <v>-5.0052986431428803E-2</v>
      </c>
      <c r="AND5" s="7">
        <v>3.03081470247006E-2</v>
      </c>
      <c r="ANE5" s="7">
        <v>5.0370271850295398E-2</v>
      </c>
      <c r="ANF5" s="7">
        <v>0.699123805128816</v>
      </c>
      <c r="ANG5" s="7">
        <v>-0.42233377462896399</v>
      </c>
      <c r="ANH5" s="7">
        <v>0.19499608096079199</v>
      </c>
      <c r="ANI5" s="7">
        <v>-1.28751604974173</v>
      </c>
      <c r="ANJ5" s="7">
        <v>-0.72143982374110505</v>
      </c>
      <c r="ANK5" s="7">
        <v>1.22070766014715</v>
      </c>
      <c r="ANL5" s="7">
        <v>-1.2515114223363599</v>
      </c>
      <c r="ANM5" s="7">
        <v>-0.183540584017652</v>
      </c>
      <c r="ANN5" s="7">
        <v>1.5683610262303</v>
      </c>
      <c r="ANO5" s="7">
        <v>0.86431049666679105</v>
      </c>
      <c r="ANP5" s="7">
        <v>-1.5064070301436701</v>
      </c>
      <c r="ANQ5" s="7">
        <v>-1.9551892158439601</v>
      </c>
      <c r="ANR5" s="7">
        <v>-0.93751551640892095</v>
      </c>
      <c r="ANS5" s="7">
        <v>-0.67540267464048798</v>
      </c>
      <c r="ANT5" s="7">
        <v>0.91663432632076203</v>
      </c>
      <c r="ANU5" s="7">
        <v>-0.66251067897189397</v>
      </c>
      <c r="ANV5" s="7">
        <v>-0.40394307787193801</v>
      </c>
      <c r="ANW5" s="7">
        <v>-1.0323669394484001</v>
      </c>
      <c r="ANX5" s="7">
        <v>0.77614247616064402</v>
      </c>
      <c r="ANY5" s="7">
        <v>0.97827848971132503</v>
      </c>
      <c r="ANZ5" s="7">
        <v>-0.80157591502840497</v>
      </c>
      <c r="AOA5" s="7">
        <v>-1.3291128952464899</v>
      </c>
      <c r="AOB5" s="7">
        <v>-3.0882306564305701E-2</v>
      </c>
      <c r="AOC5" s="7">
        <v>-0.50534595871779897</v>
      </c>
      <c r="AOD5" s="7">
        <v>1.9095508068945199</v>
      </c>
      <c r="AOE5" s="7">
        <v>-2.1079482167590502</v>
      </c>
      <c r="AOF5" s="7">
        <v>1.02290835011421</v>
      </c>
      <c r="AOG5" s="7">
        <v>-0.39896721744986902</v>
      </c>
      <c r="AOH5" s="7">
        <v>-0.33887506219218999</v>
      </c>
      <c r="AOI5" s="7">
        <v>-0.82616247104984097</v>
      </c>
      <c r="AOJ5" s="7">
        <v>0.247601224043388</v>
      </c>
      <c r="AOK5" s="7">
        <v>0.88385854861510005</v>
      </c>
      <c r="AOL5" s="7">
        <v>-1.80844139056982</v>
      </c>
      <c r="AOM5" s="7">
        <v>7.2618902176892694E-2</v>
      </c>
      <c r="AON5" s="7">
        <v>-1.3093965882518801</v>
      </c>
      <c r="AOO5" s="7">
        <v>0.469758507587348</v>
      </c>
      <c r="AOP5" s="7">
        <v>-1.7155545326174999</v>
      </c>
      <c r="AOQ5" s="7">
        <v>-1.0601156773061</v>
      </c>
      <c r="AOR5" s="7">
        <v>-0.65937714718973295</v>
      </c>
      <c r="AOS5" s="7">
        <v>-2.0356346526801801</v>
      </c>
      <c r="AOT5" s="7">
        <v>0.30364504865063102</v>
      </c>
      <c r="AOU5" s="7">
        <v>-0.369818431097996</v>
      </c>
      <c r="AOV5" s="7">
        <v>-9.4551256228044001E-2</v>
      </c>
      <c r="AOW5" s="7">
        <v>0.88407821841416201</v>
      </c>
      <c r="AOX5" s="7">
        <v>0.73173632599012794</v>
      </c>
      <c r="AOY5" s="7">
        <v>-1.1018943554390701</v>
      </c>
      <c r="AOZ5" s="7">
        <v>-1.1880654760515199</v>
      </c>
      <c r="APA5" s="7">
        <v>0.51662730223775399</v>
      </c>
      <c r="APB5" s="7">
        <v>1.52663803379792</v>
      </c>
      <c r="APC5" s="7">
        <v>2.1186466573068701E-2</v>
      </c>
      <c r="APD5" s="7">
        <v>0.44519888286323001</v>
      </c>
      <c r="APE5" s="7">
        <v>0.56035709210224205</v>
      </c>
      <c r="APF5" s="7">
        <v>-1.00963315848783</v>
      </c>
      <c r="APG5" s="7">
        <v>-1.1324629462372799</v>
      </c>
      <c r="APH5" s="7">
        <v>0.31800704186868201</v>
      </c>
      <c r="API5" s="7">
        <v>-9.4549153668021992E-3</v>
      </c>
      <c r="APJ5" s="7">
        <v>0.268859358942515</v>
      </c>
      <c r="APK5" s="7">
        <v>-0.98692071012049098</v>
      </c>
      <c r="APL5" s="7">
        <v>1.25171050685644</v>
      </c>
      <c r="APM5" s="7">
        <v>-1.30869503650425</v>
      </c>
      <c r="APN5" s="7">
        <v>-3.4663597544822497E-2</v>
      </c>
      <c r="APO5" s="7">
        <v>0.90880543729213203</v>
      </c>
      <c r="APP5" s="7">
        <v>-0.46476881577859303</v>
      </c>
      <c r="APQ5" s="7">
        <v>1.27071745045867</v>
      </c>
      <c r="APR5" s="7">
        <v>-2.19374734446234E-2</v>
      </c>
      <c r="APS5" s="7">
        <v>1.5941926488715199</v>
      </c>
      <c r="APT5" s="7">
        <v>-4.9017294667125302E-2</v>
      </c>
      <c r="APU5" s="7">
        <v>-0.954977256859459</v>
      </c>
      <c r="APV5" s="7">
        <v>0.34071111453729702</v>
      </c>
      <c r="APW5" s="7">
        <v>-0.142355692179265</v>
      </c>
      <c r="APX5" s="7">
        <v>-0.42891997754244499</v>
      </c>
      <c r="APY5" s="7">
        <v>-1.26906589010531</v>
      </c>
      <c r="APZ5" s="7">
        <v>1.9355145687775299</v>
      </c>
      <c r="AQA5" s="7">
        <v>0.273818981128993</v>
      </c>
      <c r="AQB5" s="7">
        <v>0.59631018757818699</v>
      </c>
      <c r="AQC5" s="7">
        <v>-0.308950872927304</v>
      </c>
      <c r="AQD5" s="7">
        <v>0.38013012227910797</v>
      </c>
      <c r="AQE5" s="7">
        <v>1.8908941379120101</v>
      </c>
      <c r="AQF5" s="7">
        <v>0.87790942038043496</v>
      </c>
      <c r="AQG5" s="7">
        <v>-0.37037491341288198</v>
      </c>
      <c r="AQH5" s="7">
        <v>0.38972182420219198</v>
      </c>
      <c r="AQI5" s="7">
        <v>2.03709337145576</v>
      </c>
      <c r="AQJ5" s="7">
        <v>0.41256137799737203</v>
      </c>
      <c r="AQK5" s="7">
        <v>0.54602482928652796</v>
      </c>
      <c r="AQL5" s="7">
        <v>0.37380816840836101</v>
      </c>
      <c r="AQM5" s="7">
        <v>0.50718854684053105</v>
      </c>
      <c r="AQN5" s="7">
        <v>5.8433618134008797E-2</v>
      </c>
      <c r="AQO5" s="7">
        <v>-1.7947007053016499</v>
      </c>
      <c r="AQP5" s="7">
        <v>-0.66821374969594405</v>
      </c>
      <c r="AQQ5" s="7">
        <v>1.4678208908013901</v>
      </c>
      <c r="AQR5" s="7">
        <v>4.9809960032785199E-2</v>
      </c>
      <c r="AQS5" s="7">
        <v>-4.5137973322044E-2</v>
      </c>
      <c r="AQT5" s="7">
        <v>2.2419700070030899</v>
      </c>
      <c r="AQU5" s="7">
        <v>-0.62865687533558801</v>
      </c>
      <c r="AQV5" s="7">
        <v>0.52693690589251496</v>
      </c>
      <c r="AQW5" s="7">
        <v>2.10281978583851</v>
      </c>
      <c r="AQX5" s="7">
        <v>-0.49772252049911397</v>
      </c>
      <c r="AQY5" s="7">
        <v>-0.85856379669356797</v>
      </c>
      <c r="AQZ5" s="7">
        <v>-1.8461812459883999</v>
      </c>
      <c r="ARA5" s="7">
        <v>0.68955767744610297</v>
      </c>
      <c r="ARB5" s="7">
        <v>0.61503431080664805</v>
      </c>
      <c r="ARC5" s="7">
        <v>0.51718699873683704</v>
      </c>
      <c r="ARD5" s="7">
        <v>-1.9190040882911199</v>
      </c>
      <c r="ARE5" s="7">
        <v>-0.76827846912401498</v>
      </c>
      <c r="ARF5" s="7">
        <v>-0.486231358012299</v>
      </c>
      <c r="ARG5" s="7">
        <v>1.4320504580548301</v>
      </c>
      <c r="ARH5" s="7">
        <v>0.550532434399437</v>
      </c>
      <c r="ARI5" s="7">
        <v>0.40508668274007997</v>
      </c>
      <c r="ARJ5" s="7">
        <v>0.35582432987042201</v>
      </c>
      <c r="ARK5" s="7">
        <v>-0.64288585291837197</v>
      </c>
      <c r="ARL5" s="7">
        <v>-0.16104653137430699</v>
      </c>
      <c r="ARM5" s="7">
        <v>0.27095627230341501</v>
      </c>
      <c r="ARN5" s="7">
        <v>0.83382529226910596</v>
      </c>
      <c r="ARO5" s="7">
        <v>1.3489260983096001</v>
      </c>
      <c r="ARP5" s="7">
        <v>1.2294525002834</v>
      </c>
      <c r="ARQ5" s="7">
        <v>-0.447897512172232</v>
      </c>
      <c r="ARR5" s="7">
        <v>-1.12005703698363</v>
      </c>
      <c r="ARS5" s="7">
        <v>0.75685502383777603</v>
      </c>
      <c r="ART5" s="7">
        <v>0.79130338786869703</v>
      </c>
      <c r="ARU5" s="7">
        <v>3.9559572981293797E-2</v>
      </c>
      <c r="ARV5" s="7">
        <v>-0.46347356722699001</v>
      </c>
      <c r="ARW5" s="7">
        <v>0.16293447561013</v>
      </c>
      <c r="ARX5" s="7">
        <v>0.99518637937611198</v>
      </c>
      <c r="ARY5" s="7">
        <v>2.2226496439104799E-2</v>
      </c>
      <c r="ARZ5" s="7">
        <v>-0.60765803844268595</v>
      </c>
      <c r="ASA5" s="7">
        <v>0.64555269403075599</v>
      </c>
      <c r="ASB5" s="7">
        <v>-0.57143122967084203</v>
      </c>
      <c r="ASC5" s="7">
        <v>0.57307076445691996</v>
      </c>
      <c r="ASD5" s="7">
        <v>1.2331707032314501</v>
      </c>
      <c r="ASE5" s="7">
        <v>-1.00704852679173E-2</v>
      </c>
      <c r="ASF5" s="7">
        <v>0.68168276509653003</v>
      </c>
      <c r="ASG5" s="7">
        <v>-1.28395050439048</v>
      </c>
      <c r="ASH5" s="7">
        <v>-0.54865115258238795</v>
      </c>
      <c r="ASI5" s="7">
        <v>0.93102859057549503</v>
      </c>
      <c r="ASJ5" s="7">
        <v>0.97986304451865602</v>
      </c>
      <c r="ASK5" s="7">
        <v>1.5311617145872101</v>
      </c>
      <c r="ASL5" s="7">
        <v>-3.7312408276825E-3</v>
      </c>
      <c r="ASM5" s="7">
        <v>1.4753030868725101</v>
      </c>
      <c r="ASN5" s="7">
        <v>-1.8879276747873699</v>
      </c>
      <c r="ASO5" s="7">
        <v>-1.9417381274376799</v>
      </c>
      <c r="ASP5" s="7">
        <v>1.62197784597811</v>
      </c>
      <c r="ASQ5" s="7">
        <v>-6.3997159552671998E-3</v>
      </c>
      <c r="ASR5" s="7">
        <v>-7.3387708843204405E-2</v>
      </c>
      <c r="ASS5" s="7">
        <v>-0.48128133672590001</v>
      </c>
      <c r="AST5" s="7">
        <v>7.0033146067094598E-2</v>
      </c>
      <c r="ASU5" s="7">
        <v>0.26276682065322099</v>
      </c>
      <c r="ASV5" s="7">
        <v>1.2227354873816101</v>
      </c>
      <c r="ASW5" s="7">
        <v>-0.88902542513375504</v>
      </c>
      <c r="ASX5" s="7">
        <v>0.45642886777147801</v>
      </c>
      <c r="ASY5" s="7">
        <v>-0.143972067804367</v>
      </c>
      <c r="ASZ5" s="7">
        <v>-0.80106559443627101</v>
      </c>
      <c r="ATA5" s="7">
        <v>0.24908711809697401</v>
      </c>
      <c r="ATB5" s="7">
        <v>-1.1916713177556599</v>
      </c>
      <c r="ATC5" s="7">
        <v>1.1208054368314699</v>
      </c>
      <c r="ATD5" s="7">
        <v>4.7276960941278402E-2</v>
      </c>
      <c r="ATE5" s="7">
        <v>0.86675661766714296</v>
      </c>
      <c r="ATF5" s="7">
        <v>-1.2524900888659001</v>
      </c>
      <c r="ATG5" s="7">
        <v>0.62539099846541402</v>
      </c>
      <c r="ATH5" s="7">
        <v>0.71110889845222303</v>
      </c>
      <c r="ATI5" s="7">
        <v>-9.1299476935969903E-2</v>
      </c>
      <c r="ATJ5" s="7">
        <v>-1.4079743434090199</v>
      </c>
      <c r="ATK5" s="7">
        <v>-0.87189649951651005</v>
      </c>
      <c r="ATL5" s="7">
        <v>-0.12313650712191899</v>
      </c>
      <c r="ATM5" s="7">
        <v>0.79936354948014199</v>
      </c>
      <c r="ATN5" s="7">
        <v>0.87458017604306404</v>
      </c>
      <c r="ATO5" s="7">
        <v>1.5924314957893599</v>
      </c>
      <c r="ATP5" s="7">
        <v>-9.5539309539467904E-2</v>
      </c>
      <c r="ATQ5" s="7">
        <v>1.0819401702240099</v>
      </c>
      <c r="ATR5" s="7">
        <v>4.12213515540941E-2</v>
      </c>
      <c r="ATS5" s="7">
        <v>-2.8399441659236E-3</v>
      </c>
      <c r="ATT5" s="7">
        <v>-1.97366310525893</v>
      </c>
      <c r="ATU5" s="7">
        <v>-0.54828238131984997</v>
      </c>
      <c r="ATV5" s="7">
        <v>-0.15416746772855899</v>
      </c>
      <c r="ATW5" s="7">
        <v>-1.01921130785003</v>
      </c>
      <c r="ATX5" s="7">
        <v>-0.51128717114064004</v>
      </c>
      <c r="ATY5" s="7">
        <v>0.58461921721519206</v>
      </c>
      <c r="ATZ5" s="7">
        <v>-0.15229563866985099</v>
      </c>
      <c r="AUA5" s="7">
        <v>1.85994752504609</v>
      </c>
      <c r="AUB5" s="7">
        <v>-0.67134659281798903</v>
      </c>
      <c r="AUC5" s="7">
        <v>0.15694403340975299</v>
      </c>
      <c r="AUD5" s="7">
        <v>1.25555309354073</v>
      </c>
      <c r="AUE5" s="7">
        <v>-1.1193786640702901</v>
      </c>
      <c r="AUF5" s="7">
        <v>1.8554606391056001</v>
      </c>
      <c r="AUG5" s="7">
        <v>0.39322243553680702</v>
      </c>
      <c r="AUH5" s="7">
        <v>0.69297471396588195</v>
      </c>
      <c r="AUI5" s="7">
        <v>1.7859072556375599</v>
      </c>
      <c r="AUJ5" s="7">
        <v>0.41881896371272997</v>
      </c>
      <c r="AUK5" s="7">
        <v>-0.51345846036582998</v>
      </c>
      <c r="AUL5" s="7">
        <v>0.62781828220481894</v>
      </c>
      <c r="AUM5" s="7">
        <v>-1.4430371706960501</v>
      </c>
      <c r="AUN5" s="7">
        <v>0.36797380098865301</v>
      </c>
      <c r="AUO5" s="7">
        <v>1.1408470738860701</v>
      </c>
      <c r="AUP5" s="7">
        <v>-0.59823847483353398</v>
      </c>
      <c r="AUQ5" s="7">
        <v>1.1509463968704601</v>
      </c>
      <c r="AUR5" s="7">
        <v>0.42948324569505197</v>
      </c>
      <c r="AUS5" s="7">
        <v>-1.98228873545428</v>
      </c>
      <c r="AUT5" s="7">
        <v>-1.4021214050721801E-2</v>
      </c>
      <c r="AUU5" s="7">
        <v>0.33270076929457398</v>
      </c>
      <c r="AUV5" s="7">
        <v>-0.42192697346559399</v>
      </c>
      <c r="AUW5" s="7">
        <v>0.66762212393023901</v>
      </c>
      <c r="AUX5" s="7">
        <v>-1.5020850327600299</v>
      </c>
      <c r="AUY5" s="7">
        <v>5.4379341710395199E-2</v>
      </c>
      <c r="AUZ5" s="7">
        <v>1.29836002491006</v>
      </c>
      <c r="AVA5" s="7">
        <v>0.62384681016346</v>
      </c>
      <c r="AVB5" s="7">
        <v>-0.16413258949567699</v>
      </c>
      <c r="AVC5" s="7">
        <v>-1.1454323274017699</v>
      </c>
      <c r="AVD5" s="7">
        <v>0.126303389908132</v>
      </c>
      <c r="AVE5" s="7">
        <v>-8.1068949286881298E-2</v>
      </c>
      <c r="AVF5" s="7">
        <v>-1.3219063116894101</v>
      </c>
      <c r="AVG5" s="7">
        <v>-2.29539693719614</v>
      </c>
      <c r="AVH5" s="7">
        <v>-1.4970337276210799</v>
      </c>
      <c r="AVI5" s="7">
        <v>0.898334552287257</v>
      </c>
      <c r="AVJ5" s="7">
        <v>-0.22246130543490999</v>
      </c>
      <c r="AVK5" s="7">
        <v>0.365676717248831</v>
      </c>
      <c r="AVL5" s="7">
        <v>0.39035045770075999</v>
      </c>
      <c r="AVM5" s="7">
        <v>-0.112863335977283</v>
      </c>
      <c r="AVN5" s="7">
        <v>-0.78892595327173998</v>
      </c>
      <c r="AVO5" s="7">
        <v>1.02696637302783</v>
      </c>
      <c r="AVP5" s="7">
        <v>-1.1394373877850501</v>
      </c>
      <c r="AVQ5" s="7">
        <v>-2.8335417476901201E-2</v>
      </c>
      <c r="AVR5" s="7">
        <v>-0.21813945946584701</v>
      </c>
      <c r="AVS5" s="7">
        <v>-0.32788500233880902</v>
      </c>
      <c r="AVT5" s="7">
        <v>0.36784442091198699</v>
      </c>
      <c r="AVU5" s="7">
        <v>1.1946821468925899</v>
      </c>
      <c r="AVV5" s="7">
        <v>1.42854441901624</v>
      </c>
      <c r="AVW5" s="7">
        <v>0.59071884994707802</v>
      </c>
      <c r="AVX5" s="7">
        <v>-3.3492880399013499E-2</v>
      </c>
      <c r="AVY5" s="7">
        <v>1.1381548652120199</v>
      </c>
      <c r="AVZ5" s="7">
        <v>0.58791013113823998</v>
      </c>
      <c r="AWA5" s="7">
        <v>-1.5395769638780099</v>
      </c>
      <c r="AWB5" s="7">
        <v>0.308131455809457</v>
      </c>
      <c r="AWC5" s="7">
        <v>0.176017281539989</v>
      </c>
      <c r="AWD5" s="7">
        <v>1.40910456780196</v>
      </c>
      <c r="AWE5" s="7">
        <v>-0.70980228714877003</v>
      </c>
      <c r="AWF5" s="7">
        <v>-0.54384589646933001</v>
      </c>
      <c r="AWG5" s="7">
        <v>1.41693112912612</v>
      </c>
      <c r="AWH5" s="7">
        <v>-9.6119473223723606E-2</v>
      </c>
      <c r="AWI5" s="7">
        <v>0.26648495010321099</v>
      </c>
      <c r="AWJ5" s="7">
        <v>0.22432121614394901</v>
      </c>
      <c r="AWK5" s="7">
        <v>-2.0726703466782501</v>
      </c>
      <c r="AWL5" s="7">
        <v>0.57609411213545403</v>
      </c>
      <c r="AWM5" s="7">
        <v>1.73527187888572</v>
      </c>
      <c r="AWN5" s="7">
        <v>-0.13155127221264501</v>
      </c>
      <c r="AWO5" s="7">
        <v>-0.68037309209936903</v>
      </c>
      <c r="AWP5" s="7">
        <v>-0.36944042257724002</v>
      </c>
      <c r="AWQ5" s="7">
        <v>0.85384735164625902</v>
      </c>
      <c r="AWR5" s="7">
        <v>-1.52316064117033</v>
      </c>
      <c r="AWS5" s="7">
        <v>0.71174948561281004</v>
      </c>
      <c r="AWT5" s="7">
        <v>-0.93170496903524302</v>
      </c>
      <c r="AWU5" s="7">
        <v>-0.95653112499802095</v>
      </c>
      <c r="AWV5" s="7">
        <v>0.79042870773462404</v>
      </c>
      <c r="AWW5" s="7">
        <v>-0.13610400516926499</v>
      </c>
      <c r="AWX5" s="7">
        <v>0.22272089686837901</v>
      </c>
      <c r="AWY5" s="7">
        <v>-0.485835637275847</v>
      </c>
      <c r="AWZ5" s="7">
        <v>-0.36276686443501199</v>
      </c>
      <c r="AXA5" s="7">
        <v>0.13431609558843</v>
      </c>
      <c r="AXB5" s="7">
        <v>-0.96875123347229397</v>
      </c>
      <c r="AXC5" s="7">
        <v>0.70072303340114594</v>
      </c>
      <c r="AXD5" s="7">
        <v>-0.76718598920569803</v>
      </c>
      <c r="AXE5" s="7">
        <v>1.7325230937796501</v>
      </c>
      <c r="AXF5" s="7">
        <v>-0.48676351561167802</v>
      </c>
      <c r="AXG5" s="7">
        <v>-1.21245298868889</v>
      </c>
      <c r="AXH5" s="7">
        <v>0.16059281344315299</v>
      </c>
      <c r="AXI5" s="7">
        <v>-1.72978099500892</v>
      </c>
      <c r="AXJ5" s="7">
        <v>1.1307208047896999</v>
      </c>
      <c r="AXK5" s="7">
        <v>-2.3798861610684199</v>
      </c>
      <c r="AXL5" s="7">
        <v>-0.43927634889293499</v>
      </c>
      <c r="AXM5" s="7">
        <v>-0.96781507625323304</v>
      </c>
      <c r="AXN5" s="7">
        <v>-0.45800201659923601</v>
      </c>
      <c r="AXO5" s="7">
        <v>0.38699127101601399</v>
      </c>
      <c r="AXP5" s="7">
        <v>-0.59757971596742698</v>
      </c>
      <c r="AXQ5" s="7">
        <v>0.97480942150305105</v>
      </c>
      <c r="AXR5" s="7">
        <v>1.2716762978450999</v>
      </c>
      <c r="AXS5" s="7">
        <v>0.29524049735740598</v>
      </c>
      <c r="AXT5" s="7">
        <v>1.3756251248963201</v>
      </c>
      <c r="AXU5" s="7">
        <v>-0.29999954096597398</v>
      </c>
      <c r="AXV5" s="7">
        <v>0.15289603992482201</v>
      </c>
      <c r="AXW5" s="7">
        <v>0.15022829519296099</v>
      </c>
      <c r="AXX5" s="7">
        <v>-1.2417894853260201</v>
      </c>
      <c r="AXY5" s="7">
        <v>-0.76815909860498199</v>
      </c>
      <c r="AXZ5" s="7">
        <v>0.16301851497067599</v>
      </c>
      <c r="AYA5" s="7">
        <v>-0.57056499445087006</v>
      </c>
      <c r="AYB5" s="7">
        <v>0.43334533899040001</v>
      </c>
      <c r="AYC5" s="7">
        <v>-0.25358216708346998</v>
      </c>
      <c r="AYD5" s="7">
        <v>-0.24871620793242</v>
      </c>
      <c r="AYE5" s="7">
        <v>-0.90043490005851201</v>
      </c>
      <c r="AYF5" s="7">
        <v>0.348055413724706</v>
      </c>
      <c r="AYG5" s="7">
        <v>-1.0662790377884199</v>
      </c>
      <c r="AYH5" s="7">
        <v>7.2537847343157004E-3</v>
      </c>
      <c r="AYI5" s="7">
        <v>0.47248121554897199</v>
      </c>
      <c r="AYJ5" s="7">
        <v>0.26842689668136999</v>
      </c>
      <c r="AYK5" s="7">
        <v>1.43305299393115</v>
      </c>
      <c r="AYL5" s="7">
        <v>0.13599396521466001</v>
      </c>
      <c r="AYM5" s="7">
        <v>-1.07035761957501</v>
      </c>
      <c r="AYN5" s="7">
        <v>0.39882232447086202</v>
      </c>
      <c r="AYO5" s="7">
        <v>-0.39185806068141099</v>
      </c>
      <c r="AYP5" s="7">
        <v>0.47193900846436598</v>
      </c>
      <c r="AYQ5" s="7">
        <v>0.463965576368776</v>
      </c>
      <c r="AYR5" s="7">
        <v>0.51815721012126403</v>
      </c>
      <c r="AYS5" s="7">
        <v>0.40799807176399799</v>
      </c>
      <c r="AYT5" s="7">
        <v>-0.85892564599405397</v>
      </c>
      <c r="AYU5" s="7">
        <v>-0.83106637966638597</v>
      </c>
      <c r="AYV5" s="7">
        <v>-1.68347668697583</v>
      </c>
      <c r="AYW5" s="7">
        <v>-0.20035165893889101</v>
      </c>
      <c r="AYX5" s="7">
        <v>1.15725958362931</v>
      </c>
      <c r="AYY5" s="7">
        <v>0.24547384960961599</v>
      </c>
      <c r="AYZ5" s="7">
        <v>-0.64633722212585998</v>
      </c>
      <c r="AZA5" s="7">
        <v>6.4234882005686597E-2</v>
      </c>
      <c r="AZB5" s="7">
        <v>-1.46890169805371</v>
      </c>
      <c r="AZC5" s="7">
        <v>-1.1774675477857499</v>
      </c>
      <c r="AZD5" s="7">
        <v>0.38225374023291497</v>
      </c>
      <c r="AZE5" s="7">
        <v>-0.30957020535739599</v>
      </c>
      <c r="AZF5" s="7">
        <v>6.7136296809676296E-2</v>
      </c>
      <c r="AZG5" s="7">
        <v>-0.40748082309018502</v>
      </c>
      <c r="AZH5" s="7">
        <v>0.45462128615736902</v>
      </c>
      <c r="AZI5" s="7">
        <v>-0.74790718523450395</v>
      </c>
      <c r="AZJ5" s="7">
        <v>-3.5779389666451597E-2</v>
      </c>
      <c r="AZK5" s="7">
        <v>0.53878360442340101</v>
      </c>
      <c r="AZL5" s="7">
        <v>0.73856837120000896</v>
      </c>
      <c r="AZM5" s="7">
        <v>-1.9918918403450701</v>
      </c>
      <c r="AZN5" s="7">
        <v>-1.85743363788034</v>
      </c>
      <c r="AZO5" s="7">
        <v>0.25008442536840197</v>
      </c>
      <c r="AZP5" s="7">
        <v>1.07523328672392</v>
      </c>
      <c r="AZQ5" s="7">
        <v>-0.23791252338189101</v>
      </c>
      <c r="AZR5" s="7">
        <v>1.03263337092047</v>
      </c>
      <c r="AZS5" s="7">
        <v>-0.32835583811436903</v>
      </c>
      <c r="AZT5" s="7">
        <v>1.72470421042321</v>
      </c>
      <c r="AZU5" s="7">
        <v>-4.3695320566393199E-2</v>
      </c>
      <c r="AZV5" s="7">
        <v>0.52520323344238096</v>
      </c>
      <c r="AZW5" s="7">
        <v>0.41818550342935901</v>
      </c>
      <c r="AZX5" s="7">
        <v>1.38408799208941</v>
      </c>
      <c r="AZY5" s="7">
        <v>-0.86513146122214002</v>
      </c>
      <c r="AZZ5" s="7">
        <v>-0.87512093572921101</v>
      </c>
      <c r="BAA5" s="7">
        <v>-0.385677723586343</v>
      </c>
      <c r="BAB5" s="7">
        <v>0.41421838674475903</v>
      </c>
      <c r="BAC5" s="7">
        <v>-1.9565160294456901E-2</v>
      </c>
      <c r="BAD5" s="7">
        <v>-1.5779972698771401</v>
      </c>
      <c r="BAE5" s="7">
        <v>-3.4109939968779E-2</v>
      </c>
      <c r="BAF5" s="7">
        <v>0.71128184173776399</v>
      </c>
      <c r="BAG5" s="7">
        <v>1.9518784038995201</v>
      </c>
      <c r="BAH5" s="7">
        <v>-0.248772849664992</v>
      </c>
      <c r="BAI5" s="7">
        <v>-1.6045591635184899</v>
      </c>
      <c r="BAJ5" s="7">
        <v>-6.1807142176900497E-2</v>
      </c>
      <c r="BAK5" s="7">
        <v>1.39383017152682</v>
      </c>
      <c r="BAL5" s="7">
        <v>-0.13574187959348999</v>
      </c>
      <c r="BAM5" s="7">
        <v>-0.84889611638158502</v>
      </c>
      <c r="BAN5" s="7">
        <v>-0.290007057042101</v>
      </c>
      <c r="BAO5" s="7">
        <v>-0.286176479508568</v>
      </c>
      <c r="BAP5" s="7">
        <v>1.333463860248</v>
      </c>
      <c r="BAQ5" s="7">
        <v>-8.9437058286366902E-2</v>
      </c>
      <c r="BAR5" s="7">
        <v>-0.190067445346431</v>
      </c>
      <c r="BAS5" s="7">
        <v>2.2056987120573299</v>
      </c>
      <c r="BAT5" s="7">
        <v>-9.7746944341964903E-2</v>
      </c>
      <c r="BAU5" s="7">
        <v>1.7722520671367501</v>
      </c>
      <c r="BAV5" s="7">
        <v>1.1238756906640801</v>
      </c>
      <c r="BAW5" s="7">
        <v>-1.56105691043539</v>
      </c>
      <c r="BAX5" s="7">
        <v>-0.50117927082351998</v>
      </c>
      <c r="BAY5" s="7">
        <v>-0.41512175387762601</v>
      </c>
      <c r="BAZ5" s="7">
        <v>-0.34565556478978698</v>
      </c>
      <c r="BBA5" s="7">
        <v>0.336433457211679</v>
      </c>
      <c r="BBB5" s="7">
        <v>-1.00381287535465</v>
      </c>
      <c r="BBC5" s="7">
        <v>0.22074086066389201</v>
      </c>
      <c r="BBD5" s="7">
        <v>-0.19572383291120901</v>
      </c>
      <c r="BBE5" s="7">
        <v>0.56372597790163503</v>
      </c>
      <c r="BBF5" s="7">
        <v>0.20403541983588599</v>
      </c>
      <c r="BBG5" s="7">
        <v>-1.6925584941177101</v>
      </c>
      <c r="BBH5" s="7">
        <v>1.61616181372472</v>
      </c>
      <c r="BBI5" s="7">
        <v>0.58914488404192</v>
      </c>
      <c r="BBJ5" s="7">
        <v>-0.83974359271510801</v>
      </c>
      <c r="BBK5" s="7">
        <v>0.35876675389317197</v>
      </c>
      <c r="BBL5" s="7">
        <v>-0.52430129099497502</v>
      </c>
      <c r="BBM5" s="7">
        <v>-0.43313937883522402</v>
      </c>
      <c r="BBN5" s="7">
        <v>-1.7061530273901799</v>
      </c>
      <c r="BBO5" s="7">
        <v>-0.36724555552740501</v>
      </c>
      <c r="BBP5" s="7">
        <v>-0.81899459950932796</v>
      </c>
      <c r="BBQ5" s="7">
        <v>-0.63956260312149604</v>
      </c>
      <c r="BBR5" s="7">
        <v>0.32143122762133303</v>
      </c>
      <c r="BBS5" s="7">
        <v>-0.78547729647597297</v>
      </c>
      <c r="BBT5" s="7">
        <v>0.29174629262347601</v>
      </c>
      <c r="BBU5" s="7">
        <v>0.53991602821881002</v>
      </c>
      <c r="BBV5" s="7">
        <v>-0.210759116256382</v>
      </c>
      <c r="BBW5" s="7">
        <v>2.1589369023650602</v>
      </c>
      <c r="BBX5" s="7">
        <v>1.9125167530032801</v>
      </c>
      <c r="BBY5" s="7">
        <v>1.1336431032861101</v>
      </c>
      <c r="BBZ5" s="7">
        <v>-0.92225069983750396</v>
      </c>
      <c r="BCA5" s="7">
        <v>0.71857412858327796</v>
      </c>
      <c r="BCB5" s="7">
        <v>-0.51790439197412996</v>
      </c>
      <c r="BCC5" s="7">
        <v>-1.7053351437501101</v>
      </c>
      <c r="BCD5" s="7">
        <v>8.4396379501994995E-2</v>
      </c>
      <c r="BCE5" s="7">
        <v>0.13251983454192001</v>
      </c>
      <c r="BCF5" s="7">
        <v>-0.79207052022394597</v>
      </c>
      <c r="BCG5" s="7">
        <v>0.94287148535528897</v>
      </c>
      <c r="BCH5" s="7">
        <v>0.70450581393400302</v>
      </c>
      <c r="BCI5" s="7">
        <v>0.71136408707418997</v>
      </c>
      <c r="BCJ5" s="7">
        <v>-0.94016407233358701</v>
      </c>
      <c r="BCK5" s="7">
        <v>1.5234397043707401E-2</v>
      </c>
      <c r="BCL5" s="7">
        <v>0.148289026207129</v>
      </c>
      <c r="BCM5" s="7">
        <v>0.291758671714829</v>
      </c>
      <c r="BCN5" s="7">
        <v>1.7628563653935001</v>
      </c>
      <c r="BCO5" s="7">
        <v>-0.31135578167232297</v>
      </c>
      <c r="BCP5" s="7">
        <v>1.4385378609666899</v>
      </c>
      <c r="BCQ5" s="7">
        <v>-1.5377981143352799</v>
      </c>
      <c r="BCR5" s="7">
        <v>0.25879557485961702</v>
      </c>
      <c r="BCS5" s="7">
        <v>1.3012063140810399</v>
      </c>
      <c r="BCT5" s="7">
        <v>0.62054587914473402</v>
      </c>
      <c r="BCU5" s="7">
        <v>-1.16474910672528</v>
      </c>
      <c r="BCV5" s="7">
        <v>-0.55532796229046499</v>
      </c>
      <c r="BCW5" s="7">
        <v>-2.5509221000164999</v>
      </c>
      <c r="BCX5" s="7">
        <v>1.45687931097276</v>
      </c>
      <c r="BCY5" s="7">
        <v>1.09788612175139</v>
      </c>
      <c r="BCZ5" s="7">
        <v>-2.144817259166</v>
      </c>
      <c r="BDA5" s="7">
        <v>-0.65804228047124502</v>
      </c>
      <c r="BDB5" s="7">
        <v>1.4106808483448801</v>
      </c>
      <c r="BDC5" s="7">
        <v>-0.67206511146401804</v>
      </c>
      <c r="BDD5" s="7">
        <v>-0.48797474532199497</v>
      </c>
      <c r="BDE5" s="7">
        <v>-0.81253468999420397</v>
      </c>
      <c r="BDF5" s="7">
        <v>-0.65881238420747301</v>
      </c>
      <c r="BDG5" s="7">
        <v>-0.22695305830891399</v>
      </c>
      <c r="BDH5" s="7">
        <v>-0.68544284019250101</v>
      </c>
      <c r="BDI5" s="7">
        <v>1.32186698879014</v>
      </c>
      <c r="BDJ5" s="7">
        <v>-1.00913345841469</v>
      </c>
      <c r="BDK5" s="7">
        <v>1.32246033021276</v>
      </c>
      <c r="BDL5" s="7">
        <v>6.9395432745184199E-2</v>
      </c>
      <c r="BDM5" s="7">
        <v>0.29526806537948602</v>
      </c>
      <c r="BDN5" s="7">
        <v>0.53904045195399497</v>
      </c>
      <c r="BDO5" s="7">
        <v>1.76928954436842</v>
      </c>
      <c r="BDP5" s="7">
        <v>0.15556771503985001</v>
      </c>
      <c r="BDQ5" s="7">
        <v>-1.34538479976633</v>
      </c>
      <c r="BDR5" s="7">
        <v>1.11009904334994</v>
      </c>
      <c r="BDS5" s="7">
        <v>0.322603758381176</v>
      </c>
      <c r="BDT5" s="7">
        <v>1.0580306975776601</v>
      </c>
      <c r="BDU5" s="7">
        <v>1.76712248081231</v>
      </c>
      <c r="BDV5" s="7">
        <v>0.11769885676867201</v>
      </c>
      <c r="BDW5" s="7">
        <v>-1.42918849306175</v>
      </c>
      <c r="BDX5" s="7">
        <v>-3.0571532808616699</v>
      </c>
      <c r="BDY5" s="7">
        <v>-0.350864338205432</v>
      </c>
      <c r="BDZ5" s="7">
        <v>-1.2803440877197201</v>
      </c>
      <c r="BEA5" s="7">
        <v>-0.44280505538895099</v>
      </c>
      <c r="BEB5" s="7">
        <v>-1.11209862003</v>
      </c>
      <c r="BEC5" s="7">
        <v>0.517267860027951</v>
      </c>
      <c r="BED5" s="7">
        <v>-1.5427431146978301</v>
      </c>
      <c r="BEE5" s="7">
        <v>-1.1613525493591199</v>
      </c>
      <c r="BEF5" s="7">
        <v>1.1695201192627001</v>
      </c>
      <c r="BEG5" s="7">
        <v>-1.1107406423538899</v>
      </c>
      <c r="BEH5" s="7">
        <v>-0.74330198892536503</v>
      </c>
      <c r="BEI5" s="7">
        <v>0.14391008650787801</v>
      </c>
      <c r="BEJ5" s="7">
        <v>-0.73706634932829496</v>
      </c>
      <c r="BEK5" s="7">
        <v>1.2400921096103099</v>
      </c>
      <c r="BEL5" s="7">
        <v>-1.0113161464663301</v>
      </c>
      <c r="BEM5" s="7">
        <v>1.55604893751607</v>
      </c>
      <c r="BEN5" s="7">
        <v>-1.79435140938107</v>
      </c>
      <c r="BEO5" s="7">
        <v>2.8762006847921802</v>
      </c>
      <c r="BEP5" s="7">
        <v>-0.55915003832035304</v>
      </c>
      <c r="BEQ5" s="7">
        <v>0.55172436377507805</v>
      </c>
      <c r="BER5" s="7">
        <v>-0.226194048898816</v>
      </c>
      <c r="BES5" s="7">
        <v>0.53301716517869002</v>
      </c>
      <c r="BET5" s="7">
        <v>-2.3981160379097699</v>
      </c>
      <c r="BEU5" s="7">
        <v>-0.185899332041909</v>
      </c>
      <c r="BEV5" s="7">
        <v>-0.18677601254374199</v>
      </c>
      <c r="BEW5" s="7">
        <v>0.84536737429759501</v>
      </c>
      <c r="BEX5" s="7">
        <v>-0.260985936102616</v>
      </c>
      <c r="BEY5" s="7">
        <v>-1.22513187757858</v>
      </c>
      <c r="BEZ5" s="7">
        <v>-1.6139629680677401</v>
      </c>
      <c r="BFA5" s="7">
        <v>-0.28840180546685901</v>
      </c>
      <c r="BFB5" s="7">
        <v>-0.43501251676909802</v>
      </c>
      <c r="BFC5" s="7">
        <v>-0.48792673316249902</v>
      </c>
      <c r="BFD5" s="7">
        <v>-0.86837261711138403</v>
      </c>
      <c r="BFE5" s="7">
        <v>1.2762109230413401</v>
      </c>
      <c r="BFF5" s="7">
        <v>-0.32782291862026802</v>
      </c>
      <c r="BFG5" s="7">
        <v>-0.73431058188637299</v>
      </c>
      <c r="BFH5" s="7">
        <v>0.58086213977030698</v>
      </c>
      <c r="BFI5" s="7">
        <v>-0.45439070988161201</v>
      </c>
      <c r="BFJ5" s="7">
        <v>-2.73066297564982E-2</v>
      </c>
      <c r="BFK5" s="7">
        <v>0.92457559055114402</v>
      </c>
      <c r="BFL5" s="7">
        <v>0.20910562392184801</v>
      </c>
      <c r="BFM5" s="7">
        <v>0.12451742311236701</v>
      </c>
      <c r="BFN5" s="7">
        <v>1.39820819479997</v>
      </c>
      <c r="BFO5" s="7">
        <v>-0.45023403327716999</v>
      </c>
      <c r="BFP5" s="7">
        <v>-1.23023190178067</v>
      </c>
      <c r="BFQ5" s="7">
        <v>-0.55870619200038296</v>
      </c>
      <c r="BFR5" s="7">
        <v>-0.65846777641908605</v>
      </c>
      <c r="BFS5" s="7">
        <v>0.41432900511901599</v>
      </c>
      <c r="BFT5" s="7">
        <v>-0.45477261266302199</v>
      </c>
      <c r="BFU5" s="7">
        <v>-0.62116785422647502</v>
      </c>
      <c r="BFV5" s="7">
        <v>0.48047304195198098</v>
      </c>
      <c r="BFW5" s="7">
        <v>1.0139931190628899</v>
      </c>
      <c r="BFX5" s="7">
        <v>1.0071028036432701</v>
      </c>
      <c r="BFY5" s="7">
        <v>-2.3599934668920501</v>
      </c>
      <c r="BFZ5" s="7">
        <v>1.3994056610275301</v>
      </c>
      <c r="BGA5" s="7">
        <v>-0.92414029498509698</v>
      </c>
      <c r="BGB5" s="7">
        <v>0.37402421751491899</v>
      </c>
      <c r="BGC5" s="7">
        <v>-1.6196368417600799</v>
      </c>
      <c r="BGD5" s="7">
        <v>0.34090496594939701</v>
      </c>
      <c r="BGE5" s="7">
        <v>0.50013011380702299</v>
      </c>
      <c r="BGF5" s="7">
        <v>-0.96640067555735798</v>
      </c>
      <c r="BGG5" s="7">
        <v>0.81843096002831395</v>
      </c>
      <c r="BGH5" s="7">
        <v>0.26793590666602202</v>
      </c>
      <c r="BGI5" s="7">
        <v>-0.83826170555640001</v>
      </c>
      <c r="BGJ5" s="7">
        <v>1.3817395482186801</v>
      </c>
      <c r="BGK5" s="7">
        <v>0.88365963827077298</v>
      </c>
      <c r="BGL5" s="7">
        <v>-1.9760346595009399</v>
      </c>
      <c r="BGM5" s="7">
        <v>0.92240537430007996</v>
      </c>
      <c r="BGN5" s="7">
        <v>0.14651184400318501</v>
      </c>
      <c r="BGO5" s="7">
        <v>-0.92053287471266199</v>
      </c>
      <c r="BGP5" s="7">
        <v>-1.05234049908419</v>
      </c>
      <c r="BGQ5" s="7">
        <v>1.7567401978720101</v>
      </c>
      <c r="BGR5" s="7">
        <v>-0.227638283367637</v>
      </c>
      <c r="BGS5" s="7">
        <v>1.7120100992873699</v>
      </c>
      <c r="BGT5" s="7">
        <v>-0.434158606977193</v>
      </c>
      <c r="BGU5" s="7">
        <v>0.59350854084716198</v>
      </c>
      <c r="BGV5" s="7">
        <v>1.7246548160792501</v>
      </c>
      <c r="BGW5" s="7">
        <v>-0.12613297283343999</v>
      </c>
      <c r="BGX5" s="7">
        <v>0.69848235346107401</v>
      </c>
      <c r="BGY5" s="7">
        <v>0.55354230270253701</v>
      </c>
      <c r="BGZ5" s="7">
        <v>-0.20503663048487</v>
      </c>
      <c r="BHA5" s="7">
        <v>-0.67568801002680701</v>
      </c>
      <c r="BHB5" s="7">
        <v>-0.14127273498411799</v>
      </c>
      <c r="BHC5" s="7">
        <v>-0.16823274337626301</v>
      </c>
      <c r="BHD5" s="7">
        <v>-1.2797619561834099</v>
      </c>
      <c r="BHE5" s="7">
        <v>0.242139501468948</v>
      </c>
      <c r="BHF5" s="7">
        <v>-1.6921761688985399</v>
      </c>
      <c r="BHG5" s="7">
        <v>0.47314243541877399</v>
      </c>
      <c r="BHH5" s="7">
        <v>1.0806327508264999</v>
      </c>
      <c r="BHI5" s="7">
        <v>-1.13047453720172</v>
      </c>
      <c r="BHJ5" s="7">
        <v>-1.19097652048251</v>
      </c>
      <c r="BHK5" s="7">
        <v>0.430718729172474</v>
      </c>
      <c r="BHL5" s="7">
        <v>1.42732928875078</v>
      </c>
      <c r="BHM5" s="7">
        <v>0.77468233568144595</v>
      </c>
      <c r="BHN5" s="7">
        <v>0.213801899711654</v>
      </c>
      <c r="BHO5" s="7">
        <v>-1.1241190565168799</v>
      </c>
      <c r="BHP5" s="7">
        <v>0.42219142349453098</v>
      </c>
      <c r="BHQ5" s="7">
        <v>1.9390872625979401</v>
      </c>
      <c r="BHR5" s="7">
        <v>-0.91784803952611804</v>
      </c>
      <c r="BHS5" s="7">
        <v>-2.8096139638905502</v>
      </c>
      <c r="BHT5" s="7">
        <v>-0.31099842898296198</v>
      </c>
      <c r="BHU5" s="7">
        <v>-0.45695311855322501</v>
      </c>
      <c r="BHV5" s="7">
        <v>-0.49604161770315403</v>
      </c>
      <c r="BHW5" s="7">
        <v>1.45678045591821E-2</v>
      </c>
      <c r="BHX5" s="7">
        <v>-0.32187640128343697</v>
      </c>
      <c r="BHY5" s="7">
        <v>0.874588914268145</v>
      </c>
      <c r="BHZ5" s="7">
        <v>0.67319369972564602</v>
      </c>
      <c r="BIA5" s="7">
        <v>0.54958238569879903</v>
      </c>
      <c r="BIB5" s="7">
        <v>-0.53337499862881699</v>
      </c>
      <c r="BIC5" s="7">
        <v>0.808265097892786</v>
      </c>
      <c r="BID5" s="7">
        <v>-2.2976416334327801</v>
      </c>
      <c r="BIE5" s="7">
        <v>1.57204537883129</v>
      </c>
      <c r="BIF5" s="7">
        <v>-0.93852961016661296</v>
      </c>
      <c r="BIG5" s="7">
        <v>-9.7550158098746995E-2</v>
      </c>
      <c r="BIH5" s="7">
        <v>1.5878977797549401</v>
      </c>
      <c r="BII5" s="7">
        <v>6.6887861304691404E-2</v>
      </c>
      <c r="BIJ5" s="7">
        <v>-0.78607821458306204</v>
      </c>
      <c r="BIK5" s="7">
        <v>1.5335780280012701</v>
      </c>
      <c r="BIL5" s="7">
        <v>-1.3939278235069901</v>
      </c>
      <c r="BIM5" s="7">
        <v>1.50255144011965</v>
      </c>
      <c r="BIN5" s="7">
        <v>-1.38654095244119</v>
      </c>
      <c r="BIO5" s="7">
        <v>0.67512203309308105</v>
      </c>
      <c r="BIP5" s="7">
        <v>-0.65075934901404797</v>
      </c>
      <c r="BIQ5" s="7">
        <v>-0.47914152097816598</v>
      </c>
      <c r="BIR5" s="7">
        <v>0.179815358015187</v>
      </c>
      <c r="BIS5" s="7">
        <v>-0.31595467770263203</v>
      </c>
      <c r="BIT5" s="7">
        <v>-0.13242732474619201</v>
      </c>
      <c r="BIU5" s="7">
        <v>0.38652569751229698</v>
      </c>
      <c r="BIV5" s="7">
        <v>-1.2999973320826801</v>
      </c>
      <c r="BIW5" s="7">
        <v>0.93445970570376502</v>
      </c>
      <c r="BIX5" s="7">
        <v>0.43787641665339699</v>
      </c>
      <c r="BIY5" s="7">
        <v>9.7410309168118298E-2</v>
      </c>
      <c r="BIZ5" s="7">
        <v>-1.5386592901230001</v>
      </c>
      <c r="BJA5" s="7">
        <v>-1.38982266270036</v>
      </c>
      <c r="BJB5" s="7">
        <v>-0.130925207525496</v>
      </c>
      <c r="BJC5" s="7">
        <v>-0.57926577726411299</v>
      </c>
      <c r="BJD5" s="7">
        <v>-2.231644240076E-2</v>
      </c>
      <c r="BJE5" s="7">
        <v>-3.0324931623708199E-2</v>
      </c>
      <c r="BJF5" s="7">
        <v>-0.16040387263731701</v>
      </c>
      <c r="BJG5" s="7">
        <v>0.55394091821917701</v>
      </c>
      <c r="BJH5" s="7">
        <v>7.5174282709538395E-2</v>
      </c>
      <c r="BJI5" s="7">
        <v>0.55467299979036</v>
      </c>
      <c r="BJJ5" s="7">
        <v>-1.6068270700379701</v>
      </c>
      <c r="BJK5" s="7">
        <v>0.59199613216596003</v>
      </c>
      <c r="BJL5" s="7">
        <v>-1.41186135637807</v>
      </c>
      <c r="BJM5" s="7">
        <v>-1.40843979745834</v>
      </c>
      <c r="BJN5" s="7">
        <v>0.25558376703151098</v>
      </c>
      <c r="BJO5" s="7">
        <v>0.236766857228705</v>
      </c>
      <c r="BJP5" s="7">
        <v>-0.61172352007342901</v>
      </c>
      <c r="BJQ5" s="7">
        <v>-0.85959827499310504</v>
      </c>
      <c r="BJR5" s="7">
        <v>0.72377742674477497</v>
      </c>
      <c r="BJS5" s="7">
        <v>1.78485167754032</v>
      </c>
      <c r="BJT5" s="7">
        <v>-0.36813805064924299</v>
      </c>
      <c r="BJU5" s="7">
        <v>0.80265751880202196</v>
      </c>
      <c r="BJV5" s="7">
        <v>-0.29686353140309202</v>
      </c>
      <c r="BJW5" s="7">
        <v>0.19694955383854601</v>
      </c>
      <c r="BJX5" s="7">
        <v>-0.134749583427065</v>
      </c>
      <c r="BJY5" s="7">
        <v>-0.41878488011724002</v>
      </c>
      <c r="BJZ5" s="7">
        <v>0.78655201950294396</v>
      </c>
      <c r="BKA5" s="7">
        <v>-1.6380387438042801</v>
      </c>
      <c r="BKB5" s="7">
        <v>-0.55001561975964097</v>
      </c>
      <c r="BKC5" s="7">
        <v>1.32645107192198</v>
      </c>
      <c r="BKD5" s="7">
        <v>0.605504728630888</v>
      </c>
      <c r="BKE5" s="7">
        <v>0.45918880976715298</v>
      </c>
      <c r="BKF5" s="7">
        <v>0.41626485240490102</v>
      </c>
      <c r="BKG5" s="7">
        <v>0.90609584252504305</v>
      </c>
      <c r="BKH5" s="7">
        <v>5.3741596849353403E-2</v>
      </c>
      <c r="BKI5" s="7">
        <v>-2.9357316820687401E-2</v>
      </c>
      <c r="BKJ5" s="7">
        <v>-0.23304327549203599</v>
      </c>
      <c r="BKK5" s="7">
        <v>4.9306748323559003E-2</v>
      </c>
      <c r="BKL5" s="7">
        <v>0.96539722151266305</v>
      </c>
      <c r="BKM5" s="7">
        <v>0.191932640252752</v>
      </c>
      <c r="BKN5" s="7">
        <v>1.8321492466429098E-2</v>
      </c>
      <c r="BKO5" s="7">
        <v>7.2728646557245202E-2</v>
      </c>
      <c r="BKP5" s="7">
        <v>0.135391220287577</v>
      </c>
      <c r="BKQ5" s="7">
        <v>-5.5673236273267299E-2</v>
      </c>
      <c r="BKR5" s="7">
        <v>-5.8937837742467303E-2</v>
      </c>
      <c r="BKS5" s="7">
        <v>0.81212643384582694</v>
      </c>
      <c r="BKT5" s="7">
        <v>-0.94860529452439202</v>
      </c>
      <c r="BKU5" s="7">
        <v>0.21046854714027599</v>
      </c>
      <c r="BKV5" s="7">
        <v>4.1255226575254697E-2</v>
      </c>
      <c r="BKW5" s="7">
        <v>6.0047300622972498E-2</v>
      </c>
      <c r="BKX5" s="7">
        <v>0.38536528795089597</v>
      </c>
      <c r="BKY5" s="7">
        <v>0.14341900172864899</v>
      </c>
      <c r="BKZ5" s="7">
        <v>-0.719409020965048</v>
      </c>
      <c r="BLA5" s="7">
        <v>0.194087233202308</v>
      </c>
      <c r="BLB5" s="7">
        <v>-1.78619216704286</v>
      </c>
      <c r="BLC5" s="7">
        <v>1.1185256222673201</v>
      </c>
      <c r="BLD5" s="7">
        <v>8.4975182213068001E-3</v>
      </c>
      <c r="BLE5" s="7">
        <v>1.0203019680049601</v>
      </c>
      <c r="BLF5" s="7">
        <v>1.1041525532043499</v>
      </c>
      <c r="BLG5" s="7">
        <v>2.74840465075878</v>
      </c>
      <c r="BLH5" s="7">
        <v>-0.190739735745593</v>
      </c>
      <c r="BLI5" s="7">
        <v>-1.2505543250361699</v>
      </c>
      <c r="BLJ5" s="7">
        <v>0.31457651290167299</v>
      </c>
      <c r="BLK5" s="7">
        <v>-1.9915341436202501</v>
      </c>
      <c r="BLL5" s="7">
        <v>0.56740341302845798</v>
      </c>
      <c r="BLM5" s="7">
        <v>-4.8314890119321802E-2</v>
      </c>
      <c r="BLN5" s="7">
        <v>0.35005487060868401</v>
      </c>
      <c r="BLO5" s="7">
        <v>-1.1347158664711501</v>
      </c>
      <c r="BLP5" s="7">
        <v>0.74304268723604305</v>
      </c>
      <c r="BLQ5" s="7">
        <v>0.142956759098231</v>
      </c>
      <c r="BLR5" s="7">
        <v>0.438663716802838</v>
      </c>
      <c r="BLS5" s="7">
        <v>1.2915334227191799</v>
      </c>
      <c r="BLT5" s="7">
        <v>-6.9664734377587301E-2</v>
      </c>
      <c r="BLU5" s="7">
        <v>-0.88642033996619896</v>
      </c>
      <c r="BLV5" s="7">
        <v>0.29113997586972001</v>
      </c>
      <c r="BLW5" s="7">
        <v>0.51230559774412898</v>
      </c>
      <c r="BLX5" s="7">
        <v>-0.90745362207784497</v>
      </c>
      <c r="BLY5" s="7">
        <v>-1.1961356371455001</v>
      </c>
      <c r="BLZ5" s="7">
        <v>-2.2628699236689198</v>
      </c>
      <c r="BMA5" s="7">
        <v>-0.52810506384640299</v>
      </c>
      <c r="BMB5" s="7">
        <v>1.4247627950704</v>
      </c>
      <c r="BMC5" s="7">
        <v>0.85317990221932805</v>
      </c>
      <c r="BMD5" s="7">
        <v>1.1897350176202901</v>
      </c>
      <c r="BME5" s="7">
        <v>1.40723171043253</v>
      </c>
      <c r="BMF5" s="7">
        <v>1.9189754751802</v>
      </c>
      <c r="BMG5" s="7">
        <v>0.40411323403676702</v>
      </c>
      <c r="BMH5" s="7">
        <v>-0.52411439084757006</v>
      </c>
      <c r="BMI5" s="7">
        <v>1.44256686136673</v>
      </c>
      <c r="BMJ5" s="7">
        <v>-2.9622456680039901E-2</v>
      </c>
      <c r="BMK5" s="7">
        <v>0.71929341758666498</v>
      </c>
      <c r="BML5" s="7">
        <v>0.66027543713879</v>
      </c>
      <c r="BMM5" s="7">
        <v>-0.81069787702543605</v>
      </c>
      <c r="BMN5" s="7">
        <v>-0.53947282963076904</v>
      </c>
      <c r="BMO5" s="7">
        <v>0.25290543704385798</v>
      </c>
      <c r="BMP5" s="7">
        <v>-1.7329117537237</v>
      </c>
      <c r="BMQ5" s="7">
        <v>-1.39745617811904</v>
      </c>
      <c r="BMR5" s="7">
        <v>-0.88939002887993202</v>
      </c>
      <c r="BMS5" s="7">
        <v>1.23880181339613</v>
      </c>
      <c r="BMT5" s="7">
        <v>0.88011954547804705</v>
      </c>
      <c r="BMU5" s="7">
        <v>-0.53543772233456999</v>
      </c>
      <c r="BMV5" s="7">
        <v>-0.40061030587801499</v>
      </c>
      <c r="BMW5" s="7">
        <v>1.0365145216363201</v>
      </c>
      <c r="BMX5" s="7">
        <v>1.1206877304838601</v>
      </c>
      <c r="BMY5" s="7">
        <v>0.60163143499134497</v>
      </c>
      <c r="BMZ5" s="7">
        <v>0.547103622313452</v>
      </c>
      <c r="BNA5" s="7">
        <v>-0.37876497105014301</v>
      </c>
      <c r="BNB5" s="7">
        <v>-0.177944332929939</v>
      </c>
      <c r="BNC5" s="7">
        <v>0.18465856496258601</v>
      </c>
      <c r="BND5" s="7">
        <v>1.0303846338760601</v>
      </c>
      <c r="BNE5" s="7">
        <v>0.76198907212140798</v>
      </c>
      <c r="BNF5" s="7">
        <v>0.506706758205132</v>
      </c>
      <c r="BNG5" s="7">
        <v>0.60424999225336995</v>
      </c>
      <c r="BNH5" s="7">
        <v>1.3814089646143599</v>
      </c>
      <c r="BNI5" s="7">
        <v>2.2629108879958899</v>
      </c>
      <c r="BNJ5" s="7">
        <v>-0.87693772570720296</v>
      </c>
      <c r="BNK5" s="7">
        <v>1.5510100213792499</v>
      </c>
      <c r="BNL5" s="7">
        <v>-0.51419128859478203</v>
      </c>
      <c r="BNM5" s="7">
        <v>-1.73181583360421</v>
      </c>
      <c r="BNN5" s="7">
        <v>-0.97517462868781302</v>
      </c>
      <c r="BNO5" s="7">
        <v>0.26499826279267902</v>
      </c>
      <c r="BNP5" s="7">
        <v>0.43986559700774103</v>
      </c>
      <c r="BNQ5" s="7">
        <v>0.867867549816427</v>
      </c>
      <c r="BNR5" s="7">
        <v>-1.1302573609536399</v>
      </c>
      <c r="BNS5" s="7">
        <v>0.60182191824940401</v>
      </c>
      <c r="BNT5" s="7">
        <v>0.66882409761642403</v>
      </c>
      <c r="BNU5" s="7">
        <v>0.60863720225647</v>
      </c>
      <c r="BNV5" s="7">
        <v>0.19685844056128701</v>
      </c>
      <c r="BNW5" s="7">
        <v>3.6287636831707E-2</v>
      </c>
      <c r="BNX5" s="7">
        <v>-0.45284634135891499</v>
      </c>
      <c r="BNY5" s="7">
        <v>-0.332295919913424</v>
      </c>
      <c r="BNZ5" s="7">
        <v>-0.278956209202043</v>
      </c>
      <c r="BOA5" s="7">
        <v>-1.6107017083919699</v>
      </c>
      <c r="BOB5" s="7">
        <v>0.98421573994917999</v>
      </c>
      <c r="BOC5" s="7">
        <v>1.21845556929069</v>
      </c>
      <c r="BOD5" s="7">
        <v>1.2003376677549</v>
      </c>
      <c r="BOE5" s="7">
        <v>-1.93597599829525</v>
      </c>
      <c r="BOF5" s="7">
        <v>-1.1859535345002601</v>
      </c>
      <c r="BOG5" s="7">
        <v>1.14515634157132</v>
      </c>
      <c r="BOH5" s="7">
        <v>-0.30298615198298101</v>
      </c>
      <c r="BOI5" s="7">
        <v>1.0039683476983301</v>
      </c>
      <c r="BOJ5" s="7">
        <v>-1.6674487930731801</v>
      </c>
      <c r="BOK5" s="7">
        <v>-0.73708126593469003</v>
      </c>
      <c r="BOL5" s="7">
        <v>1.31693168990318</v>
      </c>
      <c r="BOM5" s="7">
        <v>-0.43013899280623302</v>
      </c>
      <c r="BON5" s="7">
        <v>-0.74517080126721902</v>
      </c>
      <c r="BOO5" s="7">
        <v>1.0368231454277499</v>
      </c>
      <c r="BOP5" s="7">
        <v>-0.72177859526101495</v>
      </c>
      <c r="BOQ5" s="7">
        <v>0.71511483856059199</v>
      </c>
      <c r="BOR5" s="7">
        <v>1.86586178546818</v>
      </c>
      <c r="BOS5" s="7">
        <v>0.186249132428943</v>
      </c>
      <c r="BOT5" s="7">
        <v>-0.31438134428730502</v>
      </c>
      <c r="BOU5" s="7">
        <v>-0.81099034431459804</v>
      </c>
      <c r="BOV5" s="7">
        <v>-0.34085468934319202</v>
      </c>
      <c r="BOW5" s="7">
        <v>0.86977105816369205</v>
      </c>
      <c r="BOX5" s="7">
        <v>0.33116104127555801</v>
      </c>
      <c r="BOY5" s="7">
        <v>-1.2734335765947999</v>
      </c>
      <c r="BOZ5" s="7">
        <v>1.21713154073616</v>
      </c>
      <c r="BPA5" s="7">
        <v>0.47859310539076699</v>
      </c>
      <c r="BPB5" s="7">
        <v>-0.33766144813738203</v>
      </c>
      <c r="BPC5" s="7">
        <v>0.22836935424602101</v>
      </c>
      <c r="BPD5" s="7">
        <v>-1.7519815134087801E-2</v>
      </c>
      <c r="BPE5" s="7">
        <v>1.3976151899378</v>
      </c>
      <c r="BPF5" s="7">
        <v>-1.8490595827240199</v>
      </c>
      <c r="BPG5" s="7">
        <v>0.29230059976269301</v>
      </c>
      <c r="BPH5" s="7">
        <v>1.90813219416608</v>
      </c>
      <c r="BPI5" s="7">
        <v>-0.32839288785547999</v>
      </c>
      <c r="BPJ5" s="7">
        <v>1.96678937951333</v>
      </c>
      <c r="BPK5" s="7">
        <v>0.26140179256179702</v>
      </c>
      <c r="BPL5" s="7">
        <v>-0.83569435203166997</v>
      </c>
      <c r="BPM5" s="7">
        <v>-0.46297745806493601</v>
      </c>
      <c r="BPN5" s="7">
        <v>1.5384219526087399</v>
      </c>
      <c r="BPO5" s="7">
        <v>-1.1305194391399001</v>
      </c>
      <c r="BPP5" s="7">
        <v>-1.9678022521113201</v>
      </c>
      <c r="BPQ5" s="7">
        <v>0.78261087423937703</v>
      </c>
      <c r="BPR5" s="7">
        <v>0.12809966467077</v>
      </c>
      <c r="BPS5" s="7">
        <v>-0.86962284074228902</v>
      </c>
      <c r="BPT5" s="7">
        <v>1.53950520381353</v>
      </c>
      <c r="BPU5" s="7">
        <v>-9.4036603185578896E-2</v>
      </c>
      <c r="BPV5" s="7">
        <v>-0.66487360958661401</v>
      </c>
      <c r="BPW5" s="7">
        <v>-1.14601874562246</v>
      </c>
      <c r="BPX5" s="7">
        <v>0.27582198958478998</v>
      </c>
      <c r="BPY5" s="7">
        <v>-0.69569247804163903</v>
      </c>
      <c r="BPZ5" s="7">
        <v>0.98889963582825002</v>
      </c>
      <c r="BQA5" s="7">
        <v>-0.73166990202612203</v>
      </c>
      <c r="BQB5" s="7">
        <v>2.6421094686281501</v>
      </c>
      <c r="BQC5" s="7">
        <v>0.24231729668559801</v>
      </c>
      <c r="BQD5" s="7">
        <v>0.52327491710187801</v>
      </c>
      <c r="BQE5" s="7">
        <v>0.447801299353428</v>
      </c>
      <c r="BQF5" s="7">
        <v>0.55862698985294201</v>
      </c>
      <c r="BQG5" s="7">
        <v>-0.74850467098566997</v>
      </c>
      <c r="BQH5" s="7">
        <v>0.81856010135285295</v>
      </c>
    </row>
    <row r="6" spans="1:1802" x14ac:dyDescent="0.2">
      <c r="A6" s="7">
        <v>4</v>
      </c>
      <c r="B6" s="7">
        <v>0.77810424088031105</v>
      </c>
      <c r="C6" s="7">
        <v>-1.43762561543666</v>
      </c>
      <c r="D6" s="7">
        <v>0.37710264960782902</v>
      </c>
      <c r="E6" s="7">
        <v>-0.25818676583682598</v>
      </c>
      <c r="F6" s="7">
        <v>0.40161479327236699</v>
      </c>
      <c r="G6" s="7">
        <v>0.55842515443761198</v>
      </c>
      <c r="H6" s="7">
        <v>1.3691076585584601</v>
      </c>
      <c r="I6" s="7">
        <v>-1.1492899668515</v>
      </c>
      <c r="J6" s="7">
        <v>0.31549797809486002</v>
      </c>
      <c r="K6" s="7">
        <v>1.2165916928731999</v>
      </c>
      <c r="L6" s="7">
        <v>0.29439694090233098</v>
      </c>
      <c r="M6" s="7">
        <v>1.4439078197052899</v>
      </c>
      <c r="N6" s="7">
        <v>1.5563468526520701</v>
      </c>
      <c r="O6" s="7">
        <v>-1.60242813722859</v>
      </c>
      <c r="P6" s="7">
        <v>-5.0400390080636098E-2</v>
      </c>
      <c r="Q6" s="7">
        <v>-1.0209935253060201</v>
      </c>
      <c r="R6" s="7">
        <v>1.05992788823372</v>
      </c>
      <c r="S6" s="7">
        <v>-1.3810516650389899</v>
      </c>
      <c r="T6" s="7">
        <v>-0.35303442232742199</v>
      </c>
      <c r="U6" s="7">
        <v>0.27263923897751902</v>
      </c>
      <c r="V6" s="7">
        <v>-1.80201964132277</v>
      </c>
      <c r="W6" s="7">
        <v>1.16582026367652</v>
      </c>
      <c r="X6" s="7">
        <v>0.18718563461266399</v>
      </c>
      <c r="Y6" s="7">
        <v>-0.62338394142843501</v>
      </c>
      <c r="Z6" s="7">
        <v>1.1129745201440699</v>
      </c>
      <c r="AA6" s="7">
        <v>-0.10088024437661799</v>
      </c>
      <c r="AB6" s="7">
        <v>-0.33575436669577602</v>
      </c>
      <c r="AC6" s="7">
        <v>-1.3808476856982399</v>
      </c>
      <c r="AD6" s="7">
        <v>-1.2326531746023999E-2</v>
      </c>
      <c r="AE6" s="7">
        <v>1.51476716078745</v>
      </c>
      <c r="AF6" s="7">
        <v>-0.79873425490956396</v>
      </c>
      <c r="AG6" s="7">
        <v>1.1469151598502301</v>
      </c>
      <c r="AH6" s="7">
        <v>0.312223232737592</v>
      </c>
      <c r="AI6" s="7">
        <v>0.16551482416087701</v>
      </c>
      <c r="AJ6" s="7">
        <v>-0.614211300480349</v>
      </c>
      <c r="AK6" s="7">
        <v>-1.2873544908971699</v>
      </c>
      <c r="AL6" s="7">
        <v>-2.0460548062862798</v>
      </c>
      <c r="AM6" s="7">
        <v>-1.6104660242101201</v>
      </c>
      <c r="AN6" s="7">
        <v>-0.39081493505482401</v>
      </c>
      <c r="AO6" s="7">
        <v>0.34185706799843302</v>
      </c>
      <c r="AP6" s="7">
        <v>1.13005935127961</v>
      </c>
      <c r="AQ6" s="7">
        <v>0.56322106775422998</v>
      </c>
      <c r="AR6" s="7">
        <v>2.6681419603256099E-2</v>
      </c>
      <c r="AS6" s="7">
        <v>-0.20663727615969299</v>
      </c>
      <c r="AT6" s="7">
        <v>0.86639085587585096</v>
      </c>
      <c r="AU6" s="7">
        <v>-0.70127033983821097</v>
      </c>
      <c r="AV6" s="7">
        <v>-0.17737361628821799</v>
      </c>
      <c r="AW6" s="7">
        <v>0.49758506772286698</v>
      </c>
      <c r="AX6" s="7">
        <v>-4.1366229970243397E-2</v>
      </c>
      <c r="AY6" s="7">
        <v>0.61571051581885905</v>
      </c>
      <c r="AZ6" s="7">
        <v>-0.58733973866348099</v>
      </c>
      <c r="BA6" s="7">
        <v>0.51596037965101305</v>
      </c>
      <c r="BB6" s="7">
        <v>9.0493664042417807E-2</v>
      </c>
      <c r="BC6" s="7">
        <v>-0.97354582662848999</v>
      </c>
      <c r="BD6" s="7">
        <v>-0.220164746660134</v>
      </c>
      <c r="BE6" s="7">
        <v>0.62405302846386901</v>
      </c>
      <c r="BF6" s="7">
        <v>0.29220332092099299</v>
      </c>
      <c r="BG6" s="7">
        <v>0.638803590274724</v>
      </c>
      <c r="BH6" s="7">
        <v>1.3286533592223999</v>
      </c>
      <c r="BI6" s="7">
        <v>1.14717390827563</v>
      </c>
      <c r="BJ6" s="7">
        <v>0.20146401147472401</v>
      </c>
      <c r="BK6" s="7">
        <v>-1.37104254544211</v>
      </c>
      <c r="BL6" s="7">
        <v>-1.6593417805492301</v>
      </c>
      <c r="BM6" s="7">
        <v>-0.87101431849241595</v>
      </c>
      <c r="BN6" s="7">
        <v>1.8090875437299201</v>
      </c>
      <c r="BO6" s="7">
        <v>1.11308754194241</v>
      </c>
      <c r="BP6" s="7">
        <v>0.404120146015441</v>
      </c>
      <c r="BQ6" s="7">
        <v>-2.7762995307560101</v>
      </c>
      <c r="BR6" s="7">
        <v>-0.48929822204137702</v>
      </c>
      <c r="BS6" s="7">
        <v>0.51154489857878005</v>
      </c>
      <c r="BT6" s="7">
        <v>-0.86587683958708295</v>
      </c>
      <c r="BU6" s="7">
        <v>0.35164121086212702</v>
      </c>
      <c r="BV6" s="7">
        <v>0.427103670747218</v>
      </c>
      <c r="BW6" s="7">
        <v>0.23522730339228001</v>
      </c>
      <c r="BX6" s="7">
        <v>3.6937579286888803E-2</v>
      </c>
      <c r="BY6" s="7">
        <v>0.71419619475916796</v>
      </c>
      <c r="BZ6" s="7">
        <v>-0.65480953862431002</v>
      </c>
      <c r="CA6" s="7">
        <v>-0.111524162203262</v>
      </c>
      <c r="CB6" s="7">
        <v>0.22004632014359701</v>
      </c>
      <c r="CC6" s="7">
        <v>-0.78018447584483297</v>
      </c>
      <c r="CD6" s="7">
        <v>-0.98270915063285003</v>
      </c>
      <c r="CE6" s="7">
        <v>-1.30770683584734</v>
      </c>
      <c r="CF6" s="7">
        <v>-1.65150442423096</v>
      </c>
      <c r="CG6" s="7">
        <v>-0.327262980219726</v>
      </c>
      <c r="CH6" s="7">
        <v>-1.03873231008656</v>
      </c>
      <c r="CI6" s="7">
        <v>0.215560518331327</v>
      </c>
      <c r="CJ6" s="7">
        <v>0.83902919158205003</v>
      </c>
      <c r="CK6" s="7">
        <v>-0.72951864660341204</v>
      </c>
      <c r="CL6" s="7">
        <v>1.01201689771296</v>
      </c>
      <c r="CM6" s="7">
        <v>6.2252840536271101E-2</v>
      </c>
      <c r="CN6" s="7">
        <v>-1.3143086860248701</v>
      </c>
      <c r="CO6" s="7">
        <v>2.00621355964413</v>
      </c>
      <c r="CP6" s="7">
        <v>-1.9067037604449399</v>
      </c>
      <c r="CQ6" s="7">
        <v>-0.85892519557128599</v>
      </c>
      <c r="CR6" s="7">
        <v>1.3960808413113599</v>
      </c>
      <c r="CS6" s="7">
        <v>0.30329466569850799</v>
      </c>
      <c r="CT6" s="7">
        <v>-0.47393405086906998</v>
      </c>
      <c r="CU6" s="7">
        <v>-0.15345197779663799</v>
      </c>
      <c r="CV6" s="7">
        <v>1.5259218477685399</v>
      </c>
      <c r="CW6" s="7">
        <v>0.93144339205225102</v>
      </c>
      <c r="CX6" s="7">
        <v>1.26294151374935</v>
      </c>
      <c r="CY6" s="7">
        <v>-0.19224976947872999</v>
      </c>
      <c r="CZ6" s="7">
        <v>0.89605049160377703</v>
      </c>
      <c r="DA6" s="7">
        <v>1.1795955367680699</v>
      </c>
      <c r="DB6" s="7">
        <v>-1.34242866459515</v>
      </c>
      <c r="DC6" s="7">
        <v>1.32583725612142</v>
      </c>
      <c r="DD6" s="7">
        <v>1.8826796886727</v>
      </c>
      <c r="DE6" s="7">
        <v>-9.1662646550828897E-2</v>
      </c>
      <c r="DF6" s="7">
        <v>-0.78019143873853003</v>
      </c>
      <c r="DG6" s="7">
        <v>1.83797342897089</v>
      </c>
      <c r="DH6" s="7">
        <v>1.0216239112684899</v>
      </c>
      <c r="DI6" s="7">
        <v>0.32359518221921402</v>
      </c>
      <c r="DJ6" s="7">
        <v>0.33059614206858501</v>
      </c>
      <c r="DK6" s="7">
        <v>0.56889142744260301</v>
      </c>
      <c r="DL6" s="7">
        <v>0.543827611589354</v>
      </c>
      <c r="DM6" s="7">
        <v>0.78636092322487305</v>
      </c>
      <c r="DN6" s="7">
        <v>0.76978220427047905</v>
      </c>
      <c r="DO6" s="7">
        <v>-0.29941202504693898</v>
      </c>
      <c r="DP6" s="7">
        <v>-1.3347339531255999</v>
      </c>
      <c r="DQ6" s="7">
        <v>1.41027866717005</v>
      </c>
      <c r="DR6" s="7">
        <v>0.33073229959781297</v>
      </c>
      <c r="DS6" s="7">
        <v>-5.8411979090206199E-2</v>
      </c>
      <c r="DT6" s="7">
        <v>-1.67649204560569</v>
      </c>
      <c r="DU6" s="7">
        <v>-1.39319012549099</v>
      </c>
      <c r="DV6" s="7">
        <v>-0.99395082357354902</v>
      </c>
      <c r="DW6" s="7">
        <v>0.60232505959945204</v>
      </c>
      <c r="DX6" s="7">
        <v>-0.156326243868258</v>
      </c>
      <c r="DY6" s="7">
        <v>0.76103239689584601</v>
      </c>
      <c r="DZ6" s="7">
        <v>-0.29048282557316801</v>
      </c>
      <c r="EA6" s="7">
        <v>0.188621045483153</v>
      </c>
      <c r="EB6" s="7">
        <v>0.20808525241838399</v>
      </c>
      <c r="EC6" s="7">
        <v>-1.5148099390469201</v>
      </c>
      <c r="ED6" s="7">
        <v>-0.79292024411839601</v>
      </c>
      <c r="EE6" s="7">
        <v>4.9647762548880002E-4</v>
      </c>
      <c r="EF6" s="7">
        <v>-1.2908070050679801</v>
      </c>
      <c r="EG6" s="7">
        <v>2.0324562867039999</v>
      </c>
      <c r="EH6" s="7">
        <v>0.25557472940958098</v>
      </c>
      <c r="EI6" s="7">
        <v>-0.13224873678201199</v>
      </c>
      <c r="EJ6" s="7">
        <v>0.87591287073207802</v>
      </c>
      <c r="EK6" s="7">
        <v>-0.77302945106788901</v>
      </c>
      <c r="EL6" s="7">
        <v>0.407117085370101</v>
      </c>
      <c r="EM6" s="7">
        <v>-0.42586379274506198</v>
      </c>
      <c r="EN6" s="7">
        <v>-0.81581505575408297</v>
      </c>
      <c r="EO6" s="7">
        <v>-0.250893935434023</v>
      </c>
      <c r="EP6" s="7">
        <v>1.19732719264001</v>
      </c>
      <c r="EQ6" s="7">
        <v>-0.33838012745123702</v>
      </c>
      <c r="ER6" s="7">
        <v>1.28059424288788</v>
      </c>
      <c r="ES6" s="7">
        <v>0.41618825614784</v>
      </c>
      <c r="ET6" s="7">
        <v>-0.42263594107930802</v>
      </c>
      <c r="EU6" s="7">
        <v>1.0408666726640201</v>
      </c>
      <c r="EV6" s="7">
        <v>-1.8553393593482299</v>
      </c>
      <c r="EW6" s="7">
        <v>-0.57130482758546197</v>
      </c>
      <c r="EX6" s="7">
        <v>-1.2344540847058201</v>
      </c>
      <c r="EY6" s="7">
        <v>-0.67481025664416605</v>
      </c>
      <c r="EZ6" s="7">
        <v>0.87094482998146505</v>
      </c>
      <c r="FA6" s="7">
        <v>-0.58845834969670996</v>
      </c>
      <c r="FB6" s="7">
        <v>-1.50641818126794</v>
      </c>
      <c r="FC6" s="7">
        <v>0.28890571234802698</v>
      </c>
      <c r="FD6" s="7">
        <v>0.318224060019002</v>
      </c>
      <c r="FE6" s="7">
        <v>0.55594415785501194</v>
      </c>
      <c r="FF6" s="7">
        <v>1.6031514768277</v>
      </c>
      <c r="FG6" s="7">
        <v>-0.28247782681962302</v>
      </c>
      <c r="FH6" s="7">
        <v>0.36818373687746098</v>
      </c>
      <c r="FI6" s="7">
        <v>0.18649497330256301</v>
      </c>
      <c r="FJ6" s="7">
        <v>-1.56770701799345</v>
      </c>
      <c r="FK6" s="7">
        <v>-7.5361437628802597E-2</v>
      </c>
      <c r="FL6" s="7">
        <v>-0.68815977917861004</v>
      </c>
      <c r="FM6" s="7">
        <v>-0.183733617453395</v>
      </c>
      <c r="FN6" s="7">
        <v>-0.29907134564502103</v>
      </c>
      <c r="FO6" s="7">
        <v>2.8431357129020101</v>
      </c>
      <c r="FP6" s="7">
        <v>-0.23673787724981499</v>
      </c>
      <c r="FQ6" s="7">
        <v>-1.3553400760812699</v>
      </c>
      <c r="FR6" s="7">
        <v>0.64598817575733403</v>
      </c>
      <c r="FS6" s="7">
        <v>-0.22023690396686099</v>
      </c>
      <c r="FT6" s="7">
        <v>-0.26973129040153199</v>
      </c>
      <c r="FU6" s="7">
        <v>0.252071668935056</v>
      </c>
      <c r="FV6" s="7">
        <v>-1.37554183150033</v>
      </c>
      <c r="FW6" s="7">
        <v>-1.4144925446832199</v>
      </c>
      <c r="FX6" s="7">
        <v>1.3650590946991801</v>
      </c>
      <c r="FY6" s="7">
        <v>2.9756130900790798</v>
      </c>
      <c r="FZ6" s="7">
        <v>0.16318494280217</v>
      </c>
      <c r="GA6" s="7">
        <v>0.25910849439860201</v>
      </c>
      <c r="GB6" s="7">
        <v>1.1658254520922799</v>
      </c>
      <c r="GC6" s="7">
        <v>0.784907492607958</v>
      </c>
      <c r="GD6" s="7">
        <v>1.13120300691784</v>
      </c>
      <c r="GE6" s="7">
        <v>0.11411247835747</v>
      </c>
      <c r="GF6" s="7">
        <v>-0.96649870516029102</v>
      </c>
      <c r="GG6" s="7">
        <v>-5.8346192125689901E-2</v>
      </c>
      <c r="GH6" s="7">
        <v>0.32309061231870601</v>
      </c>
      <c r="GI6" s="7">
        <v>0.336533526572658</v>
      </c>
      <c r="GJ6" s="7">
        <v>0.38022448713970203</v>
      </c>
      <c r="GK6" s="7">
        <v>-2.3395010452952198</v>
      </c>
      <c r="GL6" s="7">
        <v>0.181598925802992</v>
      </c>
      <c r="GM6" s="7">
        <v>1.7162871745361099</v>
      </c>
      <c r="GN6" s="7">
        <v>0.35137780269584001</v>
      </c>
      <c r="GO6" s="7">
        <v>-0.59513255476068805</v>
      </c>
      <c r="GP6" s="7">
        <v>-0.55125836514718496</v>
      </c>
      <c r="GQ6" s="7">
        <v>-1.06689114038872</v>
      </c>
      <c r="GR6" s="7">
        <v>-0.48127469429618402</v>
      </c>
      <c r="GS6" s="7">
        <v>1.1366337278927401</v>
      </c>
      <c r="GT6" s="7">
        <v>1.5243280631701801</v>
      </c>
      <c r="GU6" s="7">
        <v>-0.209538787704553</v>
      </c>
      <c r="GV6" s="7">
        <v>0.58539009542946696</v>
      </c>
      <c r="GW6" s="7">
        <v>-1.04615363771166</v>
      </c>
      <c r="GX6" s="7">
        <v>-0.60351706644856395</v>
      </c>
      <c r="GY6" s="7">
        <v>-0.28898085239430299</v>
      </c>
      <c r="GZ6" s="7">
        <v>1.50002668707451</v>
      </c>
      <c r="HA6" s="7">
        <v>-0.59107631157011997</v>
      </c>
      <c r="HB6" s="7">
        <v>0.35008990418694902</v>
      </c>
      <c r="HC6" s="7">
        <v>1.52104471543055</v>
      </c>
      <c r="HD6" s="7">
        <v>0.277726213094101</v>
      </c>
      <c r="HE6" s="7">
        <v>-8.7394978934205905E-2</v>
      </c>
      <c r="HF6" s="7">
        <v>1.6697602753169301</v>
      </c>
      <c r="HG6" s="7">
        <v>-0.27913446945691101</v>
      </c>
      <c r="HH6" s="7">
        <v>1.0511431916407199</v>
      </c>
      <c r="HI6" s="7">
        <v>-0.168218547223106</v>
      </c>
      <c r="HJ6" s="7">
        <v>0.28826563457056298</v>
      </c>
      <c r="HK6" s="7">
        <v>-0.63641861594162596</v>
      </c>
      <c r="HL6" s="7">
        <v>-0.28480825624519002</v>
      </c>
      <c r="HM6" s="7">
        <v>-0.41501323579136801</v>
      </c>
      <c r="HN6" s="7">
        <v>0.50988208047177597</v>
      </c>
      <c r="HO6" s="7">
        <v>-1.1554832060006299</v>
      </c>
      <c r="HP6" s="7">
        <v>-0.87325083463020903</v>
      </c>
      <c r="HQ6" s="7">
        <v>-1.0281516349672499</v>
      </c>
      <c r="HR6" s="7">
        <v>-0.72892339337371104</v>
      </c>
      <c r="HS6" s="7">
        <v>0.12671164220660699</v>
      </c>
      <c r="HT6" s="7">
        <v>0.82369143584715798</v>
      </c>
      <c r="HU6" s="7">
        <v>0.11175134088647699</v>
      </c>
      <c r="HV6" s="7">
        <v>-1.3692327057087501</v>
      </c>
      <c r="HW6" s="7">
        <v>-0.36354264760607102</v>
      </c>
      <c r="HX6" s="7">
        <v>3.0159662601311101</v>
      </c>
      <c r="HY6" s="7">
        <v>-2.2042082702349499E-2</v>
      </c>
      <c r="HZ6" s="7">
        <v>0.95386722891783204</v>
      </c>
      <c r="IA6" s="7">
        <v>1.01141067010731</v>
      </c>
      <c r="IB6" s="7">
        <v>-1.66817401874343</v>
      </c>
      <c r="IC6" s="7">
        <v>1.0085534773013001</v>
      </c>
      <c r="ID6" s="7">
        <v>1.8190507832551099</v>
      </c>
      <c r="IE6" s="7">
        <v>-2.10436011550174</v>
      </c>
      <c r="IF6" s="7">
        <v>0.37495619783181</v>
      </c>
      <c r="IG6" s="7">
        <v>0.74140740270934502</v>
      </c>
      <c r="IH6" s="7">
        <v>-0.12893638763614501</v>
      </c>
      <c r="II6" s="7">
        <v>0.25556219484576098</v>
      </c>
      <c r="IJ6" s="7">
        <v>0.21197525634114001</v>
      </c>
      <c r="IK6" s="7">
        <v>1.1739365048371</v>
      </c>
      <c r="IL6" s="7">
        <v>-0.58407404086322701</v>
      </c>
      <c r="IM6" s="7">
        <v>1.27627904537792</v>
      </c>
      <c r="IN6" s="7">
        <v>-0.459056458029523</v>
      </c>
      <c r="IO6" s="7">
        <v>-0.16477490843992099</v>
      </c>
      <c r="IP6" s="7">
        <v>-8.1274783383123106E-2</v>
      </c>
      <c r="IQ6" s="7">
        <v>-1.11736458890825</v>
      </c>
      <c r="IR6" s="7">
        <v>5.2284704764768403E-2</v>
      </c>
      <c r="IS6" s="7">
        <v>0.491883628144688</v>
      </c>
      <c r="IT6" s="7">
        <v>0.47862899554185601</v>
      </c>
      <c r="IU6" s="7">
        <v>1.30003862937745</v>
      </c>
      <c r="IV6" s="7">
        <v>0.29948097884680702</v>
      </c>
      <c r="IW6" s="7">
        <v>-0.53735196542158004</v>
      </c>
      <c r="IX6" s="7">
        <v>-0.91538748247586499</v>
      </c>
      <c r="IY6" s="7">
        <v>0.65552155975913295</v>
      </c>
      <c r="IZ6" s="7">
        <v>-1.1280607067083901</v>
      </c>
      <c r="JA6" s="7">
        <v>1.093831887518E-4</v>
      </c>
      <c r="JB6" s="7">
        <v>-1.0330617317705599</v>
      </c>
      <c r="JC6" s="7">
        <v>8.7124138135182994E-2</v>
      </c>
      <c r="JD6" s="7">
        <v>0.46168783239327699</v>
      </c>
      <c r="JE6" s="7">
        <v>0.70741742035581701</v>
      </c>
      <c r="JF6" s="7">
        <v>-0.90425346558789599</v>
      </c>
      <c r="JG6" s="7">
        <v>-1.0815546610383899</v>
      </c>
      <c r="JH6" s="7">
        <v>-9.2737576435203001E-2</v>
      </c>
      <c r="JI6" s="7">
        <v>-1.6603842293451301</v>
      </c>
      <c r="JJ6" s="7">
        <v>0.283262464621865</v>
      </c>
      <c r="JK6" s="7">
        <v>0.91515613998006995</v>
      </c>
      <c r="JL6" s="7">
        <v>1.0920533733972599</v>
      </c>
      <c r="JM6" s="7">
        <v>0.92067350043467</v>
      </c>
      <c r="JN6" s="7">
        <v>1.7404424050977101</v>
      </c>
      <c r="JO6" s="7">
        <v>-0.88645692276402999</v>
      </c>
      <c r="JP6" s="7">
        <v>-1.06708541957883</v>
      </c>
      <c r="JQ6" s="7">
        <v>-1.90552482211848</v>
      </c>
      <c r="JR6" s="7">
        <v>1.0750801984639999</v>
      </c>
      <c r="JS6" s="7">
        <v>-0.18281082359966699</v>
      </c>
      <c r="JT6" s="7">
        <v>-1.9492147420539701</v>
      </c>
      <c r="JU6" s="7">
        <v>0.21492094540170001</v>
      </c>
      <c r="JV6" s="7">
        <v>-0.676063037928474</v>
      </c>
      <c r="JW6" s="7">
        <v>0.763348858786566</v>
      </c>
      <c r="JX6" s="7">
        <v>-1.14927562968326</v>
      </c>
      <c r="JY6" s="7">
        <v>-0.56789595940160797</v>
      </c>
      <c r="JZ6" s="7">
        <v>0.20606702469525801</v>
      </c>
      <c r="KA6" s="7">
        <v>0.42977043078336102</v>
      </c>
      <c r="KB6" s="7">
        <v>9.7424061333904299E-2</v>
      </c>
      <c r="KC6" s="7">
        <v>-1.3924273758871599</v>
      </c>
      <c r="KD6" s="7">
        <v>-0.231849402655257</v>
      </c>
      <c r="KE6" s="7">
        <v>0.58594230404786496</v>
      </c>
      <c r="KF6" s="7">
        <v>1.03156752343797</v>
      </c>
      <c r="KG6" s="7">
        <v>-0.40504736526540702</v>
      </c>
      <c r="KH6" s="7">
        <v>0.16548274877932601</v>
      </c>
      <c r="KI6" s="7">
        <v>0.97246605782838502</v>
      </c>
      <c r="KJ6" s="7">
        <v>0.32298972398030801</v>
      </c>
      <c r="KK6" s="7">
        <v>0.42646168547431701</v>
      </c>
      <c r="KL6" s="7">
        <v>-0.93708565715971304</v>
      </c>
      <c r="KM6" s="7">
        <v>0.37660633594078402</v>
      </c>
      <c r="KN6" s="7">
        <v>1.2838763762141701</v>
      </c>
      <c r="KO6" s="7">
        <v>-4.4479986346416797E-2</v>
      </c>
      <c r="KP6" s="7">
        <v>-1.3478177010230601</v>
      </c>
      <c r="KQ6" s="7">
        <v>-0.10592623154183101</v>
      </c>
      <c r="KR6" s="7">
        <v>-0.40108630159629799</v>
      </c>
      <c r="KS6" s="7">
        <v>-0.86443275225601401</v>
      </c>
      <c r="KT6" s="7">
        <v>-0.81285420079064497</v>
      </c>
      <c r="KU6" s="7">
        <v>-1.46581682262741</v>
      </c>
      <c r="KV6" s="7">
        <v>-0.54591995663047599</v>
      </c>
      <c r="KW6" s="7">
        <v>-0.24075596275178501</v>
      </c>
      <c r="KX6" s="7">
        <v>4.5642402022197499E-2</v>
      </c>
      <c r="KY6" s="7">
        <v>0.94581288243767903</v>
      </c>
      <c r="KZ6" s="7">
        <v>1.13539333831958</v>
      </c>
      <c r="LA6" s="7">
        <v>-0.94606589508926897</v>
      </c>
      <c r="LB6" s="7">
        <v>1.3665950235756199</v>
      </c>
      <c r="LC6" s="7">
        <v>1.3494418937344601</v>
      </c>
      <c r="LD6" s="7">
        <v>-0.253584769637972</v>
      </c>
      <c r="LE6" s="7">
        <v>0.50859870009013097</v>
      </c>
      <c r="LF6" s="7">
        <v>6.4559664648145595E-2</v>
      </c>
      <c r="LG6" s="7">
        <v>-0.75485722675896105</v>
      </c>
      <c r="LH6" s="7">
        <v>0.45301769130233399</v>
      </c>
      <c r="LI6" s="7">
        <v>-5.8430708600467597E-2</v>
      </c>
      <c r="LJ6" s="7">
        <v>0.42975861799977899</v>
      </c>
      <c r="LK6" s="7">
        <v>-1.61973076348781</v>
      </c>
      <c r="LL6" s="7">
        <v>-1.8665225465797901</v>
      </c>
      <c r="LM6" s="7">
        <v>-1.4603446068808501</v>
      </c>
      <c r="LN6" s="7">
        <v>-8.4857965525962295E-2</v>
      </c>
      <c r="LO6" s="7">
        <v>-1.57475839874485E-2</v>
      </c>
      <c r="LP6" s="7">
        <v>0.29927529548231402</v>
      </c>
      <c r="LQ6" s="7">
        <v>1.36079806735798</v>
      </c>
      <c r="LR6" s="7">
        <v>-0.48723203461555797</v>
      </c>
      <c r="LS6" s="7">
        <v>-1.66399232858529</v>
      </c>
      <c r="LT6" s="7">
        <v>0.52974672744304596</v>
      </c>
      <c r="LU6" s="7">
        <v>-0.73816800467676202</v>
      </c>
      <c r="LV6" s="7">
        <v>-3.00856657110482</v>
      </c>
      <c r="LW6" s="7">
        <v>2.05777478508409</v>
      </c>
      <c r="LX6" s="7">
        <v>0.96972107556631104</v>
      </c>
      <c r="LY6" s="7">
        <v>0.99424715960188903</v>
      </c>
      <c r="LZ6" s="7">
        <v>-2.3317203763203498</v>
      </c>
      <c r="MA6" s="7">
        <v>5.4623447395731502E-2</v>
      </c>
      <c r="MB6" s="7">
        <v>0.118608770755883</v>
      </c>
      <c r="MC6" s="7">
        <v>-0.633174805262401</v>
      </c>
      <c r="MD6" s="7">
        <v>0.31911781101507197</v>
      </c>
      <c r="ME6" s="7">
        <v>8.0320474620826102E-2</v>
      </c>
      <c r="MF6" s="7">
        <v>-5.8058514092888598E-2</v>
      </c>
      <c r="MG6" s="7">
        <v>-0.30926550225990002</v>
      </c>
      <c r="MH6" s="7">
        <v>0.698553869760832</v>
      </c>
      <c r="MI6" s="7">
        <v>-0.17290115512120999</v>
      </c>
      <c r="MJ6" s="7">
        <v>-1.5218347414184601</v>
      </c>
      <c r="MK6" s="7">
        <v>-0.51099461391892698</v>
      </c>
      <c r="ML6" s="7">
        <v>2.4342893037910098</v>
      </c>
      <c r="MM6" s="7">
        <v>0.66331324941774095</v>
      </c>
      <c r="MN6" s="7">
        <v>-1.64613415506154</v>
      </c>
      <c r="MO6" s="7">
        <v>-6.5717855684115395E-2</v>
      </c>
      <c r="MP6" s="7">
        <v>0.973419346124623</v>
      </c>
      <c r="MQ6" s="7">
        <v>-1.11212631167E-4</v>
      </c>
      <c r="MR6" s="7">
        <v>0.26478990781859202</v>
      </c>
      <c r="MS6" s="7">
        <v>-1.4925237783557299</v>
      </c>
      <c r="MT6" s="7">
        <v>0.176420153041811</v>
      </c>
      <c r="MU6" s="7">
        <v>0.36386355196134701</v>
      </c>
      <c r="MV6" s="7">
        <v>-0.83163813081929205</v>
      </c>
      <c r="MW6" s="7">
        <v>0.93082381588663099</v>
      </c>
      <c r="MX6" s="7">
        <v>0.93675499228139902</v>
      </c>
      <c r="MY6" s="7">
        <v>-0.71230203620449395</v>
      </c>
      <c r="MZ6" s="7">
        <v>-1.29589426202748</v>
      </c>
      <c r="NA6" s="7">
        <v>-0.103033545467618</v>
      </c>
      <c r="NB6" s="7">
        <v>0.85355551566619203</v>
      </c>
      <c r="NC6" s="7">
        <v>-0.35283633045211599</v>
      </c>
      <c r="ND6" s="7">
        <v>1.07818236202465</v>
      </c>
      <c r="NE6" s="7">
        <v>-1.09351322914894</v>
      </c>
      <c r="NF6" s="7">
        <v>0.199481670285415</v>
      </c>
      <c r="NG6" s="7">
        <v>0.108991160639341</v>
      </c>
      <c r="NH6" s="7">
        <v>-2.0450152833240201</v>
      </c>
      <c r="NI6" s="7">
        <v>-0.84962153899528303</v>
      </c>
      <c r="NJ6" s="7">
        <v>0.12974723546558101</v>
      </c>
      <c r="NK6" s="7">
        <v>1.09874535116064</v>
      </c>
      <c r="NL6" s="7">
        <v>1.4681884438487001</v>
      </c>
      <c r="NM6" s="7">
        <v>2.2919585227288501</v>
      </c>
      <c r="NN6" s="7">
        <v>-1.69005632922126</v>
      </c>
      <c r="NO6" s="7">
        <v>0.73823512075854902</v>
      </c>
      <c r="NP6" s="7">
        <v>1.2195262445677899</v>
      </c>
      <c r="NQ6" s="7">
        <v>1.41890711445819</v>
      </c>
      <c r="NR6" s="7">
        <v>-3.4895873563445999E-2</v>
      </c>
      <c r="NS6" s="7">
        <v>0.60636607382215801</v>
      </c>
      <c r="NT6" s="7">
        <v>0.137979912311985</v>
      </c>
      <c r="NU6" s="7">
        <v>0.96626600180120903</v>
      </c>
      <c r="NV6" s="7">
        <v>1.5921565210823101</v>
      </c>
      <c r="NW6" s="7">
        <v>-0.94781521166194804</v>
      </c>
      <c r="NX6" s="7">
        <v>-0.21546645550079399</v>
      </c>
      <c r="NY6" s="7">
        <v>-0.12744339691487999</v>
      </c>
      <c r="NZ6" s="7">
        <v>0.59735981120544701</v>
      </c>
      <c r="OA6" s="7">
        <v>0.59718102166124898</v>
      </c>
      <c r="OB6" s="7">
        <v>-0.261264262826784</v>
      </c>
      <c r="OC6" s="7">
        <v>-1.04601566600161</v>
      </c>
      <c r="OD6" s="7">
        <v>-8.5968501584675297E-2</v>
      </c>
      <c r="OE6" s="7">
        <v>0.29080379254958999</v>
      </c>
      <c r="OF6" s="7">
        <v>0.30202884410539199</v>
      </c>
      <c r="OG6" s="7">
        <v>8.1978457183677397E-2</v>
      </c>
      <c r="OH6" s="7">
        <v>-1.2597904105653099</v>
      </c>
      <c r="OI6" s="7">
        <v>0.293778622860632</v>
      </c>
      <c r="OJ6" s="7">
        <v>0.70781050467523199</v>
      </c>
      <c r="OK6" s="7">
        <v>1.17911316080394</v>
      </c>
      <c r="OL6" s="7">
        <v>-0.81892394052564099</v>
      </c>
      <c r="OM6" s="7">
        <v>0.92254018234120705</v>
      </c>
      <c r="ON6" s="7">
        <v>-0.86681974230259196</v>
      </c>
      <c r="OO6" s="7">
        <v>0.54913617975680895</v>
      </c>
      <c r="OP6" s="7">
        <v>-0.79464018003099501</v>
      </c>
      <c r="OQ6" s="7">
        <v>-0.81074135621502896</v>
      </c>
      <c r="OR6" s="7">
        <v>-0.71600419510721403</v>
      </c>
      <c r="OS6" s="7">
        <v>1.6365721379560401</v>
      </c>
      <c r="OT6" s="7">
        <v>-0.478227518740789</v>
      </c>
      <c r="OU6" s="7">
        <v>0.68077444791320996</v>
      </c>
      <c r="OV6" s="7">
        <v>-0.65760825812511603</v>
      </c>
      <c r="OW6" s="7">
        <v>0.37243761125046099</v>
      </c>
      <c r="OX6" s="7">
        <v>0.58187845388297399</v>
      </c>
      <c r="OY6" s="7">
        <v>1.21461377351391</v>
      </c>
      <c r="OZ6" s="7">
        <v>-0.53889475021683997</v>
      </c>
      <c r="PA6" s="7">
        <v>-1.22696983252391</v>
      </c>
      <c r="PB6" s="7">
        <v>0.35819306942747497</v>
      </c>
      <c r="PC6" s="7">
        <v>1.88283013739834</v>
      </c>
      <c r="PD6" s="7">
        <v>-0.15206293652674999</v>
      </c>
      <c r="PE6" s="7">
        <v>-1.1235468719481601</v>
      </c>
      <c r="PF6" s="7">
        <v>1.55612743075959</v>
      </c>
      <c r="PG6" s="7">
        <v>-0.29026916858303797</v>
      </c>
      <c r="PH6" s="7">
        <v>2.0281602743594398</v>
      </c>
      <c r="PI6" s="7">
        <v>-0.84089327434306105</v>
      </c>
      <c r="PJ6" s="7">
        <v>-1.0294704547115101</v>
      </c>
      <c r="PK6" s="7">
        <v>1.29996323125366</v>
      </c>
      <c r="PL6" s="7">
        <v>-0.47630497333327398</v>
      </c>
      <c r="PM6" s="7">
        <v>0.22225052337217799</v>
      </c>
      <c r="PN6" s="7">
        <v>-0.40571400543399599</v>
      </c>
      <c r="PO6" s="7">
        <v>0.64575990484957302</v>
      </c>
      <c r="PP6" s="7">
        <v>1.1217639357960401</v>
      </c>
      <c r="PQ6" s="7">
        <v>0.249136260188004</v>
      </c>
      <c r="PR6" s="7">
        <v>-9.4552059146680204E-2</v>
      </c>
      <c r="PS6" s="7">
        <v>1.9037382070748801</v>
      </c>
      <c r="PT6" s="7">
        <v>0.76347332924049105</v>
      </c>
      <c r="PU6" s="7">
        <v>-0.40450880007734902</v>
      </c>
      <c r="PV6" s="7">
        <v>-1.88646275687954</v>
      </c>
      <c r="PW6" s="7">
        <v>-0.68101907463050204</v>
      </c>
      <c r="PX6" s="7">
        <v>-0.81441230691941002</v>
      </c>
      <c r="PY6" s="7">
        <v>-0.66091046528131803</v>
      </c>
      <c r="PZ6" s="7">
        <v>-0.377667809976581</v>
      </c>
      <c r="QA6" s="7">
        <v>-0.48146050109675298</v>
      </c>
      <c r="QB6" s="7">
        <v>-0.48985230214620001</v>
      </c>
      <c r="QC6" s="7">
        <v>-0.92099782010856501</v>
      </c>
      <c r="QD6" s="7">
        <v>-1.06724575212093</v>
      </c>
      <c r="QE6" s="7">
        <v>0.42334726422447999</v>
      </c>
      <c r="QF6" s="7">
        <v>4.0814970643868201E-2</v>
      </c>
      <c r="QG6" s="7">
        <v>-0.35612063192169602</v>
      </c>
      <c r="QH6" s="7">
        <v>-1.23965997483323</v>
      </c>
      <c r="QI6" s="7">
        <v>-2.0064946355218498</v>
      </c>
      <c r="QJ6" s="7">
        <v>-2.6149531104807399E-2</v>
      </c>
      <c r="QK6" s="7">
        <v>-1.41849819911256</v>
      </c>
      <c r="QL6" s="7">
        <v>0.230132275309301</v>
      </c>
      <c r="QM6" s="7">
        <v>0.91540412840406005</v>
      </c>
      <c r="QN6" s="7">
        <v>0.78692124151271703</v>
      </c>
      <c r="QO6" s="7">
        <v>-2.24691732027149</v>
      </c>
      <c r="QP6" s="7">
        <v>-1.69278653258274</v>
      </c>
      <c r="QQ6" s="7">
        <v>1.50776396045654</v>
      </c>
      <c r="QR6" s="7">
        <v>-0.29018279165076</v>
      </c>
      <c r="QS6" s="7">
        <v>-1.4932687136129601</v>
      </c>
      <c r="QT6" s="7">
        <v>-0.296912384168532</v>
      </c>
      <c r="QU6" s="7">
        <v>-0.24986346477914101</v>
      </c>
      <c r="QV6" s="7">
        <v>-0.86439845633501</v>
      </c>
      <c r="QW6" s="7">
        <v>0.60430592279617401</v>
      </c>
      <c r="QX6" s="7">
        <v>-0.25599526923702098</v>
      </c>
      <c r="QY6" s="7">
        <v>-2.7575989152724498E-2</v>
      </c>
      <c r="QZ6" s="7">
        <v>0.112432507096312</v>
      </c>
      <c r="RA6" s="7">
        <v>0.76109345804124295</v>
      </c>
      <c r="RB6" s="7">
        <v>-0.54562468402525999</v>
      </c>
      <c r="RC6" s="7">
        <v>1.26489307085519</v>
      </c>
      <c r="RD6" s="7">
        <v>1.2641114666630699</v>
      </c>
      <c r="RE6" s="7">
        <v>0.43776082798128901</v>
      </c>
      <c r="RF6" s="7">
        <v>-0.28596746036303</v>
      </c>
      <c r="RG6" s="7">
        <v>0.577040182476389</v>
      </c>
      <c r="RH6" s="7">
        <v>-0.94476869293402399</v>
      </c>
      <c r="RI6" s="7">
        <v>-0.57849009919127903</v>
      </c>
      <c r="RJ6" s="7">
        <v>0.436021567963635</v>
      </c>
      <c r="RK6" s="7">
        <v>0.899002434898724</v>
      </c>
      <c r="RL6" s="7">
        <v>0.37372557478023299</v>
      </c>
      <c r="RM6" s="7">
        <v>0.69453684771117596</v>
      </c>
      <c r="RN6" s="7">
        <v>1.54576884150182</v>
      </c>
      <c r="RO6" s="7">
        <v>0.52902711317893503</v>
      </c>
      <c r="RP6" s="7">
        <v>-1.24291758438972</v>
      </c>
      <c r="RQ6" s="7">
        <v>-0.103404222524872</v>
      </c>
      <c r="RR6" s="7">
        <v>-0.68065298174432198</v>
      </c>
      <c r="RS6" s="7">
        <v>-1.5752663766202899</v>
      </c>
      <c r="RT6" s="7">
        <v>0.68746609777077305</v>
      </c>
      <c r="RU6" s="7">
        <v>0.95667789257949898</v>
      </c>
      <c r="RV6" s="7">
        <v>-0.43629227842709201</v>
      </c>
      <c r="RW6" s="7">
        <v>-0.81875885541294302</v>
      </c>
      <c r="RX6" s="7">
        <v>0.20065914487098699</v>
      </c>
      <c r="RY6" s="7">
        <v>-0.55278963258095304</v>
      </c>
      <c r="RZ6" s="7">
        <v>0.35433067593921502</v>
      </c>
      <c r="SA6" s="7">
        <v>-0.20420389217252399</v>
      </c>
      <c r="SB6" s="7">
        <v>-0.69387822758966999</v>
      </c>
      <c r="SC6" s="7">
        <v>-0.34527195095183499</v>
      </c>
      <c r="SD6" s="7">
        <v>3.3978215214578097E-2</v>
      </c>
      <c r="SE6" s="7">
        <v>0.37342842484161798</v>
      </c>
      <c r="SF6" s="7">
        <v>1.5608659807956</v>
      </c>
      <c r="SG6" s="7">
        <v>1.1231099767308499</v>
      </c>
      <c r="SH6" s="7">
        <v>-1.07822565898548</v>
      </c>
      <c r="SI6" s="7">
        <v>-1.3984097829996001</v>
      </c>
      <c r="SJ6" s="7">
        <v>-0.60858302239102702</v>
      </c>
      <c r="SK6" s="7">
        <v>0.58038654746029295</v>
      </c>
      <c r="SL6" s="7">
        <v>-0.88085513214847</v>
      </c>
      <c r="SM6" s="7">
        <v>-4.16303140136072E-2</v>
      </c>
      <c r="SN6" s="7">
        <v>0.21840515766084401</v>
      </c>
      <c r="SO6" s="7">
        <v>1.3739065193826301</v>
      </c>
      <c r="SP6" s="7">
        <v>0.231645237934929</v>
      </c>
      <c r="SQ6" s="7">
        <v>-0.92903934359705098</v>
      </c>
      <c r="SR6" s="7">
        <v>-2.24104101454938E-2</v>
      </c>
      <c r="SS6" s="7">
        <v>-0.43560204211157899</v>
      </c>
      <c r="ST6" s="7">
        <v>0.64932500289506501</v>
      </c>
      <c r="SU6" s="7">
        <v>2.2994931604207798</v>
      </c>
      <c r="SV6" s="7">
        <v>0.82320426049748696</v>
      </c>
      <c r="SW6" s="7">
        <v>-0.427860948183237</v>
      </c>
      <c r="SX6" s="7">
        <v>-0.20981877296874801</v>
      </c>
      <c r="SY6" s="7">
        <v>0.734366657093659</v>
      </c>
      <c r="SZ6" s="7">
        <v>-0.11493341075503399</v>
      </c>
      <c r="TA6" s="7">
        <v>0.35798198670179499</v>
      </c>
      <c r="TB6" s="7">
        <v>8.20434160887656E-2</v>
      </c>
      <c r="TC6" s="7">
        <v>-1.66990464257295</v>
      </c>
      <c r="TD6" s="7">
        <v>-1.14588460241444</v>
      </c>
      <c r="TE6" s="7">
        <v>2.2486671602419499E-2</v>
      </c>
      <c r="TF6" s="7">
        <v>0.72658877578298298</v>
      </c>
      <c r="TG6" s="7">
        <v>-0.34271972505946402</v>
      </c>
      <c r="TH6" s="7">
        <v>0.79763539949290696</v>
      </c>
      <c r="TI6" s="7">
        <v>-1.1659191200382499</v>
      </c>
      <c r="TJ6" s="7">
        <v>0.66134040616396395</v>
      </c>
      <c r="TK6" s="7">
        <v>-1.08324185300986</v>
      </c>
      <c r="TL6" s="7">
        <v>0.59876373698646301</v>
      </c>
      <c r="TM6" s="7">
        <v>2.0189872048524502</v>
      </c>
      <c r="TN6" s="7">
        <v>0.28186319756248002</v>
      </c>
      <c r="TO6" s="7">
        <v>-5.6893286491708397E-2</v>
      </c>
      <c r="TP6" s="7">
        <v>-0.96687879888357497</v>
      </c>
      <c r="TQ6" s="7">
        <v>-1.5392104489614</v>
      </c>
      <c r="TR6" s="7">
        <v>0.46269279748835901</v>
      </c>
      <c r="TS6" s="7">
        <v>-0.99154605151126696</v>
      </c>
      <c r="TT6" s="7">
        <v>0.59385236029973099</v>
      </c>
      <c r="TU6" s="7">
        <v>-0.34801784529379398</v>
      </c>
      <c r="TV6" s="7">
        <v>1.72193470130763</v>
      </c>
      <c r="TW6" s="7">
        <v>-0.81970700968881205</v>
      </c>
      <c r="TX6" s="7">
        <v>2.0389982596152501</v>
      </c>
      <c r="TY6" s="7">
        <v>-0.83020904974019605</v>
      </c>
      <c r="TZ6" s="7">
        <v>-0.51555618157237304</v>
      </c>
      <c r="UA6" s="7">
        <v>0.79992443148261605</v>
      </c>
      <c r="UB6" s="7">
        <v>1.43310205112566</v>
      </c>
      <c r="UC6" s="7">
        <v>-2.0235639223234498</v>
      </c>
      <c r="UD6" s="7">
        <v>-6.1096403889976697E-2</v>
      </c>
      <c r="UE6" s="7">
        <v>-1.7308516431245899</v>
      </c>
      <c r="UF6" s="7">
        <v>7.5986894993698401E-2</v>
      </c>
      <c r="UG6" s="7">
        <v>-1.85220828550657</v>
      </c>
      <c r="UH6" s="7">
        <v>-0.25122839679342202</v>
      </c>
      <c r="UI6" s="7">
        <v>-9.10811161833502E-2</v>
      </c>
      <c r="UJ6" s="7">
        <v>-1.3547779052008599</v>
      </c>
      <c r="UK6" s="7">
        <v>-0.90066106523690304</v>
      </c>
      <c r="UL6" s="7">
        <v>-2.1133901675944302</v>
      </c>
      <c r="UM6" s="7">
        <v>0.67103182950879203</v>
      </c>
      <c r="UN6" s="7">
        <v>0.81930349519347301</v>
      </c>
      <c r="UO6" s="7">
        <v>2.00954864906456</v>
      </c>
      <c r="UP6" s="7">
        <v>0.68209563104557003</v>
      </c>
      <c r="UQ6" s="7">
        <v>2.3255069305755098</v>
      </c>
      <c r="UR6" s="7">
        <v>-0.68431637324669004</v>
      </c>
      <c r="US6" s="7">
        <v>-1.1371367099160099</v>
      </c>
      <c r="UT6" s="7">
        <v>0.16555990309889601</v>
      </c>
      <c r="UU6" s="7">
        <v>4.9454439076555001E-2</v>
      </c>
      <c r="UV6" s="7">
        <v>-1.32535639266117</v>
      </c>
      <c r="UW6" s="7">
        <v>0.97328680584282401</v>
      </c>
      <c r="UX6" s="7">
        <v>0.24975205857864399</v>
      </c>
      <c r="UY6" s="7">
        <v>-2.7138692102742401</v>
      </c>
      <c r="UZ6" s="7">
        <v>2.3689574291034798</v>
      </c>
      <c r="VA6" s="7">
        <v>0.61158980506749805</v>
      </c>
      <c r="VB6" s="7">
        <v>1.2295968343544501</v>
      </c>
      <c r="VC6" s="7">
        <v>-0.51037741008846305</v>
      </c>
      <c r="VD6" s="7">
        <v>0.38988722287424399</v>
      </c>
      <c r="VE6" s="7">
        <v>0.33904475148328</v>
      </c>
      <c r="VF6" s="7">
        <v>-0.58719575215732001</v>
      </c>
      <c r="VG6" s="7">
        <v>1.87767230524136</v>
      </c>
      <c r="VH6" s="7">
        <v>0.112185059295769</v>
      </c>
      <c r="VI6" s="7">
        <v>1.3802824422173401</v>
      </c>
      <c r="VJ6" s="7">
        <v>-0.72241154295936905</v>
      </c>
      <c r="VK6" s="7">
        <v>0.55125484729906105</v>
      </c>
      <c r="VL6" s="7">
        <v>-9.8352668876456398E-2</v>
      </c>
      <c r="VM6" s="7">
        <v>1.4396253559584899</v>
      </c>
      <c r="VN6" s="7">
        <v>1.4810614970417499</v>
      </c>
      <c r="VO6" s="7">
        <v>-1.27791505300815</v>
      </c>
      <c r="VP6" s="7">
        <v>-0.33924277648423101</v>
      </c>
      <c r="VQ6" s="7">
        <v>-1.3176173442132899</v>
      </c>
      <c r="VR6" s="7">
        <v>0.13463997644198999</v>
      </c>
      <c r="VS6" s="7">
        <v>1.36170397467538E-2</v>
      </c>
      <c r="VT6" s="7">
        <v>-0.142214632173256</v>
      </c>
      <c r="VU6" s="7">
        <v>0.635710101351177</v>
      </c>
      <c r="VV6" s="7">
        <v>-0.68202853852669398</v>
      </c>
      <c r="VW6" s="7">
        <v>-0.69128335607520797</v>
      </c>
      <c r="VX6" s="7">
        <v>-2.0705811104053198</v>
      </c>
      <c r="VY6" s="7">
        <v>-0.69120573529954399</v>
      </c>
      <c r="VZ6" s="7">
        <v>0.87975128221614896</v>
      </c>
      <c r="WA6" s="7">
        <v>0.86418319364291696</v>
      </c>
      <c r="WB6" s="7">
        <v>0.66705910514560396</v>
      </c>
      <c r="WC6" s="7">
        <v>0.42075232521655198</v>
      </c>
      <c r="WD6" s="7">
        <v>1.1971600617999001</v>
      </c>
      <c r="WE6" s="7">
        <v>1.6719477144407899</v>
      </c>
      <c r="WF6" s="7">
        <v>-1.23094960062527</v>
      </c>
      <c r="WG6" s="7">
        <v>0.56380722547958495</v>
      </c>
      <c r="WH6" s="7">
        <v>-6.9370669248982705E-2</v>
      </c>
      <c r="WI6" s="7">
        <v>1.12330657936292</v>
      </c>
      <c r="WJ6" s="7">
        <v>-0.95238701257574598</v>
      </c>
      <c r="WK6" s="7">
        <v>-1.1559898439034599</v>
      </c>
      <c r="WL6" s="7">
        <v>-1.2737882227841599</v>
      </c>
      <c r="WM6" s="7">
        <v>-1.63735537344912E-2</v>
      </c>
      <c r="WN6" s="7">
        <v>-7.4365030139050797E-2</v>
      </c>
      <c r="WO6" s="7">
        <v>-1.1349050877533</v>
      </c>
      <c r="WP6" s="7">
        <v>0.124935550682591</v>
      </c>
      <c r="WQ6" s="7">
        <v>-0.95472154099914597</v>
      </c>
      <c r="WR6" s="7">
        <v>0.33266622524488998</v>
      </c>
      <c r="WS6" s="7">
        <v>-0.80461077695638195</v>
      </c>
      <c r="WT6" s="7">
        <v>-0.17061814540583001</v>
      </c>
      <c r="WU6" s="7">
        <v>0.82434723084664296</v>
      </c>
      <c r="WV6" s="7">
        <v>-0.82571377402170998</v>
      </c>
      <c r="WW6" s="7">
        <v>-0.41835662210052099</v>
      </c>
      <c r="WX6" s="7">
        <v>-0.72438156671357401</v>
      </c>
      <c r="WY6" s="7">
        <v>0.55374794012826001</v>
      </c>
      <c r="WZ6" s="7">
        <v>-1.2912326420193201</v>
      </c>
      <c r="XA6" s="7">
        <v>0.96063821095236801</v>
      </c>
      <c r="XB6" s="7">
        <v>0.36633197233374898</v>
      </c>
      <c r="XC6" s="7">
        <v>0.12951667135240899</v>
      </c>
      <c r="XD6" s="7">
        <v>-0.453677233549659</v>
      </c>
      <c r="XE6" s="7">
        <v>5.55550242067364E-2</v>
      </c>
      <c r="XF6" s="7">
        <v>0.98024652892028497</v>
      </c>
      <c r="XG6" s="7">
        <v>1.20042783858173</v>
      </c>
      <c r="XH6" s="7">
        <v>-0.38139239321009999</v>
      </c>
      <c r="XI6" s="7">
        <v>-0.115566111821526</v>
      </c>
      <c r="XJ6" s="7">
        <v>0.34154949751838398</v>
      </c>
      <c r="XK6" s="7">
        <v>-0.59925000683524898</v>
      </c>
      <c r="XL6" s="7">
        <v>-1.1124124869115499</v>
      </c>
      <c r="XM6" s="7">
        <v>1.80716751623445</v>
      </c>
      <c r="XN6" s="7">
        <v>0.116436506814647</v>
      </c>
      <c r="XO6" s="7">
        <v>-0.62650098882398297</v>
      </c>
      <c r="XP6" s="7">
        <v>1.48281729027508</v>
      </c>
      <c r="XQ6" s="7">
        <v>-0.35626113654961</v>
      </c>
      <c r="XR6" s="7">
        <v>-1.0458687795927899</v>
      </c>
      <c r="XS6" s="7">
        <v>2.0032384988087402</v>
      </c>
      <c r="XT6" s="7">
        <v>0.36442065395262302</v>
      </c>
      <c r="XU6" s="7">
        <v>-0.24144930589507699</v>
      </c>
      <c r="XV6" s="7">
        <v>-5.7318030692923502E-2</v>
      </c>
      <c r="XW6" s="7">
        <v>1.55256240965465</v>
      </c>
      <c r="XX6" s="7">
        <v>1.4191674687173299</v>
      </c>
      <c r="XY6" s="7">
        <v>2.2889299966120999</v>
      </c>
      <c r="XZ6" s="7">
        <v>-0.51433036958242195</v>
      </c>
      <c r="YA6" s="7">
        <v>2.2176281194510299</v>
      </c>
      <c r="YB6" s="7">
        <v>-0.31791104749870502</v>
      </c>
      <c r="YC6" s="7">
        <v>0.44057975270849498</v>
      </c>
      <c r="YD6" s="7">
        <v>-0.311870082809727</v>
      </c>
      <c r="YE6" s="7">
        <v>-0.980546311493246</v>
      </c>
      <c r="YF6" s="7">
        <v>1.11671883171782E-2</v>
      </c>
      <c r="YG6" s="7">
        <v>0.73939749285298695</v>
      </c>
      <c r="YH6" s="7">
        <v>0.82494642358979797</v>
      </c>
      <c r="YI6" s="7">
        <v>0.456878228201193</v>
      </c>
      <c r="YJ6" s="7">
        <v>-0.47009752085241502</v>
      </c>
      <c r="YK6" s="7">
        <v>-1.32840175457633</v>
      </c>
      <c r="YL6" s="7">
        <v>0.159433301975449</v>
      </c>
      <c r="YM6" s="7">
        <v>-0.37125362735591999</v>
      </c>
      <c r="YN6" s="7">
        <v>-0.69719992491929705</v>
      </c>
      <c r="YO6" s="7">
        <v>0.64111462582850198</v>
      </c>
      <c r="YP6" s="7">
        <v>0.43559190736367498</v>
      </c>
      <c r="YQ6" s="7">
        <v>1.1227304134056899</v>
      </c>
      <c r="YR6" s="7">
        <v>-0.188040387778979</v>
      </c>
      <c r="YS6" s="7">
        <v>-0.241419522291525</v>
      </c>
      <c r="YT6" s="7">
        <v>2.97688064492114</v>
      </c>
      <c r="YU6" s="7">
        <v>0.99780550764688702</v>
      </c>
      <c r="YV6" s="7">
        <v>-0.200447348479181</v>
      </c>
      <c r="YW6" s="7">
        <v>1.44535028002221</v>
      </c>
      <c r="YX6" s="7">
        <v>-1.2217581640681401</v>
      </c>
      <c r="YY6" s="7">
        <v>0.50782679898876204</v>
      </c>
      <c r="YZ6" s="7">
        <v>-1.34411469802568</v>
      </c>
      <c r="ZA6" s="7">
        <v>0.55114646593211103</v>
      </c>
      <c r="ZB6" s="7">
        <v>0.811787920704372</v>
      </c>
      <c r="ZC6" s="7">
        <v>-0.79819938446355398</v>
      </c>
      <c r="ZD6" s="7">
        <v>1.71242208246948</v>
      </c>
      <c r="ZE6" s="7">
        <v>-0.32992666140646099</v>
      </c>
      <c r="ZF6" s="7">
        <v>-2.1214827711599198</v>
      </c>
      <c r="ZG6" s="7">
        <v>0.82092744967824705</v>
      </c>
      <c r="ZH6" s="7">
        <v>-1.1576321088086701</v>
      </c>
      <c r="ZI6" s="7">
        <v>0.34370154404000403</v>
      </c>
      <c r="ZJ6" s="7">
        <v>0.59753849633899203</v>
      </c>
      <c r="ZK6" s="7">
        <v>-1.1077959702446301</v>
      </c>
      <c r="ZL6" s="7">
        <v>0.357567170659914</v>
      </c>
      <c r="ZM6" s="7">
        <v>-3.2945950248147199E-2</v>
      </c>
      <c r="ZN6" s="7">
        <v>0.887544993369908</v>
      </c>
      <c r="ZO6" s="7">
        <v>-0.95210030704771398</v>
      </c>
      <c r="ZP6" s="7">
        <v>-0.38128169951375401</v>
      </c>
      <c r="ZQ6" s="7">
        <v>-0.65362468500001203</v>
      </c>
      <c r="ZR6" s="7">
        <v>-0.88544362546058197</v>
      </c>
      <c r="ZS6" s="7">
        <v>-9.74931754870174E-2</v>
      </c>
      <c r="ZT6" s="7">
        <v>-0.32668255092977</v>
      </c>
      <c r="ZU6" s="7">
        <v>1.0955731991108999</v>
      </c>
      <c r="ZV6" s="7">
        <v>-1.4533141694179501</v>
      </c>
      <c r="ZW6" s="7">
        <v>-1.48207607150876</v>
      </c>
      <c r="ZX6" s="7">
        <v>-0.30921058210817798</v>
      </c>
      <c r="ZY6" s="7">
        <v>0.81900959421109099</v>
      </c>
      <c r="ZZ6" s="7">
        <v>1.3786219538123601</v>
      </c>
      <c r="AAA6" s="7">
        <v>-0.64647968633970898</v>
      </c>
      <c r="AAB6" s="7">
        <v>-0.59542821357846198</v>
      </c>
      <c r="AAC6" s="7">
        <v>-2.4351804490509301E-2</v>
      </c>
      <c r="AAD6" s="7">
        <v>0.210175696003669</v>
      </c>
      <c r="AAE6" s="7">
        <v>0.91094368549612603</v>
      </c>
      <c r="AAF6" s="7">
        <v>0.70111259591548503</v>
      </c>
      <c r="AAG6" s="7">
        <v>-0.36750505746636603</v>
      </c>
      <c r="AAH6" s="7">
        <v>-0.88550335867008101</v>
      </c>
      <c r="AAI6" s="7">
        <v>-1.3851184532091101</v>
      </c>
      <c r="AAJ6" s="7">
        <v>-1.9134876429194301</v>
      </c>
      <c r="AAK6" s="7">
        <v>-0.30832246608813102</v>
      </c>
      <c r="AAL6" s="7">
        <v>0.47123131605594198</v>
      </c>
      <c r="AAM6" s="7">
        <v>0.88407828034886304</v>
      </c>
      <c r="AAN6" s="7">
        <v>-0.34651526589273302</v>
      </c>
      <c r="AAO6" s="7">
        <v>-7.4944563480439694E-2</v>
      </c>
      <c r="AAP6" s="7">
        <v>5.71178283177299E-2</v>
      </c>
      <c r="AAQ6" s="7">
        <v>0.59772548048146101</v>
      </c>
      <c r="AAR6" s="7">
        <v>0.11548629727267801</v>
      </c>
      <c r="AAS6" s="7">
        <v>2.7426103610096999</v>
      </c>
      <c r="AAT6" s="7">
        <v>0.59446593867883202</v>
      </c>
      <c r="AAU6" s="7">
        <v>-0.16271611478015399</v>
      </c>
      <c r="AAV6" s="7">
        <v>2.03993840169881</v>
      </c>
      <c r="AAW6" s="7">
        <v>-2.5152994848666199</v>
      </c>
      <c r="AAX6" s="7">
        <v>-0.27507196449812199</v>
      </c>
      <c r="AAY6" s="7">
        <v>0.95698171361941897</v>
      </c>
      <c r="AAZ6" s="7">
        <v>-1.3182356032642799</v>
      </c>
      <c r="ABA6" s="7">
        <v>-1.2218478359777001</v>
      </c>
      <c r="ABB6" s="7">
        <v>-0.96166336440127398</v>
      </c>
      <c r="ABC6" s="7">
        <v>-5.1927570399866702E-2</v>
      </c>
      <c r="ABD6" s="7">
        <v>0.56817307791843497</v>
      </c>
      <c r="ABE6" s="7">
        <v>-0.26727088974622099</v>
      </c>
      <c r="ABF6" s="7">
        <v>-0.61821157761863499</v>
      </c>
      <c r="ABG6" s="7">
        <v>-0.82924932321447797</v>
      </c>
      <c r="ABH6" s="7">
        <v>1.1921590930416901</v>
      </c>
      <c r="ABI6" s="7">
        <v>-1.97135088410613</v>
      </c>
      <c r="ABJ6" s="7">
        <v>-0.60994232361657197</v>
      </c>
      <c r="ABK6" s="7">
        <v>0.34821154562727602</v>
      </c>
      <c r="ABL6" s="7">
        <v>2.6791193531575201</v>
      </c>
      <c r="ABM6" s="7">
        <v>-1.05996036989774</v>
      </c>
      <c r="ABN6" s="7">
        <v>1.27139614787056</v>
      </c>
      <c r="ABO6" s="7">
        <v>-0.29810546578485098</v>
      </c>
      <c r="ABP6" s="7">
        <v>0.462126943142456</v>
      </c>
      <c r="ABQ6" s="7">
        <v>0.50581782644683904</v>
      </c>
      <c r="ABR6" s="7">
        <v>0.45817234508049398</v>
      </c>
      <c r="ABS6" s="7">
        <v>1.2082384626690701</v>
      </c>
      <c r="ABT6" s="7">
        <v>-2.2813487568094901E-2</v>
      </c>
      <c r="ABU6" s="7">
        <v>-1.8518419532969199</v>
      </c>
      <c r="ABV6" s="7">
        <v>-1.39242433508816</v>
      </c>
      <c r="ABW6" s="7">
        <v>0.21121954106577201</v>
      </c>
      <c r="ABX6" s="7">
        <v>2.5939546889665E-3</v>
      </c>
      <c r="ABY6" s="7">
        <v>-0.20641675593616299</v>
      </c>
      <c r="ABZ6" s="7">
        <v>-4.6653948116456003E-3</v>
      </c>
      <c r="ACA6" s="7">
        <v>0.50696323347777195</v>
      </c>
      <c r="ACB6" s="7">
        <v>-0.55872770113714998</v>
      </c>
      <c r="ACC6" s="7">
        <v>-0.81056611874955997</v>
      </c>
      <c r="ACD6" s="7">
        <v>-1.7329281370035701</v>
      </c>
      <c r="ACE6" s="7">
        <v>0.76622979286999904</v>
      </c>
      <c r="ACF6" s="7">
        <v>-1.6145430604067801</v>
      </c>
      <c r="ACG6" s="7">
        <v>-0.21021662657936999</v>
      </c>
      <c r="ACH6" s="7">
        <v>-1.3930574475792901</v>
      </c>
      <c r="ACI6" s="7">
        <v>1.2305815643615701</v>
      </c>
      <c r="ACJ6" s="7">
        <v>1.10391558820918</v>
      </c>
      <c r="ACK6" s="7">
        <v>0.27872986886572698</v>
      </c>
      <c r="ACL6" s="7">
        <v>1.41696068930774</v>
      </c>
      <c r="ACM6" s="7">
        <v>0.807918070147714</v>
      </c>
      <c r="ACN6" s="7">
        <v>-0.32602996594794398</v>
      </c>
      <c r="ACO6" s="7">
        <v>1.01344784027534</v>
      </c>
      <c r="ACP6" s="7">
        <v>0.43108488434623299</v>
      </c>
      <c r="ACQ6" s="7">
        <v>-0.205936295823094</v>
      </c>
      <c r="ACR6" s="7">
        <v>-0.30729242140176799</v>
      </c>
      <c r="ACS6" s="7">
        <v>1.0854615635754901</v>
      </c>
      <c r="ACT6" s="7">
        <v>-0.63238458206127002</v>
      </c>
      <c r="ACU6" s="7">
        <v>0.289883726864269</v>
      </c>
      <c r="ACV6" s="7">
        <v>-0.400188372263442</v>
      </c>
      <c r="ACW6" s="7">
        <v>-0.42957228465495001</v>
      </c>
      <c r="ACX6" s="7">
        <v>1.0415366333740499</v>
      </c>
      <c r="ACY6" s="7">
        <v>2.8294126783582998</v>
      </c>
      <c r="ACZ6" s="7">
        <v>-0.32460221562049801</v>
      </c>
      <c r="ADA6" s="7">
        <v>-1.24252729129339</v>
      </c>
      <c r="ADB6" s="7">
        <v>-0.228368572436291</v>
      </c>
      <c r="ADC6" s="7">
        <v>-0.29029491014772302</v>
      </c>
      <c r="ADD6" s="7">
        <v>-0.80755912176283395</v>
      </c>
      <c r="ADE6" s="7">
        <v>0.89751508201667796</v>
      </c>
      <c r="ADF6" s="7">
        <v>0.649630237363365</v>
      </c>
      <c r="ADG6" s="7">
        <v>1.6929555001012799</v>
      </c>
      <c r="ADH6" s="7">
        <v>-0.54559243760629805</v>
      </c>
      <c r="ADI6" s="7">
        <v>0.92664072461181901</v>
      </c>
      <c r="ADJ6" s="7">
        <v>-2.2833067750344398</v>
      </c>
      <c r="ADK6" s="7">
        <v>2.7278182609363899</v>
      </c>
      <c r="ADL6" s="7">
        <v>9.9758948187808894E-2</v>
      </c>
      <c r="ADM6" s="7">
        <v>0.36101068026745398</v>
      </c>
      <c r="ADN6" s="7">
        <v>-1.13024397938624</v>
      </c>
      <c r="ADO6" s="7">
        <v>0.593236187501467</v>
      </c>
      <c r="ADP6" s="7">
        <v>0.40857913483548203</v>
      </c>
      <c r="ADQ6" s="7">
        <v>-0.34404769880647501</v>
      </c>
      <c r="ADR6" s="7">
        <v>0.753384156805329</v>
      </c>
      <c r="ADS6" s="7">
        <v>-1.7335833064059001</v>
      </c>
      <c r="ADT6" s="7">
        <v>0.22175861438206401</v>
      </c>
      <c r="ADU6" s="7">
        <v>1.9650399511985099</v>
      </c>
      <c r="ADV6" s="7">
        <v>-0.45358882926588201</v>
      </c>
      <c r="ADW6" s="7">
        <v>0.47712272926126198</v>
      </c>
      <c r="ADX6" s="7">
        <v>7.0903695387991003E-2</v>
      </c>
      <c r="ADY6" s="7">
        <v>-4.5926891798866998E-3</v>
      </c>
      <c r="ADZ6" s="7">
        <v>0.34182889493783603</v>
      </c>
      <c r="AEA6" s="7">
        <v>-0.460260339237473</v>
      </c>
      <c r="AEB6" s="7">
        <v>-1.0510760264035699</v>
      </c>
      <c r="AEC6" s="7">
        <v>1.0783057511534899</v>
      </c>
      <c r="AED6" s="7">
        <v>0.27353840522601702</v>
      </c>
      <c r="AEE6" s="7">
        <v>0.36389202233286999</v>
      </c>
      <c r="AEF6" s="7">
        <v>-1.24699097791208</v>
      </c>
      <c r="AEG6" s="7">
        <v>0.17994232092729501</v>
      </c>
      <c r="AEH6" s="7">
        <v>0.21597157960066701</v>
      </c>
      <c r="AEI6" s="7">
        <v>-0.62180297528807205</v>
      </c>
      <c r="AEJ6" s="7">
        <v>-1.6585908449651401</v>
      </c>
      <c r="AEK6" s="7">
        <v>0.98956398596358897</v>
      </c>
      <c r="AEL6" s="7">
        <v>7.9481954530126298E-2</v>
      </c>
      <c r="AEM6" s="7">
        <v>0.99866297291537598</v>
      </c>
      <c r="AEN6" s="7">
        <v>0.27580770166248703</v>
      </c>
      <c r="AEO6" s="7">
        <v>0.68697012779283995</v>
      </c>
      <c r="AEP6" s="7">
        <v>8.1101516019390002E-2</v>
      </c>
      <c r="AEQ6" s="7">
        <v>-0.47491884395292</v>
      </c>
      <c r="AER6" s="7">
        <v>0.40628239434115099</v>
      </c>
      <c r="AES6" s="7">
        <v>-0.25278931442834401</v>
      </c>
      <c r="AET6" s="7">
        <v>0.176415161617447</v>
      </c>
      <c r="AEU6" s="7">
        <v>9.4775818081457006E-2</v>
      </c>
      <c r="AEV6" s="7">
        <v>1.99578631461515</v>
      </c>
      <c r="AEW6" s="7">
        <v>-0.481059011792274</v>
      </c>
      <c r="AEX6" s="7">
        <v>-1.2389493221779</v>
      </c>
      <c r="AEY6" s="7">
        <v>-0.28726806781785202</v>
      </c>
      <c r="AEZ6" s="7">
        <v>0.213527448393559</v>
      </c>
      <c r="AFA6" s="7">
        <v>-0.98468354864179997</v>
      </c>
      <c r="AFB6" s="7">
        <v>-0.65813224112348101</v>
      </c>
      <c r="AFC6" s="7">
        <v>-1.46728442002098</v>
      </c>
      <c r="AFD6" s="7">
        <v>0.37266363194827201</v>
      </c>
      <c r="AFE6" s="7">
        <v>0.36860841422678498</v>
      </c>
      <c r="AFF6" s="7">
        <v>-1.2413172554579901</v>
      </c>
      <c r="AFG6" s="7">
        <v>-1.4834557622605</v>
      </c>
      <c r="AFH6" s="7">
        <v>-0.26929728371731299</v>
      </c>
      <c r="AFI6" s="7">
        <v>-9.4235599258179897E-2</v>
      </c>
      <c r="AFJ6" s="7">
        <v>-1.0262001804362799</v>
      </c>
      <c r="AFK6" s="7">
        <v>-0.75054866905583895</v>
      </c>
      <c r="AFL6" s="7">
        <v>-0.30124675460924499</v>
      </c>
      <c r="AFM6" s="7">
        <v>-1.0360119445314999</v>
      </c>
      <c r="AFN6" s="7">
        <v>-1.1125080498134901</v>
      </c>
      <c r="AFO6" s="7">
        <v>0.60612442932599597</v>
      </c>
      <c r="AFP6" s="7">
        <v>5.03952382307601E-2</v>
      </c>
      <c r="AFQ6" s="7">
        <v>-1.61204810076455</v>
      </c>
      <c r="AFR6" s="7">
        <v>-0.68524261552838905</v>
      </c>
      <c r="AFS6" s="7">
        <v>-0.51501209814457205</v>
      </c>
      <c r="AFT6" s="7">
        <v>0.65448208508081496</v>
      </c>
      <c r="AFU6" s="7">
        <v>0.507358765976056</v>
      </c>
      <c r="AFV6" s="7">
        <v>-0.99110346132090299</v>
      </c>
      <c r="AFW6" s="7">
        <v>0.60576441663131497</v>
      </c>
      <c r="AFX6" s="7">
        <v>-0.87125909680504798</v>
      </c>
      <c r="AFY6" s="7">
        <v>-0.33580653543725503</v>
      </c>
      <c r="AFZ6" s="7">
        <v>-1.09463672275525</v>
      </c>
      <c r="AGA6" s="7">
        <v>-1.24972600269509</v>
      </c>
      <c r="AGB6" s="7">
        <v>2.74428056069995E-2</v>
      </c>
      <c r="AGC6" s="7">
        <v>-1.52765923113211</v>
      </c>
      <c r="AGD6" s="7">
        <v>1.54456823873941</v>
      </c>
      <c r="AGE6" s="7">
        <v>-1.75543026358679</v>
      </c>
      <c r="AGF6" s="7">
        <v>-0.61263526649704503</v>
      </c>
      <c r="AGG6" s="7">
        <v>-0.51399525842955396</v>
      </c>
      <c r="AGH6" s="7">
        <v>-0.79322294663876702</v>
      </c>
      <c r="AGI6" s="7">
        <v>2.0072082436024901</v>
      </c>
      <c r="AGJ6" s="7">
        <v>0.34846466479810101</v>
      </c>
      <c r="AGK6" s="7">
        <v>-0.61223212420904305</v>
      </c>
      <c r="AGL6" s="7">
        <v>-1.89407690326412</v>
      </c>
      <c r="AGM6" s="7">
        <v>-0.30349412649111601</v>
      </c>
      <c r="AGN6" s="7">
        <v>0.21849810663251801</v>
      </c>
      <c r="AGO6" s="7">
        <v>1.29552768733462</v>
      </c>
      <c r="AGP6" s="7">
        <v>-0.56235044531729295</v>
      </c>
      <c r="AGQ6" s="7">
        <v>-1.6034364650750901</v>
      </c>
      <c r="AGR6" s="7">
        <v>1.34584835190684</v>
      </c>
      <c r="AGS6" s="7">
        <v>0.60515263769976402</v>
      </c>
      <c r="AGT6" s="7">
        <v>-1.6165585222473</v>
      </c>
      <c r="AGU6" s="7">
        <v>0.55498609204965499</v>
      </c>
      <c r="AGV6" s="7">
        <v>0.81488237546692099</v>
      </c>
      <c r="AGW6" s="7">
        <v>-2.9325704463970901</v>
      </c>
      <c r="AGX6" s="7">
        <v>-0.249579795566716</v>
      </c>
      <c r="AGY6" s="7">
        <v>-0.60077718443643002</v>
      </c>
      <c r="AGZ6" s="7">
        <v>-0.12199055038159</v>
      </c>
      <c r="AHA6" s="7">
        <v>0.23059181034663201</v>
      </c>
      <c r="AHB6" s="7">
        <v>-0.119474633153808</v>
      </c>
      <c r="AHC6" s="7">
        <v>0.47694975846981402</v>
      </c>
      <c r="AHD6" s="7">
        <v>-0.64275953738480096</v>
      </c>
      <c r="AHE6" s="7">
        <v>-0.94770039604323197</v>
      </c>
      <c r="AHF6" s="7">
        <v>0.22490232252917899</v>
      </c>
      <c r="AHG6" s="7">
        <v>-0.64122928730719397</v>
      </c>
      <c r="AHH6" s="7">
        <v>1.76104210734136</v>
      </c>
      <c r="AHI6" s="7">
        <v>-0.53431941227121804</v>
      </c>
      <c r="AHJ6" s="7">
        <v>-0.514677771201422</v>
      </c>
      <c r="AHK6" s="7">
        <v>-0.49706238843210199</v>
      </c>
      <c r="AHL6" s="7">
        <v>2.29875828728153</v>
      </c>
      <c r="AHM6" s="7">
        <v>-5.9964224742054498E-2</v>
      </c>
      <c r="AHN6" s="7">
        <v>-0.244160167520036</v>
      </c>
      <c r="AHO6" s="7">
        <v>0.92304923970188402</v>
      </c>
      <c r="AHP6" s="7">
        <v>0.86896426835043805</v>
      </c>
      <c r="AHQ6" s="7">
        <v>0.27839753438626602</v>
      </c>
      <c r="AHR6" s="7">
        <v>-0.73339771900714101</v>
      </c>
      <c r="AHS6" s="7">
        <v>1.19855313598489</v>
      </c>
      <c r="AHT6" s="7">
        <v>2.78617432403933</v>
      </c>
      <c r="AHU6" s="7">
        <v>1.07632240788941</v>
      </c>
      <c r="AHV6" s="7">
        <v>-1.6243436725162099</v>
      </c>
      <c r="AHW6" s="7">
        <v>-0.78798121509091901</v>
      </c>
      <c r="AHX6" s="7">
        <v>-0.106350479550042</v>
      </c>
      <c r="AHY6" s="7">
        <v>-0.212663387638648</v>
      </c>
      <c r="AHZ6" s="7">
        <v>1.43772055757368</v>
      </c>
      <c r="AIA6" s="7">
        <v>0.89789025399122002</v>
      </c>
      <c r="AIB6" s="7">
        <v>-1.2591015381914401</v>
      </c>
      <c r="AIC6" s="7">
        <v>-1.12555459145278</v>
      </c>
      <c r="AID6" s="7">
        <v>0.62322342370990103</v>
      </c>
      <c r="AIE6" s="7">
        <v>-1.61877236540708</v>
      </c>
      <c r="AIF6" s="7">
        <v>-0.33548880672689901</v>
      </c>
      <c r="AIG6" s="7">
        <v>0.39043727480120999</v>
      </c>
      <c r="AIH6" s="7">
        <v>-0.12905244025541801</v>
      </c>
      <c r="AII6" s="7">
        <v>-0.10412039268972099</v>
      </c>
      <c r="AIJ6" s="7">
        <v>-1.25545057880618E-2</v>
      </c>
      <c r="AIK6" s="7">
        <v>1.8354638273238</v>
      </c>
      <c r="AIL6" s="7">
        <v>6.0650220800218299E-2</v>
      </c>
      <c r="AIM6" s="7">
        <v>0.82649098575077495</v>
      </c>
      <c r="AIN6" s="7">
        <v>-0.295581003109118</v>
      </c>
      <c r="AIO6" s="7">
        <v>-4.0113312966373799E-2</v>
      </c>
      <c r="AIP6" s="7">
        <v>-1.3374340209648901</v>
      </c>
      <c r="AIQ6" s="7">
        <v>4.2525788099946803E-2</v>
      </c>
      <c r="AIR6" s="7">
        <v>-0.197452250177822</v>
      </c>
      <c r="AIS6" s="7">
        <v>0.73505182037878702</v>
      </c>
      <c r="AIT6" s="7">
        <v>2.2476770382187699</v>
      </c>
      <c r="AIU6" s="7">
        <v>-1.37221774947783</v>
      </c>
      <c r="AIV6" s="7">
        <v>-1.6121476089223199</v>
      </c>
      <c r="AIW6" s="7">
        <v>0.63605609644580197</v>
      </c>
      <c r="AIX6" s="7">
        <v>0.58089590921291701</v>
      </c>
      <c r="AIY6" s="7">
        <v>-1.4010085257570499</v>
      </c>
      <c r="AIZ6" s="7">
        <v>-0.286525813391169</v>
      </c>
      <c r="AJA6" s="7">
        <v>-2.2154898380308898</v>
      </c>
      <c r="AJB6" s="7">
        <v>0.686232552602006</v>
      </c>
      <c r="AJC6" s="7">
        <v>0.325033919818767</v>
      </c>
      <c r="AJD6" s="7">
        <v>-0.25752856871978602</v>
      </c>
      <c r="AJE6" s="7">
        <v>-0.26655315537523699</v>
      </c>
      <c r="AJF6" s="7">
        <v>2.1962673960832602</v>
      </c>
      <c r="AJG6" s="7">
        <v>0.35218096503037799</v>
      </c>
      <c r="AJH6" s="7">
        <v>-1.0071532140800901</v>
      </c>
      <c r="AJI6" s="7">
        <v>6.6052236656486699E-2</v>
      </c>
      <c r="AJJ6" s="7">
        <v>-0.19204460603172599</v>
      </c>
      <c r="AJK6" s="7">
        <v>2.1949643378550201</v>
      </c>
      <c r="AJL6" s="7">
        <v>-1.33024688672262</v>
      </c>
      <c r="AJM6" s="7">
        <v>1.48019933325732</v>
      </c>
      <c r="AJN6" s="7">
        <v>-0.88756604486256596</v>
      </c>
      <c r="AJO6" s="7">
        <v>-0.935849324694214</v>
      </c>
      <c r="AJP6" s="7">
        <v>-0.71093564685075505</v>
      </c>
      <c r="AJQ6" s="7">
        <v>-1.9548464732872499</v>
      </c>
      <c r="AJR6" s="7">
        <v>-0.13537219077215201</v>
      </c>
      <c r="AJS6" s="7">
        <v>1.12401619132417</v>
      </c>
      <c r="AJT6" s="7">
        <v>0.16036230703736501</v>
      </c>
      <c r="AJU6" s="7">
        <v>-0.188763489894647</v>
      </c>
      <c r="AJV6" s="7">
        <v>0.15405653879987299</v>
      </c>
      <c r="AJW6" s="7">
        <v>1.15841220746846</v>
      </c>
      <c r="AJX6" s="7">
        <v>-9.4116613994372905E-2</v>
      </c>
      <c r="AJY6" s="7">
        <v>-2.0639312889394099</v>
      </c>
      <c r="AJZ6" s="7">
        <v>0.88227620961358499</v>
      </c>
      <c r="AKA6" s="7">
        <v>-0.185096729629527</v>
      </c>
      <c r="AKB6" s="7">
        <v>-0.438725993918827</v>
      </c>
      <c r="AKC6" s="7">
        <v>-1.8350721043140801</v>
      </c>
      <c r="AKD6" s="7">
        <v>1.0873483926599301</v>
      </c>
      <c r="AKE6" s="7">
        <v>0.198726255752908</v>
      </c>
      <c r="AKF6" s="7">
        <v>1.0159009946433799</v>
      </c>
      <c r="AKG6" s="7">
        <v>-0.199217927603312</v>
      </c>
      <c r="AKH6" s="7">
        <v>-0.54455533020625502</v>
      </c>
      <c r="AKI6" s="7">
        <v>-0.149492706412338</v>
      </c>
      <c r="AKJ6" s="7">
        <v>-1.1544329649615701</v>
      </c>
      <c r="AKK6" s="7">
        <v>-0.51428881500997004</v>
      </c>
      <c r="AKL6" s="7">
        <v>0.89227067700138196</v>
      </c>
      <c r="AKM6" s="7">
        <v>-0.43646168348434999</v>
      </c>
      <c r="AKN6" s="7">
        <v>1.0974178596950801</v>
      </c>
      <c r="AKO6" s="7">
        <v>-1.5961683591253499</v>
      </c>
      <c r="AKP6" s="7">
        <v>-2.73655018504533</v>
      </c>
      <c r="AKQ6" s="7">
        <v>-0.71115819050652695</v>
      </c>
      <c r="AKR6" s="7">
        <v>-0.63863467296537701</v>
      </c>
      <c r="AKS6" s="7">
        <v>2.1927048310780101E-2</v>
      </c>
      <c r="AKT6" s="7">
        <v>-7.49317627755E-4</v>
      </c>
      <c r="AKU6" s="7">
        <v>-1.436604243696</v>
      </c>
      <c r="AKV6" s="7">
        <v>0.70419391774263695</v>
      </c>
      <c r="AKW6" s="7">
        <v>0.84697554827073196</v>
      </c>
      <c r="AKX6" s="7">
        <v>0.96421904356333699</v>
      </c>
      <c r="AKY6" s="7">
        <v>1.5230489502273701</v>
      </c>
      <c r="AKZ6" s="7">
        <v>-0.60563463109481597</v>
      </c>
      <c r="ALA6" s="7">
        <v>-0.52737195601340503</v>
      </c>
      <c r="ALB6" s="7">
        <v>0.125048041387436</v>
      </c>
      <c r="ALC6" s="7">
        <v>0.132766507202424</v>
      </c>
      <c r="ALD6" s="7">
        <v>-0.59072317414526698</v>
      </c>
      <c r="ALE6" s="7">
        <v>0.74931989907264596</v>
      </c>
      <c r="ALF6" s="7">
        <v>-2.95615517842166E-2</v>
      </c>
      <c r="ALG6" s="7">
        <v>0.36579368067967699</v>
      </c>
      <c r="ALH6" s="7">
        <v>-0.52321935691067301</v>
      </c>
      <c r="ALI6" s="7">
        <v>1.44633250832951</v>
      </c>
      <c r="ALJ6" s="7">
        <v>0.55177085084538102</v>
      </c>
      <c r="ALK6" s="7">
        <v>-0.83724119445657796</v>
      </c>
      <c r="ALL6" s="7">
        <v>2.0264191355191099</v>
      </c>
      <c r="ALM6" s="7">
        <v>2.0860159522104298</v>
      </c>
      <c r="ALN6" s="7">
        <v>0.31614883162824797</v>
      </c>
      <c r="ALO6" s="7">
        <v>-0.26791229433068903</v>
      </c>
      <c r="ALP6" s="7">
        <v>-2.7756194586365801</v>
      </c>
      <c r="ALQ6" s="7">
        <v>6.3550156360746998E-2</v>
      </c>
      <c r="ALR6" s="7">
        <v>3.4162111660218002E-3</v>
      </c>
      <c r="ALS6" s="7">
        <v>0.64326630364818405</v>
      </c>
      <c r="ALT6" s="7">
        <v>-0.65023167613006605</v>
      </c>
      <c r="ALU6" s="7">
        <v>-0.80995943942454796</v>
      </c>
      <c r="ALV6" s="7">
        <v>-0.42590498997646398</v>
      </c>
      <c r="ALW6" s="7">
        <v>1.41160329773292</v>
      </c>
      <c r="ALX6" s="7">
        <v>1.8086360968888</v>
      </c>
      <c r="ALY6" s="7">
        <v>-2.8144273795222099</v>
      </c>
      <c r="ALZ6" s="7">
        <v>-0.166817418583701</v>
      </c>
      <c r="AMA6" s="7">
        <v>-0.305855551951972</v>
      </c>
      <c r="AMB6" s="7">
        <v>-1.6796577645944699</v>
      </c>
      <c r="AMC6" s="7">
        <v>0.952223781398707</v>
      </c>
      <c r="AMD6" s="7">
        <v>0.33418329406447</v>
      </c>
      <c r="AME6" s="7">
        <v>-0.471412240826663</v>
      </c>
      <c r="AMF6" s="7">
        <v>-7.6662509945567101E-2</v>
      </c>
      <c r="AMG6" s="7">
        <v>0.12117218025578599</v>
      </c>
      <c r="AMH6" s="7">
        <v>-1.08045419328199</v>
      </c>
      <c r="AMI6" s="7">
        <v>0.124075646546145</v>
      </c>
      <c r="AMJ6" s="7">
        <v>-0.805357389394731</v>
      </c>
      <c r="AMK6" s="7">
        <v>0.40349704913041901</v>
      </c>
      <c r="AML6" s="7">
        <v>-0.60314827865304899</v>
      </c>
      <c r="AMM6" s="7">
        <v>-0.71964255567331004</v>
      </c>
      <c r="AMN6" s="7">
        <v>-1.17868808365362</v>
      </c>
      <c r="AMO6" s="7">
        <v>-1.68062974568796</v>
      </c>
      <c r="AMP6" s="7">
        <v>-1.45246961653796</v>
      </c>
      <c r="AMQ6" s="7">
        <v>5.8433677867447902E-2</v>
      </c>
      <c r="AMR6" s="7">
        <v>-0.62268204599857202</v>
      </c>
      <c r="AMS6" s="7">
        <v>0.38876820993602801</v>
      </c>
      <c r="AMT6" s="7">
        <v>-0.91993217016756001</v>
      </c>
      <c r="AMU6" s="7">
        <v>0.65153244858596204</v>
      </c>
      <c r="AMV6" s="7">
        <v>-0.17326800432060499</v>
      </c>
      <c r="AMW6" s="7">
        <v>0.79157072582618104</v>
      </c>
      <c r="AMX6" s="7">
        <v>-0.42538437457207101</v>
      </c>
      <c r="AMY6" s="7">
        <v>3.0779304418851101</v>
      </c>
      <c r="AMZ6" s="7">
        <v>4.3508011332919497E-2</v>
      </c>
      <c r="ANA6" s="7">
        <v>-0.133757538068105</v>
      </c>
      <c r="ANB6" s="7">
        <v>0.139783362038645</v>
      </c>
      <c r="ANC6" s="7">
        <v>-7.5108980725987901E-2</v>
      </c>
      <c r="AND6" s="7">
        <v>0.194549373902735</v>
      </c>
      <c r="ANE6" s="7">
        <v>-0.67168244772272501</v>
      </c>
      <c r="ANF6" s="7">
        <v>0.423322642127194</v>
      </c>
      <c r="ANG6" s="7">
        <v>1.9765364410109401</v>
      </c>
      <c r="ANH6" s="7">
        <v>1.3352552845705301</v>
      </c>
      <c r="ANI6" s="7">
        <v>-0.23548950294353299</v>
      </c>
      <c r="ANJ6" s="7">
        <v>-0.17355082213776599</v>
      </c>
      <c r="ANK6" s="7">
        <v>1.00912421544855</v>
      </c>
      <c r="ANL6" s="7">
        <v>1.4577807810496199</v>
      </c>
      <c r="ANM6" s="7">
        <v>0.362177376651448</v>
      </c>
      <c r="ANN6" s="7">
        <v>0.99769022061478896</v>
      </c>
      <c r="ANO6" s="7">
        <v>-0.87925227032335596</v>
      </c>
      <c r="ANP6" s="7">
        <v>-7.2831494990049594E-2</v>
      </c>
      <c r="ANQ6" s="7">
        <v>0.77669544160433501</v>
      </c>
      <c r="ANR6" s="7">
        <v>1.83035649947761</v>
      </c>
      <c r="ANS6" s="7">
        <v>0.19175083755068001</v>
      </c>
      <c r="ANT6" s="7">
        <v>0.88551757503029704</v>
      </c>
      <c r="ANU6" s="7">
        <v>-0.25662219962720001</v>
      </c>
      <c r="ANV6" s="7">
        <v>0.25979703114839098</v>
      </c>
      <c r="ANW6" s="7">
        <v>8.1442820954178596E-2</v>
      </c>
      <c r="ANX6" s="7">
        <v>1.49585371218934</v>
      </c>
      <c r="ANY6" s="7">
        <v>-1.1417125063436599</v>
      </c>
      <c r="ANZ6" s="7">
        <v>2.2875067220857801</v>
      </c>
      <c r="AOA6" s="7">
        <v>-0.48281469841431701</v>
      </c>
      <c r="AOB6" s="7">
        <v>-0.13773376365814699</v>
      </c>
      <c r="AOC6" s="7">
        <v>0.61145499825038996</v>
      </c>
      <c r="AOD6" s="7">
        <v>-0.79309360153359099</v>
      </c>
      <c r="AOE6" s="7">
        <v>-0.84365840624031696</v>
      </c>
      <c r="AOF6" s="7">
        <v>-0.169539107257803</v>
      </c>
      <c r="AOG6" s="7">
        <v>1.4169618865842299</v>
      </c>
      <c r="AOH6" s="7">
        <v>-0.95517662293013605</v>
      </c>
      <c r="AOI6" s="7">
        <v>-0.24997797903878999</v>
      </c>
      <c r="AOJ6" s="7">
        <v>0.50319372162642395</v>
      </c>
      <c r="AOK6" s="7">
        <v>-0.640754586641334</v>
      </c>
      <c r="AOL6" s="7">
        <v>-1.25523270497206</v>
      </c>
      <c r="AOM6" s="7">
        <v>-0.67560718595452696</v>
      </c>
      <c r="AON6" s="7">
        <v>0.89602413304357797</v>
      </c>
      <c r="AOO6" s="7">
        <v>0.39338276594230198</v>
      </c>
      <c r="AOP6" s="7">
        <v>0.35365390596568802</v>
      </c>
      <c r="AOQ6" s="7">
        <v>-0.61227255472936304</v>
      </c>
      <c r="AOR6" s="7">
        <v>-0.58112514703548201</v>
      </c>
      <c r="AOS6" s="7">
        <v>1.8707347020732401</v>
      </c>
      <c r="AOT6" s="7">
        <v>-5.9340083173241798E-2</v>
      </c>
      <c r="AOU6" s="7">
        <v>0.32124058842053899</v>
      </c>
      <c r="AOV6" s="7">
        <v>-1.1099709774764801</v>
      </c>
      <c r="AOW6" s="7">
        <v>0.51840868672719598</v>
      </c>
      <c r="AOX6" s="7">
        <v>1.21909730742505</v>
      </c>
      <c r="AOY6" s="7">
        <v>-1.71547983593316</v>
      </c>
      <c r="AOZ6" s="7">
        <v>-7.4078320636615194E-2</v>
      </c>
      <c r="APA6" s="7">
        <v>0.18948271457586099</v>
      </c>
      <c r="APB6" s="7">
        <v>-0.83658871347751995</v>
      </c>
      <c r="APC6" s="7">
        <v>0.41073592469338799</v>
      </c>
      <c r="APD6" s="7">
        <v>-1.18981164145467</v>
      </c>
      <c r="APE6" s="7">
        <v>0.51048749053237197</v>
      </c>
      <c r="APF6" s="7">
        <v>-1.02994923646332</v>
      </c>
      <c r="APG6" s="7">
        <v>0.65249399324689805</v>
      </c>
      <c r="APH6" s="7">
        <v>1.5094151396506099</v>
      </c>
      <c r="API6" s="7">
        <v>1.5183612835751401</v>
      </c>
      <c r="APJ6" s="7">
        <v>-0.39699605595099702</v>
      </c>
      <c r="APK6" s="7">
        <v>-1.2192064719939699</v>
      </c>
      <c r="APL6" s="7">
        <v>-1.74051515608228</v>
      </c>
      <c r="APM6" s="7">
        <v>0.62773731804206701</v>
      </c>
      <c r="APN6" s="7">
        <v>-1.4703120162105501</v>
      </c>
      <c r="APO6" s="7">
        <v>4.0527032256774502E-2</v>
      </c>
      <c r="APP6" s="7">
        <v>0.10612869819909999</v>
      </c>
      <c r="APQ6" s="7">
        <v>1.06509539087838</v>
      </c>
      <c r="APR6" s="7">
        <v>-0.45224137225274402</v>
      </c>
      <c r="APS6" s="7">
        <v>-0.10346258102035</v>
      </c>
      <c r="APT6" s="7">
        <v>-0.83058198001210304</v>
      </c>
      <c r="APU6" s="7">
        <v>0.33750630432207301</v>
      </c>
      <c r="APV6" s="7">
        <v>0.53767961646442597</v>
      </c>
      <c r="APW6" s="7">
        <v>0.483429558023169</v>
      </c>
      <c r="APX6" s="7">
        <v>-1.07816046752678</v>
      </c>
      <c r="APY6" s="7">
        <v>2.2654239605064901</v>
      </c>
      <c r="APZ6" s="7">
        <v>2.0933080085450602</v>
      </c>
      <c r="AQA6" s="7">
        <v>-0.89591945316542598</v>
      </c>
      <c r="AQB6" s="7">
        <v>0.70275199782203901</v>
      </c>
      <c r="AQC6" s="7">
        <v>-0.65074400741439697</v>
      </c>
      <c r="AQD6" s="7">
        <v>-1.50467448148216</v>
      </c>
      <c r="AQE6" s="7">
        <v>-1.2673511973076399</v>
      </c>
      <c r="AQF6" s="7">
        <v>-0.75500102973935801</v>
      </c>
      <c r="AQG6" s="7">
        <v>1.77928083746189</v>
      </c>
      <c r="AQH6" s="7">
        <v>-2.0037224805093001</v>
      </c>
      <c r="AQI6" s="7">
        <v>0.19351400574220301</v>
      </c>
      <c r="AQJ6" s="7">
        <v>-0.91745717721666797</v>
      </c>
      <c r="AQK6" s="7">
        <v>-0.56002517067334501</v>
      </c>
      <c r="AQL6" s="7">
        <v>2.7081741455187598</v>
      </c>
      <c r="AQM6" s="7">
        <v>0.37443769472944799</v>
      </c>
      <c r="AQN6" s="7">
        <v>0.11479581598359601</v>
      </c>
      <c r="AQO6" s="7">
        <v>-3.9275593667680797E-2</v>
      </c>
      <c r="AQP6" s="7">
        <v>-0.40121681454591201</v>
      </c>
      <c r="AQQ6" s="7">
        <v>-0.852371768027813</v>
      </c>
      <c r="AQR6" s="7">
        <v>-5.1728262673818401E-2</v>
      </c>
      <c r="AQS6" s="7">
        <v>-1.04949191883478</v>
      </c>
      <c r="AQT6" s="7">
        <v>-0.56213245619460195</v>
      </c>
      <c r="AQU6" s="7">
        <v>0.217129576342032</v>
      </c>
      <c r="AQV6" s="7">
        <v>0.35016928113856499</v>
      </c>
      <c r="AQW6" s="7">
        <v>-4.9119684239576099E-2</v>
      </c>
      <c r="AQX6" s="7">
        <v>-1.5483083217635001</v>
      </c>
      <c r="AQY6" s="7">
        <v>-0.11138494039364499</v>
      </c>
      <c r="AQZ6" s="7">
        <v>-1.06740865699538</v>
      </c>
      <c r="ARA6" s="7">
        <v>1.9384803335004599</v>
      </c>
      <c r="ARB6" s="7">
        <v>-0.83052240102387598</v>
      </c>
      <c r="ARC6" s="7">
        <v>0.46599479787173798</v>
      </c>
      <c r="ARD6" s="7">
        <v>7.8951973202245104E-2</v>
      </c>
      <c r="ARE6" s="7">
        <v>-8.2811731951061604E-2</v>
      </c>
      <c r="ARF6" s="7">
        <v>0.23928391305309399</v>
      </c>
      <c r="ARG6" s="7">
        <v>-1.14595008508328</v>
      </c>
      <c r="ARH6" s="7">
        <v>-0.27278313592876802</v>
      </c>
      <c r="ARI6" s="7">
        <v>-0.66965928214523496</v>
      </c>
      <c r="ARJ6" s="7">
        <v>0.48351446144128202</v>
      </c>
      <c r="ARK6" s="7">
        <v>-1.36220719292241</v>
      </c>
      <c r="ARL6" s="7">
        <v>1.8218241180426999</v>
      </c>
      <c r="ARM6" s="7">
        <v>-1.1679528134141699</v>
      </c>
      <c r="ARN6" s="7">
        <v>0.244396482643298</v>
      </c>
      <c r="ARO6" s="7">
        <v>-0.71168219939895505</v>
      </c>
      <c r="ARP6" s="7">
        <v>-1.0681157656556499</v>
      </c>
      <c r="ARQ6" s="7">
        <v>-1.1033379548144799</v>
      </c>
      <c r="ARR6" s="7">
        <v>2.1246950500215598</v>
      </c>
      <c r="ARS6" s="7">
        <v>0.21743544287688199</v>
      </c>
      <c r="ART6" s="7">
        <v>0.93301775725116898</v>
      </c>
      <c r="ARU6" s="7">
        <v>2.2671186548425299</v>
      </c>
      <c r="ARV6" s="7">
        <v>-1.0733461978457399</v>
      </c>
      <c r="ARW6" s="7">
        <v>-1.12170212667582</v>
      </c>
      <c r="ARX6" s="7">
        <v>0.142385662745251</v>
      </c>
      <c r="ARY6" s="7">
        <v>-0.10367732688451101</v>
      </c>
      <c r="ARZ6" s="7">
        <v>0.72799278898512298</v>
      </c>
      <c r="ASA6" s="7">
        <v>0.78061985084879904</v>
      </c>
      <c r="ASB6" s="7">
        <v>-0.68691286036175103</v>
      </c>
      <c r="ASC6" s="7">
        <v>-1.03276313123487</v>
      </c>
      <c r="ASD6" s="7">
        <v>0.12502648805074401</v>
      </c>
      <c r="ASE6" s="7">
        <v>0.15505355067830701</v>
      </c>
      <c r="ASF6" s="7">
        <v>1.09772343860208</v>
      </c>
      <c r="ASG6" s="7">
        <v>0.93182579718089398</v>
      </c>
      <c r="ASH6" s="7">
        <v>0.39464144946926299</v>
      </c>
      <c r="ASI6" s="7">
        <v>0.75997127800322795</v>
      </c>
      <c r="ASJ6" s="7">
        <v>0.43730181123012601</v>
      </c>
      <c r="ASK6" s="7">
        <v>0.42347660459351899</v>
      </c>
      <c r="ASL6" s="7">
        <v>-0.76464094473670896</v>
      </c>
      <c r="ASM6" s="7">
        <v>0.66218206245919498</v>
      </c>
      <c r="ASN6" s="7">
        <v>0.39246608279648398</v>
      </c>
      <c r="ASO6" s="7">
        <v>0.57525879342535302</v>
      </c>
      <c r="ASP6" s="7">
        <v>0.231364256286686</v>
      </c>
      <c r="ASQ6" s="7">
        <v>0.90936969722224803</v>
      </c>
      <c r="ASR6" s="7">
        <v>-3.4632364056232999E-3</v>
      </c>
      <c r="ASS6" s="7">
        <v>-0.98858224118604199</v>
      </c>
      <c r="AST6" s="7">
        <v>0.60326593937440698</v>
      </c>
      <c r="ASU6" s="7">
        <v>-2.09889385035106E-2</v>
      </c>
      <c r="ASV6" s="7">
        <v>-1.2026499996339799</v>
      </c>
      <c r="ASW6" s="7">
        <v>-1.11868473770724</v>
      </c>
      <c r="ASX6" s="7">
        <v>5.1111477533946098E-2</v>
      </c>
      <c r="ASY6" s="7">
        <v>-0.13142736679363101</v>
      </c>
      <c r="ASZ6" s="7">
        <v>-0.27387278455639502</v>
      </c>
      <c r="ATA6" s="7">
        <v>-0.12730879791776201</v>
      </c>
      <c r="ATB6" s="7">
        <v>0.97291192403981197</v>
      </c>
      <c r="ATC6" s="7">
        <v>-1.2515692847628499</v>
      </c>
      <c r="ATD6" s="7">
        <v>-0.37356800537157098</v>
      </c>
      <c r="ATE6" s="7">
        <v>-0.288472768784306</v>
      </c>
      <c r="ATF6" s="7">
        <v>-0.15316307069774801</v>
      </c>
      <c r="ATG6" s="7">
        <v>-0.35161506858855501</v>
      </c>
      <c r="ATH6" s="7">
        <v>0.82364560712887402</v>
      </c>
      <c r="ATI6" s="7">
        <v>1.54686121795647</v>
      </c>
      <c r="ATJ6" s="7">
        <v>0.98252673941707802</v>
      </c>
      <c r="ATK6" s="7">
        <v>1.23674047193162</v>
      </c>
      <c r="ATL6" s="7">
        <v>-0.45677211461445999</v>
      </c>
      <c r="ATM6" s="7">
        <v>-3.6295466906703999</v>
      </c>
      <c r="ATN6" s="7">
        <v>1.1737639453058899</v>
      </c>
      <c r="ATO6" s="7">
        <v>-1.7491194884010199</v>
      </c>
      <c r="ATP6" s="7">
        <v>-4.4232324370574803E-2</v>
      </c>
      <c r="ATQ6" s="7">
        <v>-1.7429169434129199</v>
      </c>
      <c r="ATR6" s="7">
        <v>-1.51731610519237</v>
      </c>
      <c r="ATS6" s="7">
        <v>0.72428527609540505</v>
      </c>
      <c r="ATT6" s="7">
        <v>0.451159211743898</v>
      </c>
      <c r="ATU6" s="7">
        <v>-0.64534068649674103</v>
      </c>
      <c r="ATV6" s="7">
        <v>-0.47543463771517402</v>
      </c>
      <c r="ATW6" s="7">
        <v>-0.45670915790108302</v>
      </c>
      <c r="ATX6" s="7">
        <v>-0.61972515924216098</v>
      </c>
      <c r="ATY6" s="7">
        <v>0.563885475780737</v>
      </c>
      <c r="ATZ6" s="7">
        <v>-0.80553600695238603</v>
      </c>
      <c r="AUA6" s="7">
        <v>-9.2967489652910004E-2</v>
      </c>
      <c r="AUB6" s="7">
        <v>-1.2510464729867701</v>
      </c>
      <c r="AUC6" s="7">
        <v>0.10653887499443999</v>
      </c>
      <c r="AUD6" s="7">
        <v>-0.82047959603478904</v>
      </c>
      <c r="AUE6" s="7">
        <v>0.915334829735166</v>
      </c>
      <c r="AUF6" s="7">
        <v>1.0420952810692501</v>
      </c>
      <c r="AUG6" s="7">
        <v>-0.530374849321817</v>
      </c>
      <c r="AUH6" s="7">
        <v>-0.64962615329421103</v>
      </c>
      <c r="AUI6" s="7">
        <v>0.15214015021553701</v>
      </c>
      <c r="AUJ6" s="7">
        <v>-2.3631218340964102</v>
      </c>
      <c r="AUK6" s="7">
        <v>-1.30520643202786</v>
      </c>
      <c r="AUL6" s="7">
        <v>1.30684575222203</v>
      </c>
      <c r="AUM6" s="7">
        <v>0.60854157493428496</v>
      </c>
      <c r="AUN6" s="7">
        <v>-0.122452747411314</v>
      </c>
      <c r="AUO6" s="7">
        <v>-2.3795155527312501</v>
      </c>
      <c r="AUP6" s="7">
        <v>-0.28107802563879197</v>
      </c>
      <c r="AUQ6" s="7">
        <v>-1.4551833338517099</v>
      </c>
      <c r="AUR6" s="7">
        <v>-0.67714844409782204</v>
      </c>
      <c r="AUS6" s="7">
        <v>0.46902348809626498</v>
      </c>
      <c r="AUT6" s="7">
        <v>0.118485700063406</v>
      </c>
      <c r="AUU6" s="7">
        <v>-0.102082584815526</v>
      </c>
      <c r="AUV6" s="7">
        <v>-1.64448273629931</v>
      </c>
      <c r="AUW6" s="7">
        <v>-1.3651771259958001</v>
      </c>
      <c r="AUX6" s="7">
        <v>9.6815081730394603E-2</v>
      </c>
      <c r="AUY6" s="7">
        <v>1.0798625817249199</v>
      </c>
      <c r="AUZ6" s="7">
        <v>1.7386543764928799</v>
      </c>
      <c r="AVA6" s="7">
        <v>1.5722130320402702E-2</v>
      </c>
      <c r="AVB6" s="7">
        <v>0.74685839380955599</v>
      </c>
      <c r="AVC6" s="7">
        <v>1.0437156016507401</v>
      </c>
      <c r="AVD6" s="7">
        <v>0.207995545669729</v>
      </c>
      <c r="AVE6" s="7">
        <v>1.52547389841784</v>
      </c>
      <c r="AVF6" s="7">
        <v>0.45509252958794699</v>
      </c>
      <c r="AVG6" s="7">
        <v>-1.33285049115902</v>
      </c>
      <c r="AVH6" s="7">
        <v>-1.26139525035091</v>
      </c>
      <c r="AVI6" s="7">
        <v>0.28023499209646102</v>
      </c>
      <c r="AVJ6" s="7">
        <v>0.73866383879514297</v>
      </c>
      <c r="AVK6" s="7">
        <v>-2.2366322949373401</v>
      </c>
      <c r="AVL6" s="7">
        <v>-0.73306128172448604</v>
      </c>
      <c r="AVM6" s="7">
        <v>-0.45720710495391897</v>
      </c>
      <c r="AVN6" s="7">
        <v>-0.68541064208900404</v>
      </c>
      <c r="AVO6" s="7">
        <v>1.42058112143635</v>
      </c>
      <c r="AVP6" s="7">
        <v>-0.496177123525534</v>
      </c>
      <c r="AVQ6" s="7">
        <v>0.79082711457958998</v>
      </c>
      <c r="AVR6" s="7">
        <v>-0.18412704231263799</v>
      </c>
      <c r="AVS6" s="7">
        <v>-0.316380524214665</v>
      </c>
      <c r="AVT6" s="7">
        <v>-0.81838035295077505</v>
      </c>
      <c r="AVU6" s="7">
        <v>-0.74583742700047195</v>
      </c>
      <c r="AVV6" s="7">
        <v>1.9974256943622699</v>
      </c>
      <c r="AVW6" s="7">
        <v>-0.57093277263922204</v>
      </c>
      <c r="AVX6" s="7">
        <v>-0.78182195179125102</v>
      </c>
      <c r="AVY6" s="7">
        <v>-0.51912889562882503</v>
      </c>
      <c r="AVZ6" s="7">
        <v>0.212489489081471</v>
      </c>
      <c r="AWA6" s="7">
        <v>0.528577075143981</v>
      </c>
      <c r="AWB6" s="7">
        <v>0.20902064044511101</v>
      </c>
      <c r="AWC6" s="7">
        <v>1.6149782553825001</v>
      </c>
      <c r="AWD6" s="7">
        <v>-2.4367289702959698</v>
      </c>
      <c r="AWE6" s="7">
        <v>-0.30397777334649501</v>
      </c>
      <c r="AWF6" s="7">
        <v>1.14950220946288</v>
      </c>
      <c r="AWG6" s="7">
        <v>-1.0070428607344499</v>
      </c>
      <c r="AWH6" s="7">
        <v>0.115312498434386</v>
      </c>
      <c r="AWI6" s="7">
        <v>0.74951636551999001</v>
      </c>
      <c r="AWJ6" s="7">
        <v>5.58016078678003E-2</v>
      </c>
      <c r="AWK6" s="7">
        <v>-0.59899345185409403</v>
      </c>
      <c r="AWL6" s="7">
        <v>-0.144474380563482</v>
      </c>
      <c r="AWM6" s="7">
        <v>0.121713915608251</v>
      </c>
      <c r="AWN6" s="7">
        <v>0.93967776860229202</v>
      </c>
      <c r="AWO6" s="7">
        <v>-1.9202041773646501</v>
      </c>
      <c r="AWP6" s="7">
        <v>-0.69796397049232395</v>
      </c>
      <c r="AWQ6" s="7">
        <v>-0.28835806683767601</v>
      </c>
      <c r="AWR6" s="7">
        <v>-0.20750212663766099</v>
      </c>
      <c r="AWS6" s="7">
        <v>0.901227299672689</v>
      </c>
      <c r="AWT6" s="7">
        <v>1.3271518679567</v>
      </c>
      <c r="AWU6" s="7">
        <v>6.7190228646633807E-2</v>
      </c>
      <c r="AWV6" s="7">
        <v>-1.2418265499591401</v>
      </c>
      <c r="AWW6" s="7">
        <v>-0.233188970173586</v>
      </c>
      <c r="AWX6" s="7">
        <v>-0.50682080791458495</v>
      </c>
      <c r="AWY6" s="7">
        <v>-4.1146986291844802E-2</v>
      </c>
      <c r="AWZ6" s="7">
        <v>-1.0531880181475901</v>
      </c>
      <c r="AXA6" s="7">
        <v>-0.200724849551326</v>
      </c>
      <c r="AXB6" s="7">
        <v>-0.81478839370133105</v>
      </c>
      <c r="AXC6" s="7">
        <v>-0.16143655036278501</v>
      </c>
      <c r="AXD6" s="7">
        <v>-0.24973249416302201</v>
      </c>
      <c r="AXE6" s="7">
        <v>0.34489123449401299</v>
      </c>
      <c r="AXF6" s="7">
        <v>-1.19753902701541</v>
      </c>
      <c r="AXG6" s="7">
        <v>-1.45024445482857</v>
      </c>
      <c r="AXH6" s="7">
        <v>-0.13052354718345599</v>
      </c>
      <c r="AXI6" s="7">
        <v>0.60603999673629005</v>
      </c>
      <c r="AXJ6" s="7">
        <v>-0.27931341700478401</v>
      </c>
      <c r="AXK6" s="7">
        <v>-0.13353155966025301</v>
      </c>
      <c r="AXL6" s="7">
        <v>-1.3868676682399901</v>
      </c>
      <c r="AXM6" s="7">
        <v>-0.117923022924339</v>
      </c>
      <c r="AXN6" s="7">
        <v>-1.4758314165451301</v>
      </c>
      <c r="AXO6" s="7">
        <v>-0.20344697238302201</v>
      </c>
      <c r="AXP6" s="7">
        <v>-0.63259860388534295</v>
      </c>
      <c r="AXQ6" s="7">
        <v>-1.1085963099832301</v>
      </c>
      <c r="AXR6" s="7">
        <v>0.71076499457501796</v>
      </c>
      <c r="AXS6" s="7">
        <v>0.166840607897833</v>
      </c>
      <c r="AXT6" s="7">
        <v>0.54357140108055102</v>
      </c>
      <c r="AXU6" s="7">
        <v>-1.1338401541936101</v>
      </c>
      <c r="AXV6" s="7">
        <v>-1.0688489212857</v>
      </c>
      <c r="AXW6" s="7">
        <v>-0.170910533861627</v>
      </c>
      <c r="AXX6" s="7">
        <v>-0.53511341261265699</v>
      </c>
      <c r="AXY6" s="7">
        <v>1.8387734638534901</v>
      </c>
      <c r="AXZ6" s="7">
        <v>-1.18255395719296</v>
      </c>
      <c r="AYA6" s="7">
        <v>1.9157483847189001</v>
      </c>
      <c r="AYB6" s="7">
        <v>-0.60308947928340595</v>
      </c>
      <c r="AYC6" s="7">
        <v>0.59298963680811001</v>
      </c>
      <c r="AYD6" s="7">
        <v>-1.1769369214471399</v>
      </c>
      <c r="AYE6" s="7">
        <v>0.88944080316602803</v>
      </c>
      <c r="AYF6" s="7">
        <v>-0.49781616909259302</v>
      </c>
      <c r="AYG6" s="7">
        <v>1.6211560236217799</v>
      </c>
      <c r="AYH6" s="7">
        <v>-0.57437007821925001</v>
      </c>
      <c r="AYI6" s="7">
        <v>0.42016856988132001</v>
      </c>
      <c r="AYJ6" s="7">
        <v>-0.21506500885100599</v>
      </c>
      <c r="AYK6" s="7">
        <v>-0.56169494510722995</v>
      </c>
      <c r="AYL6" s="7">
        <v>2.3099868064106999</v>
      </c>
      <c r="AYM6" s="7">
        <v>2.0938657982607798</v>
      </c>
      <c r="AYN6" s="7">
        <v>-1.54966141595497</v>
      </c>
      <c r="AYO6" s="7">
        <v>9.1435338696916293E-2</v>
      </c>
      <c r="AYP6" s="7">
        <v>-2.6287247755385299</v>
      </c>
      <c r="AYQ6" s="7">
        <v>1.47738594399427</v>
      </c>
      <c r="AYR6" s="7">
        <v>-0.46132569115286798</v>
      </c>
      <c r="AYS6" s="7">
        <v>-0.68077444957339595</v>
      </c>
      <c r="AYT6" s="7">
        <v>-0.87970015601137397</v>
      </c>
      <c r="AYU6" s="7">
        <v>0.494680897645013</v>
      </c>
      <c r="AYV6" s="7">
        <v>1.5445751804280801</v>
      </c>
      <c r="AYW6" s="7">
        <v>0.33390992619072701</v>
      </c>
      <c r="AYX6" s="7">
        <v>1.27763184490679</v>
      </c>
      <c r="AYY6" s="7">
        <v>0.22752618448214701</v>
      </c>
      <c r="AYZ6" s="7">
        <v>-8.3800098828350406E-2</v>
      </c>
      <c r="AZA6" s="7">
        <v>0.109494022306906</v>
      </c>
      <c r="AZB6" s="7">
        <v>0.70496918638422501</v>
      </c>
      <c r="AZC6" s="7">
        <v>0.93614115956774202</v>
      </c>
      <c r="AZD6" s="7">
        <v>6.3455357314308403E-2</v>
      </c>
      <c r="AZE6" s="7">
        <v>1.5838426955031699</v>
      </c>
      <c r="AZF6" s="7">
        <v>8.0384114525914995E-3</v>
      </c>
      <c r="AZG6" s="7">
        <v>1.5457876820248999</v>
      </c>
      <c r="AZH6" s="7">
        <v>2.8180937264375001</v>
      </c>
      <c r="AZI6" s="7">
        <v>-0.84267166254551595</v>
      </c>
      <c r="AZJ6" s="7">
        <v>-0.17672560084726099</v>
      </c>
      <c r="AZK6" s="7">
        <v>0.38445909041078702</v>
      </c>
      <c r="AZL6" s="7">
        <v>-0.287765267830768</v>
      </c>
      <c r="AZM6" s="7">
        <v>0.74716819809347901</v>
      </c>
      <c r="AZN6" s="7">
        <v>5.4801442247435397E-2</v>
      </c>
      <c r="AZO6" s="7">
        <v>0.37976291928099798</v>
      </c>
      <c r="AZP6" s="7">
        <v>1.52191897876945</v>
      </c>
      <c r="AZQ6" s="7">
        <v>1.40116787140966</v>
      </c>
      <c r="AZR6" s="7">
        <v>0.839097756803317</v>
      </c>
      <c r="AZS6" s="7">
        <v>1.8530082377767501</v>
      </c>
      <c r="AZT6" s="7">
        <v>6.11867783291416E-2</v>
      </c>
      <c r="AZU6" s="7">
        <v>-0.70026454735733501</v>
      </c>
      <c r="AZV6" s="7">
        <v>2.3868282798206701</v>
      </c>
      <c r="AZW6" s="7">
        <v>0.42868779581201599</v>
      </c>
      <c r="AZX6" s="7">
        <v>-1.2608865137188401</v>
      </c>
      <c r="AZY6" s="7">
        <v>4.7136922335272703E-2</v>
      </c>
      <c r="AZZ6" s="7">
        <v>-1.46462911083589</v>
      </c>
      <c r="BAA6" s="7">
        <v>-0.64698562006776905</v>
      </c>
      <c r="BAB6" s="7">
        <v>0.34072509061557499</v>
      </c>
      <c r="BAC6" s="7">
        <v>0.290993046907638</v>
      </c>
      <c r="BAD6" s="7">
        <v>1.4880965547870799</v>
      </c>
      <c r="BAE6" s="7">
        <v>-0.84571162134108002</v>
      </c>
      <c r="BAF6" s="7">
        <v>1.0330033765656399</v>
      </c>
      <c r="BAG6" s="7">
        <v>-0.67614641442444101</v>
      </c>
      <c r="BAH6" s="7">
        <v>0.89021085910026199</v>
      </c>
      <c r="BAI6" s="7">
        <v>-0.99122069250738598</v>
      </c>
      <c r="BAJ6" s="7">
        <v>0.90369596761820703</v>
      </c>
      <c r="BAK6" s="7">
        <v>-0.42803979425535799</v>
      </c>
      <c r="BAL6" s="7">
        <v>-1.2132372649026399</v>
      </c>
      <c r="BAM6" s="7">
        <v>0.54975683844968803</v>
      </c>
      <c r="BAN6" s="7">
        <v>0.40758252689827401</v>
      </c>
      <c r="BAO6" s="7">
        <v>-0.17175673508351599</v>
      </c>
      <c r="BAP6" s="7">
        <v>4.3402780672420198E-2</v>
      </c>
      <c r="BAQ6" s="7">
        <v>0.26927891113018898</v>
      </c>
      <c r="BAR6" s="7">
        <v>-0.92093951324784895</v>
      </c>
      <c r="BAS6" s="7">
        <v>0.94939693988102902</v>
      </c>
      <c r="BAT6" s="7">
        <v>0.76310206704179395</v>
      </c>
      <c r="BAU6" s="7">
        <v>-1.00667251426402</v>
      </c>
      <c r="BAV6" s="7">
        <v>1.75845783450828</v>
      </c>
      <c r="BAW6" s="7">
        <v>1.6197865311369899</v>
      </c>
      <c r="BAX6" s="7">
        <v>-0.45273169338729802</v>
      </c>
      <c r="BAY6" s="7">
        <v>-6.04553768810559E-2</v>
      </c>
      <c r="BAZ6" s="7">
        <v>1.5643047328705399</v>
      </c>
      <c r="BBA6" s="7">
        <v>-0.71801576205293804</v>
      </c>
      <c r="BBB6" s="7">
        <v>2.1695354365190398</v>
      </c>
      <c r="BBC6" s="7">
        <v>-0.76917281593754505</v>
      </c>
      <c r="BBD6" s="7">
        <v>-0.77209302262919699</v>
      </c>
      <c r="BBE6" s="7">
        <v>-0.249188160580846</v>
      </c>
      <c r="BBF6" s="7">
        <v>-0.41521971931857798</v>
      </c>
      <c r="BBG6" s="7">
        <v>0.37295682324111701</v>
      </c>
      <c r="BBH6" s="7">
        <v>-0.312135935996733</v>
      </c>
      <c r="BBI6" s="7">
        <v>-0.70006420824226201</v>
      </c>
      <c r="BBJ6" s="7">
        <v>-0.95895903927869897</v>
      </c>
      <c r="BBK6" s="7">
        <v>0.45257715092976902</v>
      </c>
      <c r="BBL6" s="7">
        <v>-0.79241820778554395</v>
      </c>
      <c r="BBM6" s="7">
        <v>1.0682070682392799</v>
      </c>
      <c r="BBN6" s="7">
        <v>1.3609086892778299</v>
      </c>
      <c r="BBO6" s="7">
        <v>-0.72257674535696403</v>
      </c>
      <c r="BBP6" s="7">
        <v>-6.18534785694708E-2</v>
      </c>
      <c r="BBQ6" s="7">
        <v>-0.44087538184145297</v>
      </c>
      <c r="BBR6" s="7">
        <v>0.31911983818685602</v>
      </c>
      <c r="BBS6" s="7">
        <v>1.4523845958152699</v>
      </c>
      <c r="BBT6" s="7">
        <v>0.64153474211496597</v>
      </c>
      <c r="BBU6" s="7">
        <v>2.1647021166023102</v>
      </c>
      <c r="BBV6" s="7">
        <v>0.89621827876640603</v>
      </c>
      <c r="BBW6" s="7">
        <v>-0.98652722030894002</v>
      </c>
      <c r="BBX6" s="7">
        <v>-0.68544841733943995</v>
      </c>
      <c r="BBY6" s="7">
        <v>0.99349961007643295</v>
      </c>
      <c r="BBZ6" s="7">
        <v>-7.4924322170233495E-2</v>
      </c>
      <c r="BCA6" s="7">
        <v>-1.14193256074792</v>
      </c>
      <c r="BCB6" s="7">
        <v>1.0800953553552599</v>
      </c>
      <c r="BCC6" s="7">
        <v>-0.39297998040028598</v>
      </c>
      <c r="BCD6" s="7">
        <v>-1.5252364148142401</v>
      </c>
      <c r="BCE6" s="7">
        <v>0.196453681504905</v>
      </c>
      <c r="BCF6" s="7">
        <v>0.34664130657606501</v>
      </c>
      <c r="BCG6" s="7">
        <v>-2.1941595655457999</v>
      </c>
      <c r="BCH6" s="7">
        <v>-0.64416811903765003</v>
      </c>
      <c r="BCI6" s="7">
        <v>-1.1676800660507201</v>
      </c>
      <c r="BCJ6" s="7">
        <v>-1.28348248983993</v>
      </c>
      <c r="BCK6" s="7">
        <v>1.2157433721505599</v>
      </c>
      <c r="BCL6" s="7">
        <v>1.0563155447394399</v>
      </c>
      <c r="BCM6" s="7">
        <v>0.39526780264523598</v>
      </c>
      <c r="BCN6" s="7">
        <v>0.46761752540447798</v>
      </c>
      <c r="BCO6" s="7">
        <v>-0.75912120485571999</v>
      </c>
      <c r="BCP6" s="7">
        <v>0.95334625671669604</v>
      </c>
      <c r="BCQ6" s="7">
        <v>0.421453486066723</v>
      </c>
      <c r="BCR6" s="7">
        <v>1.19725027154945</v>
      </c>
      <c r="BCS6" s="7">
        <v>0.31891660726423099</v>
      </c>
      <c r="BCT6" s="7">
        <v>1.4645988044940399</v>
      </c>
      <c r="BCU6" s="7">
        <v>-0.72017288720038997</v>
      </c>
      <c r="BCV6" s="7">
        <v>-1.0777340330773399</v>
      </c>
      <c r="BCW6" s="7">
        <v>1.16632976527137E-2</v>
      </c>
      <c r="BCX6" s="7">
        <v>-1.58204200501466</v>
      </c>
      <c r="BCY6" s="7">
        <v>0.32007016285615902</v>
      </c>
      <c r="BCZ6" s="7">
        <v>0.84047039650450195</v>
      </c>
      <c r="BDA6" s="7">
        <v>-1.62326374277868</v>
      </c>
      <c r="BDB6" s="7">
        <v>0.22993495282514501</v>
      </c>
      <c r="BDC6" s="7">
        <v>0.55969244209364399</v>
      </c>
      <c r="BDD6" s="7">
        <v>1.5847178880422399</v>
      </c>
      <c r="BDE6" s="7">
        <v>0.44120847721793</v>
      </c>
      <c r="BDF6" s="7">
        <v>1.09155147962351</v>
      </c>
      <c r="BDG6" s="7">
        <v>0.26987833386381199</v>
      </c>
      <c r="BDH6" s="7">
        <v>-0.23865782854678599</v>
      </c>
      <c r="BDI6" s="7">
        <v>-0.53690527351809603</v>
      </c>
      <c r="BDJ6" s="7">
        <v>0.62665279099725901</v>
      </c>
      <c r="BDK6" s="7">
        <v>-0.30858066176626803</v>
      </c>
      <c r="BDL6" s="7">
        <v>0.120696907935214</v>
      </c>
      <c r="BDM6" s="7">
        <v>-1.6787712723746899</v>
      </c>
      <c r="BDN6" s="7">
        <v>1.8305676856373201</v>
      </c>
      <c r="BDO6" s="7">
        <v>1.9767744864753502E-2</v>
      </c>
      <c r="BDP6" s="7">
        <v>2.2427610490257202</v>
      </c>
      <c r="BDQ6" s="7">
        <v>0.58390525759088696</v>
      </c>
      <c r="BDR6" s="7">
        <v>-0.72172288592385003</v>
      </c>
      <c r="BDS6" s="7">
        <v>0.71709590167342696</v>
      </c>
      <c r="BDT6" s="7">
        <v>-0.46658986651154499</v>
      </c>
      <c r="BDU6" s="7">
        <v>-0.200391116242252</v>
      </c>
      <c r="BDV6" s="7">
        <v>0.748233809591201</v>
      </c>
      <c r="BDW6" s="7">
        <v>0.82409626424515503</v>
      </c>
      <c r="BDX6" s="7">
        <v>-0.67035007461587504</v>
      </c>
      <c r="BDY6" s="7">
        <v>-3.5165372491305899E-2</v>
      </c>
      <c r="BDZ6" s="7">
        <v>0.45891237289820602</v>
      </c>
      <c r="BEA6" s="7">
        <v>1.6337202895115099</v>
      </c>
      <c r="BEB6" s="7">
        <v>-0.25907749586225298</v>
      </c>
      <c r="BEC6" s="7">
        <v>-1.4995612022721001</v>
      </c>
      <c r="BED6" s="7">
        <v>-0.50032909319993801</v>
      </c>
      <c r="BEE6" s="7">
        <v>0.617955180754577</v>
      </c>
      <c r="BEF6" s="7">
        <v>-0.546802988548721</v>
      </c>
      <c r="BEG6" s="7">
        <v>0.31448084445275798</v>
      </c>
      <c r="BEH6" s="7">
        <v>-0.74949602488312395</v>
      </c>
      <c r="BEI6" s="7">
        <v>0.107610376130121</v>
      </c>
      <c r="BEJ6" s="7">
        <v>0.16912599273509099</v>
      </c>
      <c r="BEK6" s="7">
        <v>-1.0210569950610799</v>
      </c>
      <c r="BEL6" s="7">
        <v>-0.10294156021365999</v>
      </c>
      <c r="BEM6" s="7">
        <v>-1.09205855557104</v>
      </c>
      <c r="BEN6" s="7">
        <v>-0.93816714379892097</v>
      </c>
      <c r="BEO6" s="7">
        <v>-0.50765141323785301</v>
      </c>
      <c r="BEP6" s="7">
        <v>-0.28559335985325701</v>
      </c>
      <c r="BEQ6" s="7">
        <v>0.65756939497427502</v>
      </c>
      <c r="BER6" s="7">
        <v>-0.42935054994796601</v>
      </c>
      <c r="BES6" s="7">
        <v>0.52531862754926495</v>
      </c>
      <c r="BET6" s="7">
        <v>-2.0380687025423398</v>
      </c>
      <c r="BEU6" s="7">
        <v>-4.6224809104606301E-2</v>
      </c>
      <c r="BEV6" s="7">
        <v>0.70271966072583703</v>
      </c>
      <c r="BEW6" s="7">
        <v>-0.46882371465073602</v>
      </c>
      <c r="BEX6" s="7">
        <v>-1.7742764493807499</v>
      </c>
      <c r="BEY6" s="7">
        <v>-0.72202600378641602</v>
      </c>
      <c r="BEZ6" s="7">
        <v>0.61929471477012998</v>
      </c>
      <c r="BFA6" s="7">
        <v>0.155249096574469</v>
      </c>
      <c r="BFB6" s="7">
        <v>-0.314028576188353</v>
      </c>
      <c r="BFC6" s="7">
        <v>-0.373917903333919</v>
      </c>
      <c r="BFD6" s="7">
        <v>0.81072842302380299</v>
      </c>
      <c r="BFE6" s="7">
        <v>-0.87883455050415304</v>
      </c>
      <c r="BFF6" s="7">
        <v>-0.77962253858893804</v>
      </c>
      <c r="BFG6" s="7">
        <v>0.97914418737467601</v>
      </c>
      <c r="BFH6" s="7">
        <v>2.9048503966937001E-3</v>
      </c>
      <c r="BFI6" s="7">
        <v>-0.11336302822203199</v>
      </c>
      <c r="BFJ6" s="7">
        <v>-1.74950992578083</v>
      </c>
      <c r="BFK6" s="7">
        <v>-0.27719135507144599</v>
      </c>
      <c r="BFL6" s="7">
        <v>-0.24587325892985801</v>
      </c>
      <c r="BFM6" s="7">
        <v>-2.5458348630126401E-2</v>
      </c>
      <c r="BFN6" s="7">
        <v>1.44045899389618</v>
      </c>
      <c r="BFO6" s="7">
        <v>-0.36359777387703401</v>
      </c>
      <c r="BFP6" s="7">
        <v>1.41680911088927</v>
      </c>
      <c r="BFQ6" s="7">
        <v>-2.3322518850979099</v>
      </c>
      <c r="BFR6" s="7">
        <v>-0.39384462471305198</v>
      </c>
      <c r="BFS6" s="7">
        <v>-1.4766895273959499</v>
      </c>
      <c r="BFT6" s="7">
        <v>-0.87349483456744703</v>
      </c>
      <c r="BFU6" s="7">
        <v>0.69082690141504099</v>
      </c>
      <c r="BFV6" s="7">
        <v>-1.2188756394142799</v>
      </c>
      <c r="BFW6" s="7">
        <v>-0.342854057242518</v>
      </c>
      <c r="BFX6" s="7">
        <v>-1.2940893696464399</v>
      </c>
      <c r="BFY6" s="7">
        <v>-1.83735263273228</v>
      </c>
      <c r="BFZ6" s="7">
        <v>0.93112578412451596</v>
      </c>
      <c r="BGA6" s="7">
        <v>1.54157169314069</v>
      </c>
      <c r="BGB6" s="7">
        <v>-1.12663640299997</v>
      </c>
      <c r="BGC6" s="7">
        <v>0.88964083255068604</v>
      </c>
      <c r="BGD6" s="7">
        <v>1.6257383706254001</v>
      </c>
      <c r="BGE6" s="7">
        <v>-1.3455623065693401</v>
      </c>
      <c r="BGF6" s="7">
        <v>-1.4960791818671699E-2</v>
      </c>
      <c r="BGG6" s="7">
        <v>1.4186881373521001</v>
      </c>
      <c r="BGH6" s="7">
        <v>1.13555238655066</v>
      </c>
      <c r="BGI6" s="7">
        <v>0.53001362309932598</v>
      </c>
      <c r="BGJ6" s="7">
        <v>0.28657725563344599</v>
      </c>
      <c r="BGK6" s="7">
        <v>0.22361591469245001</v>
      </c>
      <c r="BGL6" s="7">
        <v>0.27100338421120002</v>
      </c>
      <c r="BGM6" s="7">
        <v>-0.231645170037831</v>
      </c>
      <c r="BGN6" s="7">
        <v>0.206413607723059</v>
      </c>
      <c r="BGO6" s="7">
        <v>8.6366967581946605E-2</v>
      </c>
      <c r="BGP6" s="7">
        <v>-1.9465087956621101E-2</v>
      </c>
      <c r="BGQ6" s="7">
        <v>0.72271173258552102</v>
      </c>
      <c r="BGR6" s="7">
        <v>0.42275509675517398</v>
      </c>
      <c r="BGS6" s="7">
        <v>-0.36104932199803702</v>
      </c>
      <c r="BGT6" s="7">
        <v>-0.67187848205018996</v>
      </c>
      <c r="BGU6" s="7">
        <v>0.96458107076394295</v>
      </c>
      <c r="BGV6" s="7">
        <v>0.201519063020352</v>
      </c>
      <c r="BGW6" s="7">
        <v>-2.86617134528655E-2</v>
      </c>
      <c r="BGX6" s="7">
        <v>-0.56165511942514401</v>
      </c>
      <c r="BGY6" s="7">
        <v>1.56262286374374</v>
      </c>
      <c r="BGZ6" s="7">
        <v>-0.32537791157635898</v>
      </c>
      <c r="BHA6" s="7">
        <v>-0.64202264096584305</v>
      </c>
      <c r="BHB6" s="7">
        <v>0.50358283636229295</v>
      </c>
      <c r="BHC6" s="7">
        <v>1.27454135861645</v>
      </c>
      <c r="BHD6" s="7">
        <v>-0.30260090606673101</v>
      </c>
      <c r="BHE6" s="7">
        <v>0.72075290966404204</v>
      </c>
      <c r="BHF6" s="7">
        <v>0.72822131367953902</v>
      </c>
      <c r="BHG6" s="7">
        <v>1.34856886602989</v>
      </c>
      <c r="BHH6" s="7">
        <v>-0.52241865841393198</v>
      </c>
      <c r="BHI6" s="7">
        <v>1.0307193879688299</v>
      </c>
      <c r="BHJ6" s="7">
        <v>-0.611151113331869</v>
      </c>
      <c r="BHK6" s="7">
        <v>1.12690113808591</v>
      </c>
      <c r="BHL6" s="7">
        <v>-2.2486201267618098</v>
      </c>
      <c r="BHM6" s="7">
        <v>-5.8640789330167101E-2</v>
      </c>
      <c r="BHN6" s="7">
        <v>8.7705824969149707E-2</v>
      </c>
      <c r="BHO6" s="7">
        <v>-3.3736314490443302</v>
      </c>
      <c r="BHP6" s="7">
        <v>-1.25096901248662</v>
      </c>
      <c r="BHQ6" s="7">
        <v>-1.8780421195482599</v>
      </c>
      <c r="BHR6" s="7">
        <v>1.0457492447082499</v>
      </c>
      <c r="BHS6" s="7">
        <v>-1.4375438898964501</v>
      </c>
      <c r="BHT6" s="7">
        <v>-1.4178151690699401</v>
      </c>
      <c r="BHU6" s="7">
        <v>-1.2941247678516099</v>
      </c>
      <c r="BHV6" s="7">
        <v>-0.44727031308752402</v>
      </c>
      <c r="BHW6" s="7">
        <v>-0.24310922633725299</v>
      </c>
      <c r="BHX6" s="7">
        <v>0.432442774602597</v>
      </c>
      <c r="BHY6" s="7">
        <v>-0.22909878336073999</v>
      </c>
      <c r="BHZ6" s="7">
        <v>-1.8353038881507699</v>
      </c>
      <c r="BIA6" s="7">
        <v>-0.10541475396911899</v>
      </c>
      <c r="BIB6" s="7">
        <v>0.83391835013638604</v>
      </c>
      <c r="BIC6" s="7">
        <v>-0.70290113236928398</v>
      </c>
      <c r="BID6" s="7">
        <v>-0.18207134837702699</v>
      </c>
      <c r="BIE6" s="7">
        <v>-1.70428934991227</v>
      </c>
      <c r="BIF6" s="7">
        <v>-0.71513688051983304</v>
      </c>
      <c r="BIG6" s="7">
        <v>1.0633581671214101</v>
      </c>
      <c r="BIH6" s="7">
        <v>-1.33447886811628</v>
      </c>
      <c r="BII6" s="7">
        <v>-8.8866164407147397E-2</v>
      </c>
      <c r="BIJ6" s="7">
        <v>-0.25096582739990902</v>
      </c>
      <c r="BIK6" s="7">
        <v>-0.90747592142835798</v>
      </c>
      <c r="BIL6" s="7">
        <v>2.0126198717966002</v>
      </c>
      <c r="BIM6" s="7">
        <v>0.74615950863829905</v>
      </c>
      <c r="BIN6" s="7">
        <v>0.91600349783367396</v>
      </c>
      <c r="BIO6" s="7">
        <v>-8.78494791496367E-2</v>
      </c>
      <c r="BIP6" s="7">
        <v>0.57263313038465502</v>
      </c>
      <c r="BIQ6" s="7">
        <v>1.5772360047633601E-2</v>
      </c>
      <c r="BIR6" s="7">
        <v>-4.9985988724727997E-3</v>
      </c>
      <c r="BIS6" s="7">
        <v>9.8737496441478195E-2</v>
      </c>
      <c r="BIT6" s="7">
        <v>0.21793178398166799</v>
      </c>
      <c r="BIU6" s="7">
        <v>0.58240555630243696</v>
      </c>
      <c r="BIV6" s="7">
        <v>2.0325378678558299</v>
      </c>
      <c r="BIW6" s="7">
        <v>-0.62515838448688499</v>
      </c>
      <c r="BIX6" s="7">
        <v>6.3600865885050803E-2</v>
      </c>
      <c r="BIY6" s="7">
        <v>-0.27642728012005702</v>
      </c>
      <c r="BIZ6" s="7">
        <v>2.2212140124611799</v>
      </c>
      <c r="BJA6" s="7">
        <v>0.66691588959859904</v>
      </c>
      <c r="BJB6" s="7">
        <v>-5.5850841566875302E-2</v>
      </c>
      <c r="BJC6" s="7">
        <v>-0.33986006920713202</v>
      </c>
      <c r="BJD6" s="7">
        <v>-0.551512623796521</v>
      </c>
      <c r="BJE6" s="7">
        <v>1.7500461076664999</v>
      </c>
      <c r="BJF6" s="7">
        <v>0.14054141390123701</v>
      </c>
      <c r="BJG6" s="7">
        <v>-1.3150961413787401</v>
      </c>
      <c r="BJH6" s="7">
        <v>-8.1854432487165202E-2</v>
      </c>
      <c r="BJI6" s="7">
        <v>0.96248766013670395</v>
      </c>
      <c r="BJJ6" s="7">
        <v>-0.51056797821364397</v>
      </c>
      <c r="BJK6" s="7">
        <v>-0.36140854757786001</v>
      </c>
      <c r="BJL6" s="7">
        <v>0.23324263794240499</v>
      </c>
      <c r="BJM6" s="7">
        <v>-0.86349322911766802</v>
      </c>
      <c r="BJN6" s="7">
        <v>0.80190016933625696</v>
      </c>
      <c r="BJO6" s="7">
        <v>-3.8298944576446101E-2</v>
      </c>
      <c r="BJP6" s="7">
        <v>0.36758460265217502</v>
      </c>
      <c r="BJQ6" s="7">
        <v>-0.81427666623583295</v>
      </c>
      <c r="BJR6" s="7">
        <v>-1.0295991779418701</v>
      </c>
      <c r="BJS6" s="7">
        <v>0.94652181494697696</v>
      </c>
      <c r="BJT6" s="7">
        <v>1.59769750676266</v>
      </c>
      <c r="BJU6" s="7">
        <v>1.7266656684116</v>
      </c>
      <c r="BJV6" s="7">
        <v>-0.30821892397762501</v>
      </c>
      <c r="BJW6" s="7">
        <v>-1.0083538267064101</v>
      </c>
      <c r="BJX6" s="7">
        <v>0.29212818347012098</v>
      </c>
      <c r="BJY6" s="7">
        <v>-0.26851139658198903</v>
      </c>
      <c r="BJZ6" s="7">
        <v>-1.2404214522392101</v>
      </c>
      <c r="BKA6" s="7">
        <v>-0.674846607211668</v>
      </c>
      <c r="BKB6" s="7">
        <v>-1.22408284139222</v>
      </c>
      <c r="BKC6" s="7">
        <v>0.34825374474677001</v>
      </c>
      <c r="BKD6" s="7">
        <v>1.0037656806830599</v>
      </c>
      <c r="BKE6" s="7">
        <v>0.81629017900102896</v>
      </c>
      <c r="BKF6" s="7">
        <v>0.30074220549341202</v>
      </c>
      <c r="BKG6" s="7">
        <v>-0.17854920212920999</v>
      </c>
      <c r="BKH6" s="7">
        <v>-0.66080765868782698</v>
      </c>
      <c r="BKI6" s="7">
        <v>1.1470734661036399</v>
      </c>
      <c r="BKJ6" s="7">
        <v>-0.59262266529863405</v>
      </c>
      <c r="BKK6" s="7">
        <v>0.87627258615194004</v>
      </c>
      <c r="BKL6" s="7">
        <v>-0.54922253508604402</v>
      </c>
      <c r="BKM6" s="7">
        <v>0.13304624543795801</v>
      </c>
      <c r="BKN6" s="7">
        <v>0.59967880673937901</v>
      </c>
      <c r="BKO6" s="7">
        <v>-0.96589594135440204</v>
      </c>
      <c r="BKP6" s="7">
        <v>-0.26320632016969903</v>
      </c>
      <c r="BKQ6" s="7">
        <v>-0.47921725837234602</v>
      </c>
      <c r="BKR6" s="7">
        <v>-0.10306747397640501</v>
      </c>
      <c r="BKS6" s="7">
        <v>1.5695688923892701</v>
      </c>
      <c r="BKT6" s="7">
        <v>-5.5987038672288998E-2</v>
      </c>
      <c r="BKU6" s="7">
        <v>1.08692371111595</v>
      </c>
      <c r="BKV6" s="7">
        <v>-0.62851533523916003</v>
      </c>
      <c r="BKW6" s="7">
        <v>1.21018338223403</v>
      </c>
      <c r="BKX6" s="7">
        <v>7.1686272275003696E-2</v>
      </c>
      <c r="BKY6" s="7">
        <v>-1.10702267295233</v>
      </c>
      <c r="BKZ6" s="7">
        <v>-1.3953694108911301</v>
      </c>
      <c r="BLA6" s="7">
        <v>-0.46754364966847201</v>
      </c>
      <c r="BLB6" s="7">
        <v>-0.658169892541423</v>
      </c>
      <c r="BLC6" s="7">
        <v>1.6907948377300701</v>
      </c>
      <c r="BLD6" s="7">
        <v>0.57785538968325001</v>
      </c>
      <c r="BLE6" s="7">
        <v>-0.69772835065702898</v>
      </c>
      <c r="BLF6" s="7">
        <v>-0.65216627880550304</v>
      </c>
      <c r="BLG6" s="7">
        <v>-1.66212401064215</v>
      </c>
      <c r="BLH6" s="7">
        <v>-0.17606803880584601</v>
      </c>
      <c r="BLI6" s="7">
        <v>1.1494124583536001</v>
      </c>
      <c r="BLJ6" s="7">
        <v>-0.98505029159495505</v>
      </c>
      <c r="BLK6" s="7">
        <v>0.50671091846400396</v>
      </c>
      <c r="BLL6" s="7">
        <v>-1.0748681793068999</v>
      </c>
      <c r="BLM6" s="7">
        <v>-0.52658160221782302</v>
      </c>
      <c r="BLN6" s="7">
        <v>-0.491222643440267</v>
      </c>
      <c r="BLO6" s="7">
        <v>-0.43427389633982899</v>
      </c>
      <c r="BLP6" s="7">
        <v>2.3437408533436201</v>
      </c>
      <c r="BLQ6" s="7">
        <v>-3.4155918716342902E-2</v>
      </c>
      <c r="BLR6" s="7">
        <v>0.95014285790554598</v>
      </c>
      <c r="BLS6" s="7">
        <v>-0.90608377107726801</v>
      </c>
      <c r="BLT6" s="7">
        <v>1.2794356289645701</v>
      </c>
      <c r="BLU6" s="7">
        <v>1.8416016738242301E-2</v>
      </c>
      <c r="BLV6" s="7">
        <v>-0.88923475721933198</v>
      </c>
      <c r="BLW6" s="7">
        <v>-0.190844025915368</v>
      </c>
      <c r="BLX6" s="7">
        <v>7.9422762787103904E-2</v>
      </c>
      <c r="BLY6" s="7">
        <v>-0.90516131068808703</v>
      </c>
      <c r="BLZ6" s="7">
        <v>0.230216154542839</v>
      </c>
      <c r="BMA6" s="7">
        <v>-1.45451044751234</v>
      </c>
      <c r="BMB6" s="7">
        <v>1.40630298028803</v>
      </c>
      <c r="BMC6" s="7">
        <v>2.0524696780585301</v>
      </c>
      <c r="BMD6" s="7">
        <v>-0.13236358941488599</v>
      </c>
      <c r="BME6" s="7">
        <v>-1.6271450414400299</v>
      </c>
      <c r="BMF6" s="7">
        <v>0.229330755415982</v>
      </c>
      <c r="BMG6" s="7">
        <v>2.0905585991577502</v>
      </c>
      <c r="BMH6" s="7">
        <v>-0.269842522168243</v>
      </c>
      <c r="BMI6" s="7">
        <v>-2.7520312844790899E-2</v>
      </c>
      <c r="BMJ6" s="7">
        <v>-6.4713614016551999E-2</v>
      </c>
      <c r="BMK6" s="7">
        <v>1.4533626686832299</v>
      </c>
      <c r="BML6" s="7">
        <v>0.24797984781016499</v>
      </c>
      <c r="BMM6" s="7">
        <v>6.6923437991451996E-3</v>
      </c>
      <c r="BMN6" s="7">
        <v>1.13731913737642</v>
      </c>
      <c r="BMO6" s="7">
        <v>0.261183503644215</v>
      </c>
      <c r="BMP6" s="7">
        <v>0.51489944409356003</v>
      </c>
      <c r="BMQ6" s="7">
        <v>1.33526296126188</v>
      </c>
      <c r="BMR6" s="7">
        <v>-0.44242785443008698</v>
      </c>
      <c r="BMS6" s="7">
        <v>-0.90105001721590905</v>
      </c>
      <c r="BMT6" s="7">
        <v>0.20465543136936801</v>
      </c>
      <c r="BMU6" s="7">
        <v>0.76307915214354904</v>
      </c>
      <c r="BMV6" s="7">
        <v>1.4366311892594801</v>
      </c>
      <c r="BMW6" s="7">
        <v>-0.33348489044757001</v>
      </c>
      <c r="BMX6" s="7">
        <v>-1.2307109472808</v>
      </c>
      <c r="BMY6" s="7">
        <v>1.0964947436064501</v>
      </c>
      <c r="BMZ6" s="7">
        <v>1.1210349874595</v>
      </c>
      <c r="BNA6" s="7">
        <v>5.52836098931829E-2</v>
      </c>
      <c r="BNB6" s="7">
        <v>-0.96835124928322702</v>
      </c>
      <c r="BNC6" s="7">
        <v>-1.8445163432062602E-2</v>
      </c>
      <c r="BND6" s="7">
        <v>1.32063175732299</v>
      </c>
      <c r="BNE6" s="7">
        <v>1.6395534788867101</v>
      </c>
      <c r="BNF6" s="7">
        <v>0.96400849121903298</v>
      </c>
      <c r="BNG6" s="7">
        <v>1.22648396488825</v>
      </c>
      <c r="BNH6" s="7">
        <v>1.2291126984388501</v>
      </c>
      <c r="BNI6" s="7">
        <v>-0.74784156832285897</v>
      </c>
      <c r="BNJ6" s="7">
        <v>0.50649265852401704</v>
      </c>
      <c r="BNK6" s="7">
        <v>-5.82464362805383E-2</v>
      </c>
      <c r="BNL6" s="7">
        <v>-1.7019135221067401</v>
      </c>
      <c r="BNM6" s="7">
        <v>1.4120838932885</v>
      </c>
      <c r="BNN6" s="7">
        <v>1.2106527621394501</v>
      </c>
      <c r="BNO6" s="7">
        <v>-6.3965063099453198E-2</v>
      </c>
      <c r="BNP6" s="7">
        <v>-0.42564070742313598</v>
      </c>
      <c r="BNQ6" s="7">
        <v>-0.50417372704272501</v>
      </c>
      <c r="BNR6" s="7">
        <v>0.55386856373933901</v>
      </c>
      <c r="BNS6" s="7">
        <v>1.0043286044926001</v>
      </c>
      <c r="BNT6" s="7">
        <v>2.0615768705569699E-2</v>
      </c>
      <c r="BNU6" s="7">
        <v>-1.08811918561982</v>
      </c>
      <c r="BNV6" s="7">
        <v>0.75405722857231905</v>
      </c>
      <c r="BNW6" s="7">
        <v>-0.12514440369965599</v>
      </c>
      <c r="BNX6" s="7">
        <v>-0.27745049337668298</v>
      </c>
      <c r="BNY6" s="7">
        <v>0.39247861830425201</v>
      </c>
      <c r="BNZ6" s="7">
        <v>2.1178447016372099</v>
      </c>
      <c r="BOA6" s="7">
        <v>1.3798007322486501</v>
      </c>
      <c r="BOB6" s="7">
        <v>-0.399297888421207</v>
      </c>
      <c r="BOC6" s="7">
        <v>1.5962063649448599</v>
      </c>
      <c r="BOD6" s="7">
        <v>6.2471579186792803E-2</v>
      </c>
      <c r="BOE6" s="7">
        <v>1.0671382530790701</v>
      </c>
      <c r="BOF6" s="7">
        <v>-0.89432377388864603</v>
      </c>
      <c r="BOG6" s="7">
        <v>-1.1841008033933</v>
      </c>
      <c r="BOH6" s="7">
        <v>-2.04710402354856</v>
      </c>
      <c r="BOI6" s="7">
        <v>9.2939073527021895E-2</v>
      </c>
      <c r="BOJ6" s="7">
        <v>2.1292335593110501</v>
      </c>
      <c r="BOK6" s="7">
        <v>0.77429225647473898</v>
      </c>
      <c r="BOL6" s="7">
        <v>-1.54255934429427</v>
      </c>
      <c r="BOM6" s="7">
        <v>-0.68128976561217403</v>
      </c>
      <c r="BON6" s="7">
        <v>0.365952244478774</v>
      </c>
      <c r="BOO6" s="7">
        <v>-0.327886514806083</v>
      </c>
      <c r="BOP6" s="7">
        <v>-0.54466485993991898</v>
      </c>
      <c r="BOQ6" s="7">
        <v>-1.6166582560350999</v>
      </c>
      <c r="BOR6" s="7">
        <v>2.7936214895223799</v>
      </c>
      <c r="BOS6" s="7">
        <v>-0.26817478530216199</v>
      </c>
      <c r="BOT6" s="7">
        <v>-0.85283110021023301</v>
      </c>
      <c r="BOU6" s="7">
        <v>0.28134418253494098</v>
      </c>
      <c r="BOV6" s="7">
        <v>-0.97591184370772699</v>
      </c>
      <c r="BOW6" s="7">
        <v>1.14676856544934</v>
      </c>
      <c r="BOX6" s="7">
        <v>-1.2099614795032301</v>
      </c>
      <c r="BOY6" s="7">
        <v>0.41224141443106799</v>
      </c>
      <c r="BOZ6" s="7">
        <v>-0.33801198898950902</v>
      </c>
      <c r="BPA6" s="7">
        <v>-0.87876902137232704</v>
      </c>
      <c r="BPB6" s="7">
        <v>-0.16428321233850399</v>
      </c>
      <c r="BPC6" s="7">
        <v>3.8601861349016803E-2</v>
      </c>
      <c r="BPD6" s="7">
        <v>-0.71693595046550995</v>
      </c>
      <c r="BPE6" s="7">
        <v>-0.29930608551582</v>
      </c>
      <c r="BPF6" s="7">
        <v>1.81580968106239</v>
      </c>
      <c r="BPG6" s="7">
        <v>-0.20296293005989199</v>
      </c>
      <c r="BPH6" s="7">
        <v>-0.64652869585653905</v>
      </c>
      <c r="BPI6" s="7">
        <v>-0.76079730296332304</v>
      </c>
      <c r="BPJ6" s="7">
        <v>-0.26349311633719602</v>
      </c>
      <c r="BPK6" s="7">
        <v>0.57772672790957103</v>
      </c>
      <c r="BPL6" s="7">
        <v>0.89430612259507403</v>
      </c>
      <c r="BPM6" s="7">
        <v>0.86794555441587495</v>
      </c>
      <c r="BPN6" s="7">
        <v>-0.92655927706791397</v>
      </c>
      <c r="BPO6" s="7">
        <v>0.76984484224149596</v>
      </c>
      <c r="BPP6" s="7">
        <v>-1.81315561828267</v>
      </c>
      <c r="BPQ6" s="7">
        <v>0.41957838539881998</v>
      </c>
      <c r="BPR6" s="7">
        <v>0.72886320037436902</v>
      </c>
      <c r="BPS6" s="7">
        <v>0.53362460623531605</v>
      </c>
      <c r="BPT6" s="7">
        <v>0.79426736266556497</v>
      </c>
      <c r="BPU6" s="7">
        <v>-0.93287361234993704</v>
      </c>
      <c r="BPV6" s="7">
        <v>-0.82485573097137999</v>
      </c>
      <c r="BPW6" s="7">
        <v>0.40287375460135</v>
      </c>
      <c r="BPX6" s="7">
        <v>0.33286663383435899</v>
      </c>
      <c r="BPY6" s="7">
        <v>0.971575665064495</v>
      </c>
      <c r="BPZ6" s="7">
        <v>-1.1815910669921399</v>
      </c>
      <c r="BQA6" s="7">
        <v>-1.44631747791063</v>
      </c>
      <c r="BQB6" s="7">
        <v>0.55156630999785705</v>
      </c>
      <c r="BQC6" s="7">
        <v>-1.47046791154207</v>
      </c>
      <c r="BQD6" s="7">
        <v>2.5396283039633598</v>
      </c>
      <c r="BQE6" s="7">
        <v>1.2228180902307699</v>
      </c>
      <c r="BQF6" s="7">
        <v>0.25105073238991199</v>
      </c>
      <c r="BQG6" s="7">
        <v>-2.37392894486814</v>
      </c>
      <c r="BQH6" s="7">
        <v>0.75328912515998403</v>
      </c>
    </row>
    <row r="7" spans="1:1802" x14ac:dyDescent="0.2">
      <c r="A7" s="7">
        <v>5</v>
      </c>
      <c r="B7" s="7">
        <v>0.50036082094896395</v>
      </c>
      <c r="C7" s="7">
        <v>-1.1081548760667901</v>
      </c>
      <c r="D7" s="7">
        <v>-0.36322198598464001</v>
      </c>
      <c r="E7" s="7">
        <v>-1.4272460877212301</v>
      </c>
      <c r="F7" s="7">
        <v>1.7255424108334501</v>
      </c>
      <c r="G7" s="7">
        <v>-0.70429141041932997</v>
      </c>
      <c r="H7" s="7">
        <v>-0.57721179175770398</v>
      </c>
      <c r="I7" s="7">
        <v>-1.1592859258779999</v>
      </c>
      <c r="J7" s="7">
        <v>-0.37541880548054601</v>
      </c>
      <c r="K7" s="7">
        <v>1.9669650178106901E-2</v>
      </c>
      <c r="L7" s="7">
        <v>-0.19886963747351899</v>
      </c>
      <c r="M7" s="7">
        <v>-0.64874298301829803</v>
      </c>
      <c r="N7" s="7">
        <v>1.74846675497403</v>
      </c>
      <c r="O7" s="7">
        <v>-0.627013970851795</v>
      </c>
      <c r="P7" s="7">
        <v>-7.6134102662424194E-2</v>
      </c>
      <c r="Q7" s="7">
        <v>-1.23559396404748</v>
      </c>
      <c r="R7" s="7">
        <v>0.489809626890296</v>
      </c>
      <c r="S7" s="7">
        <v>-0.81506864185363603</v>
      </c>
      <c r="T7" s="7">
        <v>-0.35351749755786999</v>
      </c>
      <c r="U7" s="7">
        <v>-1.2569841763958101</v>
      </c>
      <c r="V7" s="7">
        <v>1.94367590958026</v>
      </c>
      <c r="W7" s="7">
        <v>1.90568148442511</v>
      </c>
      <c r="X7" s="7">
        <v>0.61278893959458802</v>
      </c>
      <c r="Y7" s="7">
        <v>0.56033132150192499</v>
      </c>
      <c r="Z7" s="7">
        <v>1.3018498609122899</v>
      </c>
      <c r="AA7" s="7">
        <v>-0.76167919491945102</v>
      </c>
      <c r="AB7" s="7">
        <v>-0.137519990215869</v>
      </c>
      <c r="AC7" s="7">
        <v>-0.78283200783929496</v>
      </c>
      <c r="AD7" s="7">
        <v>-0.62500442358681296</v>
      </c>
      <c r="AE7" s="7">
        <v>0.83852743035795396</v>
      </c>
      <c r="AF7" s="7">
        <v>1.79397768942768</v>
      </c>
      <c r="AG7" s="7">
        <v>0.323210848583174</v>
      </c>
      <c r="AH7" s="7">
        <v>-0.91184763996381601</v>
      </c>
      <c r="AI7" s="7">
        <v>-0.294300373026951</v>
      </c>
      <c r="AJ7" s="7">
        <v>1.2021254456374899</v>
      </c>
      <c r="AK7" s="7">
        <v>-0.28011426750728302</v>
      </c>
      <c r="AL7" s="7">
        <v>-1.1676962195748</v>
      </c>
      <c r="AM7" s="7">
        <v>2.2620763198529699</v>
      </c>
      <c r="AN7" s="7">
        <v>1.9178403955443399</v>
      </c>
      <c r="AO7" s="7">
        <v>-0.43814201535702002</v>
      </c>
      <c r="AP7" s="7">
        <v>0.283321213928242</v>
      </c>
      <c r="AQ7" s="7">
        <v>0.50471459689672105</v>
      </c>
      <c r="AR7" s="7">
        <v>-1.04255204973807</v>
      </c>
      <c r="AS7" s="7">
        <v>-0.29923270878249397</v>
      </c>
      <c r="AT7" s="7">
        <v>1.63465438853611</v>
      </c>
      <c r="AU7" s="7">
        <v>0.35484350996900199</v>
      </c>
      <c r="AV7" s="7">
        <v>-1.6008546060141</v>
      </c>
      <c r="AW7" s="7">
        <v>0.50095072042852296</v>
      </c>
      <c r="AX7" s="7">
        <v>-1.5142339245204799</v>
      </c>
      <c r="AY7" s="7">
        <v>1.4077213958071699</v>
      </c>
      <c r="AZ7" s="7">
        <v>0.75058861816359901</v>
      </c>
      <c r="BA7" s="7">
        <v>0.72830205683990001</v>
      </c>
      <c r="BB7" s="7">
        <v>-0.21830556395726</v>
      </c>
      <c r="BC7" s="7">
        <v>0.31714434574921802</v>
      </c>
      <c r="BD7" s="7">
        <v>-0.14306117347855099</v>
      </c>
      <c r="BE7" s="7">
        <v>-0.36134964682745802</v>
      </c>
      <c r="BF7" s="7">
        <v>-0.75620230609467798</v>
      </c>
      <c r="BG7" s="7">
        <v>-0.73882888956083304</v>
      </c>
      <c r="BH7" s="7">
        <v>2.5777544171115601</v>
      </c>
      <c r="BI7" s="7">
        <v>-3.23537324571673E-2</v>
      </c>
      <c r="BJ7" s="7">
        <v>-1.4500947226955601</v>
      </c>
      <c r="BK7" s="7">
        <v>-0.644949475949531</v>
      </c>
      <c r="BL7" s="7">
        <v>0.777928527094918</v>
      </c>
      <c r="BM7" s="7">
        <v>0.38959783817034699</v>
      </c>
      <c r="BN7" s="7">
        <v>-0.71449365448953195</v>
      </c>
      <c r="BO7" s="7">
        <v>-0.92919754732886095</v>
      </c>
      <c r="BP7" s="7">
        <v>-0.56064200333552106</v>
      </c>
      <c r="BQ7" s="7">
        <v>0.57700561394772498</v>
      </c>
      <c r="BR7" s="7">
        <v>0.80785235481747197</v>
      </c>
      <c r="BS7" s="7">
        <v>-2.2781621355724</v>
      </c>
      <c r="BT7" s="7">
        <v>0.38409761834981598</v>
      </c>
      <c r="BU7" s="7">
        <v>-1.38745518414562</v>
      </c>
      <c r="BV7" s="7">
        <v>0.70141837659943795</v>
      </c>
      <c r="BW7" s="7">
        <v>-1.1287144688669499</v>
      </c>
      <c r="BX7" s="7">
        <v>0.73261010276569505</v>
      </c>
      <c r="BY7" s="7">
        <v>-0.75576809998139505</v>
      </c>
      <c r="BZ7" s="7">
        <v>-0.70462596729002203</v>
      </c>
      <c r="CA7" s="7">
        <v>-0.214693709323061</v>
      </c>
      <c r="CB7" s="7">
        <v>0.48407766608987601</v>
      </c>
      <c r="CC7" s="7">
        <v>-1.12436434885071</v>
      </c>
      <c r="CD7" s="7">
        <v>0.14314513739691001</v>
      </c>
      <c r="CE7" s="7">
        <v>-0.91060705229804395</v>
      </c>
      <c r="CF7" s="7">
        <v>-6.0508056873826502E-2</v>
      </c>
      <c r="CG7" s="7">
        <v>1.10579393075472</v>
      </c>
      <c r="CH7" s="7">
        <v>-0.38056164311893997</v>
      </c>
      <c r="CI7" s="7">
        <v>-0.93508242296311195</v>
      </c>
      <c r="CJ7" s="7">
        <v>-1.0889963611529301</v>
      </c>
      <c r="CK7" s="7">
        <v>-1.41955410146433</v>
      </c>
      <c r="CL7" s="7">
        <v>1.03813361356768</v>
      </c>
      <c r="CM7" s="7">
        <v>-0.74870581409565895</v>
      </c>
      <c r="CN7" s="7">
        <v>1.8972485037609199</v>
      </c>
      <c r="CO7" s="7">
        <v>-1.9106670705636399</v>
      </c>
      <c r="CP7" s="7">
        <v>1.2198136652362599</v>
      </c>
      <c r="CQ7" s="7">
        <v>1.1596520810276101</v>
      </c>
      <c r="CR7" s="7">
        <v>-1.6786756455557801</v>
      </c>
      <c r="CS7" s="7">
        <v>0.51510190817859003</v>
      </c>
      <c r="CT7" s="7">
        <v>-2.4168820056806002</v>
      </c>
      <c r="CU7" s="7">
        <v>-0.97492577928139801</v>
      </c>
      <c r="CV7" s="7">
        <v>-0.22606716438142199</v>
      </c>
      <c r="CW7" s="7">
        <v>-0.131914714186397</v>
      </c>
      <c r="CX7" s="7">
        <v>0.76967363189613602</v>
      </c>
      <c r="CY7" s="7">
        <v>-0.221738015442242</v>
      </c>
      <c r="CZ7" s="7">
        <v>1.1364100366149099</v>
      </c>
      <c r="DA7" s="7">
        <v>3.1006322858774402E-2</v>
      </c>
      <c r="DB7" s="7">
        <v>-0.78225882665911295</v>
      </c>
      <c r="DC7" s="7">
        <v>-0.33239956779621299</v>
      </c>
      <c r="DD7" s="7">
        <v>-1.83138182370712</v>
      </c>
      <c r="DE7" s="7">
        <v>-1.8227602538244001</v>
      </c>
      <c r="DF7" s="7">
        <v>-1.21070784796358</v>
      </c>
      <c r="DG7" s="7">
        <v>-0.31801422783376398</v>
      </c>
      <c r="DH7" s="7">
        <v>0.52305925527839503</v>
      </c>
      <c r="DI7" s="7">
        <v>1.40704112271792</v>
      </c>
      <c r="DJ7" s="7">
        <v>0.14430164484296701</v>
      </c>
      <c r="DK7" s="7">
        <v>0.49955054030199503</v>
      </c>
      <c r="DL7" s="7">
        <v>-1.00690738072055</v>
      </c>
      <c r="DM7" s="7">
        <v>-1.3056961554612601</v>
      </c>
      <c r="DN7" s="7">
        <v>0.37290336198624902</v>
      </c>
      <c r="DO7" s="7">
        <v>-0.278624941880598</v>
      </c>
      <c r="DP7" s="7">
        <v>-0.52619622890058004</v>
      </c>
      <c r="DQ7" s="7">
        <v>-1.3228057095411201</v>
      </c>
      <c r="DR7" s="7">
        <v>-3.9436905403307E-2</v>
      </c>
      <c r="DS7" s="7">
        <v>-0.43838273488225299</v>
      </c>
      <c r="DT7" s="7">
        <v>0.95261519796394301</v>
      </c>
      <c r="DU7" s="7">
        <v>-1.480435537573E-3</v>
      </c>
      <c r="DV7" s="7">
        <v>0.36503097485201302</v>
      </c>
      <c r="DW7" s="7">
        <v>-0.93616689259434704</v>
      </c>
      <c r="DX7" s="7">
        <v>7.2169968031262896E-2</v>
      </c>
      <c r="DY7" s="7">
        <v>0.328934631579133</v>
      </c>
      <c r="DZ7" s="7">
        <v>0.33990101576357001</v>
      </c>
      <c r="EA7" s="7">
        <v>-1.70040693295395</v>
      </c>
      <c r="EB7" s="7">
        <v>-1.50538865118089</v>
      </c>
      <c r="EC7" s="7">
        <v>0.55643106329227099</v>
      </c>
      <c r="ED7" s="7">
        <v>-1.4344319382317099</v>
      </c>
      <c r="EE7" s="7">
        <v>1.1464776133086001</v>
      </c>
      <c r="EF7" s="7">
        <v>0.40450389278511301</v>
      </c>
      <c r="EG7" s="7">
        <v>0.32189938592501999</v>
      </c>
      <c r="EH7" s="7">
        <v>-1.3105636574259101</v>
      </c>
      <c r="EI7" s="7">
        <v>0.135470448618211</v>
      </c>
      <c r="EJ7" s="7">
        <v>0.17322083858882301</v>
      </c>
      <c r="EK7" s="7">
        <v>1.53695183727192</v>
      </c>
      <c r="EL7" s="7">
        <v>7.9667033372112006E-2</v>
      </c>
      <c r="EM7" s="7">
        <v>-2.61897161831806</v>
      </c>
      <c r="EN7" s="7">
        <v>-1.1294381474091899</v>
      </c>
      <c r="EO7" s="7">
        <v>-0.61989609809042401</v>
      </c>
      <c r="EP7" s="7">
        <v>0.99144718750313898</v>
      </c>
      <c r="EQ7" s="7">
        <v>0.43204839399217798</v>
      </c>
      <c r="ER7" s="7">
        <v>-3.3349071856576297E-2</v>
      </c>
      <c r="ES7" s="7">
        <v>-1.5240107069886999</v>
      </c>
      <c r="ET7" s="7">
        <v>-0.82196580406642605</v>
      </c>
      <c r="EU7" s="7">
        <v>-0.35002502430766502</v>
      </c>
      <c r="EV7" s="7">
        <v>0.53851993012395805</v>
      </c>
      <c r="EW7" s="7">
        <v>-0.833976031133147</v>
      </c>
      <c r="EX7" s="7">
        <v>0.41460920525135098</v>
      </c>
      <c r="EY7" s="7">
        <v>-0.22602279057105701</v>
      </c>
      <c r="EZ7" s="7">
        <v>0.14328036374584999</v>
      </c>
      <c r="FA7" s="7">
        <v>0.95556783655489896</v>
      </c>
      <c r="FB7" s="7">
        <v>0.51029125464083802</v>
      </c>
      <c r="FC7" s="7">
        <v>0.62732462091206498</v>
      </c>
      <c r="FD7" s="7">
        <v>1.2821111719487099</v>
      </c>
      <c r="FE7" s="7">
        <v>-1.16948796840883</v>
      </c>
      <c r="FF7" s="7">
        <v>-2.42128213155125</v>
      </c>
      <c r="FG7" s="7">
        <v>-4.5018867321666399E-2</v>
      </c>
      <c r="FH7" s="7">
        <v>-1.18494112491931</v>
      </c>
      <c r="FI7" s="7">
        <v>-0.34385643248563502</v>
      </c>
      <c r="FJ7" s="7">
        <v>2.6032939225615601E-2</v>
      </c>
      <c r="FK7" s="7">
        <v>-1.2197811168397099</v>
      </c>
      <c r="FL7" s="7">
        <v>-1.4061448927043401</v>
      </c>
      <c r="FM7" s="7">
        <v>-0.35694641768366497</v>
      </c>
      <c r="FN7" s="7">
        <v>-0.11837593773548399</v>
      </c>
      <c r="FO7" s="7">
        <v>-1.07002743771344</v>
      </c>
      <c r="FP7" s="7">
        <v>2.2420316861573999E-2</v>
      </c>
      <c r="FQ7" s="7">
        <v>1.4398319684479199</v>
      </c>
      <c r="FR7" s="7">
        <v>-2.1201533825453698</v>
      </c>
      <c r="FS7" s="7">
        <v>0.59209057442162705</v>
      </c>
      <c r="FT7" s="7">
        <v>0.60345187435106096</v>
      </c>
      <c r="FU7" s="7">
        <v>-0.14970044790867801</v>
      </c>
      <c r="FV7" s="7">
        <v>8.0026253179203796E-2</v>
      </c>
      <c r="FW7" s="7">
        <v>1.3491528974878999</v>
      </c>
      <c r="FX7" s="7">
        <v>0.37142790834793898</v>
      </c>
      <c r="FY7" s="7">
        <v>7.2863082869878706E-2</v>
      </c>
      <c r="FZ7" s="7">
        <v>-0.82795724864840703</v>
      </c>
      <c r="GA7" s="7">
        <v>0.259027514280393</v>
      </c>
      <c r="GB7" s="7">
        <v>-0.30452321916593</v>
      </c>
      <c r="GC7" s="7">
        <v>-3.4637523778039001</v>
      </c>
      <c r="GD7" s="7">
        <v>-6.6839382000911204E-2</v>
      </c>
      <c r="GE7" s="7">
        <v>0.57989684665654295</v>
      </c>
      <c r="GF7" s="7">
        <v>-0.94957073259527403</v>
      </c>
      <c r="GG7" s="7">
        <v>-1.2469893067165101</v>
      </c>
      <c r="GH7" s="7">
        <v>-1.1502942375143701</v>
      </c>
      <c r="GI7" s="7">
        <v>-0.62296192280360396</v>
      </c>
      <c r="GJ7" s="7">
        <v>-1.6227242356276399</v>
      </c>
      <c r="GK7" s="7">
        <v>1.25024396025183</v>
      </c>
      <c r="GL7" s="7">
        <v>0.98534068225495497</v>
      </c>
      <c r="GM7" s="7">
        <v>-0.48400231638392999</v>
      </c>
      <c r="GN7" s="7">
        <v>0.18058728275441899</v>
      </c>
      <c r="GO7" s="7">
        <v>0.76731881863192397</v>
      </c>
      <c r="GP7" s="7">
        <v>-0.54972124939229405</v>
      </c>
      <c r="GQ7" s="7">
        <v>0.229040420661729</v>
      </c>
      <c r="GR7" s="7">
        <v>-0.222289985747886</v>
      </c>
      <c r="GS7" s="7">
        <v>0.28922303234677799</v>
      </c>
      <c r="GT7" s="7">
        <v>-0.70405353802961301</v>
      </c>
      <c r="GU7" s="7">
        <v>-1.9611007609061699</v>
      </c>
      <c r="GV7" s="7">
        <v>0.71635102152733099</v>
      </c>
      <c r="GW7" s="7">
        <v>1.7743407750076201</v>
      </c>
      <c r="GX7" s="7">
        <v>0.31741556456793302</v>
      </c>
      <c r="GY7" s="7">
        <v>-1.8372708709279699</v>
      </c>
      <c r="GZ7" s="7">
        <v>0.71698782105543801</v>
      </c>
      <c r="HA7" s="7">
        <v>-0.54889482232217801</v>
      </c>
      <c r="HB7" s="7">
        <v>0.76435120480544805</v>
      </c>
      <c r="HC7" s="7">
        <v>-0.32295150302678</v>
      </c>
      <c r="HD7" s="7">
        <v>0.76683131492654499</v>
      </c>
      <c r="HE7" s="7">
        <v>-0.674335564450525</v>
      </c>
      <c r="HF7" s="7">
        <v>-4.2627635875787502E-2</v>
      </c>
      <c r="HG7" s="7">
        <v>0.29736886468165602</v>
      </c>
      <c r="HH7" s="7">
        <v>-0.30850960097761398</v>
      </c>
      <c r="HI7" s="7">
        <v>-0.34321621191732699</v>
      </c>
      <c r="HJ7" s="7">
        <v>0.77817194242915899</v>
      </c>
      <c r="HK7" s="7">
        <v>-0.56488044168959295</v>
      </c>
      <c r="HL7" s="7">
        <v>0.31771323664897</v>
      </c>
      <c r="HM7" s="7">
        <v>0.78274387675238799</v>
      </c>
      <c r="HN7" s="7">
        <v>0.51689454160049597</v>
      </c>
      <c r="HO7" s="7">
        <v>1.07437488161763</v>
      </c>
      <c r="HP7" s="7">
        <v>0.37092552086923403</v>
      </c>
      <c r="HQ7" s="7">
        <v>-2.1030323016966399</v>
      </c>
      <c r="HR7" s="7">
        <v>5.3963730057115702E-2</v>
      </c>
      <c r="HS7" s="7">
        <v>1.32660871085687</v>
      </c>
      <c r="HT7" s="7">
        <v>0.94846591328588603</v>
      </c>
      <c r="HU7" s="7">
        <v>1.11067703806296</v>
      </c>
      <c r="HV7" s="7">
        <v>0.80278119196541697</v>
      </c>
      <c r="HW7" s="7">
        <v>-1.63063068052495</v>
      </c>
      <c r="HX7" s="7">
        <v>0.18768547525469001</v>
      </c>
      <c r="HY7" s="7">
        <v>0.44011902200418102</v>
      </c>
      <c r="HZ7" s="7">
        <v>1.02549904100107</v>
      </c>
      <c r="IA7" s="7">
        <v>-0.383723206929584</v>
      </c>
      <c r="IB7" s="7">
        <v>-0.30952962782632598</v>
      </c>
      <c r="IC7" s="7">
        <v>-7.2423146431392096E-2</v>
      </c>
      <c r="ID7" s="7">
        <v>-5.6570582643626702E-2</v>
      </c>
      <c r="IE7" s="7">
        <v>2.7013297730120699E-2</v>
      </c>
      <c r="IF7" s="7">
        <v>0.454493395190538</v>
      </c>
      <c r="IG7" s="7">
        <v>0.26255788795381002</v>
      </c>
      <c r="IH7" s="7">
        <v>-0.36392325767165701</v>
      </c>
      <c r="II7" s="7">
        <v>0.45063774555234698</v>
      </c>
      <c r="IJ7" s="7">
        <v>0.29940821990008099</v>
      </c>
      <c r="IK7" s="7">
        <v>8.2107735874398804E-2</v>
      </c>
      <c r="IL7" s="7">
        <v>-0.58289217527940695</v>
      </c>
      <c r="IM7" s="7">
        <v>-0.22040405661013901</v>
      </c>
      <c r="IN7" s="7">
        <v>0.74727201592364301</v>
      </c>
      <c r="IO7" s="7">
        <v>-1.0872003195916</v>
      </c>
      <c r="IP7" s="7">
        <v>1.0513958517916</v>
      </c>
      <c r="IQ7" s="7">
        <v>0.491199108129801</v>
      </c>
      <c r="IR7" s="7">
        <v>-0.50648034357944605</v>
      </c>
      <c r="IS7" s="7">
        <v>6.7557055381209805E-2</v>
      </c>
      <c r="IT7" s="7">
        <v>0.17936597643927801</v>
      </c>
      <c r="IU7" s="7">
        <v>1.22752028919159</v>
      </c>
      <c r="IV7" s="7">
        <v>-0.63811930396036498</v>
      </c>
      <c r="IW7" s="7">
        <v>0.76282600235791598</v>
      </c>
      <c r="IX7" s="7">
        <v>-1.3557702979345201</v>
      </c>
      <c r="IY7" s="7">
        <v>0.68257609906750805</v>
      </c>
      <c r="IZ7" s="7">
        <v>-2.43170303519946</v>
      </c>
      <c r="JA7" s="7">
        <v>0.76795273178527901</v>
      </c>
      <c r="JB7" s="7">
        <v>0.61377700189748396</v>
      </c>
      <c r="JC7" s="7">
        <v>1.71583115348606</v>
      </c>
      <c r="JD7" s="7">
        <v>-0.37350369651022203</v>
      </c>
      <c r="JE7" s="7">
        <v>-1.2720053642779501</v>
      </c>
      <c r="JF7" s="7">
        <v>-1.22511293905024</v>
      </c>
      <c r="JG7" s="7">
        <v>-0.32879992079164</v>
      </c>
      <c r="JH7" s="7">
        <v>0.71959087376988096</v>
      </c>
      <c r="JI7" s="7">
        <v>-0.41614455209193901</v>
      </c>
      <c r="JJ7" s="7">
        <v>-2.1193688664766301</v>
      </c>
      <c r="JK7" s="7">
        <v>-2.9786351072337001E-3</v>
      </c>
      <c r="JL7" s="7">
        <v>-1.2013361511482401</v>
      </c>
      <c r="JM7" s="7">
        <v>0.91177236662032501</v>
      </c>
      <c r="JN7" s="7">
        <v>0.13567713317218899</v>
      </c>
      <c r="JO7" s="7">
        <v>-0.89318328276680403</v>
      </c>
      <c r="JP7" s="7">
        <v>0.43181469398955302</v>
      </c>
      <c r="JQ7" s="7">
        <v>1.77950496274657</v>
      </c>
      <c r="JR7" s="7">
        <v>0.667994132032532</v>
      </c>
      <c r="JS7" s="7">
        <v>-0.277561129709195</v>
      </c>
      <c r="JT7" s="7">
        <v>-0.15158455865606299</v>
      </c>
      <c r="JU7" s="7">
        <v>1.25354323264142</v>
      </c>
      <c r="JV7" s="7">
        <v>0.74343400866731901</v>
      </c>
      <c r="JW7" s="7">
        <v>-1.05468649332196</v>
      </c>
      <c r="JX7" s="7">
        <v>-1.3225563844682799</v>
      </c>
      <c r="JY7" s="7">
        <v>-0.69942922453762302</v>
      </c>
      <c r="JZ7" s="7">
        <v>-1.62830675011357</v>
      </c>
      <c r="KA7" s="7">
        <v>-0.99934384292967304</v>
      </c>
      <c r="KB7" s="7">
        <v>-0.80504897866158298</v>
      </c>
      <c r="KC7" s="7">
        <v>-0.29203753017469603</v>
      </c>
      <c r="KD7" s="7">
        <v>-0.88190021187198298</v>
      </c>
      <c r="KE7" s="7">
        <v>0.45516105157554498</v>
      </c>
      <c r="KF7" s="7">
        <v>1.11738455012159</v>
      </c>
      <c r="KG7" s="7">
        <v>0.82666307127393701</v>
      </c>
      <c r="KH7" s="7">
        <v>-1.5875227135760299</v>
      </c>
      <c r="KI7" s="7">
        <v>-2.5836323087607198</v>
      </c>
      <c r="KJ7" s="7">
        <v>1.8257171113563799</v>
      </c>
      <c r="KK7" s="7">
        <v>0.49759907523521602</v>
      </c>
      <c r="KL7" s="7">
        <v>-0.24438749540378199</v>
      </c>
      <c r="KM7" s="7">
        <v>0.15173531193030501</v>
      </c>
      <c r="KN7" s="7">
        <v>1.2241400360633701</v>
      </c>
      <c r="KO7" s="7">
        <v>5.9150639195438198E-2</v>
      </c>
      <c r="KP7" s="7">
        <v>0.76980318928575397</v>
      </c>
      <c r="KQ7" s="7">
        <v>0.52338940229554598</v>
      </c>
      <c r="KR7" s="7">
        <v>-1.02711100743784</v>
      </c>
      <c r="KS7" s="7">
        <v>-0.95694955360971501</v>
      </c>
      <c r="KT7" s="7">
        <v>0.62441022241463795</v>
      </c>
      <c r="KU7" s="7">
        <v>1.03365503537619</v>
      </c>
      <c r="KV7" s="7">
        <v>0.154981281367706</v>
      </c>
      <c r="KW7" s="7">
        <v>0.90642124382427403</v>
      </c>
      <c r="KX7" s="7">
        <v>1.6045232629819499</v>
      </c>
      <c r="KY7" s="7">
        <v>-2.5360591666986201</v>
      </c>
      <c r="KZ7" s="7">
        <v>0.71663993508234602</v>
      </c>
      <c r="LA7" s="7">
        <v>0.58167309106017595</v>
      </c>
      <c r="LB7" s="7">
        <v>0.63358359631790195</v>
      </c>
      <c r="LC7" s="7">
        <v>-0.99215781757939003</v>
      </c>
      <c r="LD7" s="7">
        <v>-1.4789962740024101</v>
      </c>
      <c r="LE7" s="7">
        <v>0.34756782165921901</v>
      </c>
      <c r="LF7" s="7">
        <v>-0.189150998201423</v>
      </c>
      <c r="LG7" s="7">
        <v>1.17796993903137</v>
      </c>
      <c r="LH7" s="7">
        <v>1.24564183132609</v>
      </c>
      <c r="LI7" s="7">
        <v>-2.1306054112770201</v>
      </c>
      <c r="LJ7" s="7">
        <v>-1.06973481161754</v>
      </c>
      <c r="LK7" s="7">
        <v>0.82930489469028501</v>
      </c>
      <c r="LL7" s="7">
        <v>0.43359487400201902</v>
      </c>
      <c r="LM7" s="7">
        <v>-1.5172211169827401</v>
      </c>
      <c r="LN7" s="7">
        <v>-4.1014093415073602E-2</v>
      </c>
      <c r="LO7" s="7">
        <v>-1.7767115439359</v>
      </c>
      <c r="LP7" s="7">
        <v>-0.21291076831091099</v>
      </c>
      <c r="LQ7" s="7">
        <v>1.3150426052708599</v>
      </c>
      <c r="LR7" s="7">
        <v>1.8093441755937301</v>
      </c>
      <c r="LS7" s="7">
        <v>-0.85470788848192303</v>
      </c>
      <c r="LT7" s="7">
        <v>-0.43042173747447399</v>
      </c>
      <c r="LU7" s="7">
        <v>-1.3465771824603601</v>
      </c>
      <c r="LV7" s="7">
        <v>-1.4201038185849799</v>
      </c>
      <c r="LW7" s="7">
        <v>-0.17998757517974301</v>
      </c>
      <c r="LX7" s="7">
        <v>-8.4603884656828707E-2</v>
      </c>
      <c r="LY7" s="7">
        <v>0.80655067342193398</v>
      </c>
      <c r="LZ7" s="7">
        <v>1.9280375663900799</v>
      </c>
      <c r="MA7" s="7">
        <v>1.58283414580021</v>
      </c>
      <c r="MB7" s="7">
        <v>-0.10307359886687099</v>
      </c>
      <c r="MC7" s="7">
        <v>-0.82490644672120905</v>
      </c>
      <c r="MD7" s="7">
        <v>-1.6731815594121899</v>
      </c>
      <c r="ME7" s="7">
        <v>2.4550292708983199</v>
      </c>
      <c r="MF7" s="7">
        <v>-0.73215499993338296</v>
      </c>
      <c r="MG7" s="7">
        <v>-0.85810009592055503</v>
      </c>
      <c r="MH7" s="7">
        <v>-0.27882375816249899</v>
      </c>
      <c r="MI7" s="7">
        <v>1.5089226883423399</v>
      </c>
      <c r="MJ7" s="7">
        <v>-0.77768854771403795</v>
      </c>
      <c r="MK7" s="7">
        <v>0.84614982181271303</v>
      </c>
      <c r="ML7" s="7">
        <v>-0.27635815313793799</v>
      </c>
      <c r="MM7" s="7">
        <v>-1.7664494811006799</v>
      </c>
      <c r="MN7" s="7">
        <v>-1.10046450889254</v>
      </c>
      <c r="MO7" s="7">
        <v>0.59428321522447802</v>
      </c>
      <c r="MP7" s="7">
        <v>1.3773544391621899</v>
      </c>
      <c r="MQ7" s="7">
        <v>0.93297933275115996</v>
      </c>
      <c r="MR7" s="7">
        <v>0.190849125467041</v>
      </c>
      <c r="MS7" s="7">
        <v>0.22322845922968099</v>
      </c>
      <c r="MT7" s="7">
        <v>-0.95981376044666999</v>
      </c>
      <c r="MU7" s="7">
        <v>0.60194520276902497</v>
      </c>
      <c r="MV7" s="7">
        <v>-0.28358105688757901</v>
      </c>
      <c r="MW7" s="7">
        <v>0.920877996228185</v>
      </c>
      <c r="MX7" s="7">
        <v>0.82245261349395005</v>
      </c>
      <c r="MY7" s="7">
        <v>0.38222825320809301</v>
      </c>
      <c r="MZ7" s="7">
        <v>2.0913469574808601</v>
      </c>
      <c r="NA7" s="7">
        <v>1.54540900959044</v>
      </c>
      <c r="NB7" s="7">
        <v>-6.2714266789593506E-2</v>
      </c>
      <c r="NC7" s="7">
        <v>1.21252101728455</v>
      </c>
      <c r="ND7" s="7">
        <v>1.10641413990667</v>
      </c>
      <c r="NE7" s="7">
        <v>1.30511081225885</v>
      </c>
      <c r="NF7" s="7">
        <v>0.26523102894071698</v>
      </c>
      <c r="NG7" s="7">
        <v>1.2347149125039301</v>
      </c>
      <c r="NH7" s="7">
        <v>-0.58705131147873901</v>
      </c>
      <c r="NI7" s="7">
        <v>0.77315378480008401</v>
      </c>
      <c r="NJ7" s="7">
        <v>1.3731917876428901</v>
      </c>
      <c r="NK7" s="7">
        <v>0.17255389257248899</v>
      </c>
      <c r="NL7" s="7">
        <v>0.15614796686138199</v>
      </c>
      <c r="NM7" s="7">
        <v>0.84269790210568196</v>
      </c>
      <c r="NN7" s="7">
        <v>0.26114803257067698</v>
      </c>
      <c r="NO7" s="7">
        <v>-0.76868253304586898</v>
      </c>
      <c r="NP7" s="7">
        <v>0.91149185190021498</v>
      </c>
      <c r="NQ7" s="7">
        <v>0.99645906470628898</v>
      </c>
      <c r="NR7" s="7">
        <v>-0.41896783418169098</v>
      </c>
      <c r="NS7" s="7">
        <v>0.44020317949316801</v>
      </c>
      <c r="NT7" s="7">
        <v>0.51228543049631303</v>
      </c>
      <c r="NU7" s="7">
        <v>1.9435309761041999</v>
      </c>
      <c r="NV7" s="7">
        <v>1.81335385051936</v>
      </c>
      <c r="NW7" s="7">
        <v>0.20291322133352299</v>
      </c>
      <c r="NX7" s="7">
        <v>-1.0658471803312799</v>
      </c>
      <c r="NY7" s="7">
        <v>0.24158210755311099</v>
      </c>
      <c r="NZ7" s="7">
        <v>-0.47824665176973002</v>
      </c>
      <c r="OA7" s="7">
        <v>-1.0795538710158501</v>
      </c>
      <c r="OB7" s="7">
        <v>-1.80910291129454</v>
      </c>
      <c r="OC7" s="7">
        <v>-3.9664079979498099E-2</v>
      </c>
      <c r="OD7" s="7">
        <v>9.8546593049714498E-2</v>
      </c>
      <c r="OE7" s="7">
        <v>0.22525302744817199</v>
      </c>
      <c r="OF7" s="7">
        <v>-0.19991297583116299</v>
      </c>
      <c r="OG7" s="7">
        <v>-0.60419873943614899</v>
      </c>
      <c r="OH7" s="7">
        <v>1.29985103461531</v>
      </c>
      <c r="OI7" s="7">
        <v>-2.4214811333467701</v>
      </c>
      <c r="OJ7" s="7">
        <v>-0.46510817346118999</v>
      </c>
      <c r="OK7" s="7">
        <v>-0.13428238259727601</v>
      </c>
      <c r="OL7" s="7">
        <v>0.73332732099006304</v>
      </c>
      <c r="OM7" s="7">
        <v>0.30122643300240098</v>
      </c>
      <c r="ON7" s="7">
        <v>3.6512484242297201E-2</v>
      </c>
      <c r="OO7" s="7">
        <v>-1.5912669504567201</v>
      </c>
      <c r="OP7" s="7">
        <v>-9.7869095531380994E-3</v>
      </c>
      <c r="OQ7" s="7">
        <v>1.67346081976234</v>
      </c>
      <c r="OR7" s="7">
        <v>7.2708587698882401E-2</v>
      </c>
      <c r="OS7" s="7">
        <v>0.50989136463076601</v>
      </c>
      <c r="OT7" s="7">
        <v>-1.1929011377742599E-2</v>
      </c>
      <c r="OU7" s="7">
        <v>-1.2959908956297601</v>
      </c>
      <c r="OV7" s="7">
        <v>-0.446768165212513</v>
      </c>
      <c r="OW7" s="7">
        <v>-0.98762920293659695</v>
      </c>
      <c r="OX7" s="7">
        <v>-7.2438356986743405E-2</v>
      </c>
      <c r="OY7" s="7">
        <v>1.21364123605915</v>
      </c>
      <c r="OZ7" s="7">
        <v>-0.14406802083548401</v>
      </c>
      <c r="PA7" s="7">
        <v>-0.34326398947716202</v>
      </c>
      <c r="PB7" s="7">
        <v>-0.69143568599987904</v>
      </c>
      <c r="PC7" s="7">
        <v>-1.0168000865103499</v>
      </c>
      <c r="PD7" s="7">
        <v>0.56265551682608395</v>
      </c>
      <c r="PE7" s="7">
        <v>0.74209567954293099</v>
      </c>
      <c r="PF7" s="7">
        <v>2.0256135469646201</v>
      </c>
      <c r="PG7" s="7">
        <v>0.14629989336075599</v>
      </c>
      <c r="PH7" s="7">
        <v>0.12759282799805899</v>
      </c>
      <c r="PI7" s="7">
        <v>-0.43587159459659902</v>
      </c>
      <c r="PJ7" s="7">
        <v>1.53076515026382</v>
      </c>
      <c r="PK7" s="7">
        <v>-1.8375149451624799</v>
      </c>
      <c r="PL7" s="7">
        <v>1.2262886244709501</v>
      </c>
      <c r="PM7" s="7">
        <v>0.24252681931820499</v>
      </c>
      <c r="PN7" s="7">
        <v>-1.37161924163853</v>
      </c>
      <c r="PO7" s="7">
        <v>-0.65376974643066599</v>
      </c>
      <c r="PP7" s="7">
        <v>-0.200866498727932</v>
      </c>
      <c r="PQ7" s="7">
        <v>0.99514279626567603</v>
      </c>
      <c r="PR7" s="7">
        <v>2.1035125680538602</v>
      </c>
      <c r="PS7" s="7">
        <v>0.34541359350534201</v>
      </c>
      <c r="PT7" s="7">
        <v>-5.2897340522074898E-2</v>
      </c>
      <c r="PU7" s="7">
        <v>2.22516522905523</v>
      </c>
      <c r="PV7" s="7">
        <v>-0.28875054050191801</v>
      </c>
      <c r="PW7" s="7">
        <v>-1.0947814246432299</v>
      </c>
      <c r="PX7" s="7">
        <v>-0.250638013366977</v>
      </c>
      <c r="PY7" s="7">
        <v>1.16963601687666</v>
      </c>
      <c r="PZ7" s="7">
        <v>0.42272666598660202</v>
      </c>
      <c r="QA7" s="7">
        <v>0.91208963142969002</v>
      </c>
      <c r="QB7" s="7">
        <v>0.32449670720409401</v>
      </c>
      <c r="QC7" s="7">
        <v>7.2812714811329393E-2</v>
      </c>
      <c r="QD7" s="7">
        <v>0.787131537912241</v>
      </c>
      <c r="QE7" s="7">
        <v>-0.30454158572504603</v>
      </c>
      <c r="QF7" s="7">
        <v>-0.69827478282176503</v>
      </c>
      <c r="QG7" s="7">
        <v>-0.82229483923482705</v>
      </c>
      <c r="QH7" s="7">
        <v>-1.8548752241453701</v>
      </c>
      <c r="QI7" s="7">
        <v>-2.5047543150312199</v>
      </c>
      <c r="QJ7" s="7">
        <v>-0.22575499068403601</v>
      </c>
      <c r="QK7" s="7">
        <v>0.196947736883548</v>
      </c>
      <c r="QL7" s="7">
        <v>-0.139281959426372</v>
      </c>
      <c r="QM7" s="7">
        <v>1.2900964055278601</v>
      </c>
      <c r="QN7" s="7">
        <v>0.53364672334517604</v>
      </c>
      <c r="QO7" s="7">
        <v>-1.04868300648512</v>
      </c>
      <c r="QP7" s="7">
        <v>-0.168979344739212</v>
      </c>
      <c r="QQ7" s="7">
        <v>-1.09735959938479</v>
      </c>
      <c r="QR7" s="7">
        <v>-0.97520991584092998</v>
      </c>
      <c r="QS7" s="7">
        <v>4.1522314862529999E-4</v>
      </c>
      <c r="QT7" s="7">
        <v>0.87224851815016302</v>
      </c>
      <c r="QU7" s="7">
        <v>-0.93742875249356905</v>
      </c>
      <c r="QV7" s="7">
        <v>1.23206621657757</v>
      </c>
      <c r="QW7" s="7">
        <v>-2.5957435561298898</v>
      </c>
      <c r="QX7" s="7">
        <v>-0.16081703554311999</v>
      </c>
      <c r="QY7" s="7">
        <v>-0.11017296434663899</v>
      </c>
      <c r="QZ7" s="7">
        <v>0.16836765327689601</v>
      </c>
      <c r="RA7" s="7">
        <v>1.2006530028692499</v>
      </c>
      <c r="RB7" s="7">
        <v>1.3810291060290401</v>
      </c>
      <c r="RC7" s="7">
        <v>0.96210336753783998</v>
      </c>
      <c r="RD7" s="7">
        <v>0.493898610007387</v>
      </c>
      <c r="RE7" s="7">
        <v>0.46406843281221299</v>
      </c>
      <c r="RF7" s="7">
        <v>1.1267479492655099</v>
      </c>
      <c r="RG7" s="7">
        <v>-1.49917423154125</v>
      </c>
      <c r="RH7" s="7">
        <v>-1.82944076505333</v>
      </c>
      <c r="RI7" s="7">
        <v>1.10702222431064</v>
      </c>
      <c r="RJ7" s="7">
        <v>0.28274257985647999</v>
      </c>
      <c r="RK7" s="7">
        <v>-9.7871992594205495E-2</v>
      </c>
      <c r="RL7" s="7">
        <v>-1.04530397984101</v>
      </c>
      <c r="RM7" s="7">
        <v>0.29641231369679399</v>
      </c>
      <c r="RN7" s="7">
        <v>6.6547885193685E-2</v>
      </c>
      <c r="RO7" s="7">
        <v>-0.26381500868197499</v>
      </c>
      <c r="RP7" s="7">
        <v>-0.23014750608199</v>
      </c>
      <c r="RQ7" s="7">
        <v>0.244785719138049</v>
      </c>
      <c r="RR7" s="7">
        <v>-1.09573915949047</v>
      </c>
      <c r="RS7" s="7">
        <v>0.23493100766339101</v>
      </c>
      <c r="RT7" s="7">
        <v>-0.86916869003059005</v>
      </c>
      <c r="RU7" s="7">
        <v>0.46441016495304399</v>
      </c>
      <c r="RV7" s="7">
        <v>-0.26340669376450299</v>
      </c>
      <c r="RW7" s="7">
        <v>-0.49417030594317202</v>
      </c>
      <c r="RX7" s="7">
        <v>-0.97303653729853801</v>
      </c>
      <c r="RY7" s="7">
        <v>0.183335534343467</v>
      </c>
      <c r="RZ7" s="7">
        <v>0.208243026144278</v>
      </c>
      <c r="SA7" s="7">
        <v>0.65830135724252503</v>
      </c>
      <c r="SB7" s="7">
        <v>-0.84796353595914498</v>
      </c>
      <c r="SC7" s="7">
        <v>-0.791497344234801</v>
      </c>
      <c r="SD7" s="7">
        <v>1.0618460880834699</v>
      </c>
      <c r="SE7" s="7">
        <v>-0.83036499167510602</v>
      </c>
      <c r="SF7" s="7">
        <v>-0.110329712437279</v>
      </c>
      <c r="SG7" s="7">
        <v>0.62176827867187601</v>
      </c>
      <c r="SH7" s="7">
        <v>-0.14558336404773001</v>
      </c>
      <c r="SI7" s="7">
        <v>1.63512720503012</v>
      </c>
      <c r="SJ7" s="7">
        <v>0.103628880360442</v>
      </c>
      <c r="SK7" s="7">
        <v>-1.0766321662675999</v>
      </c>
      <c r="SL7" s="7">
        <v>0.18090671174720199</v>
      </c>
      <c r="SM7" s="7">
        <v>-1.6296050030401501</v>
      </c>
      <c r="SN7" s="7">
        <v>-1.0535749256600899</v>
      </c>
      <c r="SO7" s="7">
        <v>-1.02290754944573</v>
      </c>
      <c r="SP7" s="7">
        <v>0.28875800267316998</v>
      </c>
      <c r="SQ7" s="7">
        <v>-0.31816245860596998</v>
      </c>
      <c r="SR7" s="7">
        <v>-0.346280415291634</v>
      </c>
      <c r="SS7" s="7">
        <v>1.3170644404292</v>
      </c>
      <c r="ST7" s="7">
        <v>-3.2492016901681298E-2</v>
      </c>
      <c r="SU7" s="7">
        <v>3.2763284558068699</v>
      </c>
      <c r="SV7" s="7">
        <v>-7.1880053788328097E-2</v>
      </c>
      <c r="SW7" s="7">
        <v>-1.5209649136227299</v>
      </c>
      <c r="SX7" s="7">
        <v>6.1474554602430502E-2</v>
      </c>
      <c r="SY7" s="7">
        <v>0.75727059438240696</v>
      </c>
      <c r="SZ7" s="7">
        <v>-1.1909805299499501</v>
      </c>
      <c r="TA7" s="7">
        <v>2.15137886074106</v>
      </c>
      <c r="TB7" s="7">
        <v>-1.10155228366254</v>
      </c>
      <c r="TC7" s="7">
        <v>3.2605510449906901E-2</v>
      </c>
      <c r="TD7" s="7">
        <v>-1.8132365976666101</v>
      </c>
      <c r="TE7" s="7">
        <v>-0.326528752760194</v>
      </c>
      <c r="TF7" s="7">
        <v>0.200293364032015</v>
      </c>
      <c r="TG7" s="7">
        <v>2.40411260929862</v>
      </c>
      <c r="TH7" s="7">
        <v>5.9149796404382102E-2</v>
      </c>
      <c r="TI7" s="7">
        <v>-0.60902447771531498</v>
      </c>
      <c r="TJ7" s="7">
        <v>-0.67901568787353395</v>
      </c>
      <c r="TK7" s="7">
        <v>1.4332997680027899</v>
      </c>
      <c r="TL7" s="7">
        <v>-0.30382204001773899</v>
      </c>
      <c r="TM7" s="7">
        <v>0.59670193775518898</v>
      </c>
      <c r="TN7" s="7">
        <v>-0.10698830282911501</v>
      </c>
      <c r="TO7" s="7">
        <v>0.57833812150152597</v>
      </c>
      <c r="TP7" s="7">
        <v>1.10429142658796</v>
      </c>
      <c r="TQ7" s="7">
        <v>0.99731541590216</v>
      </c>
      <c r="TR7" s="7">
        <v>1.1606641733132199</v>
      </c>
      <c r="TS7" s="7">
        <v>0.360328413914905</v>
      </c>
      <c r="TT7" s="7">
        <v>-0.72962238242101596</v>
      </c>
      <c r="TU7" s="7">
        <v>-0.17073654945659</v>
      </c>
      <c r="TV7" s="7">
        <v>2.2242593678710199</v>
      </c>
      <c r="TW7" s="7">
        <v>-0.26772197949516402</v>
      </c>
      <c r="TX7" s="7">
        <v>2.1413626492192401</v>
      </c>
      <c r="TY7" s="7">
        <v>-0.23306247738685101</v>
      </c>
      <c r="TZ7" s="7">
        <v>-1.4715037702849201</v>
      </c>
      <c r="UA7" s="7">
        <v>-2.1153689303961198</v>
      </c>
      <c r="UB7" s="7">
        <v>-0.15423092499495</v>
      </c>
      <c r="UC7" s="7">
        <v>-0.36979692772902201</v>
      </c>
      <c r="UD7" s="7">
        <v>1.9009792862492501</v>
      </c>
      <c r="UE7" s="7">
        <v>-1.60370689960483</v>
      </c>
      <c r="UF7" s="7">
        <v>-1.0138331228894499</v>
      </c>
      <c r="UG7" s="7">
        <v>-0.26938670239060702</v>
      </c>
      <c r="UH7" s="7">
        <v>-1.32030433972391</v>
      </c>
      <c r="UI7" s="7">
        <v>-0.545172272209131</v>
      </c>
      <c r="UJ7" s="7">
        <v>0.13199429390759099</v>
      </c>
      <c r="UK7" s="7">
        <v>-0.43924570688520298</v>
      </c>
      <c r="UL7" s="7">
        <v>-7.9207399991805899E-2</v>
      </c>
      <c r="UM7" s="7">
        <v>-0.99679648690623701</v>
      </c>
      <c r="UN7" s="7">
        <v>-1.10672684732648</v>
      </c>
      <c r="UO7" s="7">
        <v>-1.0464343568596201E-2</v>
      </c>
      <c r="UP7" s="7">
        <v>0.47832839695047702</v>
      </c>
      <c r="UQ7" s="7">
        <v>-1.6195181977492299</v>
      </c>
      <c r="UR7" s="7">
        <v>-0.90507974732755903</v>
      </c>
      <c r="US7" s="7">
        <v>1.3586183457816401</v>
      </c>
      <c r="UT7" s="7">
        <v>1.4431785235643</v>
      </c>
      <c r="UU7" s="7">
        <v>-0.96911040174295404</v>
      </c>
      <c r="UV7" s="7">
        <v>1.3234952282397301</v>
      </c>
      <c r="UW7" s="7">
        <v>0.45145492739452198</v>
      </c>
      <c r="UX7" s="7">
        <v>0.64322520842548203</v>
      </c>
      <c r="UY7" s="7">
        <v>0.85104838623326995</v>
      </c>
      <c r="UZ7" s="7">
        <v>-0.58373338347556503</v>
      </c>
      <c r="VA7" s="7">
        <v>-1.52181847111758</v>
      </c>
      <c r="VB7" s="7">
        <v>-1.70335526766457</v>
      </c>
      <c r="VC7" s="7">
        <v>1.4476873970380999</v>
      </c>
      <c r="VD7" s="7">
        <v>0.26655535136400499</v>
      </c>
      <c r="VE7" s="7">
        <v>-1.3708452609780399</v>
      </c>
      <c r="VF7" s="7">
        <v>-0.64804231248481503</v>
      </c>
      <c r="VG7" s="7">
        <v>-6.2356550174741003E-2</v>
      </c>
      <c r="VH7" s="7">
        <v>-5.6589922924004402E-2</v>
      </c>
      <c r="VI7" s="7">
        <v>-1.22671693104906</v>
      </c>
      <c r="VJ7" s="7">
        <v>0.70166686165482905</v>
      </c>
      <c r="VK7" s="7">
        <v>0.66977157126828801</v>
      </c>
      <c r="VL7" s="7">
        <v>-0.87380612237424904</v>
      </c>
      <c r="VM7" s="7">
        <v>0.20444972665755201</v>
      </c>
      <c r="VN7" s="7">
        <v>-0.71391647550883497</v>
      </c>
      <c r="VO7" s="7">
        <v>0.31253213946645098</v>
      </c>
      <c r="VP7" s="7">
        <v>-0.137685490025548</v>
      </c>
      <c r="VQ7" s="7">
        <v>-1.06843898907065</v>
      </c>
      <c r="VR7" s="7">
        <v>-1.4194774034165201</v>
      </c>
      <c r="VS7" s="7">
        <v>-0.25622821239827898</v>
      </c>
      <c r="VT7" s="7">
        <v>1.31947745797662</v>
      </c>
      <c r="VU7" s="7">
        <v>-0.88604357904620001</v>
      </c>
      <c r="VV7" s="7">
        <v>0.88000978255179196</v>
      </c>
      <c r="VW7" s="7">
        <v>-0.78788937034414297</v>
      </c>
      <c r="VX7" s="7">
        <v>-1.5235420716755099</v>
      </c>
      <c r="VY7" s="7">
        <v>-0.64584752025583703</v>
      </c>
      <c r="VZ7" s="7">
        <v>-1.053802071872</v>
      </c>
      <c r="WA7" s="7">
        <v>-0.49216788024531499</v>
      </c>
      <c r="WB7" s="7">
        <v>0.54508703105384604</v>
      </c>
      <c r="WC7" s="7">
        <v>-0.48664968558274901</v>
      </c>
      <c r="WD7" s="7">
        <v>-4.7081217829250198E-2</v>
      </c>
      <c r="WE7" s="7">
        <v>0.84944083988027097</v>
      </c>
      <c r="WF7" s="7">
        <v>0.97072976952409895</v>
      </c>
      <c r="WG7" s="7">
        <v>0.972481397745523</v>
      </c>
      <c r="WH7" s="7">
        <v>-0.38699967675520702</v>
      </c>
      <c r="WI7" s="7">
        <v>6.8219445506699394E-2</v>
      </c>
      <c r="WJ7" s="7">
        <v>1.82911843579401</v>
      </c>
      <c r="WK7" s="7">
        <v>-0.96236794059966702</v>
      </c>
      <c r="WL7" s="7">
        <v>-0.325477117045614</v>
      </c>
      <c r="WM7" s="7">
        <v>-1.00007198051112</v>
      </c>
      <c r="WN7" s="7">
        <v>0.61906360150137596</v>
      </c>
      <c r="WO7" s="7">
        <v>0.40138089976851599</v>
      </c>
      <c r="WP7" s="7">
        <v>-0.76063513884122402</v>
      </c>
      <c r="WQ7" s="7">
        <v>1.7628005562129501</v>
      </c>
      <c r="WR7" s="7">
        <v>0.80925242911233297</v>
      </c>
      <c r="WS7" s="7">
        <v>1.4435449743626501</v>
      </c>
      <c r="WT7" s="7">
        <v>-0.54997202013403101</v>
      </c>
      <c r="WU7" s="7">
        <v>-0.62209969090501804</v>
      </c>
      <c r="WV7" s="7">
        <v>2.8205037777153601</v>
      </c>
      <c r="WW7" s="7">
        <v>0.18053092961595599</v>
      </c>
      <c r="WX7" s="7">
        <v>5.0510068968237301E-2</v>
      </c>
      <c r="WY7" s="7">
        <v>2.16928219589987</v>
      </c>
      <c r="WZ7" s="7">
        <v>1.4119450185186599</v>
      </c>
      <c r="XA7" s="7">
        <v>-9.2690661529868004E-2</v>
      </c>
      <c r="XB7" s="7">
        <v>-1.2474724851640999</v>
      </c>
      <c r="XC7" s="7">
        <v>0.152766682499338</v>
      </c>
      <c r="XD7" s="7">
        <v>-1.3902448460038801</v>
      </c>
      <c r="XE7" s="7">
        <v>-0.14040486700251101</v>
      </c>
      <c r="XF7" s="7">
        <v>-0.29078694936264299</v>
      </c>
      <c r="XG7" s="7">
        <v>-0.26284080672983601</v>
      </c>
      <c r="XH7" s="7">
        <v>0.21066285130099299</v>
      </c>
      <c r="XI7" s="7">
        <v>-2.5366631712657499</v>
      </c>
      <c r="XJ7" s="7">
        <v>-0.108285450752842</v>
      </c>
      <c r="XK7" s="7">
        <v>0.81676418213382196</v>
      </c>
      <c r="XL7" s="7">
        <v>-1.15809125766557</v>
      </c>
      <c r="XM7" s="7">
        <v>-0.14217288425171701</v>
      </c>
      <c r="XN7" s="7">
        <v>-1.39158667410947</v>
      </c>
      <c r="XO7" s="7">
        <v>-1.2082009572674499</v>
      </c>
      <c r="XP7" s="7">
        <v>0.25157914009533699</v>
      </c>
      <c r="XQ7" s="7">
        <v>-1.08197616560414</v>
      </c>
      <c r="XR7" s="7">
        <v>-0.142469764791922</v>
      </c>
      <c r="XS7" s="7">
        <v>2.2583242959393099</v>
      </c>
      <c r="XT7" s="7">
        <v>-0.417335651126304</v>
      </c>
      <c r="XU7" s="7">
        <v>0.56161539309866904</v>
      </c>
      <c r="XV7" s="7">
        <v>1.4454942782067199</v>
      </c>
      <c r="XW7" s="7">
        <v>0.26671548938279099</v>
      </c>
      <c r="XX7" s="7">
        <v>0.32725818801807699</v>
      </c>
      <c r="XY7" s="7">
        <v>-0.32261801277395502</v>
      </c>
      <c r="XZ7" s="7">
        <v>-0.44915756844843602</v>
      </c>
      <c r="YA7" s="7">
        <v>-1.8138146864051901</v>
      </c>
      <c r="YB7" s="7">
        <v>0.54870227706134</v>
      </c>
      <c r="YC7" s="7">
        <v>1.0234396608218399</v>
      </c>
      <c r="YD7" s="7">
        <v>-1.3957843652136901</v>
      </c>
      <c r="YE7" s="7">
        <v>0.75844356207480501</v>
      </c>
      <c r="YF7" s="7">
        <v>-0.89201175440843405</v>
      </c>
      <c r="YG7" s="7">
        <v>-0.92921111459375105</v>
      </c>
      <c r="YH7" s="7">
        <v>1.24292038662946</v>
      </c>
      <c r="YI7" s="7">
        <v>1.53432972533129</v>
      </c>
      <c r="YJ7" s="7">
        <v>-0.95267816504926806</v>
      </c>
      <c r="YK7" s="7">
        <v>-9.3176388017328707E-2</v>
      </c>
      <c r="YL7" s="7">
        <v>0.62918896592150397</v>
      </c>
      <c r="YM7" s="7">
        <v>1.12754471001507</v>
      </c>
      <c r="YN7" s="7">
        <v>-0.37215597570243297</v>
      </c>
      <c r="YO7" s="7">
        <v>0.26332573321615099</v>
      </c>
      <c r="YP7" s="7">
        <v>0.65341214612572396</v>
      </c>
      <c r="YQ7" s="7">
        <v>0.22088224631558001</v>
      </c>
      <c r="YR7" s="7">
        <v>2.2966118900593901</v>
      </c>
      <c r="YS7" s="7">
        <v>-8.7506423572862896E-2</v>
      </c>
      <c r="YT7" s="7">
        <v>-1.0800287934549999</v>
      </c>
      <c r="YU7" s="7">
        <v>-1.7514579257274501</v>
      </c>
      <c r="YV7" s="7">
        <v>0.186290472689456</v>
      </c>
      <c r="YW7" s="7">
        <v>0.20054013703878501</v>
      </c>
      <c r="YX7" s="7">
        <v>-0.10968531324385999</v>
      </c>
      <c r="YY7" s="7">
        <v>-0.51418981912177497</v>
      </c>
      <c r="YZ7" s="7">
        <v>0.71839234849196199</v>
      </c>
      <c r="ZA7" s="7">
        <v>0.25745009223892601</v>
      </c>
      <c r="ZB7" s="7">
        <v>0.79224067445332602</v>
      </c>
      <c r="ZC7" s="7">
        <v>-0.99117129161484996</v>
      </c>
      <c r="ZD7" s="7">
        <v>-0.30695460389485102</v>
      </c>
      <c r="ZE7" s="7">
        <v>-1.7425873672874399</v>
      </c>
      <c r="ZF7" s="7">
        <v>-0.733270338290546</v>
      </c>
      <c r="ZG7" s="7">
        <v>5.5788137612036097E-2</v>
      </c>
      <c r="ZH7" s="7">
        <v>1.1897852878236199</v>
      </c>
      <c r="ZI7" s="7">
        <v>-1.52015401305164</v>
      </c>
      <c r="ZJ7" s="7">
        <v>0.66559708734952205</v>
      </c>
      <c r="ZK7" s="7">
        <v>-0.22067657999106</v>
      </c>
      <c r="ZL7" s="7">
        <v>-0.39253099746982301</v>
      </c>
      <c r="ZM7" s="7">
        <v>0.56716713186870504</v>
      </c>
      <c r="ZN7" s="7">
        <v>-1.9328703572432899</v>
      </c>
      <c r="ZO7" s="7">
        <v>-1.0269308938391</v>
      </c>
      <c r="ZP7" s="7">
        <v>0.56847381440418099</v>
      </c>
      <c r="ZQ7" s="7">
        <v>-1.46880160240045</v>
      </c>
      <c r="ZR7" s="7">
        <v>0.76847214599649605</v>
      </c>
      <c r="ZS7" s="7">
        <v>0.53210710232965397</v>
      </c>
      <c r="ZT7" s="7">
        <v>-1.70877763216269</v>
      </c>
      <c r="ZU7" s="7">
        <v>-0.39054065785789799</v>
      </c>
      <c r="ZV7" s="7">
        <v>-0.99611267330317999</v>
      </c>
      <c r="ZW7" s="7">
        <v>0.47994476691080801</v>
      </c>
      <c r="ZX7" s="7">
        <v>1.3230505455439501</v>
      </c>
      <c r="ZY7" s="7">
        <v>-1.03994612269852</v>
      </c>
      <c r="ZZ7" s="7">
        <v>1.8350320602799</v>
      </c>
      <c r="AAA7" s="7">
        <v>1.34122841245056</v>
      </c>
      <c r="AAB7" s="7">
        <v>-1.09541481220644</v>
      </c>
      <c r="AAC7" s="7">
        <v>1.43870306084495</v>
      </c>
      <c r="AAD7" s="7">
        <v>0.36745146599436901</v>
      </c>
      <c r="AAE7" s="7">
        <v>0.51456234232351605</v>
      </c>
      <c r="AAF7" s="7">
        <v>0.45839345759849798</v>
      </c>
      <c r="AAG7" s="7">
        <v>1.0652400597199101</v>
      </c>
      <c r="AAH7" s="7">
        <v>0.31821435632630501</v>
      </c>
      <c r="AAI7" s="7">
        <v>-1.07428600258676</v>
      </c>
      <c r="AAJ7" s="7">
        <v>1.35409834895452</v>
      </c>
      <c r="AAK7" s="7">
        <v>0.70709181660326503</v>
      </c>
      <c r="AAL7" s="7">
        <v>-0.69986974794190804</v>
      </c>
      <c r="AAM7" s="7">
        <v>0.88724525099923901</v>
      </c>
      <c r="AAN7" s="7">
        <v>-0.20424820074999001</v>
      </c>
      <c r="AAO7" s="7">
        <v>1.1255586936195801</v>
      </c>
      <c r="AAP7" s="7">
        <v>0.59593376309138602</v>
      </c>
      <c r="AAQ7" s="7">
        <v>1.12555577322792</v>
      </c>
      <c r="AAR7" s="7">
        <v>0.48682017158055402</v>
      </c>
      <c r="AAS7" s="7">
        <v>1.5283106976960099</v>
      </c>
      <c r="AAT7" s="7">
        <v>1.6796695893602001</v>
      </c>
      <c r="AAU7" s="7">
        <v>1.9061615339114499</v>
      </c>
      <c r="AAV7" s="7">
        <v>1.04310492746521</v>
      </c>
      <c r="AAW7" s="7">
        <v>-1.87671634020522</v>
      </c>
      <c r="AAX7" s="7">
        <v>0.85188891527675104</v>
      </c>
      <c r="AAY7" s="7">
        <v>-0.96830013836835804</v>
      </c>
      <c r="AAZ7" s="7">
        <v>-1.3793364266099699</v>
      </c>
      <c r="ABA7" s="7">
        <v>-1.3029253213454399</v>
      </c>
      <c r="ABB7" s="7">
        <v>-0.75459375943984297</v>
      </c>
      <c r="ABC7" s="7">
        <v>0.68304726549165096</v>
      </c>
      <c r="ABD7" s="7">
        <v>2.4764586632282801E-2</v>
      </c>
      <c r="ABE7" s="7">
        <v>1.67155611028536</v>
      </c>
      <c r="ABF7" s="7">
        <v>0.37816882537255297</v>
      </c>
      <c r="ABG7" s="7">
        <v>-1.2341363842875299</v>
      </c>
      <c r="ABH7" s="7">
        <v>0.205113472531019</v>
      </c>
      <c r="ABI7" s="7">
        <v>-2.5691005131716002E-3</v>
      </c>
      <c r="ABJ7" s="7">
        <v>-0.150511196345955</v>
      </c>
      <c r="ABK7" s="7">
        <v>-0.68532180941279797</v>
      </c>
      <c r="ABL7" s="7">
        <v>-0.65549742719185</v>
      </c>
      <c r="ABM7" s="7">
        <v>-1.94241579431107</v>
      </c>
      <c r="ABN7" s="7">
        <v>-0.11148857707715799</v>
      </c>
      <c r="ABO7" s="7">
        <v>0.475116856114145</v>
      </c>
      <c r="ABP7" s="7">
        <v>0.63639669602480298</v>
      </c>
      <c r="ABQ7" s="7">
        <v>0.44206334983150802</v>
      </c>
      <c r="ABR7" s="7">
        <v>-0.14496257700932</v>
      </c>
      <c r="ABS7" s="7">
        <v>2.20133542808572</v>
      </c>
      <c r="ABT7" s="7">
        <v>0.25524616621034601</v>
      </c>
      <c r="ABU7" s="7">
        <v>-1.1563894276873301</v>
      </c>
      <c r="ABV7" s="7">
        <v>0.21849608637002399</v>
      </c>
      <c r="ABW7" s="7">
        <v>0.71480019832217601</v>
      </c>
      <c r="ABX7" s="7">
        <v>-1.1811896590331701</v>
      </c>
      <c r="ABY7" s="7">
        <v>-0.86968237049640695</v>
      </c>
      <c r="ABZ7" s="7">
        <v>-2.4009564947222399</v>
      </c>
      <c r="ACA7" s="7">
        <v>-0.36192923960634199</v>
      </c>
      <c r="ACB7" s="7">
        <v>1.1586967398666801</v>
      </c>
      <c r="ACC7" s="7">
        <v>2.06507168451042</v>
      </c>
      <c r="ACD7" s="7">
        <v>0.76936242598911797</v>
      </c>
      <c r="ACE7" s="7">
        <v>1.34473145173663</v>
      </c>
      <c r="ACF7" s="7">
        <v>-1.0973040767566</v>
      </c>
      <c r="ACG7" s="7">
        <v>-0.73354943210940304</v>
      </c>
      <c r="ACH7" s="7">
        <v>-0.84528223645457201</v>
      </c>
      <c r="ACI7" s="7">
        <v>1.3214668554725399</v>
      </c>
      <c r="ACJ7" s="7">
        <v>-0.33039687831714398</v>
      </c>
      <c r="ACK7" s="7">
        <v>0.28839249464521299</v>
      </c>
      <c r="ACL7" s="7">
        <v>-0.38645984824706597</v>
      </c>
      <c r="ACM7" s="7">
        <v>1.43035588389954</v>
      </c>
      <c r="ACN7" s="7">
        <v>0.38768094090003002</v>
      </c>
      <c r="ACO7" s="7">
        <v>0.52575385162826904</v>
      </c>
      <c r="ACP7" s="7">
        <v>0.71622553772256004</v>
      </c>
      <c r="ACQ7" s="7">
        <v>-2.8166471681072301E-2</v>
      </c>
      <c r="ACR7" s="7">
        <v>0.84210893089405803</v>
      </c>
      <c r="ACS7" s="7">
        <v>0.59562129456003698</v>
      </c>
      <c r="ACT7" s="7">
        <v>0.103678978544578</v>
      </c>
      <c r="ACU7" s="7">
        <v>0.59577169245796202</v>
      </c>
      <c r="ACV7" s="7">
        <v>-1.19215305256746</v>
      </c>
      <c r="ACW7" s="7">
        <v>3.3665695670020097E-2</v>
      </c>
      <c r="ACX7" s="7">
        <v>-1.96170498448124</v>
      </c>
      <c r="ACY7" s="7">
        <v>-2.0765123802972001E-2</v>
      </c>
      <c r="ACZ7" s="7">
        <v>0.26218403076279301</v>
      </c>
      <c r="ADA7" s="7">
        <v>1.1124792059939901</v>
      </c>
      <c r="ADB7" s="7">
        <v>-0.143885310728465</v>
      </c>
      <c r="ADC7" s="7">
        <v>-1.3762393691053201</v>
      </c>
      <c r="ADD7" s="7">
        <v>-0.95399842093662501</v>
      </c>
      <c r="ADE7" s="7">
        <v>-5.6283913303423298E-2</v>
      </c>
      <c r="ADF7" s="7">
        <v>-0.78924186443945599</v>
      </c>
      <c r="ADG7" s="7">
        <v>-0.27750551450170802</v>
      </c>
      <c r="ADH7" s="7">
        <v>0.72672665492229305</v>
      </c>
      <c r="ADI7" s="7">
        <v>0.36953604249365601</v>
      </c>
      <c r="ADJ7" s="7">
        <v>0.57884241694628003</v>
      </c>
      <c r="ADK7" s="7">
        <v>8.1908054948073794E-2</v>
      </c>
      <c r="ADL7" s="7">
        <v>0.25929630993803598</v>
      </c>
      <c r="ADM7" s="7">
        <v>-0.22949666835830199</v>
      </c>
      <c r="ADN7" s="7">
        <v>0.70275640635996695</v>
      </c>
      <c r="ADO7" s="7">
        <v>-1.4458551496188401</v>
      </c>
      <c r="ADP7" s="7">
        <v>-1.6444774109803399</v>
      </c>
      <c r="ADQ7" s="7">
        <v>-0.571754178721119</v>
      </c>
      <c r="ADR7" s="7">
        <v>-1.15681923276196</v>
      </c>
      <c r="ADS7" s="7">
        <v>-1.2441454706389901</v>
      </c>
      <c r="ADT7" s="7">
        <v>-0.88733921779861402</v>
      </c>
      <c r="ADU7" s="7">
        <v>-0.231287497322264</v>
      </c>
      <c r="ADV7" s="7">
        <v>-0.222645583307539</v>
      </c>
      <c r="ADW7" s="7">
        <v>-1.27850228596521</v>
      </c>
      <c r="ADX7" s="7">
        <v>0.52660620007439796</v>
      </c>
      <c r="ADY7" s="7">
        <v>-0.45624487514294598</v>
      </c>
      <c r="ADZ7" s="7">
        <v>9.2600067714460992E-3</v>
      </c>
      <c r="AEA7" s="7">
        <v>0.58376104716885302</v>
      </c>
      <c r="AEB7" s="7">
        <v>-0.928164766201797</v>
      </c>
      <c r="AEC7" s="7">
        <v>-0.171813459680346</v>
      </c>
      <c r="AED7" s="7">
        <v>0.25823297133635598</v>
      </c>
      <c r="AEE7" s="7">
        <v>0.65480196374361799</v>
      </c>
      <c r="AEF7" s="7">
        <v>1.2681765682411701</v>
      </c>
      <c r="AEG7" s="7">
        <v>4.0972663846294298E-2</v>
      </c>
      <c r="AEH7" s="7">
        <v>0.29454184291909902</v>
      </c>
      <c r="AEI7" s="7">
        <v>-0.83941603996580805</v>
      </c>
      <c r="AEJ7" s="7">
        <v>-1.9553484935521599</v>
      </c>
      <c r="AEK7" s="7">
        <v>-7.2292418285174895E-2</v>
      </c>
      <c r="AEL7" s="7">
        <v>-0.75413309521209004</v>
      </c>
      <c r="AEM7" s="7">
        <v>-0.14033725751439599</v>
      </c>
      <c r="AEN7" s="7">
        <v>-0.19608276981227199</v>
      </c>
      <c r="AEO7" s="7">
        <v>-0.70546045747728403</v>
      </c>
      <c r="AEP7" s="7">
        <v>0.44900020332973101</v>
      </c>
      <c r="AEQ7" s="7">
        <v>-1.0478919120675301</v>
      </c>
      <c r="AER7" s="7">
        <v>-1.51944787049182</v>
      </c>
      <c r="AES7" s="7">
        <v>-0.86797477746336005</v>
      </c>
      <c r="AET7" s="7">
        <v>-1.1396751543478301</v>
      </c>
      <c r="AEU7" s="7">
        <v>0.120774818414131</v>
      </c>
      <c r="AEV7" s="7">
        <v>-0.63206064427820896</v>
      </c>
      <c r="AEW7" s="7">
        <v>0.46876342885970801</v>
      </c>
      <c r="AEX7" s="7">
        <v>1.41067474263624</v>
      </c>
      <c r="AEY7" s="7">
        <v>2.69856611453268E-2</v>
      </c>
      <c r="AEZ7" s="7">
        <v>-1.13381382249895</v>
      </c>
      <c r="AFA7" s="7">
        <v>-1.46659907367149</v>
      </c>
      <c r="AFB7" s="7">
        <v>1.43683511854128</v>
      </c>
      <c r="AFC7" s="7">
        <v>0.39398611529885602</v>
      </c>
      <c r="AFD7" s="7">
        <v>0.13832192554466699</v>
      </c>
      <c r="AFE7" s="7">
        <v>-0.36160682151413898</v>
      </c>
      <c r="AFF7" s="7">
        <v>1.3912408305559101</v>
      </c>
      <c r="AFG7" s="7">
        <v>0.67868717984503102</v>
      </c>
      <c r="AFH7" s="7">
        <v>-0.92066533087931401</v>
      </c>
      <c r="AFI7" s="7">
        <v>0.28968338482769401</v>
      </c>
      <c r="AFJ7" s="7">
        <v>0.209130314480762</v>
      </c>
      <c r="AFK7" s="7">
        <v>1.2207817733528701</v>
      </c>
      <c r="AFL7" s="7">
        <v>-0.37657282986245999</v>
      </c>
      <c r="AFM7" s="7">
        <v>1.9234286959570399</v>
      </c>
      <c r="AFN7" s="7">
        <v>-1.6152172573478401</v>
      </c>
      <c r="AFO7" s="7">
        <v>0.92071445392529505</v>
      </c>
      <c r="AFP7" s="7">
        <v>-0.40534058467850598</v>
      </c>
      <c r="AFQ7" s="7">
        <v>-0.47489084669488602</v>
      </c>
      <c r="AFR7" s="7">
        <v>0.63981947413617801</v>
      </c>
      <c r="AFS7" s="7">
        <v>1.94477292311154</v>
      </c>
      <c r="AFT7" s="7">
        <v>-1.71128027669017</v>
      </c>
      <c r="AFU7" s="7">
        <v>-1.5663880178868399</v>
      </c>
      <c r="AFV7" s="7">
        <v>0.49401038262449798</v>
      </c>
      <c r="AFW7" s="7">
        <v>-1.5883934724206501</v>
      </c>
      <c r="AFX7" s="7">
        <v>8.6343185123618799E-2</v>
      </c>
      <c r="AFY7" s="7">
        <v>-0.58707224047217299</v>
      </c>
      <c r="AFZ7" s="7">
        <v>2.8547579028132701</v>
      </c>
      <c r="AGA7" s="7">
        <v>-1.30293898922479</v>
      </c>
      <c r="AGB7" s="7">
        <v>-0.63814761012965604</v>
      </c>
      <c r="AGC7" s="7">
        <v>0.77624389075308298</v>
      </c>
      <c r="AGD7" s="7">
        <v>0.154863193319008</v>
      </c>
      <c r="AGE7" s="7">
        <v>-0.249448770620497</v>
      </c>
      <c r="AGF7" s="7">
        <v>0.49720045826125198</v>
      </c>
      <c r="AGG7" s="7">
        <v>-0.45232084902536102</v>
      </c>
      <c r="AGH7" s="7">
        <v>-0.25869210289532801</v>
      </c>
      <c r="AGI7" s="7">
        <v>0.59935042842177499</v>
      </c>
      <c r="AGJ7" s="7">
        <v>-0.65885238351716502</v>
      </c>
      <c r="AGK7" s="7">
        <v>1.78595650825212</v>
      </c>
      <c r="AGL7" s="7">
        <v>-0.78937785155486195</v>
      </c>
      <c r="AGM7" s="7">
        <v>0.92057904850289596</v>
      </c>
      <c r="AGN7" s="7">
        <v>7.0625232240869903E-2</v>
      </c>
      <c r="AGO7" s="7">
        <v>-1.56841277687117</v>
      </c>
      <c r="AGP7" s="7">
        <v>0.14192196675100299</v>
      </c>
      <c r="AGQ7" s="7">
        <v>2.6672610513567498</v>
      </c>
      <c r="AGR7" s="7">
        <v>-0.20891510203604799</v>
      </c>
      <c r="AGS7" s="7">
        <v>0.25235929506134203</v>
      </c>
      <c r="AGT7" s="7">
        <v>9.5192684867975899E-2</v>
      </c>
      <c r="AGU7" s="7">
        <v>-1.8669243030149001</v>
      </c>
      <c r="AGV7" s="7">
        <v>0.95148268839731498</v>
      </c>
      <c r="AGW7" s="7">
        <v>-3.5554056018114601E-2</v>
      </c>
      <c r="AGX7" s="7">
        <v>6.5019083584133094E-2</v>
      </c>
      <c r="AGY7" s="7">
        <v>1.00585981649237</v>
      </c>
      <c r="AGZ7" s="7">
        <v>0.90764940403740302</v>
      </c>
      <c r="AHA7" s="7">
        <v>-1.5077835513672899</v>
      </c>
      <c r="AHB7" s="7">
        <v>1.1229082448921499</v>
      </c>
      <c r="AHC7" s="7">
        <v>-1.25374690419718</v>
      </c>
      <c r="AHD7" s="7">
        <v>-9.4472968455597106E-2</v>
      </c>
      <c r="AHE7" s="7">
        <v>0.295762777033518</v>
      </c>
      <c r="AHF7" s="7">
        <v>-0.58101203067446805</v>
      </c>
      <c r="AHG7" s="7">
        <v>1.56344510785503</v>
      </c>
      <c r="AHH7" s="7">
        <v>0.983578446473103</v>
      </c>
      <c r="AHI7" s="7">
        <v>0.75542726283181405</v>
      </c>
      <c r="AHJ7" s="7">
        <v>1.23712983870733</v>
      </c>
      <c r="AHK7" s="7">
        <v>1.2436779718140101</v>
      </c>
      <c r="AHL7" s="7">
        <v>3.4055045081944402E-2</v>
      </c>
      <c r="AHM7" s="7">
        <v>1.9840387797211101</v>
      </c>
      <c r="AHN7" s="7">
        <v>-0.26019695692051498</v>
      </c>
      <c r="AHO7" s="7">
        <v>-1.8086881720594099</v>
      </c>
      <c r="AHP7" s="7">
        <v>1.1103695273704901</v>
      </c>
      <c r="AHQ7" s="7">
        <v>1.5071566532773999</v>
      </c>
      <c r="AHR7" s="7">
        <v>-0.71108143118710898</v>
      </c>
      <c r="AHS7" s="7">
        <v>-0.56730075810750902</v>
      </c>
      <c r="AHT7" s="7">
        <v>0.17930674591493501</v>
      </c>
      <c r="AHU7" s="7">
        <v>-0.358534742308253</v>
      </c>
      <c r="AHV7" s="7">
        <v>-0.57283495955341601</v>
      </c>
      <c r="AHW7" s="7">
        <v>2.6603728832495399</v>
      </c>
      <c r="AHX7" s="7">
        <v>-1.3933490874166301</v>
      </c>
      <c r="AHY7" s="7">
        <v>0.51003550701145695</v>
      </c>
      <c r="AHZ7" s="7">
        <v>0.73167598115237598</v>
      </c>
      <c r="AIA7" s="7">
        <v>-1.10039400909893E-2</v>
      </c>
      <c r="AIB7" s="7">
        <v>-2.1887574398496298E-2</v>
      </c>
      <c r="AIC7" s="7">
        <v>-0.80801529097967995</v>
      </c>
      <c r="AID7" s="7">
        <v>-0.57137626066611802</v>
      </c>
      <c r="AIE7" s="7">
        <v>0.85104869012076401</v>
      </c>
      <c r="AIF7" s="7">
        <v>1.43354759093184</v>
      </c>
      <c r="AIG7" s="7">
        <v>0.93790933502066598</v>
      </c>
      <c r="AIH7" s="7">
        <v>-0.18729759085179101</v>
      </c>
      <c r="AII7" s="7">
        <v>-1.3005620265146001</v>
      </c>
      <c r="AIJ7" s="7">
        <v>-0.258898140302455</v>
      </c>
      <c r="AIK7" s="7">
        <v>1.9548087794818101</v>
      </c>
      <c r="AIL7" s="7">
        <v>0.67880827978752201</v>
      </c>
      <c r="AIM7" s="7">
        <v>-0.166278419082766</v>
      </c>
      <c r="AIN7" s="7">
        <v>-0.495946390076901</v>
      </c>
      <c r="AIO7" s="7">
        <v>0.99872323069653002</v>
      </c>
      <c r="AIP7" s="7">
        <v>-0.185310898833633</v>
      </c>
      <c r="AIQ7" s="7">
        <v>-0.64753549194305704</v>
      </c>
      <c r="AIR7" s="7">
        <v>0.196431780667913</v>
      </c>
      <c r="AIS7" s="7">
        <v>0.62662592690914998</v>
      </c>
      <c r="AIT7" s="7">
        <v>-0.20127478105999799</v>
      </c>
      <c r="AIU7" s="7">
        <v>-0.52180259175869304</v>
      </c>
      <c r="AIV7" s="7">
        <v>0.74465021118632302</v>
      </c>
      <c r="AIW7" s="7">
        <v>0.32621896913739601</v>
      </c>
      <c r="AIX7" s="7">
        <v>0.59611064083944298</v>
      </c>
      <c r="AIY7" s="7">
        <v>1.61206345963484</v>
      </c>
      <c r="AIZ7" s="7">
        <v>0.93070929952132397</v>
      </c>
      <c r="AJA7" s="7">
        <v>-0.32485158657808899</v>
      </c>
      <c r="AJB7" s="7">
        <v>0.14283933643895899</v>
      </c>
      <c r="AJC7" s="7">
        <v>0.761809373670013</v>
      </c>
      <c r="AJD7" s="7">
        <v>-1.1013492901469299</v>
      </c>
      <c r="AJE7" s="7">
        <v>0.97286060096216498</v>
      </c>
      <c r="AJF7" s="7">
        <v>-1.1671276634084999</v>
      </c>
      <c r="AJG7" s="7">
        <v>2.85900246845629</v>
      </c>
      <c r="AJH7" s="7">
        <v>0.52390660985032</v>
      </c>
      <c r="AJI7" s="7">
        <v>1.0490015324481901</v>
      </c>
      <c r="AJJ7" s="7">
        <v>-0.34823143027383502</v>
      </c>
      <c r="AJK7" s="7">
        <v>2.0142702199971598</v>
      </c>
      <c r="AJL7" s="7">
        <v>-9.3251906899170706E-2</v>
      </c>
      <c r="AJM7" s="7">
        <v>0.79150722356199799</v>
      </c>
      <c r="AJN7" s="7">
        <v>0.95231786274008201</v>
      </c>
      <c r="AJO7" s="7">
        <v>-0.13641826782306901</v>
      </c>
      <c r="AJP7" s="7">
        <v>1.7420969618819799</v>
      </c>
      <c r="AJQ7" s="7">
        <v>0.17755958319676801</v>
      </c>
      <c r="AJR7" s="7">
        <v>0.139704738272418</v>
      </c>
      <c r="AJS7" s="7">
        <v>2.5909676895760701E-2</v>
      </c>
      <c r="AJT7" s="7">
        <v>-0.94939999335031899</v>
      </c>
      <c r="AJU7" s="7">
        <v>-0.82681923730344398</v>
      </c>
      <c r="AJV7" s="7">
        <v>-0.43812510022697898</v>
      </c>
      <c r="AJW7" s="7">
        <v>-0.78622000757325605</v>
      </c>
      <c r="AJX7" s="7">
        <v>0.25031855805650899</v>
      </c>
      <c r="AJY7" s="7">
        <v>0.36822863001662398</v>
      </c>
      <c r="AJZ7" s="7">
        <v>0.57520521832903004</v>
      </c>
      <c r="AKA7" s="7">
        <v>0.62111345272403695</v>
      </c>
      <c r="AKB7" s="7">
        <v>1.4422537065110601</v>
      </c>
      <c r="AKC7" s="7">
        <v>-1.44985802495875</v>
      </c>
      <c r="AKD7" s="7">
        <v>0.80085947931448898</v>
      </c>
      <c r="AKE7" s="7">
        <v>0.43405341426479699</v>
      </c>
      <c r="AKF7" s="7">
        <v>-0.39055401078622698</v>
      </c>
      <c r="AKG7" s="7">
        <v>-8.8249273220623495E-2</v>
      </c>
      <c r="AKH7" s="7">
        <v>-4.13247286038037E-2</v>
      </c>
      <c r="AKI7" s="7">
        <v>1.4394797218908</v>
      </c>
      <c r="AKJ7" s="7">
        <v>1.6792938915287301</v>
      </c>
      <c r="AKK7" s="7">
        <v>-1.07143748945616</v>
      </c>
      <c r="AKL7" s="7">
        <v>-5.3877045621993899E-2</v>
      </c>
      <c r="AKM7" s="7">
        <v>0.40471105343966102</v>
      </c>
      <c r="AKN7" s="7">
        <v>1.4357181024483301</v>
      </c>
      <c r="AKO7" s="7">
        <v>1.6924126823036501E-2</v>
      </c>
      <c r="AKP7" s="7">
        <v>1.3773099981794501</v>
      </c>
      <c r="AKQ7" s="7">
        <v>-1.09944313996973</v>
      </c>
      <c r="AKR7" s="7">
        <v>-0.79254376904924495</v>
      </c>
      <c r="AKS7" s="7">
        <v>-1.5086626237210501</v>
      </c>
      <c r="AKT7" s="7">
        <v>2.14142109137148</v>
      </c>
      <c r="AKU7" s="7">
        <v>-1.0326885877685601</v>
      </c>
      <c r="AKV7" s="7">
        <v>0.88507367966462902</v>
      </c>
      <c r="AKW7" s="7">
        <v>-0.18210815033208599</v>
      </c>
      <c r="AKX7" s="7">
        <v>-1.1621113922131601</v>
      </c>
      <c r="AKY7" s="7">
        <v>-0.16588067833450601</v>
      </c>
      <c r="AKZ7" s="7">
        <v>-0.324821026852678</v>
      </c>
      <c r="ALA7" s="7">
        <v>-0.37789104785262401</v>
      </c>
      <c r="ALB7" s="7">
        <v>-0.65618599904664099</v>
      </c>
      <c r="ALC7" s="7">
        <v>-0.69197508096676497</v>
      </c>
      <c r="ALD7" s="7">
        <v>-0.87637917598995196</v>
      </c>
      <c r="ALE7" s="7">
        <v>0.183336987102203</v>
      </c>
      <c r="ALF7" s="7">
        <v>-1.0218209826006099</v>
      </c>
      <c r="ALG7" s="7">
        <v>-1.0027925506230799</v>
      </c>
      <c r="ALH7" s="7">
        <v>-0.97684503917124099</v>
      </c>
      <c r="ALI7" s="7">
        <v>-7.5916515676657595E-2</v>
      </c>
      <c r="ALJ7" s="7">
        <v>-1.2741065856867599</v>
      </c>
      <c r="ALK7" s="7">
        <v>-0.21279514873574401</v>
      </c>
      <c r="ALL7" s="7">
        <v>1.42172141487466</v>
      </c>
      <c r="ALM7" s="7">
        <v>-1.5942411884731399E-2</v>
      </c>
      <c r="ALN7" s="7">
        <v>0.22069806870738201</v>
      </c>
      <c r="ALO7" s="7">
        <v>-7.6655943573514698E-2</v>
      </c>
      <c r="ALP7" s="7">
        <v>0.41392980372576599</v>
      </c>
      <c r="ALQ7" s="7">
        <v>1.8980075380989601</v>
      </c>
      <c r="ALR7" s="7">
        <v>0.150054462755839</v>
      </c>
      <c r="ALS7" s="7">
        <v>9.2434003758206401E-2</v>
      </c>
      <c r="ALT7" s="7">
        <v>-0.84311213669519702</v>
      </c>
      <c r="ALU7" s="7">
        <v>-0.47610190792718199</v>
      </c>
      <c r="ALV7" s="7">
        <v>2.3655749592101798</v>
      </c>
      <c r="ALW7" s="7">
        <v>1.92841592380785</v>
      </c>
      <c r="ALX7" s="7">
        <v>-0.80930552959695501</v>
      </c>
      <c r="ALY7" s="7">
        <v>0.26730133584278598</v>
      </c>
      <c r="ALZ7" s="7">
        <v>0.47628054313155399</v>
      </c>
      <c r="AMA7" s="7">
        <v>0.22123464744170801</v>
      </c>
      <c r="AMB7" s="7">
        <v>0.70615581556100104</v>
      </c>
      <c r="AMC7" s="7">
        <v>0.35858227941010201</v>
      </c>
      <c r="AMD7" s="7">
        <v>-0.61957662166135297</v>
      </c>
      <c r="AME7" s="7">
        <v>-0.47711660733836703</v>
      </c>
      <c r="AMF7" s="7">
        <v>-0.207042991014873</v>
      </c>
      <c r="AMG7" s="7">
        <v>0.49602545305787499</v>
      </c>
      <c r="AMH7" s="7">
        <v>0.109271257103131</v>
      </c>
      <c r="AMI7" s="7">
        <v>-1.0941799955599401</v>
      </c>
      <c r="AMJ7" s="7">
        <v>-2.0156431265618702</v>
      </c>
      <c r="AMK7" s="7">
        <v>-0.90254875753146702</v>
      </c>
      <c r="AML7" s="7">
        <v>-1.16608238641685E-2</v>
      </c>
      <c r="AMM7" s="7">
        <v>0.37606413633820202</v>
      </c>
      <c r="AMN7" s="7">
        <v>0.127169272926029</v>
      </c>
      <c r="AMO7" s="7">
        <v>-1.59976490787031</v>
      </c>
      <c r="AMP7" s="7">
        <v>1.44122642732322</v>
      </c>
      <c r="AMQ7" s="7">
        <v>-1.1853700899845001</v>
      </c>
      <c r="AMR7" s="7">
        <v>7.5695217156260004E-4</v>
      </c>
      <c r="AMS7" s="7">
        <v>0.52844928994165896</v>
      </c>
      <c r="AMT7" s="7">
        <v>-1.1751118683222299</v>
      </c>
      <c r="AMU7" s="7">
        <v>0.21183196519734601</v>
      </c>
      <c r="AMV7" s="7">
        <v>-2.0992889628947499E-2</v>
      </c>
      <c r="AMW7" s="7">
        <v>0.95085941878434899</v>
      </c>
      <c r="AMX7" s="7">
        <v>-0.59033435768499998</v>
      </c>
      <c r="AMY7" s="7">
        <v>0.255241636645338</v>
      </c>
      <c r="AMZ7" s="7">
        <v>-1.71425178011206</v>
      </c>
      <c r="ANA7" s="7">
        <v>2.1877861505525802</v>
      </c>
      <c r="ANB7" s="7">
        <v>1.21231123478526</v>
      </c>
      <c r="ANC7" s="7">
        <v>0.35404589662356101</v>
      </c>
      <c r="AND7" s="7">
        <v>-0.297585595301045</v>
      </c>
      <c r="ANE7" s="7">
        <v>0.73243795464247996</v>
      </c>
      <c r="ANF7" s="7">
        <v>-0.82858099742100499</v>
      </c>
      <c r="ANG7" s="7">
        <v>-0.36400054665396198</v>
      </c>
      <c r="ANH7" s="7">
        <v>0.155115870880562</v>
      </c>
      <c r="ANI7" s="7">
        <v>-0.87630040634738404</v>
      </c>
      <c r="ANJ7" s="7">
        <v>1.50031389685614</v>
      </c>
      <c r="ANK7" s="7">
        <v>-0.74081384082142299</v>
      </c>
      <c r="ANL7" s="7">
        <v>-7.6134191558799594E-2</v>
      </c>
      <c r="ANM7" s="7">
        <v>-1.1582358666521799</v>
      </c>
      <c r="ANN7" s="7">
        <v>-1.4278594123697901</v>
      </c>
      <c r="ANO7" s="7">
        <v>-0.78936190042012799</v>
      </c>
      <c r="ANP7" s="7">
        <v>0.64945108321274603</v>
      </c>
      <c r="ANQ7" s="7">
        <v>-1.2433851126133</v>
      </c>
      <c r="ANR7" s="7">
        <v>0.19644538213520399</v>
      </c>
      <c r="ANS7" s="7">
        <v>1.1166862690633499</v>
      </c>
      <c r="ANT7" s="7">
        <v>0.39625703715510902</v>
      </c>
      <c r="ANU7" s="7">
        <v>-2.09745515208335</v>
      </c>
      <c r="ANV7" s="7">
        <v>-0.47740022415900502</v>
      </c>
      <c r="ANW7" s="7">
        <v>0.34093510809023903</v>
      </c>
      <c r="ANX7" s="7">
        <v>5.3861038110880003E-3</v>
      </c>
      <c r="ANY7" s="7">
        <v>-0.26918585105654702</v>
      </c>
      <c r="ANZ7" s="7">
        <v>-0.838548268973205</v>
      </c>
      <c r="AOA7" s="7">
        <v>0.71240334253603199</v>
      </c>
      <c r="AOB7" s="7">
        <v>-0.22833131242759</v>
      </c>
      <c r="AOC7" s="7">
        <v>-1.9163931332539501</v>
      </c>
      <c r="AOD7" s="7">
        <v>0.48132326771046702</v>
      </c>
      <c r="AOE7" s="7">
        <v>-0.74501700748777799</v>
      </c>
      <c r="AOF7" s="7">
        <v>0.399951021457981</v>
      </c>
      <c r="AOG7" s="7">
        <v>2.0941342814040702</v>
      </c>
      <c r="AOH7" s="7">
        <v>0.57610913643287598</v>
      </c>
      <c r="AOI7" s="7">
        <v>1.46511100954822</v>
      </c>
      <c r="AOJ7" s="7">
        <v>-0.31796745263725301</v>
      </c>
      <c r="AOK7" s="7">
        <v>0.23174447215454</v>
      </c>
      <c r="AOL7" s="7">
        <v>-7.3084803317798902E-2</v>
      </c>
      <c r="AOM7" s="7">
        <v>0.891755424197889</v>
      </c>
      <c r="AON7" s="7">
        <v>0.56254900332077096</v>
      </c>
      <c r="AOO7" s="7">
        <v>-0.26569267025702897</v>
      </c>
      <c r="AOP7" s="7">
        <v>1.9645928081897901</v>
      </c>
      <c r="AOQ7" s="7">
        <v>-1.02347738384919</v>
      </c>
      <c r="AOR7" s="7">
        <v>8.7444415561514499E-2</v>
      </c>
      <c r="AOS7" s="7">
        <v>-0.84361928772482098</v>
      </c>
      <c r="AOT7" s="7">
        <v>1.3739055720581299</v>
      </c>
      <c r="AOU7" s="7">
        <v>0.13764620954307799</v>
      </c>
      <c r="AOV7" s="7">
        <v>0.83821856516345805</v>
      </c>
      <c r="AOW7" s="7">
        <v>-0.36890026440628298</v>
      </c>
      <c r="AOX7" s="7">
        <v>1.55561337048458</v>
      </c>
      <c r="AOY7" s="7">
        <v>-0.264600799361773</v>
      </c>
      <c r="AOZ7" s="7">
        <v>-1.4500081971738901</v>
      </c>
      <c r="APA7" s="7">
        <v>-0.81108181708068905</v>
      </c>
      <c r="APB7" s="7">
        <v>9.7532231729386798E-2</v>
      </c>
      <c r="APC7" s="7">
        <v>-1.26172518466716</v>
      </c>
      <c r="APD7" s="7">
        <v>1.19540479354792</v>
      </c>
      <c r="APE7" s="7">
        <v>-0.91874006457716395</v>
      </c>
      <c r="APF7" s="7">
        <v>-0.151403149969421</v>
      </c>
      <c r="APG7" s="7">
        <v>-0.233595381335092</v>
      </c>
      <c r="APH7" s="7">
        <v>0.109490317021809</v>
      </c>
      <c r="API7" s="7">
        <v>-0.70155213303970798</v>
      </c>
      <c r="APJ7" s="7">
        <v>-1.8201483495452</v>
      </c>
      <c r="APK7" s="7">
        <v>1.2972878011515101</v>
      </c>
      <c r="APL7" s="7">
        <v>-8.0907248214686103E-2</v>
      </c>
      <c r="APM7" s="7">
        <v>1.56536760296678</v>
      </c>
      <c r="APN7" s="7">
        <v>-0.77778321394368699</v>
      </c>
      <c r="APO7" s="7">
        <v>-0.70030845446364098</v>
      </c>
      <c r="APP7" s="7">
        <v>3.5956673703655802E-2</v>
      </c>
      <c r="APQ7" s="7">
        <v>0.75313737456950902</v>
      </c>
      <c r="APR7" s="7">
        <v>-1.6289304819003101</v>
      </c>
      <c r="APS7" s="7">
        <v>-0.36838521069327401</v>
      </c>
      <c r="APT7" s="7">
        <v>-0.59006088031605297</v>
      </c>
      <c r="APU7" s="7">
        <v>-0.87333873416930996</v>
      </c>
      <c r="APV7" s="7">
        <v>1.96943392944373</v>
      </c>
      <c r="APW7" s="7">
        <v>-1.0317761487480199</v>
      </c>
      <c r="APX7" s="7">
        <v>-1.62083621861558</v>
      </c>
      <c r="APY7" s="7">
        <v>-1.6264988028560501</v>
      </c>
      <c r="APZ7" s="7">
        <v>0.60297700438186996</v>
      </c>
      <c r="AQA7" s="7">
        <v>0.46953898151582502</v>
      </c>
      <c r="AQB7" s="7">
        <v>1.4045381882066501</v>
      </c>
      <c r="AQC7" s="7">
        <v>-0.50170041832576096</v>
      </c>
      <c r="AQD7" s="7">
        <v>-0.22312693608297199</v>
      </c>
      <c r="AQE7" s="7">
        <v>-0.36320706796623198</v>
      </c>
      <c r="AQF7" s="7">
        <v>-1.2606408300227701</v>
      </c>
      <c r="AQG7" s="7">
        <v>0.651708021579404</v>
      </c>
      <c r="AQH7" s="7">
        <v>0.87161217594370999</v>
      </c>
      <c r="AQI7" s="7">
        <v>-1.82489399120305</v>
      </c>
      <c r="AQJ7" s="7">
        <v>0.65857942852072104</v>
      </c>
      <c r="AQK7" s="7">
        <v>0.70953833803273003</v>
      </c>
      <c r="AQL7" s="7">
        <v>1.1215814481473101</v>
      </c>
      <c r="AQM7" s="7">
        <v>0.85888083805436299</v>
      </c>
      <c r="AQN7" s="7">
        <v>-0.48954341272463903</v>
      </c>
      <c r="AQO7" s="7">
        <v>-0.291808090374301</v>
      </c>
      <c r="AQP7" s="7">
        <v>0.94562811566935701</v>
      </c>
      <c r="AQQ7" s="7">
        <v>-1.0364798889654401</v>
      </c>
      <c r="AQR7" s="7">
        <v>1.22661430594656</v>
      </c>
      <c r="AQS7" s="7">
        <v>0.27914158604346501</v>
      </c>
      <c r="AQT7" s="7">
        <v>-1.0801817742933</v>
      </c>
      <c r="AQU7" s="7">
        <v>0.72194138751520598</v>
      </c>
      <c r="AQV7" s="7">
        <v>-0.30589496501682201</v>
      </c>
      <c r="AQW7" s="7">
        <v>-0.107593771212002</v>
      </c>
      <c r="AQX7" s="7">
        <v>-0.79874939655768595</v>
      </c>
      <c r="AQY7" s="7">
        <v>-0.396958239887789</v>
      </c>
      <c r="AQZ7" s="7">
        <v>-0.56969287149327097</v>
      </c>
      <c r="ARA7" s="7">
        <v>9.5703048189755599E-2</v>
      </c>
      <c r="ARB7" s="7">
        <v>0.88602983559981696</v>
      </c>
      <c r="ARC7" s="7">
        <v>1.16083771892038</v>
      </c>
      <c r="ARD7" s="7">
        <v>1.2799388969246399</v>
      </c>
      <c r="ARE7" s="7">
        <v>0.74362480435573797</v>
      </c>
      <c r="ARF7" s="7">
        <v>0.36528241984644</v>
      </c>
      <c r="ARG7" s="7">
        <v>-1.41964293481635</v>
      </c>
      <c r="ARH7" s="7">
        <v>-1.1082964770788499</v>
      </c>
      <c r="ARI7" s="7">
        <v>1.29767118474219</v>
      </c>
      <c r="ARJ7" s="7">
        <v>0.56389490077087301</v>
      </c>
      <c r="ARK7" s="7">
        <v>-0.32076694428680902</v>
      </c>
      <c r="ARL7" s="7">
        <v>-0.98923908129504701</v>
      </c>
      <c r="ARM7" s="7">
        <v>-0.123533539059948</v>
      </c>
      <c r="ARN7" s="7">
        <v>-0.37759606120661798</v>
      </c>
      <c r="ARO7" s="7">
        <v>-0.42252435625172002</v>
      </c>
      <c r="ARP7" s="7">
        <v>-0.25275290813967599</v>
      </c>
      <c r="ARQ7" s="7">
        <v>0.338834106221238</v>
      </c>
      <c r="ARR7" s="7">
        <v>-0.96735900289118903</v>
      </c>
      <c r="ARS7" s="7">
        <v>-0.95960528771657905</v>
      </c>
      <c r="ART7" s="7">
        <v>-2.03630804151992</v>
      </c>
      <c r="ARU7" s="7">
        <v>0.33256559442960798</v>
      </c>
      <c r="ARV7" s="7">
        <v>-0.37036443883065701</v>
      </c>
      <c r="ARW7" s="7">
        <v>-5.8420646934373099E-2</v>
      </c>
      <c r="ARX7" s="7">
        <v>-0.19347950162081101</v>
      </c>
      <c r="ARY7" s="7">
        <v>0.60326750530942197</v>
      </c>
      <c r="ARZ7" s="7">
        <v>-0.73797727530784196</v>
      </c>
      <c r="ASA7" s="7">
        <v>0.10197848609922699</v>
      </c>
      <c r="ASB7" s="7">
        <v>1.3791395287767301</v>
      </c>
      <c r="ASC7" s="7">
        <v>0.82996064305703099</v>
      </c>
      <c r="ASD7" s="7">
        <v>-0.11824845142354699</v>
      </c>
      <c r="ASE7" s="7">
        <v>0.63752106058800695</v>
      </c>
      <c r="ASF7" s="7">
        <v>-0.16930957481285799</v>
      </c>
      <c r="ASG7" s="7">
        <v>-0.43869415292066199</v>
      </c>
      <c r="ASH7" s="7">
        <v>-1.6642737177418601</v>
      </c>
      <c r="ASI7" s="7">
        <v>-1.54946152704206</v>
      </c>
      <c r="ASJ7" s="7">
        <v>2.41780790140505</v>
      </c>
      <c r="ASK7" s="7">
        <v>-0.89194846644042503</v>
      </c>
      <c r="ASL7" s="7">
        <v>-0.90315583853477099</v>
      </c>
      <c r="ASM7" s="7">
        <v>-0.33104636817303801</v>
      </c>
      <c r="ASN7" s="7">
        <v>-0.53936227488493904</v>
      </c>
      <c r="ASO7" s="7">
        <v>-0.27574295451811798</v>
      </c>
      <c r="ASP7" s="7">
        <v>-3.0193378497551202</v>
      </c>
      <c r="ASQ7" s="7">
        <v>0.206676973617203</v>
      </c>
      <c r="ASR7" s="7">
        <v>0.59679562249207196</v>
      </c>
      <c r="ASS7" s="7">
        <v>-1.32333063416357</v>
      </c>
      <c r="AST7" s="7">
        <v>-7.6478660812414903E-2</v>
      </c>
      <c r="ASU7" s="7">
        <v>0.29658417564579098</v>
      </c>
      <c r="ASV7" s="7">
        <v>-1.1135191192126399</v>
      </c>
      <c r="ASW7" s="7">
        <v>-0.57950946973038897</v>
      </c>
      <c r="ASX7" s="7">
        <v>0.30616612963221701</v>
      </c>
      <c r="ASY7" s="7">
        <v>1.37640864475317</v>
      </c>
      <c r="ASZ7" s="7">
        <v>0.21882742459045201</v>
      </c>
      <c r="ATA7" s="7">
        <v>0.45486523206012502</v>
      </c>
      <c r="ATB7" s="7">
        <v>-0.157077645253829</v>
      </c>
      <c r="ATC7" s="7">
        <v>-0.189409546381201</v>
      </c>
      <c r="ATD7" s="7">
        <v>-0.72576892764463896</v>
      </c>
      <c r="ATE7" s="7">
        <v>0.82041966946767197</v>
      </c>
      <c r="ATF7" s="7">
        <v>1.5925201608172399</v>
      </c>
      <c r="ATG7" s="7">
        <v>0.290225274968893</v>
      </c>
      <c r="ATH7" s="7">
        <v>0.15498393574479999</v>
      </c>
      <c r="ATI7" s="7">
        <v>-0.10272534393614199</v>
      </c>
      <c r="ATJ7" s="7">
        <v>-4.8652176477251799E-2</v>
      </c>
      <c r="ATK7" s="7">
        <v>0.118913874627798</v>
      </c>
      <c r="ATL7" s="7">
        <v>-1.1522312401072401</v>
      </c>
      <c r="ATM7" s="7">
        <v>-0.779313729439567</v>
      </c>
      <c r="ATN7" s="7">
        <v>-2.2356147258039298</v>
      </c>
      <c r="ATO7" s="7">
        <v>0.74308651878087995</v>
      </c>
      <c r="ATP7" s="7">
        <v>0.95476185829381499</v>
      </c>
      <c r="ATQ7" s="7">
        <v>1.08497335011479</v>
      </c>
      <c r="ATR7" s="7">
        <v>-0.189843861162688</v>
      </c>
      <c r="ATS7" s="7">
        <v>6.8983771987116096E-2</v>
      </c>
      <c r="ATT7" s="7">
        <v>0.21613178415582401</v>
      </c>
      <c r="ATU7" s="7">
        <v>-1.2020042085210101</v>
      </c>
      <c r="ATV7" s="7">
        <v>0.39205569008827501</v>
      </c>
      <c r="ATW7" s="7">
        <v>1.55355402085062</v>
      </c>
      <c r="ATX7" s="7">
        <v>-8.2586222098572498E-2</v>
      </c>
      <c r="ATY7" s="7">
        <v>0.662506370818433</v>
      </c>
      <c r="ATZ7" s="7">
        <v>0.98081629400091397</v>
      </c>
      <c r="AUA7" s="7">
        <v>0.46409473855818101</v>
      </c>
      <c r="AUB7" s="7">
        <v>0.251302666289966</v>
      </c>
      <c r="AUC7" s="7">
        <v>-1.2635657455521601</v>
      </c>
      <c r="AUD7" s="7">
        <v>0.33849641928378199</v>
      </c>
      <c r="AUE7" s="7">
        <v>-0.83759970629249803</v>
      </c>
      <c r="AUF7" s="7">
        <v>0.78435660689799602</v>
      </c>
      <c r="AUG7" s="7">
        <v>-1.1859762810260801</v>
      </c>
      <c r="AUH7" s="7">
        <v>-1.94713870965036E-2</v>
      </c>
      <c r="AUI7" s="7">
        <v>1.7911874636992</v>
      </c>
      <c r="AUJ7" s="7">
        <v>-1.1110416593579999</v>
      </c>
      <c r="AUK7" s="7">
        <v>-6.9900905412088807E-2</v>
      </c>
      <c r="AUL7" s="7">
        <v>1.52706215794463</v>
      </c>
      <c r="AUM7" s="7">
        <v>-0.38900099913925601</v>
      </c>
      <c r="AUN7" s="7">
        <v>3.6629618472037599E-2</v>
      </c>
      <c r="AUO7" s="7">
        <v>-2.4265905891418398</v>
      </c>
      <c r="AUP7" s="7">
        <v>-1.3081884956477601</v>
      </c>
      <c r="AUQ7" s="7">
        <v>1.5036570705974699</v>
      </c>
      <c r="AUR7" s="7">
        <v>-1.7109324464698801</v>
      </c>
      <c r="AUS7" s="7">
        <v>-0.41026537161105098</v>
      </c>
      <c r="AUT7" s="7">
        <v>0.61321023898518301</v>
      </c>
      <c r="AUU7" s="7">
        <v>-0.40557541936529001</v>
      </c>
      <c r="AUV7" s="7">
        <v>9.2953089198145503E-2</v>
      </c>
      <c r="AUW7" s="7">
        <v>-0.79071356831445405</v>
      </c>
      <c r="AUX7" s="7">
        <v>-0.87532827239349797</v>
      </c>
      <c r="AUY7" s="7">
        <v>1.4543791903016099</v>
      </c>
      <c r="AUZ7" s="7">
        <v>1.32979856359925</v>
      </c>
      <c r="AVA7" s="7">
        <v>0.135251855759385</v>
      </c>
      <c r="AVB7" s="7">
        <v>1.17554030939938E-2</v>
      </c>
      <c r="AVC7" s="7">
        <v>-0.16152303596975601</v>
      </c>
      <c r="AVD7" s="7">
        <v>-1.70806429916791</v>
      </c>
      <c r="AVE7" s="7">
        <v>-0.563928292115356</v>
      </c>
      <c r="AVF7" s="7">
        <v>-0.34829181124969999</v>
      </c>
      <c r="AVG7" s="7">
        <v>1.2079722732902101</v>
      </c>
      <c r="AVH7" s="7">
        <v>-0.919535865183992</v>
      </c>
      <c r="AVI7" s="7">
        <v>1.0652851258490299</v>
      </c>
      <c r="AVJ7" s="7">
        <v>-0.73111128963830097</v>
      </c>
      <c r="AVK7" s="7">
        <v>-1.93625107727489</v>
      </c>
      <c r="AVL7" s="7">
        <v>1.43422173883694</v>
      </c>
      <c r="AVM7" s="7">
        <v>3.90808136040331E-2</v>
      </c>
      <c r="AVN7" s="7">
        <v>2.9709945109450699</v>
      </c>
      <c r="AVO7" s="7">
        <v>0.65552566472468499</v>
      </c>
      <c r="AVP7" s="7">
        <v>-1.3835733202784199</v>
      </c>
      <c r="AVQ7" s="7">
        <v>-3.5635357874832699E-2</v>
      </c>
      <c r="AVR7" s="7">
        <v>-0.65197521822135696</v>
      </c>
      <c r="AVS7" s="7">
        <v>0.593949052544548</v>
      </c>
      <c r="AVT7" s="7">
        <v>1.8185540706635599</v>
      </c>
      <c r="AVU7" s="7">
        <v>2.3629218106719798</v>
      </c>
      <c r="AVV7" s="7">
        <v>1.27743899823564</v>
      </c>
      <c r="AVW7" s="7">
        <v>-1.64433638116062</v>
      </c>
      <c r="AVX7" s="7">
        <v>-0.16744749669657799</v>
      </c>
      <c r="AVY7" s="7">
        <v>-1.86133761182028</v>
      </c>
      <c r="AVZ7" s="7">
        <v>1.58305160890969</v>
      </c>
      <c r="AWA7" s="7">
        <v>1.0476117168499599</v>
      </c>
      <c r="AWB7" s="7">
        <v>-0.81687728192676401</v>
      </c>
      <c r="AWC7" s="7">
        <v>1.4753307517048699</v>
      </c>
      <c r="AWD7" s="7">
        <v>-1.20739541249663</v>
      </c>
      <c r="AWE7" s="7">
        <v>-0.932948258576344</v>
      </c>
      <c r="AWF7" s="7">
        <v>0.97655632981405704</v>
      </c>
      <c r="AWG7" s="7">
        <v>-0.95277609366350802</v>
      </c>
      <c r="AWH7" s="7">
        <v>0.656440874870302</v>
      </c>
      <c r="AWI7" s="7">
        <v>-1.0014383675615399</v>
      </c>
      <c r="AWJ7" s="7">
        <v>-0.86101885183578297</v>
      </c>
      <c r="AWK7" s="7">
        <v>0.23425753752376399</v>
      </c>
      <c r="AWL7" s="7">
        <v>8.1957801124262694E-2</v>
      </c>
      <c r="AWM7" s="7">
        <v>-0.22362456549832499</v>
      </c>
      <c r="AWN7" s="7">
        <v>1.9754707888087799</v>
      </c>
      <c r="AWO7" s="7">
        <v>-0.18662850151655599</v>
      </c>
      <c r="AWP7" s="7">
        <v>-0.92833209481839896</v>
      </c>
      <c r="AWQ7" s="7">
        <v>-0.89355956023676797</v>
      </c>
      <c r="AWR7" s="7">
        <v>1.02369257204869</v>
      </c>
      <c r="AWS7" s="7">
        <v>3.71173381175499E-2</v>
      </c>
      <c r="AWT7" s="7">
        <v>-3.57335848835931E-2</v>
      </c>
      <c r="AWU7" s="7">
        <v>-0.79677688541028202</v>
      </c>
      <c r="AWV7" s="7">
        <v>-0.39119802888977701</v>
      </c>
      <c r="AWW7" s="7">
        <v>1.0339353951297201</v>
      </c>
      <c r="AWX7" s="7">
        <v>1.08343303226423</v>
      </c>
      <c r="AWY7" s="7">
        <v>-0.131135219683152</v>
      </c>
      <c r="AWZ7" s="7">
        <v>-2.6078505243644901</v>
      </c>
      <c r="AXA7" s="7">
        <v>-1.74858729660781</v>
      </c>
      <c r="AXB7" s="7">
        <v>-0.80872809487648101</v>
      </c>
      <c r="AXC7" s="7">
        <v>-1.57541629349667</v>
      </c>
      <c r="AXD7" s="7">
        <v>0.39798450564165</v>
      </c>
      <c r="AXE7" s="7">
        <v>0.87358817266057898</v>
      </c>
      <c r="AXF7" s="7">
        <v>1.2371394986229201</v>
      </c>
      <c r="AXG7" s="7">
        <v>-1.7003645733215</v>
      </c>
      <c r="AXH7" s="7">
        <v>-0.140684678527699</v>
      </c>
      <c r="AXI7" s="7">
        <v>0.506969030761239</v>
      </c>
      <c r="AXJ7" s="7">
        <v>0.45152940369279199</v>
      </c>
      <c r="AXK7" s="7">
        <v>-0.40251018966881102</v>
      </c>
      <c r="AXL7" s="7">
        <v>3.15579467790216</v>
      </c>
      <c r="AXM7" s="7">
        <v>0.15305257154941601</v>
      </c>
      <c r="AXN7" s="7">
        <v>0.19076611209703301</v>
      </c>
      <c r="AXO7" s="7">
        <v>-0.45087465954253297</v>
      </c>
      <c r="AXP7" s="7">
        <v>-0.12544503062630999</v>
      </c>
      <c r="AXQ7" s="7">
        <v>0.14583108850093199</v>
      </c>
      <c r="AXR7" s="7">
        <v>-0.37305065707150298</v>
      </c>
      <c r="AXS7" s="7">
        <v>1.9320616393568699</v>
      </c>
      <c r="AXT7" s="7">
        <v>-0.87228534062640894</v>
      </c>
      <c r="AXU7" s="7">
        <v>-4.2470724289087602E-2</v>
      </c>
      <c r="AXV7" s="7">
        <v>0.15927349918511199</v>
      </c>
      <c r="AXW7" s="7">
        <v>-1.7060962991552599E-2</v>
      </c>
      <c r="AXX7" s="7">
        <v>-0.60611097263964997</v>
      </c>
      <c r="AXY7" s="7">
        <v>0.488798101519623</v>
      </c>
      <c r="AXZ7" s="7">
        <v>0.146246606150849</v>
      </c>
      <c r="AYA7" s="7">
        <v>-0.93974815274982204</v>
      </c>
      <c r="AYB7" s="7">
        <v>-0.44120177047089798</v>
      </c>
      <c r="AYC7" s="7">
        <v>-0.47153406203789699</v>
      </c>
      <c r="AYD7" s="7">
        <v>0.35622136223551198</v>
      </c>
      <c r="AYE7" s="7">
        <v>2.9828094658118399E-2</v>
      </c>
      <c r="AYF7" s="7">
        <v>0.838723145299618</v>
      </c>
      <c r="AYG7" s="7">
        <v>1.63275072884896</v>
      </c>
      <c r="AYH7" s="7">
        <v>-0.49248262568922002</v>
      </c>
      <c r="AYI7" s="7">
        <v>-0.228893584105237</v>
      </c>
      <c r="AYJ7" s="7">
        <v>0.15280158428551299</v>
      </c>
      <c r="AYK7" s="7">
        <v>0.48334958272677098</v>
      </c>
      <c r="AYL7" s="7">
        <v>-0.46107562280155601</v>
      </c>
      <c r="AYM7" s="7">
        <v>-0.87811030629295195</v>
      </c>
      <c r="AYN7" s="7">
        <v>-1.2063648725252401</v>
      </c>
      <c r="AYO7" s="7">
        <v>0.433851726299881</v>
      </c>
      <c r="AYP7" s="7">
        <v>0.65599826027906105</v>
      </c>
      <c r="AYQ7" s="7">
        <v>-0.37544284023617303</v>
      </c>
      <c r="AYR7" s="7">
        <v>0.65282524155792898</v>
      </c>
      <c r="AYS7" s="7">
        <v>0.112918395225795</v>
      </c>
      <c r="AYT7" s="7">
        <v>0.31585381452210698</v>
      </c>
      <c r="AYU7" s="7">
        <v>-0.34077065484669899</v>
      </c>
      <c r="AYV7" s="7">
        <v>-1.0888687981124501</v>
      </c>
      <c r="AYW7" s="7">
        <v>-5.3493430620536004E-3</v>
      </c>
      <c r="AYX7" s="7">
        <v>0.54943783793288703</v>
      </c>
      <c r="AYY7" s="7">
        <v>0.79149280906986896</v>
      </c>
      <c r="AYZ7" s="7">
        <v>-0.234057100414305</v>
      </c>
      <c r="AZA7" s="7">
        <v>-0.78439433100797895</v>
      </c>
      <c r="AZB7" s="7">
        <v>-2.20269752263679</v>
      </c>
      <c r="AZC7" s="7">
        <v>-0.31734908822310598</v>
      </c>
      <c r="AZD7" s="7">
        <v>-3.29414366733391</v>
      </c>
      <c r="AZE7" s="7">
        <v>0.63199836484909899</v>
      </c>
      <c r="AZF7" s="7">
        <v>0.204518541576414</v>
      </c>
      <c r="AZG7" s="7">
        <v>1.72331139741309</v>
      </c>
      <c r="AZH7" s="7">
        <v>0.63925093949760303</v>
      </c>
      <c r="AZI7" s="7">
        <v>-0.60750126362019496</v>
      </c>
      <c r="AZJ7" s="7">
        <v>1.11304417530525</v>
      </c>
      <c r="AZK7" s="7">
        <v>-0.55800115425255403</v>
      </c>
      <c r="AZL7" s="7">
        <v>0.68306894315856204</v>
      </c>
      <c r="AZM7" s="7">
        <v>0.59724949180354803</v>
      </c>
      <c r="AZN7" s="7">
        <v>0.52867860619542895</v>
      </c>
      <c r="AZO7" s="7">
        <v>-0.16485471234114699</v>
      </c>
      <c r="AZP7" s="7">
        <v>0.61603081707575302</v>
      </c>
      <c r="AZQ7" s="7">
        <v>-0.66510250837444895</v>
      </c>
      <c r="AZR7" s="7">
        <v>0.98336174618748495</v>
      </c>
      <c r="AZS7" s="7">
        <v>-0.11563101653487701</v>
      </c>
      <c r="AZT7" s="7">
        <v>-0.985862199910992</v>
      </c>
      <c r="AZU7" s="7">
        <v>-1.9242082121397901</v>
      </c>
      <c r="AZV7" s="7">
        <v>-0.49317714323191802</v>
      </c>
      <c r="AZW7" s="7">
        <v>-1.3359396638354</v>
      </c>
      <c r="AZX7" s="7">
        <v>0.104869883251426</v>
      </c>
      <c r="AZY7" s="7">
        <v>-0.34905433613183301</v>
      </c>
      <c r="AZZ7" s="7">
        <v>9.6642802862814903E-2</v>
      </c>
      <c r="BAA7" s="7">
        <v>-1.0046079483531301</v>
      </c>
      <c r="BAB7" s="7">
        <v>1.56147183933922</v>
      </c>
      <c r="BAC7" s="7">
        <v>0.20229471323391199</v>
      </c>
      <c r="BAD7" s="7">
        <v>0.110716090983264</v>
      </c>
      <c r="BAE7" s="7">
        <v>-0.31628004583492603</v>
      </c>
      <c r="BAF7" s="7">
        <v>1.5986847455284301</v>
      </c>
      <c r="BAG7" s="7">
        <v>-4.2778853703245599E-2</v>
      </c>
      <c r="BAH7" s="7">
        <v>-0.65403144323631801</v>
      </c>
      <c r="BAI7" s="7">
        <v>-0.59859139017770602</v>
      </c>
      <c r="BAJ7" s="7">
        <v>-0.73980813130148304</v>
      </c>
      <c r="BAK7" s="7">
        <v>1.75287038804089</v>
      </c>
      <c r="BAL7" s="7">
        <v>-0.36620145527611803</v>
      </c>
      <c r="BAM7" s="7">
        <v>1.6447663938153401</v>
      </c>
      <c r="BAN7" s="7">
        <v>1.45594862034779</v>
      </c>
      <c r="BAO7" s="7">
        <v>1.1462661978605899</v>
      </c>
      <c r="BAP7" s="7">
        <v>-1.7505841505189199</v>
      </c>
      <c r="BAQ7" s="7">
        <v>-0.50797703517610704</v>
      </c>
      <c r="BAR7" s="7">
        <v>1.84448235407128</v>
      </c>
      <c r="BAS7" s="7">
        <v>-7.1316686204808494E-2</v>
      </c>
      <c r="BAT7" s="7">
        <v>-1.0086678959855</v>
      </c>
      <c r="BAU7" s="7">
        <v>0.47647765031982298</v>
      </c>
      <c r="BAV7" s="7">
        <v>1.41836703830274</v>
      </c>
      <c r="BAW7" s="7">
        <v>-0.90246829795336003</v>
      </c>
      <c r="BAX7" s="7">
        <v>0.68478820362541004</v>
      </c>
      <c r="BAY7" s="7">
        <v>4.6254059624681501E-2</v>
      </c>
      <c r="BAZ7" s="7">
        <v>-0.221190566976288</v>
      </c>
      <c r="BBA7" s="7">
        <v>-0.758977612228106</v>
      </c>
      <c r="BBB7" s="7">
        <v>0.57093200240007402</v>
      </c>
      <c r="BBC7" s="7">
        <v>1.1791995019800201</v>
      </c>
      <c r="BBD7" s="7">
        <v>0.27985455999554798</v>
      </c>
      <c r="BBE7" s="7">
        <v>-8.0680898952394005E-3</v>
      </c>
      <c r="BBF7" s="7">
        <v>-0.74958165540139399</v>
      </c>
      <c r="BBG7" s="7">
        <v>-1.1388699660822701</v>
      </c>
      <c r="BBH7" s="7">
        <v>1.0169041379088199</v>
      </c>
      <c r="BBI7" s="7">
        <v>1.7463257869486899</v>
      </c>
      <c r="BBJ7" s="7">
        <v>-1.1894584905768499</v>
      </c>
      <c r="BBK7" s="7">
        <v>0.84856283066799998</v>
      </c>
      <c r="BBL7" s="7">
        <v>-2.56195352381078</v>
      </c>
      <c r="BBM7" s="7">
        <v>-1.9085201002096901</v>
      </c>
      <c r="BBN7" s="7">
        <v>1.5832761543976701</v>
      </c>
      <c r="BBO7" s="7">
        <v>-0.19348278520405199</v>
      </c>
      <c r="BBP7" s="7">
        <v>0.79644453891840095</v>
      </c>
      <c r="BBQ7" s="7">
        <v>-0.47714900849816799</v>
      </c>
      <c r="BBR7" s="7">
        <v>0.110679068265352</v>
      </c>
      <c r="BBS7" s="7">
        <v>0.64459900688456395</v>
      </c>
      <c r="BBT7" s="7">
        <v>-0.75950388423751103</v>
      </c>
      <c r="BBU7" s="7">
        <v>-0.12633355393617501</v>
      </c>
      <c r="BBV7" s="7">
        <v>-0.46098915344090302</v>
      </c>
      <c r="BBW7" s="7">
        <v>0.28225113903905702</v>
      </c>
      <c r="BBX7" s="7">
        <v>0.56555346442670995</v>
      </c>
      <c r="BBY7" s="7">
        <v>3.0011498998220998</v>
      </c>
      <c r="BBZ7" s="7">
        <v>0.78124145015435398</v>
      </c>
      <c r="BCA7" s="7">
        <v>0.67213628683135496</v>
      </c>
      <c r="BCB7" s="7">
        <v>0.51807396818843199</v>
      </c>
      <c r="BCC7" s="7">
        <v>0.104585771330561</v>
      </c>
      <c r="BCD7" s="7">
        <v>1.76003575635946</v>
      </c>
      <c r="BCE7" s="7">
        <v>6.08863672324206E-2</v>
      </c>
      <c r="BCF7" s="7">
        <v>-0.58556811923104501</v>
      </c>
      <c r="BCG7" s="7">
        <v>-0.80220278560171898</v>
      </c>
      <c r="BCH7" s="7">
        <v>-1.8749889881058299</v>
      </c>
      <c r="BCI7" s="7">
        <v>0.39438275400727502</v>
      </c>
      <c r="BCJ7" s="7">
        <v>0.200460370073545</v>
      </c>
      <c r="BCK7" s="7">
        <v>-7.2979229203576496E-2</v>
      </c>
      <c r="BCL7" s="7">
        <v>0.84387304005197805</v>
      </c>
      <c r="BCM7" s="7">
        <v>1.2908023967128699</v>
      </c>
      <c r="BCN7" s="7">
        <v>-0.93975680202052403</v>
      </c>
      <c r="BCO7" s="7">
        <v>0.72471038256396003</v>
      </c>
      <c r="BCP7" s="7">
        <v>0.424389928257071</v>
      </c>
      <c r="BCQ7" s="7">
        <v>0.80053409608294501</v>
      </c>
      <c r="BCR7" s="7">
        <v>-1.12590939787564</v>
      </c>
      <c r="BCS7" s="7">
        <v>-0.41401463114409998</v>
      </c>
      <c r="BCT7" s="7">
        <v>0.505365185374135</v>
      </c>
      <c r="BCU7" s="7">
        <v>1.05355100402199</v>
      </c>
      <c r="BCV7" s="7">
        <v>0.36443029053604797</v>
      </c>
      <c r="BCW7" s="7">
        <v>0.47289425398497598</v>
      </c>
      <c r="BCX7" s="7">
        <v>0.32980584380655098</v>
      </c>
      <c r="BCY7" s="7">
        <v>0.23913883880533299</v>
      </c>
      <c r="BCZ7" s="7">
        <v>-0.46801022082369198</v>
      </c>
      <c r="BDA7" s="7">
        <v>0.71314479817686205</v>
      </c>
      <c r="BDB7" s="7">
        <v>0.263665292843069</v>
      </c>
      <c r="BDC7" s="7">
        <v>1.1252355148103099</v>
      </c>
      <c r="BDD7" s="7">
        <v>1.1569381329053701</v>
      </c>
      <c r="BDE7" s="7">
        <v>0.14623923218802701</v>
      </c>
      <c r="BDF7" s="7">
        <v>-0.95026370005410299</v>
      </c>
      <c r="BDG7" s="7">
        <v>0.68541770074691399</v>
      </c>
      <c r="BDH7" s="7">
        <v>-0.55245700014140997</v>
      </c>
      <c r="BDI7" s="7">
        <v>0.62585981347057495</v>
      </c>
      <c r="BDJ7" s="7">
        <v>-0.41506376938558698</v>
      </c>
      <c r="BDK7" s="7">
        <v>-1.5851546425518099</v>
      </c>
      <c r="BDL7" s="7">
        <v>0.69225990865323594</v>
      </c>
      <c r="BDM7" s="7">
        <v>-1.5072810751591901</v>
      </c>
      <c r="BDN7" s="7">
        <v>-0.37454975522456302</v>
      </c>
      <c r="BDO7" s="7">
        <v>0.39033410558013898</v>
      </c>
      <c r="BDP7" s="7">
        <v>-1.6854310933830201</v>
      </c>
      <c r="BDQ7" s="7">
        <v>0.33650233475126001</v>
      </c>
      <c r="BDR7" s="7">
        <v>-0.55590988714156997</v>
      </c>
      <c r="BDS7" s="7">
        <v>-1.2623888917725601</v>
      </c>
      <c r="BDT7" s="7">
        <v>1.3539636129619801</v>
      </c>
      <c r="BDU7" s="7">
        <v>0.69909843054280896</v>
      </c>
      <c r="BDV7" s="7">
        <v>1.6498566829235899</v>
      </c>
      <c r="BDW7" s="7">
        <v>2.2415567398578702</v>
      </c>
      <c r="BDX7" s="7">
        <v>1.21699715157277</v>
      </c>
      <c r="BDY7" s="7">
        <v>1.2595145058125101E-2</v>
      </c>
      <c r="BDZ7" s="7">
        <v>-0.77050388206044196</v>
      </c>
      <c r="BEA7" s="7">
        <v>0.46874905973326603</v>
      </c>
      <c r="BEB7" s="7">
        <v>-0.74149693630334101</v>
      </c>
      <c r="BEC7" s="7">
        <v>0.46799218032936002</v>
      </c>
      <c r="BED7" s="7">
        <v>3.5622561778075199E-2</v>
      </c>
      <c r="BEE7" s="7">
        <v>0.20373931859300801</v>
      </c>
      <c r="BEF7" s="7">
        <v>-0.181534902202451</v>
      </c>
      <c r="BEG7" s="7">
        <v>-0.118605300364629</v>
      </c>
      <c r="BEH7" s="7">
        <v>1.5833055568995</v>
      </c>
      <c r="BEI7" s="7">
        <v>0.13489163681934599</v>
      </c>
      <c r="BEJ7" s="7">
        <v>0.32997003415346099</v>
      </c>
      <c r="BEK7" s="7">
        <v>0.62181746827942697</v>
      </c>
      <c r="BEL7" s="7">
        <v>-0.80719649403698701</v>
      </c>
      <c r="BEM7" s="7">
        <v>-6.2621636757180604E-2</v>
      </c>
      <c r="BEN7" s="7">
        <v>1.31779801204795</v>
      </c>
      <c r="BEO7" s="7">
        <v>1.07123134992299</v>
      </c>
      <c r="BEP7" s="7">
        <v>1.6709227300799301</v>
      </c>
      <c r="BEQ7" s="7">
        <v>-0.74937508976384803</v>
      </c>
      <c r="BER7" s="7">
        <v>-1.7044888289053</v>
      </c>
      <c r="BES7" s="7">
        <v>0.95834071852333802</v>
      </c>
      <c r="BET7" s="7">
        <v>0.27601629463858302</v>
      </c>
      <c r="BEU7" s="7">
        <v>-0.60002691083356796</v>
      </c>
      <c r="BEV7" s="7">
        <v>0.55166473634521196</v>
      </c>
      <c r="BEW7" s="7">
        <v>-0.45100404216984802</v>
      </c>
      <c r="BEX7" s="7">
        <v>-0.65790047101154403</v>
      </c>
      <c r="BEY7" s="7">
        <v>-6.4463785466269602E-2</v>
      </c>
      <c r="BEZ7" s="7">
        <v>5.4191687862615801E-2</v>
      </c>
      <c r="BFA7" s="7">
        <v>0.27587098565124102</v>
      </c>
      <c r="BFB7" s="7">
        <v>-0.64485606620063196</v>
      </c>
      <c r="BFC7" s="7">
        <v>-0.56995348979697802</v>
      </c>
      <c r="BFD7" s="7">
        <v>0.96784644448845802</v>
      </c>
      <c r="BFE7" s="7">
        <v>0.86920643301701805</v>
      </c>
      <c r="BFF7" s="7">
        <v>0.50040522207510296</v>
      </c>
      <c r="BFG7" s="7">
        <v>-0.43780029819861399</v>
      </c>
      <c r="BFH7" s="7">
        <v>-0.149570724929902</v>
      </c>
      <c r="BFI7" s="7">
        <v>-0.31864943137836799</v>
      </c>
      <c r="BFJ7" s="7">
        <v>1.0405575727798</v>
      </c>
      <c r="BFK7" s="7">
        <v>0.30537710173335703</v>
      </c>
      <c r="BFL7" s="7">
        <v>0.14436837494250701</v>
      </c>
      <c r="BFM7" s="7">
        <v>-0.36447126335751001</v>
      </c>
      <c r="BFN7" s="7">
        <v>0.65943830974892503</v>
      </c>
      <c r="BFO7" s="7">
        <v>1.4440277328808799</v>
      </c>
      <c r="BFP7" s="7">
        <v>0.315088851864952</v>
      </c>
      <c r="BFQ7" s="7">
        <v>-1.4489431434685001</v>
      </c>
      <c r="BFR7" s="7">
        <v>9.2849001208825194E-2</v>
      </c>
      <c r="BFS7" s="7">
        <v>-1.0409320462605001</v>
      </c>
      <c r="BFT7" s="7">
        <v>-1.61999976520251</v>
      </c>
      <c r="BFU7" s="7">
        <v>-0.50192695803175302</v>
      </c>
      <c r="BFV7" s="7">
        <v>0.758012488161807</v>
      </c>
      <c r="BFW7" s="7">
        <v>-0.88107595598530597</v>
      </c>
      <c r="BFX7" s="7">
        <v>0.99751181593635896</v>
      </c>
      <c r="BFY7" s="7">
        <v>-1.00299890006661</v>
      </c>
      <c r="BFZ7" s="7">
        <v>0.55503773600729001</v>
      </c>
      <c r="BGA7" s="7">
        <v>2.0539967516692501</v>
      </c>
      <c r="BGB7" s="7">
        <v>-0.41479503028196801</v>
      </c>
      <c r="BGC7" s="7">
        <v>1.6199602453153601</v>
      </c>
      <c r="BGD7" s="7">
        <v>1.24845746970043</v>
      </c>
      <c r="BGE7" s="7">
        <v>-0.36829505121654099</v>
      </c>
      <c r="BGF7" s="7">
        <v>-1.0349752392173801</v>
      </c>
      <c r="BGG7" s="7">
        <v>0.92314712211149497</v>
      </c>
      <c r="BGH7" s="7">
        <v>0.47333502163218699</v>
      </c>
      <c r="BGI7" s="7">
        <v>-0.209162007347616</v>
      </c>
      <c r="BGJ7" s="7">
        <v>0.25208137204331599</v>
      </c>
      <c r="BGK7" s="7">
        <v>-0.59168199211592698</v>
      </c>
      <c r="BGL7" s="7">
        <v>0.37928929716410398</v>
      </c>
      <c r="BGM7" s="7">
        <v>-1.64755345377761</v>
      </c>
      <c r="BGN7" s="7">
        <v>-1.47809833382307</v>
      </c>
      <c r="BGO7" s="7">
        <v>0.58197576429084796</v>
      </c>
      <c r="BGP7" s="7">
        <v>-0.27930232174186598</v>
      </c>
      <c r="BGQ7" s="7">
        <v>-0.56102938237353495</v>
      </c>
      <c r="BGR7" s="7">
        <v>1.1941999815861699</v>
      </c>
      <c r="BGS7" s="7">
        <v>-0.54248130226990898</v>
      </c>
      <c r="BGT7" s="7">
        <v>1.9680407340496999</v>
      </c>
      <c r="BGU7" s="7">
        <v>0.71986483996827999</v>
      </c>
      <c r="BGV7" s="7">
        <v>-0.449451779321064</v>
      </c>
      <c r="BGW7" s="7">
        <v>-1.9982539204822201</v>
      </c>
      <c r="BGX7" s="7">
        <v>1.45033128319106</v>
      </c>
      <c r="BGY7" s="7">
        <v>0.17891804233184699</v>
      </c>
      <c r="BGZ7" s="7">
        <v>-0.66169920781562297</v>
      </c>
      <c r="BHA7" s="7">
        <v>-0.178799226104078</v>
      </c>
      <c r="BHB7" s="7">
        <v>-0.24464659700366401</v>
      </c>
      <c r="BHC7" s="7">
        <v>0.624344235123518</v>
      </c>
      <c r="BHD7" s="7">
        <v>0.29542140832352198</v>
      </c>
      <c r="BHE7" s="7">
        <v>-1.0630051654194801</v>
      </c>
      <c r="BHF7" s="7">
        <v>-0.45770883522490202</v>
      </c>
      <c r="BHG7" s="7">
        <v>-1.5794113454138301</v>
      </c>
      <c r="BHH7" s="7">
        <v>-1.2791256789416801</v>
      </c>
      <c r="BHI7" s="7">
        <v>-0.33452821554449202</v>
      </c>
      <c r="BHJ7" s="7">
        <v>-0.90381094651417104</v>
      </c>
      <c r="BHK7" s="7">
        <v>0.61917976593284796</v>
      </c>
      <c r="BHL7" s="7">
        <v>1.4871520971282499</v>
      </c>
      <c r="BHM7" s="7">
        <v>-0.131208865396372</v>
      </c>
      <c r="BHN7" s="7">
        <v>0.354754801674033</v>
      </c>
      <c r="BHO7" s="7">
        <v>-0.56502849527973098</v>
      </c>
      <c r="BHP7" s="7">
        <v>-0.40939129686805698</v>
      </c>
      <c r="BHQ7" s="7">
        <v>-0.94252603125970602</v>
      </c>
      <c r="BHR7" s="7">
        <v>1.24895376818391</v>
      </c>
      <c r="BHS7" s="7">
        <v>-1.32198478649565</v>
      </c>
      <c r="BHT7" s="7">
        <v>0.189407043813936</v>
      </c>
      <c r="BHU7" s="7">
        <v>1.97585475055576</v>
      </c>
      <c r="BHV7" s="7">
        <v>-0.51798682308770905</v>
      </c>
      <c r="BHW7" s="7">
        <v>-1.0728046821369699</v>
      </c>
      <c r="BHX7" s="7">
        <v>0.60318043506069496</v>
      </c>
      <c r="BHY7" s="7">
        <v>-2.5880390381226399</v>
      </c>
      <c r="BHZ7" s="7">
        <v>-9.2898449417802606E-2</v>
      </c>
      <c r="BIA7" s="7">
        <v>0.50765457345349096</v>
      </c>
      <c r="BIB7" s="7">
        <v>1.01412467378309</v>
      </c>
      <c r="BIC7" s="7">
        <v>-0.11585344566719399</v>
      </c>
      <c r="BID7" s="7">
        <v>-1.5129939744231</v>
      </c>
      <c r="BIE7" s="7">
        <v>0.78511236396700201</v>
      </c>
      <c r="BIF7" s="7">
        <v>-6.9523135933180297E-2</v>
      </c>
      <c r="BIG7" s="7">
        <v>-0.47564269298848999</v>
      </c>
      <c r="BIH7" s="7">
        <v>1.26343751881366</v>
      </c>
      <c r="BII7" s="7">
        <v>0.46176826111193803</v>
      </c>
      <c r="BIJ7" s="7">
        <v>1.8611801335951399</v>
      </c>
      <c r="BIK7" s="7">
        <v>2.2789650317505002E-3</v>
      </c>
      <c r="BIL7" s="7">
        <v>-0.37171803956420002</v>
      </c>
      <c r="BIM7" s="7">
        <v>0.62123394205668203</v>
      </c>
      <c r="BIN7" s="7">
        <v>1.5447871673168001</v>
      </c>
      <c r="BIO7" s="7">
        <v>0.77599329828878305</v>
      </c>
      <c r="BIP7" s="7">
        <v>1.11733092510535</v>
      </c>
      <c r="BIQ7" s="7">
        <v>-0.302445908440577</v>
      </c>
      <c r="BIR7" s="7">
        <v>-0.23231643905167099</v>
      </c>
      <c r="BIS7" s="7">
        <v>-1.55303022906105</v>
      </c>
      <c r="BIT7" s="7">
        <v>-1.3099400600667801E-2</v>
      </c>
      <c r="BIU7" s="7">
        <v>-1.1302993149637699</v>
      </c>
      <c r="BIV7" s="7">
        <v>-1.45032020046111</v>
      </c>
      <c r="BIW7" s="7">
        <v>1.0325205653514899</v>
      </c>
      <c r="BIX7" s="7">
        <v>2.15609847699417</v>
      </c>
      <c r="BIY7" s="7">
        <v>-0.81388054779747798</v>
      </c>
      <c r="BIZ7" s="7">
        <v>0.33582675685482</v>
      </c>
      <c r="BJA7" s="7">
        <v>-0.189238089693023</v>
      </c>
      <c r="BJB7" s="7">
        <v>-0.69081269308970294</v>
      </c>
      <c r="BJC7" s="7">
        <v>0.15090637517590899</v>
      </c>
      <c r="BJD7" s="7">
        <v>0.51778552506047304</v>
      </c>
      <c r="BJE7" s="7">
        <v>1.8359766513217499</v>
      </c>
      <c r="BJF7" s="7">
        <v>0.92433028828969799</v>
      </c>
      <c r="BJG7" s="7">
        <v>-0.17165421128285599</v>
      </c>
      <c r="BJH7" s="7">
        <v>-0.49109154602370397</v>
      </c>
      <c r="BJI7" s="7">
        <v>-0.26162991410492498</v>
      </c>
      <c r="BJJ7" s="7">
        <v>0.27782913984062602</v>
      </c>
      <c r="BJK7" s="7">
        <v>0.30838857336825998</v>
      </c>
      <c r="BJL7" s="7">
        <v>-0.21954897578458801</v>
      </c>
      <c r="BJM7" s="7">
        <v>-0.118347678115578</v>
      </c>
      <c r="BJN7" s="7">
        <v>-1.2661510163373799</v>
      </c>
      <c r="BJO7" s="7">
        <v>-1.2192715355738</v>
      </c>
      <c r="BJP7" s="7">
        <v>0.83308149367312401</v>
      </c>
      <c r="BJQ7" s="7">
        <v>-1.0512922155586699</v>
      </c>
      <c r="BJR7" s="7">
        <v>1.2793060062441799</v>
      </c>
      <c r="BJS7" s="7">
        <v>0.73206298506949496</v>
      </c>
      <c r="BJT7" s="7">
        <v>0.75605202952653805</v>
      </c>
      <c r="BJU7" s="7">
        <v>1.29439047768931</v>
      </c>
      <c r="BJV7" s="7">
        <v>1.0367311146626501</v>
      </c>
      <c r="BJW7" s="7">
        <v>0.93587848712347299</v>
      </c>
      <c r="BJX7" s="7">
        <v>2.8091448361006199E-2</v>
      </c>
      <c r="BJY7" s="7">
        <v>0.44582521587753798</v>
      </c>
      <c r="BJZ7" s="7">
        <v>-0.71361539817109898</v>
      </c>
      <c r="BKA7" s="7">
        <v>-1.5072473192109399</v>
      </c>
      <c r="BKB7" s="7">
        <v>0.925476375317134</v>
      </c>
      <c r="BKC7" s="7">
        <v>-1.5814297961882899</v>
      </c>
      <c r="BKD7" s="7">
        <v>-1.4810321766427601</v>
      </c>
      <c r="BKE7" s="7">
        <v>-0.13261554746193699</v>
      </c>
      <c r="BKF7" s="7">
        <v>-1.1350053917915299</v>
      </c>
      <c r="BKG7" s="7">
        <v>1.4903237143366499</v>
      </c>
      <c r="BKH7" s="7">
        <v>-1.7963218730166299</v>
      </c>
      <c r="BKI7" s="7">
        <v>-0.53566623960839899</v>
      </c>
      <c r="BKJ7" s="7">
        <v>-0.76252383885543396</v>
      </c>
      <c r="BKK7" s="7">
        <v>0.26283874603149399</v>
      </c>
      <c r="BKL7" s="7">
        <v>-0.47800404379420403</v>
      </c>
      <c r="BKM7" s="7">
        <v>1.98597040939522</v>
      </c>
      <c r="BKN7" s="7">
        <v>0.109835128367163</v>
      </c>
      <c r="BKO7" s="7">
        <v>0.57502818505921205</v>
      </c>
      <c r="BKP7" s="7">
        <v>0.25660275100324897</v>
      </c>
      <c r="BKQ7" s="7">
        <v>0.87008614740736301</v>
      </c>
      <c r="BKR7" s="7">
        <v>-2.2177802498014501</v>
      </c>
      <c r="BKS7" s="7">
        <v>-1.2072022383423</v>
      </c>
      <c r="BKT7" s="7">
        <v>-0.26386529520401197</v>
      </c>
      <c r="BKU7" s="7">
        <v>0.81481087704240995</v>
      </c>
      <c r="BKV7" s="7">
        <v>0.12162723467700801</v>
      </c>
      <c r="BKW7" s="7">
        <v>-1.6742686815743</v>
      </c>
      <c r="BKX7" s="7">
        <v>1.26106193573243</v>
      </c>
      <c r="BKY7" s="7">
        <v>1.11518259450088</v>
      </c>
      <c r="BKZ7" s="7">
        <v>0.23565199464172601</v>
      </c>
      <c r="BLA7" s="7">
        <v>0.99051156829445197</v>
      </c>
      <c r="BLB7" s="7">
        <v>-1.0805041804376401</v>
      </c>
      <c r="BLC7" s="7">
        <v>-0.76067707494161696</v>
      </c>
      <c r="BLD7" s="7">
        <v>1.72917087105862</v>
      </c>
      <c r="BLE7" s="7">
        <v>0.34218021824947598</v>
      </c>
      <c r="BLF7" s="7">
        <v>-0.86608019623735499</v>
      </c>
      <c r="BLG7" s="7">
        <v>2.6622468781425299</v>
      </c>
      <c r="BLH7" s="7">
        <v>1.24237674914165</v>
      </c>
      <c r="BLI7" s="7">
        <v>-1.9090607254849401</v>
      </c>
      <c r="BLJ7" s="7">
        <v>-1.1500507637327699</v>
      </c>
      <c r="BLK7" s="7">
        <v>-0.29268674024197899</v>
      </c>
      <c r="BLL7" s="7">
        <v>0.18772413568836799</v>
      </c>
      <c r="BLM7" s="7">
        <v>0.68961037585444895</v>
      </c>
      <c r="BLN7" s="7">
        <v>0.69404966266639401</v>
      </c>
      <c r="BLO7" s="7">
        <v>-0.74859753093417403</v>
      </c>
      <c r="BLP7" s="7">
        <v>0.313245936463529</v>
      </c>
      <c r="BLQ7" s="7">
        <v>0.85877471144421802</v>
      </c>
      <c r="BLR7" s="7">
        <v>0.48046485869181099</v>
      </c>
      <c r="BLS7" s="7">
        <v>1.4763511218094101</v>
      </c>
      <c r="BLT7" s="7">
        <v>-1.12622528948754</v>
      </c>
      <c r="BLU7" s="7">
        <v>-1.0975632974742999</v>
      </c>
      <c r="BLV7" s="7">
        <v>-0.82012876682264402</v>
      </c>
      <c r="BLW7" s="7">
        <v>0.12274875189057199</v>
      </c>
      <c r="BLX7" s="7">
        <v>-0.52764543815737597</v>
      </c>
      <c r="BLY7" s="7">
        <v>-1.1127968969611</v>
      </c>
      <c r="BLZ7" s="7">
        <v>0.87693232467139703</v>
      </c>
      <c r="BMA7" s="7">
        <v>2.6990452668977701E-2</v>
      </c>
      <c r="BMB7" s="7">
        <v>0.30661258652027301</v>
      </c>
      <c r="BMC7" s="7">
        <v>-0.53573670845148702</v>
      </c>
      <c r="BMD7" s="7">
        <v>-0.39593190710693399</v>
      </c>
      <c r="BME7" s="7">
        <v>0.60850555124066796</v>
      </c>
      <c r="BMF7" s="7">
        <v>-0.87995018478139597</v>
      </c>
      <c r="BMG7" s="7">
        <v>-1.53675750422738</v>
      </c>
      <c r="BMH7" s="7">
        <v>0.72913449732376601</v>
      </c>
      <c r="BMI7" s="7">
        <v>0.520016877684646</v>
      </c>
      <c r="BMJ7" s="7">
        <v>0.15326271512697401</v>
      </c>
      <c r="BMK7" s="7">
        <v>0.418410354154227</v>
      </c>
      <c r="BML7" s="7">
        <v>-0.59027323903119899</v>
      </c>
      <c r="BMM7" s="7">
        <v>1.4594269241450699</v>
      </c>
      <c r="BMN7" s="7">
        <v>-0.86013658779282098</v>
      </c>
      <c r="BMO7" s="7">
        <v>0.181650166166859</v>
      </c>
      <c r="BMP7" s="7">
        <v>-0.94514033976184897</v>
      </c>
      <c r="BMQ7" s="7">
        <v>1.02191035160509</v>
      </c>
      <c r="BMR7" s="7">
        <v>-4.8080953234456103E-2</v>
      </c>
      <c r="BMS7" s="7">
        <v>1.1125226099885599</v>
      </c>
      <c r="BMT7" s="7">
        <v>1.09029495106557E-2</v>
      </c>
      <c r="BMU7" s="7">
        <v>-2.0252145179825698</v>
      </c>
      <c r="BMV7" s="7">
        <v>1.3187530741069899</v>
      </c>
      <c r="BMW7" s="7">
        <v>-0.35411582793492402</v>
      </c>
      <c r="BMX7" s="7">
        <v>0.67421937418929001</v>
      </c>
      <c r="BMY7" s="7">
        <v>-2.44437967966735</v>
      </c>
      <c r="BMZ7" s="7">
        <v>-1.94799974976984</v>
      </c>
      <c r="BNA7" s="7">
        <v>-0.19160248051512599</v>
      </c>
      <c r="BNB7" s="7">
        <v>0.63008762789698702</v>
      </c>
      <c r="BNC7" s="7">
        <v>-0.82433209597349799</v>
      </c>
      <c r="BND7" s="7">
        <v>-0.61701739597991001</v>
      </c>
      <c r="BNE7" s="7">
        <v>0.40344606315855203</v>
      </c>
      <c r="BNF7" s="7">
        <v>-1.1275452814817699</v>
      </c>
      <c r="BNG7" s="7">
        <v>-1.28900498032349</v>
      </c>
      <c r="BNH7" s="7">
        <v>-1.0668815353232199</v>
      </c>
      <c r="BNI7" s="7">
        <v>1.46826208822207</v>
      </c>
      <c r="BNJ7" s="7">
        <v>-0.12518783212341</v>
      </c>
      <c r="BNK7" s="7">
        <v>0.72061278043733701</v>
      </c>
      <c r="BNL7" s="7">
        <v>0.25663940009376501</v>
      </c>
      <c r="BNM7" s="7">
        <v>1.6339227333841602E-2</v>
      </c>
      <c r="BNN7" s="7">
        <v>0.84189094879402504</v>
      </c>
      <c r="BNO7" s="7">
        <v>0.219927845269725</v>
      </c>
      <c r="BNP7" s="7">
        <v>-0.48506332657741602</v>
      </c>
      <c r="BNQ7" s="7">
        <v>-1.4441186772626</v>
      </c>
      <c r="BNR7" s="7">
        <v>1.48444903084695</v>
      </c>
      <c r="BNS7" s="7">
        <v>-2.20911770380616</v>
      </c>
      <c r="BNT7" s="7">
        <v>1.29843996197784</v>
      </c>
      <c r="BNU7" s="7">
        <v>-1.62534548956067E-2</v>
      </c>
      <c r="BNV7" s="7">
        <v>-1.5132511734006799</v>
      </c>
      <c r="BNW7" s="7">
        <v>1.2181450692254401</v>
      </c>
      <c r="BNX7" s="7">
        <v>2.6786425013386701</v>
      </c>
      <c r="BNY7" s="7">
        <v>-0.29904225362901099</v>
      </c>
      <c r="BNZ7" s="7">
        <v>-0.94015225870914798</v>
      </c>
      <c r="BOA7" s="7">
        <v>-0.89256244491199299</v>
      </c>
      <c r="BOB7" s="7">
        <v>-2.0424643299578799E-2</v>
      </c>
      <c r="BOC7" s="7">
        <v>-0.63441520518676897</v>
      </c>
      <c r="BOD7" s="7">
        <v>-2.1755406719174699</v>
      </c>
      <c r="BOE7" s="7">
        <v>-1.1674012111076699</v>
      </c>
      <c r="BOF7" s="7">
        <v>-0.84958659981900098</v>
      </c>
      <c r="BOG7" s="7">
        <v>-1.0016929828668999</v>
      </c>
      <c r="BOH7" s="7">
        <v>-1.78331096305541</v>
      </c>
      <c r="BOI7" s="7">
        <v>1.05921342772559</v>
      </c>
      <c r="BOJ7" s="7">
        <v>-0.43793985339255098</v>
      </c>
      <c r="BOK7" s="7">
        <v>-1.44166729413546</v>
      </c>
      <c r="BOL7" s="7">
        <v>0.50313376320244496</v>
      </c>
      <c r="BOM7" s="7">
        <v>-0.71856443055552999</v>
      </c>
      <c r="BON7" s="7">
        <v>1.0543240948660699</v>
      </c>
      <c r="BOO7" s="7">
        <v>0.80153700380760595</v>
      </c>
      <c r="BOP7" s="7">
        <v>-0.193283277150125</v>
      </c>
      <c r="BOQ7" s="7">
        <v>-0.220320204985722</v>
      </c>
      <c r="BOR7" s="7">
        <v>-0.69203506200096099</v>
      </c>
      <c r="BOS7" s="7">
        <v>0.27807678663552898</v>
      </c>
      <c r="BOT7" s="7">
        <v>0.80677256027763</v>
      </c>
      <c r="BOU7" s="7">
        <v>1.3217566349060901</v>
      </c>
      <c r="BOV7" s="7">
        <v>6.9298272575122596E-2</v>
      </c>
      <c r="BOW7" s="7">
        <v>-0.25415986871839602</v>
      </c>
      <c r="BOX7" s="7">
        <v>0.12221762948630301</v>
      </c>
      <c r="BOY7" s="7">
        <v>3.17937225798957</v>
      </c>
      <c r="BOZ7" s="7">
        <v>0.20540058788427201</v>
      </c>
      <c r="BPA7" s="7">
        <v>0.83587610074839902</v>
      </c>
      <c r="BPB7" s="7">
        <v>0.69341117806922004</v>
      </c>
      <c r="BPC7" s="7">
        <v>0.141153404489616</v>
      </c>
      <c r="BPD7" s="7">
        <v>-0.54803028002961796</v>
      </c>
      <c r="BPE7" s="7">
        <v>0.947843127959489</v>
      </c>
      <c r="BPF7" s="7">
        <v>-0.34740484509311798</v>
      </c>
      <c r="BPG7" s="7">
        <v>-0.77246827451093203</v>
      </c>
      <c r="BPH7" s="7">
        <v>0.15160624333648601</v>
      </c>
      <c r="BPI7" s="7">
        <v>0.44625392948218501</v>
      </c>
      <c r="BPJ7" s="7">
        <v>0.28895336129641003</v>
      </c>
      <c r="BPK7" s="7">
        <v>-1.1918492414612201</v>
      </c>
      <c r="BPL7" s="7">
        <v>0.75539481367447303</v>
      </c>
      <c r="BPM7" s="7">
        <v>0.28491345676132601</v>
      </c>
      <c r="BPN7" s="7">
        <v>-0.28271160321147298</v>
      </c>
      <c r="BPO7" s="7">
        <v>-0.24610836840057301</v>
      </c>
      <c r="BPP7" s="7">
        <v>0.30892215130317102</v>
      </c>
      <c r="BPQ7" s="7">
        <v>-2.0191748094586401</v>
      </c>
      <c r="BPR7" s="7">
        <v>-0.69318295257734097</v>
      </c>
      <c r="BPS7" s="7">
        <v>-1.5107324778387701</v>
      </c>
      <c r="BPT7" s="7">
        <v>0.36206828163813998</v>
      </c>
      <c r="BPU7" s="7">
        <v>1.5571458346453799</v>
      </c>
      <c r="BPV7" s="7">
        <v>0.49621380074820298</v>
      </c>
      <c r="BPW7" s="7">
        <v>0.70371354020481802</v>
      </c>
      <c r="BPX7" s="7">
        <v>-1.2236670932543401</v>
      </c>
      <c r="BPY7" s="7">
        <v>0.99372900328248004</v>
      </c>
      <c r="BPZ7" s="7">
        <v>0.46102445209591802</v>
      </c>
      <c r="BQA7" s="7">
        <v>-0.75829646596226197</v>
      </c>
      <c r="BQB7" s="7">
        <v>0.50719585310801296</v>
      </c>
      <c r="BQC7" s="7">
        <v>-0.32992153436158</v>
      </c>
      <c r="BQD7" s="7">
        <v>-1.49010908536148</v>
      </c>
      <c r="BQE7" s="7">
        <v>-1.5972792526052799</v>
      </c>
      <c r="BQF7" s="7">
        <v>0.800819556471561</v>
      </c>
      <c r="BQG7" s="7">
        <v>-1.52783090054246</v>
      </c>
      <c r="BQH7" s="7">
        <v>-0.328225537410827</v>
      </c>
    </row>
    <row r="8" spans="1:1802" x14ac:dyDescent="0.2">
      <c r="A8" s="7">
        <v>6</v>
      </c>
      <c r="B8" s="7">
        <v>-1.2279328469049999</v>
      </c>
      <c r="C8" s="7">
        <v>0.13864515267035299</v>
      </c>
      <c r="D8" s="7">
        <v>1.2081499657618</v>
      </c>
      <c r="E8" s="7">
        <v>-0.97727734579360703</v>
      </c>
      <c r="F8" s="7">
        <v>-0.770923869826181</v>
      </c>
      <c r="G8" s="7">
        <v>1.51643990177182</v>
      </c>
      <c r="H8" s="7">
        <v>-0.66738935558045698</v>
      </c>
      <c r="I8" s="7">
        <v>0.58131661261886203</v>
      </c>
      <c r="J8" s="7">
        <v>1.21116987232799</v>
      </c>
      <c r="K8" s="7">
        <v>-2.5861661647463601</v>
      </c>
      <c r="L8" s="7">
        <v>0.93161789935469896</v>
      </c>
      <c r="M8" s="7">
        <v>-1.5103622822602401</v>
      </c>
      <c r="N8" s="7">
        <v>6.3043997467939705E-2</v>
      </c>
      <c r="O8" s="7">
        <v>-0.93791388737194703</v>
      </c>
      <c r="P8" s="7">
        <v>-0.52544843197372704</v>
      </c>
      <c r="Q8" s="7">
        <v>0.70223876214640002</v>
      </c>
      <c r="R8" s="7">
        <v>0.46600498920856098</v>
      </c>
      <c r="S8" s="7">
        <v>-0.292396566779837</v>
      </c>
      <c r="T8" s="7">
        <v>0.29805762718609102</v>
      </c>
      <c r="U8" s="7">
        <v>0.49295501523525698</v>
      </c>
      <c r="V8" s="7">
        <v>1.2216319644876099</v>
      </c>
      <c r="W8" s="7">
        <v>0.92337418094276402</v>
      </c>
      <c r="X8" s="7">
        <v>0.52609429112265804</v>
      </c>
      <c r="Y8" s="7">
        <v>-1.36630459513199E-2</v>
      </c>
      <c r="Z8" s="7">
        <v>-0.973358062218035</v>
      </c>
      <c r="AA8" s="7">
        <v>-0.80858046243044601</v>
      </c>
      <c r="AB8" s="7">
        <v>-0.68087230884828698</v>
      </c>
      <c r="AC8" s="7">
        <v>-0.538659672219446</v>
      </c>
      <c r="AD8" s="7">
        <v>0.86289671753008801</v>
      </c>
      <c r="AE8" s="7">
        <v>-0.156034325392505</v>
      </c>
      <c r="AF8" s="7">
        <v>0.431779496576914</v>
      </c>
      <c r="AG8" s="7">
        <v>-6.182990365148E-2</v>
      </c>
      <c r="AH8" s="7">
        <v>0.98566089813591795</v>
      </c>
      <c r="AI8" s="7">
        <v>-0.12139005928814001</v>
      </c>
      <c r="AJ8" s="7">
        <v>-0.40568306357670297</v>
      </c>
      <c r="AK8" s="7">
        <v>0.72973300636636895</v>
      </c>
      <c r="AL8" s="7">
        <v>1.04502492777761</v>
      </c>
      <c r="AM8" s="7">
        <v>1.1686138624732401</v>
      </c>
      <c r="AN8" s="7">
        <v>0.38811571871769301</v>
      </c>
      <c r="AO8" s="7">
        <v>0.23925122750732999</v>
      </c>
      <c r="AP8" s="7">
        <v>-1.0605519182946199</v>
      </c>
      <c r="AQ8" s="7">
        <v>0.63532424285792399</v>
      </c>
      <c r="AR8" s="7">
        <v>-1.9177500690038901E-2</v>
      </c>
      <c r="AS8" s="7">
        <v>0.69053640105554903</v>
      </c>
      <c r="AT8" s="7">
        <v>-1.28960253870565</v>
      </c>
      <c r="AU8" s="7">
        <v>1.63927681696808</v>
      </c>
      <c r="AV8" s="7">
        <v>-0.88194132664089098</v>
      </c>
      <c r="AW8" s="7">
        <v>-1.09775475087481</v>
      </c>
      <c r="AX8" s="7">
        <v>0.71851179951562805</v>
      </c>
      <c r="AY8" s="7">
        <v>-0.48264223974984899</v>
      </c>
      <c r="AZ8" s="7">
        <v>1.6577105650030599</v>
      </c>
      <c r="BA8" s="7">
        <v>-1.2940174487392599</v>
      </c>
      <c r="BB8" s="7">
        <v>-0.63578809320575502</v>
      </c>
      <c r="BC8" s="7">
        <v>-0.60796353280036997</v>
      </c>
      <c r="BD8" s="7">
        <v>0.42983600717618498</v>
      </c>
      <c r="BE8" s="7">
        <v>-6.6773524967697001E-3</v>
      </c>
      <c r="BF8" s="7">
        <v>1.17099315728673</v>
      </c>
      <c r="BG8" s="7">
        <v>0.31730006076254702</v>
      </c>
      <c r="BH8" s="7">
        <v>-1.55774472460249</v>
      </c>
      <c r="BI8" s="7">
        <v>0.59017515492704797</v>
      </c>
      <c r="BJ8" s="7">
        <v>1.59559447560364</v>
      </c>
      <c r="BK8" s="7">
        <v>-2.5406412713025E-2</v>
      </c>
      <c r="BL8" s="7">
        <v>0.47563225285587601</v>
      </c>
      <c r="BM8" s="7">
        <v>-1.6453950848516501</v>
      </c>
      <c r="BN8" s="7">
        <v>0.66951666029591195</v>
      </c>
      <c r="BO8" s="7">
        <v>0.64793782862072402</v>
      </c>
      <c r="BP8" s="7">
        <v>0.39245729129557699</v>
      </c>
      <c r="BQ8" s="7">
        <v>0.49318634675295298</v>
      </c>
      <c r="BR8" s="7">
        <v>0.67878881816520098</v>
      </c>
      <c r="BS8" s="7">
        <v>-0.83401391834896799</v>
      </c>
      <c r="BT8" s="7">
        <v>-0.73350577494581704</v>
      </c>
      <c r="BU8" s="7">
        <v>-0.210946992316106</v>
      </c>
      <c r="BV8" s="7">
        <v>0.35400232313671798</v>
      </c>
      <c r="BW8" s="7">
        <v>0.95080259519607202</v>
      </c>
      <c r="BX8" s="7">
        <v>1.4727059629655199</v>
      </c>
      <c r="BY8" s="7">
        <v>-0.40153771924155301</v>
      </c>
      <c r="BZ8" s="7">
        <v>-2.0729049241847699</v>
      </c>
      <c r="CA8" s="7">
        <v>8.2835564804075196E-2</v>
      </c>
      <c r="CB8" s="7">
        <v>6.6647353737611E-3</v>
      </c>
      <c r="CC8" s="7">
        <v>0.49673243864090999</v>
      </c>
      <c r="CD8" s="7">
        <v>-0.84348585291155498</v>
      </c>
      <c r="CE8" s="7">
        <v>-0.40691992389246701</v>
      </c>
      <c r="CF8" s="7">
        <v>1.5962601186229399</v>
      </c>
      <c r="CG8" s="7">
        <v>-0.57050244642947601</v>
      </c>
      <c r="CH8" s="7">
        <v>-1.0927403743202899</v>
      </c>
      <c r="CI8" s="7">
        <v>-0.39594313505220802</v>
      </c>
      <c r="CJ8" s="7">
        <v>1.2191077305640099</v>
      </c>
      <c r="CK8" s="7">
        <v>1.4380960593505301</v>
      </c>
      <c r="CL8" s="7">
        <v>-0.24412365458593199</v>
      </c>
      <c r="CM8" s="7">
        <v>-2.92992525979478E-2</v>
      </c>
      <c r="CN8" s="7">
        <v>-1.4074843844168199</v>
      </c>
      <c r="CO8" s="7">
        <v>0.49917671859310397</v>
      </c>
      <c r="CP8" s="7">
        <v>0.145956475159641</v>
      </c>
      <c r="CQ8" s="7">
        <v>0.9449655188653</v>
      </c>
      <c r="CR8" s="7">
        <v>-1.43667964238428</v>
      </c>
      <c r="CS8" s="7">
        <v>-0.33332831855885903</v>
      </c>
      <c r="CT8" s="7">
        <v>1.3724757769496601</v>
      </c>
      <c r="CU8" s="7">
        <v>-0.74203515136253295</v>
      </c>
      <c r="CV8" s="7">
        <v>0.95081036300279098</v>
      </c>
      <c r="CW8" s="7">
        <v>-0.72651701723959095</v>
      </c>
      <c r="CX8" s="7">
        <v>-1.2580658279580901</v>
      </c>
      <c r="CY8" s="7">
        <v>-0.97561323746648798</v>
      </c>
      <c r="CZ8" s="7">
        <v>-1.4438604140131801</v>
      </c>
      <c r="DA8" s="7">
        <v>1.49304831086331E-2</v>
      </c>
      <c r="DB8" s="7">
        <v>-1.13600559620134</v>
      </c>
      <c r="DC8" s="7">
        <v>0.57417142890582695</v>
      </c>
      <c r="DD8" s="7">
        <v>0.63431200932375498</v>
      </c>
      <c r="DE8" s="7">
        <v>-0.32110945359267601</v>
      </c>
      <c r="DF8" s="7">
        <v>0.89692180572984803</v>
      </c>
      <c r="DG8" s="7">
        <v>-8.4541773792783104E-2</v>
      </c>
      <c r="DH8" s="7">
        <v>0.81667643149972302</v>
      </c>
      <c r="DI8" s="7">
        <v>2.4327019311143601</v>
      </c>
      <c r="DJ8" s="7">
        <v>-0.120257172053575</v>
      </c>
      <c r="DK8" s="7">
        <v>-0.34207568615553302</v>
      </c>
      <c r="DL8" s="7">
        <v>-1.97375526327861E-2</v>
      </c>
      <c r="DM8" s="7">
        <v>1.1042490868761199</v>
      </c>
      <c r="DN8" s="7">
        <v>-0.36276817244179199</v>
      </c>
      <c r="DO8" s="7">
        <v>0.56762148471093199</v>
      </c>
      <c r="DP8" s="7">
        <v>-1.19344029963802</v>
      </c>
      <c r="DQ8" s="7">
        <v>-2.1609016868966302</v>
      </c>
      <c r="DR8" s="7">
        <v>-0.95004516604651001</v>
      </c>
      <c r="DS8" s="7">
        <v>-0.64582237273418397</v>
      </c>
      <c r="DT8" s="7">
        <v>0.918406470173593</v>
      </c>
      <c r="DU8" s="7">
        <v>0.49580922398044902</v>
      </c>
      <c r="DV8" s="7">
        <v>0.76976128969956403</v>
      </c>
      <c r="DW8" s="7">
        <v>-1.2117645387855001</v>
      </c>
      <c r="DX8" s="7">
        <v>-8.7305628281906002E-3</v>
      </c>
      <c r="DY8" s="7">
        <v>-2.0908207113793802</v>
      </c>
      <c r="DZ8" s="7">
        <v>1.11375746400706</v>
      </c>
      <c r="EA8" s="7">
        <v>-2.24339879839208</v>
      </c>
      <c r="EB8" s="7">
        <v>0.53828422010264299</v>
      </c>
      <c r="EC8" s="7">
        <v>-0.30236308796139699</v>
      </c>
      <c r="ED8" s="7">
        <v>1.0603445894458901</v>
      </c>
      <c r="EE8" s="7">
        <v>0.50080894915294205</v>
      </c>
      <c r="EF8" s="7">
        <v>1.0352697979244401</v>
      </c>
      <c r="EG8" s="7">
        <v>-2.5381593326568899</v>
      </c>
      <c r="EH8" s="7">
        <v>-0.73953851640841795</v>
      </c>
      <c r="EI8" s="7">
        <v>0.21569912368405</v>
      </c>
      <c r="EJ8" s="7">
        <v>-0.52577096841277504</v>
      </c>
      <c r="EK8" s="7">
        <v>0.48578436506339401</v>
      </c>
      <c r="EL8" s="7">
        <v>-0.50094552897637901</v>
      </c>
      <c r="EM8" s="7">
        <v>0.52857539033151002</v>
      </c>
      <c r="EN8" s="7">
        <v>-0.27848831461602902</v>
      </c>
      <c r="EO8" s="7">
        <v>-0.723394633327615</v>
      </c>
      <c r="EP8" s="7">
        <v>0.32552758118610697</v>
      </c>
      <c r="EQ8" s="7">
        <v>3.1019018200412698</v>
      </c>
      <c r="ER8" s="7">
        <v>-1.5899435166184099</v>
      </c>
      <c r="ES8" s="7">
        <v>-0.89140296902213001</v>
      </c>
      <c r="ET8" s="7">
        <v>1.04229398802962</v>
      </c>
      <c r="EU8" s="7">
        <v>0.30655685374749297</v>
      </c>
      <c r="EV8" s="7">
        <v>-0.60718931604514204</v>
      </c>
      <c r="EW8" s="7">
        <v>-0.35784214466928299</v>
      </c>
      <c r="EX8" s="7">
        <v>-0.47793271729278902</v>
      </c>
      <c r="EY8" s="7">
        <v>1.2541667005787001</v>
      </c>
      <c r="EZ8" s="7">
        <v>0.17307945478563799</v>
      </c>
      <c r="FA8" s="7">
        <v>-9.9867161315615405E-2</v>
      </c>
      <c r="FB8" s="7">
        <v>0.232180529788061</v>
      </c>
      <c r="FC8" s="7">
        <v>7.7506442869707107E-2</v>
      </c>
      <c r="FD8" s="7">
        <v>1.0676114638044401</v>
      </c>
      <c r="FE8" s="7">
        <v>9.53172601897357E-2</v>
      </c>
      <c r="FF8" s="7">
        <v>-2.3258803518978999</v>
      </c>
      <c r="FG8" s="7">
        <v>-0.53128409961284795</v>
      </c>
      <c r="FH8" s="7">
        <v>0.121608927947116</v>
      </c>
      <c r="FI8" s="7">
        <v>0.43213830648124102</v>
      </c>
      <c r="FJ8" s="7">
        <v>-1.5565907308688001E-2</v>
      </c>
      <c r="FK8" s="7">
        <v>0.192066732475209</v>
      </c>
      <c r="FL8" s="7">
        <v>-1.3485396213871099</v>
      </c>
      <c r="FM8" s="7">
        <v>-1.85895892697833</v>
      </c>
      <c r="FN8" s="7">
        <v>1.7856193983853099</v>
      </c>
      <c r="FO8" s="7">
        <v>-0.81201821647035999</v>
      </c>
      <c r="FP8" s="7">
        <v>-1.2400360006603</v>
      </c>
      <c r="FQ8" s="7">
        <v>0.78785168312382103</v>
      </c>
      <c r="FR8" s="7">
        <v>-2.9782297163016599E-2</v>
      </c>
      <c r="FS8" s="7">
        <v>-0.66128573764896004</v>
      </c>
      <c r="FT8" s="7">
        <v>0.200391190342352</v>
      </c>
      <c r="FU8" s="7">
        <v>-0.54037173368322999</v>
      </c>
      <c r="FV8" s="7">
        <v>1.87404869674644</v>
      </c>
      <c r="FW8" s="7">
        <v>-0.411924222109187</v>
      </c>
      <c r="FX8" s="7">
        <v>-0.411539618849463</v>
      </c>
      <c r="FY8" s="7">
        <v>0.11231044759401899</v>
      </c>
      <c r="FZ8" s="7">
        <v>0.47791901665806003</v>
      </c>
      <c r="GA8" s="7">
        <v>1.21157107863446</v>
      </c>
      <c r="GB8" s="7">
        <v>1.4201857123981101</v>
      </c>
      <c r="GC8" s="7">
        <v>-0.17326605284070101</v>
      </c>
      <c r="GD8" s="7">
        <v>-1.17326034967225</v>
      </c>
      <c r="GE8" s="7">
        <v>-1.6643852901126699</v>
      </c>
      <c r="GF8" s="7">
        <v>-1.31611862531789</v>
      </c>
      <c r="GG8" s="7">
        <v>-0.73447756702869105</v>
      </c>
      <c r="GH8" s="7">
        <v>-1.48147117235336</v>
      </c>
      <c r="GI8" s="7">
        <v>-0.67765712254828203</v>
      </c>
      <c r="GJ8" s="7">
        <v>-2.1100356591324001</v>
      </c>
      <c r="GK8" s="7">
        <v>0.93338422976163304</v>
      </c>
      <c r="GL8" s="7">
        <v>0.25298284041791702</v>
      </c>
      <c r="GM8" s="7">
        <v>1.5424280635740899</v>
      </c>
      <c r="GN8" s="7">
        <v>-0.88487347979775499</v>
      </c>
      <c r="GO8" s="7">
        <v>-1.25950329011228</v>
      </c>
      <c r="GP8" s="7">
        <v>1.7707669083556099</v>
      </c>
      <c r="GQ8" s="7">
        <v>0.50192795693035097</v>
      </c>
      <c r="GR8" s="7">
        <v>-2.2671438290770101</v>
      </c>
      <c r="GS8" s="7">
        <v>-1.1476333820337801</v>
      </c>
      <c r="GT8" s="7">
        <v>-0.65097919103156099</v>
      </c>
      <c r="GU8" s="7">
        <v>-1.6587472065595099</v>
      </c>
      <c r="GV8" s="7">
        <v>0.81430880920815596</v>
      </c>
      <c r="GW8" s="7">
        <v>-1.25203150357224</v>
      </c>
      <c r="GX8" s="7">
        <v>0.57525724908966702</v>
      </c>
      <c r="GY8" s="7">
        <v>0.83589145607795901</v>
      </c>
      <c r="GZ8" s="7">
        <v>4.5206149181065101E-2</v>
      </c>
      <c r="HA8" s="7">
        <v>-1.0119829375604401</v>
      </c>
      <c r="HB8" s="7">
        <v>-0.51132284050240695</v>
      </c>
      <c r="HC8" s="7">
        <v>0.77574664168589602</v>
      </c>
      <c r="HD8" s="7">
        <v>-1.43470429247859</v>
      </c>
      <c r="HE8" s="7">
        <v>-0.44051676635569098</v>
      </c>
      <c r="HF8" s="7">
        <v>1.2986462080982899</v>
      </c>
      <c r="HG8" s="7">
        <v>-0.59858903732299096</v>
      </c>
      <c r="HH8" s="7">
        <v>-1.5799663357178</v>
      </c>
      <c r="HI8" s="7">
        <v>-6.2287893724036002E-2</v>
      </c>
      <c r="HJ8" s="7">
        <v>6.8663163837887994E-2</v>
      </c>
      <c r="HK8" s="7">
        <v>0.39869626983096301</v>
      </c>
      <c r="HL8" s="7">
        <v>0.39361784132383998</v>
      </c>
      <c r="HM8" s="7">
        <v>0.56132173748618397</v>
      </c>
      <c r="HN8" s="7">
        <v>0.17419968802691899</v>
      </c>
      <c r="HO8" s="7">
        <v>1.6034639354211</v>
      </c>
      <c r="HP8" s="7">
        <v>0.137962574549054</v>
      </c>
      <c r="HQ8" s="7">
        <v>0.18071920155319501</v>
      </c>
      <c r="HR8" s="7">
        <v>-1.1483161503694099</v>
      </c>
      <c r="HS8" s="7">
        <v>0.33383924479030302</v>
      </c>
      <c r="HT8" s="7">
        <v>-0.14638772212807499</v>
      </c>
      <c r="HU8" s="7">
        <v>0.26138171032607899</v>
      </c>
      <c r="HV8" s="7">
        <v>-1.97202759279349</v>
      </c>
      <c r="HW8" s="7">
        <v>1.8451407050983499</v>
      </c>
      <c r="HX8" s="7">
        <v>-1.1706550343006099</v>
      </c>
      <c r="HY8" s="7">
        <v>0.41264464974752801</v>
      </c>
      <c r="HZ8" s="7">
        <v>0.22142026708432699</v>
      </c>
      <c r="IA8" s="7">
        <v>2.4603764841623099</v>
      </c>
      <c r="IB8" s="7">
        <v>-0.29632277930113798</v>
      </c>
      <c r="IC8" s="7">
        <v>0.20812035739738899</v>
      </c>
      <c r="ID8" s="7">
        <v>0.45256185050275199</v>
      </c>
      <c r="IE8" s="7">
        <v>4.1732751043463398E-2</v>
      </c>
      <c r="IF8" s="7">
        <v>0.162904675680069</v>
      </c>
      <c r="IG8" s="7">
        <v>0.62607994666823996</v>
      </c>
      <c r="IH8" s="7">
        <v>-2.0881667676031301</v>
      </c>
      <c r="II8" s="7">
        <v>0.67879575195012898</v>
      </c>
      <c r="IJ8" s="7">
        <v>-0.153568762725837</v>
      </c>
      <c r="IK8" s="7">
        <v>0.21012106411027201</v>
      </c>
      <c r="IL8" s="7">
        <v>-0.88638877106297698</v>
      </c>
      <c r="IM8" s="7">
        <v>1.23767262487199</v>
      </c>
      <c r="IN8" s="7">
        <v>1.08786638245347</v>
      </c>
      <c r="IO8" s="7">
        <v>1.9092788495103401</v>
      </c>
      <c r="IP8" s="7">
        <v>-3.4605643534733499E-2</v>
      </c>
      <c r="IQ8" s="7">
        <v>0.39629690130503897</v>
      </c>
      <c r="IR8" s="7">
        <v>-2.0663435929946901</v>
      </c>
      <c r="IS8" s="7">
        <v>0.71557678194157903</v>
      </c>
      <c r="IT8" s="7">
        <v>0.42264901349089501</v>
      </c>
      <c r="IU8" s="7">
        <v>0.64038459281168103</v>
      </c>
      <c r="IV8" s="7">
        <v>-0.18534245484013201</v>
      </c>
      <c r="IW8" s="7">
        <v>1.4020715969936799</v>
      </c>
      <c r="IX8" s="7">
        <v>-0.83909851667618496</v>
      </c>
      <c r="IY8" s="7">
        <v>-0.85607471525989398</v>
      </c>
      <c r="IZ8" s="7">
        <v>-1.11379265989849</v>
      </c>
      <c r="JA8" s="7">
        <v>1.2873525756987301</v>
      </c>
      <c r="JB8" s="7">
        <v>1.6914955605297799</v>
      </c>
      <c r="JC8" s="7">
        <v>-0.88829402828649195</v>
      </c>
      <c r="JD8" s="7">
        <v>0.11101164769819601</v>
      </c>
      <c r="JE8" s="7">
        <v>0.59632685330849899</v>
      </c>
      <c r="JF8" s="7">
        <v>-2.1723859145990998</v>
      </c>
      <c r="JG8" s="7">
        <v>0.42409678184069299</v>
      </c>
      <c r="JH8" s="7">
        <v>-1.16598804845313</v>
      </c>
      <c r="JI8" s="7">
        <v>-0.13553833112739799</v>
      </c>
      <c r="JJ8" s="7">
        <v>0.22661607097683101</v>
      </c>
      <c r="JK8" s="7">
        <v>-0.44463469086323398</v>
      </c>
      <c r="JL8" s="7">
        <v>1.2316116594162001</v>
      </c>
      <c r="JM8" s="7">
        <v>1.4186574066842099</v>
      </c>
      <c r="JN8" s="7">
        <v>-0.365280024875619</v>
      </c>
      <c r="JO8" s="7">
        <v>-0.66744002156366899</v>
      </c>
      <c r="JP8" s="7">
        <v>0.49181040257034497</v>
      </c>
      <c r="JQ8" s="7">
        <v>0.63398798310683302</v>
      </c>
      <c r="JR8" s="7">
        <v>-0.86072553926087902</v>
      </c>
      <c r="JS8" s="7">
        <v>-6.4635728642464099E-2</v>
      </c>
      <c r="JT8" s="7">
        <v>-0.64412352244154203</v>
      </c>
      <c r="JU8" s="7">
        <v>-0.10152617744649001</v>
      </c>
      <c r="JV8" s="7">
        <v>-1.7571362367990699</v>
      </c>
      <c r="JW8" s="7">
        <v>1.42294716748647</v>
      </c>
      <c r="JX8" s="7">
        <v>-8.6149946431128804E-2</v>
      </c>
      <c r="JY8" s="7">
        <v>-1.2443119293827401E-2</v>
      </c>
      <c r="JZ8" s="7">
        <v>-2.4415918627140898</v>
      </c>
      <c r="KA8" s="7">
        <v>-2.9369636325630899</v>
      </c>
      <c r="KB8" s="7">
        <v>1.1722472355143201</v>
      </c>
      <c r="KC8" s="7">
        <v>0.210976916583689</v>
      </c>
      <c r="KD8" s="7">
        <v>-0.54745899042839097</v>
      </c>
      <c r="KE8" s="7">
        <v>-0.64096768027717999</v>
      </c>
      <c r="KF8" s="7">
        <v>-0.10017479780307099</v>
      </c>
      <c r="KG8" s="7">
        <v>0.19614536906124699</v>
      </c>
      <c r="KH8" s="7">
        <v>-0.74327631380132098</v>
      </c>
      <c r="KI8" s="7">
        <v>-0.71675972740726501</v>
      </c>
      <c r="KJ8" s="7">
        <v>0.14277505418870401</v>
      </c>
      <c r="KK8" s="7">
        <v>0.807496239015283</v>
      </c>
      <c r="KL8" s="7">
        <v>0.26494383423730999</v>
      </c>
      <c r="KM8" s="7">
        <v>-0.185062762492154</v>
      </c>
      <c r="KN8" s="7">
        <v>-0.67326070713962105</v>
      </c>
      <c r="KO8" s="7">
        <v>-0.39781398639377402</v>
      </c>
      <c r="KP8" s="7">
        <v>1.2121857618004399</v>
      </c>
      <c r="KQ8" s="7">
        <v>0.51903839095017401</v>
      </c>
      <c r="KR8" s="7">
        <v>1.5710860838915299</v>
      </c>
      <c r="KS8" s="7">
        <v>1.47119668977101</v>
      </c>
      <c r="KT8" s="7">
        <v>0.43580585542602801</v>
      </c>
      <c r="KU8" s="7">
        <v>9.8824989294462498E-2</v>
      </c>
      <c r="KV8" s="7">
        <v>-0.29026637425794399</v>
      </c>
      <c r="KW8" s="7">
        <v>-1.97129186284029</v>
      </c>
      <c r="KX8" s="7">
        <v>-1.05497697084535</v>
      </c>
      <c r="KY8" s="7">
        <v>-0.26256831002901199</v>
      </c>
      <c r="KZ8" s="7">
        <v>0.104203236208289</v>
      </c>
      <c r="LA8" s="7">
        <v>-1.0641436934472599</v>
      </c>
      <c r="LB8" s="7">
        <v>0.144689832420169</v>
      </c>
      <c r="LC8" s="7">
        <v>-0.14104699745061799</v>
      </c>
      <c r="LD8" s="7">
        <v>-0.44363365266463001</v>
      </c>
      <c r="LE8" s="7">
        <v>0.134077638917113</v>
      </c>
      <c r="LF8" s="7">
        <v>-0.65800715963632705</v>
      </c>
      <c r="LG8" s="7">
        <v>0.52567291354296397</v>
      </c>
      <c r="LH8" s="7">
        <v>-1.0832700922893901</v>
      </c>
      <c r="LI8" s="7">
        <v>-2.17964441826491</v>
      </c>
      <c r="LJ8" s="7">
        <v>-0.48015389061543401</v>
      </c>
      <c r="LK8" s="7">
        <v>-0.43405506562191398</v>
      </c>
      <c r="LL8" s="7">
        <v>0.24552279972418101</v>
      </c>
      <c r="LM8" s="7">
        <v>1.62412475392177</v>
      </c>
      <c r="LN8" s="7">
        <v>2.1033941182176901</v>
      </c>
      <c r="LO8" s="7">
        <v>-2.1300261398612998</v>
      </c>
      <c r="LP8" s="7">
        <v>8.3289952697520403E-2</v>
      </c>
      <c r="LQ8" s="7">
        <v>0.24115124475524999</v>
      </c>
      <c r="LR8" s="7">
        <v>-0.41411268607054103</v>
      </c>
      <c r="LS8" s="7">
        <v>-2.9217091549862699</v>
      </c>
      <c r="LT8" s="7">
        <v>0.55140648824789895</v>
      </c>
      <c r="LU8" s="7">
        <v>-1.4773529125025799</v>
      </c>
      <c r="LV8" s="7">
        <v>-0.94822540083829698</v>
      </c>
      <c r="LW8" s="7">
        <v>1.1372607823372001</v>
      </c>
      <c r="LX8" s="7">
        <v>-1.27627819410679</v>
      </c>
      <c r="LY8" s="7">
        <v>0.48307121450782298</v>
      </c>
      <c r="LZ8" s="7">
        <v>-0.21705909449458799</v>
      </c>
      <c r="MA8" s="7">
        <v>-0.63809827878055903</v>
      </c>
      <c r="MB8" s="7">
        <v>1.4361848224810601</v>
      </c>
      <c r="MC8" s="7">
        <v>1.4507962365089699</v>
      </c>
      <c r="MD8" s="7">
        <v>-2.5250215447836601E-2</v>
      </c>
      <c r="ME8" s="7">
        <v>-0.35678770270190002</v>
      </c>
      <c r="MF8" s="7">
        <v>-2.4522237738308101E-2</v>
      </c>
      <c r="MG8" s="7">
        <v>-0.26516082198511698</v>
      </c>
      <c r="MH8" s="7">
        <v>0.47849371465118401</v>
      </c>
      <c r="MI8" s="7">
        <v>-1.99386176956113</v>
      </c>
      <c r="MJ8" s="7">
        <v>1.39761802879324</v>
      </c>
      <c r="MK8" s="7">
        <v>0.94759750341566895</v>
      </c>
      <c r="ML8" s="7">
        <v>3.9335983620932803E-2</v>
      </c>
      <c r="MM8" s="7">
        <v>-0.14747487424908901</v>
      </c>
      <c r="MN8" s="7">
        <v>3.41231987311265E-2</v>
      </c>
      <c r="MO8" s="7">
        <v>-0.652184402621107</v>
      </c>
      <c r="MP8" s="7">
        <v>-2.58339578829258</v>
      </c>
      <c r="MQ8" s="7">
        <v>0.20302129424169399</v>
      </c>
      <c r="MR8" s="7">
        <v>-0.91390370075098604</v>
      </c>
      <c r="MS8" s="7">
        <v>2.2703105822438099</v>
      </c>
      <c r="MT8" s="7">
        <v>1.09494717006855</v>
      </c>
      <c r="MU8" s="7">
        <v>1.2957074395664101</v>
      </c>
      <c r="MV8" s="7">
        <v>8.82917372547459E-2</v>
      </c>
      <c r="MW8" s="7">
        <v>-0.97780123796851703</v>
      </c>
      <c r="MX8" s="7">
        <v>1.9098121099240599</v>
      </c>
      <c r="MY8" s="7">
        <v>0.25869012403938502</v>
      </c>
      <c r="MZ8" s="7">
        <v>1.32464469850526</v>
      </c>
      <c r="NA8" s="7">
        <v>1.2723691672790001</v>
      </c>
      <c r="NB8" s="7">
        <v>-1.0407281206454699</v>
      </c>
      <c r="NC8" s="7">
        <v>-0.86265053313985995</v>
      </c>
      <c r="ND8" s="7">
        <v>0.40662045680689901</v>
      </c>
      <c r="NE8" s="7">
        <v>-1.86574981223417</v>
      </c>
      <c r="NF8" s="7">
        <v>-0.99890388533166996</v>
      </c>
      <c r="NG8" s="7">
        <v>-0.79643197869968196</v>
      </c>
      <c r="NH8" s="7">
        <v>-0.19787364810692201</v>
      </c>
      <c r="NI8" s="7">
        <v>0.98495561825640499</v>
      </c>
      <c r="NJ8" s="7">
        <v>-0.67387045895645903</v>
      </c>
      <c r="NK8" s="7">
        <v>-0.23415669193834199</v>
      </c>
      <c r="NL8" s="7">
        <v>0.65732383597507404</v>
      </c>
      <c r="NM8" s="7">
        <v>0.187035469896629</v>
      </c>
      <c r="NN8" s="7">
        <v>-1.07549158259194</v>
      </c>
      <c r="NO8" s="7">
        <v>1.5194638298074801</v>
      </c>
      <c r="NP8" s="7">
        <v>1.5025976377621599</v>
      </c>
      <c r="NQ8" s="7">
        <v>0.28038348984220401</v>
      </c>
      <c r="NR8" s="7">
        <v>-1.8161935823577</v>
      </c>
      <c r="NS8" s="7">
        <v>-0.79632498971909205</v>
      </c>
      <c r="NT8" s="7">
        <v>-1.2506880977922299</v>
      </c>
      <c r="NU8" s="7">
        <v>-1.0127920609272001</v>
      </c>
      <c r="NV8" s="7">
        <v>2.99446279639719E-2</v>
      </c>
      <c r="NW8" s="7">
        <v>-0.64550496652827705</v>
      </c>
      <c r="NX8" s="7">
        <v>1.0693903456429901</v>
      </c>
      <c r="NY8" s="7">
        <v>-0.84400151175395299</v>
      </c>
      <c r="NZ8" s="7">
        <v>-1.11243416165882</v>
      </c>
      <c r="OA8" s="7">
        <v>0.25780657514713601</v>
      </c>
      <c r="OB8" s="7">
        <v>-0.418820782287252</v>
      </c>
      <c r="OC8" s="7">
        <v>1.2615699783796199</v>
      </c>
      <c r="OD8" s="7">
        <v>0.104894937584428</v>
      </c>
      <c r="OE8" s="7">
        <v>1.2145423903172901</v>
      </c>
      <c r="OF8" s="7">
        <v>-8.2540424201728704E-2</v>
      </c>
      <c r="OG8" s="7">
        <v>0.55963467042040205</v>
      </c>
      <c r="OH8" s="7">
        <v>0.572487024275803</v>
      </c>
      <c r="OI8" s="7">
        <v>-0.56639301761225103</v>
      </c>
      <c r="OJ8" s="7">
        <v>-0.79069374876341503</v>
      </c>
      <c r="OK8" s="7">
        <v>0.49504690309153798</v>
      </c>
      <c r="OL8" s="7">
        <v>0.21928974888654301</v>
      </c>
      <c r="OM8" s="7">
        <v>0.83350227204181904</v>
      </c>
      <c r="ON8" s="7">
        <v>1.78441400047578E-2</v>
      </c>
      <c r="OO8" s="7">
        <v>0.39143828919941698</v>
      </c>
      <c r="OP8" s="7">
        <v>1.4470670954765701</v>
      </c>
      <c r="OQ8" s="7">
        <v>0.64179259850247095</v>
      </c>
      <c r="OR8" s="7">
        <v>1.46397466656917</v>
      </c>
      <c r="OS8" s="7">
        <v>0.93273470438214701</v>
      </c>
      <c r="OT8" s="7">
        <v>-0.42113599727238199</v>
      </c>
      <c r="OU8" s="7">
        <v>0.128958741437283</v>
      </c>
      <c r="OV8" s="7">
        <v>1.31215333160034</v>
      </c>
      <c r="OW8" s="7">
        <v>-0.30457972568868202</v>
      </c>
      <c r="OX8" s="7">
        <v>-0.70210587603955599</v>
      </c>
      <c r="OY8" s="7">
        <v>1.5728693216444399E-2</v>
      </c>
      <c r="OZ8" s="7">
        <v>0.41583827895845199</v>
      </c>
      <c r="PA8" s="7">
        <v>-3.1997774371349201E-2</v>
      </c>
      <c r="PB8" s="7">
        <v>2.5393486807124499</v>
      </c>
      <c r="PC8" s="7">
        <v>-2.0966593531533699</v>
      </c>
      <c r="PD8" s="7">
        <v>-0.69835884023591099</v>
      </c>
      <c r="PE8" s="7">
        <v>-1.6865566674299799</v>
      </c>
      <c r="PF8" s="7">
        <v>-2.0936184461855598</v>
      </c>
      <c r="PG8" s="7">
        <v>-0.43642946186196502</v>
      </c>
      <c r="PH8" s="7">
        <v>-0.50434614390262</v>
      </c>
      <c r="PI8" s="7">
        <v>-0.67016418476803996</v>
      </c>
      <c r="PJ8" s="7">
        <v>1.3517870123024001</v>
      </c>
      <c r="PK8" s="7">
        <v>5.5008549051183998E-3</v>
      </c>
      <c r="PL8" s="7">
        <v>-0.77304740697601804</v>
      </c>
      <c r="PM8" s="7">
        <v>0.49540904107963801</v>
      </c>
      <c r="PN8" s="7">
        <v>-0.69421980568265096</v>
      </c>
      <c r="PO8" s="7">
        <v>1.9524771713770901</v>
      </c>
      <c r="PP8" s="7">
        <v>0.14621007275873499</v>
      </c>
      <c r="PQ8" s="7">
        <v>1.1000993053911901</v>
      </c>
      <c r="PR8" s="7">
        <v>1.08109506955485</v>
      </c>
      <c r="PS8" s="7">
        <v>0.45948079890111898</v>
      </c>
      <c r="PT8" s="7">
        <v>-1.1557897656889001E-2</v>
      </c>
      <c r="PU8" s="7">
        <v>-0.210654800749385</v>
      </c>
      <c r="PV8" s="7">
        <v>0.43791855914155298</v>
      </c>
      <c r="PW8" s="7">
        <v>1.29460279547966</v>
      </c>
      <c r="PX8" s="7">
        <v>0.133976828354406</v>
      </c>
      <c r="PY8" s="7">
        <v>-0.321147041390272</v>
      </c>
      <c r="PZ8" s="7">
        <v>0.60022861014057804</v>
      </c>
      <c r="QA8" s="7">
        <v>1.0331224302820301</v>
      </c>
      <c r="QB8" s="7">
        <v>-2.0127897456699002</v>
      </c>
      <c r="QC8" s="7">
        <v>0.50567687210118395</v>
      </c>
      <c r="QD8" s="7">
        <v>-0.10727961591058099</v>
      </c>
      <c r="QE8" s="7">
        <v>8.3274897354001703E-2</v>
      </c>
      <c r="QF8" s="7">
        <v>1.61590969737609</v>
      </c>
      <c r="QG8" s="7">
        <v>0.218706021388861</v>
      </c>
      <c r="QH8" s="7">
        <v>0.349746307612603</v>
      </c>
      <c r="QI8" s="7">
        <v>-0.94470571944426895</v>
      </c>
      <c r="QJ8" s="7">
        <v>9.3115345688894804E-2</v>
      </c>
      <c r="QK8" s="7">
        <v>-0.92823709701699697</v>
      </c>
      <c r="QL8" s="7">
        <v>0.75271079382195205</v>
      </c>
      <c r="QM8" s="7">
        <v>0.48655251142769901</v>
      </c>
      <c r="QN8" s="7">
        <v>-6.5256111607833206E-2</v>
      </c>
      <c r="QO8" s="7">
        <v>0.96020843822426005</v>
      </c>
      <c r="QP8" s="7">
        <v>-1.0656962748007399</v>
      </c>
      <c r="QQ8" s="7">
        <v>0.676001885588005</v>
      </c>
      <c r="QR8" s="7">
        <v>-0.33573450911813002</v>
      </c>
      <c r="QS8" s="7">
        <v>-9.8607622139857201E-2</v>
      </c>
      <c r="QT8" s="7">
        <v>0.47619785974942203</v>
      </c>
      <c r="QU8" s="7">
        <v>1.9202384862933899</v>
      </c>
      <c r="QV8" s="7">
        <v>0.87166063016868101</v>
      </c>
      <c r="QW8" s="7">
        <v>-0.70391216533648404</v>
      </c>
      <c r="QX8" s="7">
        <v>2.2844268990801</v>
      </c>
      <c r="QY8" s="7">
        <v>-0.74641112008530297</v>
      </c>
      <c r="QZ8" s="7">
        <v>-0.75428044733314403</v>
      </c>
      <c r="RA8" s="7">
        <v>-0.63051523748971605</v>
      </c>
      <c r="RB8" s="7">
        <v>-3.1034260103877802</v>
      </c>
      <c r="RC8" s="7">
        <v>-9.0130264478080493E-2</v>
      </c>
      <c r="RD8" s="7">
        <v>-0.59244768361003697</v>
      </c>
      <c r="RE8" s="7">
        <v>-0.17207426547263099</v>
      </c>
      <c r="RF8" s="7">
        <v>1.1095486515452799</v>
      </c>
      <c r="RG8" s="7">
        <v>0.78460350197037299</v>
      </c>
      <c r="RH8" s="7">
        <v>1.27099186880042</v>
      </c>
      <c r="RI8" s="7">
        <v>0.87475185395555399</v>
      </c>
      <c r="RJ8" s="7">
        <v>0.23005945404738301</v>
      </c>
      <c r="RK8" s="7">
        <v>-0.273424328942725</v>
      </c>
      <c r="RL8" s="7">
        <v>0.317830752695624</v>
      </c>
      <c r="RM8" s="7">
        <v>-0.11226734850881701</v>
      </c>
      <c r="RN8" s="7">
        <v>0.55490758773404203</v>
      </c>
      <c r="RO8" s="7">
        <v>-0.28293867841644799</v>
      </c>
      <c r="RP8" s="7">
        <v>-1.3625256635687599</v>
      </c>
      <c r="RQ8" s="7">
        <v>-0.416359249819932</v>
      </c>
      <c r="RR8" s="7">
        <v>-0.45600625256104599</v>
      </c>
      <c r="RS8" s="7">
        <v>8.5372639271518294E-2</v>
      </c>
      <c r="RT8" s="7">
        <v>0.47673397802867901</v>
      </c>
      <c r="RU8" s="7">
        <v>-0.16340882590406899</v>
      </c>
      <c r="RV8" s="7">
        <v>-1.2634763443792201</v>
      </c>
      <c r="RW8" s="7">
        <v>0.45394125154454101</v>
      </c>
      <c r="RX8" s="7">
        <v>-0.55320408736070203</v>
      </c>
      <c r="RY8" s="7">
        <v>-1.43335172530508</v>
      </c>
      <c r="RZ8" s="7">
        <v>0.69185478852764104</v>
      </c>
      <c r="SA8" s="7">
        <v>1.4586068311206799</v>
      </c>
      <c r="SB8" s="7">
        <v>-2.1518569586820702</v>
      </c>
      <c r="SC8" s="7">
        <v>-3.78717377555228E-2</v>
      </c>
      <c r="SD8" s="7">
        <v>1.4142365751499999</v>
      </c>
      <c r="SE8" s="7">
        <v>0.50278195348605403</v>
      </c>
      <c r="SF8" s="7">
        <v>0.43666763513465101</v>
      </c>
      <c r="SG8" s="7">
        <v>-0.52717130688148806</v>
      </c>
      <c r="SH8" s="7">
        <v>1.6805618462898599</v>
      </c>
      <c r="SI8" s="7">
        <v>-0.30946248267301701</v>
      </c>
      <c r="SJ8" s="7">
        <v>8.4290994146391698E-2</v>
      </c>
      <c r="SK8" s="7">
        <v>0.70024089891516095</v>
      </c>
      <c r="SL8" s="7">
        <v>-0.62768226957810502</v>
      </c>
      <c r="SM8" s="7">
        <v>-0.65114467354219896</v>
      </c>
      <c r="SN8" s="7">
        <v>-0.13483656672125499</v>
      </c>
      <c r="SO8" s="7">
        <v>-0.16432849362913801</v>
      </c>
      <c r="SP8" s="7">
        <v>1.4269227220287199</v>
      </c>
      <c r="SQ8" s="7">
        <v>3.7851211899528198E-2</v>
      </c>
      <c r="SR8" s="7">
        <v>-1.0206498807940001</v>
      </c>
      <c r="SS8" s="7">
        <v>1.09929927217548</v>
      </c>
      <c r="ST8" s="7">
        <v>-0.85165961521454803</v>
      </c>
      <c r="SU8" s="7">
        <v>2.35165114386393</v>
      </c>
      <c r="SV8" s="7">
        <v>-1.4477005626508099</v>
      </c>
      <c r="SW8" s="7">
        <v>-0.98615900315351102</v>
      </c>
      <c r="SX8" s="7">
        <v>-1.0933195978947901</v>
      </c>
      <c r="SY8" s="7">
        <v>-0.27876444309209802</v>
      </c>
      <c r="SZ8" s="7">
        <v>-2.38976140367104E-2</v>
      </c>
      <c r="TA8" s="7">
        <v>0.264625907486912</v>
      </c>
      <c r="TB8" s="7">
        <v>0.40073690925606398</v>
      </c>
      <c r="TC8" s="7">
        <v>0.33249056835475299</v>
      </c>
      <c r="TD8" s="7">
        <v>0.23687196152113299</v>
      </c>
      <c r="TE8" s="7">
        <v>-0.61872060884792401</v>
      </c>
      <c r="TF8" s="7">
        <v>0.87020386793046101</v>
      </c>
      <c r="TG8" s="7">
        <v>0.23180914552436599</v>
      </c>
      <c r="TH8" s="7">
        <v>-0.35744882089257801</v>
      </c>
      <c r="TI8" s="7">
        <v>1.36495522623772</v>
      </c>
      <c r="TJ8" s="7">
        <v>-0.37232345301350001</v>
      </c>
      <c r="TK8" s="7">
        <v>-2.3660170005695198</v>
      </c>
      <c r="TL8" s="7">
        <v>1.24707785730986</v>
      </c>
      <c r="TM8" s="7">
        <v>-1.2042675295649701</v>
      </c>
      <c r="TN8" s="7">
        <v>-8.9278743388444104E-2</v>
      </c>
      <c r="TO8" s="7">
        <v>-0.83927893230318196</v>
      </c>
      <c r="TP8" s="7">
        <v>1.41725614694838</v>
      </c>
      <c r="TQ8" s="7">
        <v>0.46390400509241297</v>
      </c>
      <c r="TR8" s="7">
        <v>1.6871486324228899</v>
      </c>
      <c r="TS8" s="7">
        <v>-0.70272932068581495</v>
      </c>
      <c r="TT8" s="7">
        <v>-0.73093544371754704</v>
      </c>
      <c r="TU8" s="7">
        <v>1.3683916374878</v>
      </c>
      <c r="TV8" s="7">
        <v>1.1481170501940501</v>
      </c>
      <c r="TW8" s="7">
        <v>-0.43608301476313499</v>
      </c>
      <c r="TX8" s="7">
        <v>-1.5105886101341299</v>
      </c>
      <c r="TY8" s="7">
        <v>0.46092549347944101</v>
      </c>
      <c r="TZ8" s="7">
        <v>-0.26099148470182398</v>
      </c>
      <c r="UA8" s="7">
        <v>-0.26016426402755799</v>
      </c>
      <c r="UB8" s="7">
        <v>-1.52849181653763</v>
      </c>
      <c r="UC8" s="7">
        <v>-0.59905989274393201</v>
      </c>
      <c r="UD8" s="7">
        <v>0.62913778122462405</v>
      </c>
      <c r="UE8" s="7">
        <v>0.41367987005992601</v>
      </c>
      <c r="UF8" s="7">
        <v>0.135309900124259</v>
      </c>
      <c r="UG8" s="7">
        <v>-0.53817715371937003</v>
      </c>
      <c r="UH8" s="7">
        <v>-1.02289999553995</v>
      </c>
      <c r="UI8" s="7">
        <v>0.78006756633852503</v>
      </c>
      <c r="UJ8" s="7">
        <v>0.485240564656992</v>
      </c>
      <c r="UK8" s="7">
        <v>1.7804027839684899</v>
      </c>
      <c r="UL8" s="7">
        <v>1.0901375654060399</v>
      </c>
      <c r="UM8" s="7">
        <v>-1.5808528562095201</v>
      </c>
      <c r="UN8" s="7">
        <v>-1.5023431080620999</v>
      </c>
      <c r="UO8" s="7">
        <v>-1.82154780514364</v>
      </c>
      <c r="UP8" s="7">
        <v>-0.318884931679632</v>
      </c>
      <c r="UQ8" s="7">
        <v>0.115496130290084</v>
      </c>
      <c r="UR8" s="7">
        <v>0.89606929018532</v>
      </c>
      <c r="US8" s="7">
        <v>-0.25795539073859303</v>
      </c>
      <c r="UT8" s="7">
        <v>-0.54372962635127497</v>
      </c>
      <c r="UU8" s="7">
        <v>0.79560271931612303</v>
      </c>
      <c r="UV8" s="7">
        <v>-0.18332896737701601</v>
      </c>
      <c r="UW8" s="7">
        <v>-0.45300771744329799</v>
      </c>
      <c r="UX8" s="7">
        <v>-1.6689665009741901</v>
      </c>
      <c r="UY8" s="7">
        <v>3.2603164001838401E-2</v>
      </c>
      <c r="UZ8" s="7">
        <v>-0.656864069145633</v>
      </c>
      <c r="VA8" s="7">
        <v>1.12340983576947</v>
      </c>
      <c r="VB8" s="7">
        <v>-0.27534923965792801</v>
      </c>
      <c r="VC8" s="7">
        <v>0.74882512012869595</v>
      </c>
      <c r="VD8" s="7">
        <v>0.63122955938927205</v>
      </c>
      <c r="VE8" s="7">
        <v>0.47542971153809299</v>
      </c>
      <c r="VF8" s="7">
        <v>-1.5909239562823601</v>
      </c>
      <c r="VG8" s="7">
        <v>-0.26974097285013698</v>
      </c>
      <c r="VH8" s="7">
        <v>-0.18505066704363199</v>
      </c>
      <c r="VI8" s="7">
        <v>0.13189013264901001</v>
      </c>
      <c r="VJ8" s="7">
        <v>-1.63703835111855</v>
      </c>
      <c r="VK8" s="7">
        <v>-0.242755508713276</v>
      </c>
      <c r="VL8" s="7">
        <v>0.46913457282657001</v>
      </c>
      <c r="VM8" s="7">
        <v>1.3014334359291</v>
      </c>
      <c r="VN8" s="7">
        <v>-0.21449774847160599</v>
      </c>
      <c r="VO8" s="7">
        <v>-1.3165876865966699</v>
      </c>
      <c r="VP8" s="7">
        <v>1.8645794936128599</v>
      </c>
      <c r="VQ8" s="7">
        <v>-0.57339548193623402</v>
      </c>
      <c r="VR8" s="7">
        <v>-1.0754032699009699</v>
      </c>
      <c r="VS8" s="7">
        <v>0.26506869971254399</v>
      </c>
      <c r="VT8" s="7">
        <v>-0.88244335850821498</v>
      </c>
      <c r="VU8" s="7">
        <v>-3.1186623464849998</v>
      </c>
      <c r="VV8" s="7">
        <v>-1.0642888352961599</v>
      </c>
      <c r="VW8" s="7">
        <v>0.19015619796925201</v>
      </c>
      <c r="VX8" s="7">
        <v>0.395243615425935</v>
      </c>
      <c r="VY8" s="7">
        <v>-0.88686745280413704</v>
      </c>
      <c r="VZ8" s="7">
        <v>-0.95976757426787196</v>
      </c>
      <c r="WA8" s="7">
        <v>-0.80935503530692099</v>
      </c>
      <c r="WB8" s="7">
        <v>-0.241799818506025</v>
      </c>
      <c r="WC8" s="7">
        <v>0.69241329825687503</v>
      </c>
      <c r="WD8" s="7">
        <v>-0.644407238661721</v>
      </c>
      <c r="WE8" s="7">
        <v>2.7544605269561102</v>
      </c>
      <c r="WF8" s="7">
        <v>0.174227025226105</v>
      </c>
      <c r="WG8" s="7">
        <v>1.4363994132697699</v>
      </c>
      <c r="WH8" s="7">
        <v>1.36339788580693</v>
      </c>
      <c r="WI8" s="7">
        <v>1.12642262181964</v>
      </c>
      <c r="WJ8" s="7">
        <v>-0.60126003632469704</v>
      </c>
      <c r="WK8" s="7">
        <v>-0.20236705995812501</v>
      </c>
      <c r="WL8" s="7">
        <v>-0.56116430224274905</v>
      </c>
      <c r="WM8" s="7">
        <v>0.56740780600816099</v>
      </c>
      <c r="WN8" s="7">
        <v>0.15771502492838499</v>
      </c>
      <c r="WO8" s="7">
        <v>-1.07965661928462</v>
      </c>
      <c r="WP8" s="7">
        <v>-0.406462400432411</v>
      </c>
      <c r="WQ8" s="7">
        <v>1.0771160226399199</v>
      </c>
      <c r="WR8" s="7">
        <v>-0.54299950761772697</v>
      </c>
      <c r="WS8" s="7">
        <v>-0.10489884127871101</v>
      </c>
      <c r="WT8" s="7">
        <v>0.11720726600760201</v>
      </c>
      <c r="WU8" s="7">
        <v>-0.876302605573267</v>
      </c>
      <c r="WV8" s="7">
        <v>3.0693984464575199</v>
      </c>
      <c r="WW8" s="7">
        <v>0.67901693157052501</v>
      </c>
      <c r="WX8" s="7">
        <v>0.76710985635653905</v>
      </c>
      <c r="WY8" s="7">
        <v>-1.7488401406280301</v>
      </c>
      <c r="WZ8" s="7">
        <v>-0.199373187102761</v>
      </c>
      <c r="XA8" s="7">
        <v>-0.53142999398949198</v>
      </c>
      <c r="XB8" s="7">
        <v>0.76825199816728895</v>
      </c>
      <c r="XC8" s="7">
        <v>9.0326581375390194E-2</v>
      </c>
      <c r="XD8" s="7">
        <v>-0.15105205090045201</v>
      </c>
      <c r="XE8" s="7">
        <v>-0.91652600899889203</v>
      </c>
      <c r="XF8" s="7">
        <v>-1.1913450332065501</v>
      </c>
      <c r="XG8" s="7">
        <v>-1.18389835450875</v>
      </c>
      <c r="XH8" s="7">
        <v>-1.65624039577027</v>
      </c>
      <c r="XI8" s="7">
        <v>1.28208787667843</v>
      </c>
      <c r="XJ8" s="7">
        <v>-0.35249331669871697</v>
      </c>
      <c r="XK8" s="7">
        <v>-0.52922978658199005</v>
      </c>
      <c r="XL8" s="7">
        <v>1.21959515120982</v>
      </c>
      <c r="XM8" s="7">
        <v>1.2544538145978199</v>
      </c>
      <c r="XN8" s="7">
        <v>0.65775074704218595</v>
      </c>
      <c r="XO8" s="7">
        <v>-0.699748052784678</v>
      </c>
      <c r="XP8" s="7">
        <v>0.36277952449941198</v>
      </c>
      <c r="XQ8" s="7">
        <v>0.62216036190376001</v>
      </c>
      <c r="XR8" s="7">
        <v>-1.24534950807147</v>
      </c>
      <c r="XS8" s="7">
        <v>-0.24649237073896299</v>
      </c>
      <c r="XT8" s="7">
        <v>1.2796320460117601</v>
      </c>
      <c r="XU8" s="7">
        <v>-0.27035035129014701</v>
      </c>
      <c r="XV8" s="7">
        <v>-0.33034590967353</v>
      </c>
      <c r="XW8" s="7">
        <v>0.42578253123836002</v>
      </c>
      <c r="XX8" s="7">
        <v>1.27225150923639</v>
      </c>
      <c r="XY8" s="7">
        <v>0.42413897257528699</v>
      </c>
      <c r="XZ8" s="7">
        <v>-0.39705661949517002</v>
      </c>
      <c r="YA8" s="7">
        <v>-1.0614146570037899</v>
      </c>
      <c r="YB8" s="7">
        <v>0.66168742088102395</v>
      </c>
      <c r="YC8" s="7">
        <v>0.20970893287864001</v>
      </c>
      <c r="YD8" s="7">
        <v>0.44262890017786499</v>
      </c>
      <c r="YE8" s="7">
        <v>-0.45513642129867599</v>
      </c>
      <c r="YF8" s="7">
        <v>0.31011221266769101</v>
      </c>
      <c r="YG8" s="7">
        <v>0.79773819106184096</v>
      </c>
      <c r="YH8" s="7">
        <v>1.0444888084653301</v>
      </c>
      <c r="YI8" s="7">
        <v>-1.4112828149658001</v>
      </c>
      <c r="YJ8" s="7">
        <v>0.122209006504889</v>
      </c>
      <c r="YK8" s="7">
        <v>0.80211035887466997</v>
      </c>
      <c r="YL8" s="7">
        <v>-0.858407814101389</v>
      </c>
      <c r="YM8" s="7">
        <v>0.141766184342831</v>
      </c>
      <c r="YN8" s="7">
        <v>0.33547431391707999</v>
      </c>
      <c r="YO8" s="7">
        <v>0.76281173100417998</v>
      </c>
      <c r="YP8" s="7">
        <v>-6.10561717107789E-2</v>
      </c>
      <c r="YQ8" s="7">
        <v>0.45319811493288897</v>
      </c>
      <c r="YR8" s="7">
        <v>-1.63474459038696</v>
      </c>
      <c r="YS8" s="7">
        <v>-0.63631431845007702</v>
      </c>
      <c r="YT8" s="7">
        <v>-1.2973170595177701</v>
      </c>
      <c r="YU8" s="7">
        <v>1.43472403986357E-2</v>
      </c>
      <c r="YV8" s="7">
        <v>0.25333712786529999</v>
      </c>
      <c r="YW8" s="7">
        <v>-0.17383569197854201</v>
      </c>
      <c r="YX8" s="7">
        <v>-0.26716475953829899</v>
      </c>
      <c r="YY8" s="7">
        <v>-7.5573315901049806E-2</v>
      </c>
      <c r="YZ8" s="7">
        <v>-0.85490213168586204</v>
      </c>
      <c r="ZA8" s="7">
        <v>0.36567715961764502</v>
      </c>
      <c r="ZB8" s="7">
        <v>-0.47597563873068899</v>
      </c>
      <c r="ZC8" s="7">
        <v>-1.95756998380168</v>
      </c>
      <c r="ZD8" s="7">
        <v>0.22725452843366001</v>
      </c>
      <c r="ZE8" s="7">
        <v>-1.8091682001879601</v>
      </c>
      <c r="ZF8" s="7">
        <v>0.195414570623545</v>
      </c>
      <c r="ZG8" s="7">
        <v>4.2480985271950503E-2</v>
      </c>
      <c r="ZH8" s="7">
        <v>0.61272054233300299</v>
      </c>
      <c r="ZI8" s="7">
        <v>0.42895354487916498</v>
      </c>
      <c r="ZJ8" s="7">
        <v>-1.7290723206449901</v>
      </c>
      <c r="ZK8" s="7">
        <v>0.82944811629248005</v>
      </c>
      <c r="ZL8" s="7">
        <v>1.5036349424426401</v>
      </c>
      <c r="ZM8" s="7">
        <v>-0.70858853047308401</v>
      </c>
      <c r="ZN8" s="7">
        <v>-0.44520146781016401</v>
      </c>
      <c r="ZO8" s="7">
        <v>-0.41852357038057397</v>
      </c>
      <c r="ZP8" s="7">
        <v>-0.61120261536744103</v>
      </c>
      <c r="ZQ8" s="7">
        <v>-0.87244436707003503</v>
      </c>
      <c r="ZR8" s="7">
        <v>0.32817701785085701</v>
      </c>
      <c r="ZS8" s="7">
        <v>-0.256616315690958</v>
      </c>
      <c r="ZT8" s="7">
        <v>-1.03018124880463</v>
      </c>
      <c r="ZU8" s="7">
        <v>6.4887953595846495E-2</v>
      </c>
      <c r="ZV8" s="7">
        <v>1.0501081668140599</v>
      </c>
      <c r="ZW8" s="7">
        <v>0.240270246336001</v>
      </c>
      <c r="ZX8" s="7">
        <v>0.53706730315276596</v>
      </c>
      <c r="ZY8" s="7">
        <v>-1.75308738120698</v>
      </c>
      <c r="ZZ8" s="7">
        <v>0.87367774393602404</v>
      </c>
      <c r="AAA8" s="7">
        <v>1.0601355086264801</v>
      </c>
      <c r="AAB8" s="7">
        <v>-1.2796363342319199</v>
      </c>
      <c r="AAC8" s="7">
        <v>7.1347215966791902E-2</v>
      </c>
      <c r="AAD8" s="7">
        <v>-0.69284493585137696</v>
      </c>
      <c r="AAE8" s="7">
        <v>-0.29743036369273002</v>
      </c>
      <c r="AAF8" s="7">
        <v>0.85184487383394303</v>
      </c>
      <c r="AAG8" s="7">
        <v>7.7831400684473404E-2</v>
      </c>
      <c r="AAH8" s="7">
        <v>0.93332295967665302</v>
      </c>
      <c r="AAI8" s="7">
        <v>-1.0083184262210301</v>
      </c>
      <c r="AAJ8" s="7">
        <v>-0.84706028252701304</v>
      </c>
      <c r="AAK8" s="7">
        <v>-0.35634558807565597</v>
      </c>
      <c r="AAL8" s="7">
        <v>0.84243961076848095</v>
      </c>
      <c r="AAM8" s="7">
        <v>5.8688925005513003E-2</v>
      </c>
      <c r="AAN8" s="7">
        <v>2.0511016766155099</v>
      </c>
      <c r="AAO8" s="7">
        <v>0.52971929049387201</v>
      </c>
      <c r="AAP8" s="7">
        <v>0.14149065615723799</v>
      </c>
      <c r="AAQ8" s="7">
        <v>-1.31291878150175</v>
      </c>
      <c r="AAR8" s="7">
        <v>1.41233688354376</v>
      </c>
      <c r="AAS8" s="7">
        <v>-1.45420500415121</v>
      </c>
      <c r="AAT8" s="7">
        <v>0.72927079646467396</v>
      </c>
      <c r="AAU8" s="7">
        <v>-6.9329934302684096E-2</v>
      </c>
      <c r="AAV8" s="7">
        <v>1.5268146796154201</v>
      </c>
      <c r="AAW8" s="7">
        <v>-0.356099245449993</v>
      </c>
      <c r="AAX8" s="7">
        <v>-1.5565021474645999</v>
      </c>
      <c r="AAY8" s="7">
        <v>-0.85294907410943199</v>
      </c>
      <c r="AAZ8" s="7">
        <v>0.84470407056482699</v>
      </c>
      <c r="ABA8" s="7">
        <v>1.2102417253258899</v>
      </c>
      <c r="ABB8" s="7">
        <v>1.19366524010533</v>
      </c>
      <c r="ABC8" s="7">
        <v>6.11159468407E-2</v>
      </c>
      <c r="ABD8" s="7">
        <v>-0.50399670083335602</v>
      </c>
      <c r="ABE8" s="7">
        <v>0.27603644844040598</v>
      </c>
      <c r="ABF8" s="7">
        <v>-1.3463077062117099</v>
      </c>
      <c r="ABG8" s="7">
        <v>-1.13267852636037</v>
      </c>
      <c r="ABH8" s="7">
        <v>2.6519136637106602</v>
      </c>
      <c r="ABI8" s="7">
        <v>0.21720764201266099</v>
      </c>
      <c r="ABJ8" s="7">
        <v>-0.71444629926839198</v>
      </c>
      <c r="ABK8" s="7">
        <v>1.85734774961162</v>
      </c>
      <c r="ABL8" s="7">
        <v>-0.73378789427070901</v>
      </c>
      <c r="ABM8" s="7">
        <v>1.0844950383038601</v>
      </c>
      <c r="ABN8" s="7">
        <v>-1.193053015784</v>
      </c>
      <c r="ABO8" s="7">
        <v>-0.50273889685002604</v>
      </c>
      <c r="ABP8" s="7">
        <v>-0.17136802865992501</v>
      </c>
      <c r="ABQ8" s="7">
        <v>1.70773493333557</v>
      </c>
      <c r="ABR8" s="7">
        <v>-0.20982144799340299</v>
      </c>
      <c r="ABS8" s="7">
        <v>2.3042583296278201</v>
      </c>
      <c r="ABT8" s="7">
        <v>-2.2482192275571702</v>
      </c>
      <c r="ABU8" s="7">
        <v>-0.245543493840083</v>
      </c>
      <c r="ABV8" s="7">
        <v>-1.46197582226626</v>
      </c>
      <c r="ABW8" s="7">
        <v>0.13883381104041201</v>
      </c>
      <c r="ABX8" s="7">
        <v>-8.5301434954575303E-2</v>
      </c>
      <c r="ABY8" s="7">
        <v>-2.5559376265124301</v>
      </c>
      <c r="ABZ8" s="7">
        <v>2.29043668294198</v>
      </c>
      <c r="ACA8" s="7">
        <v>0.880511602703275</v>
      </c>
      <c r="ACB8" s="7">
        <v>1.1745525761706701</v>
      </c>
      <c r="ACC8" s="7">
        <v>0.56251592963942798</v>
      </c>
      <c r="ACD8" s="7">
        <v>-0.72664418653529905</v>
      </c>
      <c r="ACE8" s="7">
        <v>-0.14840440957562301</v>
      </c>
      <c r="ACF8" s="7">
        <v>0.45991588442238102</v>
      </c>
      <c r="ACG8" s="7">
        <v>-0.42348099424444802</v>
      </c>
      <c r="ACH8" s="7">
        <v>0.26538218478047199</v>
      </c>
      <c r="ACI8" s="7">
        <v>-0.67887254604971803</v>
      </c>
      <c r="ACJ8" s="7">
        <v>0.81191930752105301</v>
      </c>
      <c r="ACK8" s="7">
        <v>0.76113919669086805</v>
      </c>
      <c r="ACL8" s="7">
        <v>0.72401593069577896</v>
      </c>
      <c r="ACM8" s="7">
        <v>0.17939440760078501</v>
      </c>
      <c r="ACN8" s="7">
        <v>2.8656999375259399E-2</v>
      </c>
      <c r="ACO8" s="7">
        <v>-1.3739815081520901</v>
      </c>
      <c r="ACP8" s="7">
        <v>-0.66501908607853899</v>
      </c>
      <c r="ACQ8" s="7">
        <v>-0.111537971330047</v>
      </c>
      <c r="ACR8" s="7">
        <v>0.32206328193371903</v>
      </c>
      <c r="ACS8" s="7">
        <v>-5.1786215883137601E-2</v>
      </c>
      <c r="ACT8" s="7">
        <v>1.2039234684651099</v>
      </c>
      <c r="ACU8" s="7">
        <v>1.56293775243092</v>
      </c>
      <c r="ACV8" s="7">
        <v>-2.97821466898722E-2</v>
      </c>
      <c r="ACW8" s="7">
        <v>-0.16434335537019401</v>
      </c>
      <c r="ACX8" s="7">
        <v>-0.874709101744507</v>
      </c>
      <c r="ACY8" s="7">
        <v>-0.65273975688533703</v>
      </c>
      <c r="ACZ8" s="7">
        <v>1.3599204477431199</v>
      </c>
      <c r="ADA8" s="7">
        <v>-0.67232495189996799</v>
      </c>
      <c r="ADB8" s="7">
        <v>-0.70628693504198903</v>
      </c>
      <c r="ADC8" s="7">
        <v>-0.20784861644882599</v>
      </c>
      <c r="ADD8" s="7">
        <v>0.256289894514376</v>
      </c>
      <c r="ADE8" s="7">
        <v>-1.5001494676362599</v>
      </c>
      <c r="ADF8" s="7">
        <v>-0.92533992004191701</v>
      </c>
      <c r="ADG8" s="7">
        <v>-0.15712239473794201</v>
      </c>
      <c r="ADH8" s="7">
        <v>-0.15839612858504101</v>
      </c>
      <c r="ADI8" s="7">
        <v>0.51992590605193101</v>
      </c>
      <c r="ADJ8" s="7">
        <v>-2.1304682565852202</v>
      </c>
      <c r="ADK8" s="7">
        <v>-1.40650005785388</v>
      </c>
      <c r="ADL8" s="7">
        <v>5.2472195678863201E-2</v>
      </c>
      <c r="ADM8" s="7">
        <v>0.82523421595531898</v>
      </c>
      <c r="ADN8" s="7">
        <v>0.13254344256416201</v>
      </c>
      <c r="ADO8" s="7">
        <v>0.49748928959557598</v>
      </c>
      <c r="ADP8" s="7">
        <v>-1.4818466223043401</v>
      </c>
      <c r="ADQ8" s="7">
        <v>1.5900906067082901</v>
      </c>
      <c r="ADR8" s="7">
        <v>1.4236432483608299</v>
      </c>
      <c r="ADS8" s="7">
        <v>0.91988503327219495</v>
      </c>
      <c r="ADT8" s="7">
        <v>0.168132471506235</v>
      </c>
      <c r="ADU8" s="7">
        <v>-2.4887486916653998</v>
      </c>
      <c r="ADV8" s="7">
        <v>0.12491132423805899</v>
      </c>
      <c r="ADW8" s="7">
        <v>0.45171213606689498</v>
      </c>
      <c r="ADX8" s="7">
        <v>-0.55808267702647696</v>
      </c>
      <c r="ADY8" s="7">
        <v>1.0470207112266201</v>
      </c>
      <c r="ADZ8" s="7">
        <v>-2.52168301522737E-2</v>
      </c>
      <c r="AEA8" s="7">
        <v>-0.48786817712467601</v>
      </c>
      <c r="AEB8" s="7">
        <v>-0.271995670326038</v>
      </c>
      <c r="AEC8" s="7">
        <v>-0.31698725270309802</v>
      </c>
      <c r="AED8" s="7">
        <v>1.0805368654626599</v>
      </c>
      <c r="AEE8" s="7">
        <v>0.81169566151252004</v>
      </c>
      <c r="AEF8" s="7">
        <v>0.93387188007181499</v>
      </c>
      <c r="AEG8" s="7">
        <v>-0.69244918427103197</v>
      </c>
      <c r="AEH8" s="7">
        <v>1.21402234196926</v>
      </c>
      <c r="AEI8" s="7">
        <v>1.6431061917284799</v>
      </c>
      <c r="AEJ8" s="7">
        <v>1.01042880883608</v>
      </c>
      <c r="AEK8" s="7">
        <v>0.20829924850747</v>
      </c>
      <c r="AEL8" s="7">
        <v>-1.57754317849113</v>
      </c>
      <c r="AEM8" s="7">
        <v>0.55185109721471504</v>
      </c>
      <c r="AEN8" s="7">
        <v>0.23544910616474299</v>
      </c>
      <c r="AEO8" s="7">
        <v>-1.7126296347422301</v>
      </c>
      <c r="AEP8" s="7">
        <v>-2.3564930715249399E-2</v>
      </c>
      <c r="AEQ8" s="7">
        <v>0.86103367600497804</v>
      </c>
      <c r="AER8" s="7">
        <v>-0.51634960238011796</v>
      </c>
      <c r="AES8" s="7">
        <v>0.84338242302608402</v>
      </c>
      <c r="AET8" s="7">
        <v>0.72410828470406197</v>
      </c>
      <c r="AEU8" s="7">
        <v>-0.339670420642393</v>
      </c>
      <c r="AEV8" s="7">
        <v>-0.98210464618860505</v>
      </c>
      <c r="AEW8" s="7">
        <v>0.118246790417565</v>
      </c>
      <c r="AEX8" s="7">
        <v>0.44037089127247903</v>
      </c>
      <c r="AEY8" s="7">
        <v>-1.6462321230689201</v>
      </c>
      <c r="AEZ8" s="7">
        <v>4.47150090653902E-2</v>
      </c>
      <c r="AFA8" s="7">
        <v>-0.84634572034929301</v>
      </c>
      <c r="AFB8" s="7">
        <v>1.3960282267575901</v>
      </c>
      <c r="AFC8" s="7">
        <v>-0.65234769669195203</v>
      </c>
      <c r="AFD8" s="7">
        <v>1.0894568131023501</v>
      </c>
      <c r="AFE8" s="7">
        <v>-1.70879905743003</v>
      </c>
      <c r="AFF8" s="7">
        <v>0.62872443779398002</v>
      </c>
      <c r="AFG8" s="7">
        <v>0.89773702824109403</v>
      </c>
      <c r="AFH8" s="7">
        <v>0.49224444392348699</v>
      </c>
      <c r="AFI8" s="7">
        <v>-1.1748009174243299</v>
      </c>
      <c r="AFJ8" s="7">
        <v>0.72697600314445099</v>
      </c>
      <c r="AFK8" s="7">
        <v>7.6055509206735802E-2</v>
      </c>
      <c r="AFL8" s="7">
        <v>-0.80437231581402102</v>
      </c>
      <c r="AFM8" s="7">
        <v>-0.66703116927712103</v>
      </c>
      <c r="AFN8" s="7">
        <v>0.71504029698104699</v>
      </c>
      <c r="AFO8" s="7">
        <v>0.16326747224770399</v>
      </c>
      <c r="AFP8" s="7">
        <v>-0.26581904305541598</v>
      </c>
      <c r="AFQ8" s="7">
        <v>-2.8468265076992099</v>
      </c>
      <c r="AFR8" s="7">
        <v>1.98024100713064</v>
      </c>
      <c r="AFS8" s="7">
        <v>-0.55548469385683197</v>
      </c>
      <c r="AFT8" s="7">
        <v>1.1133610732422199</v>
      </c>
      <c r="AFU8" s="7">
        <v>-6.9022165504406999E-2</v>
      </c>
      <c r="AFV8" s="7">
        <v>-0.59136134138511798</v>
      </c>
      <c r="AFW8" s="7">
        <v>-0.68949615844747403</v>
      </c>
      <c r="AFX8" s="7">
        <v>-0.723043935110109</v>
      </c>
      <c r="AFY8" s="7">
        <v>0.352209919339602</v>
      </c>
      <c r="AFZ8" s="7">
        <v>2.05598196264912</v>
      </c>
      <c r="AGA8" s="7">
        <v>-0.58661595850899395</v>
      </c>
      <c r="AGB8" s="7">
        <v>-0.67734877946205696</v>
      </c>
      <c r="AGC8" s="7">
        <v>0.28093024808138101</v>
      </c>
      <c r="AGD8" s="7">
        <v>-0.77130434922140201</v>
      </c>
      <c r="AGE8" s="7">
        <v>1.45405646950312</v>
      </c>
      <c r="AGF8" s="7">
        <v>0.253427315554762</v>
      </c>
      <c r="AGG8" s="7">
        <v>1.3325282067086499</v>
      </c>
      <c r="AGH8" s="7">
        <v>2.92883929936872</v>
      </c>
      <c r="AGI8" s="7">
        <v>-0.36721053414253202</v>
      </c>
      <c r="AGJ8" s="7">
        <v>-0.88808598301554997</v>
      </c>
      <c r="AGK8" s="7">
        <v>0.55441931414586898</v>
      </c>
      <c r="AGL8" s="7">
        <v>0.39598441388042699</v>
      </c>
      <c r="AGM8" s="7">
        <v>-6.7897966255678593E-2</v>
      </c>
      <c r="AGN8" s="7">
        <v>-1.5072400172462099</v>
      </c>
      <c r="AGO8" s="7">
        <v>-0.74635744232114798</v>
      </c>
      <c r="AGP8" s="7">
        <v>1.54270828350176</v>
      </c>
      <c r="AGQ8" s="7">
        <v>0.84066514169553397</v>
      </c>
      <c r="AGR8" s="7">
        <v>-0.35329115776055903</v>
      </c>
      <c r="AGS8" s="7">
        <v>-0.59384070738288397</v>
      </c>
      <c r="AGT8" s="7">
        <v>-0.49748982315087198</v>
      </c>
      <c r="AGU8" s="7">
        <v>0.38064287871226399</v>
      </c>
      <c r="AGV8" s="7">
        <v>-0.11241809152184799</v>
      </c>
      <c r="AGW8" s="7">
        <v>1.59989456277961</v>
      </c>
      <c r="AGX8" s="7">
        <v>-0.10453877363432799</v>
      </c>
      <c r="AGY8" s="7">
        <v>0.141904154275588</v>
      </c>
      <c r="AGZ8" s="7">
        <v>0.157098992667873</v>
      </c>
      <c r="AHA8" s="7">
        <v>1.1996267900723501</v>
      </c>
      <c r="AHB8" s="7">
        <v>0.48034894699531999</v>
      </c>
      <c r="AHC8" s="7">
        <v>6.9427875588015706E-2</v>
      </c>
      <c r="AHD8" s="7">
        <v>-0.63288685094360397</v>
      </c>
      <c r="AHE8" s="7">
        <v>0.57312662780977397</v>
      </c>
      <c r="AHF8" s="7">
        <v>0.62552415010928297</v>
      </c>
      <c r="AHG8" s="7">
        <v>6.3577127898452906E-2</v>
      </c>
      <c r="AHH8" s="7">
        <v>0.22540054591137801</v>
      </c>
      <c r="AHI8" s="7">
        <v>-0.62739845611544898</v>
      </c>
      <c r="AHJ8" s="7">
        <v>-0.60415781659344803</v>
      </c>
      <c r="AHK8" s="7">
        <v>0.341251652520906</v>
      </c>
      <c r="AHL8" s="7">
        <v>0.166202030449244</v>
      </c>
      <c r="AHM8" s="7">
        <v>0.33760501416546201</v>
      </c>
      <c r="AHN8" s="7">
        <v>0.88418112537862703</v>
      </c>
      <c r="AHO8" s="7">
        <v>0.344005031785733</v>
      </c>
      <c r="AHP8" s="7">
        <v>-0.40641627764066002</v>
      </c>
      <c r="AHQ8" s="7">
        <v>0.85949031446797697</v>
      </c>
      <c r="AHR8" s="7">
        <v>0.15681160365360899</v>
      </c>
      <c r="AHS8" s="7">
        <v>2.0690200068567099</v>
      </c>
      <c r="AHT8" s="7">
        <v>-0.31431289218140801</v>
      </c>
      <c r="AHU8" s="7">
        <v>-0.44689143564683398</v>
      </c>
      <c r="AHV8" s="7">
        <v>-1.80778681188163</v>
      </c>
      <c r="AHW8" s="7">
        <v>1.48641258155643</v>
      </c>
      <c r="AHX8" s="7">
        <v>0.57142310966884402</v>
      </c>
      <c r="AHY8" s="7">
        <v>0.496130329572185</v>
      </c>
      <c r="AHZ8" s="7">
        <v>-1.26496503833688</v>
      </c>
      <c r="AIA8" s="7">
        <v>-0.805994314145973</v>
      </c>
      <c r="AIB8" s="7">
        <v>0.99485919542566803</v>
      </c>
      <c r="AIC8" s="7">
        <v>0.79093710802324402</v>
      </c>
      <c r="AID8" s="7">
        <v>-1.7310844845321001</v>
      </c>
      <c r="AIE8" s="7">
        <v>-2.3834041730210598</v>
      </c>
      <c r="AIF8" s="7">
        <v>0.19473058348924899</v>
      </c>
      <c r="AIG8" s="7">
        <v>1.9833017981732499</v>
      </c>
      <c r="AIH8" s="7">
        <v>-1.40054085446969</v>
      </c>
      <c r="AII8" s="7">
        <v>-0.50308695880917598</v>
      </c>
      <c r="AIJ8" s="7">
        <v>-1.46193366531653</v>
      </c>
      <c r="AIK8" s="7">
        <v>-0.96199159922666</v>
      </c>
      <c r="AIL8" s="7">
        <v>0.38381544467231798</v>
      </c>
      <c r="AIM8" s="7">
        <v>2.3476813152292699</v>
      </c>
      <c r="AIN8" s="7">
        <v>-1.2635583112697799</v>
      </c>
      <c r="AIO8" s="7">
        <v>1.3264250436813301</v>
      </c>
      <c r="AIP8" s="7">
        <v>0.23892346348885499</v>
      </c>
      <c r="AIQ8" s="7">
        <v>0.61747513026056899</v>
      </c>
      <c r="AIR8" s="7">
        <v>-0.44002501176150699</v>
      </c>
      <c r="AIS8" s="7">
        <v>0.85503020366384996</v>
      </c>
      <c r="AIT8" s="7">
        <v>0.60838301757166302</v>
      </c>
      <c r="AIU8" s="7">
        <v>1.0922696221781301</v>
      </c>
      <c r="AIV8" s="7">
        <v>-0.62262691117381996</v>
      </c>
      <c r="AIW8" s="7">
        <v>0.79665024193965805</v>
      </c>
      <c r="AIX8" s="7">
        <v>-0.214490628297729</v>
      </c>
      <c r="AIY8" s="7">
        <v>-0.63083212334752103</v>
      </c>
      <c r="AIZ8" s="7">
        <v>-1.7605366153447599</v>
      </c>
      <c r="AJA8" s="7">
        <v>0.71996751136772996</v>
      </c>
      <c r="AJB8" s="7">
        <v>0.61519239502936995</v>
      </c>
      <c r="AJC8" s="7">
        <v>-1.8426297609715301</v>
      </c>
      <c r="AJD8" s="7">
        <v>-0.232111064646844</v>
      </c>
      <c r="AJE8" s="7">
        <v>0.22722149911689801</v>
      </c>
      <c r="AJF8" s="7">
        <v>0.44164203500652199</v>
      </c>
      <c r="AJG8" s="7">
        <v>0.26639333175365798</v>
      </c>
      <c r="AJH8" s="7">
        <v>4.3462737028711403E-2</v>
      </c>
      <c r="AJI8" s="7">
        <v>2.3265471295299198</v>
      </c>
      <c r="AJJ8" s="7">
        <v>1.4224971062821099</v>
      </c>
      <c r="AJK8" s="7">
        <v>-0.40150135207280402</v>
      </c>
      <c r="AJL8" s="7">
        <v>0.66844716951244698</v>
      </c>
      <c r="AJM8" s="7">
        <v>-0.40153825338176702</v>
      </c>
      <c r="AJN8" s="7">
        <v>-0.520541594971622</v>
      </c>
      <c r="AJO8" s="7">
        <v>0.489629467930499</v>
      </c>
      <c r="AJP8" s="7">
        <v>-1.03330133776188</v>
      </c>
      <c r="AJQ8" s="7">
        <v>-2.2426269903426199</v>
      </c>
      <c r="AJR8" s="7">
        <v>0.12471173336461699</v>
      </c>
      <c r="AJS8" s="7">
        <v>0.122538626155148</v>
      </c>
      <c r="AJT8" s="7">
        <v>0.55217979487620605</v>
      </c>
      <c r="AJU8" s="7">
        <v>-0.65883774266068695</v>
      </c>
      <c r="AJV8" s="7">
        <v>6.3314214480639494E-2</v>
      </c>
      <c r="AJW8" s="7">
        <v>-0.34410303656700097</v>
      </c>
      <c r="AJX8" s="7">
        <v>-0.15804223365960399</v>
      </c>
      <c r="AJY8" s="7">
        <v>0.68262166960489301</v>
      </c>
      <c r="AJZ8" s="7">
        <v>-0.67157192326485504</v>
      </c>
      <c r="AKA8" s="7">
        <v>-1.5567790726879001</v>
      </c>
      <c r="AKB8" s="7">
        <v>-3.3613191944785702E-2</v>
      </c>
      <c r="AKC8" s="7">
        <v>0.49647375010184103</v>
      </c>
      <c r="AKD8" s="7">
        <v>-1.2780211965250099</v>
      </c>
      <c r="AKE8" s="7">
        <v>0.72751903532345596</v>
      </c>
      <c r="AKF8" s="7">
        <v>0.173368992833835</v>
      </c>
      <c r="AKG8" s="7">
        <v>1.11340948161386</v>
      </c>
      <c r="AKH8" s="7">
        <v>0.94910192909523095</v>
      </c>
      <c r="AKI8" s="7">
        <v>-4.6339107798386799E-2</v>
      </c>
      <c r="AKJ8" s="7">
        <v>-0.56381261915793301</v>
      </c>
      <c r="AKK8" s="7">
        <v>0.69952565661612598</v>
      </c>
      <c r="AKL8" s="7">
        <v>0.74997394758033198</v>
      </c>
      <c r="AKM8" s="7">
        <v>1.7463795606864501</v>
      </c>
      <c r="AKN8" s="7">
        <v>1.4132847245903799</v>
      </c>
      <c r="AKO8" s="7">
        <v>1.2051122555947</v>
      </c>
      <c r="AKP8" s="7">
        <v>1.2867551325992399</v>
      </c>
      <c r="AKQ8" s="7">
        <v>0.67464342459503901</v>
      </c>
      <c r="AKR8" s="7">
        <v>1.71564979129658</v>
      </c>
      <c r="AKS8" s="7">
        <v>-1.46501006080785</v>
      </c>
      <c r="AKT8" s="7">
        <v>8.1413038480322095E-2</v>
      </c>
      <c r="AKU8" s="7">
        <v>2.77534437196424E-2</v>
      </c>
      <c r="AKV8" s="7">
        <v>0.54672947138551597</v>
      </c>
      <c r="AKW8" s="7">
        <v>1.7403384979830701</v>
      </c>
      <c r="AKX8" s="7">
        <v>0.18679920421388199</v>
      </c>
      <c r="AKY8" s="7">
        <v>1.5152340870835601</v>
      </c>
      <c r="AKZ8" s="7">
        <v>0.44210638561191301</v>
      </c>
      <c r="ALA8" s="7">
        <v>1.59223304767689</v>
      </c>
      <c r="ALB8" s="7">
        <v>-0.169425803828849</v>
      </c>
      <c r="ALC8" s="7">
        <v>-0.219329741901862</v>
      </c>
      <c r="ALD8" s="7">
        <v>-1.24224666780626</v>
      </c>
      <c r="ALE8" s="7">
        <v>1.81212364770088</v>
      </c>
      <c r="ALF8" s="7">
        <v>1.21940727180249</v>
      </c>
      <c r="ALG8" s="7">
        <v>0.21422182105771201</v>
      </c>
      <c r="ALH8" s="7">
        <v>-1.27209741150653</v>
      </c>
      <c r="ALI8" s="7">
        <v>-0.22134378211217001</v>
      </c>
      <c r="ALJ8" s="7">
        <v>1.0171736438589001</v>
      </c>
      <c r="ALK8" s="7">
        <v>0.47489678628129101</v>
      </c>
      <c r="ALL8" s="7">
        <v>0.94616078335810605</v>
      </c>
      <c r="ALM8" s="7">
        <v>-0.118361899185079</v>
      </c>
      <c r="ALN8" s="7">
        <v>-0.24154346417022099</v>
      </c>
      <c r="ALO8" s="7">
        <v>3.9052496265247001E-3</v>
      </c>
      <c r="ALP8" s="7">
        <v>0.238411416897022</v>
      </c>
      <c r="ALQ8" s="7">
        <v>-1.0296547406732901</v>
      </c>
      <c r="ALR8" s="7">
        <v>-1.55447380699605</v>
      </c>
      <c r="ALS8" s="7">
        <v>0.55186131617079104</v>
      </c>
      <c r="ALT8" s="7">
        <v>0.48674007370738298</v>
      </c>
      <c r="ALU8" s="7">
        <v>-0.880319780821326</v>
      </c>
      <c r="ALV8" s="7">
        <v>-0.70380112823914198</v>
      </c>
      <c r="ALW8" s="7">
        <v>1.0960101359263701</v>
      </c>
      <c r="ALX8" s="7">
        <v>-0.190942337084576</v>
      </c>
      <c r="ALY8" s="7">
        <v>0.32015752040291401</v>
      </c>
      <c r="ALZ8" s="7">
        <v>-2.5409167564674401E-2</v>
      </c>
      <c r="AMA8" s="7">
        <v>0.64533520851095905</v>
      </c>
      <c r="AMB8" s="7">
        <v>0.21441387533011599</v>
      </c>
      <c r="AMC8" s="7">
        <v>0.26262683739533699</v>
      </c>
      <c r="AMD8" s="7">
        <v>-0.25841853119126701</v>
      </c>
      <c r="AME8" s="7">
        <v>0.34577865290558402</v>
      </c>
      <c r="AMF8" s="7">
        <v>0.42929738861045802</v>
      </c>
      <c r="AMG8" s="7">
        <v>0.78901980432806695</v>
      </c>
      <c r="AMH8" s="7">
        <v>-1.4516002790128399</v>
      </c>
      <c r="AMI8" s="7">
        <v>-0.83857910487246401</v>
      </c>
      <c r="AMJ8" s="7">
        <v>-1.06989737628599</v>
      </c>
      <c r="AMK8" s="7">
        <v>-1.8530835987183301</v>
      </c>
      <c r="AML8" s="7">
        <v>1.8116608902328899</v>
      </c>
      <c r="AMM8" s="7">
        <v>0.19964108872467701</v>
      </c>
      <c r="AMN8" s="7">
        <v>1.1415172313272499</v>
      </c>
      <c r="AMO8" s="7">
        <v>0.66056626908094396</v>
      </c>
      <c r="AMP8" s="7">
        <v>-0.36063651025635901</v>
      </c>
      <c r="AMQ8" s="7">
        <v>0.732778048720366</v>
      </c>
      <c r="AMR8" s="7">
        <v>-1.1130774519414</v>
      </c>
      <c r="AMS8" s="7">
        <v>-0.235646722411579</v>
      </c>
      <c r="AMT8" s="7">
        <v>1.4225253928473001</v>
      </c>
      <c r="AMU8" s="7">
        <v>-1.69531671146955</v>
      </c>
      <c r="AMV8" s="7">
        <v>-0.41965385193043098</v>
      </c>
      <c r="AMW8" s="7">
        <v>0.85061529979223205</v>
      </c>
      <c r="AMX8" s="7">
        <v>-2.51359751618544</v>
      </c>
      <c r="AMY8" s="7">
        <v>-0.27253774164926697</v>
      </c>
      <c r="AMZ8" s="7">
        <v>0.47042749505113302</v>
      </c>
      <c r="ANA8" s="7">
        <v>-0.97813801555726299</v>
      </c>
      <c r="ANB8" s="7">
        <v>-0.15357706969847901</v>
      </c>
      <c r="ANC8" s="7">
        <v>-1.2502182313163299</v>
      </c>
      <c r="AND8" s="7">
        <v>-0.58879040099438595</v>
      </c>
      <c r="ANE8" s="7">
        <v>0.856501415243063</v>
      </c>
      <c r="ANF8" s="7">
        <v>-1.10638465990032</v>
      </c>
      <c r="ANG8" s="7">
        <v>1.00336459101492</v>
      </c>
      <c r="ANH8" s="7">
        <v>0.243968902102594</v>
      </c>
      <c r="ANI8" s="7">
        <v>0.85670308387681204</v>
      </c>
      <c r="ANJ8" s="7">
        <v>0.85948683136512105</v>
      </c>
      <c r="ANK8" s="7">
        <v>0.17612076068642499</v>
      </c>
      <c r="ANL8" s="7">
        <v>0.34745388258620602</v>
      </c>
      <c r="ANM8" s="7">
        <v>0.68281255571897304</v>
      </c>
      <c r="ANN8" s="7">
        <v>-1.2081648273190999</v>
      </c>
      <c r="ANO8" s="7">
        <v>-0.37958048734115302</v>
      </c>
      <c r="ANP8" s="7">
        <v>0.87037420438566204</v>
      </c>
      <c r="ANQ8" s="7">
        <v>1.20436520475085</v>
      </c>
      <c r="ANR8" s="7">
        <v>-1.4231398024138799</v>
      </c>
      <c r="ANS8" s="7">
        <v>-1.52519816888147</v>
      </c>
      <c r="ANT8" s="7">
        <v>0.125255663262241</v>
      </c>
      <c r="ANU8" s="7">
        <v>-0.17702961973017201</v>
      </c>
      <c r="ANV8" s="7">
        <v>-1.03309583231102</v>
      </c>
      <c r="ANW8" s="7">
        <v>-0.46972874218831401</v>
      </c>
      <c r="ANX8" s="7">
        <v>0.456335570771574</v>
      </c>
      <c r="ANY8" s="7">
        <v>0.57935916830426804</v>
      </c>
      <c r="ANZ8" s="7">
        <v>1.45491993368892</v>
      </c>
      <c r="AOA8" s="7">
        <v>-0.67581934687238598</v>
      </c>
      <c r="AOB8" s="7">
        <v>-1.3905267784325099</v>
      </c>
      <c r="AOC8" s="7">
        <v>1.4742670015100601</v>
      </c>
      <c r="AOD8" s="7">
        <v>-0.17785957969265501</v>
      </c>
      <c r="AOE8" s="7">
        <v>1.4289795869291599</v>
      </c>
      <c r="AOF8" s="7">
        <v>1.77808022328737</v>
      </c>
      <c r="AOG8" s="7">
        <v>0.441469370937979</v>
      </c>
      <c r="AOH8" s="7">
        <v>-1.15612517989062</v>
      </c>
      <c r="AOI8" s="7">
        <v>4.6249867446957603E-2</v>
      </c>
      <c r="AOJ8" s="7">
        <v>1.24547126041027</v>
      </c>
      <c r="AOK8" s="7">
        <v>-0.83932890082186795</v>
      </c>
      <c r="AOL8" s="7">
        <v>7.8406866790353899E-2</v>
      </c>
      <c r="AOM8" s="7">
        <v>1.0570152113279501</v>
      </c>
      <c r="AON8" s="7">
        <v>2.5255209243422101</v>
      </c>
      <c r="AOO8" s="7">
        <v>0.21711331408942</v>
      </c>
      <c r="AOP8" s="7">
        <v>0.81954052766473395</v>
      </c>
      <c r="AOQ8" s="7">
        <v>0.78077969262859903</v>
      </c>
      <c r="AOR8" s="7">
        <v>6.1546006026497499E-2</v>
      </c>
      <c r="AOS8" s="7">
        <v>-1.497787866883</v>
      </c>
      <c r="AOT8" s="7">
        <v>-0.95389556711661505</v>
      </c>
      <c r="AOU8" s="7">
        <v>-0.93000596711174499</v>
      </c>
      <c r="AOV8" s="7">
        <v>0.21110275452646601</v>
      </c>
      <c r="AOW8" s="7">
        <v>0.116699989643686</v>
      </c>
      <c r="AOX8" s="7">
        <v>0.40248993345682699</v>
      </c>
      <c r="AOY8" s="7">
        <v>-1.1918266914965701</v>
      </c>
      <c r="AOZ8" s="7">
        <v>-8.6631321953324195E-2</v>
      </c>
      <c r="APA8" s="7">
        <v>-0.45353266278135601</v>
      </c>
      <c r="APB8" s="7">
        <v>0.38207780915190098</v>
      </c>
      <c r="APC8" s="7">
        <v>0.80783261935603701</v>
      </c>
      <c r="APD8" s="7">
        <v>-0.74667467854409098</v>
      </c>
      <c r="APE8" s="7">
        <v>-2.1707544848052298</v>
      </c>
      <c r="APF8" s="7">
        <v>-0.62238028311231697</v>
      </c>
      <c r="APG8" s="7">
        <v>1.01801272797555</v>
      </c>
      <c r="APH8" s="7">
        <v>-1.24573550364798</v>
      </c>
      <c r="API8" s="7">
        <v>-2.3548385690587099</v>
      </c>
      <c r="APJ8" s="7">
        <v>1.68137820432285</v>
      </c>
      <c r="APK8" s="7">
        <v>1.0785998053397501</v>
      </c>
      <c r="APL8" s="7">
        <v>1.47802459641789</v>
      </c>
      <c r="APM8" s="7">
        <v>7.2821073339377304E-2</v>
      </c>
      <c r="APN8" s="7">
        <v>-0.119985118144238</v>
      </c>
      <c r="APO8" s="7">
        <v>-1.8200159496624699</v>
      </c>
      <c r="APP8" s="7">
        <v>1.6653802746925701</v>
      </c>
      <c r="APQ8" s="7">
        <v>-1.07888180745878</v>
      </c>
      <c r="APR8" s="7">
        <v>-4.3130441163113003E-3</v>
      </c>
      <c r="APS8" s="7">
        <v>-4.8574356866225202E-2</v>
      </c>
      <c r="APT8" s="7">
        <v>-0.39859264481488499</v>
      </c>
      <c r="APU8" s="7">
        <v>0.22614051072150701</v>
      </c>
      <c r="APV8" s="7">
        <v>0.58041980788851799</v>
      </c>
      <c r="APW8" s="7">
        <v>1.61158390685603</v>
      </c>
      <c r="APX8" s="7">
        <v>0.39869923502976401</v>
      </c>
      <c r="APY8" s="7">
        <v>0.50442633451225205</v>
      </c>
      <c r="APZ8" s="7">
        <v>-0.96090810389802195</v>
      </c>
      <c r="AQA8" s="7">
        <v>0.24728459709938899</v>
      </c>
      <c r="AQB8" s="7">
        <v>0.59824196941394003</v>
      </c>
      <c r="AQC8" s="7">
        <v>-1.2284880096564199</v>
      </c>
      <c r="AQD8" s="7">
        <v>1.69197448666711</v>
      </c>
      <c r="AQE8" s="7">
        <v>1.1486129281077999</v>
      </c>
      <c r="AQF8" s="7">
        <v>0.61088278864384105</v>
      </c>
      <c r="AQG8" s="7">
        <v>-1.18839420907573</v>
      </c>
      <c r="AQH8" s="7">
        <v>7.6565217714095093E-2</v>
      </c>
      <c r="AQI8" s="7">
        <v>0.61893942236732202</v>
      </c>
      <c r="AQJ8" s="7">
        <v>2.2418957110331301</v>
      </c>
      <c r="AQK8" s="7">
        <v>-0.60469251724566198</v>
      </c>
      <c r="AQL8" s="7">
        <v>9.4517631714265193E-2</v>
      </c>
      <c r="AQM8" s="7">
        <v>2.63164223217052</v>
      </c>
      <c r="AQN8" s="7">
        <v>0.245847061671014</v>
      </c>
      <c r="AQO8" s="7">
        <v>1.8858300564221098E-2</v>
      </c>
      <c r="AQP8" s="7">
        <v>1.7664599468459199</v>
      </c>
      <c r="AQQ8" s="7">
        <v>0.125488705462977</v>
      </c>
      <c r="AQR8" s="7">
        <v>-1.0664114392885999</v>
      </c>
      <c r="AQS8" s="7">
        <v>-0.84692264134144302</v>
      </c>
      <c r="AQT8" s="7">
        <v>0.19454362722878399</v>
      </c>
      <c r="AQU8" s="7">
        <v>-0.283917999976041</v>
      </c>
      <c r="AQV8" s="7">
        <v>0.238625786366648</v>
      </c>
      <c r="AQW8" s="7">
        <v>-0.61360803113668405</v>
      </c>
      <c r="AQX8" s="7">
        <v>0.67129437366658196</v>
      </c>
      <c r="AQY8" s="7">
        <v>0.28339499980208099</v>
      </c>
      <c r="AQZ8" s="7">
        <v>1.5554122000061501</v>
      </c>
      <c r="ARA8" s="7">
        <v>0.568859004919537</v>
      </c>
      <c r="ARB8" s="7">
        <v>0.45456975408065797</v>
      </c>
      <c r="ARC8" s="7">
        <v>0.94034754433409795</v>
      </c>
      <c r="ARD8" s="7">
        <v>-0.59775498672119098</v>
      </c>
      <c r="ARE8" s="7">
        <v>-0.308194535000549</v>
      </c>
      <c r="ARF8" s="7">
        <v>-1.0284522882909699</v>
      </c>
      <c r="ARG8" s="7">
        <v>-1.2122872800529101</v>
      </c>
      <c r="ARH8" s="7">
        <v>1.5927050007357999</v>
      </c>
      <c r="ARI8" s="7">
        <v>1.2524103919493601</v>
      </c>
      <c r="ARJ8" s="7">
        <v>-0.56666034005439203</v>
      </c>
      <c r="ARK8" s="7">
        <v>0.378116769924628</v>
      </c>
      <c r="ARL8" s="7">
        <v>-0.45665279767927502</v>
      </c>
      <c r="ARM8" s="7">
        <v>0.30980799321824098</v>
      </c>
      <c r="ARN8" s="7">
        <v>-0.229338013310667</v>
      </c>
      <c r="ARO8" s="7">
        <v>-1.66533127580125</v>
      </c>
      <c r="ARP8" s="7">
        <v>0.386831105199756</v>
      </c>
      <c r="ARQ8" s="7">
        <v>0.21674886688377301</v>
      </c>
      <c r="ARR8" s="7">
        <v>-0.44553727055306003</v>
      </c>
      <c r="ARS8" s="7">
        <v>-0.93343518995958397</v>
      </c>
      <c r="ART8" s="7">
        <v>-0.79798204322912203</v>
      </c>
      <c r="ARU8" s="7">
        <v>-0.432791144453614</v>
      </c>
      <c r="ARV8" s="7">
        <v>0.38824889661117201</v>
      </c>
      <c r="ARW8" s="7">
        <v>0.81519794035807802</v>
      </c>
      <c r="ARX8" s="7">
        <v>-1.4467058890912201</v>
      </c>
      <c r="ARY8" s="7">
        <v>-0.87526951419232601</v>
      </c>
      <c r="ARZ8" s="7">
        <v>0.38686512405044299</v>
      </c>
      <c r="ASA8" s="7">
        <v>0.59103457056034103</v>
      </c>
      <c r="ASB8" s="7">
        <v>1.4746317611159101</v>
      </c>
      <c r="ASC8" s="7">
        <v>8.4538385190005005E-2</v>
      </c>
      <c r="ASD8" s="7">
        <v>0.80459458806881301</v>
      </c>
      <c r="ASE8" s="7">
        <v>-9.0870321667929105E-2</v>
      </c>
      <c r="ASF8" s="7">
        <v>0.69440625278152801</v>
      </c>
      <c r="ASG8" s="7">
        <v>-1.9726957990009799</v>
      </c>
      <c r="ASH8" s="7">
        <v>-0.82277404169310997</v>
      </c>
      <c r="ASI8" s="7">
        <v>-1.36076782336228</v>
      </c>
      <c r="ASJ8" s="7">
        <v>-0.52884980489029099</v>
      </c>
      <c r="ASK8" s="7">
        <v>-0.45005416674462001</v>
      </c>
      <c r="ASL8" s="7">
        <v>0.36405361560282401</v>
      </c>
      <c r="ASM8" s="7">
        <v>-0.32881824059757098</v>
      </c>
      <c r="ASN8" s="7">
        <v>0.59054147263683798</v>
      </c>
      <c r="ASO8" s="7">
        <v>1.1230179691450799</v>
      </c>
      <c r="ASP8" s="7">
        <v>-0.837815114165812</v>
      </c>
      <c r="ASQ8" s="7">
        <v>-1.91280229609637</v>
      </c>
      <c r="ASR8" s="7">
        <v>-0.198031779066312</v>
      </c>
      <c r="ASS8" s="7">
        <v>-0.238249563457886</v>
      </c>
      <c r="AST8" s="7">
        <v>-0.221201113166653</v>
      </c>
      <c r="ASU8" s="7">
        <v>-1.59929046944486</v>
      </c>
      <c r="ASV8" s="7">
        <v>-1.5551490990275101</v>
      </c>
      <c r="ASW8" s="7">
        <v>-0.58257019153221501</v>
      </c>
      <c r="ASX8" s="7">
        <v>0.52405949756804004</v>
      </c>
      <c r="ASY8" s="7">
        <v>-0.33542017201443902</v>
      </c>
      <c r="ASZ8" s="7">
        <v>-0.55988274921612102</v>
      </c>
      <c r="ATA8" s="7">
        <v>-0.29146691740187203</v>
      </c>
      <c r="ATB8" s="7">
        <v>-1.55021768440439</v>
      </c>
      <c r="ATC8" s="7">
        <v>-0.69697731559517195</v>
      </c>
      <c r="ATD8" s="7">
        <v>0.64908406450654299</v>
      </c>
      <c r="ATE8" s="7">
        <v>-1.1545621913949999</v>
      </c>
      <c r="ATF8" s="7">
        <v>0.42337849402005401</v>
      </c>
      <c r="ATG8" s="7">
        <v>-0.16062482439662301</v>
      </c>
      <c r="ATH8" s="7">
        <v>0.20664767689077801</v>
      </c>
      <c r="ATI8" s="7">
        <v>1.60063784460365</v>
      </c>
      <c r="ATJ8" s="7">
        <v>-0.465028969595287</v>
      </c>
      <c r="ATK8" s="7">
        <v>-0.52644789823785798</v>
      </c>
      <c r="ATL8" s="7">
        <v>-1.8339307094188399E-2</v>
      </c>
      <c r="ATM8" s="7">
        <v>2.7980277583995998</v>
      </c>
      <c r="ATN8" s="7">
        <v>-1.2558567290170899</v>
      </c>
      <c r="ATO8" s="7">
        <v>0.37152994559199098</v>
      </c>
      <c r="ATP8" s="7">
        <v>0.15914539231856001</v>
      </c>
      <c r="ATQ8" s="7">
        <v>0.37796697475809699</v>
      </c>
      <c r="ATR8" s="7">
        <v>0.440651050636782</v>
      </c>
      <c r="ATS8" s="7">
        <v>2.15075153603699</v>
      </c>
      <c r="ATT8" s="7">
        <v>-1.0205854558429699</v>
      </c>
      <c r="ATU8" s="7">
        <v>-1.58349920928503</v>
      </c>
      <c r="ATV8" s="7">
        <v>1.0714906627590099</v>
      </c>
      <c r="ATW8" s="7">
        <v>6.0487959779249402E-2</v>
      </c>
      <c r="ATX8" s="7">
        <v>0.90947024943508004</v>
      </c>
      <c r="ATY8" s="7">
        <v>-2.19243569649998</v>
      </c>
      <c r="ATZ8" s="7">
        <v>0.41668920667201897</v>
      </c>
      <c r="AUA8" s="7">
        <v>0.89205001403795903</v>
      </c>
      <c r="AUB8" s="7">
        <v>-0.61691389759882098</v>
      </c>
      <c r="AUC8" s="7">
        <v>-0.961168471527865</v>
      </c>
      <c r="AUD8" s="7">
        <v>0.50888409490216402</v>
      </c>
      <c r="AUE8" s="7">
        <v>-1.8632345090154301</v>
      </c>
      <c r="AUF8" s="7">
        <v>-0.12819583655531999</v>
      </c>
      <c r="AUG8" s="7">
        <v>-0.90546835986225005</v>
      </c>
      <c r="AUH8" s="7">
        <v>0.74263486315114002</v>
      </c>
      <c r="AUI8" s="7">
        <v>-0.38479483254857999</v>
      </c>
      <c r="AUJ8" s="7">
        <v>-1.1252762058444601</v>
      </c>
      <c r="AUK8" s="7">
        <v>-0.93238271445980103</v>
      </c>
      <c r="AUL8" s="7">
        <v>1.96573996022759</v>
      </c>
      <c r="AUM8" s="7">
        <v>-0.94820168910348901</v>
      </c>
      <c r="AUN8" s="7">
        <v>-8.4151094750385E-2</v>
      </c>
      <c r="AUO8" s="7">
        <v>-0.45368264058628999</v>
      </c>
      <c r="AUP8" s="7">
        <v>1.99024200679137</v>
      </c>
      <c r="AUQ8" s="7">
        <v>-0.78468858975525002</v>
      </c>
      <c r="AUR8" s="7">
        <v>-0.68282959074911598</v>
      </c>
      <c r="AUS8" s="7">
        <v>-0.16964095900165199</v>
      </c>
      <c r="AUT8" s="7">
        <v>-0.263654666168604</v>
      </c>
      <c r="AUU8" s="7">
        <v>-0.82953556326448197</v>
      </c>
      <c r="AUV8" s="7">
        <v>-1.7896495915966799</v>
      </c>
      <c r="AUW8" s="7">
        <v>-1.2891974429914299</v>
      </c>
      <c r="AUX8" s="7">
        <v>-8.5717963350064097E-2</v>
      </c>
      <c r="AUY8" s="7">
        <v>-0.51195819494322603</v>
      </c>
      <c r="AUZ8" s="7">
        <v>-0.43111370519384201</v>
      </c>
      <c r="AVA8" s="7">
        <v>-0.32417767378762702</v>
      </c>
      <c r="AVB8" s="7">
        <v>-0.57184194102046304</v>
      </c>
      <c r="AVC8" s="7">
        <v>0.58318361883245895</v>
      </c>
      <c r="AVD8" s="7">
        <v>0.61642536381716495</v>
      </c>
      <c r="AVE8" s="7">
        <v>0.69805503849434103</v>
      </c>
      <c r="AVF8" s="7">
        <v>1.4965331073026999</v>
      </c>
      <c r="AVG8" s="7">
        <v>2.01133156196176</v>
      </c>
      <c r="AVH8" s="7">
        <v>0.203151171515152</v>
      </c>
      <c r="AVI8" s="7">
        <v>0.60958715956819598</v>
      </c>
      <c r="AVJ8" s="7">
        <v>-1.1350390592578701</v>
      </c>
      <c r="AVK8" s="7">
        <v>-1.8078342402991801</v>
      </c>
      <c r="AVL8" s="7">
        <v>-0.28367942981158101</v>
      </c>
      <c r="AVM8" s="7">
        <v>0.36472727815206801</v>
      </c>
      <c r="AVN8" s="7">
        <v>-5.9898487436120099E-2</v>
      </c>
      <c r="AVO8" s="7">
        <v>1.4017108418069999</v>
      </c>
      <c r="AVP8" s="7">
        <v>1.4494261909275601</v>
      </c>
      <c r="AVQ8" s="7">
        <v>1.60491588477472</v>
      </c>
      <c r="AVR8" s="7">
        <v>1.7480263882411899</v>
      </c>
      <c r="AVS8" s="7">
        <v>0.54332495199908404</v>
      </c>
      <c r="AVT8" s="7">
        <v>0.71809008259579599</v>
      </c>
      <c r="AVU8" s="7">
        <v>-0.81318421762533599</v>
      </c>
      <c r="AVV8" s="7">
        <v>-0.83980623453567604</v>
      </c>
      <c r="AVW8" s="7">
        <v>0.118524622045525</v>
      </c>
      <c r="AVX8" s="7">
        <v>0.13480427183364699</v>
      </c>
      <c r="AVY8" s="7">
        <v>-1.7128410696113201</v>
      </c>
      <c r="AVZ8" s="7">
        <v>-0.36796153633950301</v>
      </c>
      <c r="AWA8" s="7">
        <v>0.174428667268959</v>
      </c>
      <c r="AWB8" s="7">
        <v>1.2966488698760801</v>
      </c>
      <c r="AWC8" s="7">
        <v>1.3008280151142899</v>
      </c>
      <c r="AWD8" s="7">
        <v>0.75905913243433298</v>
      </c>
      <c r="AWE8" s="7">
        <v>0.87314335879592897</v>
      </c>
      <c r="AWF8" s="7">
        <v>-0.17952600622625201</v>
      </c>
      <c r="AWG8" s="7">
        <v>0.26646554541161999</v>
      </c>
      <c r="AWH8" s="7">
        <v>1.76220220352309</v>
      </c>
      <c r="AWI8" s="7">
        <v>2.0174539622513699</v>
      </c>
      <c r="AWJ8" s="7">
        <v>-1.1771364735574299</v>
      </c>
      <c r="AWK8" s="7">
        <v>0.93371179520695402</v>
      </c>
      <c r="AWL8" s="7">
        <v>1.59881856263782</v>
      </c>
      <c r="AWM8" s="7">
        <v>-0.84624642601050104</v>
      </c>
      <c r="AWN8" s="7">
        <v>-0.47331798238895301</v>
      </c>
      <c r="AWO8" s="7">
        <v>-1.0907602092755899</v>
      </c>
      <c r="AWP8" s="7">
        <v>-0.35110833383006301</v>
      </c>
      <c r="AWQ8" s="7">
        <v>0.18138078962677301</v>
      </c>
      <c r="AWR8" s="7">
        <v>0.22372436439696</v>
      </c>
      <c r="AWS8" s="7">
        <v>0.81764305345257404</v>
      </c>
      <c r="AWT8" s="7">
        <v>4.8937224852935501E-2</v>
      </c>
      <c r="AWU8" s="7">
        <v>0.47173619829506702</v>
      </c>
      <c r="AWV8" s="7">
        <v>-0.78721061138162196</v>
      </c>
      <c r="AWW8" s="7">
        <v>0.54974608811375003</v>
      </c>
      <c r="AWX8" s="7">
        <v>-0.90202170216157496</v>
      </c>
      <c r="AWY8" s="7">
        <v>1.05692552327064</v>
      </c>
      <c r="AWZ8" s="7">
        <v>-0.83567122975889996</v>
      </c>
      <c r="AXA8" s="7">
        <v>1.06053446580947</v>
      </c>
      <c r="AXB8" s="7">
        <v>0.283199847867392</v>
      </c>
      <c r="AXC8" s="7">
        <v>0.49661332948067699</v>
      </c>
      <c r="AXD8" s="7">
        <v>0.57992897596248105</v>
      </c>
      <c r="AXE8" s="7">
        <v>1.3645355796189</v>
      </c>
      <c r="AXF8" s="7">
        <v>1.31247764964464</v>
      </c>
      <c r="AXG8" s="7">
        <v>-0.82426143975327704</v>
      </c>
      <c r="AXH8" s="7">
        <v>5.5488299615799097E-2</v>
      </c>
      <c r="AXI8" s="7">
        <v>-0.160945465444916</v>
      </c>
      <c r="AXJ8" s="7">
        <v>1.00478566971183</v>
      </c>
      <c r="AXK8" s="7">
        <v>0.50730171255365697</v>
      </c>
      <c r="AXL8" s="7">
        <v>-8.4395699294940493E-2</v>
      </c>
      <c r="AXM8" s="7">
        <v>-0.71206462111628399</v>
      </c>
      <c r="AXN8" s="7">
        <v>-5.0023026190330798E-2</v>
      </c>
      <c r="AXO8" s="7">
        <v>0.99935405221526397</v>
      </c>
      <c r="AXP8" s="7">
        <v>0.95318841457621295</v>
      </c>
      <c r="AXQ8" s="7">
        <v>-0.87616977375137495</v>
      </c>
      <c r="AXR8" s="7">
        <v>-1.0613161506845701</v>
      </c>
      <c r="AXS8" s="7">
        <v>-1.8582746256584</v>
      </c>
      <c r="AXT8" s="7">
        <v>1.56823374511439</v>
      </c>
      <c r="AXU8" s="7">
        <v>0.42787143849639397</v>
      </c>
      <c r="AXV8" s="7">
        <v>-2.4239700890976799E-2</v>
      </c>
      <c r="AXW8" s="7">
        <v>-0.74814337534893005</v>
      </c>
      <c r="AXX8" s="7">
        <v>-0.53732355124003806</v>
      </c>
      <c r="AXY8" s="7">
        <v>-1.4132377853828499</v>
      </c>
      <c r="AXZ8" s="7">
        <v>-0.32357170191629803</v>
      </c>
      <c r="AYA8" s="7">
        <v>-1.0058246932244701</v>
      </c>
      <c r="AYB8" s="7">
        <v>-0.19642935372839601</v>
      </c>
      <c r="AYC8" s="7">
        <v>-0.49192396894645601</v>
      </c>
      <c r="AYD8" s="7">
        <v>0.61245505204429995</v>
      </c>
      <c r="AYE8" s="7">
        <v>2.0455275454242798</v>
      </c>
      <c r="AYF8" s="7">
        <v>-0.70113815699853699</v>
      </c>
      <c r="AYG8" s="7">
        <v>-0.95287237080471898</v>
      </c>
      <c r="AYH8" s="7">
        <v>0.38754475234928099</v>
      </c>
      <c r="AYI8" s="7">
        <v>0.56810708649055197</v>
      </c>
      <c r="AYJ8" s="7">
        <v>1.2857523570328699</v>
      </c>
      <c r="AYK8" s="7">
        <v>0.50751784577030801</v>
      </c>
      <c r="AYL8" s="7">
        <v>1.19916477401549</v>
      </c>
      <c r="AYM8" s="7">
        <v>0.82357363687340002</v>
      </c>
      <c r="AYN8" s="7">
        <v>1.3629736347563801E-2</v>
      </c>
      <c r="AYO8" s="7">
        <v>0.215958304404785</v>
      </c>
      <c r="AYP8" s="7">
        <v>-1.6064208855075499</v>
      </c>
      <c r="AYQ8" s="7">
        <v>2.30640741196108</v>
      </c>
      <c r="AYR8" s="7">
        <v>1.2233209403935299</v>
      </c>
      <c r="AYS8" s="7">
        <v>-0.68188518761880701</v>
      </c>
      <c r="AYT8" s="7">
        <v>-1.2765372127500001</v>
      </c>
      <c r="AYU8" s="7">
        <v>-1.64718632168003</v>
      </c>
      <c r="AYV8" s="7">
        <v>1.36239008743705</v>
      </c>
      <c r="AYW8" s="7">
        <v>-0.92246633422364199</v>
      </c>
      <c r="AYX8" s="7">
        <v>-0.82879230985164198</v>
      </c>
      <c r="AYY8" s="7">
        <v>0.46218079497989301</v>
      </c>
      <c r="AYZ8" s="7">
        <v>0.75198505223272205</v>
      </c>
      <c r="AZA8" s="7">
        <v>0.80841637427581803</v>
      </c>
      <c r="AZB8" s="7">
        <v>0.86193113823582201</v>
      </c>
      <c r="AZC8" s="7">
        <v>-4.4801051136561097E-2</v>
      </c>
      <c r="AZD8" s="7">
        <v>-8.8282776907040103E-2</v>
      </c>
      <c r="AZE8" s="7">
        <v>0.46222719971802601</v>
      </c>
      <c r="AZF8" s="7">
        <v>0.49868370088555097</v>
      </c>
      <c r="AZG8" s="7">
        <v>0.31776173756449499</v>
      </c>
      <c r="AZH8" s="7">
        <v>1.6961205698687001</v>
      </c>
      <c r="AZI8" s="7">
        <v>0.274601367166801</v>
      </c>
      <c r="AZJ8" s="7">
        <v>0.62127346301782604</v>
      </c>
      <c r="AZK8" s="7">
        <v>-0.73766105223451095</v>
      </c>
      <c r="AZL8" s="7">
        <v>0.70769512644821198</v>
      </c>
      <c r="AZM8" s="7">
        <v>3.7734890720534299E-2</v>
      </c>
      <c r="AZN8" s="7">
        <v>-5.02813112567655E-2</v>
      </c>
      <c r="AZO8" s="7">
        <v>0.60670139610836704</v>
      </c>
      <c r="AZP8" s="7">
        <v>-1.20158734358191</v>
      </c>
      <c r="AZQ8" s="7">
        <v>0.24350236772672601</v>
      </c>
      <c r="AZR8" s="7">
        <v>-1.33404493963587</v>
      </c>
      <c r="AZS8" s="7">
        <v>-0.82900144992236002</v>
      </c>
      <c r="AZT8" s="7">
        <v>0.81329615115154097</v>
      </c>
      <c r="AZU8" s="7">
        <v>2.21475176088647</v>
      </c>
      <c r="AZV8" s="7">
        <v>2.8065052062901899E-2</v>
      </c>
      <c r="AZW8" s="7">
        <v>8.1765896945510605E-2</v>
      </c>
      <c r="AZX8" s="7">
        <v>1.58164963235</v>
      </c>
      <c r="AZY8" s="7">
        <v>0.51245397848658503</v>
      </c>
      <c r="AZZ8" s="7">
        <v>0.39230305787180603</v>
      </c>
      <c r="BAA8" s="7">
        <v>0.47098911968450302</v>
      </c>
      <c r="BAB8" s="7">
        <v>0.53379149088421096</v>
      </c>
      <c r="BAC8" s="7">
        <v>1.3441738999291999</v>
      </c>
      <c r="BAD8" s="7">
        <v>-0.104919196060446</v>
      </c>
      <c r="BAE8" s="7">
        <v>0.53694732494082897</v>
      </c>
      <c r="BAF8" s="7">
        <v>-1.77960660659322E-2</v>
      </c>
      <c r="BAG8" s="7">
        <v>0.70829941313808797</v>
      </c>
      <c r="BAH8" s="7">
        <v>1.45108593825034E-2</v>
      </c>
      <c r="BAI8" s="7">
        <v>0.37758235375719001</v>
      </c>
      <c r="BAJ8" s="7">
        <v>-0.43329948618223402</v>
      </c>
      <c r="BAK8" s="7">
        <v>0.95046512735030897</v>
      </c>
      <c r="BAL8" s="7">
        <v>-0.14661021154725601</v>
      </c>
      <c r="BAM8" s="7">
        <v>0.49094350023587302</v>
      </c>
      <c r="BAN8" s="7">
        <v>-0.70099693814244501</v>
      </c>
      <c r="BAO8" s="7">
        <v>9.1632059045678699E-2</v>
      </c>
      <c r="BAP8" s="7">
        <v>0.13874857630999701</v>
      </c>
      <c r="BAQ8" s="7">
        <v>0.64727065183126697</v>
      </c>
      <c r="BAR8" s="7">
        <v>1.70495845063878</v>
      </c>
      <c r="BAS8" s="7">
        <v>-1.52875773096693</v>
      </c>
      <c r="BAT8" s="7">
        <v>0.38635694154321998</v>
      </c>
      <c r="BAU8" s="7">
        <v>-0.18774740528186901</v>
      </c>
      <c r="BAV8" s="7">
        <v>-0.46295109198192602</v>
      </c>
      <c r="BAW8" s="7">
        <v>-0.336648422081812</v>
      </c>
      <c r="BAX8" s="7">
        <v>0.21419058094402901</v>
      </c>
      <c r="BAY8" s="7">
        <v>-0.117766796055379</v>
      </c>
      <c r="BAZ8" s="7">
        <v>0.313531944172522</v>
      </c>
      <c r="BBA8" s="7">
        <v>1.1477605071907</v>
      </c>
      <c r="BBB8" s="7">
        <v>0.30310113155375301</v>
      </c>
      <c r="BBC8" s="7">
        <v>-0.80779936338520797</v>
      </c>
      <c r="BBD8" s="7">
        <v>1.41846441466007</v>
      </c>
      <c r="BBE8" s="7">
        <v>-0.45371011220291901</v>
      </c>
      <c r="BBF8" s="7">
        <v>0.17653443995944099</v>
      </c>
      <c r="BBG8" s="7">
        <v>1.8445760704932801</v>
      </c>
      <c r="BBH8" s="7">
        <v>-0.64638031516362804</v>
      </c>
      <c r="BBI8" s="7">
        <v>-0.21249172629938701</v>
      </c>
      <c r="BBJ8" s="7">
        <v>-0.96418608615158097</v>
      </c>
      <c r="BBK8" s="7">
        <v>-0.49487141733624801</v>
      </c>
      <c r="BBL8" s="7">
        <v>-2.0389778296032199</v>
      </c>
      <c r="BBM8" s="7">
        <v>0.46354518926486499</v>
      </c>
      <c r="BBN8" s="7">
        <v>0.26095871366721601</v>
      </c>
      <c r="BBO8" s="7">
        <v>-4.4062058691730098E-2</v>
      </c>
      <c r="BBP8" s="7">
        <v>0.40456884228772</v>
      </c>
      <c r="BBQ8" s="7">
        <v>0.18740606684512801</v>
      </c>
      <c r="BBR8" s="7">
        <v>1.0107093716114901</v>
      </c>
      <c r="BBS8" s="7">
        <v>-0.52110866558998703</v>
      </c>
      <c r="BBT8" s="7">
        <v>-1.5820452624571899</v>
      </c>
      <c r="BBU8" s="7">
        <v>0.56050206448023199</v>
      </c>
      <c r="BBV8" s="7">
        <v>-0.78156524369492897</v>
      </c>
      <c r="BBW8" s="7">
        <v>-0.114172670015351</v>
      </c>
      <c r="BBX8" s="7">
        <v>-0.65550923656550697</v>
      </c>
      <c r="BBY8" s="7">
        <v>0.74796172171120801</v>
      </c>
      <c r="BBZ8" s="7">
        <v>0.151929882272786</v>
      </c>
      <c r="BCA8" s="7">
        <v>0.244194260556266</v>
      </c>
      <c r="BCB8" s="7">
        <v>0.77913132112080696</v>
      </c>
      <c r="BCC8" s="7">
        <v>0.96132560071001705</v>
      </c>
      <c r="BCD8" s="7">
        <v>0.645295358763886</v>
      </c>
      <c r="BCE8" s="7">
        <v>-0.10323068537147299</v>
      </c>
      <c r="BCF8" s="7">
        <v>0.87443853546258998</v>
      </c>
      <c r="BCG8" s="7">
        <v>-0.98905062282545797</v>
      </c>
      <c r="BCH8" s="7">
        <v>-3.7970877102497302E-2</v>
      </c>
      <c r="BCI8" s="7">
        <v>-0.34498825195376898</v>
      </c>
      <c r="BCJ8" s="7">
        <v>-0.82674692354668899</v>
      </c>
      <c r="BCK8" s="7">
        <v>-0.92103393766913899</v>
      </c>
      <c r="BCL8" s="7">
        <v>0.851196910901586</v>
      </c>
      <c r="BCM8" s="7">
        <v>0.27165502315129503</v>
      </c>
      <c r="BCN8" s="7">
        <v>-2.1257180970310099</v>
      </c>
      <c r="BCO8" s="7">
        <v>-0.45132450961929299</v>
      </c>
      <c r="BCP8" s="7">
        <v>-0.59960172848312998</v>
      </c>
      <c r="BCQ8" s="7">
        <v>-0.44655032499377401</v>
      </c>
      <c r="BCR8" s="7">
        <v>-0.118174422988215</v>
      </c>
      <c r="BCS8" s="7">
        <v>-1.43913849715259</v>
      </c>
      <c r="BCT8" s="7">
        <v>-0.81095296838067299</v>
      </c>
      <c r="BCU8" s="7">
        <v>-1.62046204888263</v>
      </c>
      <c r="BCV8" s="7">
        <v>2.0763643707975699</v>
      </c>
      <c r="BCW8" s="7">
        <v>1.3475375885227601</v>
      </c>
      <c r="BCX8" s="7">
        <v>-0.101840643349561</v>
      </c>
      <c r="BCY8" s="7">
        <v>-0.15517662190599299</v>
      </c>
      <c r="BCZ8" s="7">
        <v>0.43715352406426</v>
      </c>
      <c r="BDA8" s="7">
        <v>1.4633343931898</v>
      </c>
      <c r="BDB8" s="7">
        <v>0.59790170698852196</v>
      </c>
      <c r="BDC8" s="7">
        <v>-0.76398063601122201</v>
      </c>
      <c r="BDD8" s="7">
        <v>1.0923878512391401</v>
      </c>
      <c r="BDE8" s="7">
        <v>0.13288040981036101</v>
      </c>
      <c r="BDF8" s="7">
        <v>-0.85669202021409796</v>
      </c>
      <c r="BDG8" s="7">
        <v>-0.64415115458140004</v>
      </c>
      <c r="BDH8" s="7">
        <v>-0.92092419360284306</v>
      </c>
      <c r="BDI8" s="7">
        <v>-1.2045355669967099</v>
      </c>
      <c r="BDJ8" s="7">
        <v>6.8709349762926999E-3</v>
      </c>
      <c r="BDK8" s="7">
        <v>-1.9708229353993001</v>
      </c>
      <c r="BDL8" s="7">
        <v>-0.90107983456504703</v>
      </c>
      <c r="BDM8" s="7">
        <v>-1.5606520225359299</v>
      </c>
      <c r="BDN8" s="7">
        <v>0.28033563216506702</v>
      </c>
      <c r="BDO8" s="7">
        <v>0.60267152403429003</v>
      </c>
      <c r="BDP8" s="7">
        <v>-0.62448114810503796</v>
      </c>
      <c r="BDQ8" s="7">
        <v>0.86765462229854295</v>
      </c>
      <c r="BDR8" s="7">
        <v>-0.342723196943228</v>
      </c>
      <c r="BDS8" s="7">
        <v>-0.63431632464941001</v>
      </c>
      <c r="BDT8" s="7">
        <v>-1.5444762779190699</v>
      </c>
      <c r="BDU8" s="7">
        <v>0.105032737934578</v>
      </c>
      <c r="BDV8" s="7">
        <v>0.60932609666551696</v>
      </c>
      <c r="BDW8" s="7">
        <v>0.87042334009549704</v>
      </c>
      <c r="BDX8" s="7">
        <v>0.63787134821673797</v>
      </c>
      <c r="BDY8" s="7">
        <v>-0.98694902471144896</v>
      </c>
      <c r="BDZ8" s="7">
        <v>1.2537648436992599</v>
      </c>
      <c r="BEA8" s="7">
        <v>0.60973835630955997</v>
      </c>
      <c r="BEB8" s="7">
        <v>-0.98025938372903698</v>
      </c>
      <c r="BEC8" s="7">
        <v>1.4753166784419001</v>
      </c>
      <c r="BED8" s="7">
        <v>5.4963678752837997E-3</v>
      </c>
      <c r="BEE8" s="7">
        <v>1.1141271531014401</v>
      </c>
      <c r="BEF8" s="7">
        <v>-1.2113694199969101</v>
      </c>
      <c r="BEG8" s="7">
        <v>0.137143223191495</v>
      </c>
      <c r="BEH8" s="7">
        <v>0.57946903413966</v>
      </c>
      <c r="BEI8" s="7">
        <v>1.4793981228235</v>
      </c>
      <c r="BEJ8" s="7">
        <v>0.208450246294589</v>
      </c>
      <c r="BEK8" s="7">
        <v>-1.0643814008354799</v>
      </c>
      <c r="BEL8" s="7">
        <v>-0.16007348635539401</v>
      </c>
      <c r="BEM8" s="7">
        <v>-0.12958117392388999</v>
      </c>
      <c r="BEN8" s="7">
        <v>-0.240662537670711</v>
      </c>
      <c r="BEO8" s="7">
        <v>-0.47171776084317701</v>
      </c>
      <c r="BEP8" s="7">
        <v>1.53469584051055</v>
      </c>
      <c r="BEQ8" s="7">
        <v>0.22032225243619699</v>
      </c>
      <c r="BER8" s="7">
        <v>1.6169203979804001</v>
      </c>
      <c r="BES8" s="7">
        <v>0.55501705112674204</v>
      </c>
      <c r="BET8" s="7">
        <v>-0.88239516565882903</v>
      </c>
      <c r="BEU8" s="7">
        <v>-1.31597191690077</v>
      </c>
      <c r="BEV8" s="7">
        <v>-1.2928549329727399</v>
      </c>
      <c r="BEW8" s="7">
        <v>-1.35378472272073</v>
      </c>
      <c r="BEX8" s="7">
        <v>1.7832854693292399</v>
      </c>
      <c r="BEY8" s="7">
        <v>1.6187533369734499</v>
      </c>
      <c r="BEZ8" s="7">
        <v>1.0318422856956</v>
      </c>
      <c r="BFA8" s="7">
        <v>2.33090560378034</v>
      </c>
      <c r="BFB8" s="7">
        <v>-0.85058570745873996</v>
      </c>
      <c r="BFC8" s="7">
        <v>1.2894459791593</v>
      </c>
      <c r="BFD8" s="7">
        <v>1.3402397920714899</v>
      </c>
      <c r="BFE8" s="7">
        <v>-3.4701214626145102E-2</v>
      </c>
      <c r="BFF8" s="7">
        <v>0.31935444394409601</v>
      </c>
      <c r="BFG8" s="7">
        <v>0.86907617382098201</v>
      </c>
      <c r="BFH8" s="7">
        <v>0.65011375230697499</v>
      </c>
      <c r="BFI8" s="7">
        <v>0.479688955835812</v>
      </c>
      <c r="BFJ8" s="7">
        <v>0.614335098938108</v>
      </c>
      <c r="BFK8" s="7">
        <v>-0.25254412130312998</v>
      </c>
      <c r="BFL8" s="7">
        <v>0.42007288967901801</v>
      </c>
      <c r="BFM8" s="7">
        <v>-0.59518996052645001</v>
      </c>
      <c r="BFN8" s="7">
        <v>-1.0745536514208001</v>
      </c>
      <c r="BFO8" s="7">
        <v>-0.74852358947532804</v>
      </c>
      <c r="BFP8" s="7">
        <v>1.23174927358299</v>
      </c>
      <c r="BFQ8" s="7">
        <v>-1.1164311067716199</v>
      </c>
      <c r="BFR8" s="7">
        <v>2.5315277199101399E-2</v>
      </c>
      <c r="BFS8" s="7">
        <v>-1.0998756420509599</v>
      </c>
      <c r="BFT8" s="7">
        <v>-1.2895500561144699</v>
      </c>
      <c r="BFU8" s="7">
        <v>-0.55043024032307497</v>
      </c>
      <c r="BFV8" s="7">
        <v>-0.37882903627650999</v>
      </c>
      <c r="BFW8" s="7">
        <v>0.19386736097193699</v>
      </c>
      <c r="BFX8" s="7">
        <v>0.98906475073074296</v>
      </c>
      <c r="BFY8" s="7">
        <v>-0.98788257849338501</v>
      </c>
      <c r="BFZ8" s="7">
        <v>-0.29785289107052498</v>
      </c>
      <c r="BGA8" s="7">
        <v>-0.63267183260871496</v>
      </c>
      <c r="BGB8" s="7">
        <v>0.161967942912181</v>
      </c>
      <c r="BGC8" s="7">
        <v>0.80610831640768998</v>
      </c>
      <c r="BGD8" s="7">
        <v>-1.1584621847013701</v>
      </c>
      <c r="BGE8" s="7">
        <v>-0.43635562439442999</v>
      </c>
      <c r="BGF8" s="7">
        <v>0.43653241077765897</v>
      </c>
      <c r="BGG8" s="7">
        <v>1.1006976894528999</v>
      </c>
      <c r="BGH8" s="7">
        <v>0.63297408638377695</v>
      </c>
      <c r="BGI8" s="7">
        <v>0.492537863443199</v>
      </c>
      <c r="BGJ8" s="7">
        <v>1.5435038694084699E-2</v>
      </c>
      <c r="BGK8" s="7">
        <v>1.24353620524117E-2</v>
      </c>
      <c r="BGL8" s="7">
        <v>0.67354047354795699</v>
      </c>
      <c r="BGM8" s="7">
        <v>-0.84816252145658999</v>
      </c>
      <c r="BGN8" s="7">
        <v>1.6217849883703801</v>
      </c>
      <c r="BGO8" s="7">
        <v>0.91768400831361696</v>
      </c>
      <c r="BGP8" s="7">
        <v>1.1798718419193499</v>
      </c>
      <c r="BGQ8" s="7">
        <v>-1.5548534647852199</v>
      </c>
      <c r="BGR8" s="7">
        <v>-0.80330473015355297</v>
      </c>
      <c r="BGS8" s="7">
        <v>0.98222518949110804</v>
      </c>
      <c r="BGT8" s="7">
        <v>0.33362698956794001</v>
      </c>
      <c r="BGU8" s="7">
        <v>-6.4791187725665694E-2</v>
      </c>
      <c r="BGV8" s="7">
        <v>-1.64259114678673</v>
      </c>
      <c r="BGW8" s="7">
        <v>-1.76112075635746</v>
      </c>
      <c r="BGX8" s="7">
        <v>-0.88254240108648196</v>
      </c>
      <c r="BGY8" s="7">
        <v>-0.10667030153693401</v>
      </c>
      <c r="BGZ8" s="7">
        <v>-1.94764327114087</v>
      </c>
      <c r="BHA8" s="7">
        <v>1.02975795901185</v>
      </c>
      <c r="BHB8" s="7">
        <v>-0.94648603130240205</v>
      </c>
      <c r="BHC8" s="7">
        <v>1.52012083968732</v>
      </c>
      <c r="BHD8" s="7">
        <v>-0.76887530466701803</v>
      </c>
      <c r="BHE8" s="7">
        <v>1.27879171985899</v>
      </c>
      <c r="BHF8" s="7">
        <v>0.96545969415781796</v>
      </c>
      <c r="BHG8" s="7">
        <v>-1.4377581191887501</v>
      </c>
      <c r="BHH8" s="7">
        <v>-1.3728083682216199</v>
      </c>
      <c r="BHI8" s="7">
        <v>3.5120841813386899E-2</v>
      </c>
      <c r="BHJ8" s="7">
        <v>-1.06443066891285</v>
      </c>
      <c r="BHK8" s="7">
        <v>-0.30393221065270698</v>
      </c>
      <c r="BHL8" s="7">
        <v>1.06938821442334</v>
      </c>
      <c r="BHM8" s="7">
        <v>1.70077344036623</v>
      </c>
      <c r="BHN8" s="7">
        <v>-0.23502036907460899</v>
      </c>
      <c r="BHO8" s="7">
        <v>-1.03728290454733</v>
      </c>
      <c r="BHP8" s="7">
        <v>-0.72151146946716005</v>
      </c>
      <c r="BHQ8" s="7">
        <v>1.0777177813712699</v>
      </c>
      <c r="BHR8" s="7">
        <v>1.05105096683152</v>
      </c>
      <c r="BHS8" s="7">
        <v>0.38247398439889002</v>
      </c>
      <c r="BHT8" s="7">
        <v>-5.2148726476290402E-2</v>
      </c>
      <c r="BHU8" s="7">
        <v>0.63533562130996102</v>
      </c>
      <c r="BHV8" s="7">
        <v>1.01327697851085</v>
      </c>
      <c r="BHW8" s="7">
        <v>1.16638218422525</v>
      </c>
      <c r="BHX8" s="7">
        <v>2.4548071718884201</v>
      </c>
      <c r="BHY8" s="7">
        <v>0.26191684480838701</v>
      </c>
      <c r="BHZ8" s="7">
        <v>-2.0029183981057699</v>
      </c>
      <c r="BIA8" s="7">
        <v>-0.125978078390722</v>
      </c>
      <c r="BIB8" s="7">
        <v>-1.5470797465578301</v>
      </c>
      <c r="BIC8" s="7">
        <v>-0.91379034891367195</v>
      </c>
      <c r="BID8" s="7">
        <v>0.25434220131277402</v>
      </c>
      <c r="BIE8" s="7">
        <v>-0.540704299445119</v>
      </c>
      <c r="BIF8" s="7">
        <v>1.76630471440576</v>
      </c>
      <c r="BIG8" s="7">
        <v>-6.7484859885580395E-2</v>
      </c>
      <c r="BIH8" s="7">
        <v>-0.22420313447628501</v>
      </c>
      <c r="BII8" s="7">
        <v>0.91850357592922005</v>
      </c>
      <c r="BIJ8" s="7">
        <v>0.32850853290396997</v>
      </c>
      <c r="BIK8" s="7">
        <v>0.960271536046992</v>
      </c>
      <c r="BIL8" s="7">
        <v>0.723652116801074</v>
      </c>
      <c r="BIM8" s="7">
        <v>0.18582086194882499</v>
      </c>
      <c r="BIN8" s="7">
        <v>-1.73354605808082</v>
      </c>
      <c r="BIO8" s="7">
        <v>-0.93563623583422195</v>
      </c>
      <c r="BIP8" s="7">
        <v>-1.40683576038461</v>
      </c>
      <c r="BIQ8" s="7">
        <v>0.76671677528912197</v>
      </c>
      <c r="BIR8" s="7">
        <v>0.94191971876254099</v>
      </c>
      <c r="BIS8" s="7">
        <v>-2.06363293900606E-2</v>
      </c>
      <c r="BIT8" s="7">
        <v>0.57361418692700905</v>
      </c>
      <c r="BIU8" s="7">
        <v>1.00155140426525</v>
      </c>
      <c r="BIV8" s="7">
        <v>0.55892688133720703</v>
      </c>
      <c r="BIW8" s="7">
        <v>0.49412870389186597</v>
      </c>
      <c r="BIX8" s="7">
        <v>0.94989244994148803</v>
      </c>
      <c r="BIY8" s="7">
        <v>-0.43904525852814003</v>
      </c>
      <c r="BIZ8" s="7">
        <v>0.33263957805427702</v>
      </c>
      <c r="BJA8" s="7">
        <v>-0.54445659772755495</v>
      </c>
      <c r="BJB8" s="7">
        <v>0.304990762191926</v>
      </c>
      <c r="BJC8" s="7">
        <v>1.41965875493958</v>
      </c>
      <c r="BJD8" s="7">
        <v>-1.27351304570575</v>
      </c>
      <c r="BJE8" s="7">
        <v>-1.93523851189276</v>
      </c>
      <c r="BJF8" s="7">
        <v>1.0111944526221901</v>
      </c>
      <c r="BJG8" s="7">
        <v>-0.112801796224184</v>
      </c>
      <c r="BJH8" s="7">
        <v>-0.693187166005792</v>
      </c>
      <c r="BJI8" s="7">
        <v>-0.95430615450251799</v>
      </c>
      <c r="BJJ8" s="7">
        <v>-1.31380077831294</v>
      </c>
      <c r="BJK8" s="7">
        <v>-0.82981264039152203</v>
      </c>
      <c r="BJL8" s="7">
        <v>1.1013458556267</v>
      </c>
      <c r="BJM8" s="7">
        <v>0.21727626832883201</v>
      </c>
      <c r="BJN8" s="7">
        <v>0.49172608440112098</v>
      </c>
      <c r="BJO8" s="7">
        <v>0.48190681604715901</v>
      </c>
      <c r="BJP8" s="7">
        <v>-0.99847952337479995</v>
      </c>
      <c r="BJQ8" s="7">
        <v>1.31829519526744</v>
      </c>
      <c r="BJR8" s="7">
        <v>-1.1377626111024</v>
      </c>
      <c r="BJS8" s="7">
        <v>-0.52106290302958203</v>
      </c>
      <c r="BJT8" s="7">
        <v>-0.20055624539394301</v>
      </c>
      <c r="BJU8" s="7">
        <v>-0.36195039818338298</v>
      </c>
      <c r="BJV8" s="7">
        <v>0.34968024042968698</v>
      </c>
      <c r="BJW8" s="7">
        <v>-0.11057085311057201</v>
      </c>
      <c r="BJX8" s="7">
        <v>0.115468288670494</v>
      </c>
      <c r="BJY8" s="7">
        <v>1.4907951696319199</v>
      </c>
      <c r="BJZ8" s="7">
        <v>-0.39474054466837699</v>
      </c>
      <c r="BKA8" s="7">
        <v>-0.44403250094685998</v>
      </c>
      <c r="BKB8" s="7">
        <v>1.3162519642825401</v>
      </c>
      <c r="BKC8" s="7">
        <v>-4.7917593571794002E-2</v>
      </c>
      <c r="BKD8" s="7">
        <v>-0.84013368021498402</v>
      </c>
      <c r="BKE8" s="7">
        <v>-0.33519874644891301</v>
      </c>
      <c r="BKF8" s="7">
        <v>1.38921521958251</v>
      </c>
      <c r="BKG8" s="7">
        <v>-0.718136344450923</v>
      </c>
      <c r="BKH8" s="7">
        <v>0.15450262975021101</v>
      </c>
      <c r="BKI8" s="7">
        <v>-0.33671856847759801</v>
      </c>
      <c r="BKJ8" s="7">
        <v>-0.20113763911586199</v>
      </c>
      <c r="BKK8" s="7">
        <v>-0.55402076357894903</v>
      </c>
      <c r="BKL8" s="7">
        <v>0.33805275718734001</v>
      </c>
      <c r="BKM8" s="7">
        <v>-0.27326948081022601</v>
      </c>
      <c r="BKN8" s="7">
        <v>0.64359668362962297</v>
      </c>
      <c r="BKO8" s="7">
        <v>-0.67169477770694197</v>
      </c>
      <c r="BKP8" s="7">
        <v>-1.60197805155961</v>
      </c>
      <c r="BKQ8" s="7">
        <v>-0.22503271798781699</v>
      </c>
      <c r="BKR8" s="7">
        <v>-1.3753596498884599</v>
      </c>
      <c r="BKS8" s="7">
        <v>-0.18882599122449301</v>
      </c>
      <c r="BKT8" s="7">
        <v>-0.75471108313935398</v>
      </c>
      <c r="BKU8" s="7">
        <v>-0.84671343056661796</v>
      </c>
      <c r="BKV8" s="7">
        <v>0.69240831705631201</v>
      </c>
      <c r="BKW8" s="7">
        <v>-0.14348748434887801</v>
      </c>
      <c r="BKX8" s="7">
        <v>0.34185082555789698</v>
      </c>
      <c r="BKY8" s="7">
        <v>-2.3848137582598299</v>
      </c>
      <c r="BKZ8" s="7">
        <v>1.2761149621393499</v>
      </c>
      <c r="BLA8" s="7">
        <v>-0.40586286080680101</v>
      </c>
      <c r="BLB8" s="7">
        <v>0.17371306616147</v>
      </c>
      <c r="BLC8" s="7">
        <v>0.28145533621581897</v>
      </c>
      <c r="BLD8" s="7">
        <v>8.1577779595271599E-2</v>
      </c>
      <c r="BLE8" s="7">
        <v>-7.4718838601432594E-2</v>
      </c>
      <c r="BLF8" s="7">
        <v>0.15227446065879099</v>
      </c>
      <c r="BLG8" s="7">
        <v>-0.25408858693646103</v>
      </c>
      <c r="BLH8" s="7">
        <v>1.06217973228739</v>
      </c>
      <c r="BLI8" s="7">
        <v>-1.0024338498118199</v>
      </c>
      <c r="BLJ8" s="7">
        <v>-0.85352678883455402</v>
      </c>
      <c r="BLK8" s="7">
        <v>0.32682672847996502</v>
      </c>
      <c r="BLL8" s="7">
        <v>-1.18632885591613</v>
      </c>
      <c r="BLM8" s="7">
        <v>0.307773940349238</v>
      </c>
      <c r="BLN8" s="7">
        <v>0.26059713473193702</v>
      </c>
      <c r="BLO8" s="7">
        <v>-0.47954204813011397</v>
      </c>
      <c r="BLP8" s="7">
        <v>0.354631906284679</v>
      </c>
      <c r="BLQ8" s="7">
        <v>-0.55857548756258302</v>
      </c>
      <c r="BLR8" s="7">
        <v>-0.87880719282763797</v>
      </c>
      <c r="BLS8" s="7">
        <v>0.49452996589899001</v>
      </c>
      <c r="BLT8" s="7">
        <v>1.1303917696813199</v>
      </c>
      <c r="BLU8" s="7">
        <v>0.33957800557302997</v>
      </c>
      <c r="BLV8" s="7">
        <v>0.76071822560967695</v>
      </c>
      <c r="BLW8" s="7">
        <v>0.99214357242443196</v>
      </c>
      <c r="BLX8" s="7">
        <v>1.36959063400134</v>
      </c>
      <c r="BLY8" s="7">
        <v>0.25988425051406999</v>
      </c>
      <c r="BLZ8" s="7">
        <v>1.50077004909803</v>
      </c>
      <c r="BMA8" s="7">
        <v>0.43361377575520099</v>
      </c>
      <c r="BMB8" s="7">
        <v>-0.80327713399499201</v>
      </c>
      <c r="BMC8" s="7">
        <v>0.73365804614284102</v>
      </c>
      <c r="BMD8" s="7">
        <v>0.117969587650483</v>
      </c>
      <c r="BME8" s="7">
        <v>-0.17805264998012499</v>
      </c>
      <c r="BMF8" s="7">
        <v>-2.47267850211483E-2</v>
      </c>
      <c r="BMG8" s="7">
        <v>0.70854549671411804</v>
      </c>
      <c r="BMH8" s="7">
        <v>-0.68906633042448695</v>
      </c>
      <c r="BMI8" s="7">
        <v>0.59764437464685605</v>
      </c>
      <c r="BMJ8" s="7">
        <v>1.71154438411975</v>
      </c>
      <c r="BMK8" s="7">
        <v>1.11098955149406</v>
      </c>
      <c r="BML8" s="7">
        <v>0.55068281341640801</v>
      </c>
      <c r="BMM8" s="7">
        <v>-1.7335089736991001</v>
      </c>
      <c r="BMN8" s="7">
        <v>0.50780443091399796</v>
      </c>
      <c r="BMO8" s="7">
        <v>-1.3846467116560299</v>
      </c>
      <c r="BMP8" s="7">
        <v>0.612925301666012</v>
      </c>
      <c r="BMQ8" s="7">
        <v>-8.4085753239381805E-2</v>
      </c>
      <c r="BMR8" s="7">
        <v>1.39153512499431</v>
      </c>
      <c r="BMS8" s="7">
        <v>-1.14489254415272</v>
      </c>
      <c r="BMT8" s="7">
        <v>-2.2679960657593998</v>
      </c>
      <c r="BMU8" s="7">
        <v>-0.73732119396707796</v>
      </c>
      <c r="BMV8" s="7">
        <v>1.8288560696007901</v>
      </c>
      <c r="BMW8" s="7">
        <v>-0.132110049981641</v>
      </c>
      <c r="BMX8" s="7">
        <v>0.21947578318272301</v>
      </c>
      <c r="BMY8" s="7">
        <v>-2.3007997694389801</v>
      </c>
      <c r="BMZ8" s="7">
        <v>1.26329145980728</v>
      </c>
      <c r="BNA8" s="7">
        <v>0.11661830849028899</v>
      </c>
      <c r="BNB8" s="7">
        <v>-0.68995934375819101</v>
      </c>
      <c r="BNC8" s="7">
        <v>-0.50734709505117404</v>
      </c>
      <c r="BND8" s="7">
        <v>1.60240460974302</v>
      </c>
      <c r="BNE8" s="7">
        <v>-1.3596436729002901</v>
      </c>
      <c r="BNF8" s="7">
        <v>1.46232721511055</v>
      </c>
      <c r="BNG8" s="7">
        <v>-0.38054504356829699</v>
      </c>
      <c r="BNH8" s="7">
        <v>1.1398469366617201</v>
      </c>
      <c r="BNI8" s="7">
        <v>0.62340476586392801</v>
      </c>
      <c r="BNJ8" s="7">
        <v>0.29342699141619699</v>
      </c>
      <c r="BNK8" s="7">
        <v>0.860286499253473</v>
      </c>
      <c r="BNL8" s="7">
        <v>-0.196601441983734</v>
      </c>
      <c r="BNM8" s="7">
        <v>-0.147924797765348</v>
      </c>
      <c r="BNN8" s="7">
        <v>0.87347555803502597</v>
      </c>
      <c r="BNO8" s="7">
        <v>0.20964319779584301</v>
      </c>
      <c r="BNP8" s="7">
        <v>-0.47384265563964001</v>
      </c>
      <c r="BNQ8" s="7">
        <v>-0.284965485159411</v>
      </c>
      <c r="BNR8" s="7">
        <v>0.58954572127976901</v>
      </c>
      <c r="BNS8" s="7">
        <v>-1.0018577247582201</v>
      </c>
      <c r="BNT8" s="7">
        <v>0.88140015208396305</v>
      </c>
      <c r="BNU8" s="7">
        <v>0.31672176557839199</v>
      </c>
      <c r="BNV8" s="7">
        <v>0.34860134467798898</v>
      </c>
      <c r="BNW8" s="7">
        <v>-0.54751649501599797</v>
      </c>
      <c r="BNX8" s="7">
        <v>1.31212355613857</v>
      </c>
      <c r="BNY8" s="7">
        <v>0.78342219213769504</v>
      </c>
      <c r="BNZ8" s="7">
        <v>2.7173330012392101</v>
      </c>
      <c r="BOA8" s="7">
        <v>-1.4647844752952801</v>
      </c>
      <c r="BOB8" s="7">
        <v>1.42635879343635</v>
      </c>
      <c r="BOC8" s="7">
        <v>-1.24936711194197</v>
      </c>
      <c r="BOD8" s="7">
        <v>0.73970907008168496</v>
      </c>
      <c r="BOE8" s="7">
        <v>-0.64053774326389201</v>
      </c>
      <c r="BOF8" s="7">
        <v>0.59037030890338504</v>
      </c>
      <c r="BOG8" s="7">
        <v>-1.3640757467473901</v>
      </c>
      <c r="BOH8" s="7">
        <v>6.3916618146056495E-2</v>
      </c>
      <c r="BOI8" s="7">
        <v>0.62316215992338397</v>
      </c>
      <c r="BOJ8" s="7">
        <v>1.25160220527443</v>
      </c>
      <c r="BOK8" s="7">
        <v>3.5352936174437001E-2</v>
      </c>
      <c r="BOL8" s="7">
        <v>-1.1661341722499099</v>
      </c>
      <c r="BOM8" s="7">
        <v>1.5835280441672599</v>
      </c>
      <c r="BON8" s="7">
        <v>0.18445667537316901</v>
      </c>
      <c r="BOO8" s="7">
        <v>-2.1580542316026099</v>
      </c>
      <c r="BOP8" s="7">
        <v>-0.88319175462811095</v>
      </c>
      <c r="BOQ8" s="7">
        <v>0.48168281039289401</v>
      </c>
      <c r="BOR8" s="7">
        <v>-2.7897647139262398</v>
      </c>
      <c r="BOS8" s="7">
        <v>0.89267339995501105</v>
      </c>
      <c r="BOT8" s="7">
        <v>9.7678892527572406E-2</v>
      </c>
      <c r="BOU8" s="7">
        <v>1.8308254441554901</v>
      </c>
      <c r="BOV8" s="7">
        <v>0.62792829727241295</v>
      </c>
      <c r="BOW8" s="7">
        <v>-0.11028831302620901</v>
      </c>
      <c r="BOX8" s="7">
        <v>-1.92145758517857</v>
      </c>
      <c r="BOY8" s="7">
        <v>1.6224443974321501</v>
      </c>
      <c r="BOZ8" s="7">
        <v>1.2421676030251001</v>
      </c>
      <c r="BPA8" s="7">
        <v>-0.23896104288863701</v>
      </c>
      <c r="BPB8" s="7">
        <v>1.7498782467706699</v>
      </c>
      <c r="BPC8" s="7">
        <v>-0.81283982762821905</v>
      </c>
      <c r="BPD8" s="7">
        <v>-0.81049136455752502</v>
      </c>
      <c r="BPE8" s="7">
        <v>-0.75338940880332705</v>
      </c>
      <c r="BPF8" s="7">
        <v>-1.23531717656631</v>
      </c>
      <c r="BPG8" s="7">
        <v>1.5185625613325799</v>
      </c>
      <c r="BPH8" s="7">
        <v>-0.35779211853486798</v>
      </c>
      <c r="BPI8" s="7">
        <v>0.53763929104972297</v>
      </c>
      <c r="BPJ8" s="7">
        <v>-0.87241848366598396</v>
      </c>
      <c r="BPK8" s="7">
        <v>0.30054672179049502</v>
      </c>
      <c r="BPL8" s="7">
        <v>1.1389445339764901</v>
      </c>
      <c r="BPM8" s="7">
        <v>-0.54989453411060496</v>
      </c>
      <c r="BPN8" s="7">
        <v>-1.7863592429105299</v>
      </c>
      <c r="BPO8" s="7">
        <v>0.59851575148706204</v>
      </c>
      <c r="BPP8" s="7">
        <v>0.37411172200277698</v>
      </c>
      <c r="BPQ8" s="7">
        <v>0.60609288761612301</v>
      </c>
      <c r="BPR8" s="7">
        <v>0.184698215380634</v>
      </c>
      <c r="BPS8" s="7">
        <v>-0.27365482552298098</v>
      </c>
      <c r="BPT8" s="7">
        <v>-0.81120020067785303</v>
      </c>
      <c r="BPU8" s="7">
        <v>2.81171949466908</v>
      </c>
      <c r="BPV8" s="7">
        <v>0.33676673631853099</v>
      </c>
      <c r="BPW8" s="7">
        <v>-0.56021955662327905</v>
      </c>
      <c r="BPX8" s="7">
        <v>-0.165000095907511</v>
      </c>
      <c r="BPY8" s="7">
        <v>1.02133638909397</v>
      </c>
      <c r="BPZ8" s="7">
        <v>2.1694049150658099</v>
      </c>
      <c r="BQA8" s="7">
        <v>0.317292032717782</v>
      </c>
      <c r="BQB8" s="7">
        <v>-2.0273537543534998</v>
      </c>
      <c r="BQC8" s="7">
        <v>-1.2063174893122699</v>
      </c>
      <c r="BQD8" s="7">
        <v>-0.75455868712532004</v>
      </c>
      <c r="BQE8" s="7">
        <v>-0.72227407212639705</v>
      </c>
      <c r="BQF8" s="7">
        <v>1.41786868168686</v>
      </c>
      <c r="BQG8" s="7">
        <v>-0.27031430135736501</v>
      </c>
      <c r="BQH8" s="7">
        <v>0.90774156165164199</v>
      </c>
    </row>
    <row r="9" spans="1:1802" x14ac:dyDescent="0.2">
      <c r="A9" s="7">
        <v>7</v>
      </c>
      <c r="B9" s="7">
        <v>1.2850472475774199</v>
      </c>
      <c r="C9" s="7">
        <v>0.84440383125499596</v>
      </c>
      <c r="D9" s="7">
        <v>-1.59681331489182</v>
      </c>
      <c r="E9" s="7">
        <v>0.959407788363972</v>
      </c>
      <c r="F9" s="7">
        <v>1.0727943087766201</v>
      </c>
      <c r="G9" s="7">
        <v>0.234807875142065</v>
      </c>
      <c r="H9" s="7">
        <v>-2.2699108989743499</v>
      </c>
      <c r="I9" s="7">
        <v>-0.53806600797283599</v>
      </c>
      <c r="J9" s="7">
        <v>1.20205941413874</v>
      </c>
      <c r="K9" s="7">
        <v>-0.38972811964200998</v>
      </c>
      <c r="L9" s="7">
        <v>-1.83597886698132</v>
      </c>
      <c r="M9" s="7">
        <v>0.44499750650646203</v>
      </c>
      <c r="N9" s="7">
        <v>-0.68320895944631899</v>
      </c>
      <c r="O9" s="7">
        <v>-0.38775864345302402</v>
      </c>
      <c r="P9" s="7">
        <v>-1.34026875444473</v>
      </c>
      <c r="Q9" s="7">
        <v>-1.6247754705435999</v>
      </c>
      <c r="R9" s="7">
        <v>-0.195601236924906</v>
      </c>
      <c r="S9" s="7">
        <v>-0.12754875819255199</v>
      </c>
      <c r="T9" s="7">
        <v>-1.1859596375758099</v>
      </c>
      <c r="U9" s="7">
        <v>-0.96381790169932302</v>
      </c>
      <c r="V9" s="7">
        <v>0.29433509650647399</v>
      </c>
      <c r="W9" s="7">
        <v>-1.0624287106319601</v>
      </c>
      <c r="X9" s="7">
        <v>1.3622724950432901</v>
      </c>
      <c r="Y9" s="7">
        <v>-0.51452135105240104</v>
      </c>
      <c r="Z9" s="7">
        <v>0.90509879131451798</v>
      </c>
      <c r="AA9" s="7">
        <v>0.54394605594182899</v>
      </c>
      <c r="AB9" s="7">
        <v>-0.32330888447992301</v>
      </c>
      <c r="AC9" s="7">
        <v>1.1574648220975401</v>
      </c>
      <c r="AD9" s="7">
        <v>2.1358231993185601</v>
      </c>
      <c r="AE9" s="7">
        <v>-0.19339673163448401</v>
      </c>
      <c r="AF9" s="7">
        <v>-0.34859924310895102</v>
      </c>
      <c r="AG9" s="7">
        <v>-1.6686784016191101</v>
      </c>
      <c r="AH9" s="7">
        <v>-0.21670512035722</v>
      </c>
      <c r="AI9" s="7">
        <v>-1.9429744384691201</v>
      </c>
      <c r="AJ9" s="7">
        <v>0.18423878606729399</v>
      </c>
      <c r="AK9" s="7">
        <v>-0.499277152447128</v>
      </c>
      <c r="AL9" s="7">
        <v>-0.34376342645409003</v>
      </c>
      <c r="AM9" s="7">
        <v>-0.14056401085486001</v>
      </c>
      <c r="AN9" s="7">
        <v>-0.261650154911785</v>
      </c>
      <c r="AO9" s="7">
        <v>0.74571385476529295</v>
      </c>
      <c r="AP9" s="7">
        <v>0.27335898633151001</v>
      </c>
      <c r="AQ9" s="7">
        <v>-0.19574555258242901</v>
      </c>
      <c r="AR9" s="7">
        <v>1.32244652376419</v>
      </c>
      <c r="AS9" s="7">
        <v>0.72179312945822904</v>
      </c>
      <c r="AT9" s="7">
        <v>0.46244521228152302</v>
      </c>
      <c r="AU9" s="7">
        <v>0.26149313227628601</v>
      </c>
      <c r="AV9" s="7">
        <v>-0.73940846199671495</v>
      </c>
      <c r="AW9" s="7">
        <v>-0.85170353051502801</v>
      </c>
      <c r="AX9" s="7">
        <v>-0.83294359508061799</v>
      </c>
      <c r="AY9" s="7">
        <v>1.21090720304796</v>
      </c>
      <c r="AZ9" s="7">
        <v>1.29316974586605</v>
      </c>
      <c r="BA9" s="7">
        <v>-0.47241833667413902</v>
      </c>
      <c r="BB9" s="7">
        <v>-0.934241305314639</v>
      </c>
      <c r="BC9" s="7">
        <v>-0.26263159458239199</v>
      </c>
      <c r="BD9" s="7">
        <v>1.3137111959984999</v>
      </c>
      <c r="BE9" s="7">
        <v>1.3417399333539399</v>
      </c>
      <c r="BF9" s="7">
        <v>-1.46051132681869</v>
      </c>
      <c r="BG9" s="7">
        <v>-1.0079752570678799</v>
      </c>
      <c r="BH9" s="7">
        <v>-0.58206421441657097</v>
      </c>
      <c r="BI9" s="7">
        <v>-1.1045137902595801</v>
      </c>
      <c r="BJ9" s="7">
        <v>3.1320211899900599E-2</v>
      </c>
      <c r="BK9" s="7">
        <v>0.764990222210439</v>
      </c>
      <c r="BL9" s="7">
        <v>0.52982489988700199</v>
      </c>
      <c r="BM9" s="7">
        <v>2.36907583941754</v>
      </c>
      <c r="BN9" s="7">
        <v>-0.29557177762390802</v>
      </c>
      <c r="BO9" s="7">
        <v>-0.49853494267391701</v>
      </c>
      <c r="BP9" s="7">
        <v>0.29978387895216502</v>
      </c>
      <c r="BQ9" s="7">
        <v>-0.75644916253429995</v>
      </c>
      <c r="BR9" s="7">
        <v>-0.85927654177193002</v>
      </c>
      <c r="BS9" s="7">
        <v>-1.1997691681874001</v>
      </c>
      <c r="BT9" s="7">
        <v>-1.6655566326317602E-2</v>
      </c>
      <c r="BU9" s="7">
        <v>1.4246276178480699</v>
      </c>
      <c r="BV9" s="7">
        <v>-0.13412484344232201</v>
      </c>
      <c r="BW9" s="7">
        <v>1.50806271521307E-2</v>
      </c>
      <c r="BX9" s="7">
        <v>-0.51918035989187095</v>
      </c>
      <c r="BY9" s="7">
        <v>0.67433232962833201</v>
      </c>
      <c r="BZ9" s="7">
        <v>0.58075930467271697</v>
      </c>
      <c r="CA9" s="7">
        <v>0.48312571588902797</v>
      </c>
      <c r="CB9" s="7">
        <v>0.53995823997139103</v>
      </c>
      <c r="CC9" s="7">
        <v>-0.907842022967564</v>
      </c>
      <c r="CD9" s="7">
        <v>-0.27757648202835</v>
      </c>
      <c r="CE9" s="7">
        <v>1.36292236795718</v>
      </c>
      <c r="CF9" s="7">
        <v>-0.39794721424179502</v>
      </c>
      <c r="CG9" s="7">
        <v>-0.73730419355867505</v>
      </c>
      <c r="CH9" s="7">
        <v>1.83191936755069</v>
      </c>
      <c r="CI9" s="7">
        <v>-0.89356060130260995</v>
      </c>
      <c r="CJ9" s="7">
        <v>-0.23277334925363899</v>
      </c>
      <c r="CK9" s="7">
        <v>1.56617292119327</v>
      </c>
      <c r="CL9" s="7">
        <v>0.87401482273809195</v>
      </c>
      <c r="CM9" s="7">
        <v>0.81020653341361903</v>
      </c>
      <c r="CN9" s="7">
        <v>0.17827486732953499</v>
      </c>
      <c r="CO9" s="7">
        <v>-1.4016458156524501</v>
      </c>
      <c r="CP9" s="7">
        <v>0.56883476689490697</v>
      </c>
      <c r="CQ9" s="7">
        <v>1.5628863162573901</v>
      </c>
      <c r="CR9" s="7">
        <v>0.80138913738561901</v>
      </c>
      <c r="CS9" s="7">
        <v>1.37022329187575</v>
      </c>
      <c r="CT9" s="7">
        <v>-2.5021909365452699</v>
      </c>
      <c r="CU9" s="7">
        <v>-0.46815708620357499</v>
      </c>
      <c r="CV9" s="7">
        <v>1.01859408727126</v>
      </c>
      <c r="CW9" s="7">
        <v>-0.32526410403275502</v>
      </c>
      <c r="CX9" s="7">
        <v>0.78576232683110403</v>
      </c>
      <c r="CY9" s="7">
        <v>-2.4522291847895099</v>
      </c>
      <c r="CZ9" s="7">
        <v>-1.4001605546162199</v>
      </c>
      <c r="DA9" s="7">
        <v>-0.67548563452736399</v>
      </c>
      <c r="DB9" s="7">
        <v>-7.3592922681148601E-2</v>
      </c>
      <c r="DC9" s="7">
        <v>0.36314744133297799</v>
      </c>
      <c r="DD9" s="7">
        <v>0.109208691055261</v>
      </c>
      <c r="DE9" s="7">
        <v>1.35582748672913</v>
      </c>
      <c r="DF9" s="7">
        <v>0.72481936973383798</v>
      </c>
      <c r="DG9" s="7">
        <v>0.71893242068733698</v>
      </c>
      <c r="DH9" s="7">
        <v>-0.154726062753067</v>
      </c>
      <c r="DI9" s="7">
        <v>-0.85329503806110396</v>
      </c>
      <c r="DJ9" s="7">
        <v>0.60274778052410805</v>
      </c>
      <c r="DK9" s="7">
        <v>0.47072081451786002</v>
      </c>
      <c r="DL9" s="7">
        <v>1.01689964473259</v>
      </c>
      <c r="DM9" s="7">
        <v>0.14617330333367801</v>
      </c>
      <c r="DN9" s="7">
        <v>-1.7032658393782301</v>
      </c>
      <c r="DO9" s="7">
        <v>1.3468394370140699</v>
      </c>
      <c r="DP9" s="7">
        <v>6.7723839391693005E-2</v>
      </c>
      <c r="DQ9" s="7">
        <v>1.14673528094639</v>
      </c>
      <c r="DR9" s="7">
        <v>-0.65180064477163102</v>
      </c>
      <c r="DS9" s="7">
        <v>1.6157063854103599</v>
      </c>
      <c r="DT9" s="7">
        <v>-0.62457357530993596</v>
      </c>
      <c r="DU9" s="7">
        <v>-0.116830837276081</v>
      </c>
      <c r="DV9" s="7">
        <v>-7.4948982017430596E-2</v>
      </c>
      <c r="DW9" s="7">
        <v>0.46641816359710597</v>
      </c>
      <c r="DX9" s="7">
        <v>-0.15754876803318199</v>
      </c>
      <c r="DY9" s="7">
        <v>0.41026445478861201</v>
      </c>
      <c r="DZ9" s="7">
        <v>0.386333923134972</v>
      </c>
      <c r="EA9" s="7">
        <v>0.69901301014108197</v>
      </c>
      <c r="EB9" s="7">
        <v>-0.51510824594498505</v>
      </c>
      <c r="EC9" s="7">
        <v>-0.46240631981887798</v>
      </c>
      <c r="ED9" s="7">
        <v>-0.85039671871843803</v>
      </c>
      <c r="EE9" s="7">
        <v>0.46463185035163401</v>
      </c>
      <c r="EF9" s="7">
        <v>1.24868338871099</v>
      </c>
      <c r="EG9" s="7">
        <v>0.12134026680099599</v>
      </c>
      <c r="EH9" s="7">
        <v>1.01572356328316</v>
      </c>
      <c r="EI9" s="7">
        <v>1.28826756253717</v>
      </c>
      <c r="EJ9" s="7">
        <v>-1.1036385172185901</v>
      </c>
      <c r="EK9" s="7">
        <v>2.3719108220581799</v>
      </c>
      <c r="EL9" s="7">
        <v>0.12544991990333201</v>
      </c>
      <c r="EM9" s="7">
        <v>0.36757743390710701</v>
      </c>
      <c r="EN9" s="7">
        <v>1.5995091377763899</v>
      </c>
      <c r="EO9" s="7">
        <v>-1.0077626585546999</v>
      </c>
      <c r="EP9" s="7">
        <v>0.79804270878828398</v>
      </c>
      <c r="EQ9" s="7">
        <v>-8.7339423708682903E-2</v>
      </c>
      <c r="ER9" s="7">
        <v>-1.7799217437130399</v>
      </c>
      <c r="ES9" s="7">
        <v>0.28505649083124202</v>
      </c>
      <c r="ET9" s="7">
        <v>-0.82474940392169405</v>
      </c>
      <c r="EU9" s="7">
        <v>0.97495467966720395</v>
      </c>
      <c r="EV9" s="7">
        <v>-1.1939855281193099</v>
      </c>
      <c r="EW9" s="7">
        <v>0.205345348094819</v>
      </c>
      <c r="EX9" s="7">
        <v>-1.6781946926878999</v>
      </c>
      <c r="EY9" s="7">
        <v>0.562105533789786</v>
      </c>
      <c r="EZ9" s="7">
        <v>-1.5778103769040701E-2</v>
      </c>
      <c r="FA9" s="7">
        <v>-0.99408204399498201</v>
      </c>
      <c r="FB9" s="7">
        <v>-7.5163284671362504E-2</v>
      </c>
      <c r="FC9" s="7">
        <v>8.7946684831254396E-2</v>
      </c>
      <c r="FD9" s="7">
        <v>0.42439659476791303</v>
      </c>
      <c r="FE9" s="7">
        <v>-0.36201660227096699</v>
      </c>
      <c r="FF9" s="7">
        <v>0.30976478100045102</v>
      </c>
      <c r="FG9" s="7">
        <v>-0.50561011836117697</v>
      </c>
      <c r="FH9" s="7">
        <v>-1.7418409825208401</v>
      </c>
      <c r="FI9" s="7">
        <v>-0.99293431232072504</v>
      </c>
      <c r="FJ9" s="7">
        <v>0.52165708063008998</v>
      </c>
      <c r="FK9" s="7">
        <v>0.197733863027342</v>
      </c>
      <c r="FL9" s="7">
        <v>0.30645394161696299</v>
      </c>
      <c r="FM9" s="7">
        <v>2.62258860125829E-2</v>
      </c>
      <c r="FN9" s="7">
        <v>1.63099994638079</v>
      </c>
      <c r="FO9" s="7">
        <v>-0.39179908176436201</v>
      </c>
      <c r="FP9" s="7">
        <v>-0.98931729679051805</v>
      </c>
      <c r="FQ9" s="7">
        <v>-0.14387883058480799</v>
      </c>
      <c r="FR9" s="7">
        <v>-1.0965024911783501</v>
      </c>
      <c r="FS9" s="7">
        <v>-1.1627678792800999</v>
      </c>
      <c r="FT9" s="7">
        <v>-0.40647531683870902</v>
      </c>
      <c r="FU9" s="7">
        <v>1.2716053882676801</v>
      </c>
      <c r="FV9" s="7">
        <v>-1.12378752265483</v>
      </c>
      <c r="FW9" s="7">
        <v>-1.52176491440398</v>
      </c>
      <c r="FX9" s="7">
        <v>1.3132195834912599</v>
      </c>
      <c r="FY9" s="7">
        <v>-2.2604966712109702</v>
      </c>
      <c r="FZ9" s="7">
        <v>1.1919080578346599</v>
      </c>
      <c r="GA9" s="7">
        <v>1.4736880131800201</v>
      </c>
      <c r="GB9" s="7">
        <v>1.29032859679524</v>
      </c>
      <c r="GC9" s="7">
        <v>-1.8272683712979298E-2</v>
      </c>
      <c r="GD9" s="7">
        <v>-0.167290744817124</v>
      </c>
      <c r="GE9" s="7">
        <v>-1.4908218728200799</v>
      </c>
      <c r="GF9" s="7">
        <v>0.47025455602142902</v>
      </c>
      <c r="GG9" s="7">
        <v>-0.55818564096689505</v>
      </c>
      <c r="GH9" s="7">
        <v>-1.0792884786186301</v>
      </c>
      <c r="GI9" s="7">
        <v>0.56118534922889496</v>
      </c>
      <c r="GJ9" s="7">
        <v>-1.0096291825841099</v>
      </c>
      <c r="GK9" s="7">
        <v>0.80260579692008105</v>
      </c>
      <c r="GL9" s="7">
        <v>-0.418652917934279</v>
      </c>
      <c r="GM9" s="7">
        <v>-1.4844566062080999</v>
      </c>
      <c r="GN9" s="7">
        <v>3.5898850818934E-2</v>
      </c>
      <c r="GO9" s="7">
        <v>-1.2298212877516901</v>
      </c>
      <c r="GP9" s="7">
        <v>-0.106585692817996</v>
      </c>
      <c r="GQ9" s="7">
        <v>0.56907045027763403</v>
      </c>
      <c r="GR9" s="7">
        <v>-0.33566401169309601</v>
      </c>
      <c r="GS9" s="7">
        <v>0.80220765916583503</v>
      </c>
      <c r="GT9" s="7">
        <v>0.11699428952292699</v>
      </c>
      <c r="GU9" s="7">
        <v>0.90982186449294</v>
      </c>
      <c r="GV9" s="7">
        <v>-0.60388050986406405</v>
      </c>
      <c r="GW9" s="7">
        <v>0.40463621269639299</v>
      </c>
      <c r="GX9" s="7">
        <v>-0.98496929390410404</v>
      </c>
      <c r="GY9" s="7">
        <v>0.76274914127441795</v>
      </c>
      <c r="GZ9" s="7">
        <v>0.77199506787760397</v>
      </c>
      <c r="HA9" s="7">
        <v>-1.05558955262174</v>
      </c>
      <c r="HB9" s="7">
        <v>1.15593089793426</v>
      </c>
      <c r="HC9" s="7">
        <v>-0.20769671397087799</v>
      </c>
      <c r="HD9" s="7">
        <v>0.33928280914721998</v>
      </c>
      <c r="HE9" s="7">
        <v>0.88047800508151697</v>
      </c>
      <c r="HF9" s="7">
        <v>2.46522360366997</v>
      </c>
      <c r="HG9" s="7">
        <v>-0.163584608523825</v>
      </c>
      <c r="HH9" s="7">
        <v>-1.2888313702223499</v>
      </c>
      <c r="HI9" s="7">
        <v>1.0558703220761101</v>
      </c>
      <c r="HJ9" s="7">
        <v>0.45036401598129899</v>
      </c>
      <c r="HK9" s="7">
        <v>0.70927004856097997</v>
      </c>
      <c r="HL9" s="7">
        <v>2.2817804705792099E-2</v>
      </c>
      <c r="HM9" s="7">
        <v>0.99196858478620598</v>
      </c>
      <c r="HN9" s="7">
        <v>1.28790017201339</v>
      </c>
      <c r="HO9" s="7">
        <v>-1.1109456684449099</v>
      </c>
      <c r="HP9" s="7">
        <v>0.35680437138177801</v>
      </c>
      <c r="HQ9" s="7">
        <v>0.98367173527191498</v>
      </c>
      <c r="HR9" s="7">
        <v>1.17135790591758</v>
      </c>
      <c r="HS9" s="7">
        <v>-0.123400597713231</v>
      </c>
      <c r="HT9" s="7">
        <v>-0.24271447857204201</v>
      </c>
      <c r="HU9" s="7">
        <v>1.2519378052722301</v>
      </c>
      <c r="HV9" s="7">
        <v>2.2279884751269701</v>
      </c>
      <c r="HW9" s="7">
        <v>-9.1443783938184295E-2</v>
      </c>
      <c r="HX9" s="7">
        <v>1.05087062532106</v>
      </c>
      <c r="HY9" s="7">
        <v>0.314981161739944</v>
      </c>
      <c r="HZ9" s="7">
        <v>-1.66323883310962</v>
      </c>
      <c r="IA9" s="7">
        <v>-0.653332173557712</v>
      </c>
      <c r="IB9" s="7">
        <v>1.9126863707958499</v>
      </c>
      <c r="IC9" s="7">
        <v>0.36131265410601499</v>
      </c>
      <c r="ID9" s="7">
        <v>-0.63342243740314996</v>
      </c>
      <c r="IE9" s="7">
        <v>-0.31700851113752199</v>
      </c>
      <c r="IF9" s="7">
        <v>1.2363939535300199</v>
      </c>
      <c r="IG9" s="7">
        <v>-0.31655575515177697</v>
      </c>
      <c r="IH9" s="7">
        <v>-0.99373075510752495</v>
      </c>
      <c r="II9" s="7">
        <v>1.7807685560238999</v>
      </c>
      <c r="IJ9" s="7">
        <v>1.1018471517878601</v>
      </c>
      <c r="IK9" s="7">
        <v>-1.9508431366513801</v>
      </c>
      <c r="IL9" s="7">
        <v>-0.51753443440209401</v>
      </c>
      <c r="IM9" s="7">
        <v>0.67257249236717898</v>
      </c>
      <c r="IN9" s="7">
        <v>-1.0312237263850601</v>
      </c>
      <c r="IO9" s="7">
        <v>0.70153946097053599</v>
      </c>
      <c r="IP9" s="7">
        <v>0.25216278537370901</v>
      </c>
      <c r="IQ9" s="7">
        <v>1.244907847156</v>
      </c>
      <c r="IR9" s="7">
        <v>0.144453693933289</v>
      </c>
      <c r="IS9" s="7">
        <v>1.04132576438972</v>
      </c>
      <c r="IT9" s="7">
        <v>0.30639323085004799</v>
      </c>
      <c r="IU9" s="7">
        <v>-1.2350290076933299</v>
      </c>
      <c r="IV9" s="7">
        <v>-0.383850338414985</v>
      </c>
      <c r="IW9" s="7">
        <v>0.46191343761685499</v>
      </c>
      <c r="IX9" s="7">
        <v>-0.35499452061424103</v>
      </c>
      <c r="IY9" s="7">
        <v>0.76396134636050195</v>
      </c>
      <c r="IZ9" s="7">
        <v>0.25910711747975401</v>
      </c>
      <c r="JA9" s="7">
        <v>-2.2847131968412202</v>
      </c>
      <c r="JB9" s="7">
        <v>1.78045501672665</v>
      </c>
      <c r="JC9" s="7">
        <v>0.107032139666433</v>
      </c>
      <c r="JD9" s="7">
        <v>-0.68770172974535104</v>
      </c>
      <c r="JE9" s="7">
        <v>-0.43411189842685499</v>
      </c>
      <c r="JF9" s="7">
        <v>0.61245967332186202</v>
      </c>
      <c r="JG9" s="7">
        <v>-1.92753913839393</v>
      </c>
      <c r="JH9" s="7">
        <v>-0.457484925907224</v>
      </c>
      <c r="JI9" s="7">
        <v>-0.56719447439499504</v>
      </c>
      <c r="JJ9" s="7">
        <v>-0.71113023070232395</v>
      </c>
      <c r="JK9" s="7">
        <v>0.97753212263616196</v>
      </c>
      <c r="JL9" s="7">
        <v>-0.66371369924643797</v>
      </c>
      <c r="JM9" s="7">
        <v>-1.38608401540474</v>
      </c>
      <c r="JN9" s="7">
        <v>-1.3868880985072001</v>
      </c>
      <c r="JO9" s="7">
        <v>-1.22769950027218</v>
      </c>
      <c r="JP9" s="7">
        <v>-1.05505144940371</v>
      </c>
      <c r="JQ9" s="7">
        <v>-0.537981313679045</v>
      </c>
      <c r="JR9" s="7">
        <v>1.2389938213240601</v>
      </c>
      <c r="JS9" s="7">
        <v>0.29727783205685199</v>
      </c>
      <c r="JT9" s="7">
        <v>0.879694197562642</v>
      </c>
      <c r="JU9" s="7">
        <v>0.46932713698033601</v>
      </c>
      <c r="JV9" s="7">
        <v>-0.76916005633852302</v>
      </c>
      <c r="JW9" s="7">
        <v>-0.19052957460369199</v>
      </c>
      <c r="JX9" s="7">
        <v>1.3490274258989201</v>
      </c>
      <c r="JY9" s="7">
        <v>0.54843984762890297</v>
      </c>
      <c r="JZ9" s="7">
        <v>0.44815841131829398</v>
      </c>
      <c r="KA9" s="7">
        <v>-1.2534926160505799</v>
      </c>
      <c r="KB9" s="7">
        <v>1.3380358791971101</v>
      </c>
      <c r="KC9" s="7">
        <v>0.61057104304161303</v>
      </c>
      <c r="KD9" s="7">
        <v>0.90503076757754697</v>
      </c>
      <c r="KE9" s="7">
        <v>0.57689121537689303</v>
      </c>
      <c r="KF9" s="7">
        <v>0.32196808444053898</v>
      </c>
      <c r="KG9" s="7">
        <v>4.3030987023394203E-2</v>
      </c>
      <c r="KH9" s="7">
        <v>-1.56903236371432</v>
      </c>
      <c r="KI9" s="7">
        <v>-0.99352125331558505</v>
      </c>
      <c r="KJ9" s="7">
        <v>0.834618293831066</v>
      </c>
      <c r="KK9" s="7">
        <v>3.9624047186366099E-2</v>
      </c>
      <c r="KL9" s="7">
        <v>0.23841073023999099</v>
      </c>
      <c r="KM9" s="7">
        <v>0.55419975175050995</v>
      </c>
      <c r="KN9" s="7">
        <v>1.06543781759321</v>
      </c>
      <c r="KO9" s="7">
        <v>-1.0913949971438099</v>
      </c>
      <c r="KP9" s="7">
        <v>1.3527798907117601</v>
      </c>
      <c r="KQ9" s="7">
        <v>0.333240651072161</v>
      </c>
      <c r="KR9" s="7">
        <v>0.58691660536715495</v>
      </c>
      <c r="KS9" s="7">
        <v>-0.57403590067271204</v>
      </c>
      <c r="KT9" s="7">
        <v>0.99170083849180002</v>
      </c>
      <c r="KU9" s="7">
        <v>1.73326038577444</v>
      </c>
      <c r="KV9" s="7">
        <v>-0.71135474521031405</v>
      </c>
      <c r="KW9" s="7">
        <v>1.8088029939538499</v>
      </c>
      <c r="KX9" s="7">
        <v>-2.38540412949262</v>
      </c>
      <c r="KY9" s="7">
        <v>0.77125641671993195</v>
      </c>
      <c r="KZ9" s="7">
        <v>0.38950522152240202</v>
      </c>
      <c r="LA9" s="7">
        <v>-0.68330713539678101</v>
      </c>
      <c r="LB9" s="7">
        <v>1.39817713170258</v>
      </c>
      <c r="LC9" s="7">
        <v>2.5878929384092699</v>
      </c>
      <c r="LD9" s="7">
        <v>0.50247887669375002</v>
      </c>
      <c r="LE9" s="7">
        <v>-2.3947787932742E-3</v>
      </c>
      <c r="LF9" s="7">
        <v>1.83697717148486E-2</v>
      </c>
      <c r="LG9" s="7">
        <v>0.10915045697864301</v>
      </c>
      <c r="LH9" s="7">
        <v>1.01268216745271</v>
      </c>
      <c r="LI9" s="7">
        <v>1.0335968760159799</v>
      </c>
      <c r="LJ9" s="7">
        <v>2.2965635020801698</v>
      </c>
      <c r="LK9" s="7">
        <v>0.16766108525610801</v>
      </c>
      <c r="LL9" s="7">
        <v>1.6126165661001799</v>
      </c>
      <c r="LM9" s="7">
        <v>0.40877594656360899</v>
      </c>
      <c r="LN9" s="7">
        <v>-0.33703560222807999</v>
      </c>
      <c r="LO9" s="7">
        <v>0.93803251993515402</v>
      </c>
      <c r="LP9" s="7">
        <v>-0.65996579909661301</v>
      </c>
      <c r="LQ9" s="7">
        <v>-0.75514224332570401</v>
      </c>
      <c r="LR9" s="7">
        <v>-0.47920004515185299</v>
      </c>
      <c r="LS9" s="7">
        <v>0.35667783096842998</v>
      </c>
      <c r="LT9" s="7">
        <v>0.69237848919643197</v>
      </c>
      <c r="LU9" s="7">
        <v>0.84057523081336205</v>
      </c>
      <c r="LV9" s="7">
        <v>0.532502625644101</v>
      </c>
      <c r="LW9" s="7">
        <v>-1.1837591554118301</v>
      </c>
      <c r="LX9" s="7">
        <v>1.6095157099655899</v>
      </c>
      <c r="LY9" s="7">
        <v>-0.46064964883414</v>
      </c>
      <c r="LZ9" s="7">
        <v>-1.07241187943236</v>
      </c>
      <c r="MA9" s="7">
        <v>-0.101508777212358</v>
      </c>
      <c r="MB9" s="7">
        <v>0.50293966526926204</v>
      </c>
      <c r="MC9" s="7">
        <v>-0.33317116771104499</v>
      </c>
      <c r="MD9" s="7">
        <v>0.192391131816713</v>
      </c>
      <c r="ME9" s="7">
        <v>0.29538267454647799</v>
      </c>
      <c r="MF9" s="7">
        <v>-1.61187825345035</v>
      </c>
      <c r="MG9" s="7">
        <v>-0.98772941540012804</v>
      </c>
      <c r="MH9" s="7">
        <v>0.761200476688912</v>
      </c>
      <c r="MI9" s="7">
        <v>-0.77697167117758104</v>
      </c>
      <c r="MJ9" s="7">
        <v>-0.47282644761153197</v>
      </c>
      <c r="MK9" s="7">
        <v>1.60062364483719</v>
      </c>
      <c r="ML9" s="7">
        <v>-0.357426055284288</v>
      </c>
      <c r="MM9" s="7">
        <v>-0.55220014618022994</v>
      </c>
      <c r="MN9" s="7">
        <v>0.58226125863066402</v>
      </c>
      <c r="MO9" s="7">
        <v>0.114322928658352</v>
      </c>
      <c r="MP9" s="7">
        <v>-1.58702243021088</v>
      </c>
      <c r="MQ9" s="7">
        <v>-9.6927055727301606E-2</v>
      </c>
      <c r="MR9" s="7">
        <v>4.3796415240244198E-2</v>
      </c>
      <c r="MS9" s="7">
        <v>0.98416880947952201</v>
      </c>
      <c r="MT9" s="7">
        <v>0.73682326168925605</v>
      </c>
      <c r="MU9" s="7">
        <v>-0.721394564586885</v>
      </c>
      <c r="MV9" s="7">
        <v>-1.16106585060578</v>
      </c>
      <c r="MW9" s="7">
        <v>-1.2771722265076799</v>
      </c>
      <c r="MX9" s="7">
        <v>-1.2696273264769899</v>
      </c>
      <c r="MY9" s="7">
        <v>0.55040469467032405</v>
      </c>
      <c r="MZ9" s="7">
        <v>1.6404623172814601</v>
      </c>
      <c r="NA9" s="7">
        <v>-0.13647201793781499</v>
      </c>
      <c r="NB9" s="7">
        <v>-1.1539821675129001</v>
      </c>
      <c r="NC9" s="7">
        <v>0.255613375352095</v>
      </c>
      <c r="ND9" s="7">
        <v>-0.260139492621837</v>
      </c>
      <c r="NE9" s="7">
        <v>0.56727353119411705</v>
      </c>
      <c r="NF9" s="7">
        <v>0.152060273027809</v>
      </c>
      <c r="NG9" s="7">
        <v>-1.5735800804275899</v>
      </c>
      <c r="NH9" s="7">
        <v>-0.73597485245352301</v>
      </c>
      <c r="NI9" s="7">
        <v>-0.14815338595143601</v>
      </c>
      <c r="NJ9" s="7">
        <v>0.109670850906679</v>
      </c>
      <c r="NK9" s="7">
        <v>-0.13564651906476799</v>
      </c>
      <c r="NL9" s="7">
        <v>-0.36401780556043101</v>
      </c>
      <c r="NM9" s="7">
        <v>2.2840807554762299</v>
      </c>
      <c r="NN9" s="7">
        <v>-0.84120797190482899</v>
      </c>
      <c r="NO9" s="7">
        <v>0.71220520962031697</v>
      </c>
      <c r="NP9" s="7">
        <v>-0.47052190676807398</v>
      </c>
      <c r="NQ9" s="7">
        <v>1.3623764024357401</v>
      </c>
      <c r="NR9" s="7">
        <v>-0.25434907176086502</v>
      </c>
      <c r="NS9" s="7">
        <v>0.74843237435170296</v>
      </c>
      <c r="NT9" s="7">
        <v>1.19264070619917E-2</v>
      </c>
      <c r="NU9" s="7">
        <v>0.44435159726676299</v>
      </c>
      <c r="NV9" s="7">
        <v>-1.20335667903656</v>
      </c>
      <c r="NW9" s="7">
        <v>0.27372572090915698</v>
      </c>
      <c r="NX9" s="7">
        <v>-0.12337815639866</v>
      </c>
      <c r="NY9" s="7">
        <v>-4.1727154338462399E-2</v>
      </c>
      <c r="NZ9" s="7">
        <v>-1.2353398200391199</v>
      </c>
      <c r="OA9" s="7">
        <v>3.4550207621112702E-2</v>
      </c>
      <c r="OB9" s="7">
        <v>-1.34163794949852</v>
      </c>
      <c r="OC9" s="7">
        <v>-1.2344705022992299</v>
      </c>
      <c r="OD9" s="7">
        <v>-0.23954904437777799</v>
      </c>
      <c r="OE9" s="7">
        <v>-0.146587593216498</v>
      </c>
      <c r="OF9" s="7">
        <v>-0.63038160180900105</v>
      </c>
      <c r="OG9" s="7">
        <v>0.23518219950292699</v>
      </c>
      <c r="OH9" s="7">
        <v>-3.4376909129027397E-2</v>
      </c>
      <c r="OI9" s="7">
        <v>1.69788273074688</v>
      </c>
      <c r="OJ9" s="7">
        <v>-0.407269217729893</v>
      </c>
      <c r="OK9" s="7">
        <v>0.50574725160046097</v>
      </c>
      <c r="OL9" s="7">
        <v>7.2349831741412698E-2</v>
      </c>
      <c r="OM9" s="7">
        <v>-0.79961205460885898</v>
      </c>
      <c r="ON9" s="7">
        <v>-0.27437235014795402</v>
      </c>
      <c r="OO9" s="7">
        <v>-0.693799306917528</v>
      </c>
      <c r="OP9" s="7">
        <v>-0.105614764127125</v>
      </c>
      <c r="OQ9" s="7">
        <v>1.4755428097190899</v>
      </c>
      <c r="OR9" s="7">
        <v>0.47685157994653998</v>
      </c>
      <c r="OS9" s="7">
        <v>0.199225665704653</v>
      </c>
      <c r="OT9" s="7">
        <v>-0.330032687952651</v>
      </c>
      <c r="OU9" s="7">
        <v>-1.69024772600165</v>
      </c>
      <c r="OV9" s="7">
        <v>-1.4727328379645801</v>
      </c>
      <c r="OW9" s="7">
        <v>0.64619378364228497</v>
      </c>
      <c r="OX9" s="7">
        <v>-1.41484077417948</v>
      </c>
      <c r="OY9" s="7">
        <v>0.748064578311331</v>
      </c>
      <c r="OZ9" s="7">
        <v>0.39751977285017998</v>
      </c>
      <c r="PA9" s="7">
        <v>-0.49191409776231498</v>
      </c>
      <c r="PB9" s="7">
        <v>0.16092870024473899</v>
      </c>
      <c r="PC9" s="7">
        <v>1.16271644729996</v>
      </c>
      <c r="PD9" s="7">
        <v>-0.44076164829022901</v>
      </c>
      <c r="PE9" s="7">
        <v>-2.8979166864859098</v>
      </c>
      <c r="PF9" s="7">
        <v>1.5677919782849999E-3</v>
      </c>
      <c r="PG9" s="7">
        <v>0.86833355425067205</v>
      </c>
      <c r="PH9" s="7">
        <v>0.214194939347642</v>
      </c>
      <c r="PI9" s="7">
        <v>-1.40701648288753</v>
      </c>
      <c r="PJ9" s="7">
        <v>1.6264748263915101</v>
      </c>
      <c r="PK9" s="7">
        <v>-0.27200980761795401</v>
      </c>
      <c r="PL9" s="7">
        <v>0.54890603586721398</v>
      </c>
      <c r="PM9" s="7">
        <v>0.38309561686624899</v>
      </c>
      <c r="PN9" s="7">
        <v>0.307060655544724</v>
      </c>
      <c r="PO9" s="7">
        <v>-0.905659801752835</v>
      </c>
      <c r="PP9" s="7">
        <v>-2.5134344413319001</v>
      </c>
      <c r="PQ9" s="7">
        <v>-0.77900568394365</v>
      </c>
      <c r="PR9" s="7">
        <v>-1.3380892954675101</v>
      </c>
      <c r="PS9" s="7">
        <v>-1.3749137520702399</v>
      </c>
      <c r="PT9" s="7">
        <v>0.61079055447419295</v>
      </c>
      <c r="PU9" s="7">
        <v>-0.28349680583589798</v>
      </c>
      <c r="PV9" s="7">
        <v>-0.54464158056317802</v>
      </c>
      <c r="PW9" s="7">
        <v>1.10074861201226</v>
      </c>
      <c r="PX9" s="7">
        <v>0.39112909947961699</v>
      </c>
      <c r="PY9" s="7">
        <v>-0.83700606352212903</v>
      </c>
      <c r="PZ9" s="7">
        <v>-1.08061757286172</v>
      </c>
      <c r="QA9" s="7">
        <v>-0.49817261940998703</v>
      </c>
      <c r="QB9" s="7">
        <v>0.37787822157378698</v>
      </c>
      <c r="QC9" s="7">
        <v>0.93520129233056504</v>
      </c>
      <c r="QD9" s="7">
        <v>-0.95068166988698799</v>
      </c>
      <c r="QE9" s="7">
        <v>-0.69096828346553996</v>
      </c>
      <c r="QF9" s="7">
        <v>-0.18939753242049201</v>
      </c>
      <c r="QG9" s="7">
        <v>-2.1988327290032998</v>
      </c>
      <c r="QH9" s="7">
        <v>-1.7145088835889599</v>
      </c>
      <c r="QI9" s="7">
        <v>-0.246248671499188</v>
      </c>
      <c r="QJ9" s="7">
        <v>-0.87915191912300805</v>
      </c>
      <c r="QK9" s="7">
        <v>-2.0919956865785898</v>
      </c>
      <c r="QL9" s="7">
        <v>0.29972944267664198</v>
      </c>
      <c r="QM9" s="7">
        <v>-0.58103330859005697</v>
      </c>
      <c r="QN9" s="7">
        <v>-0.29191196174216999</v>
      </c>
      <c r="QO9" s="7">
        <v>-1.5234385776863</v>
      </c>
      <c r="QP9" s="7">
        <v>2.4198376994424602</v>
      </c>
      <c r="QQ9" s="7">
        <v>-0.327235786432029</v>
      </c>
      <c r="QR9" s="7">
        <v>-2.1131975658247</v>
      </c>
      <c r="QS9" s="7">
        <v>-0.98496998285784798</v>
      </c>
      <c r="QT9" s="7">
        <v>-1.21548085559031</v>
      </c>
      <c r="QU9" s="7">
        <v>1.4292241857950601</v>
      </c>
      <c r="QV9" s="7">
        <v>0.56681726763615703</v>
      </c>
      <c r="QW9" s="7">
        <v>-0.138739280716031</v>
      </c>
      <c r="QX9" s="7">
        <v>0.74651428335356496</v>
      </c>
      <c r="QY9" s="7">
        <v>2.0893106688835701</v>
      </c>
      <c r="QZ9" s="7">
        <v>-0.151962418776417</v>
      </c>
      <c r="RA9" s="7">
        <v>-1.0849203746899201</v>
      </c>
      <c r="RB9" s="7">
        <v>-1.5529072442977501</v>
      </c>
      <c r="RC9" s="7">
        <v>0.73454327208200698</v>
      </c>
      <c r="RD9" s="7">
        <v>0.26464498438566098</v>
      </c>
      <c r="RE9" s="7">
        <v>-1.2043603866152801</v>
      </c>
      <c r="RF9" s="7">
        <v>-1.8136733325161301</v>
      </c>
      <c r="RG9" s="7">
        <v>-1.9419922142063699</v>
      </c>
      <c r="RH9" s="7">
        <v>0.77532352416220696</v>
      </c>
      <c r="RI9" s="7">
        <v>-1.43869622898505</v>
      </c>
      <c r="RJ9" s="7">
        <v>0.46057939755021499</v>
      </c>
      <c r="RK9" s="7">
        <v>0.34821245583295002</v>
      </c>
      <c r="RL9" s="7">
        <v>-0.78502611954300605</v>
      </c>
      <c r="RM9" s="7">
        <v>0.35848805778453302</v>
      </c>
      <c r="RN9" s="7">
        <v>-2.0375986537297002</v>
      </c>
      <c r="RO9" s="7">
        <v>0.41052456472179899</v>
      </c>
      <c r="RP9" s="7">
        <v>-0.36967686009794598</v>
      </c>
      <c r="RQ9" s="7">
        <v>-0.34194129502368897</v>
      </c>
      <c r="RR9" s="7">
        <v>-0.15290559088585501</v>
      </c>
      <c r="RS9" s="7">
        <v>-2.4579901213259299</v>
      </c>
      <c r="RT9" s="7">
        <v>0.728373130458708</v>
      </c>
      <c r="RU9" s="7">
        <v>-1.03256253346239</v>
      </c>
      <c r="RV9" s="7">
        <v>1.12853214434029</v>
      </c>
      <c r="RW9" s="7">
        <v>1.33742239894037</v>
      </c>
      <c r="RX9" s="7">
        <v>-0.74820179739783299</v>
      </c>
      <c r="RY9" s="7">
        <v>-0.43273145206508001</v>
      </c>
      <c r="RZ9" s="7">
        <v>-1.18806925463608</v>
      </c>
      <c r="SA9" s="7">
        <v>0.36891080516741898</v>
      </c>
      <c r="SB9" s="7">
        <v>-9.9946359133397805E-2</v>
      </c>
      <c r="SC9" s="7">
        <v>-0.155017724218737</v>
      </c>
      <c r="SD9" s="7">
        <v>2.0873823369106601</v>
      </c>
      <c r="SE9" s="7">
        <v>1.1845226561730799</v>
      </c>
      <c r="SF9" s="7">
        <v>0.58863513589789296</v>
      </c>
      <c r="SG9" s="7">
        <v>0.50526567138993494</v>
      </c>
      <c r="SH9" s="7">
        <v>-1.1842934506434699</v>
      </c>
      <c r="SI9" s="7">
        <v>-1.46737227006341</v>
      </c>
      <c r="SJ9" s="7">
        <v>0.122970319941808</v>
      </c>
      <c r="SK9" s="7">
        <v>1.2847074309690001</v>
      </c>
      <c r="SL9" s="7">
        <v>0.225277963377218</v>
      </c>
      <c r="SM9" s="7">
        <v>-0.53376181289507696</v>
      </c>
      <c r="SN9" s="7">
        <v>-0.90796804989399005</v>
      </c>
      <c r="SO9" s="7">
        <v>0.25885321316162202</v>
      </c>
      <c r="SP9" s="7">
        <v>0.49954768904255697</v>
      </c>
      <c r="SQ9" s="7">
        <v>-1.01329248247228</v>
      </c>
      <c r="SR9" s="7">
        <v>0.56104253932346004</v>
      </c>
      <c r="SS9" s="7">
        <v>-0.15312487543430101</v>
      </c>
      <c r="ST9" s="7">
        <v>9.1759887729358197E-2</v>
      </c>
      <c r="SU9" s="7">
        <v>-0.97200574933388695</v>
      </c>
      <c r="SV9" s="7">
        <v>0.15841916032907299</v>
      </c>
      <c r="SW9" s="7">
        <v>-0.44849332299599498</v>
      </c>
      <c r="SX9" s="7">
        <v>-0.21435376800154199</v>
      </c>
      <c r="SY9" s="7">
        <v>2.6183479159272598</v>
      </c>
      <c r="SZ9" s="7">
        <v>0.50007951645024296</v>
      </c>
      <c r="TA9" s="7">
        <v>-0.82838530111964803</v>
      </c>
      <c r="TB9" s="7">
        <v>-2.1860102734565601</v>
      </c>
      <c r="TC9" s="7">
        <v>0.22325563153495101</v>
      </c>
      <c r="TD9" s="7">
        <v>-0.66428608048592197</v>
      </c>
      <c r="TE9" s="7">
        <v>-1.2287155541960399</v>
      </c>
      <c r="TF9" s="7">
        <v>-0.663148155851917</v>
      </c>
      <c r="TG9" s="7">
        <v>-8.7033733695801599E-2</v>
      </c>
      <c r="TH9" s="7">
        <v>-7.6120751902795603E-2</v>
      </c>
      <c r="TI9" s="7">
        <v>-0.47529723655109801</v>
      </c>
      <c r="TJ9" s="7">
        <v>-2.9765932512275701</v>
      </c>
      <c r="TK9" s="7">
        <v>1.78678584725636</v>
      </c>
      <c r="TL9" s="7">
        <v>-0.61729983978130698</v>
      </c>
      <c r="TM9" s="7">
        <v>-0.222893725480106</v>
      </c>
      <c r="TN9" s="7">
        <v>-0.73000371430654698</v>
      </c>
      <c r="TO9" s="7">
        <v>1.1606759695443201</v>
      </c>
      <c r="TP9" s="7">
        <v>-1.35383721255588</v>
      </c>
      <c r="TQ9" s="7">
        <v>0.15001361447238201</v>
      </c>
      <c r="TR9" s="7">
        <v>0.71407595452052797</v>
      </c>
      <c r="TS9" s="7">
        <v>-1.3831661938891699</v>
      </c>
      <c r="TT9" s="7">
        <v>1.5095457872115701</v>
      </c>
      <c r="TU9" s="7">
        <v>-0.234215006369664</v>
      </c>
      <c r="TV9" s="7">
        <v>-0.60912241635033104</v>
      </c>
      <c r="TW9" s="7">
        <v>-0.40088881187023501</v>
      </c>
      <c r="TX9" s="7">
        <v>-1.87237322138916</v>
      </c>
      <c r="TY9" s="7">
        <v>0.29856838805059599</v>
      </c>
      <c r="TZ9" s="7">
        <v>-0.75033063688954305</v>
      </c>
      <c r="UA9" s="7">
        <v>-1.24564846269302</v>
      </c>
      <c r="UB9" s="7">
        <v>-1.01282112131641</v>
      </c>
      <c r="UC9" s="7">
        <v>-0.80864836907166504</v>
      </c>
      <c r="UD9" s="7">
        <v>-0.46524179642892</v>
      </c>
      <c r="UE9" s="7">
        <v>0.26069371581569301</v>
      </c>
      <c r="UF9" s="7">
        <v>2.2331920936535701</v>
      </c>
      <c r="UG9" s="7">
        <v>-2.6753624539431899E-2</v>
      </c>
      <c r="UH9" s="7">
        <v>8.5631449663524997E-2</v>
      </c>
      <c r="UI9" s="7">
        <v>-1.0924629350775199</v>
      </c>
      <c r="UJ9" s="7">
        <v>-1.9260498278687801</v>
      </c>
      <c r="UK9" s="7">
        <v>1.35601030387209E-2</v>
      </c>
      <c r="UL9" s="7">
        <v>-0.72935839315571704</v>
      </c>
      <c r="UM9" s="7">
        <v>-9.2162255588770295E-2</v>
      </c>
      <c r="UN9" s="7">
        <v>-0.49097246800559102</v>
      </c>
      <c r="UO9" s="7">
        <v>1.06064516658317</v>
      </c>
      <c r="UP9" s="7">
        <v>0.18891929126347901</v>
      </c>
      <c r="UQ9" s="7">
        <v>0.68602478337830197</v>
      </c>
      <c r="UR9" s="7">
        <v>0.918699094406497</v>
      </c>
      <c r="US9" s="7">
        <v>0.39606301629635798</v>
      </c>
      <c r="UT9" s="7">
        <v>-0.53000365346080203</v>
      </c>
      <c r="UU9" s="7">
        <v>-0.12800084114037799</v>
      </c>
      <c r="UV9" s="7">
        <v>-1.29447635376736</v>
      </c>
      <c r="UW9" s="7">
        <v>-0.153253619006643</v>
      </c>
      <c r="UX9" s="7">
        <v>0.69244786567664196</v>
      </c>
      <c r="UY9" s="7">
        <v>0.85230158308565895</v>
      </c>
      <c r="UZ9" s="7">
        <v>-9.8157319016373104E-2</v>
      </c>
      <c r="VA9" s="7">
        <v>1.4166190294588601</v>
      </c>
      <c r="VB9" s="7">
        <v>-1.2843736288274501</v>
      </c>
      <c r="VC9" s="7">
        <v>-0.44931038235508303</v>
      </c>
      <c r="VD9" s="7">
        <v>0.660157513978193</v>
      </c>
      <c r="VE9" s="7">
        <v>0.68915550301745798</v>
      </c>
      <c r="VF9" s="7">
        <v>0.81857585502805497</v>
      </c>
      <c r="VG9" s="7">
        <v>-0.18163825364688499</v>
      </c>
      <c r="VH9" s="7">
        <v>8.1269090236819302E-2</v>
      </c>
      <c r="VI9" s="7">
        <v>-0.35593089443835702</v>
      </c>
      <c r="VJ9" s="7">
        <v>0.371392003104283</v>
      </c>
      <c r="VK9" s="7">
        <v>-0.61941562991361598</v>
      </c>
      <c r="VL9" s="7">
        <v>0.32717585919382702</v>
      </c>
      <c r="VM9" s="7">
        <v>-0.97198462478692405</v>
      </c>
      <c r="VN9" s="7">
        <v>0.806227626440564</v>
      </c>
      <c r="VO9" s="7">
        <v>0.72854638528656301</v>
      </c>
      <c r="VP9" s="7">
        <v>-0.637942945517468</v>
      </c>
      <c r="VQ9" s="7">
        <v>5.53778052360408E-2</v>
      </c>
      <c r="VR9" s="7">
        <v>-0.53831903056706398</v>
      </c>
      <c r="VS9" s="7">
        <v>-2.30698596278418</v>
      </c>
      <c r="VT9" s="7">
        <v>-0.96919811541305201</v>
      </c>
      <c r="VU9" s="7">
        <v>-0.90861391735532204</v>
      </c>
      <c r="VV9" s="7">
        <v>-0.26796625335160801</v>
      </c>
      <c r="VW9" s="7">
        <v>1.4268208301619201</v>
      </c>
      <c r="VX9" s="7">
        <v>0.36817642920736299</v>
      </c>
      <c r="VY9" s="7">
        <v>0.70527912813999305</v>
      </c>
      <c r="VZ9" s="7">
        <v>-0.13024152366483299</v>
      </c>
      <c r="WA9" s="7">
        <v>0.224382504120057</v>
      </c>
      <c r="WB9" s="7">
        <v>-0.40410205795225002</v>
      </c>
      <c r="WC9" s="7">
        <v>0.36023473105202403</v>
      </c>
      <c r="WD9" s="7">
        <v>-0.55300450001213597</v>
      </c>
      <c r="WE9" s="7">
        <v>-0.70560274869766704</v>
      </c>
      <c r="WF9" s="7">
        <v>2.19918832901473</v>
      </c>
      <c r="WG9" s="7">
        <v>0.20840696370668901</v>
      </c>
      <c r="WH9" s="7">
        <v>0.80334045916893104</v>
      </c>
      <c r="WI9" s="7">
        <v>1.21308588387946</v>
      </c>
      <c r="WJ9" s="7">
        <v>0.41181481955884303</v>
      </c>
      <c r="WK9" s="7">
        <v>-1.91638688200589</v>
      </c>
      <c r="WL9" s="7">
        <v>1.5565461906935301</v>
      </c>
      <c r="WM9" s="7">
        <v>1.1254307921834801</v>
      </c>
      <c r="WN9" s="7">
        <v>-0.37658140422123199</v>
      </c>
      <c r="WO9" s="7">
        <v>-1.35846254647694</v>
      </c>
      <c r="WP9" s="7">
        <v>1.2168128004209899</v>
      </c>
      <c r="WQ9" s="7">
        <v>0.544448796024951</v>
      </c>
      <c r="WR9" s="7">
        <v>-0.12324431520232899</v>
      </c>
      <c r="WS9" s="7">
        <v>0.98059242212252695</v>
      </c>
      <c r="WT9" s="7">
        <v>-0.98032110088868796</v>
      </c>
      <c r="WU9" s="7">
        <v>-0.82960495646588195</v>
      </c>
      <c r="WV9" s="7">
        <v>-0.85663584883606803</v>
      </c>
      <c r="WW9" s="7">
        <v>0.79118350187332398</v>
      </c>
      <c r="WX9" s="7">
        <v>0.37858066652556399</v>
      </c>
      <c r="WY9" s="7">
        <v>0.80442592747435804</v>
      </c>
      <c r="WZ9" s="7">
        <v>1.42351455541913</v>
      </c>
      <c r="XA9" s="7">
        <v>-2.4551942352044702</v>
      </c>
      <c r="XB9" s="7">
        <v>-2.0195493232404398</v>
      </c>
      <c r="XC9" s="7">
        <v>0.68897415684791796</v>
      </c>
      <c r="XD9" s="7">
        <v>-0.18146496419850799</v>
      </c>
      <c r="XE9" s="7">
        <v>0.106112845125029</v>
      </c>
      <c r="XF9" s="7">
        <v>0.77950739333920105</v>
      </c>
      <c r="XG9" s="7">
        <v>-1.4720420521953601</v>
      </c>
      <c r="XH9" s="7">
        <v>-0.93239122025356103</v>
      </c>
      <c r="XI9" s="7">
        <v>1.7901976077787001</v>
      </c>
      <c r="XJ9" s="7">
        <v>5.0001143572985997E-2</v>
      </c>
      <c r="XK9" s="7">
        <v>-0.40271473237941702</v>
      </c>
      <c r="XL9" s="7">
        <v>0.53437301043534602</v>
      </c>
      <c r="XM9" s="7">
        <v>-1.44822008773281</v>
      </c>
      <c r="XN9" s="7">
        <v>0.81104513957925595</v>
      </c>
      <c r="XO9" s="7">
        <v>-5.0163160518022498E-2</v>
      </c>
      <c r="XP9" s="7">
        <v>-0.82416926200430596</v>
      </c>
      <c r="XQ9" s="7">
        <v>1.35566773209488</v>
      </c>
      <c r="XR9" s="7">
        <v>0.65357118505592204</v>
      </c>
      <c r="XS9" s="7">
        <v>1.54994266745478</v>
      </c>
      <c r="XT9" s="7">
        <v>1.03408184337508</v>
      </c>
      <c r="XU9" s="7">
        <v>-0.69314564349735996</v>
      </c>
      <c r="XV9" s="7">
        <v>-0.83039151375638398</v>
      </c>
      <c r="XW9" s="7">
        <v>-1.78050714900163</v>
      </c>
      <c r="XX9" s="7">
        <v>0.27569304622894603</v>
      </c>
      <c r="XY9" s="7">
        <v>0.65100799724153902</v>
      </c>
      <c r="XZ9" s="7">
        <v>-0.16643591058406601</v>
      </c>
      <c r="YA9" s="7">
        <v>0.14218607406533099</v>
      </c>
      <c r="YB9" s="7">
        <v>-0.60312050546368901</v>
      </c>
      <c r="YC9" s="7">
        <v>1.6432125181794801</v>
      </c>
      <c r="YD9" s="7">
        <v>-0.14837736593672601</v>
      </c>
      <c r="YE9" s="7">
        <v>-0.118970773642033</v>
      </c>
      <c r="YF9" s="7">
        <v>0.19421803843539101</v>
      </c>
      <c r="YG9" s="7">
        <v>0.67387049879859595</v>
      </c>
      <c r="YH9" s="7">
        <v>0.227495100201871</v>
      </c>
      <c r="YI9" s="7">
        <v>1.0258580863758999</v>
      </c>
      <c r="YJ9" s="7">
        <v>0.597698190200593</v>
      </c>
      <c r="YK9" s="7">
        <v>0.99310113368401598</v>
      </c>
      <c r="YL9" s="7">
        <v>0.63297581332948905</v>
      </c>
      <c r="YM9" s="7">
        <v>1.29268137072189</v>
      </c>
      <c r="YN9" s="7">
        <v>-1.6307829851139499</v>
      </c>
      <c r="YO9" s="7">
        <v>7.5387921588996501E-2</v>
      </c>
      <c r="YP9" s="7">
        <v>1.1707233337236</v>
      </c>
      <c r="YQ9" s="7">
        <v>-0.57782898585938902</v>
      </c>
      <c r="YR9" s="7">
        <v>-0.46946105222107798</v>
      </c>
      <c r="YS9" s="7">
        <v>1.0389983367853799</v>
      </c>
      <c r="YT9" s="7">
        <v>-0.12239021383809599</v>
      </c>
      <c r="YU9" s="7">
        <v>2.8770657898414398</v>
      </c>
      <c r="YV9" s="7">
        <v>1.89139317644196</v>
      </c>
      <c r="YW9" s="7">
        <v>0.38083568488820202</v>
      </c>
      <c r="YX9" s="7">
        <v>0.75092525215581496</v>
      </c>
      <c r="YY9" s="7">
        <v>0.76521258936651504</v>
      </c>
      <c r="YZ9" s="7">
        <v>-1.17529741573364</v>
      </c>
      <c r="ZA9" s="7">
        <v>-0.918567842993117</v>
      </c>
      <c r="ZB9" s="7">
        <v>1.06237141450615</v>
      </c>
      <c r="ZC9" s="7">
        <v>-0.446770968719788</v>
      </c>
      <c r="ZD9" s="7">
        <v>-0.77137260757360404</v>
      </c>
      <c r="ZE9" s="7">
        <v>-1.13741113744002</v>
      </c>
      <c r="ZF9" s="7">
        <v>-0.357473780439032</v>
      </c>
      <c r="ZG9" s="7">
        <v>-0.43780455517661498</v>
      </c>
      <c r="ZH9" s="7">
        <v>1.4398072828880399</v>
      </c>
      <c r="ZI9" s="7">
        <v>-0.91189131626971498</v>
      </c>
      <c r="ZJ9" s="7">
        <v>1.0788050911736999</v>
      </c>
      <c r="ZK9" s="7">
        <v>-0.27747528869127802</v>
      </c>
      <c r="ZL9" s="7">
        <v>0.15791705109304599</v>
      </c>
      <c r="ZM9" s="7">
        <v>0.236443442335589</v>
      </c>
      <c r="ZN9" s="7">
        <v>-2.8356777068498999</v>
      </c>
      <c r="ZO9" s="7">
        <v>1.0160493905932899</v>
      </c>
      <c r="ZP9" s="7">
        <v>-0.94523697186337896</v>
      </c>
      <c r="ZQ9" s="7">
        <v>4.2217680906311901E-2</v>
      </c>
      <c r="ZR9" s="7">
        <v>0.63692049587576205</v>
      </c>
      <c r="ZS9" s="7">
        <v>0.64164202264509296</v>
      </c>
      <c r="ZT9" s="7">
        <v>1.47340520997596</v>
      </c>
      <c r="ZU9" s="7">
        <v>1.6292403623489</v>
      </c>
      <c r="ZV9" s="7">
        <v>-7.6014118077209605E-2</v>
      </c>
      <c r="ZW9" s="7">
        <v>-0.15714666550595399</v>
      </c>
      <c r="ZX9" s="7">
        <v>0.51819087540839603</v>
      </c>
      <c r="ZY9" s="7">
        <v>-2.3963765943488601E-2</v>
      </c>
      <c r="ZZ9" s="7">
        <v>-0.13791893472633299</v>
      </c>
      <c r="AAA9" s="7">
        <v>-0.57977953082034195</v>
      </c>
      <c r="AAB9" s="7">
        <v>-0.59879967900693798</v>
      </c>
      <c r="AAC9" s="7">
        <v>0.75618023576962301</v>
      </c>
      <c r="AAD9" s="7">
        <v>-2.3113025255521902</v>
      </c>
      <c r="AAE9" s="7">
        <v>-1.1174331251337299</v>
      </c>
      <c r="AAF9" s="7">
        <v>-1.74070776091159</v>
      </c>
      <c r="AAG9" s="7">
        <v>-1.1462231167911801</v>
      </c>
      <c r="AAH9" s="7">
        <v>-0.32123006754699901</v>
      </c>
      <c r="AAI9" s="7">
        <v>-1.12041223070378</v>
      </c>
      <c r="AAJ9" s="7">
        <v>0.36241966549191501</v>
      </c>
      <c r="AAK9" s="7">
        <v>0.48209288637276598</v>
      </c>
      <c r="AAL9" s="7">
        <v>0.57574612329075003</v>
      </c>
      <c r="AAM9" s="7">
        <v>1.57252902821994</v>
      </c>
      <c r="AAN9" s="7">
        <v>1.6329821096638799</v>
      </c>
      <c r="AAO9" s="7">
        <v>1.06275457827065</v>
      </c>
      <c r="AAP9" s="7">
        <v>-0.11160169564326899</v>
      </c>
      <c r="AAQ9" s="7">
        <v>-1.24394955009441</v>
      </c>
      <c r="AAR9" s="7">
        <v>-1.72919348477822</v>
      </c>
      <c r="AAS9" s="7">
        <v>2.5436869112395102</v>
      </c>
      <c r="AAT9" s="7">
        <v>-5.8240552350066602E-2</v>
      </c>
      <c r="AAU9" s="7">
        <v>-0.26857841197855198</v>
      </c>
      <c r="AAV9" s="7">
        <v>1.96198307019283</v>
      </c>
      <c r="AAW9" s="7">
        <v>-1.1545849028486399</v>
      </c>
      <c r="AAX9" s="7">
        <v>0.27906263585285701</v>
      </c>
      <c r="AAY9" s="7">
        <v>-0.65321573521067799</v>
      </c>
      <c r="AAZ9" s="7">
        <v>2.2477761161443399</v>
      </c>
      <c r="ABA9" s="7">
        <v>0.63742964853041895</v>
      </c>
      <c r="ABB9" s="7">
        <v>-0.83408839746528696</v>
      </c>
      <c r="ABC9" s="7">
        <v>-0.60486774495423301</v>
      </c>
      <c r="ABD9" s="7">
        <v>0.31725573975900601</v>
      </c>
      <c r="ABE9" s="7">
        <v>-3.0434209121383E-3</v>
      </c>
      <c r="ABF9" s="7">
        <v>0.58571083659831302</v>
      </c>
      <c r="ABG9" s="7">
        <v>1.7361529547616601</v>
      </c>
      <c r="ABH9" s="7">
        <v>0.63341873845226204</v>
      </c>
      <c r="ABI9" s="7">
        <v>0.52979716445259895</v>
      </c>
      <c r="ABJ9" s="7">
        <v>-1.06047246937836</v>
      </c>
      <c r="ABK9" s="7">
        <v>-1.47788338903179</v>
      </c>
      <c r="ABL9" s="7">
        <v>-0.40960661611757399</v>
      </c>
      <c r="ABM9" s="7">
        <v>-0.69714223938787101</v>
      </c>
      <c r="ABN9" s="7">
        <v>-0.214508577091714</v>
      </c>
      <c r="ABO9" s="7">
        <v>-1.95636655108903</v>
      </c>
      <c r="ABP9" s="7">
        <v>0.75661317361581604</v>
      </c>
      <c r="ABQ9" s="7">
        <v>0.98860092753838902</v>
      </c>
      <c r="ABR9" s="7">
        <v>0.89382627171014195</v>
      </c>
      <c r="ABS9" s="7">
        <v>-1.2552847404927601</v>
      </c>
      <c r="ABT9" s="7">
        <v>-1.7363060637226799</v>
      </c>
      <c r="ABU9" s="7">
        <v>-0.32321137086294699</v>
      </c>
      <c r="ABV9" s="7">
        <v>-0.42678835037622298</v>
      </c>
      <c r="ABW9" s="7">
        <v>1.33326278451642E-2</v>
      </c>
      <c r="ABX9" s="7">
        <v>-0.47535481018526798</v>
      </c>
      <c r="ABY9" s="7">
        <v>1.4733266885023699</v>
      </c>
      <c r="ABZ9" s="7">
        <v>0.17450579895885199</v>
      </c>
      <c r="ACA9" s="7">
        <v>-0.12035848370581401</v>
      </c>
      <c r="ACB9" s="7">
        <v>-0.17006078407785</v>
      </c>
      <c r="ACC9" s="7">
        <v>1.9516419518778001</v>
      </c>
      <c r="ACD9" s="7">
        <v>-1.06666814663954</v>
      </c>
      <c r="ACE9" s="7">
        <v>-1.0689691390907301</v>
      </c>
      <c r="ACF9" s="7">
        <v>-1.46268757123502</v>
      </c>
      <c r="ACG9" s="7">
        <v>1.0300699767114101</v>
      </c>
      <c r="ACH9" s="7">
        <v>-2.31372658982127</v>
      </c>
      <c r="ACI9" s="7">
        <v>-0.94568734656711395</v>
      </c>
      <c r="ACJ9" s="7">
        <v>1.7502270203600001</v>
      </c>
      <c r="ACK9" s="7">
        <v>1.36850199688652</v>
      </c>
      <c r="ACL9" s="7">
        <v>-1.7141677015314799E-2</v>
      </c>
      <c r="ACM9" s="7">
        <v>-1.50479304788313</v>
      </c>
      <c r="ACN9" s="7">
        <v>0.40370837302631801</v>
      </c>
      <c r="ACO9" s="7">
        <v>-1.0137457332172699</v>
      </c>
      <c r="ACP9" s="7">
        <v>1.18860325157499</v>
      </c>
      <c r="ACQ9" s="7">
        <v>-0.33035578247312403</v>
      </c>
      <c r="ACR9" s="7">
        <v>-1.3414351638294999</v>
      </c>
      <c r="ACS9" s="7">
        <v>-1.3902293200590801</v>
      </c>
      <c r="ACT9" s="7">
        <v>1.04553513705851</v>
      </c>
      <c r="ACU9" s="7">
        <v>-1.8803728242162601</v>
      </c>
      <c r="ACV9" s="7">
        <v>-0.25425393312748601</v>
      </c>
      <c r="ACW9" s="7">
        <v>0.38449099101322598</v>
      </c>
      <c r="ACX9" s="7">
        <v>-0.70944028180268903</v>
      </c>
      <c r="ACY9" s="7">
        <v>0.50509085952981403</v>
      </c>
      <c r="ACZ9" s="7">
        <v>2.1235941285247102</v>
      </c>
      <c r="ADA9" s="7">
        <v>0.154769227218787</v>
      </c>
      <c r="ADB9" s="7">
        <v>0.29580520351408701</v>
      </c>
      <c r="ADC9" s="7">
        <v>6.9738347154889593E-2</v>
      </c>
      <c r="ADD9" s="7">
        <v>7.8104860215507596E-2</v>
      </c>
      <c r="ADE9" s="7">
        <v>1.50757142439332</v>
      </c>
      <c r="ADF9" s="7">
        <v>-0.61114610576781803</v>
      </c>
      <c r="ADG9" s="7">
        <v>0.83237957303488996</v>
      </c>
      <c r="ADH9" s="7">
        <v>0.57079041962812405</v>
      </c>
      <c r="ADI9" s="7">
        <v>0.63802084973818796</v>
      </c>
      <c r="ADJ9" s="7">
        <v>-0.28732624018439101</v>
      </c>
      <c r="ADK9" s="7">
        <v>-0.59104280016709798</v>
      </c>
      <c r="ADL9" s="7">
        <v>-0.86421528799513003</v>
      </c>
      <c r="ADM9" s="7">
        <v>-0.64145214032276798</v>
      </c>
      <c r="ADN9" s="7">
        <v>-3.6482751914754703E-2</v>
      </c>
      <c r="ADO9" s="7">
        <v>1.0684690826076999</v>
      </c>
      <c r="ADP9" s="7">
        <v>-1.0323011208146999</v>
      </c>
      <c r="ADQ9" s="7">
        <v>0.74207072402874696</v>
      </c>
      <c r="ADR9" s="7">
        <v>0.91502379714172499</v>
      </c>
      <c r="ADS9" s="7">
        <v>-0.28073603718065199</v>
      </c>
      <c r="ADT9" s="7">
        <v>-0.153723660066446</v>
      </c>
      <c r="ADU9" s="7">
        <v>1.6079164682046001</v>
      </c>
      <c r="ADV9" s="7">
        <v>0.49313246274497502</v>
      </c>
      <c r="ADW9" s="7">
        <v>0.52839302926879805</v>
      </c>
      <c r="ADX9" s="7">
        <v>-0.71848402568999603</v>
      </c>
      <c r="ADY9" s="7">
        <v>-1.1835628918185299</v>
      </c>
      <c r="ADZ9" s="7">
        <v>-0.76986360888239702</v>
      </c>
      <c r="AEA9" s="7">
        <v>-1.97718628803609</v>
      </c>
      <c r="AEB9" s="7">
        <v>-1.5637959261605401</v>
      </c>
      <c r="AEC9" s="7">
        <v>-1.0634966564218999</v>
      </c>
      <c r="AED9" s="7">
        <v>-0.78816871773825603</v>
      </c>
      <c r="AEE9" s="7">
        <v>-0.61698133992559101</v>
      </c>
      <c r="AEF9" s="7">
        <v>-0.73280767550205805</v>
      </c>
      <c r="AEG9" s="7">
        <v>0.42464285907044602</v>
      </c>
      <c r="AEH9" s="7">
        <v>0.97565344844269297</v>
      </c>
      <c r="AEI9" s="7">
        <v>0.92336424777748705</v>
      </c>
      <c r="AEJ9" s="7">
        <v>2.7039695858103001E-3</v>
      </c>
      <c r="AEK9" s="7">
        <v>-0.86642158013126203</v>
      </c>
      <c r="AEL9" s="7">
        <v>-0.81085067220422202</v>
      </c>
      <c r="AEM9" s="7">
        <v>-1.1932125302288099</v>
      </c>
      <c r="AEN9" s="7">
        <v>-0.170191248505771</v>
      </c>
      <c r="AEO9" s="7">
        <v>0.90465266829548396</v>
      </c>
      <c r="AEP9" s="7">
        <v>-0.55366069410818197</v>
      </c>
      <c r="AEQ9" s="7">
        <v>-0.66162230621711604</v>
      </c>
      <c r="AER9" s="7">
        <v>0.78721249456858999</v>
      </c>
      <c r="AES9" s="7">
        <v>0.32405146001933299</v>
      </c>
      <c r="AET9" s="7">
        <v>2.30344460997657</v>
      </c>
      <c r="AEU9" s="7">
        <v>-0.57839994037784004</v>
      </c>
      <c r="AEV9" s="7">
        <v>1.66772257229087</v>
      </c>
      <c r="AEW9" s="7">
        <v>-1.8191556796741799</v>
      </c>
      <c r="AEX9" s="7">
        <v>-0.39505461890054999</v>
      </c>
      <c r="AEY9" s="7">
        <v>2.0952208110531001</v>
      </c>
      <c r="AEZ9" s="7">
        <v>0.17283345656434301</v>
      </c>
      <c r="AFA9" s="7">
        <v>-0.17299546979035599</v>
      </c>
      <c r="AFB9" s="7">
        <v>0.76959604777574098</v>
      </c>
      <c r="AFC9" s="7">
        <v>-0.72022143596959998</v>
      </c>
      <c r="AFD9" s="7">
        <v>0.15967421026898501</v>
      </c>
      <c r="AFE9" s="7">
        <v>-0.24852414935120201</v>
      </c>
      <c r="AFF9" s="7">
        <v>0.33710151138282002</v>
      </c>
      <c r="AFG9" s="7">
        <v>-0.35607797424878501</v>
      </c>
      <c r="AFH9" s="7">
        <v>0.15411951123356901</v>
      </c>
      <c r="AFI9" s="7">
        <v>1.4410300308481101</v>
      </c>
      <c r="AFJ9" s="7">
        <v>-2.95428981955452E-2</v>
      </c>
      <c r="AFK9" s="7">
        <v>0.57156733690740102</v>
      </c>
      <c r="AFL9" s="7">
        <v>-1.2266151363823901</v>
      </c>
      <c r="AFM9" s="7">
        <v>0.11560427869246501</v>
      </c>
      <c r="AFN9" s="7">
        <v>-0.47102082331327899</v>
      </c>
      <c r="AFO9" s="7">
        <v>-0.688624210524998</v>
      </c>
      <c r="AFP9" s="7">
        <v>-0.42124251476465202</v>
      </c>
      <c r="AFQ9" s="7">
        <v>-1.2019474553024401</v>
      </c>
      <c r="AFR9" s="7">
        <v>0.219730666440561</v>
      </c>
      <c r="AFS9" s="7">
        <v>-0.182267730154866</v>
      </c>
      <c r="AFT9" s="7">
        <v>1.9336471400773101</v>
      </c>
      <c r="AFU9" s="7">
        <v>2.08873716655422E-2</v>
      </c>
      <c r="AFV9" s="7">
        <v>0.22870101550129601</v>
      </c>
      <c r="AFW9" s="7">
        <v>0.95892744858141599</v>
      </c>
      <c r="AFX9" s="7">
        <v>0.62007971521707905</v>
      </c>
      <c r="AFY9" s="7">
        <v>-0.247939615294064</v>
      </c>
      <c r="AFZ9" s="7">
        <v>-0.64198574988269097</v>
      </c>
      <c r="AGA9" s="7">
        <v>2.6594227014782801</v>
      </c>
      <c r="AGB9" s="7">
        <v>-0.33567537410537601</v>
      </c>
      <c r="AGC9" s="7">
        <v>-1.2584414388537599</v>
      </c>
      <c r="AGD9" s="7">
        <v>-1.33873098375427</v>
      </c>
      <c r="AGE9" s="7">
        <v>-4.16057717065954E-2</v>
      </c>
      <c r="AGF9" s="7">
        <v>1.03727924368664</v>
      </c>
      <c r="AGG9" s="7">
        <v>-0.119879089403765</v>
      </c>
      <c r="AGH9" s="7">
        <v>0.64100154127245002</v>
      </c>
      <c r="AGI9" s="7">
        <v>-1.71604185852211</v>
      </c>
      <c r="AGJ9" s="7">
        <v>0.34628283327193399</v>
      </c>
      <c r="AGK9" s="7">
        <v>1.2074638977165699</v>
      </c>
      <c r="AGL9" s="7">
        <v>0.45726948320369198</v>
      </c>
      <c r="AGM9" s="7">
        <v>0.101198492033065</v>
      </c>
      <c r="AGN9" s="7">
        <v>-0.97198623593181799</v>
      </c>
      <c r="AGO9" s="7">
        <v>0.58636594701629896</v>
      </c>
      <c r="AGP9" s="7">
        <v>-1.1801542355149</v>
      </c>
      <c r="AGQ9" s="7">
        <v>-0.426531830828764</v>
      </c>
      <c r="AGR9" s="7">
        <v>-1.62026017853358</v>
      </c>
      <c r="AGS9" s="7">
        <v>1.4830644046944499</v>
      </c>
      <c r="AGT9" s="7">
        <v>-0.97175430032409904</v>
      </c>
      <c r="AGU9" s="7">
        <v>0.35403369333993701</v>
      </c>
      <c r="AGV9" s="7">
        <v>0.54212025271402897</v>
      </c>
      <c r="AGW9" s="7">
        <v>1.6859882323025099</v>
      </c>
      <c r="AGX9" s="7">
        <v>-0.52474766720682797</v>
      </c>
      <c r="AGY9" s="7">
        <v>-2.7205102876118201</v>
      </c>
      <c r="AGZ9" s="7">
        <v>0.72774396873568004</v>
      </c>
      <c r="AHA9" s="7">
        <v>-0.372110593855417</v>
      </c>
      <c r="AHB9" s="7">
        <v>0.62599140671720899</v>
      </c>
      <c r="AHC9" s="7">
        <v>-0.33054959948574503</v>
      </c>
      <c r="AHD9" s="7">
        <v>0.330016302551421</v>
      </c>
      <c r="AHE9" s="7">
        <v>-1.30568542113131</v>
      </c>
      <c r="AHF9" s="7">
        <v>0.30424189605961299</v>
      </c>
      <c r="AHG9" s="7">
        <v>0.57539143704954998</v>
      </c>
      <c r="AHH9" s="7">
        <v>-0.17026311698399499</v>
      </c>
      <c r="AHI9" s="7">
        <v>-8.6602741013337606E-2</v>
      </c>
      <c r="AHJ9" s="7">
        <v>1.41786375648652</v>
      </c>
      <c r="AHK9" s="7">
        <v>-0.234273205225211</v>
      </c>
      <c r="AHL9" s="7">
        <v>-2.1650599232696899</v>
      </c>
      <c r="AHM9" s="7">
        <v>0.39178184256434101</v>
      </c>
      <c r="AHN9" s="7">
        <v>-0.27886789498571901</v>
      </c>
      <c r="AHO9" s="7">
        <v>0.99283445125869896</v>
      </c>
      <c r="AHP9" s="7">
        <v>-0.80935536190575696</v>
      </c>
      <c r="AHQ9" s="7">
        <v>-0.44256593717180298</v>
      </c>
      <c r="AHR9" s="7">
        <v>-1.88407864960858</v>
      </c>
      <c r="AHS9" s="7">
        <v>0.66124705978512299</v>
      </c>
      <c r="AHT9" s="7">
        <v>-0.59977430295928102</v>
      </c>
      <c r="AHU9" s="7">
        <v>0.44329125435864097</v>
      </c>
      <c r="AHV9" s="7">
        <v>-0.28989081276849299</v>
      </c>
      <c r="AHW9" s="7">
        <v>0.27414951893832601</v>
      </c>
      <c r="AHX9" s="7">
        <v>-1.2797432590143301</v>
      </c>
      <c r="AHY9" s="7">
        <v>2.0290817096207399E-2</v>
      </c>
      <c r="AHZ9" s="7">
        <v>0.16813753275493501</v>
      </c>
      <c r="AIA9" s="7">
        <v>-0.51934636247330201</v>
      </c>
      <c r="AIB9" s="7">
        <v>-1.51342351132571</v>
      </c>
      <c r="AIC9" s="7">
        <v>0.70072306839739595</v>
      </c>
      <c r="AID9" s="7">
        <v>0.46713511130468999</v>
      </c>
      <c r="AIE9" s="7">
        <v>-0.52445213707207505</v>
      </c>
      <c r="AIF9" s="7">
        <v>1.2116737485051201</v>
      </c>
      <c r="AIG9" s="7">
        <v>-0.38728357264451901</v>
      </c>
      <c r="AIH9" s="7">
        <v>-0.64057923389653304</v>
      </c>
      <c r="AII9" s="7">
        <v>0.227266844517334</v>
      </c>
      <c r="AIJ9" s="7">
        <v>0.11857052646618001</v>
      </c>
      <c r="AIK9" s="7">
        <v>-0.50803914907205805</v>
      </c>
      <c r="AIL9" s="7">
        <v>1.9105876150018899</v>
      </c>
      <c r="AIM9" s="7">
        <v>-0.31969740602323798</v>
      </c>
      <c r="AIN9" s="7">
        <v>-1.03871426543565</v>
      </c>
      <c r="AIO9" s="7">
        <v>6.6504145010477494E-2</v>
      </c>
      <c r="AIP9" s="7">
        <v>1.89496895972017</v>
      </c>
      <c r="AIQ9" s="7">
        <v>0.52788523873933801</v>
      </c>
      <c r="AIR9" s="7">
        <v>-2.4089973760082302</v>
      </c>
      <c r="AIS9" s="7">
        <v>-0.20091143994678301</v>
      </c>
      <c r="AIT9" s="7">
        <v>1.14428157450903</v>
      </c>
      <c r="AIU9" s="7">
        <v>0.687005661062703</v>
      </c>
      <c r="AIV9" s="7">
        <v>0.28390107079280902</v>
      </c>
      <c r="AIW9" s="7">
        <v>0.79924736813340302</v>
      </c>
      <c r="AIX9" s="7">
        <v>-0.43372347401648897</v>
      </c>
      <c r="AIY9" s="7">
        <v>1.36484367216902</v>
      </c>
      <c r="AIZ9" s="7">
        <v>0.49020947905746698</v>
      </c>
      <c r="AJA9" s="7">
        <v>-0.305141547425124</v>
      </c>
      <c r="AJB9" s="7">
        <v>-8.0542182652567407E-2</v>
      </c>
      <c r="AJC9" s="7">
        <v>-0.80990389205535396</v>
      </c>
      <c r="AJD9" s="7">
        <v>1.1254797857908301</v>
      </c>
      <c r="AJE9" s="7">
        <v>-0.57701569943627795</v>
      </c>
      <c r="AJF9" s="7">
        <v>1.26724144500167</v>
      </c>
      <c r="AJG9" s="7">
        <v>1.29554244629333</v>
      </c>
      <c r="AJH9" s="7">
        <v>0.26497567514001602</v>
      </c>
      <c r="AJI9" s="7">
        <v>0.365345624254162</v>
      </c>
      <c r="AJJ9" s="7">
        <v>-0.67494658990785195</v>
      </c>
      <c r="AJK9" s="7">
        <v>-1.8184771279284599</v>
      </c>
      <c r="AJL9" s="7">
        <v>-0.31798836806082098</v>
      </c>
      <c r="AJM9" s="7">
        <v>0.20447587310443199</v>
      </c>
      <c r="AJN9" s="7">
        <v>-0.57147306689310895</v>
      </c>
      <c r="AJO9" s="7">
        <v>-0.33260976256507802</v>
      </c>
      <c r="AJP9" s="7">
        <v>-1.41283293930461</v>
      </c>
      <c r="AJQ9" s="7">
        <v>4.498796751939E-2</v>
      </c>
      <c r="AJR9" s="7">
        <v>-5.1007390321748999E-3</v>
      </c>
      <c r="AJS9" s="7">
        <v>-1.5761295111231499</v>
      </c>
      <c r="AJT9" s="7">
        <v>0.212125771535212</v>
      </c>
      <c r="AJU9" s="7">
        <v>1.8175010482787299</v>
      </c>
      <c r="AJV9" s="7">
        <v>-0.80091018308622397</v>
      </c>
      <c r="AJW9" s="7">
        <v>-8.8704025402747896E-2</v>
      </c>
      <c r="AJX9" s="7">
        <v>-1.05443435158877</v>
      </c>
      <c r="AJY9" s="7">
        <v>0.43985574054654802</v>
      </c>
      <c r="AJZ9" s="7">
        <v>-0.302799747181697</v>
      </c>
      <c r="AKA9" s="7">
        <v>-1.54274459259087</v>
      </c>
      <c r="AKB9" s="7">
        <v>0.68832541596965302</v>
      </c>
      <c r="AKC9" s="7">
        <v>-0.11675165912041401</v>
      </c>
      <c r="AKD9" s="7">
        <v>0.40369401107108499</v>
      </c>
      <c r="AKE9" s="7">
        <v>1.5331453498951699</v>
      </c>
      <c r="AKF9" s="7">
        <v>0.157235861945552</v>
      </c>
      <c r="AKG9" s="7">
        <v>0.97439083805704896</v>
      </c>
      <c r="AKH9" s="7">
        <v>0.95263737570554197</v>
      </c>
      <c r="AKI9" s="7">
        <v>0.65864249752333104</v>
      </c>
      <c r="AKJ9" s="7">
        <v>0.52045652729840497</v>
      </c>
      <c r="AKK9" s="7">
        <v>8.9989345171423707E-2</v>
      </c>
      <c r="AKL9" s="7">
        <v>0.90073920576472399</v>
      </c>
      <c r="AKM9" s="7">
        <v>-0.64169602222531097</v>
      </c>
      <c r="AKN9" s="7">
        <v>-1.37723645054679</v>
      </c>
      <c r="AKO9" s="7">
        <v>-0.32042380464647502</v>
      </c>
      <c r="AKP9" s="7">
        <v>0.73532562769175902</v>
      </c>
      <c r="AKQ9" s="7">
        <v>1.2383220875427901</v>
      </c>
      <c r="AKR9" s="7">
        <v>-1.29501972663036</v>
      </c>
      <c r="AKS9" s="7">
        <v>-0.80990115930773399</v>
      </c>
      <c r="AKT9" s="7">
        <v>1.30707969305747</v>
      </c>
      <c r="AKU9" s="7">
        <v>-0.73537861246181102</v>
      </c>
      <c r="AKV9" s="7">
        <v>1.09277083673115E-2</v>
      </c>
      <c r="AKW9" s="7">
        <v>0.40602874175825299</v>
      </c>
      <c r="AKX9" s="7">
        <v>-0.264003728808889</v>
      </c>
      <c r="AKY9" s="7">
        <v>-0.56160765518398204</v>
      </c>
      <c r="AKZ9" s="7">
        <v>-0.433555370690479</v>
      </c>
      <c r="ALA9" s="7">
        <v>-0.56803431855584696</v>
      </c>
      <c r="ALB9" s="7">
        <v>0.69873018587388702</v>
      </c>
      <c r="ALC9" s="7">
        <v>0.16427981036421299</v>
      </c>
      <c r="ALD9" s="7">
        <v>-0.41847443727550498</v>
      </c>
      <c r="ALE9" s="7">
        <v>7.6880718172732093E-2</v>
      </c>
      <c r="ALF9" s="7">
        <v>-1.32019246488988</v>
      </c>
      <c r="ALG9" s="7">
        <v>-0.96787610152890902</v>
      </c>
      <c r="ALH9" s="7">
        <v>-0.56257140131426497</v>
      </c>
      <c r="ALI9" s="7">
        <v>1.29615163875728</v>
      </c>
      <c r="ALJ9" s="7">
        <v>0.30350016313594202</v>
      </c>
      <c r="ALK9" s="7">
        <v>4.2180068935224399E-2</v>
      </c>
      <c r="ALL9" s="7">
        <v>0.11891413968441</v>
      </c>
      <c r="ALM9" s="7">
        <v>1.48850637220696</v>
      </c>
      <c r="ALN9" s="7">
        <v>0.76024156622255301</v>
      </c>
      <c r="ALO9" s="7">
        <v>1.3209169816850299</v>
      </c>
      <c r="ALP9" s="7">
        <v>0.71872247453368998</v>
      </c>
      <c r="ALQ9" s="7">
        <v>0.86251316291160995</v>
      </c>
      <c r="ALR9" s="7">
        <v>0.44557156032628298</v>
      </c>
      <c r="ALS9" s="7">
        <v>-0.63041426395142097</v>
      </c>
      <c r="ALT9" s="7">
        <v>-0.116961663587315</v>
      </c>
      <c r="ALU9" s="7">
        <v>0.498811464237921</v>
      </c>
      <c r="ALV9" s="7">
        <v>-1.7048616397265299</v>
      </c>
      <c r="ALW9" s="7">
        <v>0.89705866405508405</v>
      </c>
      <c r="ALX9" s="7">
        <v>-0.87745067871840099</v>
      </c>
      <c r="ALY9" s="7">
        <v>1.16189561650559</v>
      </c>
      <c r="ALZ9" s="7">
        <v>-0.54971764973256398</v>
      </c>
      <c r="AMA9" s="7">
        <v>-1.4584350789135401</v>
      </c>
      <c r="AMB9" s="7">
        <v>-0.54022081879309802</v>
      </c>
      <c r="AMC9" s="7">
        <v>0.10850716765191901</v>
      </c>
      <c r="AMD9" s="7">
        <v>1.0900295433576801</v>
      </c>
      <c r="AME9" s="7">
        <v>0.62796738847237599</v>
      </c>
      <c r="AMF9" s="7">
        <v>-0.78798181341889695</v>
      </c>
      <c r="AMG9" s="7">
        <v>-0.27478560635570398</v>
      </c>
      <c r="AMH9" s="7">
        <v>0.39307892345185103</v>
      </c>
      <c r="AMI9" s="7">
        <v>-1.0102094153654499</v>
      </c>
      <c r="AMJ9" s="7">
        <v>1.04155572791059</v>
      </c>
      <c r="AMK9" s="7">
        <v>-0.19522965339346601</v>
      </c>
      <c r="AML9" s="7">
        <v>1.39770815868387</v>
      </c>
      <c r="AMM9" s="7">
        <v>0.435654663719865</v>
      </c>
      <c r="AMN9" s="7">
        <v>-1.31108295299759</v>
      </c>
      <c r="AMO9" s="7">
        <v>-0.74981792819561899</v>
      </c>
      <c r="AMP9" s="7">
        <v>0.178052173255452</v>
      </c>
      <c r="AMQ9" s="7">
        <v>1.4701252548645301</v>
      </c>
      <c r="AMR9" s="7">
        <v>0.86438912856744199</v>
      </c>
      <c r="AMS9" s="7">
        <v>1.06561284752445</v>
      </c>
      <c r="AMT9" s="7">
        <v>-6.3011245620977693E-2</v>
      </c>
      <c r="AMU9" s="7">
        <v>0.73244692043269299</v>
      </c>
      <c r="AMV9" s="7">
        <v>1.64911075771461</v>
      </c>
      <c r="AMW9" s="7">
        <v>-0.34079535084221302</v>
      </c>
      <c r="AMX9" s="7">
        <v>-0.74790024819452505</v>
      </c>
      <c r="AMY9" s="7">
        <v>-1.12229694185108</v>
      </c>
      <c r="AMZ9" s="7">
        <v>0.40850839114330401</v>
      </c>
      <c r="ANA9" s="7">
        <v>0.70557937877579602</v>
      </c>
      <c r="ANB9" s="7">
        <v>0.56574014379394999</v>
      </c>
      <c r="ANC9" s="7">
        <v>0.19859951852079899</v>
      </c>
      <c r="AND9" s="7">
        <v>-1.4678794317692301</v>
      </c>
      <c r="ANE9" s="7">
        <v>0.63457561846639199</v>
      </c>
      <c r="ANF9" s="7">
        <v>0.60978598470733703</v>
      </c>
      <c r="ANG9" s="7">
        <v>0.18718279083853101</v>
      </c>
      <c r="ANH9" s="7">
        <v>-1.7199856355882901</v>
      </c>
      <c r="ANI9" s="7">
        <v>1.5117185129122801</v>
      </c>
      <c r="ANJ9" s="7">
        <v>1.4455427242736401</v>
      </c>
      <c r="ANK9" s="7">
        <v>0.91120234344999096</v>
      </c>
      <c r="ANL9" s="7">
        <v>-0.34677475882755998</v>
      </c>
      <c r="ANM9" s="7">
        <v>0.38806840950690802</v>
      </c>
      <c r="ANN9" s="7">
        <v>1.5296545802841599</v>
      </c>
      <c r="ANO9" s="7">
        <v>1.15151941544207</v>
      </c>
      <c r="ANP9" s="7">
        <v>-1.6104013297261099</v>
      </c>
      <c r="ANQ9" s="7">
        <v>-8.8626644664232201E-2</v>
      </c>
      <c r="ANR9" s="7">
        <v>0.81769760365099398</v>
      </c>
      <c r="ANS9" s="7">
        <v>-0.39964621706093001</v>
      </c>
      <c r="ANT9" s="7">
        <v>-0.12849943232470101</v>
      </c>
      <c r="ANU9" s="7">
        <v>-0.88678094384071304</v>
      </c>
      <c r="ANV9" s="7">
        <v>0.77629974438725102</v>
      </c>
      <c r="ANW9" s="7">
        <v>0.952201751106169</v>
      </c>
      <c r="ANX9" s="7">
        <v>-1.33725289052819</v>
      </c>
      <c r="ANY9" s="7">
        <v>-1.33157619196938</v>
      </c>
      <c r="ANZ9" s="7">
        <v>-1.59261590769323</v>
      </c>
      <c r="AOA9" s="7">
        <v>-0.46990578349583401</v>
      </c>
      <c r="AOB9" s="7">
        <v>0.41108218995845203</v>
      </c>
      <c r="AOC9" s="7">
        <v>-0.40796594419128401</v>
      </c>
      <c r="AOD9" s="7">
        <v>0.206730210163035</v>
      </c>
      <c r="AOE9" s="7">
        <v>0.37929538444320798</v>
      </c>
      <c r="AOF9" s="7">
        <v>-0.17438106779052401</v>
      </c>
      <c r="AOG9" s="7">
        <v>-1.3803445487527199</v>
      </c>
      <c r="AOH9" s="7">
        <v>-1.42061946633197</v>
      </c>
      <c r="AOI9" s="7">
        <v>-1.4099456012668301</v>
      </c>
      <c r="AOJ9" s="7">
        <v>0.12457708404741601</v>
      </c>
      <c r="AOK9" s="7">
        <v>0.54700203356017696</v>
      </c>
      <c r="AOL9" s="7">
        <v>-0.63840860974131897</v>
      </c>
      <c r="AOM9" s="7">
        <v>1.4623795487289299</v>
      </c>
      <c r="AON9" s="7">
        <v>-5.51508100239822E-2</v>
      </c>
      <c r="AOO9" s="7">
        <v>3.1322291939020502E-2</v>
      </c>
      <c r="AOP9" s="7">
        <v>0.83806144997160603</v>
      </c>
      <c r="AOQ9" s="7">
        <v>-0.87283390473994904</v>
      </c>
      <c r="AOR9" s="7">
        <v>-0.78945200638702995</v>
      </c>
      <c r="AOS9" s="7">
        <v>1.3562393077141699</v>
      </c>
      <c r="AOT9" s="7">
        <v>0.62242998591283305</v>
      </c>
      <c r="AOU9" s="7">
        <v>0.52031395204384601</v>
      </c>
      <c r="AOV9" s="7">
        <v>0.302827668427956</v>
      </c>
      <c r="AOW9" s="7">
        <v>0.13582606970005401</v>
      </c>
      <c r="AOX9" s="7">
        <v>0.65688154908540497</v>
      </c>
      <c r="AOY9" s="7">
        <v>0.82929797401583205</v>
      </c>
      <c r="AOZ9" s="7">
        <v>1.5382581696983599</v>
      </c>
      <c r="APA9" s="7">
        <v>-1.5009854719757301</v>
      </c>
      <c r="APB9" s="7">
        <v>0.17661193075942699</v>
      </c>
      <c r="APC9" s="7">
        <v>-1.4443549594409899</v>
      </c>
      <c r="APD9" s="7">
        <v>-2.3204509699148401</v>
      </c>
      <c r="APE9" s="7">
        <v>0.37279738709454702</v>
      </c>
      <c r="APF9" s="7">
        <v>0.106682084342828</v>
      </c>
      <c r="APG9" s="7">
        <v>-2.0262849056051899</v>
      </c>
      <c r="APH9" s="7">
        <v>1.22861932675316</v>
      </c>
      <c r="API9" s="7">
        <v>0.78347152614221705</v>
      </c>
      <c r="APJ9" s="7">
        <v>0.97015121852342801</v>
      </c>
      <c r="APK9" s="7">
        <v>1.21642210674151</v>
      </c>
      <c r="APL9" s="7">
        <v>-0.82202876706140604</v>
      </c>
      <c r="APM9" s="7">
        <v>0.34783484418175997</v>
      </c>
      <c r="APN9" s="7">
        <v>-0.37560417120052503</v>
      </c>
      <c r="APO9" s="7">
        <v>0.76815870961211796</v>
      </c>
      <c r="APP9" s="7">
        <v>0.93344868333719999</v>
      </c>
      <c r="APQ9" s="7">
        <v>0.51434372899866398</v>
      </c>
      <c r="APR9" s="7">
        <v>0.12874386559707901</v>
      </c>
      <c r="APS9" s="7">
        <v>1.03729866071204</v>
      </c>
      <c r="APT9" s="7">
        <v>-1.0834222378231799</v>
      </c>
      <c r="APU9" s="7">
        <v>1.4843239594334201</v>
      </c>
      <c r="APV9" s="7">
        <v>1.1373901196125</v>
      </c>
      <c r="APW9" s="7">
        <v>-8.4005799873973205E-2</v>
      </c>
      <c r="APX9" s="7">
        <v>-0.383202635308035</v>
      </c>
      <c r="APY9" s="7">
        <v>-1.88645541982461</v>
      </c>
      <c r="APZ9" s="7">
        <v>8.0682624162122601E-2</v>
      </c>
      <c r="AQA9" s="7">
        <v>-1.1103005883129899</v>
      </c>
      <c r="AQB9" s="7">
        <v>-0.29361265045725599</v>
      </c>
      <c r="AQC9" s="7">
        <v>4.8960372338991601E-2</v>
      </c>
      <c r="AQD9" s="7">
        <v>-0.44734814743990498</v>
      </c>
      <c r="AQE9" s="7">
        <v>0.275220444182391</v>
      </c>
      <c r="AQF9" s="7">
        <v>9.0202337201781196E-2</v>
      </c>
      <c r="AQG9" s="7">
        <v>-0.124573525240693</v>
      </c>
      <c r="AQH9" s="7">
        <v>0.60278133035332804</v>
      </c>
      <c r="AQI9" s="7">
        <v>-0.91445052771916002</v>
      </c>
      <c r="AQJ9" s="7">
        <v>-0.33617079803767003</v>
      </c>
      <c r="AQK9" s="7">
        <v>-0.489009494584072</v>
      </c>
      <c r="AQL9" s="7">
        <v>-0.59347919291108098</v>
      </c>
      <c r="AQM9" s="7">
        <v>-0.54636227502892998</v>
      </c>
      <c r="AQN9" s="7">
        <v>0.85445689976130101</v>
      </c>
      <c r="AQO9" s="7">
        <v>1.1599384133420401</v>
      </c>
      <c r="AQP9" s="7">
        <v>0.11274264811401501</v>
      </c>
      <c r="AQQ9" s="7">
        <v>-0.34600999803004401</v>
      </c>
      <c r="AQR9" s="7">
        <v>-8.9743320238644994E-2</v>
      </c>
      <c r="AQS9" s="7">
        <v>-2.8341477046658299</v>
      </c>
      <c r="AQT9" s="7">
        <v>-0.116039027425392</v>
      </c>
      <c r="AQU9" s="7">
        <v>-0.42130939595163602</v>
      </c>
      <c r="AQV9" s="7">
        <v>-1.49417966073326</v>
      </c>
      <c r="AQW9" s="7">
        <v>-0.26652667066941099</v>
      </c>
      <c r="AQX9" s="7">
        <v>3.0810640178687998</v>
      </c>
      <c r="AQY9" s="7">
        <v>-0.470498280532957</v>
      </c>
      <c r="AQZ9" s="7">
        <v>1.54638614590906</v>
      </c>
      <c r="ARA9" s="7">
        <v>0.60131160677664197</v>
      </c>
      <c r="ARB9" s="7">
        <v>0.39005046016464801</v>
      </c>
      <c r="ARC9" s="7">
        <v>-0.95577497186302196</v>
      </c>
      <c r="ARD9" s="7">
        <v>-2.4635356265468999</v>
      </c>
      <c r="ARE9" s="7">
        <v>0.84163843028874696</v>
      </c>
      <c r="ARF9" s="7">
        <v>-1.5286239891133799</v>
      </c>
      <c r="ARG9" s="7">
        <v>-0.39035018820591599</v>
      </c>
      <c r="ARH9" s="7">
        <v>2.17455891730213</v>
      </c>
      <c r="ARI9" s="7">
        <v>0.60013548950514095</v>
      </c>
      <c r="ARJ9" s="7">
        <v>-0.83707936844372899</v>
      </c>
      <c r="ARK9" s="7">
        <v>-0.56577742643714002</v>
      </c>
      <c r="ARL9" s="7">
        <v>0.60873583377566198</v>
      </c>
      <c r="ARM9" s="7">
        <v>0.13459965297017501</v>
      </c>
      <c r="ARN9" s="7">
        <v>2.71083014890961</v>
      </c>
      <c r="ARO9" s="7">
        <v>0.17499993735522901</v>
      </c>
      <c r="ARP9" s="7">
        <v>1.6907354438738201E-2</v>
      </c>
      <c r="ARQ9" s="7">
        <v>0.35648329572549198</v>
      </c>
      <c r="ARR9" s="7">
        <v>-1.6285396058104999</v>
      </c>
      <c r="ARS9" s="7">
        <v>1.4601704981310999</v>
      </c>
      <c r="ART9" s="7">
        <v>0.101243352866696</v>
      </c>
      <c r="ARU9" s="7">
        <v>-0.92907713065097497</v>
      </c>
      <c r="ARV9" s="7">
        <v>-1.94747449656914</v>
      </c>
      <c r="ARW9" s="7">
        <v>-9.5063628078349005E-2</v>
      </c>
      <c r="ARX9" s="7">
        <v>-0.55926293832042595</v>
      </c>
      <c r="ARY9" s="7">
        <v>0.33196767984109099</v>
      </c>
      <c r="ARZ9" s="7">
        <v>1.37063309740586</v>
      </c>
      <c r="ASA9" s="7">
        <v>0.49885338844341798</v>
      </c>
      <c r="ASB9" s="7">
        <v>1.0914808304346499</v>
      </c>
      <c r="ASC9" s="7">
        <v>-0.77069512764336101</v>
      </c>
      <c r="ASD9" s="7">
        <v>0.29877241022835999</v>
      </c>
      <c r="ASE9" s="7">
        <v>1.2590870881135301</v>
      </c>
      <c r="ASF9" s="7">
        <v>1.9350819714818699</v>
      </c>
      <c r="ASG9" s="7">
        <v>-1.0527515142901001</v>
      </c>
      <c r="ASH9" s="7">
        <v>0.45252669167418502</v>
      </c>
      <c r="ASI9" s="7">
        <v>-0.29542468946643402</v>
      </c>
      <c r="ASJ9" s="7">
        <v>-0.96396846997280405</v>
      </c>
      <c r="ASK9" s="7">
        <v>0.67420129911429105</v>
      </c>
      <c r="ASL9" s="7">
        <v>-0.68120531969118303</v>
      </c>
      <c r="ASM9" s="7">
        <v>0.13252956001426999</v>
      </c>
      <c r="ASN9" s="7">
        <v>-1.19249127887019</v>
      </c>
      <c r="ASO9" s="7">
        <v>-6.8881717366159195E-2</v>
      </c>
      <c r="ASP9" s="7">
        <v>0.44970044553381999</v>
      </c>
      <c r="ASQ9" s="7">
        <v>0.14236331498963001</v>
      </c>
      <c r="ASR9" s="7">
        <v>0.836300051927237</v>
      </c>
      <c r="ASS9" s="7">
        <v>0.54317552510944</v>
      </c>
      <c r="AST9" s="7">
        <v>-0.82008888069147301</v>
      </c>
      <c r="ASU9" s="7">
        <v>-0.48123944454246198</v>
      </c>
      <c r="ASV9" s="7">
        <v>-5.9974118995960599E-2</v>
      </c>
      <c r="ASW9" s="7">
        <v>-0.14534895997887201</v>
      </c>
      <c r="ASX9" s="7">
        <v>-0.66060868755435398</v>
      </c>
      <c r="ASY9" s="7">
        <v>0.81589327359529396</v>
      </c>
      <c r="ASZ9" s="7">
        <v>-0.296684274654198</v>
      </c>
      <c r="ATA9" s="7">
        <v>0.48331187911046802</v>
      </c>
      <c r="ATB9" s="7">
        <v>0.508715390965222</v>
      </c>
      <c r="ATC9" s="7">
        <v>-1.7341708203183399</v>
      </c>
      <c r="ATD9" s="7">
        <v>1.4822984780767501</v>
      </c>
      <c r="ATE9" s="7">
        <v>-0.93888455097861001</v>
      </c>
      <c r="ATF9" s="7">
        <v>5.5467365027426101E-2</v>
      </c>
      <c r="ATG9" s="7">
        <v>2.1190660468504099</v>
      </c>
      <c r="ATH9" s="7">
        <v>0.985773019282703</v>
      </c>
      <c r="ATI9" s="7">
        <v>-0.17523530655070901</v>
      </c>
      <c r="ATJ9" s="7">
        <v>0.80454753060872397</v>
      </c>
      <c r="ATK9" s="7">
        <v>0.69311425159576201</v>
      </c>
      <c r="ATL9" s="7">
        <v>0.66239313533512001</v>
      </c>
      <c r="ATM9" s="7">
        <v>1.2619390981244001</v>
      </c>
      <c r="ATN9" s="7">
        <v>-3.9550908345235003E-3</v>
      </c>
      <c r="ATO9" s="7">
        <v>-2.59622064633189</v>
      </c>
      <c r="ATP9" s="7">
        <v>-0.19672142055675601</v>
      </c>
      <c r="ATQ9" s="7">
        <v>-0.52445115531164799</v>
      </c>
      <c r="ATR9" s="7">
        <v>-0.21202611881893299</v>
      </c>
      <c r="ATS9" s="7">
        <v>1.3781495409736499</v>
      </c>
      <c r="ATT9" s="7">
        <v>-0.31041379521386903</v>
      </c>
      <c r="ATU9" s="7">
        <v>-0.23196384926754801</v>
      </c>
      <c r="ATV9" s="7">
        <v>3.8347363453899802E-2</v>
      </c>
      <c r="ATW9" s="7">
        <v>-1.96055692443286</v>
      </c>
      <c r="ATX9" s="7">
        <v>0.73842063062443597</v>
      </c>
      <c r="ATY9" s="7">
        <v>1.8395818965648101</v>
      </c>
      <c r="ATZ9" s="7">
        <v>1.0549466250133701</v>
      </c>
      <c r="AUA9" s="7">
        <v>2.5059267134104002</v>
      </c>
      <c r="AUB9" s="7">
        <v>-0.58704391945989698</v>
      </c>
      <c r="AUC9" s="7">
        <v>1.1327655042760401</v>
      </c>
      <c r="AUD9" s="7">
        <v>0.74059315966389905</v>
      </c>
      <c r="AUE9" s="7">
        <v>1.29424966899089E-2</v>
      </c>
      <c r="AUF9" s="7">
        <v>5.2976171188277004E-3</v>
      </c>
      <c r="AUG9" s="7">
        <v>-0.38786096850247098</v>
      </c>
      <c r="AUH9" s="7">
        <v>-1.7586664822442599</v>
      </c>
      <c r="AUI9" s="7">
        <v>0.64712959199341302</v>
      </c>
      <c r="AUJ9" s="7">
        <v>0.105003375958847</v>
      </c>
      <c r="AUK9" s="7">
        <v>-0.107058508491835</v>
      </c>
      <c r="AUL9" s="7">
        <v>-0.20540314275994301</v>
      </c>
      <c r="AUM9" s="7">
        <v>1.6295633038958601E-2</v>
      </c>
      <c r="AUN9" s="7">
        <v>1.5759034319519301</v>
      </c>
      <c r="AUO9" s="7">
        <v>-0.13782489105787701</v>
      </c>
      <c r="AUP9" s="7">
        <v>5.22165441444827E-2</v>
      </c>
      <c r="AUQ9" s="7">
        <v>-0.47504999259985498</v>
      </c>
      <c r="AUR9" s="7">
        <v>-0.70199240077043101</v>
      </c>
      <c r="AUS9" s="7">
        <v>0.31551193144330802</v>
      </c>
      <c r="AUT9" s="7">
        <v>1.0272028414683401</v>
      </c>
      <c r="AUU9" s="7">
        <v>-0.12449029796541999</v>
      </c>
      <c r="AUV9" s="7">
        <v>-0.86586422139818997</v>
      </c>
      <c r="AUW9" s="7">
        <v>1.28626988549732</v>
      </c>
      <c r="AUX9" s="7">
        <v>8.1273816519704695E-2</v>
      </c>
      <c r="AUY9" s="7">
        <v>-1.64024525381681</v>
      </c>
      <c r="AUZ9" s="7">
        <v>-0.70027119255355896</v>
      </c>
      <c r="AVA9" s="7">
        <v>0.516190278275515</v>
      </c>
      <c r="AVB9" s="7">
        <v>8.5870582275478793E-2</v>
      </c>
      <c r="AVC9" s="7">
        <v>-0.60576326453127205</v>
      </c>
      <c r="AVD9" s="7">
        <v>7.9491922706772994E-2</v>
      </c>
      <c r="AVE9" s="7">
        <v>-0.76787159447236197</v>
      </c>
      <c r="AVF9" s="7">
        <v>-0.324052567749887</v>
      </c>
      <c r="AVG9" s="7">
        <v>1.0796956639442199</v>
      </c>
      <c r="AVH9" s="7">
        <v>1.39751989234372</v>
      </c>
      <c r="AVI9" s="7">
        <v>-1.57872741356255</v>
      </c>
      <c r="AVJ9" s="7">
        <v>-2.0141551810183702</v>
      </c>
      <c r="AVK9" s="7">
        <v>-0.76625946591977601</v>
      </c>
      <c r="AVL9" s="7">
        <v>-0.80657039675520203</v>
      </c>
      <c r="AVM9" s="7">
        <v>1.56537287023261</v>
      </c>
      <c r="AVN9" s="7">
        <v>-1.2627054294792299</v>
      </c>
      <c r="AVO9" s="7">
        <v>6.5827847596929306E-2</v>
      </c>
      <c r="AVP9" s="7">
        <v>0.826916324653863</v>
      </c>
      <c r="AVQ9" s="7">
        <v>-0.66287662899430799</v>
      </c>
      <c r="AVR9" s="7">
        <v>-0.84714164193066099</v>
      </c>
      <c r="AVS9" s="7">
        <v>-0.34757321836455801</v>
      </c>
      <c r="AVT9" s="7">
        <v>-0.12913635946437901</v>
      </c>
      <c r="AVU9" s="7">
        <v>0.58607266935261304</v>
      </c>
      <c r="AVV9" s="7">
        <v>0.51508961184628399</v>
      </c>
      <c r="AVW9" s="7">
        <v>-1.42101592003707</v>
      </c>
      <c r="AVX9" s="7">
        <v>-1.4150962733222501</v>
      </c>
      <c r="AVY9" s="7">
        <v>1.46832808789112</v>
      </c>
      <c r="AVZ9" s="7">
        <v>1.1221461812093501</v>
      </c>
      <c r="AWA9" s="7">
        <v>1.42659223596037</v>
      </c>
      <c r="AWB9" s="7">
        <v>0.54151070454820904</v>
      </c>
      <c r="AWC9" s="7">
        <v>0.66578249160430603</v>
      </c>
      <c r="AWD9" s="7">
        <v>-0.78797229160622895</v>
      </c>
      <c r="AWE9" s="7">
        <v>-0.21869485857460499</v>
      </c>
      <c r="AWF9" s="7">
        <v>-2.0697504996296199</v>
      </c>
      <c r="AWG9" s="7">
        <v>-2.1967462038819598</v>
      </c>
      <c r="AWH9" s="7">
        <v>-0.18210664623485601</v>
      </c>
      <c r="AWI9" s="7">
        <v>1.5976134152861601</v>
      </c>
      <c r="AWJ9" s="7">
        <v>-0.577757226046828</v>
      </c>
      <c r="AWK9" s="7">
        <v>-0.16481678739052399</v>
      </c>
      <c r="AWL9" s="7">
        <v>0.14918871648621501</v>
      </c>
      <c r="AWM9" s="7">
        <v>-0.22025354688732501</v>
      </c>
      <c r="AWN9" s="7">
        <v>1.22118233630149</v>
      </c>
      <c r="AWO9" s="7">
        <v>-0.24602719736469</v>
      </c>
      <c r="AWP9" s="7">
        <v>2.2454156005231298</v>
      </c>
      <c r="AWQ9" s="7">
        <v>-1.5273930473349899</v>
      </c>
      <c r="AWR9" s="7">
        <v>0.648170891523978</v>
      </c>
      <c r="AWS9" s="7">
        <v>0.157381842506154</v>
      </c>
      <c r="AWT9" s="7">
        <v>0.56937672061695499</v>
      </c>
      <c r="AWU9" s="7">
        <v>0.739773145450495</v>
      </c>
      <c r="AWV9" s="7">
        <v>1.0229830844807599</v>
      </c>
      <c r="AWW9" s="7">
        <v>-1.3288330473686001</v>
      </c>
      <c r="AWX9" s="7">
        <v>-0.71791470980210703</v>
      </c>
      <c r="AWY9" s="7">
        <v>-0.71686219300626197</v>
      </c>
      <c r="AWZ9" s="7">
        <v>0.84606181324714302</v>
      </c>
      <c r="AXA9" s="7">
        <v>-5.4131834901557402E-2</v>
      </c>
      <c r="AXB9" s="7">
        <v>0.90006376147056499</v>
      </c>
      <c r="AXC9" s="7">
        <v>-0.23813453698992301</v>
      </c>
      <c r="AXD9" s="7">
        <v>0.250946723845834</v>
      </c>
      <c r="AXE9" s="7">
        <v>0.970734024873385</v>
      </c>
      <c r="AXF9" s="7">
        <v>0.59177498893450897</v>
      </c>
      <c r="AXG9" s="7">
        <v>0.405579017608867</v>
      </c>
      <c r="AXH9" s="7">
        <v>-1.54582651394342</v>
      </c>
      <c r="AXI9" s="7">
        <v>-0.41036687821634599</v>
      </c>
      <c r="AXJ9" s="7">
        <v>0.25714660294526998</v>
      </c>
      <c r="AXK9" s="7">
        <v>0.654931745257469</v>
      </c>
      <c r="AXL9" s="7">
        <v>-1.0827188814202899</v>
      </c>
      <c r="AXM9" s="7">
        <v>-0.46049292144493198</v>
      </c>
      <c r="AXN9" s="7">
        <v>-1.7194117612826201</v>
      </c>
      <c r="AXO9" s="7">
        <v>0.112163210009166</v>
      </c>
      <c r="AXP9" s="7">
        <v>-0.17166372984594599</v>
      </c>
      <c r="AXQ9" s="7">
        <v>-0.66808239999221197</v>
      </c>
      <c r="AXR9" s="7">
        <v>0.24379394917348399</v>
      </c>
      <c r="AXS9" s="7">
        <v>1.0825118867936601</v>
      </c>
      <c r="AXT9" s="7">
        <v>-0.77951889118279305</v>
      </c>
      <c r="AXU9" s="7">
        <v>-0.350681828558635</v>
      </c>
      <c r="AXV9" s="7">
        <v>-3.7260549740904599E-2</v>
      </c>
      <c r="AXW9" s="7">
        <v>-0.56341568608877501</v>
      </c>
      <c r="AXX9" s="7">
        <v>-0.70493245391801695</v>
      </c>
      <c r="AXY9" s="7">
        <v>-0.41207509338341902</v>
      </c>
      <c r="AXZ9" s="7">
        <v>0.44908828024339698</v>
      </c>
      <c r="AYA9" s="7">
        <v>0.504442864529555</v>
      </c>
      <c r="AYB9" s="7">
        <v>-6.8396982085340605E-2</v>
      </c>
      <c r="AYC9" s="7">
        <v>-0.30936757543374699</v>
      </c>
      <c r="AYD9" s="7">
        <v>-0.42601943919226298</v>
      </c>
      <c r="AYE9" s="7">
        <v>0.99462249181081896</v>
      </c>
      <c r="AYF9" s="7">
        <v>-0.12468352613259499</v>
      </c>
      <c r="AYG9" s="7">
        <v>1.12691849016471</v>
      </c>
      <c r="AYH9" s="7">
        <v>0.17955180682965899</v>
      </c>
      <c r="AYI9" s="7">
        <v>0.28632769812023601</v>
      </c>
      <c r="AYJ9" s="7">
        <v>1.11967082737722</v>
      </c>
      <c r="AYK9" s="7">
        <v>0.39956631902866602</v>
      </c>
      <c r="AYL9" s="7">
        <v>0.53527301252287596</v>
      </c>
      <c r="AYM9" s="7">
        <v>0.51983317129315998</v>
      </c>
      <c r="AYN9" s="7">
        <v>0.72871131203045203</v>
      </c>
      <c r="AYO9" s="7">
        <v>0.324245408027516</v>
      </c>
      <c r="AYP9" s="7">
        <v>1.1342665499083899</v>
      </c>
      <c r="AYQ9" s="7">
        <v>-1.05196601872242</v>
      </c>
      <c r="AYR9" s="7">
        <v>1.1151981479595501</v>
      </c>
      <c r="AYS9" s="7">
        <v>0.91849904532221005</v>
      </c>
      <c r="AYT9" s="7">
        <v>-1.03420755172477</v>
      </c>
      <c r="AYU9" s="7">
        <v>0.47258583436817297</v>
      </c>
      <c r="AYV9" s="7">
        <v>0.45688704100620797</v>
      </c>
      <c r="AYW9" s="7">
        <v>-1.2127473013610599</v>
      </c>
      <c r="AYX9" s="7">
        <v>-0.31252718867011797</v>
      </c>
      <c r="AYY9" s="7">
        <v>-0.27630982650887898</v>
      </c>
      <c r="AYZ9" s="7">
        <v>0.29473450688052999</v>
      </c>
      <c r="AZA9" s="7">
        <v>0.92795282047562899</v>
      </c>
      <c r="AZB9" s="7">
        <v>-0.62953184822549202</v>
      </c>
      <c r="AZC9" s="7">
        <v>-1.14906623216038</v>
      </c>
      <c r="AZD9" s="7">
        <v>1.44670327183579</v>
      </c>
      <c r="AZE9" s="7">
        <v>-0.692689328085353</v>
      </c>
      <c r="AZF9" s="7">
        <v>-0.80035785755445998</v>
      </c>
      <c r="AZG9" s="7">
        <v>-1.2356127586577199</v>
      </c>
      <c r="AZH9" s="7">
        <v>-0.95817048144379002</v>
      </c>
      <c r="AZI9" s="7">
        <v>-0.12521199938211799</v>
      </c>
      <c r="AZJ9" s="7">
        <v>-3.2802388901985002E-2</v>
      </c>
      <c r="AZK9" s="7">
        <v>-1.6185341549715999</v>
      </c>
      <c r="AZL9" s="7">
        <v>1.428628107257</v>
      </c>
      <c r="AZM9" s="7">
        <v>0.636465055760292</v>
      </c>
      <c r="AZN9" s="7">
        <v>0.132191843470467</v>
      </c>
      <c r="AZO9" s="7">
        <v>0.28271174457432902</v>
      </c>
      <c r="AZP9" s="7">
        <v>1.0503932622474501</v>
      </c>
      <c r="AZQ9" s="7">
        <v>-0.89376224031852103</v>
      </c>
      <c r="AZR9" s="7">
        <v>-0.83022245262340699</v>
      </c>
      <c r="AZS9" s="7">
        <v>1.3669395787723999</v>
      </c>
      <c r="AZT9" s="7">
        <v>-0.61183752995623797</v>
      </c>
      <c r="AZU9" s="7">
        <v>-0.75438518386060105</v>
      </c>
      <c r="AZV9" s="7">
        <v>-6.3672384434802004E-3</v>
      </c>
      <c r="AZW9" s="7">
        <v>1.0510204715146301</v>
      </c>
      <c r="AZX9" s="7">
        <v>-7.4972466442409902E-2</v>
      </c>
      <c r="AZY9" s="7">
        <v>0.272104978918422</v>
      </c>
      <c r="AZZ9" s="7">
        <v>0.70688835441187703</v>
      </c>
      <c r="BAA9" s="7">
        <v>0.105920201388189</v>
      </c>
      <c r="BAB9" s="7">
        <v>0.72404894609522996</v>
      </c>
      <c r="BAC9" s="7">
        <v>-1.1778476243293601</v>
      </c>
      <c r="BAD9" s="7">
        <v>0.28760991695244398</v>
      </c>
      <c r="BAE9" s="7">
        <v>-0.94653212079211402</v>
      </c>
      <c r="BAF9" s="7">
        <v>8.2580574022478703E-2</v>
      </c>
      <c r="BAG9" s="7">
        <v>1.0841118392045901</v>
      </c>
      <c r="BAH9" s="7">
        <v>1.3509018339161101</v>
      </c>
      <c r="BAI9" s="7">
        <v>-1.3745698042218399</v>
      </c>
      <c r="BAJ9" s="7">
        <v>-1.18645537533419</v>
      </c>
      <c r="BAK9" s="7">
        <v>-0.58464470787177103</v>
      </c>
      <c r="BAL9" s="7">
        <v>0.96873947269484195</v>
      </c>
      <c r="BAM9" s="7">
        <v>0.31547084032983302</v>
      </c>
      <c r="BAN9" s="7">
        <v>-1.01982095905732</v>
      </c>
      <c r="BAO9" s="7">
        <v>1.22990138384606</v>
      </c>
      <c r="BAP9" s="7">
        <v>0.73208804454589405</v>
      </c>
      <c r="BAQ9" s="7">
        <v>-0.46181808919300199</v>
      </c>
      <c r="BAR9" s="7">
        <v>0.86932035511938799</v>
      </c>
      <c r="BAS9" s="7">
        <v>0.34867512547386298</v>
      </c>
      <c r="BAT9" s="7">
        <v>0.39854675798705202</v>
      </c>
      <c r="BAU9" s="7">
        <v>-1.7851293243030399</v>
      </c>
      <c r="BAV9" s="7">
        <v>-0.35794494059388599</v>
      </c>
      <c r="BAW9" s="7">
        <v>-0.61745899072865296</v>
      </c>
      <c r="BAX9" s="7">
        <v>-0.95657291258374</v>
      </c>
      <c r="BAY9" s="7">
        <v>0.28629623502040202</v>
      </c>
      <c r="BAZ9" s="7">
        <v>-0.39323724529627602</v>
      </c>
      <c r="BBA9" s="7">
        <v>1.1942689856251301</v>
      </c>
      <c r="BBB9" s="7">
        <v>-0.930792565796416</v>
      </c>
      <c r="BBC9" s="7">
        <v>-0.864424136235179</v>
      </c>
      <c r="BBD9" s="7">
        <v>-1.0793170634017899</v>
      </c>
      <c r="BBE9" s="7">
        <v>-1.42676685265984</v>
      </c>
      <c r="BBF9" s="7">
        <v>0.51300624855783294</v>
      </c>
      <c r="BBG9" s="7">
        <v>-0.211235051314933</v>
      </c>
      <c r="BBH9" s="7">
        <v>1.7524924868759899</v>
      </c>
      <c r="BBI9" s="7">
        <v>1.3237365551795099</v>
      </c>
      <c r="BBJ9" s="7">
        <v>0.79259005686891604</v>
      </c>
      <c r="BBK9" s="7">
        <v>-0.82683512946341597</v>
      </c>
      <c r="BBL9" s="7">
        <v>0.223326289091478</v>
      </c>
      <c r="BBM9" s="7">
        <v>0.85069759647650101</v>
      </c>
      <c r="BBN9" s="7">
        <v>1.5712818919289899</v>
      </c>
      <c r="BBO9" s="7">
        <v>0.42147668517883802</v>
      </c>
      <c r="BBP9" s="7">
        <v>-0.37979157028909899</v>
      </c>
      <c r="BBQ9" s="7">
        <v>-0.143502056553059</v>
      </c>
      <c r="BBR9" s="7">
        <v>0.29228888245977502</v>
      </c>
      <c r="BBS9" s="7">
        <v>0.49645856219699702</v>
      </c>
      <c r="BBT9" s="7">
        <v>-0.33301078962819503</v>
      </c>
      <c r="BBU9" s="7">
        <v>-1.5327085600902099</v>
      </c>
      <c r="BBV9" s="7">
        <v>-1.2616726889845999</v>
      </c>
      <c r="BBW9" s="7">
        <v>0.94445462350974996</v>
      </c>
      <c r="BBX9" s="7">
        <v>-0.17126093920368199</v>
      </c>
      <c r="BBY9" s="7">
        <v>0.69659139483916799</v>
      </c>
      <c r="BBZ9" s="7">
        <v>-0.81325822830859196</v>
      </c>
      <c r="BCA9" s="7">
        <v>0.36856811433971598</v>
      </c>
      <c r="BCB9" s="7">
        <v>-0.10064384996958201</v>
      </c>
      <c r="BCC9" s="7">
        <v>0.203388896791899</v>
      </c>
      <c r="BCD9" s="7">
        <v>0.73717785282056603</v>
      </c>
      <c r="BCE9" s="7">
        <v>7.7456152888269403E-2</v>
      </c>
      <c r="BCF9" s="7">
        <v>1.25977369377993</v>
      </c>
      <c r="BCG9" s="7">
        <v>-1.0270813558510901</v>
      </c>
      <c r="BCH9" s="7">
        <v>-0.54251720408273096</v>
      </c>
      <c r="BCI9" s="7">
        <v>0.17258985218664899</v>
      </c>
      <c r="BCJ9" s="7">
        <v>1.76717010890424</v>
      </c>
      <c r="BCK9" s="7">
        <v>-0.77691900668492597</v>
      </c>
      <c r="BCL9" s="7">
        <v>-1.01978558524657</v>
      </c>
      <c r="BCM9" s="7">
        <v>-0.425394729818724</v>
      </c>
      <c r="BCN9" s="7">
        <v>0.779202683999353</v>
      </c>
      <c r="BCO9" s="7">
        <v>0.38527372045883901</v>
      </c>
      <c r="BCP9" s="7">
        <v>-0.175153649085623</v>
      </c>
      <c r="BCQ9" s="7">
        <v>-1.02826909642902</v>
      </c>
      <c r="BCR9" s="7">
        <v>-0.93646154780875501</v>
      </c>
      <c r="BCS9" s="7">
        <v>-0.59314171205795596</v>
      </c>
      <c r="BCT9" s="7">
        <v>-1.1625978457578501</v>
      </c>
      <c r="BCU9" s="7">
        <v>0.26274518147392401</v>
      </c>
      <c r="BCV9" s="7">
        <v>1.3095745789542901</v>
      </c>
      <c r="BCW9" s="7">
        <v>-2.6833034395665698</v>
      </c>
      <c r="BCX9" s="7">
        <v>-0.70875356191309402</v>
      </c>
      <c r="BCY9" s="7">
        <v>-0.59688587167561902</v>
      </c>
      <c r="BCZ9" s="7">
        <v>0.103894455169035</v>
      </c>
      <c r="BDA9" s="7">
        <v>-0.24880058055808599</v>
      </c>
      <c r="BDB9" s="7">
        <v>-1.2096334117160901</v>
      </c>
      <c r="BDC9" s="7">
        <v>0.38127526895092601</v>
      </c>
      <c r="BDD9" s="7">
        <v>1.03042644087104</v>
      </c>
      <c r="BDE9" s="7">
        <v>0.57940508828769399</v>
      </c>
      <c r="BDF9" s="7">
        <v>0.95003998700255099</v>
      </c>
      <c r="BDG9" s="7">
        <v>2.6468721387194001</v>
      </c>
      <c r="BDH9" s="7">
        <v>-0.106991279205692</v>
      </c>
      <c r="BDI9" s="7">
        <v>-0.69766065649779696</v>
      </c>
      <c r="BDJ9" s="7">
        <v>0.75834883555289401</v>
      </c>
      <c r="BDK9" s="7">
        <v>0.41761714897040098</v>
      </c>
      <c r="BDL9" s="7">
        <v>1.1846396436881099</v>
      </c>
      <c r="BDM9" s="7">
        <v>0.35074593049785802</v>
      </c>
      <c r="BDN9" s="7">
        <v>-1.6139718160519301</v>
      </c>
      <c r="BDO9" s="7">
        <v>-0.78783126895906896</v>
      </c>
      <c r="BDP9" s="7">
        <v>0.15912136638688901</v>
      </c>
      <c r="BDQ9" s="7">
        <v>-0.62299984931947405</v>
      </c>
      <c r="BDR9" s="7">
        <v>-1.0858772198979501</v>
      </c>
      <c r="BDS9" s="7">
        <v>-0.98683525779673598</v>
      </c>
      <c r="BDT9" s="7">
        <v>-0.69851109369168496</v>
      </c>
      <c r="BDU9" s="7">
        <v>0.56817645026224795</v>
      </c>
      <c r="BDV9" s="7">
        <v>-1.5486835419032901</v>
      </c>
      <c r="BDW9" s="7">
        <v>-0.97425727609699897</v>
      </c>
      <c r="BDX9" s="7">
        <v>-1.2168467277242201</v>
      </c>
      <c r="BDY9" s="7">
        <v>-0.33090959896746402</v>
      </c>
      <c r="BDZ9" s="7">
        <v>2.4167010130691202</v>
      </c>
      <c r="BEA9" s="7">
        <v>-0.72245240754961504</v>
      </c>
      <c r="BEB9" s="7">
        <v>-0.22958499201016799</v>
      </c>
      <c r="BEC9" s="7">
        <v>-0.81423784883658501</v>
      </c>
      <c r="BED9" s="7">
        <v>-0.31659174951955199</v>
      </c>
      <c r="BEE9" s="7">
        <v>-0.328313737214107</v>
      </c>
      <c r="BEF9" s="7">
        <v>0.50988146117059296</v>
      </c>
      <c r="BEG9" s="7">
        <v>-1.25503270222679</v>
      </c>
      <c r="BEH9" s="7">
        <v>-1.1175758976489101</v>
      </c>
      <c r="BEI9" s="7">
        <v>3.4813659752997099E-2</v>
      </c>
      <c r="BEJ9" s="7">
        <v>-0.94417054036925296</v>
      </c>
      <c r="BEK9" s="7">
        <v>-1.08327364071986</v>
      </c>
      <c r="BEL9" s="7">
        <v>-1.88704986524263</v>
      </c>
      <c r="BEM9" s="7">
        <v>-2.2000257531918602E-2</v>
      </c>
      <c r="BEN9" s="7">
        <v>-0.71999005472383903</v>
      </c>
      <c r="BEO9" s="7">
        <v>1.17791367980096</v>
      </c>
      <c r="BEP9" s="7">
        <v>1.1197819006429</v>
      </c>
      <c r="BEQ9" s="7">
        <v>1.1506909341781499</v>
      </c>
      <c r="BER9" s="7">
        <v>-1.73365417648438</v>
      </c>
      <c r="BES9" s="7">
        <v>-0.134341852998483</v>
      </c>
      <c r="BET9" s="7">
        <v>-0.52543226441621904</v>
      </c>
      <c r="BEU9" s="7">
        <v>1.1043956522892899</v>
      </c>
      <c r="BEV9" s="7">
        <v>-1.37037883217569</v>
      </c>
      <c r="BEW9" s="7">
        <v>-0.425066030795135</v>
      </c>
      <c r="BEX9" s="7">
        <v>-0.80281210534346004</v>
      </c>
      <c r="BEY9" s="7">
        <v>-0.69219965840002495</v>
      </c>
      <c r="BEZ9" s="7">
        <v>9.1904270210428296E-2</v>
      </c>
      <c r="BFA9" s="7">
        <v>-1.5635632295278299</v>
      </c>
      <c r="BFB9" s="7">
        <v>-0.50002789936916703</v>
      </c>
      <c r="BFC9" s="7">
        <v>1.7230521117292901</v>
      </c>
      <c r="BFD9" s="7">
        <v>-1.0832794286871601</v>
      </c>
      <c r="BFE9" s="7">
        <v>9.7371283768327904E-2</v>
      </c>
      <c r="BFF9" s="7">
        <v>0.56511598537736496</v>
      </c>
      <c r="BFG9" s="7">
        <v>-0.268644274302696</v>
      </c>
      <c r="BFH9" s="7">
        <v>-0.67588476743618697</v>
      </c>
      <c r="BFI9" s="7">
        <v>-1.4318031935112401</v>
      </c>
      <c r="BFJ9" s="7">
        <v>-0.39118064248513201</v>
      </c>
      <c r="BFK9" s="7">
        <v>-0.225475646462024</v>
      </c>
      <c r="BFL9" s="7">
        <v>-0.22425582453273399</v>
      </c>
      <c r="BFM9" s="7">
        <v>2.93904818814794</v>
      </c>
      <c r="BFN9" s="7">
        <v>-0.819116631043734</v>
      </c>
      <c r="BFO9" s="7">
        <v>1.0640505937792699</v>
      </c>
      <c r="BFP9" s="7">
        <v>0.63470791774345903</v>
      </c>
      <c r="BFQ9" s="7">
        <v>-0.382455975705217</v>
      </c>
      <c r="BFR9" s="7">
        <v>1.94664721517669</v>
      </c>
      <c r="BFS9" s="7">
        <v>2.0382097081923498</v>
      </c>
      <c r="BFT9" s="7">
        <v>1.02963417062172</v>
      </c>
      <c r="BFU9" s="7">
        <v>-0.47212867709524298</v>
      </c>
      <c r="BFV9" s="7">
        <v>0.25621120983176499</v>
      </c>
      <c r="BFW9" s="7">
        <v>-0.30408248447567998</v>
      </c>
      <c r="BFX9" s="7">
        <v>-0.11820239843102499</v>
      </c>
      <c r="BFY9" s="7">
        <v>-0.53010674613049102</v>
      </c>
      <c r="BFZ9" s="7">
        <v>-0.67642758862006702</v>
      </c>
      <c r="BGA9" s="7">
        <v>-1.14642150963876</v>
      </c>
      <c r="BGB9" s="7">
        <v>-7.8637646685554494E-2</v>
      </c>
      <c r="BGC9" s="7">
        <v>0.15606543173201501</v>
      </c>
      <c r="BGD9" s="7">
        <v>5.03032414160587E-2</v>
      </c>
      <c r="BGE9" s="7">
        <v>-4.3748982496445203E-2</v>
      </c>
      <c r="BGF9" s="7">
        <v>1.2150336120212899</v>
      </c>
      <c r="BGG9" s="7">
        <v>6.5228789255255104E-2</v>
      </c>
      <c r="BGH9" s="7">
        <v>1.7082375567716399</v>
      </c>
      <c r="BGI9" s="7">
        <v>-0.60569321743249005</v>
      </c>
      <c r="BGJ9" s="7">
        <v>-0.98177379825081301</v>
      </c>
      <c r="BGK9" s="7">
        <v>-0.71765968224048404</v>
      </c>
      <c r="BGL9" s="7">
        <v>-7.3837206599687094E-2</v>
      </c>
      <c r="BGM9" s="7">
        <v>-0.80539273941141598</v>
      </c>
      <c r="BGN9" s="7">
        <v>1.98559202575906</v>
      </c>
      <c r="BGO9" s="7">
        <v>-1.6193825656723199E-2</v>
      </c>
      <c r="BGP9" s="7">
        <v>1.35214102910365</v>
      </c>
      <c r="BGQ9" s="7">
        <v>0.76313675008410498</v>
      </c>
      <c r="BGR9" s="7">
        <v>0.62970018463104505</v>
      </c>
      <c r="BGS9" s="7">
        <v>-0.71254019054923601</v>
      </c>
      <c r="BGT9" s="7">
        <v>0.76741659647609495</v>
      </c>
      <c r="BGU9" s="7">
        <v>3.5747428006621597E-2</v>
      </c>
      <c r="BGV9" s="7">
        <v>0.60916090844980897</v>
      </c>
      <c r="BGW9" s="7">
        <v>-0.80813955408633298</v>
      </c>
      <c r="BGX9" s="7">
        <v>-0.59231690385327196</v>
      </c>
      <c r="BGY9" s="7">
        <v>1.0568645245694199</v>
      </c>
      <c r="BGZ9" s="7">
        <v>-1.0502749591459499</v>
      </c>
      <c r="BHA9" s="7">
        <v>-0.65616622476241404</v>
      </c>
      <c r="BHB9" s="7">
        <v>1.5182991819818901</v>
      </c>
      <c r="BHC9" s="7">
        <v>0.14045390293764801</v>
      </c>
      <c r="BHD9" s="7">
        <v>-1.03697687551136</v>
      </c>
      <c r="BHE9" s="7">
        <v>0.74418916263358303</v>
      </c>
      <c r="BHF9" s="7">
        <v>-1.0618157284072001</v>
      </c>
      <c r="BHG9" s="7">
        <v>0.40451869607476298</v>
      </c>
      <c r="BHH9" s="7">
        <v>0.61068635439240404</v>
      </c>
      <c r="BHI9" s="7">
        <v>-1.22202180674331</v>
      </c>
      <c r="BHJ9" s="7">
        <v>-0.52516966376160101</v>
      </c>
      <c r="BHK9" s="7">
        <v>1.47529234899152</v>
      </c>
      <c r="BHL9" s="7">
        <v>-0.38305809495707499</v>
      </c>
      <c r="BHM9" s="7">
        <v>-0.14836556703535</v>
      </c>
      <c r="BHN9" s="7">
        <v>0.66981782297870895</v>
      </c>
      <c r="BHO9" s="7">
        <v>1.0279428377078299</v>
      </c>
      <c r="BHP9" s="7">
        <v>-0.33733543070088701</v>
      </c>
      <c r="BHQ9" s="7">
        <v>-0.62420401678561599</v>
      </c>
      <c r="BHR9" s="7">
        <v>-0.18427138509396601</v>
      </c>
      <c r="BHS9" s="7">
        <v>-1.3264122362549999</v>
      </c>
      <c r="BHT9" s="7">
        <v>-1.0613624553429699</v>
      </c>
      <c r="BHU9" s="7">
        <v>-0.52338683751440696</v>
      </c>
      <c r="BHV9" s="7">
        <v>1.1772816822405701</v>
      </c>
      <c r="BHW9" s="7">
        <v>-0.94918570146937398</v>
      </c>
      <c r="BHX9" s="7">
        <v>1.44247388056012</v>
      </c>
      <c r="BHY9" s="7">
        <v>-0.72685609932123596</v>
      </c>
      <c r="BHZ9" s="7">
        <v>-0.66454963990139904</v>
      </c>
      <c r="BIA9" s="7">
        <v>1.21786482086307</v>
      </c>
      <c r="BIB9" s="7">
        <v>0.31872241387630501</v>
      </c>
      <c r="BIC9" s="7">
        <v>1.4640311696117501</v>
      </c>
      <c r="BID9" s="7">
        <v>5.8244814888149497E-2</v>
      </c>
      <c r="BIE9" s="7">
        <v>-1.04159191209852</v>
      </c>
      <c r="BIF9" s="7">
        <v>-0.48109506364127103</v>
      </c>
      <c r="BIG9" s="7">
        <v>0.78275880624801797</v>
      </c>
      <c r="BIH9" s="7">
        <v>0.34924892933518997</v>
      </c>
      <c r="BII9" s="7">
        <v>1.0856556555985899</v>
      </c>
      <c r="BIJ9" s="7">
        <v>-0.86858652935965897</v>
      </c>
      <c r="BIK9" s="7">
        <v>2.44529221735021E-2</v>
      </c>
      <c r="BIL9" s="7">
        <v>-0.79513086486785201</v>
      </c>
      <c r="BIM9" s="7">
        <v>1.59556767867987</v>
      </c>
      <c r="BIN9" s="7">
        <v>-1.9307903209369299</v>
      </c>
      <c r="BIO9" s="7">
        <v>-9.7417754955869795E-2</v>
      </c>
      <c r="BIP9" s="7">
        <v>-0.482861605153663</v>
      </c>
      <c r="BIQ9" s="7">
        <v>8.7312534319319596E-2</v>
      </c>
      <c r="BIR9" s="7">
        <v>-0.13748354835453599</v>
      </c>
      <c r="BIS9" s="7">
        <v>-0.48044845747804898</v>
      </c>
      <c r="BIT9" s="7">
        <v>-0.58228279656152504</v>
      </c>
      <c r="BIU9" s="7">
        <v>-1.55537969192027</v>
      </c>
      <c r="BIV9" s="7">
        <v>0.78972702926844995</v>
      </c>
      <c r="BIW9" s="7">
        <v>-1.2346297468401499</v>
      </c>
      <c r="BIX9" s="7">
        <v>-0.24554243057297701</v>
      </c>
      <c r="BIY9" s="7">
        <v>-2.09188076274194</v>
      </c>
      <c r="BIZ9" s="7">
        <v>1.3565604057434999</v>
      </c>
      <c r="BJA9" s="7">
        <v>-0.343044287640273</v>
      </c>
      <c r="BJB9" s="7">
        <v>0.64633776694502199</v>
      </c>
      <c r="BJC9" s="7">
        <v>0.30586101293106599</v>
      </c>
      <c r="BJD9" s="7">
        <v>-1.27173346505698</v>
      </c>
      <c r="BJE9" s="7">
        <v>1.16265785348118</v>
      </c>
      <c r="BJF9" s="7">
        <v>-0.59825858382303199</v>
      </c>
      <c r="BJG9" s="7">
        <v>0.55125148075504105</v>
      </c>
      <c r="BJH9" s="7">
        <v>0.810075941564807</v>
      </c>
      <c r="BJI9" s="7">
        <v>0.37800071796346701</v>
      </c>
      <c r="BJJ9" s="7">
        <v>-1.03233827111779</v>
      </c>
      <c r="BJK9" s="7">
        <v>0.35678153505610199</v>
      </c>
      <c r="BJL9" s="7">
        <v>1.0234663520055001</v>
      </c>
      <c r="BJM9" s="7">
        <v>-0.50082270400947604</v>
      </c>
      <c r="BJN9" s="7">
        <v>-0.82537233129560805</v>
      </c>
      <c r="BJO9" s="7">
        <v>-0.32850180444431198</v>
      </c>
      <c r="BJP9" s="7">
        <v>-0.233848439155113</v>
      </c>
      <c r="BJQ9" s="7">
        <v>0.73383123716207499</v>
      </c>
      <c r="BJR9" s="7">
        <v>0.611673150867453</v>
      </c>
      <c r="BJS9" s="7">
        <v>1.3907444262733799</v>
      </c>
      <c r="BJT9" s="7">
        <v>-0.120139658256101</v>
      </c>
      <c r="BJU9" s="7">
        <v>-1.5672599442478701</v>
      </c>
      <c r="BJV9" s="7">
        <v>0.96006650971888297</v>
      </c>
      <c r="BJW9" s="7">
        <v>1.00426308296714</v>
      </c>
      <c r="BJX9" s="7">
        <v>0.37675974239522703</v>
      </c>
      <c r="BJY9" s="7">
        <v>0.66305176677357702</v>
      </c>
      <c r="BJZ9" s="7">
        <v>1.3399808685730601</v>
      </c>
      <c r="BKA9" s="7">
        <v>0.81945280518196795</v>
      </c>
      <c r="BKB9" s="7">
        <v>-1.02359233738246</v>
      </c>
      <c r="BKC9" s="7">
        <v>-1.06219784880039</v>
      </c>
      <c r="BKD9" s="7">
        <v>1.2941581324848701</v>
      </c>
      <c r="BKE9" s="7">
        <v>-1.37651895879632</v>
      </c>
      <c r="BKF9" s="7">
        <v>0.16157299086921501</v>
      </c>
      <c r="BKG9" s="7">
        <v>-6.8105266990810098E-2</v>
      </c>
      <c r="BKH9" s="7">
        <v>-0.65174491342542096</v>
      </c>
      <c r="BKI9" s="7">
        <v>-0.57469646168709299</v>
      </c>
      <c r="BKJ9" s="7">
        <v>0.85469481952937798</v>
      </c>
      <c r="BKK9" s="7">
        <v>0.33929129489547699</v>
      </c>
      <c r="BKL9" s="7">
        <v>0.22845659415039801</v>
      </c>
      <c r="BKM9" s="7">
        <v>0.48718487847214298</v>
      </c>
      <c r="BKN9" s="7">
        <v>1.6896139421206799</v>
      </c>
      <c r="BKO9" s="7">
        <v>3.7054564787099599E-2</v>
      </c>
      <c r="BKP9" s="7">
        <v>0.25070973532278701</v>
      </c>
      <c r="BKQ9" s="7">
        <v>-2.1278695137064401</v>
      </c>
      <c r="BKR9" s="7">
        <v>-1.4138416726595899</v>
      </c>
      <c r="BKS9" s="7">
        <v>0.94582996271410102</v>
      </c>
      <c r="BKT9" s="7">
        <v>-0.247193326887127</v>
      </c>
      <c r="BKU9" s="7">
        <v>-2.2213241544308699</v>
      </c>
      <c r="BKV9" s="7">
        <v>-0.79912566158327802</v>
      </c>
      <c r="BKW9" s="7">
        <v>4.7218404243604198E-2</v>
      </c>
      <c r="BKX9" s="7">
        <v>0.44955640130789198</v>
      </c>
      <c r="BKY9" s="7">
        <v>-1.10225392031541</v>
      </c>
      <c r="BKZ9" s="7">
        <v>-1.3421678848992</v>
      </c>
      <c r="BLA9" s="7">
        <v>-0.25454692414633301</v>
      </c>
      <c r="BLB9" s="7">
        <v>0.79594690148909397</v>
      </c>
      <c r="BLC9" s="7">
        <v>-0.23054993151283201</v>
      </c>
      <c r="BLD9" s="7">
        <v>-0.65223653630737499</v>
      </c>
      <c r="BLE9" s="7">
        <v>-1.8358329885976701</v>
      </c>
      <c r="BLF9" s="7">
        <v>0.73028190614855504</v>
      </c>
      <c r="BLG9" s="7">
        <v>1.17072015133232</v>
      </c>
      <c r="BLH9" s="7">
        <v>-6.4178973243229104E-2</v>
      </c>
      <c r="BLI9" s="7">
        <v>-0.83608224890852001</v>
      </c>
      <c r="BLJ9" s="7">
        <v>-6.3864935327273206E-2</v>
      </c>
      <c r="BLK9" s="7">
        <v>0.155303069348559</v>
      </c>
      <c r="BLL9" s="7">
        <v>-0.33310360831064201</v>
      </c>
      <c r="BLM9" s="7">
        <v>-1.8045852729448999</v>
      </c>
      <c r="BLN9" s="7">
        <v>-1.0212812781118801</v>
      </c>
      <c r="BLO9" s="7">
        <v>0.64625180623441003</v>
      </c>
      <c r="BLP9" s="7">
        <v>-0.98220069973940205</v>
      </c>
      <c r="BLQ9" s="7">
        <v>-1.72530932002032</v>
      </c>
      <c r="BLR9" s="7">
        <v>-0.72735545197419804</v>
      </c>
      <c r="BLS9" s="7">
        <v>-0.80545012071780098</v>
      </c>
      <c r="BLT9" s="7">
        <v>-4.0870236531876797E-2</v>
      </c>
      <c r="BLU9" s="7">
        <v>-0.84164891871481196</v>
      </c>
      <c r="BLV9" s="7">
        <v>-0.565006880828816</v>
      </c>
      <c r="BLW9" s="7">
        <v>1.8791081760003701</v>
      </c>
      <c r="BLX9" s="7">
        <v>0.27166716116379602</v>
      </c>
      <c r="BLY9" s="7">
        <v>-0.374415656797427</v>
      </c>
      <c r="BLZ9" s="7">
        <v>0.535764360555675</v>
      </c>
      <c r="BMA9" s="7">
        <v>-1.75325347085393</v>
      </c>
      <c r="BMB9" s="7">
        <v>-2.15986151680046</v>
      </c>
      <c r="BMC9" s="7">
        <v>-4.5069667723983999E-3</v>
      </c>
      <c r="BMD9" s="7">
        <v>0.222168742962674</v>
      </c>
      <c r="BME9" s="7">
        <v>-0.69590366022741201</v>
      </c>
      <c r="BMF9" s="7">
        <v>0.63158741750010505</v>
      </c>
      <c r="BMG9" s="7">
        <v>-7.1448022410298996E-3</v>
      </c>
      <c r="BMH9" s="7">
        <v>9.1326902226018997E-2</v>
      </c>
      <c r="BMI9" s="7">
        <v>0.70889229135106202</v>
      </c>
      <c r="BMJ9" s="7">
        <v>-0.96370514662990003</v>
      </c>
      <c r="BMK9" s="7">
        <v>-0.45871898495975599</v>
      </c>
      <c r="BML9" s="7">
        <v>2.6106547649322498</v>
      </c>
      <c r="BMM9" s="7">
        <v>-0.41838908900083099</v>
      </c>
      <c r="BMN9" s="7">
        <v>-2.43240728899374E-2</v>
      </c>
      <c r="BMO9" s="7">
        <v>-0.359331909043758</v>
      </c>
      <c r="BMP9" s="7">
        <v>0.63055902561599297</v>
      </c>
      <c r="BMQ9" s="7">
        <v>-0.62434218165599897</v>
      </c>
      <c r="BMR9" s="7">
        <v>0.87881290112820498</v>
      </c>
      <c r="BMS9" s="7">
        <v>1.25046210243359</v>
      </c>
      <c r="BMT9" s="7">
        <v>-0.69819788892858803</v>
      </c>
      <c r="BMU9" s="7">
        <v>1.4058103726597799</v>
      </c>
      <c r="BMV9" s="7">
        <v>0.65738064408250996</v>
      </c>
      <c r="BMW9" s="7">
        <v>-0.69713577965348805</v>
      </c>
      <c r="BMX9" s="7">
        <v>-0.126956200796256</v>
      </c>
      <c r="BMY9" s="7">
        <v>-0.20852127583139099</v>
      </c>
      <c r="BMZ9" s="7">
        <v>-0.98008918990716898</v>
      </c>
      <c r="BNA9" s="7">
        <v>-0.912917277941107</v>
      </c>
      <c r="BNB9" s="7">
        <v>-0.55266500744137304</v>
      </c>
      <c r="BNC9" s="7">
        <v>5.6709986944300697E-2</v>
      </c>
      <c r="BND9" s="7">
        <v>-0.82265739206241895</v>
      </c>
      <c r="BNE9" s="7">
        <v>-1.9301538227925199</v>
      </c>
      <c r="BNF9" s="7">
        <v>-1.5704221343314899</v>
      </c>
      <c r="BNG9" s="7">
        <v>-0.141507097366495</v>
      </c>
      <c r="BNH9" s="7">
        <v>0.290078882337858</v>
      </c>
      <c r="BNI9" s="7">
        <v>-1.46628948195454</v>
      </c>
      <c r="BNJ9" s="7">
        <v>1.33523170389511</v>
      </c>
      <c r="BNK9" s="7">
        <v>2.0485055916330399</v>
      </c>
      <c r="BNL9" s="7">
        <v>-2.0514730417926899</v>
      </c>
      <c r="BNM9" s="7">
        <v>0.47799150803148799</v>
      </c>
      <c r="BNN9" s="7">
        <v>0.72328353592704697</v>
      </c>
      <c r="BNO9" s="7">
        <v>-0.154390318221787</v>
      </c>
      <c r="BNP9" s="7">
        <v>-2.0164201524797898</v>
      </c>
      <c r="BNQ9" s="7">
        <v>0.62530421416067505</v>
      </c>
      <c r="BNR9" s="7">
        <v>1.9496112888897701</v>
      </c>
      <c r="BNS9" s="7">
        <v>0.61433721689313603</v>
      </c>
      <c r="BNT9" s="7">
        <v>-2.0011580261181798</v>
      </c>
      <c r="BNU9" s="7">
        <v>-1.79679516142355</v>
      </c>
      <c r="BNV9" s="7">
        <v>5.7613897770684298E-2</v>
      </c>
      <c r="BNW9" s="7">
        <v>0.87025897669027497</v>
      </c>
      <c r="BNX9" s="7">
        <v>4.8152881347141999E-3</v>
      </c>
      <c r="BNY9" s="7">
        <v>-0.73628052699595004</v>
      </c>
      <c r="BNZ9" s="7">
        <v>0.75911776803475906</v>
      </c>
      <c r="BOA9" s="7">
        <v>0.72582906118298596</v>
      </c>
      <c r="BOB9" s="7">
        <v>-0.85713060470779301</v>
      </c>
      <c r="BOC9" s="7">
        <v>0.107441814557903</v>
      </c>
      <c r="BOD9" s="7">
        <v>0.24075961074537999</v>
      </c>
      <c r="BOE9" s="7">
        <v>-0.33008817112239403</v>
      </c>
      <c r="BOF9" s="7">
        <v>-8.3087474527609603E-2</v>
      </c>
      <c r="BOG9" s="7">
        <v>-1.0871297165874401</v>
      </c>
      <c r="BOH9" s="7">
        <v>0.46930248112348599</v>
      </c>
      <c r="BOI9" s="7">
        <v>-0.32137858209160403</v>
      </c>
      <c r="BOJ9" s="7">
        <v>-1.95326337885065E-2</v>
      </c>
      <c r="BOK9" s="7">
        <v>-1.2070532700841401</v>
      </c>
      <c r="BOL9" s="7">
        <v>1.1060431586933299</v>
      </c>
      <c r="BOM9" s="7">
        <v>-4.23215161381921E-2</v>
      </c>
      <c r="BON9" s="7">
        <v>-0.29634505084157797</v>
      </c>
      <c r="BOO9" s="7">
        <v>0.98682433020627802</v>
      </c>
      <c r="BOP9" s="7">
        <v>0.40520568240306898</v>
      </c>
      <c r="BOQ9" s="7">
        <v>-0.91015025214289602</v>
      </c>
      <c r="BOR9" s="7">
        <v>-0.34032963710971198</v>
      </c>
      <c r="BOS9" s="7">
        <v>-0.56902639632061203</v>
      </c>
      <c r="BOT9" s="7">
        <v>-6.3317328122633507E-2</v>
      </c>
      <c r="BOU9" s="7">
        <v>0.245307835520261</v>
      </c>
      <c r="BOV9" s="7">
        <v>0.12459537928599999</v>
      </c>
      <c r="BOW9" s="7">
        <v>0.73808755877869203</v>
      </c>
      <c r="BOX9" s="7">
        <v>-1.7177615672392501</v>
      </c>
      <c r="BOY9" s="7">
        <v>-0.62825709628548798</v>
      </c>
      <c r="BOZ9" s="7">
        <v>-0.82594788984888001</v>
      </c>
      <c r="BPA9" s="7">
        <v>0.10437162475896899</v>
      </c>
      <c r="BPB9" s="7">
        <v>0.170775093203653</v>
      </c>
      <c r="BPC9" s="7">
        <v>-0.83625310445332801</v>
      </c>
      <c r="BPD9" s="7">
        <v>0.77568443235743301</v>
      </c>
      <c r="BPE9" s="7">
        <v>-0.181804418472815</v>
      </c>
      <c r="BPF9" s="7">
        <v>-1.0818134102766499</v>
      </c>
      <c r="BPG9" s="7">
        <v>-0.84571536405968695</v>
      </c>
      <c r="BPH9" s="7">
        <v>3.07603228052768E-2</v>
      </c>
      <c r="BPI9" s="7">
        <v>-0.844868760413376</v>
      </c>
      <c r="BPJ9" s="7">
        <v>-0.41461309665689799</v>
      </c>
      <c r="BPK9" s="7">
        <v>0.86829915255463597</v>
      </c>
      <c r="BPL9" s="7">
        <v>0.157414461667023</v>
      </c>
      <c r="BPM9" s="7">
        <v>0.28347689596339398</v>
      </c>
      <c r="BPN9" s="7">
        <v>0.72740959047118803</v>
      </c>
      <c r="BPO9" s="7">
        <v>0.86270357051037305</v>
      </c>
      <c r="BPP9" s="7">
        <v>1.58845674592794</v>
      </c>
      <c r="BPQ9" s="7">
        <v>-0.92008988373595901</v>
      </c>
      <c r="BPR9" s="7">
        <v>1.18235311629236E-2</v>
      </c>
      <c r="BPS9" s="7">
        <v>-9.0166292920077606E-2</v>
      </c>
      <c r="BPT9" s="7">
        <v>-8.6417211958070006E-2</v>
      </c>
      <c r="BPU9" s="7">
        <v>0.32810082161022502</v>
      </c>
      <c r="BPV9" s="7">
        <v>1.04613203790843</v>
      </c>
      <c r="BPW9" s="7">
        <v>-0.22619560314515799</v>
      </c>
      <c r="BPX9" s="7">
        <v>-1.08194990474365</v>
      </c>
      <c r="BPY9" s="7">
        <v>0.33352809263210798</v>
      </c>
      <c r="BPZ9" s="7">
        <v>-0.241347164602979</v>
      </c>
      <c r="BQA9" s="7">
        <v>-0.85467938078763095</v>
      </c>
      <c r="BQB9" s="7">
        <v>-1.77347272872423</v>
      </c>
      <c r="BQC9" s="7">
        <v>-0.82248806734725399</v>
      </c>
      <c r="BQD9" s="7">
        <v>5.73274621468726E-2</v>
      </c>
      <c r="BQE9" s="7">
        <v>0.57762049139915195</v>
      </c>
      <c r="BQF9" s="7">
        <v>-0.451153471602254</v>
      </c>
      <c r="BQG9" s="7">
        <v>-1.2684673025098601</v>
      </c>
      <c r="BQH9" s="7">
        <v>0.225693145125545</v>
      </c>
    </row>
    <row r="10" spans="1:1802" x14ac:dyDescent="0.2">
      <c r="A10" s="7">
        <v>8</v>
      </c>
      <c r="B10" s="7">
        <v>0.50362663135262398</v>
      </c>
      <c r="C10" s="7">
        <v>-0.92177357698168605</v>
      </c>
      <c r="D10" s="7">
        <v>-0.43967394375263003</v>
      </c>
      <c r="E10" s="7">
        <v>-0.34475051107555699</v>
      </c>
      <c r="F10" s="7">
        <v>2.6861314425181302</v>
      </c>
      <c r="G10" s="7">
        <v>1.2530480280387699</v>
      </c>
      <c r="H10" s="7">
        <v>-1.13593956307832</v>
      </c>
      <c r="I10" s="7">
        <v>-0.15438977508569399</v>
      </c>
      <c r="J10" s="7">
        <v>1.29082119480327</v>
      </c>
      <c r="K10" s="7">
        <v>0.81298516383524999</v>
      </c>
      <c r="L10" s="7">
        <v>1.1489214256438101</v>
      </c>
      <c r="M10" s="7">
        <v>-1.3772038905110899</v>
      </c>
      <c r="N10" s="7">
        <v>-1.10119187515336</v>
      </c>
      <c r="O10" s="7">
        <v>8.2164608933822894E-2</v>
      </c>
      <c r="P10" s="7">
        <v>-0.413196087189099</v>
      </c>
      <c r="Q10" s="7">
        <v>-1.1752302505427199</v>
      </c>
      <c r="R10" s="7">
        <v>-0.52751235009282904</v>
      </c>
      <c r="S10" s="7">
        <v>-1.3823354450415</v>
      </c>
      <c r="T10" s="7">
        <v>-1.4180594466883401</v>
      </c>
      <c r="U10" s="7">
        <v>0.104453914213296</v>
      </c>
      <c r="V10" s="7">
        <v>-5.2260907003731101E-2</v>
      </c>
      <c r="W10" s="7">
        <v>-0.101504714832324</v>
      </c>
      <c r="X10" s="7">
        <v>-0.36307024027142898</v>
      </c>
      <c r="Y10" s="7">
        <v>1.55553127898937</v>
      </c>
      <c r="Z10" s="7">
        <v>0.78610882615683997</v>
      </c>
      <c r="AA10" s="7">
        <v>0.25102903267591198</v>
      </c>
      <c r="AB10" s="7">
        <v>-2.7542632425036399E-2</v>
      </c>
      <c r="AC10" s="7">
        <v>0.12024563411547</v>
      </c>
      <c r="AD10" s="7">
        <v>-0.61325205115282599</v>
      </c>
      <c r="AE10" s="7">
        <v>0.249991416955581</v>
      </c>
      <c r="AF10" s="7">
        <v>-1.59307306754579</v>
      </c>
      <c r="AG10" s="7">
        <v>0.701402035218054</v>
      </c>
      <c r="AH10" s="7">
        <v>-0.168926112177405</v>
      </c>
      <c r="AI10" s="7">
        <v>0.22741810397217599</v>
      </c>
      <c r="AJ10" s="7">
        <v>-0.92556934089502096</v>
      </c>
      <c r="AK10" s="7">
        <v>-0.37454308928414298</v>
      </c>
      <c r="AL10" s="7">
        <v>-0.74828637616703397</v>
      </c>
      <c r="AM10" s="7">
        <v>0.47952290629995598</v>
      </c>
      <c r="AN10" s="7">
        <v>-0.23267974159282301</v>
      </c>
      <c r="AO10" s="7">
        <v>-0.93889167102966098</v>
      </c>
      <c r="AP10" s="7">
        <v>-0.84009589849866995</v>
      </c>
      <c r="AQ10" s="7">
        <v>0.45981520612029497</v>
      </c>
      <c r="AR10" s="7">
        <v>1.70592022124106</v>
      </c>
      <c r="AS10" s="7">
        <v>0.303365729921456</v>
      </c>
      <c r="AT10" s="7">
        <v>-1.2260655622718299</v>
      </c>
      <c r="AU10" s="7">
        <v>0.32847918004448501</v>
      </c>
      <c r="AV10" s="7">
        <v>-0.91428996694400999</v>
      </c>
      <c r="AW10" s="7">
        <v>-0.95775325733178596</v>
      </c>
      <c r="AX10" s="7">
        <v>0.61837248731542305</v>
      </c>
      <c r="AY10" s="7">
        <v>-1.0554811687703101</v>
      </c>
      <c r="AZ10" s="7">
        <v>0.55303923666173305</v>
      </c>
      <c r="BA10" s="7">
        <v>0.50765296863171905</v>
      </c>
      <c r="BB10" s="7">
        <v>-0.36100381198711901</v>
      </c>
      <c r="BC10" s="7">
        <v>-0.75437643534838394</v>
      </c>
      <c r="BD10" s="7">
        <v>-0.43200866790091302</v>
      </c>
      <c r="BE10" s="7">
        <v>0.14505984951845899</v>
      </c>
      <c r="BF10" s="7">
        <v>1.0371467158774701</v>
      </c>
      <c r="BG10" s="7">
        <v>0.131071080166067</v>
      </c>
      <c r="BH10" s="7">
        <v>0.175174682394827</v>
      </c>
      <c r="BI10" s="7">
        <v>-0.69831629745692403</v>
      </c>
      <c r="BJ10" s="7">
        <v>0.92590293968443405</v>
      </c>
      <c r="BK10" s="7">
        <v>-1.02560449858047</v>
      </c>
      <c r="BL10" s="7">
        <v>0.155760493842766</v>
      </c>
      <c r="BM10" s="7">
        <v>1.16783295515828</v>
      </c>
      <c r="BN10" s="7">
        <v>1.1598472310612</v>
      </c>
      <c r="BO10" s="7">
        <v>-4.7341649202081497E-2</v>
      </c>
      <c r="BP10" s="7">
        <v>-0.20128497182844601</v>
      </c>
      <c r="BQ10" s="7">
        <v>0.19448801233013599</v>
      </c>
      <c r="BR10" s="7">
        <v>4.4222810293612698E-2</v>
      </c>
      <c r="BS10" s="7">
        <v>-0.32497743473895502</v>
      </c>
      <c r="BT10" s="7">
        <v>0.53130459646301798</v>
      </c>
      <c r="BU10" s="7">
        <v>1.8000427969005901</v>
      </c>
      <c r="BV10" s="7">
        <v>0.300140809418253</v>
      </c>
      <c r="BW10" s="7">
        <v>-0.962982878148952</v>
      </c>
      <c r="BX10" s="7">
        <v>1.4119377233988499</v>
      </c>
      <c r="BY10" s="7">
        <v>-0.70740241612324095</v>
      </c>
      <c r="BZ10" s="7">
        <v>0.29762853603012002</v>
      </c>
      <c r="CA10" s="7">
        <v>-9.5124514272049807E-2</v>
      </c>
      <c r="CB10" s="7">
        <v>0.91310450767959295</v>
      </c>
      <c r="CC10" s="7">
        <v>-1.21582787095509</v>
      </c>
      <c r="CD10" s="7">
        <v>0.69665216145020503</v>
      </c>
      <c r="CE10" s="7">
        <v>2.81822686467183E-2</v>
      </c>
      <c r="CF10" s="7">
        <v>-5.6091397351675301E-2</v>
      </c>
      <c r="CG10" s="7">
        <v>-1.1343335597881301</v>
      </c>
      <c r="CH10" s="7">
        <v>-1.2941841473778299</v>
      </c>
      <c r="CI10" s="7">
        <v>0.10624989208817499</v>
      </c>
      <c r="CJ10" s="7">
        <v>-0.31736927452750802</v>
      </c>
      <c r="CK10" s="7">
        <v>1.5417947019375799</v>
      </c>
      <c r="CL10" s="7">
        <v>1.2132929426572301</v>
      </c>
      <c r="CM10" s="7">
        <v>0.19660256184619801</v>
      </c>
      <c r="CN10" s="7">
        <v>0.80955272164227599</v>
      </c>
      <c r="CO10" s="7">
        <v>-0.10071804668374899</v>
      </c>
      <c r="CP10" s="7">
        <v>-0.178165724017809</v>
      </c>
      <c r="CQ10" s="7">
        <v>0.22886265769713601</v>
      </c>
      <c r="CR10" s="7">
        <v>-0.195765564506545</v>
      </c>
      <c r="CS10" s="7">
        <v>1.0807967319218099</v>
      </c>
      <c r="CT10" s="7">
        <v>1.3478990828135899</v>
      </c>
      <c r="CU10" s="7">
        <v>2.2514955863700998</v>
      </c>
      <c r="CV10" s="7">
        <v>-0.244345142365504</v>
      </c>
      <c r="CW10" s="7">
        <v>0.88231686256123698</v>
      </c>
      <c r="CX10" s="7">
        <v>0.345681190581975</v>
      </c>
      <c r="CY10" s="7">
        <v>0.48154154021759799</v>
      </c>
      <c r="CZ10" s="7">
        <v>-1.3623224808733501</v>
      </c>
      <c r="DA10" s="7">
        <v>-1.1056371368894999</v>
      </c>
      <c r="DB10" s="7">
        <v>-0.14258498682974399</v>
      </c>
      <c r="DC10" s="7">
        <v>-0.33004929695310198</v>
      </c>
      <c r="DD10" s="7">
        <v>2.29449451979269</v>
      </c>
      <c r="DE10" s="7">
        <v>-0.30249401242024698</v>
      </c>
      <c r="DF10" s="7">
        <v>-0.63352175492854002</v>
      </c>
      <c r="DG10" s="7">
        <v>0.235092535439025</v>
      </c>
      <c r="DH10" s="7">
        <v>0.72925698559061303</v>
      </c>
      <c r="DI10" s="7">
        <v>-0.50570963838358496</v>
      </c>
      <c r="DJ10" s="7">
        <v>1.0646408039828399</v>
      </c>
      <c r="DK10" s="7">
        <v>-1.96604534693119</v>
      </c>
      <c r="DL10" s="7">
        <v>-9.9056791196288504E-2</v>
      </c>
      <c r="DM10" s="7">
        <v>0.26665693304979199</v>
      </c>
      <c r="DN10" s="7">
        <v>0.82305120026681999</v>
      </c>
      <c r="DO10" s="7">
        <v>-1.4589808135383699</v>
      </c>
      <c r="DP10" s="7">
        <v>-7.8314860170055803E-2</v>
      </c>
      <c r="DQ10" s="7">
        <v>0.26335322062646199</v>
      </c>
      <c r="DR10" s="7">
        <v>-4.5111101000429803E-2</v>
      </c>
      <c r="DS10" s="7">
        <v>0.73889927187261695</v>
      </c>
      <c r="DT10" s="7">
        <v>-4.5418973823458601E-2</v>
      </c>
      <c r="DU10" s="7">
        <v>0.72564091368700701</v>
      </c>
      <c r="DV10" s="7">
        <v>0.52845615485778996</v>
      </c>
      <c r="DW10" s="7">
        <v>1.37791996837737</v>
      </c>
      <c r="DX10" s="7">
        <v>-0.37588158489769402</v>
      </c>
      <c r="DY10" s="7">
        <v>-0.67637237289188801</v>
      </c>
      <c r="DZ10" s="7">
        <v>0.87621502494199299</v>
      </c>
      <c r="EA10" s="7">
        <v>-0.50383837940674803</v>
      </c>
      <c r="EB10" s="7">
        <v>-0.16183684994053299</v>
      </c>
      <c r="EC10" s="7">
        <v>1.3153489457534799</v>
      </c>
      <c r="ED10" s="7">
        <v>0.113971797709053</v>
      </c>
      <c r="EE10" s="7">
        <v>-0.95551889554366398</v>
      </c>
      <c r="EF10" s="7">
        <v>-1.1580004283558201</v>
      </c>
      <c r="EG10" s="7">
        <v>1.2439089533907699</v>
      </c>
      <c r="EH10" s="7">
        <v>-0.117954884146817</v>
      </c>
      <c r="EI10" s="7">
        <v>0.93860649454002498</v>
      </c>
      <c r="EJ10" s="7">
        <v>1.14947189664245</v>
      </c>
      <c r="EK10" s="7">
        <v>1.3984848130824801</v>
      </c>
      <c r="EL10" s="7">
        <v>0.24835034177644899</v>
      </c>
      <c r="EM10" s="7">
        <v>-0.21824886374713201</v>
      </c>
      <c r="EN10" s="7">
        <v>1.3958180134887599</v>
      </c>
      <c r="EO10" s="7">
        <v>0.36538702911336601</v>
      </c>
      <c r="EP10" s="7">
        <v>-1.6973092860368899</v>
      </c>
      <c r="EQ10" s="7">
        <v>-0.98830489919440501</v>
      </c>
      <c r="ER10" s="7">
        <v>-0.75036704687941103</v>
      </c>
      <c r="ES10" s="7">
        <v>-0.56253428711188203</v>
      </c>
      <c r="ET10" s="7">
        <v>-0.156147283487545</v>
      </c>
      <c r="EU10" s="7">
        <v>-1.3241099721429701</v>
      </c>
      <c r="EV10" s="7">
        <v>-0.94119601500572803</v>
      </c>
      <c r="EW10" s="7">
        <v>-1.8834918579052</v>
      </c>
      <c r="EX10" s="7">
        <v>0.11334717088252701</v>
      </c>
      <c r="EY10" s="7">
        <v>2.8823341497945698</v>
      </c>
      <c r="EZ10" s="7">
        <v>-0.596488430577372</v>
      </c>
      <c r="FA10" s="7">
        <v>-0.57207187594157105</v>
      </c>
      <c r="FB10" s="7">
        <v>-0.83907356153754198</v>
      </c>
      <c r="FC10" s="7">
        <v>-0.19648917409321501</v>
      </c>
      <c r="FD10" s="7">
        <v>0.14589549865637699</v>
      </c>
      <c r="FE10" s="7">
        <v>-1.11727751290739</v>
      </c>
      <c r="FF10" s="7">
        <v>0.95921218574102496</v>
      </c>
      <c r="FG10" s="7">
        <v>2.0463246233949599</v>
      </c>
      <c r="FH10" s="7">
        <v>-1.19001411492571</v>
      </c>
      <c r="FI10" s="7">
        <v>0.90278214293901704</v>
      </c>
      <c r="FJ10" s="7">
        <v>-0.33884048704407799</v>
      </c>
      <c r="FK10" s="7">
        <v>-1.12538613976357</v>
      </c>
      <c r="FL10" s="7">
        <v>-0.40359542021273898</v>
      </c>
      <c r="FM10" s="7">
        <v>-1.6635488965887999</v>
      </c>
      <c r="FN10" s="7">
        <v>-1.9013400477949001</v>
      </c>
      <c r="FO10" s="7">
        <v>0.12045404502945201</v>
      </c>
      <c r="FP10" s="7">
        <v>0.391451325346648</v>
      </c>
      <c r="FQ10" s="7">
        <v>0.84635404492261401</v>
      </c>
      <c r="FR10" s="7">
        <v>-0.56464156632272799</v>
      </c>
      <c r="FS10" s="7">
        <v>-2.5823219387898502</v>
      </c>
      <c r="FT10" s="7">
        <v>1.42079195599548</v>
      </c>
      <c r="FU10" s="7">
        <v>-1.87323833675893</v>
      </c>
      <c r="FV10" s="7">
        <v>-0.11860411207115</v>
      </c>
      <c r="FW10" s="7">
        <v>-0.82643401956025397</v>
      </c>
      <c r="FX10" s="7">
        <v>-4.6180012091225402E-2</v>
      </c>
      <c r="FY10" s="7">
        <v>-0.61205825673819003</v>
      </c>
      <c r="FZ10" s="7">
        <v>1.28611142268704</v>
      </c>
      <c r="GA10" s="7">
        <v>0.65001669649181204</v>
      </c>
      <c r="GB10" s="7">
        <v>1.22459215692532</v>
      </c>
      <c r="GC10" s="7">
        <v>-0.65339291157122004</v>
      </c>
      <c r="GD10" s="7">
        <v>0.48142441387085899</v>
      </c>
      <c r="GE10" s="7">
        <v>1.9822323249324001</v>
      </c>
      <c r="GF10" s="7">
        <v>-2.0757073776314199</v>
      </c>
      <c r="GG10" s="7">
        <v>-3.8829110536210999E-2</v>
      </c>
      <c r="GH10" s="7">
        <v>1.0673545816301999</v>
      </c>
      <c r="GI10" s="7">
        <v>0.67638807392187095</v>
      </c>
      <c r="GJ10" s="7">
        <v>-1.65872150569807</v>
      </c>
      <c r="GK10" s="7">
        <v>-0.84779856448887503</v>
      </c>
      <c r="GL10" s="7">
        <v>0.69314679564780701</v>
      </c>
      <c r="GM10" s="7">
        <v>6.0927872338804999E-2</v>
      </c>
      <c r="GN10" s="7">
        <v>-7.6746701534761E-2</v>
      </c>
      <c r="GO10" s="7">
        <v>-0.20070875600046101</v>
      </c>
      <c r="GP10" s="7">
        <v>1.1305918859161299</v>
      </c>
      <c r="GQ10" s="7">
        <v>0.84883333680688799</v>
      </c>
      <c r="GR10" s="7">
        <v>-0.74592122658434701</v>
      </c>
      <c r="GS10" s="7">
        <v>0.16852831074376601</v>
      </c>
      <c r="GT10" s="7">
        <v>-0.71186841484961205</v>
      </c>
      <c r="GU10" s="7">
        <v>-1.21257586821036</v>
      </c>
      <c r="GV10" s="7">
        <v>2.3287809977704002</v>
      </c>
      <c r="GW10" s="7">
        <v>-0.38290198492907701</v>
      </c>
      <c r="GX10" s="7">
        <v>-0.36203660833969697</v>
      </c>
      <c r="GY10" s="7">
        <v>-1.4575554699587501</v>
      </c>
      <c r="GZ10" s="7">
        <v>-1.9281338495346201</v>
      </c>
      <c r="HA10" s="7">
        <v>-0.30025632639563399</v>
      </c>
      <c r="HB10" s="7">
        <v>-0.21513925773672901</v>
      </c>
      <c r="HC10" s="7">
        <v>-0.98166960864687902</v>
      </c>
      <c r="HD10" s="7">
        <v>6.7548812802645894E-2</v>
      </c>
      <c r="HE10" s="7">
        <v>0.72456202486488197</v>
      </c>
      <c r="HF10" s="7">
        <v>-0.25307990927365298</v>
      </c>
      <c r="HG10" s="7">
        <v>-1.2330127515879801</v>
      </c>
      <c r="HH10" s="7">
        <v>-0.66992285647984495</v>
      </c>
      <c r="HI10" s="7">
        <v>-1.21468204375297</v>
      </c>
      <c r="HJ10" s="7">
        <v>-2.3817014837837599E-2</v>
      </c>
      <c r="HK10" s="7">
        <v>0.53018602789698899</v>
      </c>
      <c r="HL10" s="7">
        <v>0.72728558783480601</v>
      </c>
      <c r="HM10" s="7">
        <v>1.66641126586651</v>
      </c>
      <c r="HN10" s="7">
        <v>-2.3516441876797498</v>
      </c>
      <c r="HO10" s="7">
        <v>-0.11833719657618701</v>
      </c>
      <c r="HP10" s="7">
        <v>0.96369367948297102</v>
      </c>
      <c r="HQ10" s="7">
        <v>-5.5482617532038099E-2</v>
      </c>
      <c r="HR10" s="7">
        <v>0.98324834097159097</v>
      </c>
      <c r="HS10" s="7">
        <v>1.24378181049835</v>
      </c>
      <c r="HT10" s="7">
        <v>0.17041364229259601</v>
      </c>
      <c r="HU10" s="7">
        <v>-1.6520590506256301</v>
      </c>
      <c r="HV10" s="7">
        <v>-1.1970869004385201</v>
      </c>
      <c r="HW10" s="7">
        <v>7.7557818328192293E-2</v>
      </c>
      <c r="HX10" s="7">
        <v>-2.3527775887362701</v>
      </c>
      <c r="HY10" s="7">
        <v>-0.41169151644059099</v>
      </c>
      <c r="HZ10" s="7">
        <v>1.0241640934516001</v>
      </c>
      <c r="IA10" s="7">
        <v>-0.10648382911526801</v>
      </c>
      <c r="IB10" s="7">
        <v>2.1696376772321502</v>
      </c>
      <c r="IC10" s="7">
        <v>-2.39642635238588</v>
      </c>
      <c r="ID10" s="7">
        <v>-2.93164240722666</v>
      </c>
      <c r="IE10" s="7">
        <v>-0.77922766873343396</v>
      </c>
      <c r="IF10" s="7">
        <v>-0.69801508252584699</v>
      </c>
      <c r="IG10" s="7">
        <v>-0.46964220802342999</v>
      </c>
      <c r="IH10" s="7">
        <v>-0.89693871800871505</v>
      </c>
      <c r="II10" s="7">
        <v>0.111879569160604</v>
      </c>
      <c r="IJ10" s="7">
        <v>0.31045913255524898</v>
      </c>
      <c r="IK10" s="7">
        <v>0.132610784516561</v>
      </c>
      <c r="IL10" s="7">
        <v>-0.23349707868266101</v>
      </c>
      <c r="IM10" s="7">
        <v>-1.04676074944383</v>
      </c>
      <c r="IN10" s="7">
        <v>-0.18317545878916699</v>
      </c>
      <c r="IO10" s="7">
        <v>0.29851874626246799</v>
      </c>
      <c r="IP10" s="7">
        <v>-0.30440184667159198</v>
      </c>
      <c r="IQ10" s="7">
        <v>-0.162552279143867</v>
      </c>
      <c r="IR10" s="7">
        <v>0.645446987361876</v>
      </c>
      <c r="IS10" s="7">
        <v>0.75783374686571903</v>
      </c>
      <c r="IT10" s="7">
        <v>0.92347240485298399</v>
      </c>
      <c r="IU10" s="7">
        <v>-1.38555724274832</v>
      </c>
      <c r="IV10" s="7">
        <v>4.29480797725076E-2</v>
      </c>
      <c r="IW10" s="7">
        <v>0.90815156455848001</v>
      </c>
      <c r="IX10" s="7">
        <v>-0.22621441407655099</v>
      </c>
      <c r="IY10" s="7">
        <v>0.44214840533244598</v>
      </c>
      <c r="IZ10" s="7">
        <v>0.61772298295680805</v>
      </c>
      <c r="JA10" s="7">
        <v>-0.46852088438040901</v>
      </c>
      <c r="JB10" s="7">
        <v>1.0984816018308201</v>
      </c>
      <c r="JC10" s="7">
        <v>-0.35424660434907901</v>
      </c>
      <c r="JD10" s="7">
        <v>-0.27188936330979402</v>
      </c>
      <c r="JE10" s="7">
        <v>-0.38070304227798102</v>
      </c>
      <c r="JF10" s="7">
        <v>4.3955529837252399E-2</v>
      </c>
      <c r="JG10" s="7">
        <v>0.23254108824407299</v>
      </c>
      <c r="JH10" s="7">
        <v>-0.69257767087940103</v>
      </c>
      <c r="JI10" s="7">
        <v>0.32759816236253603</v>
      </c>
      <c r="JJ10" s="7">
        <v>-0.97331765711914797</v>
      </c>
      <c r="JK10" s="7">
        <v>5.45271646042777E-2</v>
      </c>
      <c r="JL10" s="7">
        <v>1.1536308411535801</v>
      </c>
      <c r="JM10" s="7">
        <v>0.135595566346847</v>
      </c>
      <c r="JN10" s="7">
        <v>-0.95004509668947901</v>
      </c>
      <c r="JO10" s="7">
        <v>-1.4336757827989699</v>
      </c>
      <c r="JP10" s="7">
        <v>-0.33838310375792002</v>
      </c>
      <c r="JQ10" s="7">
        <v>0.222190729187972</v>
      </c>
      <c r="JR10" s="7">
        <v>-0.55432047699901799</v>
      </c>
      <c r="JS10" s="7">
        <v>-1.0222359422398599</v>
      </c>
      <c r="JT10" s="7">
        <v>-0.30716207063682599</v>
      </c>
      <c r="JU10" s="7">
        <v>-1.3197046953032201E-2</v>
      </c>
      <c r="JV10" s="7">
        <v>0.67751181999254395</v>
      </c>
      <c r="JW10" s="7">
        <v>0.255548592767182</v>
      </c>
      <c r="JX10" s="7">
        <v>-1.3974938596466799</v>
      </c>
      <c r="JY10" s="7">
        <v>-0.71419841738891199</v>
      </c>
      <c r="JZ10" s="7">
        <v>-0.77206617840874603</v>
      </c>
      <c r="KA10" s="7">
        <v>0.23773385485774601</v>
      </c>
      <c r="KB10" s="7">
        <v>-1.6720145333627301</v>
      </c>
      <c r="KC10" s="7">
        <v>-1.33745615741874</v>
      </c>
      <c r="KD10" s="7">
        <v>-1.4923588979087199</v>
      </c>
      <c r="KE10" s="7">
        <v>-0.415783162296118</v>
      </c>
      <c r="KF10" s="7">
        <v>-0.97488918636690003</v>
      </c>
      <c r="KG10" s="7">
        <v>0.31999143455910001</v>
      </c>
      <c r="KH10" s="7">
        <v>0.24315734504106401</v>
      </c>
      <c r="KI10" s="7">
        <v>1.9954930285536601</v>
      </c>
      <c r="KJ10" s="7">
        <v>-0.23109820442033699</v>
      </c>
      <c r="KK10" s="7">
        <v>0.77032143289393995</v>
      </c>
      <c r="KL10" s="7">
        <v>0.47988885100395701</v>
      </c>
      <c r="KM10" s="7">
        <v>-0.66854617556315898</v>
      </c>
      <c r="KN10" s="7">
        <v>-0.121888330806267</v>
      </c>
      <c r="KO10" s="7">
        <v>0.834429995282432</v>
      </c>
      <c r="KP10" s="7">
        <v>-0.480022896031853</v>
      </c>
      <c r="KQ10" s="7">
        <v>-1.67565516370431</v>
      </c>
      <c r="KR10" s="7">
        <v>0.15252466007545201</v>
      </c>
      <c r="KS10" s="7">
        <v>-1.0309265295539101</v>
      </c>
      <c r="KT10" s="7">
        <v>-1.2168334909267799</v>
      </c>
      <c r="KU10" s="7">
        <v>-0.47282618122315601</v>
      </c>
      <c r="KV10" s="7">
        <v>1.1061054100859899</v>
      </c>
      <c r="KW10" s="7">
        <v>-0.83720747466517098</v>
      </c>
      <c r="KX10" s="7">
        <v>-0.826498061075433</v>
      </c>
      <c r="KY10" s="7">
        <v>-1.17548993726173</v>
      </c>
      <c r="KZ10" s="7">
        <v>-0.505278218847933</v>
      </c>
      <c r="LA10" s="7">
        <v>-0.62082499115642598</v>
      </c>
      <c r="LB10" s="7">
        <v>-0.33373056531843798</v>
      </c>
      <c r="LC10" s="7">
        <v>0.90229393576556904</v>
      </c>
      <c r="LD10" s="7">
        <v>0.90880414632333895</v>
      </c>
      <c r="LE10" s="7">
        <v>-1.6897960065744699</v>
      </c>
      <c r="LF10" s="7">
        <v>0.87636400659646996</v>
      </c>
      <c r="LG10" s="7">
        <v>-7.7950780475152401E-2</v>
      </c>
      <c r="LH10" s="7">
        <v>0.34625189030938702</v>
      </c>
      <c r="LI10" s="7">
        <v>1.1299880182202799</v>
      </c>
      <c r="LJ10" s="7">
        <v>1.4087626910301201</v>
      </c>
      <c r="LK10" s="7">
        <v>1.18625008358976</v>
      </c>
      <c r="LL10" s="7">
        <v>0.60987942703095999</v>
      </c>
      <c r="LM10" s="7">
        <v>-1.47851344332443</v>
      </c>
      <c r="LN10" s="7">
        <v>-0.35144679562383102</v>
      </c>
      <c r="LO10" s="7">
        <v>4.0828170335845702E-2</v>
      </c>
      <c r="LP10" s="7">
        <v>-0.55202083281416603</v>
      </c>
      <c r="LQ10" s="7">
        <v>-0.27496078877943497</v>
      </c>
      <c r="LR10" s="7">
        <v>0.86034200553083695</v>
      </c>
      <c r="LS10" s="7">
        <v>-0.29070013247043502</v>
      </c>
      <c r="LT10" s="7">
        <v>-1.10923282729089</v>
      </c>
      <c r="LU10" s="7">
        <v>0.78160167053457896</v>
      </c>
      <c r="LV10" s="7">
        <v>1.5502810466506101</v>
      </c>
      <c r="LW10" s="7">
        <v>0.74128060390907802</v>
      </c>
      <c r="LX10" s="7">
        <v>0.93047760040879401</v>
      </c>
      <c r="LY10" s="7">
        <v>-1.4812091293412999</v>
      </c>
      <c r="LZ10" s="7">
        <v>1.08189795048431</v>
      </c>
      <c r="MA10" s="7">
        <v>0.935746316384791</v>
      </c>
      <c r="MB10" s="7">
        <v>-1.62727234315087</v>
      </c>
      <c r="MC10" s="7">
        <v>-1.5258553201029501</v>
      </c>
      <c r="MD10" s="7">
        <v>-0.39305380606268903</v>
      </c>
      <c r="ME10" s="7">
        <v>-1.8750205594279501</v>
      </c>
      <c r="MF10" s="7">
        <v>0.15430409206392201</v>
      </c>
      <c r="MG10" s="7">
        <v>9.6967061947397307E-2</v>
      </c>
      <c r="MH10" s="7">
        <v>0.80500583060119701</v>
      </c>
      <c r="MI10" s="7">
        <v>0.51177619769758798</v>
      </c>
      <c r="MJ10" s="7">
        <v>-1.32133397475659</v>
      </c>
      <c r="MK10" s="7">
        <v>1.3043005538719801</v>
      </c>
      <c r="ML10" s="7">
        <v>1.41308370433939</v>
      </c>
      <c r="MM10" s="7">
        <v>5.5160472358498002E-3</v>
      </c>
      <c r="MN10" s="7">
        <v>-1.03168386702519</v>
      </c>
      <c r="MO10" s="7">
        <v>1.0637217353205699</v>
      </c>
      <c r="MP10" s="7">
        <v>0.90161915430494</v>
      </c>
      <c r="MQ10" s="7">
        <v>2.1229772080301901</v>
      </c>
      <c r="MR10" s="7">
        <v>-0.25436793829780702</v>
      </c>
      <c r="MS10" s="7">
        <v>-0.24584664366821299</v>
      </c>
      <c r="MT10" s="7">
        <v>-1.05537322746203</v>
      </c>
      <c r="MU10" s="7">
        <v>0.82156190452005096</v>
      </c>
      <c r="MV10" s="7">
        <v>-0.37053626944012602</v>
      </c>
      <c r="MW10" s="7">
        <v>-0.44379005983691799</v>
      </c>
      <c r="MX10" s="7">
        <v>7.5684112624196595E-2</v>
      </c>
      <c r="MY10" s="7">
        <v>0.64148868107047097</v>
      </c>
      <c r="MZ10" s="7">
        <v>-1.1365820483525799</v>
      </c>
      <c r="NA10" s="7">
        <v>-0.68075590187991497</v>
      </c>
      <c r="NB10" s="7">
        <v>0.57129823531643098</v>
      </c>
      <c r="NC10" s="7">
        <v>2.04442199293845</v>
      </c>
      <c r="ND10" s="7">
        <v>0.34310513670217502</v>
      </c>
      <c r="NE10" s="7">
        <v>0.160717222377742</v>
      </c>
      <c r="NF10" s="7">
        <v>0.749372367300848</v>
      </c>
      <c r="NG10" s="7">
        <v>-0.84418924322759703</v>
      </c>
      <c r="NH10" s="7">
        <v>1.3458951179430001</v>
      </c>
      <c r="NI10" s="7">
        <v>1.0700409699509601</v>
      </c>
      <c r="NJ10" s="7">
        <v>-2.6340868983128901E-2</v>
      </c>
      <c r="NK10" s="7">
        <v>-0.89000919795146205</v>
      </c>
      <c r="NL10" s="7">
        <v>-0.50649872909446902</v>
      </c>
      <c r="NM10" s="7">
        <v>1.82545864338743</v>
      </c>
      <c r="NN10" s="7">
        <v>0.50510193177056695</v>
      </c>
      <c r="NO10" s="7">
        <v>-1.14214097422276</v>
      </c>
      <c r="NP10" s="7">
        <v>1.16460287320807</v>
      </c>
      <c r="NQ10" s="7">
        <v>0.64790842660178205</v>
      </c>
      <c r="NR10" s="7">
        <v>-0.45919067105079697</v>
      </c>
      <c r="NS10" s="7">
        <v>-1.0487228631290699</v>
      </c>
      <c r="NT10" s="7">
        <v>1.50872067147842</v>
      </c>
      <c r="NU10" s="7">
        <v>-0.202081963853804</v>
      </c>
      <c r="NV10" s="7">
        <v>-0.17887665126066801</v>
      </c>
      <c r="NW10" s="7">
        <v>-0.389174844486042</v>
      </c>
      <c r="NX10" s="7">
        <v>-5.6774124242446697E-2</v>
      </c>
      <c r="NY10" s="7">
        <v>-0.167560452513703</v>
      </c>
      <c r="NZ10" s="7">
        <v>1.3529790126293499</v>
      </c>
      <c r="OA10" s="7">
        <v>1.68877598360638</v>
      </c>
      <c r="OB10" s="7">
        <v>1.3578645378113701</v>
      </c>
      <c r="OC10" s="7">
        <v>1.51009383867832</v>
      </c>
      <c r="OD10" s="7">
        <v>-0.10027173174559501</v>
      </c>
      <c r="OE10" s="7">
        <v>-0.250162287938548</v>
      </c>
      <c r="OF10" s="7">
        <v>0.51293948769424003</v>
      </c>
      <c r="OG10" s="7">
        <v>2.3052018702699502</v>
      </c>
      <c r="OH10" s="7">
        <v>-1.93217281516521</v>
      </c>
      <c r="OI10" s="7">
        <v>-0.251443873617959</v>
      </c>
      <c r="OJ10" s="7">
        <v>0.72291954339556497</v>
      </c>
      <c r="OK10" s="7">
        <v>0.34277924407576799</v>
      </c>
      <c r="OL10" s="7">
        <v>1.2163857798248301</v>
      </c>
      <c r="OM10" s="7">
        <v>-0.23272729678946399</v>
      </c>
      <c r="ON10" s="7">
        <v>0.79349341368069204</v>
      </c>
      <c r="OO10" s="7">
        <v>0.12788807613238101</v>
      </c>
      <c r="OP10" s="7">
        <v>-0.77917875265414405</v>
      </c>
      <c r="OQ10" s="7">
        <v>1.5264667776291501</v>
      </c>
      <c r="OR10" s="7">
        <v>1.54461398848536</v>
      </c>
      <c r="OS10" s="7">
        <v>-1.0684088903511701E-2</v>
      </c>
      <c r="OT10" s="7">
        <v>-1.65039663758488</v>
      </c>
      <c r="OU10" s="7">
        <v>-0.77634511656725602</v>
      </c>
      <c r="OV10" s="7">
        <v>-0.48618101671634001</v>
      </c>
      <c r="OW10" s="7">
        <v>-0.16586211937745901</v>
      </c>
      <c r="OX10" s="7">
        <v>-1.479193204265</v>
      </c>
      <c r="OY10" s="7">
        <v>0.86397386119619402</v>
      </c>
      <c r="OZ10" s="7">
        <v>0.60232274557356602</v>
      </c>
      <c r="PA10" s="7">
        <v>1.0394641755318801</v>
      </c>
      <c r="PB10" s="7">
        <v>1.4414291333563201</v>
      </c>
      <c r="PC10" s="7">
        <v>0.79393021237647898</v>
      </c>
      <c r="PD10" s="7">
        <v>0.36694738194334198</v>
      </c>
      <c r="PE10" s="7">
        <v>1.9221246185338701</v>
      </c>
      <c r="PF10" s="7">
        <v>-0.76802020874925803</v>
      </c>
      <c r="PG10" s="7">
        <v>2.94535229523342E-2</v>
      </c>
      <c r="PH10" s="7">
        <v>0.43961483336129298</v>
      </c>
      <c r="PI10" s="7">
        <v>0.23791969392791901</v>
      </c>
      <c r="PJ10" s="7">
        <v>7.8240020750713499E-2</v>
      </c>
      <c r="PK10" s="7">
        <v>1.12891579748598</v>
      </c>
      <c r="PL10" s="7">
        <v>-1.66891523286457</v>
      </c>
      <c r="PM10" s="7">
        <v>0.71373049547883405</v>
      </c>
      <c r="PN10" s="7">
        <v>6.1287988736118397E-2</v>
      </c>
      <c r="PO10" s="7">
        <v>0.565341913349796</v>
      </c>
      <c r="PP10" s="7">
        <v>-0.85519656035663505</v>
      </c>
      <c r="PQ10" s="7">
        <v>-0.57729195943448297</v>
      </c>
      <c r="PR10" s="7">
        <v>-0.57215351548089399</v>
      </c>
      <c r="PS10" s="7">
        <v>0.31150952563107598</v>
      </c>
      <c r="PT10" s="7">
        <v>1.2443844367583801</v>
      </c>
      <c r="PU10" s="7">
        <v>-0.63527768269066998</v>
      </c>
      <c r="PV10" s="7">
        <v>0.10356515615577799</v>
      </c>
      <c r="PW10" s="7">
        <v>0.88707958299646705</v>
      </c>
      <c r="PX10" s="7">
        <v>-1.61384485270247</v>
      </c>
      <c r="PY10" s="7">
        <v>0.35528711971627402</v>
      </c>
      <c r="PZ10" s="7">
        <v>0.153282965702878</v>
      </c>
      <c r="QA10" s="7">
        <v>-0.77543459672482895</v>
      </c>
      <c r="QB10" s="7">
        <v>2.4250431527108298</v>
      </c>
      <c r="QC10" s="7">
        <v>0.16726736722063901</v>
      </c>
      <c r="QD10" s="7">
        <v>-0.58978109194934702</v>
      </c>
      <c r="QE10" s="7">
        <v>1.1450453937474201</v>
      </c>
      <c r="QF10" s="7">
        <v>-0.50637063450734099</v>
      </c>
      <c r="QG10" s="7">
        <v>-2.2216018653659999</v>
      </c>
      <c r="QH10" s="7">
        <v>-1.21113533490971</v>
      </c>
      <c r="QI10" s="7">
        <v>1.4763713288364699</v>
      </c>
      <c r="QJ10" s="7">
        <v>-0.86882880892985903</v>
      </c>
      <c r="QK10" s="7">
        <v>-0.73871377453463405</v>
      </c>
      <c r="QL10" s="7">
        <v>-0.750815138575751</v>
      </c>
      <c r="QM10" s="7">
        <v>1.1353084108353499</v>
      </c>
      <c r="QN10" s="7">
        <v>-1.88849092432018</v>
      </c>
      <c r="QO10" s="7">
        <v>1.1611462554362499</v>
      </c>
      <c r="QP10" s="7">
        <v>-0.91987603611336299</v>
      </c>
      <c r="QQ10" s="7">
        <v>-0.43562240457797602</v>
      </c>
      <c r="QR10" s="7">
        <v>0.108386672358842</v>
      </c>
      <c r="QS10" s="7">
        <v>-0.67650077662980501</v>
      </c>
      <c r="QT10" s="7">
        <v>0.240261919371417</v>
      </c>
      <c r="QU10" s="7">
        <v>0.15974356718966601</v>
      </c>
      <c r="QV10" s="7">
        <v>0.61984714141498798</v>
      </c>
      <c r="QW10" s="7">
        <v>-1.1187686654139499</v>
      </c>
      <c r="QX10" s="7">
        <v>0.36425939257964701</v>
      </c>
      <c r="QY10" s="7">
        <v>0.14639900594693001</v>
      </c>
      <c r="QZ10" s="7">
        <v>-0.285689757112499</v>
      </c>
      <c r="RA10" s="7">
        <v>-1.68238614101505</v>
      </c>
      <c r="RB10" s="7">
        <v>-0.38001502804257598</v>
      </c>
      <c r="RC10" s="7">
        <v>-1.00174875696072</v>
      </c>
      <c r="RD10" s="7">
        <v>1.06648959465078</v>
      </c>
      <c r="RE10" s="7">
        <v>2.31075086646544E-2</v>
      </c>
      <c r="RF10" s="7">
        <v>-0.27077323297135097</v>
      </c>
      <c r="RG10" s="7">
        <v>-1.35982424963991</v>
      </c>
      <c r="RH10" s="7">
        <v>1.1106106255620101</v>
      </c>
      <c r="RI10" s="7">
        <v>0.40015310278850003</v>
      </c>
      <c r="RJ10" s="7">
        <v>-0.99929815790699805</v>
      </c>
      <c r="RK10" s="7">
        <v>-1.72689172603977</v>
      </c>
      <c r="RL10" s="7">
        <v>-0.39833223165791798</v>
      </c>
      <c r="RM10" s="7">
        <v>0.76929053207666198</v>
      </c>
      <c r="RN10" s="7">
        <v>1.5810670364639301</v>
      </c>
      <c r="RO10" s="7">
        <v>1.5708926139391499</v>
      </c>
      <c r="RP10" s="7">
        <v>-0.12270663658278901</v>
      </c>
      <c r="RQ10" s="7">
        <v>1.2005313145257399</v>
      </c>
      <c r="RR10" s="7">
        <v>-2.3179698405964701E-2</v>
      </c>
      <c r="RS10" s="7">
        <v>0.79371618772408903</v>
      </c>
      <c r="RT10" s="7">
        <v>0.25845998733414499</v>
      </c>
      <c r="RU10" s="7">
        <v>-0.610152926499962</v>
      </c>
      <c r="RV10" s="7">
        <v>-1.18352269380754</v>
      </c>
      <c r="RW10" s="7">
        <v>0.25613248364238</v>
      </c>
      <c r="RX10" s="7">
        <v>-1.4340908580231401E-2</v>
      </c>
      <c r="RY10" s="7">
        <v>1.0572637862787</v>
      </c>
      <c r="RZ10" s="7">
        <v>-0.97804493357804001</v>
      </c>
      <c r="SA10" s="7">
        <v>4.7770720660404699E-2</v>
      </c>
      <c r="SB10" s="7">
        <v>0.29352903050351697</v>
      </c>
      <c r="SC10" s="7">
        <v>-0.54169973667861504</v>
      </c>
      <c r="SD10" s="7">
        <v>0.126891193247781</v>
      </c>
      <c r="SE10" s="7">
        <v>-0.37927943029563999</v>
      </c>
      <c r="SF10" s="7">
        <v>-0.98337953973024494</v>
      </c>
      <c r="SG10" s="7">
        <v>1.00688831172477</v>
      </c>
      <c r="SH10" s="7">
        <v>0.230999155983072</v>
      </c>
      <c r="SI10" s="7">
        <v>1.20987747451536</v>
      </c>
      <c r="SJ10" s="7">
        <v>0.90556679295880604</v>
      </c>
      <c r="SK10" s="7">
        <v>-3.5890988092196298E-2</v>
      </c>
      <c r="SL10" s="7">
        <v>-0.80592896246632695</v>
      </c>
      <c r="SM10" s="7">
        <v>1.04227136175597</v>
      </c>
      <c r="SN10" s="7">
        <v>-0.72879087217550598</v>
      </c>
      <c r="SO10" s="7">
        <v>1.2344360341268299</v>
      </c>
      <c r="SP10" s="7">
        <v>-0.63266983610275596</v>
      </c>
      <c r="SQ10" s="7">
        <v>1.3448005482801699</v>
      </c>
      <c r="SR10" s="7">
        <v>0.52573883150890499</v>
      </c>
      <c r="SS10" s="7">
        <v>-0.15415248229550699</v>
      </c>
      <c r="ST10" s="7">
        <v>1.4235386562552801</v>
      </c>
      <c r="SU10" s="7">
        <v>0.30464450568259399</v>
      </c>
      <c r="SV10" s="7">
        <v>0.99724433435576598</v>
      </c>
      <c r="SW10" s="7">
        <v>0.14529414835187299</v>
      </c>
      <c r="SX10" s="7">
        <v>0.16532141748632201</v>
      </c>
      <c r="SY10" s="7">
        <v>-1.5081832462940501</v>
      </c>
      <c r="SZ10" s="7">
        <v>-1.89170007689433</v>
      </c>
      <c r="TA10" s="7">
        <v>2.9438423774890898</v>
      </c>
      <c r="TB10" s="7">
        <v>-0.765882308832179</v>
      </c>
      <c r="TC10" s="7">
        <v>0.226744088836588</v>
      </c>
      <c r="TD10" s="7">
        <v>-9.8330446345092207E-2</v>
      </c>
      <c r="TE10" s="7">
        <v>-1.30145241313122</v>
      </c>
      <c r="TF10" s="7">
        <v>-1.2763507402915599</v>
      </c>
      <c r="TG10" s="7">
        <v>0.42638330670055502</v>
      </c>
      <c r="TH10" s="7">
        <v>-1.58420195832253E-2</v>
      </c>
      <c r="TI10" s="7">
        <v>-0.104560711626025</v>
      </c>
      <c r="TJ10" s="7">
        <v>-0.56384961135763501</v>
      </c>
      <c r="TK10" s="7">
        <v>-0.737403854970617</v>
      </c>
      <c r="TL10" s="7">
        <v>0.57565123355786396</v>
      </c>
      <c r="TM10" s="7">
        <v>0.33383151644815101</v>
      </c>
      <c r="TN10" s="7">
        <v>-0.89988448726481995</v>
      </c>
      <c r="TO10" s="7">
        <v>0.14241479224694101</v>
      </c>
      <c r="TP10" s="7">
        <v>-0.28003175296064198</v>
      </c>
      <c r="TQ10" s="7">
        <v>0.70206266032144204</v>
      </c>
      <c r="TR10" s="7">
        <v>1.6930106437213199</v>
      </c>
      <c r="TS10" s="7">
        <v>-0.45932436432698098</v>
      </c>
      <c r="TT10" s="7">
        <v>0.383854281888376</v>
      </c>
      <c r="TU10" s="7">
        <v>1.0588342437806</v>
      </c>
      <c r="TV10" s="7">
        <v>-1.5656184327943099</v>
      </c>
      <c r="TW10" s="7">
        <v>-0.202500914854676</v>
      </c>
      <c r="TX10" s="7">
        <v>1.0095554073975499</v>
      </c>
      <c r="TY10" s="7">
        <v>0.120013552057415</v>
      </c>
      <c r="TZ10" s="7">
        <v>2.80093441459398E-2</v>
      </c>
      <c r="UA10" s="7">
        <v>0.36036806125422299</v>
      </c>
      <c r="UB10" s="7">
        <v>-1.7104710319656999E-3</v>
      </c>
      <c r="UC10" s="7">
        <v>1.4634788382285999</v>
      </c>
      <c r="UD10" s="7">
        <v>1.5051068056099399</v>
      </c>
      <c r="UE10" s="7">
        <v>1.1195337686287199</v>
      </c>
      <c r="UF10" s="7">
        <v>-0.44921219811289098</v>
      </c>
      <c r="UG10" s="7">
        <v>0.85910155974542002</v>
      </c>
      <c r="UH10" s="7">
        <v>0.14331631966077499</v>
      </c>
      <c r="UI10" s="7">
        <v>-0.51996415901050397</v>
      </c>
      <c r="UJ10" s="7">
        <v>-0.95520753070864695</v>
      </c>
      <c r="UK10" s="7">
        <v>0.22768795975747</v>
      </c>
      <c r="UL10" s="7">
        <v>0.51240211963791904</v>
      </c>
      <c r="UM10" s="7">
        <v>-0.29793717104222001</v>
      </c>
      <c r="UN10" s="7">
        <v>0.63168354404608296</v>
      </c>
      <c r="UO10" s="7">
        <v>-0.66129856117364005</v>
      </c>
      <c r="UP10" s="7">
        <v>-2.0922353463558299</v>
      </c>
      <c r="UQ10" s="7">
        <v>-0.331854702068342</v>
      </c>
      <c r="UR10" s="7">
        <v>-0.90282901185087705</v>
      </c>
      <c r="US10" s="7">
        <v>-0.80796690041145003</v>
      </c>
      <c r="UT10" s="7">
        <v>-0.84807077421757504</v>
      </c>
      <c r="UU10" s="7">
        <v>-0.88037350422050598</v>
      </c>
      <c r="UV10" s="7">
        <v>0.57525035023718096</v>
      </c>
      <c r="UW10" s="7">
        <v>7.9875598176929005E-2</v>
      </c>
      <c r="UX10" s="7">
        <v>-2.9558766859230898</v>
      </c>
      <c r="UY10" s="7">
        <v>0.30537965769764902</v>
      </c>
      <c r="UZ10" s="7">
        <v>0.39850617942335198</v>
      </c>
      <c r="VA10" s="7">
        <v>0.81012654149624097</v>
      </c>
      <c r="VB10" s="7">
        <v>0.835151049681636</v>
      </c>
      <c r="VC10" s="7">
        <v>-1.61729227932108</v>
      </c>
      <c r="VD10" s="7">
        <v>-0.56470219923734599</v>
      </c>
      <c r="VE10" s="7">
        <v>1.8693963156513799E-2</v>
      </c>
      <c r="VF10" s="7">
        <v>1.7638971392235001E-3</v>
      </c>
      <c r="VG10" s="7">
        <v>0.65165981893599101</v>
      </c>
      <c r="VH10" s="7">
        <v>0.28895450826099101</v>
      </c>
      <c r="VI10" s="7">
        <v>-0.37322014869575398</v>
      </c>
      <c r="VJ10" s="7">
        <v>-1.6747650654814701</v>
      </c>
      <c r="VK10" s="7">
        <v>0.33691955865755502</v>
      </c>
      <c r="VL10" s="7">
        <v>-0.75018974091619595</v>
      </c>
      <c r="VM10" s="7">
        <v>-0.78930809611275898</v>
      </c>
      <c r="VN10" s="7">
        <v>-0.97910685744925097</v>
      </c>
      <c r="VO10" s="7">
        <v>-1.4067268647044699</v>
      </c>
      <c r="VP10" s="7">
        <v>-0.18799212285847799</v>
      </c>
      <c r="VQ10" s="7">
        <v>-0.52742361069969301</v>
      </c>
      <c r="VR10" s="7">
        <v>0.83489482907635104</v>
      </c>
      <c r="VS10" s="7">
        <v>1.02609333348964E-2</v>
      </c>
      <c r="VT10" s="7">
        <v>-1.1918603740974001</v>
      </c>
      <c r="VU10" s="7">
        <v>-1.0692274103288899</v>
      </c>
      <c r="VV10" s="7">
        <v>-1.3751977221531799</v>
      </c>
      <c r="VW10" s="7">
        <v>1.7504910889432901</v>
      </c>
      <c r="VX10" s="7">
        <v>2.3670532677254599</v>
      </c>
      <c r="VY10" s="7">
        <v>-1.4305667541453899</v>
      </c>
      <c r="VZ10" s="7">
        <v>-0.93676491260273897</v>
      </c>
      <c r="WA10" s="7">
        <v>0.88042948354764194</v>
      </c>
      <c r="WB10" s="7">
        <v>0.94882120949351001</v>
      </c>
      <c r="WC10" s="7">
        <v>-0.56605899276941096</v>
      </c>
      <c r="WD10" s="7">
        <v>0.61461850655010497</v>
      </c>
      <c r="WE10" s="7">
        <v>0.83554880510487295</v>
      </c>
      <c r="WF10" s="7">
        <v>-0.26704140057306902</v>
      </c>
      <c r="WG10" s="7">
        <v>0.54545847120784696</v>
      </c>
      <c r="WH10" s="7">
        <v>-0.11521239709006501</v>
      </c>
      <c r="WI10" s="7">
        <v>0.64459945116137796</v>
      </c>
      <c r="WJ10" s="7">
        <v>0.124999811364726</v>
      </c>
      <c r="WK10" s="7">
        <v>0.84748749225914599</v>
      </c>
      <c r="WL10" s="7">
        <v>0.37284109516465302</v>
      </c>
      <c r="WM10" s="7">
        <v>-0.37673646154264401</v>
      </c>
      <c r="WN10" s="7">
        <v>9.1205861652198697E-2</v>
      </c>
      <c r="WO10" s="7">
        <v>-0.19619013492762</v>
      </c>
      <c r="WP10" s="7">
        <v>-0.84631018258392698</v>
      </c>
      <c r="WQ10" s="7">
        <v>-8.5692110836311994E-2</v>
      </c>
      <c r="WR10" s="7">
        <v>-0.60884031819045503</v>
      </c>
      <c r="WS10" s="7">
        <v>-0.62711968080605296</v>
      </c>
      <c r="WT10" s="7">
        <v>0.620131802406518</v>
      </c>
      <c r="WU10" s="7">
        <v>-0.41560029268489102</v>
      </c>
      <c r="WV10" s="7">
        <v>-0.52343940071116601</v>
      </c>
      <c r="WW10" s="7">
        <v>0.653478645921586</v>
      </c>
      <c r="WX10" s="7">
        <v>0.58748954275804699</v>
      </c>
      <c r="WY10" s="7">
        <v>-0.234988953971979</v>
      </c>
      <c r="WZ10" s="7">
        <v>0.27258031745456002</v>
      </c>
      <c r="XA10" s="7">
        <v>1.08691420270512</v>
      </c>
      <c r="XB10" s="7">
        <v>0.18283855311824501</v>
      </c>
      <c r="XC10" s="7">
        <v>1.39640324280681E-2</v>
      </c>
      <c r="XD10" s="7">
        <v>-0.28950249498258501</v>
      </c>
      <c r="XE10" s="7">
        <v>8.5495619205133599E-2</v>
      </c>
      <c r="XF10" s="7">
        <v>-8.2697426896641807E-2</v>
      </c>
      <c r="XG10" s="7">
        <v>-0.19527159337380701</v>
      </c>
      <c r="XH10" s="7">
        <v>1.14595286598395</v>
      </c>
      <c r="XI10" s="7">
        <v>-7.9387000004512404E-2</v>
      </c>
      <c r="XJ10" s="7">
        <v>-1.30390716394825</v>
      </c>
      <c r="XK10" s="7">
        <v>1.91913262298922</v>
      </c>
      <c r="XL10" s="7">
        <v>1.42136767751386</v>
      </c>
      <c r="XM10" s="7">
        <v>-0.840667497920913</v>
      </c>
      <c r="XN10" s="7">
        <v>-1.0561610578067799</v>
      </c>
      <c r="XO10" s="7">
        <v>1.2914127222797001</v>
      </c>
      <c r="XP10" s="7">
        <v>-0.60762841953831603</v>
      </c>
      <c r="XQ10" s="7">
        <v>-2.5289195097524799</v>
      </c>
      <c r="XR10" s="7">
        <v>1.1643366898004299</v>
      </c>
      <c r="XS10" s="7">
        <v>1.0514874721387399</v>
      </c>
      <c r="XT10" s="7">
        <v>1.5717292532226801</v>
      </c>
      <c r="XU10" s="7">
        <v>-0.38018650392037001</v>
      </c>
      <c r="XV10" s="7">
        <v>0.68090067095007301</v>
      </c>
      <c r="XW10" s="7">
        <v>0.52497184063956703</v>
      </c>
      <c r="XX10" s="7">
        <v>1.2429557635274999E-3</v>
      </c>
      <c r="XY10" s="7">
        <v>0.31673732704393698</v>
      </c>
      <c r="XZ10" s="7">
        <v>0.46819970070988598</v>
      </c>
      <c r="YA10" s="7">
        <v>-2.39687784277215E-2</v>
      </c>
      <c r="YB10" s="7">
        <v>0.169301882898655</v>
      </c>
      <c r="YC10" s="7">
        <v>0.13364236997663401</v>
      </c>
      <c r="YD10" s="7">
        <v>-2.32596602605767</v>
      </c>
      <c r="YE10" s="7">
        <v>0.68532751609693499</v>
      </c>
      <c r="YF10" s="7">
        <v>2.3712581001874198</v>
      </c>
      <c r="YG10" s="7">
        <v>-0.74242620338839205</v>
      </c>
      <c r="YH10" s="7">
        <v>-1.9906148480177299</v>
      </c>
      <c r="YI10" s="7">
        <v>-0.92825436475043699</v>
      </c>
      <c r="YJ10" s="7">
        <v>0.91436284587383598</v>
      </c>
      <c r="YK10" s="7">
        <v>0.357601890212564</v>
      </c>
      <c r="YL10" s="7">
        <v>-0.25142890412663998</v>
      </c>
      <c r="YM10" s="7">
        <v>-2.08965989566064</v>
      </c>
      <c r="YN10" s="7">
        <v>0.93521046933743301</v>
      </c>
      <c r="YO10" s="7">
        <v>-0.86545087908445195</v>
      </c>
      <c r="YP10" s="7">
        <v>1.6771349453017099</v>
      </c>
      <c r="YQ10" s="7">
        <v>-1.9988260039294801</v>
      </c>
      <c r="YR10" s="7">
        <v>-0.51437765031484795</v>
      </c>
      <c r="YS10" s="7">
        <v>-8.6181378305801901E-2</v>
      </c>
      <c r="YT10" s="7">
        <v>1.8969068429948399</v>
      </c>
      <c r="YU10" s="7">
        <v>1.4658983354603301</v>
      </c>
      <c r="YV10" s="7">
        <v>0.103673926783034</v>
      </c>
      <c r="YW10" s="7">
        <v>-0.59162679896526604</v>
      </c>
      <c r="YX10" s="7">
        <v>1.6002332084545801</v>
      </c>
      <c r="YY10" s="7">
        <v>-0.282445308732585</v>
      </c>
      <c r="YZ10" s="7">
        <v>1.3495765104401001</v>
      </c>
      <c r="ZA10" s="7">
        <v>1.0330227188128001</v>
      </c>
      <c r="ZB10" s="7">
        <v>1.71126602798336</v>
      </c>
      <c r="ZC10" s="7">
        <v>-0.28045671574919701</v>
      </c>
      <c r="ZD10" s="7">
        <v>-0.27726308486476398</v>
      </c>
      <c r="ZE10" s="7">
        <v>-0.96226416008123805</v>
      </c>
      <c r="ZF10" s="7">
        <v>-0.37724333872343202</v>
      </c>
      <c r="ZG10" s="7">
        <v>1.1213007839023801</v>
      </c>
      <c r="ZH10" s="7">
        <v>-0.17473398943420301</v>
      </c>
      <c r="ZI10" s="7">
        <v>-0.92250091533361001</v>
      </c>
      <c r="ZJ10" s="7">
        <v>0.33736192418611299</v>
      </c>
      <c r="ZK10" s="7">
        <v>0.74094285326899501</v>
      </c>
      <c r="ZL10" s="7">
        <v>-1.6544925116564599</v>
      </c>
      <c r="ZM10" s="7">
        <v>1.92897508783481</v>
      </c>
      <c r="ZN10" s="7">
        <v>0.10090873587487301</v>
      </c>
      <c r="ZO10" s="7">
        <v>0.71051239923593001</v>
      </c>
      <c r="ZP10" s="7">
        <v>-0.116542499210175</v>
      </c>
      <c r="ZQ10" s="7">
        <v>-1.1918999734565401</v>
      </c>
      <c r="ZR10" s="7">
        <v>-0.40031757750563401</v>
      </c>
      <c r="ZS10" s="7">
        <v>-1.02698326126785</v>
      </c>
      <c r="ZT10" s="7">
        <v>0.395297729902512</v>
      </c>
      <c r="ZU10" s="7">
        <v>-1.37694228623254</v>
      </c>
      <c r="ZV10" s="7">
        <v>-0.19048251416659301</v>
      </c>
      <c r="ZW10" s="7">
        <v>-0.54032762545456003</v>
      </c>
      <c r="ZX10" s="7">
        <v>0.52980046430988703</v>
      </c>
      <c r="ZY10" s="7">
        <v>6.2332386969405601E-2</v>
      </c>
      <c r="ZZ10" s="7">
        <v>0.54246028223333398</v>
      </c>
      <c r="AAA10" s="7">
        <v>-1.3055939494237001</v>
      </c>
      <c r="AAB10" s="7">
        <v>-0.93370936954276196</v>
      </c>
      <c r="AAC10" s="7">
        <v>-1.0572399480725001</v>
      </c>
      <c r="AAD10" s="7">
        <v>-0.36722073787638598</v>
      </c>
      <c r="AAE10" s="7">
        <v>-0.24991734529715201</v>
      </c>
      <c r="AAF10" s="7">
        <v>-0.36854146052553299</v>
      </c>
      <c r="AAG10" s="7">
        <v>0.27362896143117998</v>
      </c>
      <c r="AAH10" s="7">
        <v>-1.18965936739061</v>
      </c>
      <c r="AAI10" s="7">
        <v>-1.8195343542344901E-2</v>
      </c>
      <c r="AAJ10" s="7">
        <v>-1.2871170156412901</v>
      </c>
      <c r="AAK10" s="7">
        <v>-1.0193164666587899</v>
      </c>
      <c r="AAL10" s="7">
        <v>0.88438474366812403</v>
      </c>
      <c r="AAM10" s="7">
        <v>-0.19886616764610801</v>
      </c>
      <c r="AAN10" s="7">
        <v>-1.03091514799341</v>
      </c>
      <c r="AAO10" s="7">
        <v>-0.29339345203165501</v>
      </c>
      <c r="AAP10" s="7">
        <v>0.74381777547917804</v>
      </c>
      <c r="AAQ10" s="7">
        <v>0.89760042512967397</v>
      </c>
      <c r="AAR10" s="7">
        <v>-1.7232161058143201</v>
      </c>
      <c r="AAS10" s="7">
        <v>1.7723124421296099</v>
      </c>
      <c r="AAT10" s="7">
        <v>-1.7756365323024601</v>
      </c>
      <c r="AAU10" s="7">
        <v>-1.2853358861453199</v>
      </c>
      <c r="AAV10" s="7">
        <v>2.0299919272429201</v>
      </c>
      <c r="AAW10" s="7">
        <v>-1.1803824875483</v>
      </c>
      <c r="AAX10" s="7">
        <v>0.93151968812718999</v>
      </c>
      <c r="AAY10" s="7">
        <v>2.30858237016009</v>
      </c>
      <c r="AAZ10" s="7">
        <v>1.9963952683323001</v>
      </c>
      <c r="ABA10" s="7">
        <v>0.46035734787299198</v>
      </c>
      <c r="ABB10" s="7">
        <v>2.3761438223117799</v>
      </c>
      <c r="ABC10" s="7">
        <v>-0.27876833848257798</v>
      </c>
      <c r="ABD10" s="7">
        <v>-8.9686088707257999E-3</v>
      </c>
      <c r="ABE10" s="7">
        <v>-1.03788760638754</v>
      </c>
      <c r="ABF10" s="7">
        <v>-0.52621259769492501</v>
      </c>
      <c r="ABG10" s="7">
        <v>-0.94266084269846495</v>
      </c>
      <c r="ABH10" s="7">
        <v>-0.86271053063054304</v>
      </c>
      <c r="ABI10" s="7">
        <v>-0.177210892120159</v>
      </c>
      <c r="ABJ10" s="7">
        <v>-0.324193766309611</v>
      </c>
      <c r="ABK10" s="7">
        <v>-4.5763710345365603E-2</v>
      </c>
      <c r="ABL10" s="7">
        <v>-0.620158791631232</v>
      </c>
      <c r="ABM10" s="7">
        <v>0.15376470671269499</v>
      </c>
      <c r="ABN10" s="7">
        <v>-0.39148270799333701</v>
      </c>
      <c r="ABO10" s="7">
        <v>-1.2887190772672901</v>
      </c>
      <c r="ABP10" s="7">
        <v>-0.45526889163980699</v>
      </c>
      <c r="ABQ10" s="7">
        <v>-0.179323110276601</v>
      </c>
      <c r="ABR10" s="7">
        <v>-1.4634047479341501</v>
      </c>
      <c r="ABS10" s="7">
        <v>0.95416188106855204</v>
      </c>
      <c r="ABT10" s="7">
        <v>-0.47948542160846003</v>
      </c>
      <c r="ABU10" s="7">
        <v>-1.9264237330826799</v>
      </c>
      <c r="ABV10" s="7">
        <v>1.03151617007579</v>
      </c>
      <c r="ABW10" s="7">
        <v>1.66095380978064</v>
      </c>
      <c r="ABX10" s="7">
        <v>0.355270322950342</v>
      </c>
      <c r="ABY10" s="7">
        <v>0.29602321087047201</v>
      </c>
      <c r="ABZ10" s="7">
        <v>0.56810881729664398</v>
      </c>
      <c r="ACA10" s="7">
        <v>0.40473284955877598</v>
      </c>
      <c r="ACB10" s="7">
        <v>-7.1835521116924497E-2</v>
      </c>
      <c r="ACC10" s="7">
        <v>-1.4959039281192601</v>
      </c>
      <c r="ACD10" s="7">
        <v>2.4113203533990899</v>
      </c>
      <c r="ACE10" s="7">
        <v>2.14949791226329</v>
      </c>
      <c r="ACF10" s="7">
        <v>-1.2277984698547699</v>
      </c>
      <c r="ACG10" s="7">
        <v>-0.20406478720412599</v>
      </c>
      <c r="ACH10" s="7">
        <v>2.4085102379653698</v>
      </c>
      <c r="ACI10" s="7">
        <v>-1.00009813569924</v>
      </c>
      <c r="ACJ10" s="7">
        <v>-0.91033173952255797</v>
      </c>
      <c r="ACK10" s="7">
        <v>0.93678311215644905</v>
      </c>
      <c r="ACL10" s="7">
        <v>-0.93503620080848004</v>
      </c>
      <c r="ACM10" s="7">
        <v>-0.20591245936017699</v>
      </c>
      <c r="ACN10" s="7">
        <v>-1.1184641140170699</v>
      </c>
      <c r="ACO10" s="7">
        <v>-0.32874589664957099</v>
      </c>
      <c r="ACP10" s="7">
        <v>-2.5290625557833799</v>
      </c>
      <c r="ACQ10" s="7">
        <v>0.215198580209497</v>
      </c>
      <c r="ACR10" s="7">
        <v>-7.3236504297354996E-2</v>
      </c>
      <c r="ACS10" s="7">
        <v>-0.31546001197554402</v>
      </c>
      <c r="ACT10" s="7">
        <v>1.37246441138858</v>
      </c>
      <c r="ACU10" s="7">
        <v>-1.71178649634418</v>
      </c>
      <c r="ACV10" s="7">
        <v>-1.5825464642076399</v>
      </c>
      <c r="ACW10" s="7">
        <v>-0.56858989801743798</v>
      </c>
      <c r="ACX10" s="7">
        <v>-0.95694244464668599</v>
      </c>
      <c r="ACY10" s="7">
        <v>0.58596124060049704</v>
      </c>
      <c r="ACZ10" s="7">
        <v>1.6439280579940101</v>
      </c>
      <c r="ADA10" s="7">
        <v>-0.72435396592660395</v>
      </c>
      <c r="ADB10" s="7">
        <v>-0.281208136988983</v>
      </c>
      <c r="ADC10" s="7">
        <v>0.10422787334283</v>
      </c>
      <c r="ADD10" s="7">
        <v>-0.125089676707826</v>
      </c>
      <c r="ADE10" s="7">
        <v>1.1525961890123999</v>
      </c>
      <c r="ADF10" s="7">
        <v>2.0432347857256401</v>
      </c>
      <c r="ADG10" s="7">
        <v>-0.15737490129096901</v>
      </c>
      <c r="ADH10" s="7">
        <v>-1.2110821118266299</v>
      </c>
      <c r="ADI10" s="7">
        <v>-1.15898932158859</v>
      </c>
      <c r="ADJ10" s="7">
        <v>1.4857991568120299</v>
      </c>
      <c r="ADK10" s="7">
        <v>-0.21460367477486</v>
      </c>
      <c r="ADL10" s="7">
        <v>0.91297245981316699</v>
      </c>
      <c r="ADM10" s="7">
        <v>-1.0086382059866901</v>
      </c>
      <c r="ADN10" s="7">
        <v>-0.41569047662011199</v>
      </c>
      <c r="ADO10" s="7">
        <v>0.35383767030415098</v>
      </c>
      <c r="ADP10" s="7">
        <v>-0.61831135071300702</v>
      </c>
      <c r="ADQ10" s="7">
        <v>0.96191109515770601</v>
      </c>
      <c r="ADR10" s="7">
        <v>-0.51170673274536105</v>
      </c>
      <c r="ADS10" s="7">
        <v>2.2913408866873799</v>
      </c>
      <c r="ADT10" s="7">
        <v>2.42776128637585</v>
      </c>
      <c r="ADU10" s="7">
        <v>-1.86433141773955</v>
      </c>
      <c r="ADV10" s="7">
        <v>0.20029298299793299</v>
      </c>
      <c r="ADW10" s="7">
        <v>-0.89484356661738396</v>
      </c>
      <c r="ADX10" s="7">
        <v>-0.66021275178619598</v>
      </c>
      <c r="ADY10" s="7">
        <v>-8.7620329194071103E-2</v>
      </c>
      <c r="ADZ10" s="7">
        <v>0.440874119804536</v>
      </c>
      <c r="AEA10" s="7">
        <v>-1.56222032084288</v>
      </c>
      <c r="AEB10" s="7">
        <v>-0.10866291465078499</v>
      </c>
      <c r="AEC10" s="7">
        <v>-0.44366235817254601</v>
      </c>
      <c r="AED10" s="7">
        <v>-0.86311780668798499</v>
      </c>
      <c r="AEE10" s="7">
        <v>2.2108103859463899</v>
      </c>
      <c r="AEF10" s="7">
        <v>-1.5307303697133801</v>
      </c>
      <c r="AEG10" s="7">
        <v>0.33522111192093601</v>
      </c>
      <c r="AEH10" s="7">
        <v>-0.40157992093209</v>
      </c>
      <c r="AEI10" s="7">
        <v>2.2720839916789801</v>
      </c>
      <c r="AEJ10" s="7">
        <v>-0.66088078084402802</v>
      </c>
      <c r="AEK10" s="7">
        <v>-0.83565034017062301</v>
      </c>
      <c r="AEL10" s="7">
        <v>-0.72831370620798996</v>
      </c>
      <c r="AEM10" s="7">
        <v>-0.141858624814337</v>
      </c>
      <c r="AEN10" s="7">
        <v>-0.30100710952621201</v>
      </c>
      <c r="AEO10" s="7">
        <v>-0.39932651797892499</v>
      </c>
      <c r="AEP10" s="7">
        <v>1.78958551707595</v>
      </c>
      <c r="AEQ10" s="7">
        <v>-0.66954637869217004</v>
      </c>
      <c r="AER10" s="7">
        <v>0.222971726313902</v>
      </c>
      <c r="AES10" s="7">
        <v>0.29217868266809699</v>
      </c>
      <c r="AET10" s="7">
        <v>0.72247548790891103</v>
      </c>
      <c r="AEU10" s="7">
        <v>1.7744211128454199</v>
      </c>
      <c r="AEV10" s="7">
        <v>0.850671067162169</v>
      </c>
      <c r="AEW10" s="7">
        <v>-6.8320221490803995E-2</v>
      </c>
      <c r="AEX10" s="7">
        <v>0.121702670805477</v>
      </c>
      <c r="AEY10" s="7">
        <v>0.71057889404828201</v>
      </c>
      <c r="AEZ10" s="7">
        <v>-0.16734346411517001</v>
      </c>
      <c r="AFA10" s="7">
        <v>-0.85919215942163496</v>
      </c>
      <c r="AFB10" s="7">
        <v>0.19673567811237799</v>
      </c>
      <c r="AFC10" s="7">
        <v>0.74539139309075297</v>
      </c>
      <c r="AFD10" s="7">
        <v>-1.37958381514435</v>
      </c>
      <c r="AFE10" s="7">
        <v>0.45886498044395002</v>
      </c>
      <c r="AFF10" s="7">
        <v>0.906241623537556</v>
      </c>
      <c r="AFG10" s="7">
        <v>-3.2560517197885601E-2</v>
      </c>
      <c r="AFH10" s="7">
        <v>0.20980864682233499</v>
      </c>
      <c r="AFI10" s="7">
        <v>-0.94532599925108696</v>
      </c>
      <c r="AFJ10" s="7">
        <v>0.736876793991876</v>
      </c>
      <c r="AFK10" s="7">
        <v>1.06790087183202</v>
      </c>
      <c r="AFL10" s="7">
        <v>1.9483121873545901</v>
      </c>
      <c r="AFM10" s="7">
        <v>-0.52021858580103197</v>
      </c>
      <c r="AFN10" s="7">
        <v>-2.4961858535008599</v>
      </c>
      <c r="AFO10" s="7">
        <v>0.92161660264512002</v>
      </c>
      <c r="AFP10" s="7">
        <v>-1.1054945296396499</v>
      </c>
      <c r="AFQ10" s="7">
        <v>-1.15676840258003</v>
      </c>
      <c r="AFR10" s="7">
        <v>0.13082394440291301</v>
      </c>
      <c r="AFS10" s="7">
        <v>-0.11094832029320401</v>
      </c>
      <c r="AFT10" s="7">
        <v>-1.05888870444609</v>
      </c>
      <c r="AFU10" s="7">
        <v>0.109061361095162</v>
      </c>
      <c r="AFV10" s="7">
        <v>2.4658077889572398</v>
      </c>
      <c r="AFW10" s="7">
        <v>-1.6455560594109899</v>
      </c>
      <c r="AFX10" s="7">
        <v>0.83860767268093095</v>
      </c>
      <c r="AFY10" s="7">
        <v>0.58668716569837698</v>
      </c>
      <c r="AFZ10" s="7">
        <v>0.71668005237518695</v>
      </c>
      <c r="AGA10" s="7">
        <v>2.20069790738239</v>
      </c>
      <c r="AGB10" s="7">
        <v>0.40719916231897402</v>
      </c>
      <c r="AGC10" s="7">
        <v>-1.4045537852041401</v>
      </c>
      <c r="AGD10" s="7">
        <v>-6.4954333328230598E-2</v>
      </c>
      <c r="AGE10" s="7">
        <v>-1.6680477243157099</v>
      </c>
      <c r="AGF10" s="7">
        <v>-0.18191061299230499</v>
      </c>
      <c r="AGG10" s="7">
        <v>0.58807511343872798</v>
      </c>
      <c r="AGH10" s="7">
        <v>-0.39053450418471503</v>
      </c>
      <c r="AGI10" s="7">
        <v>-0.14050550544465101</v>
      </c>
      <c r="AGJ10" s="7">
        <v>-1.7507872339861501</v>
      </c>
      <c r="AGK10" s="7">
        <v>0.20871011987972801</v>
      </c>
      <c r="AGL10" s="7">
        <v>0.59515858399394495</v>
      </c>
      <c r="AGM10" s="7">
        <v>0.89993313435086097</v>
      </c>
      <c r="AGN10" s="7">
        <v>-0.58404596585327495</v>
      </c>
      <c r="AGO10" s="7">
        <v>-0.37226443603991499</v>
      </c>
      <c r="AGP10" s="7">
        <v>-0.69100641621733405</v>
      </c>
      <c r="AGQ10" s="7">
        <v>0.81425054487202897</v>
      </c>
      <c r="AGR10" s="7">
        <v>0.72345732927506301</v>
      </c>
      <c r="AGS10" s="7">
        <v>-0.21705400988430601</v>
      </c>
      <c r="AGT10" s="7">
        <v>-0.169200643511351</v>
      </c>
      <c r="AGU10" s="7">
        <v>0.22449734605314001</v>
      </c>
      <c r="AGV10" s="7">
        <v>0.51795923046622305</v>
      </c>
      <c r="AGW10" s="7">
        <v>-1.06830387407883</v>
      </c>
      <c r="AGX10" s="7">
        <v>-6.5048519182834497E-2</v>
      </c>
      <c r="AGY10" s="7">
        <v>0.93644560449978398</v>
      </c>
      <c r="AGZ10" s="7">
        <v>-0.80332201600600905</v>
      </c>
      <c r="AHA10" s="7">
        <v>0.34301335611185901</v>
      </c>
      <c r="AHB10" s="7">
        <v>-1.0434007148051201</v>
      </c>
      <c r="AHC10" s="7">
        <v>0.32257550846003302</v>
      </c>
      <c r="AHD10" s="7">
        <v>0.14561200003196001</v>
      </c>
      <c r="AHE10" s="7">
        <v>-0.29425987132450299</v>
      </c>
      <c r="AHF10" s="7">
        <v>1.13260943715622E-2</v>
      </c>
      <c r="AHG10" s="7">
        <v>-2.0504917879770601</v>
      </c>
      <c r="AHH10" s="7">
        <v>-0.35874811865253098</v>
      </c>
      <c r="AHI10" s="7">
        <v>1.05203252719742</v>
      </c>
      <c r="AHJ10" s="7">
        <v>0.81638629048198896</v>
      </c>
      <c r="AHK10" s="7">
        <v>-0.66488694324295405</v>
      </c>
      <c r="AHL10" s="7">
        <v>-1.4256268481157699</v>
      </c>
      <c r="AHM10" s="7">
        <v>-0.37439673909946403</v>
      </c>
      <c r="AHN10" s="7">
        <v>0.76274395376158199</v>
      </c>
      <c r="AHO10" s="7">
        <v>-0.59773020649127495</v>
      </c>
      <c r="AHP10" s="7">
        <v>0.33889991480284998</v>
      </c>
      <c r="AHQ10" s="7">
        <v>-1.7980498931441999</v>
      </c>
      <c r="AHR10" s="7">
        <v>0.144970430432317</v>
      </c>
      <c r="AHS10" s="7">
        <v>-0.51224549592313096</v>
      </c>
      <c r="AHT10" s="7">
        <v>-1.02844291148672</v>
      </c>
      <c r="AHU10" s="7">
        <v>-1.68533143780186</v>
      </c>
      <c r="AHV10" s="7">
        <v>1.1279470608651501</v>
      </c>
      <c r="AHW10" s="7">
        <v>-1.23649622997191</v>
      </c>
      <c r="AHX10" s="7">
        <v>-0.47639080769242298</v>
      </c>
      <c r="AHY10" s="7">
        <v>-0.87081447672482204</v>
      </c>
      <c r="AHZ10" s="7">
        <v>0.84426001892858804</v>
      </c>
      <c r="AIA10" s="7">
        <v>0.84467607631465103</v>
      </c>
      <c r="AIB10" s="7">
        <v>-0.536778880304424</v>
      </c>
      <c r="AIC10" s="7">
        <v>-0.49593176035657499</v>
      </c>
      <c r="AID10" s="7">
        <v>-0.186698330254911</v>
      </c>
      <c r="AIE10" s="7">
        <v>-0.57021598678688401</v>
      </c>
      <c r="AIF10" s="7">
        <v>-0.69250063150083396</v>
      </c>
      <c r="AIG10" s="7">
        <v>-0.47303056830218898</v>
      </c>
      <c r="AIH10" s="7">
        <v>9.8727903260454594E-2</v>
      </c>
      <c r="AII10" s="7">
        <v>-9.91175304487798E-2</v>
      </c>
      <c r="AIJ10" s="7">
        <v>-0.50119385308590703</v>
      </c>
      <c r="AIK10" s="7">
        <v>-1.0136950797942701</v>
      </c>
      <c r="AIL10" s="7">
        <v>0.20429278562023401</v>
      </c>
      <c r="AIM10" s="7">
        <v>-0.42079878399459297</v>
      </c>
      <c r="AIN10" s="7">
        <v>0.27402771399113102</v>
      </c>
      <c r="AIO10" s="7">
        <v>-0.60443662283789901</v>
      </c>
      <c r="AIP10" s="7">
        <v>-0.56125955240751402</v>
      </c>
      <c r="AIQ10" s="7">
        <v>-0.56836712223434005</v>
      </c>
      <c r="AIR10" s="7">
        <v>0.97187198510915196</v>
      </c>
      <c r="AIS10" s="7">
        <v>0.14245427918315701</v>
      </c>
      <c r="AIT10" s="7">
        <v>-2.0252972760982</v>
      </c>
      <c r="AIU10" s="7">
        <v>0.73142254148850605</v>
      </c>
      <c r="AIV10" s="7">
        <v>-0.314763855214235</v>
      </c>
      <c r="AIW10" s="7">
        <v>-1.0971083333507501</v>
      </c>
      <c r="AIX10" s="7">
        <v>0.65580195433464195</v>
      </c>
      <c r="AIY10" s="7">
        <v>0.62692303822996798</v>
      </c>
      <c r="AIZ10" s="7">
        <v>0.38799735494339899</v>
      </c>
      <c r="AJA10" s="7">
        <v>1.49201907790468</v>
      </c>
      <c r="AJB10" s="7">
        <v>-0.68933102783830402</v>
      </c>
      <c r="AJC10" s="7">
        <v>-0.354163265425957</v>
      </c>
      <c r="AJD10" s="7">
        <v>-2.5996356225400001</v>
      </c>
      <c r="AJE10" s="7">
        <v>1.2560086844371201</v>
      </c>
      <c r="AJF10" s="7">
        <v>0.114886408831417</v>
      </c>
      <c r="AJG10" s="7">
        <v>-0.87671492132679996</v>
      </c>
      <c r="AJH10" s="7">
        <v>-0.16638756717478601</v>
      </c>
      <c r="AJI10" s="7">
        <v>1.4645636080593201</v>
      </c>
      <c r="AJJ10" s="7">
        <v>0.84168340058415103</v>
      </c>
      <c r="AJK10" s="7">
        <v>-1.32024079824165</v>
      </c>
      <c r="AJL10" s="7">
        <v>6.8057286679682097E-2</v>
      </c>
      <c r="AJM10" s="7">
        <v>-0.441857052806297</v>
      </c>
      <c r="AJN10" s="7">
        <v>0.61018610544247798</v>
      </c>
      <c r="AJO10" s="7">
        <v>0.421470333867354</v>
      </c>
      <c r="AJP10" s="7">
        <v>0.25217351441582497</v>
      </c>
      <c r="AJQ10" s="7">
        <v>-0.53625734025713001</v>
      </c>
      <c r="AJR10" s="7">
        <v>0.95787536315783495</v>
      </c>
      <c r="AJS10" s="7">
        <v>0.14638011050250899</v>
      </c>
      <c r="AJT10" s="7">
        <v>-1.53469192215656</v>
      </c>
      <c r="AJU10" s="7">
        <v>2.4937983292701301E-2</v>
      </c>
      <c r="AJV10" s="7">
        <v>-0.71408831556890395</v>
      </c>
      <c r="AJW10" s="7">
        <v>0.85358807922393698</v>
      </c>
      <c r="AJX10" s="7">
        <v>0.53352027850646899</v>
      </c>
      <c r="AJY10" s="7">
        <v>-0.399903045907749</v>
      </c>
      <c r="AJZ10" s="7">
        <v>1.4708136605208799</v>
      </c>
      <c r="AKA10" s="7">
        <v>-2.0092442255462402</v>
      </c>
      <c r="AKB10" s="7">
        <v>-0.33200789628385302</v>
      </c>
      <c r="AKC10" s="7">
        <v>0.30821838686200798</v>
      </c>
      <c r="AKD10" s="7">
        <v>-0.313935667680876</v>
      </c>
      <c r="AKE10" s="7">
        <v>0.235098930206836</v>
      </c>
      <c r="AKF10" s="7">
        <v>-2.2960761409092401</v>
      </c>
      <c r="AKG10" s="7">
        <v>1.9822114530789401</v>
      </c>
      <c r="AKH10" s="7">
        <v>0.34279655327032499</v>
      </c>
      <c r="AKI10" s="7">
        <v>-0.969159119627651</v>
      </c>
      <c r="AKJ10" s="7">
        <v>0.73750626825163101</v>
      </c>
      <c r="AKK10" s="7">
        <v>-0.79467464942377897</v>
      </c>
      <c r="AKL10" s="7">
        <v>1.5437951562824999E-3</v>
      </c>
      <c r="AKM10" s="7">
        <v>0.54040273548115103</v>
      </c>
      <c r="AKN10" s="7">
        <v>-0.48163253830623398</v>
      </c>
      <c r="AKO10" s="7">
        <v>-0.84665072372644801</v>
      </c>
      <c r="AKP10" s="7">
        <v>0.90443112958721805</v>
      </c>
      <c r="AKQ10" s="7">
        <v>6.3606912789172396E-2</v>
      </c>
      <c r="AKR10" s="7">
        <v>-0.106643106925115</v>
      </c>
      <c r="AKS10" s="7">
        <v>-0.94115038664036399</v>
      </c>
      <c r="AKT10" s="7">
        <v>-0.80623825126520299</v>
      </c>
      <c r="AKU10" s="7">
        <v>0.70246203548136799</v>
      </c>
      <c r="AKV10" s="7">
        <v>-0.43152398124093</v>
      </c>
      <c r="AKW10" s="7">
        <v>-0.51884929665826096</v>
      </c>
      <c r="AKX10" s="7">
        <v>-0.42945053704591901</v>
      </c>
      <c r="AKY10" s="7">
        <v>1.2056378105896</v>
      </c>
      <c r="AKZ10" s="7">
        <v>-0.25834062552553799</v>
      </c>
      <c r="ALA10" s="7">
        <v>0.67051653561866398</v>
      </c>
      <c r="ALB10" s="7">
        <v>-1.7692258654919</v>
      </c>
      <c r="ALC10" s="7">
        <v>-0.26885020581948899</v>
      </c>
      <c r="ALD10" s="7">
        <v>0.26531139601841103</v>
      </c>
      <c r="ALE10" s="7">
        <v>-2.3499998940326101</v>
      </c>
      <c r="ALF10" s="7">
        <v>0.96974764003430602</v>
      </c>
      <c r="ALG10" s="7">
        <v>-6.9954984229848596E-2</v>
      </c>
      <c r="ALH10" s="7">
        <v>1.18777658557167</v>
      </c>
      <c r="ALI10" s="7">
        <v>-0.743787553087635</v>
      </c>
      <c r="ALJ10" s="7">
        <v>-0.77935458296087101</v>
      </c>
      <c r="ALK10" s="7">
        <v>-0.34751310703395399</v>
      </c>
      <c r="ALL10" s="7">
        <v>-0.47502381258992799</v>
      </c>
      <c r="ALM10" s="7">
        <v>-0.64501896564984296</v>
      </c>
      <c r="ALN10" s="7">
        <v>-1.7325865867235599</v>
      </c>
      <c r="ALO10" s="7">
        <v>0.46324371248089302</v>
      </c>
      <c r="ALP10" s="7">
        <v>-0.95116735615657499</v>
      </c>
      <c r="ALQ10" s="7">
        <v>-0.78068280641555199</v>
      </c>
      <c r="ALR10" s="7">
        <v>-1.2350140315366001</v>
      </c>
      <c r="ALS10" s="7">
        <v>0.47710681333607102</v>
      </c>
      <c r="ALT10" s="7">
        <v>-2.05587630935513</v>
      </c>
      <c r="ALU10" s="7">
        <v>1.5920456489560699</v>
      </c>
      <c r="ALV10" s="7">
        <v>-0.647566218918185</v>
      </c>
      <c r="ALW10" s="7">
        <v>-0.61441979197883501</v>
      </c>
      <c r="ALX10" s="7">
        <v>-0.44984858217707702</v>
      </c>
      <c r="ALY10" s="7">
        <v>-1.1131571176164901</v>
      </c>
      <c r="ALZ10" s="7">
        <v>-0.46355061389678298</v>
      </c>
      <c r="AMA10" s="7">
        <v>0.468483703153593</v>
      </c>
      <c r="AMB10" s="7">
        <v>-0.267665325976225</v>
      </c>
      <c r="AMC10" s="7">
        <v>0.631621790955044</v>
      </c>
      <c r="AMD10" s="7">
        <v>1.30328035200002</v>
      </c>
      <c r="AME10" s="7">
        <v>0.70289052734622204</v>
      </c>
      <c r="AMF10" s="7">
        <v>1.1530712775370699</v>
      </c>
      <c r="AMG10" s="7">
        <v>-2.5282618167560602</v>
      </c>
      <c r="AMH10" s="7">
        <v>1.63375165184385</v>
      </c>
      <c r="AMI10" s="7">
        <v>0.67252495426162695</v>
      </c>
      <c r="AMJ10" s="7">
        <v>-0.23148810693158001</v>
      </c>
      <c r="AMK10" s="7">
        <v>1.1163253604677399</v>
      </c>
      <c r="AML10" s="7">
        <v>-0.30915790882873001</v>
      </c>
      <c r="AMM10" s="7">
        <v>1.65216330133322</v>
      </c>
      <c r="AMN10" s="7">
        <v>0.819248028286235</v>
      </c>
      <c r="AMO10" s="7">
        <v>-0.74918927193942098</v>
      </c>
      <c r="AMP10" s="7">
        <v>-0.104072505607136</v>
      </c>
      <c r="AMQ10" s="7">
        <v>0.79879650482859799</v>
      </c>
      <c r="AMR10" s="7">
        <v>0.72736042160228498</v>
      </c>
      <c r="AMS10" s="7">
        <v>-0.33757443193602199</v>
      </c>
      <c r="AMT10" s="7">
        <v>0.23473645374728699</v>
      </c>
      <c r="AMU10" s="7">
        <v>-0.50953759591202097</v>
      </c>
      <c r="AMV10" s="7">
        <v>0.72981602154748704</v>
      </c>
      <c r="AMW10" s="7">
        <v>0.584774684690758</v>
      </c>
      <c r="AMX10" s="7">
        <v>-0.35811413143496501</v>
      </c>
      <c r="AMY10" s="7">
        <v>-1.0127655727624301</v>
      </c>
      <c r="AMZ10" s="7">
        <v>0.64605940094776404</v>
      </c>
      <c r="ANA10" s="7">
        <v>1.1144194848475799</v>
      </c>
      <c r="ANB10" s="7">
        <v>-1.6903562266725101</v>
      </c>
      <c r="ANC10" s="7">
        <v>-1.05248969235756</v>
      </c>
      <c r="AND10" s="7">
        <v>-9.6542084201053396E-2</v>
      </c>
      <c r="ANE10" s="7">
        <v>-1.44349042443202E-2</v>
      </c>
      <c r="ANF10" s="7">
        <v>0.95412827075778395</v>
      </c>
      <c r="ANG10" s="7">
        <v>0.192277745830393</v>
      </c>
      <c r="ANH10" s="7">
        <v>-7.4453764184900906E-2</v>
      </c>
      <c r="ANI10" s="7">
        <v>0.71338521795741305</v>
      </c>
      <c r="ANJ10" s="7">
        <v>-1.40379011602433</v>
      </c>
      <c r="ANK10" s="7">
        <v>0.15616063950040099</v>
      </c>
      <c r="ANL10" s="7">
        <v>-0.71081517420108398</v>
      </c>
      <c r="ANM10" s="7">
        <v>-2.3470924569219198</v>
      </c>
      <c r="ANN10" s="7">
        <v>-0.44969427205454099</v>
      </c>
      <c r="ANO10" s="7">
        <v>-0.54015566280809402</v>
      </c>
      <c r="ANP10" s="7">
        <v>-1.1993212584014801</v>
      </c>
      <c r="ANQ10" s="7">
        <v>-0.39521849756967797</v>
      </c>
      <c r="ANR10" s="7">
        <v>0.79153482540075104</v>
      </c>
      <c r="ANS10" s="7">
        <v>0.67923813543282296</v>
      </c>
      <c r="ANT10" s="7">
        <v>-1.04994799673929</v>
      </c>
      <c r="ANU10" s="7">
        <v>-0.141619195959754</v>
      </c>
      <c r="ANV10" s="7">
        <v>-1.0753013281663699</v>
      </c>
      <c r="ANW10" s="7">
        <v>1.1436082606298901</v>
      </c>
      <c r="ANX10" s="7">
        <v>1.23400343680039</v>
      </c>
      <c r="ANY10" s="7">
        <v>-0.47979108738013798</v>
      </c>
      <c r="ANZ10" s="7">
        <v>-0.27161321219393397</v>
      </c>
      <c r="AOA10" s="7">
        <v>-0.13875058211288199</v>
      </c>
      <c r="AOB10" s="7">
        <v>-0.27914102522475098</v>
      </c>
      <c r="AOC10" s="7">
        <v>1.0663063361584699</v>
      </c>
      <c r="AOD10" s="7">
        <v>5.2184070711153996E-3</v>
      </c>
      <c r="AOE10" s="7">
        <v>0.978001192249638</v>
      </c>
      <c r="AOF10" s="7">
        <v>0.571562237233324</v>
      </c>
      <c r="AOG10" s="7">
        <v>-1.7103453925945901E-2</v>
      </c>
      <c r="AOH10" s="7">
        <v>1.0235221432788499</v>
      </c>
      <c r="AOI10" s="7">
        <v>-0.38493094243625198</v>
      </c>
      <c r="AOJ10" s="7">
        <v>0.35791617754715599</v>
      </c>
      <c r="AOK10" s="7">
        <v>-1.5882477650275899</v>
      </c>
      <c r="AOL10" s="7">
        <v>-0.92450754319736705</v>
      </c>
      <c r="AOM10" s="7">
        <v>-0.51438191262367094</v>
      </c>
      <c r="AON10" s="7">
        <v>-0.36635653770482002</v>
      </c>
      <c r="AOO10" s="7">
        <v>1.600257727841</v>
      </c>
      <c r="AOP10" s="7">
        <v>-0.47919397211133702</v>
      </c>
      <c r="AOQ10" s="7">
        <v>1.1380177857848599</v>
      </c>
      <c r="AOR10" s="7">
        <v>3.2654454260912201E-2</v>
      </c>
      <c r="AOS10" s="7">
        <v>-0.59425357869404904</v>
      </c>
      <c r="AOT10" s="7">
        <v>-8.9027756550470197E-2</v>
      </c>
      <c r="AOU10" s="7">
        <v>0.96507219264186705</v>
      </c>
      <c r="AOV10" s="7">
        <v>-1.1313322369555101</v>
      </c>
      <c r="AOW10" s="7">
        <v>-1.5245433362977401</v>
      </c>
      <c r="AOX10" s="7">
        <v>0.12695440821971199</v>
      </c>
      <c r="AOY10" s="7">
        <v>0.85207710838681205</v>
      </c>
      <c r="AOZ10" s="7">
        <v>-1.0073485843260701</v>
      </c>
      <c r="APA10" s="7">
        <v>1.12493692576073</v>
      </c>
      <c r="APB10" s="7">
        <v>-1.4569346114481101</v>
      </c>
      <c r="APC10" s="7">
        <v>0.89107374094478897</v>
      </c>
      <c r="APD10" s="7">
        <v>0.37097291811993099</v>
      </c>
      <c r="APE10" s="7">
        <v>0.37966815064919901</v>
      </c>
      <c r="APF10" s="7">
        <v>1.3428710809092701</v>
      </c>
      <c r="APG10" s="7">
        <v>0.58512685800346298</v>
      </c>
      <c r="APH10" s="7">
        <v>-1.2594806188885399</v>
      </c>
      <c r="API10" s="7">
        <v>2.3887792604243998</v>
      </c>
      <c r="APJ10" s="7">
        <v>0.73205681419823998</v>
      </c>
      <c r="APK10" s="7">
        <v>-1.01298902310786</v>
      </c>
      <c r="APL10" s="7">
        <v>1.0387142251717401</v>
      </c>
      <c r="APM10" s="7">
        <v>-0.76370466062657305</v>
      </c>
      <c r="APN10" s="7">
        <v>1.2319714595576501</v>
      </c>
      <c r="APO10" s="7">
        <v>-0.37706947448949202</v>
      </c>
      <c r="APP10" s="7">
        <v>-0.79738809884777495</v>
      </c>
      <c r="APQ10" s="7">
        <v>-1.24534919754354</v>
      </c>
      <c r="APR10" s="7">
        <v>-0.45157673008923699</v>
      </c>
      <c r="APS10" s="7">
        <v>1.0934076686998599</v>
      </c>
      <c r="APT10" s="7">
        <v>0.64085903128594501</v>
      </c>
      <c r="APU10" s="7">
        <v>-1.65360807513501</v>
      </c>
      <c r="APV10" s="7">
        <v>0.63003846465317004</v>
      </c>
      <c r="APW10" s="7">
        <v>1.0373597021996199</v>
      </c>
      <c r="APX10" s="7">
        <v>0.45415416084689397</v>
      </c>
      <c r="APY10" s="7">
        <v>0.46444031491851301</v>
      </c>
      <c r="APZ10" s="7">
        <v>1.05125685099884</v>
      </c>
      <c r="AQA10" s="7">
        <v>1.3838775748113501</v>
      </c>
      <c r="AQB10" s="7">
        <v>1.47915196526952</v>
      </c>
      <c r="AQC10" s="7">
        <v>-0.29063052848770299</v>
      </c>
      <c r="AQD10" s="7">
        <v>-1.64143862845999</v>
      </c>
      <c r="AQE10" s="7">
        <v>0.38930308090668803</v>
      </c>
      <c r="AQF10" s="7">
        <v>-0.30153337322686902</v>
      </c>
      <c r="AQG10" s="7">
        <v>-0.68880305570149902</v>
      </c>
      <c r="AQH10" s="7">
        <v>-1.6320836479790799</v>
      </c>
      <c r="AQI10" s="7">
        <v>0.77339074117659601</v>
      </c>
      <c r="AQJ10" s="7">
        <v>-0.13408673847847</v>
      </c>
      <c r="AQK10" s="7">
        <v>-0.50862054269773005</v>
      </c>
      <c r="AQL10" s="7">
        <v>0.40326376343375597</v>
      </c>
      <c r="AQM10" s="7">
        <v>-1.4189039720398</v>
      </c>
      <c r="AQN10" s="7">
        <v>1.3066329697130401</v>
      </c>
      <c r="AQO10" s="7">
        <v>-0.676460644173554</v>
      </c>
      <c r="AQP10" s="7">
        <v>1.8483967762600799</v>
      </c>
      <c r="AQQ10" s="7">
        <v>-2.4683063400492098</v>
      </c>
      <c r="AQR10" s="7">
        <v>-0.40879699634382799</v>
      </c>
      <c r="AQS10" s="7">
        <v>1.87302277668059</v>
      </c>
      <c r="AQT10" s="7">
        <v>-0.13857068107334899</v>
      </c>
      <c r="AQU10" s="7">
        <v>2.8545730251867E-3</v>
      </c>
      <c r="AQV10" s="7">
        <v>0.818005382505685</v>
      </c>
      <c r="AQW10" s="7">
        <v>-0.82327298555589401</v>
      </c>
      <c r="AQX10" s="7">
        <v>0.63118721633414998</v>
      </c>
      <c r="AQY10" s="7">
        <v>-0.50641533661746696</v>
      </c>
      <c r="AQZ10" s="7">
        <v>-0.33293136536387502</v>
      </c>
      <c r="ARA10" s="7">
        <v>-0.101696429198482</v>
      </c>
      <c r="ARB10" s="7">
        <v>1.5762287507500801</v>
      </c>
      <c r="ARC10" s="7">
        <v>1.3884343090087901</v>
      </c>
      <c r="ARD10" s="7">
        <v>1.82953775620263</v>
      </c>
      <c r="ARE10" s="7">
        <v>-1.0788761284644599</v>
      </c>
      <c r="ARF10" s="7">
        <v>0.722098199135778</v>
      </c>
      <c r="ARG10" s="7">
        <v>-0.76560001166375802</v>
      </c>
      <c r="ARH10" s="7">
        <v>0.85600375081783298</v>
      </c>
      <c r="ARI10" s="7">
        <v>-0.24891435584597099</v>
      </c>
      <c r="ARJ10" s="7">
        <v>-0.78035015116233797</v>
      </c>
      <c r="ARK10" s="7">
        <v>-9.7465463582727604E-2</v>
      </c>
      <c r="ARL10" s="7">
        <v>0.220901285641109</v>
      </c>
      <c r="ARM10" s="7">
        <v>0.81277722448050604</v>
      </c>
      <c r="ARN10" s="7">
        <v>-0.233081505807652</v>
      </c>
      <c r="ARO10" s="7">
        <v>-0.89450410584852702</v>
      </c>
      <c r="ARP10" s="7">
        <v>-1.4679153303157699</v>
      </c>
      <c r="ARQ10" s="7">
        <v>1.73864250042235</v>
      </c>
      <c r="ARR10" s="7">
        <v>0.59578381915679102</v>
      </c>
      <c r="ARS10" s="7">
        <v>-0.48035359948634299</v>
      </c>
      <c r="ART10" s="7">
        <v>1.02866469629596</v>
      </c>
      <c r="ARU10" s="7">
        <v>0.15106796380967299</v>
      </c>
      <c r="ARV10" s="7">
        <v>-0.43468861894163402</v>
      </c>
      <c r="ARW10" s="7">
        <v>-0.65281009081678198</v>
      </c>
      <c r="ARX10" s="7">
        <v>-1.8990560005319701</v>
      </c>
      <c r="ARY10" s="7">
        <v>-8.9802746464810804E-2</v>
      </c>
      <c r="ARZ10" s="7">
        <v>-1.7986493264280199</v>
      </c>
      <c r="ASA10" s="7">
        <v>-3.9782682208812002E-2</v>
      </c>
      <c r="ASB10" s="7">
        <v>-0.11122825006560599</v>
      </c>
      <c r="ASC10" s="7">
        <v>-2.19041714672387</v>
      </c>
      <c r="ASD10" s="7">
        <v>0.24285272801913199</v>
      </c>
      <c r="ASE10" s="7">
        <v>0.46837932635680801</v>
      </c>
      <c r="ASF10" s="7">
        <v>1.19443823304395</v>
      </c>
      <c r="ASG10" s="7">
        <v>-0.35101652332662697</v>
      </c>
      <c r="ASH10" s="7">
        <v>1.8775912753901201</v>
      </c>
      <c r="ASI10" s="7">
        <v>0.54090196424260595</v>
      </c>
      <c r="ASJ10" s="7">
        <v>-1.17168732856636</v>
      </c>
      <c r="ASK10" s="7">
        <v>-1.5722758887588599</v>
      </c>
      <c r="ASL10" s="7">
        <v>-5.0326662461696502E-2</v>
      </c>
      <c r="ASM10" s="7">
        <v>1.0624851909336599</v>
      </c>
      <c r="ASN10" s="7">
        <v>0.22746783921074801</v>
      </c>
      <c r="ASO10" s="7">
        <v>0.299630548124249</v>
      </c>
      <c r="ASP10" s="7">
        <v>-0.42420349106218003</v>
      </c>
      <c r="ASQ10" s="7">
        <v>1.0993594625906</v>
      </c>
      <c r="ASR10" s="7">
        <v>-0.37400495511371501</v>
      </c>
      <c r="ASS10" s="7">
        <v>1.58917153960715</v>
      </c>
      <c r="AST10" s="7">
        <v>1.5253611573939601</v>
      </c>
      <c r="ASU10" s="7">
        <v>-0.39265211800882699</v>
      </c>
      <c r="ASV10" s="7">
        <v>0.80360603321652502</v>
      </c>
      <c r="ASW10" s="7">
        <v>-1.6115566900509699</v>
      </c>
      <c r="ASX10" s="7">
        <v>0.69403070798301403</v>
      </c>
      <c r="ASY10" s="7">
        <v>-1.16377830040548</v>
      </c>
      <c r="ASZ10" s="7">
        <v>1.8271387140109101</v>
      </c>
      <c r="ATA10" s="7">
        <v>1.72757176500554</v>
      </c>
      <c r="ATB10" s="7">
        <v>-1.1428102157723301</v>
      </c>
      <c r="ATC10" s="7">
        <v>-0.29693105889198601</v>
      </c>
      <c r="ATD10" s="7">
        <v>5.53438503339393E-2</v>
      </c>
      <c r="ATE10" s="7">
        <v>0.67528028694144304</v>
      </c>
      <c r="ATF10" s="7">
        <v>0.83048556482442104</v>
      </c>
      <c r="ATG10" s="7">
        <v>1.00216390907488</v>
      </c>
      <c r="ATH10" s="7">
        <v>-0.56302482413714505</v>
      </c>
      <c r="ATI10" s="7">
        <v>1.651174927594</v>
      </c>
      <c r="ATJ10" s="7">
        <v>0.24359782233272101</v>
      </c>
      <c r="ATK10" s="7">
        <v>-0.32655490831321798</v>
      </c>
      <c r="ATL10" s="7">
        <v>1.27096464839819</v>
      </c>
      <c r="ATM10" s="7">
        <v>5.5177023645894899E-2</v>
      </c>
      <c r="ATN10" s="7">
        <v>-1.1047218831227901</v>
      </c>
      <c r="ATO10" s="7">
        <v>0.34227715737808301</v>
      </c>
      <c r="ATP10" s="7">
        <v>0.74013982633863595</v>
      </c>
      <c r="ATQ10" s="7">
        <v>0.146485345591404</v>
      </c>
      <c r="ATR10" s="7">
        <v>-1.3848562792785399</v>
      </c>
      <c r="ATS10" s="7">
        <v>0.50226034316385804</v>
      </c>
      <c r="ATT10" s="7">
        <v>-0.48383233706106898</v>
      </c>
      <c r="ATU10" s="7">
        <v>0.36432959618018701</v>
      </c>
      <c r="ATV10" s="7">
        <v>4.2452526589668499E-2</v>
      </c>
      <c r="ATW10" s="7">
        <v>1.0494625733579099</v>
      </c>
      <c r="ATX10" s="7">
        <v>0.31953272785114001</v>
      </c>
      <c r="ATY10" s="7">
        <v>1.19578906424253</v>
      </c>
      <c r="ATZ10" s="7">
        <v>1.2803161998936099</v>
      </c>
      <c r="AUA10" s="7">
        <v>-0.33985398647296799</v>
      </c>
      <c r="AUB10" s="7">
        <v>-0.95697887400144699</v>
      </c>
      <c r="AUC10" s="7">
        <v>-1.8257273509345699</v>
      </c>
      <c r="AUD10" s="7">
        <v>-2.1275344519678301</v>
      </c>
      <c r="AUE10" s="7">
        <v>0.52357852656943205</v>
      </c>
      <c r="AUF10" s="7">
        <v>-0.77283001702454202</v>
      </c>
      <c r="AUG10" s="7">
        <v>1.05329505606338</v>
      </c>
      <c r="AUH10" s="7">
        <v>0.87863330002834295</v>
      </c>
      <c r="AUI10" s="7">
        <v>-0.18230902734261001</v>
      </c>
      <c r="AUJ10" s="7">
        <v>0.49704651052627402</v>
      </c>
      <c r="AUK10" s="7">
        <v>1.95474923004251</v>
      </c>
      <c r="AUL10" s="7">
        <v>-0.90383055066169204</v>
      </c>
      <c r="AUM10" s="7">
        <v>1.1743742394187999</v>
      </c>
      <c r="AUN10" s="7">
        <v>0.42441629782144602</v>
      </c>
      <c r="AUO10" s="7">
        <v>-0.66531571737656003</v>
      </c>
      <c r="AUP10" s="7">
        <v>-0.80215351416179403</v>
      </c>
      <c r="AUQ10" s="7">
        <v>-0.107100880758474</v>
      </c>
      <c r="AUR10" s="7">
        <v>-0.80152644749678903</v>
      </c>
      <c r="AUS10" s="7">
        <v>-0.31467802290299202</v>
      </c>
      <c r="AUT10" s="7">
        <v>-1.00696063358067</v>
      </c>
      <c r="AUU10" s="7">
        <v>0.14969069450792</v>
      </c>
      <c r="AUV10" s="7">
        <v>1.04568125126784</v>
      </c>
      <c r="AUW10" s="7">
        <v>0.14377219334396399</v>
      </c>
      <c r="AUX10" s="7">
        <v>1.2742295011213001</v>
      </c>
      <c r="AUY10" s="7">
        <v>0.90556678692056103</v>
      </c>
      <c r="AUZ10" s="7">
        <v>0.83500717816271997</v>
      </c>
      <c r="AVA10" s="7">
        <v>5.1259040854770899E-2</v>
      </c>
      <c r="AVB10" s="7">
        <v>-0.84467841817501399</v>
      </c>
      <c r="AVC10" s="7">
        <v>0.38171319473196802</v>
      </c>
      <c r="AVD10" s="7">
        <v>2.7721011940223499</v>
      </c>
      <c r="AVE10" s="7">
        <v>0.77497688754150595</v>
      </c>
      <c r="AVF10" s="7">
        <v>6.2924691551515003E-3</v>
      </c>
      <c r="AVG10" s="7">
        <v>0.41893546432679502</v>
      </c>
      <c r="AVH10" s="7">
        <v>9.9366891705889998E-3</v>
      </c>
      <c r="AVI10" s="7">
        <v>1.0498060923916901</v>
      </c>
      <c r="AVJ10" s="7">
        <v>2.22886345803972</v>
      </c>
      <c r="AVK10" s="7">
        <v>1.6223751378859299</v>
      </c>
      <c r="AVL10" s="7">
        <v>-0.384505564683359</v>
      </c>
      <c r="AVM10" s="7">
        <v>-9.4741112576735606E-2</v>
      </c>
      <c r="AVN10" s="7">
        <v>-2.12764493785716</v>
      </c>
      <c r="AVO10" s="7">
        <v>-0.14195659155403001</v>
      </c>
      <c r="AVP10" s="7">
        <v>-0.53274274717007197</v>
      </c>
      <c r="AVQ10" s="7">
        <v>-0.36852514146697302</v>
      </c>
      <c r="AVR10" s="7">
        <v>-0.76587785492337102</v>
      </c>
      <c r="AVS10" s="7">
        <v>-0.53152436863904096</v>
      </c>
      <c r="AVT10" s="7">
        <v>0.79574245440275204</v>
      </c>
      <c r="AVU10" s="7">
        <v>-0.267052816751633</v>
      </c>
      <c r="AVV10" s="7">
        <v>7.4027589323766504E-2</v>
      </c>
      <c r="AVW10" s="7">
        <v>-0.68738074940383398</v>
      </c>
      <c r="AVX10" s="7">
        <v>1.9125651242066599</v>
      </c>
      <c r="AVY10" s="7">
        <v>1.5708592108980299</v>
      </c>
      <c r="AVZ10" s="7">
        <v>-0.46661408349876199</v>
      </c>
      <c r="AWA10" s="7">
        <v>-0.60119064463930505</v>
      </c>
      <c r="AWB10" s="7">
        <v>-0.117145552455722</v>
      </c>
      <c r="AWC10" s="7">
        <v>-1.1344058960347401</v>
      </c>
      <c r="AWD10" s="7">
        <v>1.29169692241573</v>
      </c>
      <c r="AWE10" s="7">
        <v>2.0643084839597501</v>
      </c>
      <c r="AWF10" s="7">
        <v>0.71792832291103703</v>
      </c>
      <c r="AWG10" s="7">
        <v>1.2386047023748901</v>
      </c>
      <c r="AWH10" s="7">
        <v>5.75622630880167E-2</v>
      </c>
      <c r="AWI10" s="7">
        <v>-0.86967938465162697</v>
      </c>
      <c r="AWJ10" s="7">
        <v>0.46761890475379803</v>
      </c>
      <c r="AWK10" s="7">
        <v>1.12749153889714</v>
      </c>
      <c r="AWL10" s="7">
        <v>-0.41537022494154302</v>
      </c>
      <c r="AWM10" s="7">
        <v>-0.50749980842347098</v>
      </c>
      <c r="AWN10" s="7">
        <v>1.49903038700797</v>
      </c>
      <c r="AWO10" s="7">
        <v>0.228644966062961</v>
      </c>
      <c r="AWP10" s="7">
        <v>1.0688817583208801</v>
      </c>
      <c r="AWQ10" s="7">
        <v>-3.15458470865872</v>
      </c>
      <c r="AWR10" s="7">
        <v>1.59164586685303</v>
      </c>
      <c r="AWS10" s="7">
        <v>-1.69415156343275</v>
      </c>
      <c r="AWT10" s="7">
        <v>-1.90406281106632</v>
      </c>
      <c r="AWU10" s="7">
        <v>-0.87100626879676202</v>
      </c>
      <c r="AWV10" s="7">
        <v>-1.15905547470597</v>
      </c>
      <c r="AWW10" s="7">
        <v>-1.24676487824999</v>
      </c>
      <c r="AWX10" s="7">
        <v>0.12315600200401</v>
      </c>
      <c r="AWY10" s="7">
        <v>-1.5004077550189501</v>
      </c>
      <c r="AWZ10" s="7">
        <v>-0.29654405556428998</v>
      </c>
      <c r="AXA10" s="7">
        <v>-0.45127531013976502</v>
      </c>
      <c r="AXB10" s="7">
        <v>7.9003736911268094E-2</v>
      </c>
      <c r="AXC10" s="7">
        <v>1.57046803655125</v>
      </c>
      <c r="AXD10" s="7">
        <v>0.71665741422682505</v>
      </c>
      <c r="AXE10" s="7">
        <v>0.48467825150677202</v>
      </c>
      <c r="AXF10" s="7">
        <v>-0.81197582808641999</v>
      </c>
      <c r="AXG10" s="7">
        <v>0.98668354455764595</v>
      </c>
      <c r="AXH10" s="7">
        <v>-0.89039936612468096</v>
      </c>
      <c r="AXI10" s="7">
        <v>-0.254490224511014</v>
      </c>
      <c r="AXJ10" s="7">
        <v>1.0091635886683401</v>
      </c>
      <c r="AXK10" s="7">
        <v>1.4466779558791401</v>
      </c>
      <c r="AXL10" s="7">
        <v>-0.89994869231216501</v>
      </c>
      <c r="AXM10" s="7">
        <v>-1.88721197854956</v>
      </c>
      <c r="AXN10" s="7">
        <v>-0.31289538000948602</v>
      </c>
      <c r="AXO10" s="7">
        <v>-0.99958746980441304</v>
      </c>
      <c r="AXP10" s="7">
        <v>-0.373754299961159</v>
      </c>
      <c r="AXQ10" s="7">
        <v>-1.4944663104377101</v>
      </c>
      <c r="AXR10" s="7">
        <v>0.72314495563285897</v>
      </c>
      <c r="AXS10" s="7">
        <v>0.43540241528850898</v>
      </c>
      <c r="AXT10" s="7">
        <v>0.237439575539174</v>
      </c>
      <c r="AXU10" s="7">
        <v>-0.45964175660807299</v>
      </c>
      <c r="AXV10" s="7">
        <v>-8.3145535862741399E-2</v>
      </c>
      <c r="AXW10" s="7">
        <v>-0.45616502734936998</v>
      </c>
      <c r="AXX10" s="7">
        <v>0.59987703541239901</v>
      </c>
      <c r="AXY10" s="7">
        <v>1.713354304743</v>
      </c>
      <c r="AXZ10" s="7">
        <v>-0.12434294192770499</v>
      </c>
      <c r="AYA10" s="7">
        <v>-0.77487103464019202</v>
      </c>
      <c r="AYB10" s="7">
        <v>-0.47115381306366699</v>
      </c>
      <c r="AYC10" s="7">
        <v>-0.98381684493433497</v>
      </c>
      <c r="AYD10" s="7">
        <v>-0.21984441326370399</v>
      </c>
      <c r="AYE10" s="7">
        <v>0.612604961103273</v>
      </c>
      <c r="AYF10" s="7">
        <v>-2.0675432278741601</v>
      </c>
      <c r="AYG10" s="7">
        <v>-0.104183550298168</v>
      </c>
      <c r="AYH10" s="7">
        <v>-0.95605920367251696</v>
      </c>
      <c r="AYI10" s="7">
        <v>-5.9490222721798901E-2</v>
      </c>
      <c r="AYJ10" s="7">
        <v>-0.30633459122291801</v>
      </c>
      <c r="AYK10" s="7">
        <v>0.48092880487707301</v>
      </c>
      <c r="AYL10" s="7">
        <v>0.39596576936135103</v>
      </c>
      <c r="AYM10" s="7">
        <v>-0.258837384181831</v>
      </c>
      <c r="AYN10" s="7">
        <v>0.92269308240112202</v>
      </c>
      <c r="AYO10" s="7">
        <v>0.45330312383988902</v>
      </c>
      <c r="AYP10" s="7">
        <v>0.59152038079978497</v>
      </c>
      <c r="AYQ10" s="7">
        <v>-0.480820486106395</v>
      </c>
      <c r="AYR10" s="7">
        <v>1.2505401334019099</v>
      </c>
      <c r="AYS10" s="7">
        <v>0.431515236193449</v>
      </c>
      <c r="AYT10" s="7">
        <v>-7.9454167939595005E-2</v>
      </c>
      <c r="AYU10" s="7">
        <v>4.8073989922732499E-2</v>
      </c>
      <c r="AYV10" s="7">
        <v>1.02311980196228</v>
      </c>
      <c r="AYW10" s="7">
        <v>-2.4818360084162898</v>
      </c>
      <c r="AYX10" s="7">
        <v>-1.4480502965387201</v>
      </c>
      <c r="AYY10" s="7">
        <v>1.58643534636811</v>
      </c>
      <c r="AYZ10" s="7">
        <v>-1.05653737688905</v>
      </c>
      <c r="AZA10" s="7">
        <v>0.172281350325281</v>
      </c>
      <c r="AZB10" s="7">
        <v>-1.0692418030494499</v>
      </c>
      <c r="AZC10" s="7">
        <v>-0.46417418550350598</v>
      </c>
      <c r="AZD10" s="7">
        <v>-0.75755440436711297</v>
      </c>
      <c r="AZE10" s="7">
        <v>1.6267226709767699</v>
      </c>
      <c r="AZF10" s="7">
        <v>0.29658667542210398</v>
      </c>
      <c r="AZG10" s="7">
        <v>0.87145793212642897</v>
      </c>
      <c r="AZH10" s="7">
        <v>-0.53575400233461501</v>
      </c>
      <c r="AZI10" s="7">
        <v>-0.73983821474241196</v>
      </c>
      <c r="AZJ10" s="7">
        <v>0.33253012797778098</v>
      </c>
      <c r="AZK10" s="7">
        <v>-1.01252780123071</v>
      </c>
      <c r="AZL10" s="7">
        <v>-0.45449416049055502</v>
      </c>
      <c r="AZM10" s="7">
        <v>0.41643446210201601</v>
      </c>
      <c r="AZN10" s="7">
        <v>-0.28986908778459602</v>
      </c>
      <c r="AZO10" s="7">
        <v>-1.8032437052198</v>
      </c>
      <c r="AZP10" s="7">
        <v>1.5202018132683599</v>
      </c>
      <c r="AZQ10" s="7">
        <v>0.26138759487236901</v>
      </c>
      <c r="AZR10" s="7">
        <v>-2.3040894567381001E-3</v>
      </c>
      <c r="AZS10" s="7">
        <v>-1.58287693133382</v>
      </c>
      <c r="AZT10" s="7">
        <v>-0.628805004405523</v>
      </c>
      <c r="AZU10" s="7">
        <v>-0.70507036495781295</v>
      </c>
      <c r="AZV10" s="7">
        <v>1.65314099881149</v>
      </c>
      <c r="AZW10" s="7">
        <v>-0.31945059178421997</v>
      </c>
      <c r="AZX10" s="7">
        <v>-0.47385832131299399</v>
      </c>
      <c r="AZY10" s="7">
        <v>-1.3204753705111001</v>
      </c>
      <c r="AZZ10" s="7">
        <v>-0.24117328235278401</v>
      </c>
      <c r="BAA10" s="7">
        <v>-0.80677639531891399</v>
      </c>
      <c r="BAB10" s="7">
        <v>-0.73399544078402701</v>
      </c>
      <c r="BAC10" s="7">
        <v>0.96184760331726904</v>
      </c>
      <c r="BAD10" s="7">
        <v>1.54472693139817</v>
      </c>
      <c r="BAE10" s="7">
        <v>0.74421261823145202</v>
      </c>
      <c r="BAF10" s="7">
        <v>-1.36985549537105</v>
      </c>
      <c r="BAG10" s="7">
        <v>0.75708417935707595</v>
      </c>
      <c r="BAH10" s="7">
        <v>-2.8576612157283202E-2</v>
      </c>
      <c r="BAI10" s="7">
        <v>0.18157027233786599</v>
      </c>
      <c r="BAJ10" s="7">
        <v>0.46957917624705597</v>
      </c>
      <c r="BAK10" s="7">
        <v>-0.56460555175757898</v>
      </c>
      <c r="BAL10" s="7">
        <v>0.580029404983465</v>
      </c>
      <c r="BAM10" s="7">
        <v>0.92060246109059996</v>
      </c>
      <c r="BAN10" s="7">
        <v>-0.75429365160676698</v>
      </c>
      <c r="BAO10" s="7">
        <v>0.15872736898190401</v>
      </c>
      <c r="BAP10" s="7">
        <v>-0.32993407544384801</v>
      </c>
      <c r="BAQ10" s="7">
        <v>0.91858094045373995</v>
      </c>
      <c r="BAR10" s="7">
        <v>-0.344429229026532</v>
      </c>
      <c r="BAS10" s="7">
        <v>-0.128668049130438</v>
      </c>
      <c r="BAT10" s="7">
        <v>-0.160126099875744</v>
      </c>
      <c r="BAU10" s="7">
        <v>-2.1553454479056202</v>
      </c>
      <c r="BAV10" s="7">
        <v>-0.708056544113427</v>
      </c>
      <c r="BAW10" s="7">
        <v>1.74035642863989</v>
      </c>
      <c r="BAX10" s="7">
        <v>0.39910152302959701</v>
      </c>
      <c r="BAY10" s="7">
        <v>-0.70345599984154905</v>
      </c>
      <c r="BAZ10" s="7">
        <v>1.2419152665892501</v>
      </c>
      <c r="BBA10" s="7">
        <v>-0.62312742497239804</v>
      </c>
      <c r="BBB10" s="7">
        <v>0.39073921252481902</v>
      </c>
      <c r="BBC10" s="7">
        <v>0.807182448168967</v>
      </c>
      <c r="BBD10" s="7">
        <v>0.42093150188017903</v>
      </c>
      <c r="BBE10" s="7">
        <v>-0.24859190967853501</v>
      </c>
      <c r="BBF10" s="7">
        <v>-0.14512363874654599</v>
      </c>
      <c r="BBG10" s="7">
        <v>-1.3059631826987601</v>
      </c>
      <c r="BBH10" s="7">
        <v>-0.85897267188715998</v>
      </c>
      <c r="BBI10" s="7">
        <v>-0.415737297305455</v>
      </c>
      <c r="BBJ10" s="7">
        <v>9.8653894286453103E-2</v>
      </c>
      <c r="BBK10" s="7">
        <v>-2.4289671572693199</v>
      </c>
      <c r="BBL10" s="7">
        <v>-0.27917922666538503</v>
      </c>
      <c r="BBM10" s="7">
        <v>0.68453989113263503</v>
      </c>
      <c r="BBN10" s="7">
        <v>-0.32432029443575</v>
      </c>
      <c r="BBO10" s="7">
        <v>-5.9921807212930903E-2</v>
      </c>
      <c r="BBP10" s="7">
        <v>-0.381272005388817</v>
      </c>
      <c r="BBQ10" s="7">
        <v>-1.1241127752808699</v>
      </c>
      <c r="BBR10" s="7">
        <v>-1.9263002186832801</v>
      </c>
      <c r="BBS10" s="7">
        <v>0.66204019279273996</v>
      </c>
      <c r="BBT10" s="7">
        <v>-0.52582346354629295</v>
      </c>
      <c r="BBU10" s="7">
        <v>-0.85502971866482502</v>
      </c>
      <c r="BBV10" s="7">
        <v>0.188424282573458</v>
      </c>
      <c r="BBW10" s="7">
        <v>-2.0086579814131702</v>
      </c>
      <c r="BBX10" s="7">
        <v>-0.427152798054176</v>
      </c>
      <c r="BBY10" s="7">
        <v>2.16033133158406</v>
      </c>
      <c r="BBZ10" s="7">
        <v>-0.41686212712829601</v>
      </c>
      <c r="BCA10" s="7">
        <v>1.93470567573876</v>
      </c>
      <c r="BCB10" s="7">
        <v>-0.270026069635039</v>
      </c>
      <c r="BCC10" s="7">
        <v>-0.61487944590354804</v>
      </c>
      <c r="BCD10" s="7">
        <v>-9.1321384144839798E-2</v>
      </c>
      <c r="BCE10" s="7">
        <v>1.35440497941768</v>
      </c>
      <c r="BCF10" s="7">
        <v>1.61351609123971</v>
      </c>
      <c r="BCG10" s="7">
        <v>-1.1453792679819099</v>
      </c>
      <c r="BCH10" s="7">
        <v>-1.8292679619799299</v>
      </c>
      <c r="BCI10" s="7">
        <v>0.68089229424199504</v>
      </c>
      <c r="BCJ10" s="7">
        <v>-0.13156866968615</v>
      </c>
      <c r="BCK10" s="7">
        <v>0.65234968314536101</v>
      </c>
      <c r="BCL10" s="7">
        <v>-0.340484996687271</v>
      </c>
      <c r="BCM10" s="7">
        <v>0.42506944010116099</v>
      </c>
      <c r="BCN10" s="7">
        <v>-0.52538728036239801</v>
      </c>
      <c r="BCO10" s="7">
        <v>0.72655563092350195</v>
      </c>
      <c r="BCP10" s="7">
        <v>0.953896166783606</v>
      </c>
      <c r="BCQ10" s="7">
        <v>0.49508146533809699</v>
      </c>
      <c r="BCR10" s="7">
        <v>-1.32172233697328</v>
      </c>
      <c r="BCS10" s="7">
        <v>-1.1553642276713101</v>
      </c>
      <c r="BCT10" s="7">
        <v>0.90035357086494405</v>
      </c>
      <c r="BCU10" s="7">
        <v>6.0170875026300502E-2</v>
      </c>
      <c r="BCV10" s="7">
        <v>-1.5471751154005</v>
      </c>
      <c r="BCW10" s="7">
        <v>-0.56039622657433097</v>
      </c>
      <c r="BCX10" s="7">
        <v>-0.117167800750117</v>
      </c>
      <c r="BCY10" s="7">
        <v>-1.0103848284377599</v>
      </c>
      <c r="BCZ10" s="7">
        <v>-1.00029632397001</v>
      </c>
      <c r="BDA10" s="7">
        <v>0.14358637775416699</v>
      </c>
      <c r="BDB10" s="7">
        <v>-2.5130803391573801E-2</v>
      </c>
      <c r="BDC10" s="7">
        <v>-2.5016139656603</v>
      </c>
      <c r="BDD10" s="7">
        <v>-2.0253546673834801</v>
      </c>
      <c r="BDE10" s="7">
        <v>0.33030810122632598</v>
      </c>
      <c r="BDF10" s="7">
        <v>-0.57359172658930002</v>
      </c>
      <c r="BDG10" s="7">
        <v>1.5713750810909499</v>
      </c>
      <c r="BDH10" s="7">
        <v>-1.16086777578873</v>
      </c>
      <c r="BDI10" s="7">
        <v>-1.7151137244394601</v>
      </c>
      <c r="BDJ10" s="7">
        <v>8.2044257569007198E-2</v>
      </c>
      <c r="BDK10" s="7">
        <v>-1.35833482314932</v>
      </c>
      <c r="BDL10" s="7">
        <v>-6.4981820261964598E-2</v>
      </c>
      <c r="BDM10" s="7">
        <v>0.60453400852527395</v>
      </c>
      <c r="BDN10" s="7">
        <v>-9.86837953972724E-2</v>
      </c>
      <c r="BDO10" s="7">
        <v>-1.4950909954092899</v>
      </c>
      <c r="BDP10" s="7">
        <v>0.79800949577095104</v>
      </c>
      <c r="BDQ10" s="7">
        <v>-1.67294270841262</v>
      </c>
      <c r="BDR10" s="7">
        <v>-0.62365508838134498</v>
      </c>
      <c r="BDS10" s="7">
        <v>0.20796454429438399</v>
      </c>
      <c r="BDT10" s="7">
        <v>-1.1170034813002101</v>
      </c>
      <c r="BDU10" s="7">
        <v>-0.37427150155747102</v>
      </c>
      <c r="BDV10" s="7">
        <v>-0.51049731137382703</v>
      </c>
      <c r="BDW10" s="7">
        <v>-0.81035121287838696</v>
      </c>
      <c r="BDX10" s="7">
        <v>0.95034890272944095</v>
      </c>
      <c r="BDY10" s="7">
        <v>0.99276618111140102</v>
      </c>
      <c r="BDZ10" s="7">
        <v>-1.3973498440577601</v>
      </c>
      <c r="BEA10" s="7">
        <v>0.91502142906095996</v>
      </c>
      <c r="BEB10" s="7">
        <v>0.16607349026027199</v>
      </c>
      <c r="BEC10" s="7">
        <v>-1.7068667070701999</v>
      </c>
      <c r="BED10" s="7">
        <v>-0.465799710497315</v>
      </c>
      <c r="BEE10" s="7">
        <v>-3.0517358390927498</v>
      </c>
      <c r="BEF10" s="7">
        <v>0.76263916028759304</v>
      </c>
      <c r="BEG10" s="7">
        <v>-0.58244379468847496</v>
      </c>
      <c r="BEH10" s="7">
        <v>-1.01774494259226</v>
      </c>
      <c r="BEI10" s="7">
        <v>-0.37189853338567602</v>
      </c>
      <c r="BEJ10" s="7">
        <v>0.208844069887894</v>
      </c>
      <c r="BEK10" s="7">
        <v>0.54992882574924895</v>
      </c>
      <c r="BEL10" s="7">
        <v>1.4242096684654599</v>
      </c>
      <c r="BEM10" s="7">
        <v>1.32316457727027</v>
      </c>
      <c r="BEN10" s="7">
        <v>1.6014484132215401</v>
      </c>
      <c r="BEO10" s="7">
        <v>-1.1930178041690001</v>
      </c>
      <c r="BEP10" s="7">
        <v>0.225906478161501</v>
      </c>
      <c r="BEQ10" s="7">
        <v>-1.0557067185934601</v>
      </c>
      <c r="BER10" s="7">
        <v>1.90187238000574E-2</v>
      </c>
      <c r="BES10" s="7">
        <v>-0.62526242328903203</v>
      </c>
      <c r="BET10" s="7">
        <v>0.41295859687034597</v>
      </c>
      <c r="BEU10" s="7">
        <v>-1.14286304745986</v>
      </c>
      <c r="BEV10" s="7">
        <v>-6.34449500087058E-2</v>
      </c>
      <c r="BEW10" s="7">
        <v>0.58351820000621502</v>
      </c>
      <c r="BEX10" s="7">
        <v>1.0715359236403399</v>
      </c>
      <c r="BEY10" s="7">
        <v>-1.00615109758238</v>
      </c>
      <c r="BEZ10" s="7">
        <v>-1.02673286822453</v>
      </c>
      <c r="BFA10" s="7">
        <v>-0.66961514017774104</v>
      </c>
      <c r="BFB10" s="7">
        <v>-0.59519977902367405</v>
      </c>
      <c r="BFC10" s="7">
        <v>-0.357095541853438</v>
      </c>
      <c r="BFD10" s="7">
        <v>-0.728196121521969</v>
      </c>
      <c r="BFE10" s="7">
        <v>-0.156707447307914</v>
      </c>
      <c r="BFF10" s="7">
        <v>1.93921277989564</v>
      </c>
      <c r="BFG10" s="7">
        <v>-0.952459821954457</v>
      </c>
      <c r="BFH10" s="7">
        <v>-1.28075508281645</v>
      </c>
      <c r="BFI10" s="7">
        <v>-0.17328128669701401</v>
      </c>
      <c r="BFJ10" s="7">
        <v>0.35553251626185001</v>
      </c>
      <c r="BFK10" s="7">
        <v>-0.86026759277923004</v>
      </c>
      <c r="BFL10" s="7">
        <v>-0.13123220297980101</v>
      </c>
      <c r="BFM10" s="7">
        <v>1.0227594596249201</v>
      </c>
      <c r="BFN10" s="7">
        <v>0.58612605999883605</v>
      </c>
      <c r="BFO10" s="7">
        <v>-0.48164000341403401</v>
      </c>
      <c r="BFP10" s="7">
        <v>3.9489708870526798</v>
      </c>
      <c r="BFQ10" s="7">
        <v>-0.52119695424702694</v>
      </c>
      <c r="BFR10" s="7">
        <v>0.25604780995346199</v>
      </c>
      <c r="BFS10" s="7">
        <v>0.116706069615011</v>
      </c>
      <c r="BFT10" s="7">
        <v>-0.89807907753798399</v>
      </c>
      <c r="BFU10" s="7">
        <v>-6.7549394160602794E-2</v>
      </c>
      <c r="BFV10" s="7">
        <v>-0.56859535743496503</v>
      </c>
      <c r="BFW10" s="7">
        <v>1.9682496958792</v>
      </c>
      <c r="BFX10" s="7">
        <v>-0.44031953023947701</v>
      </c>
      <c r="BFY10" s="7">
        <v>0.66160957636953499</v>
      </c>
      <c r="BFZ10" s="7">
        <v>-0.257548754614427</v>
      </c>
      <c r="BGA10" s="7">
        <v>-0.95920520073025906</v>
      </c>
      <c r="BGB10" s="7">
        <v>1.78291768367895</v>
      </c>
      <c r="BGC10" s="7">
        <v>-0.34898883980211498</v>
      </c>
      <c r="BGD10" s="7">
        <v>0.42502778745907899</v>
      </c>
      <c r="BGE10" s="7">
        <v>-0.72866271188721099</v>
      </c>
      <c r="BGF10" s="7">
        <v>1.88515581931613</v>
      </c>
      <c r="BGG10" s="7">
        <v>1.50324615599842</v>
      </c>
      <c r="BGH10" s="7">
        <v>-0.77484962557164805</v>
      </c>
      <c r="BGI10" s="7">
        <v>-2.3614661165232902</v>
      </c>
      <c r="BGJ10" s="7">
        <v>0.64401374005992595</v>
      </c>
      <c r="BGK10" s="7">
        <v>1.4824155709450599</v>
      </c>
      <c r="BGL10" s="7">
        <v>-1.2036718121871699</v>
      </c>
      <c r="BGM10" s="7">
        <v>0.71005922871919303</v>
      </c>
      <c r="BGN10" s="7">
        <v>-1.7964320516130201</v>
      </c>
      <c r="BGO10" s="7">
        <v>0.73137910445815202</v>
      </c>
      <c r="BGP10" s="7">
        <v>1.7080278507861499</v>
      </c>
      <c r="BGQ10" s="7">
        <v>2.05665241562684E-2</v>
      </c>
      <c r="BGR10" s="7">
        <v>-1.1424548294130401</v>
      </c>
      <c r="BGS10" s="7">
        <v>-2.00558650050995</v>
      </c>
      <c r="BGT10" s="7">
        <v>-0.89458262005006395</v>
      </c>
      <c r="BGU10" s="7">
        <v>0.65836845266095601</v>
      </c>
      <c r="BGV10" s="7">
        <v>0.75336908937961999</v>
      </c>
      <c r="BGW10" s="7">
        <v>-0.67760137602428805</v>
      </c>
      <c r="BGX10" s="7">
        <v>-1.9132652672469299</v>
      </c>
      <c r="BGY10" s="7">
        <v>4.88940458565498E-2</v>
      </c>
      <c r="BGZ10" s="7">
        <v>1.1173838070498101</v>
      </c>
      <c r="BHA10" s="7">
        <v>-2.0034668963168301</v>
      </c>
      <c r="BHB10" s="7">
        <v>-1.9923792836893399</v>
      </c>
      <c r="BHC10" s="7">
        <v>-1.4990126902996801</v>
      </c>
      <c r="BHD10" s="7">
        <v>-0.62136347378206602</v>
      </c>
      <c r="BHE10" s="7">
        <v>-0.26374904790753001</v>
      </c>
      <c r="BHF10" s="7">
        <v>-0.473578464102696</v>
      </c>
      <c r="BHG10" s="7">
        <v>-0.33396294722110298</v>
      </c>
      <c r="BHH10" s="7">
        <v>-1.5787603626963</v>
      </c>
      <c r="BHI10" s="7">
        <v>1.86233316778043</v>
      </c>
      <c r="BHJ10" s="7">
        <v>-0.767418061310851</v>
      </c>
      <c r="BHK10" s="7">
        <v>0.13589542739298299</v>
      </c>
      <c r="BHL10" s="7">
        <v>-0.47617273998967902</v>
      </c>
      <c r="BHM10" s="7">
        <v>-1.4511359227196701</v>
      </c>
      <c r="BHN10" s="7">
        <v>-0.49417380601539901</v>
      </c>
      <c r="BHO10" s="7">
        <v>-0.46692542910233398</v>
      </c>
      <c r="BHP10" s="7">
        <v>-0.37888350364033502</v>
      </c>
      <c r="BHQ10" s="7">
        <v>-0.75333419735985996</v>
      </c>
      <c r="BHR10" s="7">
        <v>0.96894631626446603</v>
      </c>
      <c r="BHS10" s="7">
        <v>0.17667898672976901</v>
      </c>
      <c r="BHT10" s="7">
        <v>0.162298880080086</v>
      </c>
      <c r="BHU10" s="7">
        <v>-0.76669738104673102</v>
      </c>
      <c r="BHV10" s="7">
        <v>0.478740321451745</v>
      </c>
      <c r="BHW10" s="7">
        <v>-2.3153927738411602</v>
      </c>
      <c r="BHX10" s="7">
        <v>-0.27320574124107699</v>
      </c>
      <c r="BHY10" s="7">
        <v>0.64853261748742197</v>
      </c>
      <c r="BHZ10" s="7">
        <v>-0.977835057872252</v>
      </c>
      <c r="BIA10" s="7">
        <v>2.1054778223933002</v>
      </c>
      <c r="BIB10" s="7">
        <v>0.25275304045785402</v>
      </c>
      <c r="BIC10" s="7">
        <v>0.427579106061661</v>
      </c>
      <c r="BID10" s="7">
        <v>0.26918525929034598</v>
      </c>
      <c r="BIE10" s="7">
        <v>0.167821465618853</v>
      </c>
      <c r="BIF10" s="7">
        <v>-0.81097741058147299</v>
      </c>
      <c r="BIG10" s="7">
        <v>0.38693389793483901</v>
      </c>
      <c r="BIH10" s="7">
        <v>0.19952578437607399</v>
      </c>
      <c r="BII10" s="7">
        <v>-1.6449092883049301</v>
      </c>
      <c r="BIJ10" s="7">
        <v>-1.63907276613164</v>
      </c>
      <c r="BIK10" s="7">
        <v>0.95396927917640795</v>
      </c>
      <c r="BIL10" s="7">
        <v>1.0471292002325601</v>
      </c>
      <c r="BIM10" s="7">
        <v>0.27375877354821399</v>
      </c>
      <c r="BIN10" s="7">
        <v>1.15347374932391</v>
      </c>
      <c r="BIO10" s="7">
        <v>-1.0188616859126001</v>
      </c>
      <c r="BIP10" s="7">
        <v>1.27148451106189</v>
      </c>
      <c r="BIQ10" s="7">
        <v>-0.57351499437713804</v>
      </c>
      <c r="BIR10" s="7">
        <v>-1.7741230563661E-2</v>
      </c>
      <c r="BIS10" s="7">
        <v>1.86275346504379</v>
      </c>
      <c r="BIT10" s="7">
        <v>-0.80814151998682504</v>
      </c>
      <c r="BIU10" s="7">
        <v>1.7823144589282199E-2</v>
      </c>
      <c r="BIV10" s="7">
        <v>0.44785816162993403</v>
      </c>
      <c r="BIW10" s="7">
        <v>-0.59252001780040897</v>
      </c>
      <c r="BIX10" s="7">
        <v>-0.120836931871161</v>
      </c>
      <c r="BIY10" s="7">
        <v>1.5053822979534099</v>
      </c>
      <c r="BIZ10" s="7">
        <v>2.0776420373840101</v>
      </c>
      <c r="BJA10" s="7">
        <v>-1.03604978280965</v>
      </c>
      <c r="BJB10" s="7">
        <v>0.126983571105029</v>
      </c>
      <c r="BJC10" s="7">
        <v>-0.112671039090006</v>
      </c>
      <c r="BJD10" s="7">
        <v>2.1947544336156799</v>
      </c>
      <c r="BJE10" s="7">
        <v>0.59769701643637696</v>
      </c>
      <c r="BJF10" s="7">
        <v>2.1041158976454</v>
      </c>
      <c r="BJG10" s="7">
        <v>2.0035192769039099</v>
      </c>
      <c r="BJH10" s="7">
        <v>0.23276455368333299</v>
      </c>
      <c r="BJI10" s="7">
        <v>0.53151322287466496</v>
      </c>
      <c r="BJJ10" s="7">
        <v>-0.75608616291034403</v>
      </c>
      <c r="BJK10" s="7">
        <v>1.0497575329406299</v>
      </c>
      <c r="BJL10" s="7">
        <v>-0.12341825189783399</v>
      </c>
      <c r="BJM10" s="7">
        <v>3.60399333106163E-2</v>
      </c>
      <c r="BJN10" s="7">
        <v>-0.81646751899189396</v>
      </c>
      <c r="BJO10" s="7">
        <v>-0.52867908663958696</v>
      </c>
      <c r="BJP10" s="7">
        <v>-1.63967524541817</v>
      </c>
      <c r="BJQ10" s="7">
        <v>1.1980059493592099</v>
      </c>
      <c r="BJR10" s="7">
        <v>-0.303193254760596</v>
      </c>
      <c r="BJS10" s="7">
        <v>-0.46655170292942699</v>
      </c>
      <c r="BJT10" s="7">
        <v>0.65187344986070495</v>
      </c>
      <c r="BJU10" s="7">
        <v>0.30903792338772701</v>
      </c>
      <c r="BJV10" s="7">
        <v>-4.5581333188062602E-2</v>
      </c>
      <c r="BJW10" s="7">
        <v>0.90883416414797402</v>
      </c>
      <c r="BJX10" s="7">
        <v>0.68047504431774197</v>
      </c>
      <c r="BJY10" s="7">
        <v>3.6366774172471299E-2</v>
      </c>
      <c r="BJZ10" s="7">
        <v>0.74344594901681005</v>
      </c>
      <c r="BKA10" s="7">
        <v>0.50417819480383697</v>
      </c>
      <c r="BKB10" s="7">
        <v>0.310332329994087</v>
      </c>
      <c r="BKC10" s="7">
        <v>0.55042211347445402</v>
      </c>
      <c r="BKD10" s="7">
        <v>3.0463620703665999</v>
      </c>
      <c r="BKE10" s="7">
        <v>-0.45170286510569702</v>
      </c>
      <c r="BKF10" s="7">
        <v>-0.1840920093806</v>
      </c>
      <c r="BKG10" s="7">
        <v>8.3420709281953706E-2</v>
      </c>
      <c r="BKH10" s="7">
        <v>-0.15724317252717199</v>
      </c>
      <c r="BKI10" s="7">
        <v>-1.35385045815858</v>
      </c>
      <c r="BKJ10" s="7">
        <v>0.44109095229733503</v>
      </c>
      <c r="BKK10" s="7">
        <v>8.6855738460418094E-2</v>
      </c>
      <c r="BKL10" s="7">
        <v>-0.22917940229271899</v>
      </c>
      <c r="BKM10" s="7">
        <v>0.151798319649361</v>
      </c>
      <c r="BKN10" s="7">
        <v>-0.41704478746192702</v>
      </c>
      <c r="BKO10" s="7">
        <v>0.34615105312525801</v>
      </c>
      <c r="BKP10" s="7">
        <v>-0.77254430606098201</v>
      </c>
      <c r="BKQ10" s="7">
        <v>-1.2144329956925199</v>
      </c>
      <c r="BKR10" s="7">
        <v>0.51821903932748503</v>
      </c>
      <c r="BKS10" s="7">
        <v>-9.6709796624191893E-2</v>
      </c>
      <c r="BKT10" s="7">
        <v>-0.51428012789328004</v>
      </c>
      <c r="BKU10" s="7">
        <v>0.62587450935645295</v>
      </c>
      <c r="BKV10" s="7">
        <v>0.22043144494972</v>
      </c>
      <c r="BKW10" s="7">
        <v>-1.4547579883356201</v>
      </c>
      <c r="BKX10" s="7">
        <v>-0.15184551521019701</v>
      </c>
      <c r="BKY10" s="7">
        <v>0.37133958159380098</v>
      </c>
      <c r="BKZ10" s="7">
        <v>-0.34112955523863597</v>
      </c>
      <c r="BLA10" s="7">
        <v>-3.4644637901050601E-2</v>
      </c>
      <c r="BLB10" s="7">
        <v>-0.57245089893729695</v>
      </c>
      <c r="BLC10" s="7">
        <v>-0.58268300509781001</v>
      </c>
      <c r="BLD10" s="7">
        <v>0.45647574087624698</v>
      </c>
      <c r="BLE10" s="7">
        <v>-0.92704956368647795</v>
      </c>
      <c r="BLF10" s="7">
        <v>1.18107257433545</v>
      </c>
      <c r="BLG10" s="7">
        <v>-1.0928062079630001</v>
      </c>
      <c r="BLH10" s="7">
        <v>-0.34822348123713598</v>
      </c>
      <c r="BLI10" s="7">
        <v>0.74372086604175003</v>
      </c>
      <c r="BLJ10" s="7">
        <v>6.11315820766224E-2</v>
      </c>
      <c r="BLK10" s="7">
        <v>0.32450228662643399</v>
      </c>
      <c r="BLL10" s="7">
        <v>-0.52576429817022297</v>
      </c>
      <c r="BLM10" s="7">
        <v>1.56932860863498</v>
      </c>
      <c r="BLN10" s="7">
        <v>6.4282577844267205E-2</v>
      </c>
      <c r="BLO10" s="7">
        <v>-8.4383511030451594E-2</v>
      </c>
      <c r="BLP10" s="7">
        <v>0.72333527906563999</v>
      </c>
      <c r="BLQ10" s="7">
        <v>0.15637141507674701</v>
      </c>
      <c r="BLR10" s="7">
        <v>0.50525766342908995</v>
      </c>
      <c r="BLS10" s="7">
        <v>1.54241197693113</v>
      </c>
      <c r="BLT10" s="7">
        <v>-8.9803595051338003E-2</v>
      </c>
      <c r="BLU10" s="7">
        <v>-1.99594764054342</v>
      </c>
      <c r="BLV10" s="7">
        <v>-1.4396194513423</v>
      </c>
      <c r="BLW10" s="7">
        <v>0.88386821525565196</v>
      </c>
      <c r="BLX10" s="7">
        <v>-0.31334960200753398</v>
      </c>
      <c r="BLY10" s="7">
        <v>-0.29602033073131501</v>
      </c>
      <c r="BLZ10" s="7">
        <v>-0.18673902369022699</v>
      </c>
      <c r="BMA10" s="7">
        <v>0.65210919104627496</v>
      </c>
      <c r="BMB10" s="7">
        <v>-7.1368481584076996E-3</v>
      </c>
      <c r="BMC10" s="7">
        <v>-8.7299417952260996E-2</v>
      </c>
      <c r="BMD10" s="7">
        <v>0.488763041797181</v>
      </c>
      <c r="BME10" s="7">
        <v>1.3169821971285101</v>
      </c>
      <c r="BMF10" s="7">
        <v>1.3788201591692599</v>
      </c>
      <c r="BMG10" s="7">
        <v>1.9354465309197499</v>
      </c>
      <c r="BMH10" s="7">
        <v>1.0446976794606899</v>
      </c>
      <c r="BMI10" s="7">
        <v>-4.7973504870030201E-2</v>
      </c>
      <c r="BMJ10" s="7">
        <v>0.536317721379446</v>
      </c>
      <c r="BMK10" s="7">
        <v>-2.4333886784523902</v>
      </c>
      <c r="BML10" s="7">
        <v>-0.90059157041195803</v>
      </c>
      <c r="BMM10" s="7">
        <v>1.6456050878214199</v>
      </c>
      <c r="BMN10" s="7">
        <v>0.95613697626745897</v>
      </c>
      <c r="BMO10" s="7">
        <v>-1.2679237052674099</v>
      </c>
      <c r="BMP10" s="7">
        <v>0.69609820083948604</v>
      </c>
      <c r="BMQ10" s="7">
        <v>1.11390368541917</v>
      </c>
      <c r="BMR10" s="7">
        <v>-1.8130361151872001</v>
      </c>
      <c r="BMS10" s="7">
        <v>-0.32381013519486002</v>
      </c>
      <c r="BMT10" s="7">
        <v>0.498080735121194</v>
      </c>
      <c r="BMU10" s="7">
        <v>-1.2803969719230499</v>
      </c>
      <c r="BMV10" s="7">
        <v>0.33111575742260702</v>
      </c>
      <c r="BMW10" s="7">
        <v>-0.21006396096646199</v>
      </c>
      <c r="BMX10" s="7">
        <v>-1.3083947672977601</v>
      </c>
      <c r="BMY10" s="7">
        <v>0.38889165059950898</v>
      </c>
      <c r="BMZ10" s="7">
        <v>-1.38701712999925</v>
      </c>
      <c r="BNA10" s="7">
        <v>-1.0164422614752899</v>
      </c>
      <c r="BNB10" s="7">
        <v>1.2155966326359</v>
      </c>
      <c r="BNC10" s="7">
        <v>-0.67571072077665795</v>
      </c>
      <c r="BND10" s="7">
        <v>-0.62234769192623796</v>
      </c>
      <c r="BNE10" s="7">
        <v>0.78374523638687899</v>
      </c>
      <c r="BNF10" s="7">
        <v>-0.26427784515799502</v>
      </c>
      <c r="BNG10" s="7">
        <v>1.3483913197492099</v>
      </c>
      <c r="BNH10" s="7">
        <v>1.5798704911783901</v>
      </c>
      <c r="BNI10" s="7">
        <v>-1.1789761361240401</v>
      </c>
      <c r="BNJ10" s="7">
        <v>-0.97146375413203501</v>
      </c>
      <c r="BNK10" s="7">
        <v>0.71491491752190095</v>
      </c>
      <c r="BNL10" s="7">
        <v>-0.71603592970887997</v>
      </c>
      <c r="BNM10" s="7">
        <v>1.4965961780271499</v>
      </c>
      <c r="BNN10" s="7">
        <v>0.13022272971359</v>
      </c>
      <c r="BNO10" s="7">
        <v>1.44472125237692</v>
      </c>
      <c r="BNP10" s="7">
        <v>2.3995015108901899E-2</v>
      </c>
      <c r="BNQ10" s="7">
        <v>0.43604803593765501</v>
      </c>
      <c r="BNR10" s="7">
        <v>0.41166645938554502</v>
      </c>
      <c r="BNS10" s="7">
        <v>-2.7074809219912801</v>
      </c>
      <c r="BNT10" s="7">
        <v>-2.1377489907620699</v>
      </c>
      <c r="BNU10" s="7">
        <v>-0.100047393437146</v>
      </c>
      <c r="BNV10" s="7">
        <v>0.51410816876061005</v>
      </c>
      <c r="BNW10" s="7">
        <v>0.124551357432392</v>
      </c>
      <c r="BNX10" s="7">
        <v>0.683328608258431</v>
      </c>
      <c r="BNY10" s="7">
        <v>1.27356576598402</v>
      </c>
      <c r="BNZ10" s="7">
        <v>1.38993722840696</v>
      </c>
      <c r="BOA10" s="7">
        <v>-0.24747657424295999</v>
      </c>
      <c r="BOB10" s="7">
        <v>-1.2681598121773801</v>
      </c>
      <c r="BOC10" s="7">
        <v>0.50161789135078505</v>
      </c>
      <c r="BOD10" s="7">
        <v>0.59192150644016295</v>
      </c>
      <c r="BOE10" s="7">
        <v>-2.2002956746937898</v>
      </c>
      <c r="BOF10" s="7">
        <v>-0.96141806727954804</v>
      </c>
      <c r="BOG10" s="7">
        <v>1.37983664445522E-2</v>
      </c>
      <c r="BOH10" s="7">
        <v>-3.08093955344689E-2</v>
      </c>
      <c r="BOI10" s="7">
        <v>-0.140911398779519</v>
      </c>
      <c r="BOJ10" s="7">
        <v>1.4790773462193301</v>
      </c>
      <c r="BOK10" s="7">
        <v>0.61686646038702597</v>
      </c>
      <c r="BOL10" s="7">
        <v>-9.5395814729994893E-2</v>
      </c>
      <c r="BOM10" s="7">
        <v>-0.58455578799946895</v>
      </c>
      <c r="BON10" s="7">
        <v>8.2522002061300001E-4</v>
      </c>
      <c r="BOO10" s="7">
        <v>-0.57572024447413195</v>
      </c>
      <c r="BOP10" s="7">
        <v>-0.19773213182143801</v>
      </c>
      <c r="BOQ10" s="7">
        <v>8.5758976493805206E-2</v>
      </c>
      <c r="BOR10" s="7">
        <v>-0.79351865580573699</v>
      </c>
      <c r="BOS10" s="7">
        <v>-0.34375482544395802</v>
      </c>
      <c r="BOT10" s="7">
        <v>0.31318471156891098</v>
      </c>
      <c r="BOU10" s="7">
        <v>6.8943306655968498E-2</v>
      </c>
      <c r="BOV10" s="7">
        <v>-1.30897180210599</v>
      </c>
      <c r="BOW10" s="7">
        <v>0.43289454046869302</v>
      </c>
      <c r="BOX10" s="7">
        <v>-0.442140945112243</v>
      </c>
      <c r="BOY10" s="7">
        <v>1.6513499042986901</v>
      </c>
      <c r="BOZ10" s="7">
        <v>-0.96689295423594801</v>
      </c>
      <c r="BPA10" s="7">
        <v>0.56463474680619696</v>
      </c>
      <c r="BPB10" s="7">
        <v>-1.0000382313065299</v>
      </c>
      <c r="BPC10" s="7">
        <v>0.300859772648499</v>
      </c>
      <c r="BPD10" s="7">
        <v>-0.223220597054373</v>
      </c>
      <c r="BPE10" s="7">
        <v>0.98849022623594496</v>
      </c>
      <c r="BPF10" s="7">
        <v>0.97273387629935804</v>
      </c>
      <c r="BPG10" s="7">
        <v>0.83651781698735395</v>
      </c>
      <c r="BPH10" s="7">
        <v>-0.3228392520567</v>
      </c>
      <c r="BPI10" s="7">
        <v>0.42670466764933601</v>
      </c>
      <c r="BPJ10" s="7">
        <v>0.567074130817387</v>
      </c>
      <c r="BPK10" s="7">
        <v>-1.5837142909084501</v>
      </c>
      <c r="BPL10" s="7">
        <v>0.74360265019116401</v>
      </c>
      <c r="BPM10" s="7">
        <v>-0.54969873917834</v>
      </c>
      <c r="BPN10" s="7">
        <v>-1.19334510244153</v>
      </c>
      <c r="BPO10" s="7">
        <v>1.32556733999978</v>
      </c>
      <c r="BPP10" s="7">
        <v>2.12920950277159</v>
      </c>
      <c r="BPQ10" s="7">
        <v>1.2320162674594799</v>
      </c>
      <c r="BPR10" s="7">
        <v>-2.27373050372409</v>
      </c>
      <c r="BPS10" s="7">
        <v>0.60900225319769397</v>
      </c>
      <c r="BPT10" s="7">
        <v>1.87431249972897</v>
      </c>
      <c r="BPU10" s="7">
        <v>0.43859892042785598</v>
      </c>
      <c r="BPV10" s="7">
        <v>1.1323264505667401</v>
      </c>
      <c r="BPW10" s="7">
        <v>-0.89613873405674105</v>
      </c>
      <c r="BPX10" s="7">
        <v>1.13077872864387</v>
      </c>
      <c r="BPY10" s="7">
        <v>1.1040043736084999</v>
      </c>
      <c r="BPZ10" s="7">
        <v>-0.17751996655703001</v>
      </c>
      <c r="BQA10" s="7">
        <v>9.3626462889007403E-2</v>
      </c>
      <c r="BQB10" s="7">
        <v>0.37401331123443698</v>
      </c>
      <c r="BQC10" s="7">
        <v>0.776887784899148</v>
      </c>
      <c r="BQD10" s="7">
        <v>0.24457545182429699</v>
      </c>
      <c r="BQE10" s="7">
        <v>0.54130279071065401</v>
      </c>
      <c r="BQF10" s="7">
        <v>0.155218243460468</v>
      </c>
      <c r="BQG10" s="7">
        <v>-0.91189275289647298</v>
      </c>
      <c r="BQH10" s="7">
        <v>6.8765517080256702E-2</v>
      </c>
    </row>
    <row r="11" spans="1:1802" x14ac:dyDescent="0.2">
      <c r="A11" s="7">
        <v>9</v>
      </c>
      <c r="B11" s="7">
        <v>-1.72414990918509</v>
      </c>
      <c r="C11" s="7">
        <v>2.1123049024160898</v>
      </c>
      <c r="D11" s="7">
        <v>-1.44639903064514</v>
      </c>
      <c r="E11" s="7">
        <v>0.242258048729312</v>
      </c>
      <c r="F11" s="7">
        <v>0.57973473495338501</v>
      </c>
      <c r="G11" s="7">
        <v>0.38091878117651201</v>
      </c>
      <c r="H11" s="7">
        <v>0.24040861351635701</v>
      </c>
      <c r="I11" s="7">
        <v>-0.55096461378774997</v>
      </c>
      <c r="J11" s="7">
        <v>-1.2025620189925701</v>
      </c>
      <c r="K11" s="7">
        <v>1.1736084350623901</v>
      </c>
      <c r="L11" s="7">
        <v>0.45092492599280998</v>
      </c>
      <c r="M11" s="7">
        <v>1.3385649962603501</v>
      </c>
      <c r="N11" s="7">
        <v>-1.1861372229221301</v>
      </c>
      <c r="O11" s="7">
        <v>0.56316918023110196</v>
      </c>
      <c r="P11" s="7">
        <v>0.63138180562171098</v>
      </c>
      <c r="Q11" s="7">
        <v>0.415156128303804</v>
      </c>
      <c r="R11" s="7">
        <v>-0.59564526790722006</v>
      </c>
      <c r="S11" s="7">
        <v>2.4318172349160898</v>
      </c>
      <c r="T11" s="7">
        <v>-1.2447657314321099</v>
      </c>
      <c r="U11" s="7">
        <v>0.14461282232542</v>
      </c>
      <c r="V11" s="7">
        <v>-0.59261425369253895</v>
      </c>
      <c r="W11" s="7">
        <v>0.143240901411222</v>
      </c>
      <c r="X11" s="7">
        <v>2.5530830583044</v>
      </c>
      <c r="Y11" s="7">
        <v>0.63142340209273096</v>
      </c>
      <c r="Z11" s="7">
        <v>-1.1462651307182099</v>
      </c>
      <c r="AA11" s="7">
        <v>0.34940541055118601</v>
      </c>
      <c r="AB11" s="7">
        <v>-0.36178720837328399</v>
      </c>
      <c r="AC11" s="7">
        <v>1.7721792505031999</v>
      </c>
      <c r="AD11" s="7">
        <v>-1.5773230291484299</v>
      </c>
      <c r="AE11" s="7">
        <v>0.30765089838070497</v>
      </c>
      <c r="AF11" s="7">
        <v>-0.229523242853681</v>
      </c>
      <c r="AG11" s="7">
        <v>6.8184847584862804E-2</v>
      </c>
      <c r="AH11" s="7">
        <v>-0.84976853103997196</v>
      </c>
      <c r="AI11" s="7">
        <v>-0.26241651851914499</v>
      </c>
      <c r="AJ11" s="7">
        <v>1.1774363113512001</v>
      </c>
      <c r="AK11" s="7">
        <v>0.53571126240632005</v>
      </c>
      <c r="AL11" s="7">
        <v>0.59011070127488896</v>
      </c>
      <c r="AM11" s="7">
        <v>-2.2220532784379601E-2</v>
      </c>
      <c r="AN11" s="7">
        <v>-1.1287197595363001</v>
      </c>
      <c r="AO11" s="7">
        <v>0.18752925078455199</v>
      </c>
      <c r="AP11" s="7">
        <v>-0.88388775814435705</v>
      </c>
      <c r="AQ11" s="7">
        <v>1.3348089909752801</v>
      </c>
      <c r="AR11" s="7">
        <v>-0.98441855853839599</v>
      </c>
      <c r="AS11" s="7">
        <v>1.3280919211968001</v>
      </c>
      <c r="AT11" s="7">
        <v>-0.109571733911371</v>
      </c>
      <c r="AU11" s="7">
        <v>2.4074620938977298</v>
      </c>
      <c r="AV11" s="7">
        <v>-2.3682719757255</v>
      </c>
      <c r="AW11" s="7">
        <v>-0.46670587913531503</v>
      </c>
      <c r="AX11" s="7">
        <v>0.183977992827182</v>
      </c>
      <c r="AY11" s="7">
        <v>-1.3586926301357101</v>
      </c>
      <c r="AZ11" s="7">
        <v>-0.90923864500837903</v>
      </c>
      <c r="BA11" s="7">
        <v>-0.17150548508096999</v>
      </c>
      <c r="BB11" s="7">
        <v>2.0238069426607801</v>
      </c>
      <c r="BC11" s="7">
        <v>-0.58430784813456105</v>
      </c>
      <c r="BD11" s="7">
        <v>1.1268796638591501</v>
      </c>
      <c r="BE11" s="7">
        <v>-0.50001765843240797</v>
      </c>
      <c r="BF11" s="7">
        <v>0.419841785616059</v>
      </c>
      <c r="BG11" s="7">
        <v>0.802814145313276</v>
      </c>
      <c r="BH11" s="7">
        <v>-0.13469751211515599</v>
      </c>
      <c r="BI11" s="7">
        <v>0.285875157889526</v>
      </c>
      <c r="BJ11" s="7">
        <v>1.3706942195524801</v>
      </c>
      <c r="BK11" s="7">
        <v>1.6248826652436901</v>
      </c>
      <c r="BL11" s="7">
        <v>0.17274277388734599</v>
      </c>
      <c r="BM11" s="7">
        <v>-1.3159367280127801</v>
      </c>
      <c r="BN11" s="7">
        <v>-0.55448462785533104</v>
      </c>
      <c r="BO11" s="7">
        <v>0.72882053735497498</v>
      </c>
      <c r="BP11" s="7">
        <v>0.33589413396204099</v>
      </c>
      <c r="BQ11" s="7">
        <v>-1.20309205081142</v>
      </c>
      <c r="BR11" s="7">
        <v>1.0291984257425999</v>
      </c>
      <c r="BS11" s="7">
        <v>1.2975653828025899</v>
      </c>
      <c r="BT11" s="7">
        <v>-1.2606375999461199</v>
      </c>
      <c r="BU11" s="7">
        <v>-0.89737697481498901</v>
      </c>
      <c r="BV11" s="7">
        <v>-0.219668955581381</v>
      </c>
      <c r="BW11" s="7">
        <v>-1.7964632186463401</v>
      </c>
      <c r="BX11" s="7">
        <v>0.73957499231259805</v>
      </c>
      <c r="BY11" s="7">
        <v>-0.35059936489446097</v>
      </c>
      <c r="BZ11" s="7">
        <v>0.72307739710179897</v>
      </c>
      <c r="CA11" s="7">
        <v>-2.7715778178772101</v>
      </c>
      <c r="CB11" s="7">
        <v>0.15630440021282199</v>
      </c>
      <c r="CC11" s="7">
        <v>1.227385692251</v>
      </c>
      <c r="CD11" s="7">
        <v>-0.17991616070794</v>
      </c>
      <c r="CE11" s="7">
        <v>0.40451913428974101</v>
      </c>
      <c r="CF11" s="7">
        <v>9.8783069961613595E-2</v>
      </c>
      <c r="CG11" s="7">
        <v>-1.48342190815103</v>
      </c>
      <c r="CH11" s="7">
        <v>-0.51366195059897102</v>
      </c>
      <c r="CI11" s="7">
        <v>0.25707305806737601</v>
      </c>
      <c r="CJ11" s="7">
        <v>2.1998451549410398</v>
      </c>
      <c r="CK11" s="7">
        <v>0.15916777048317199</v>
      </c>
      <c r="CL11" s="7">
        <v>-0.70150176021890698</v>
      </c>
      <c r="CM11" s="7">
        <v>0.51288904225049803</v>
      </c>
      <c r="CN11" s="7">
        <v>-1.87334589774633</v>
      </c>
      <c r="CO11" s="7">
        <v>-1.6660073782191001</v>
      </c>
      <c r="CP11" s="7">
        <v>-0.18154566760065299</v>
      </c>
      <c r="CQ11" s="7">
        <v>-0.70512479101085201</v>
      </c>
      <c r="CR11" s="7">
        <v>0.70683128408222995</v>
      </c>
      <c r="CS11" s="7">
        <v>-0.45097560136631598</v>
      </c>
      <c r="CT11" s="7">
        <v>-0.29501998762596299</v>
      </c>
      <c r="CU11" s="7">
        <v>-7.2929713896315099E-2</v>
      </c>
      <c r="CV11" s="7">
        <v>3.33762376416934</v>
      </c>
      <c r="CW11" s="7">
        <v>0.14242364720891801</v>
      </c>
      <c r="CX11" s="7">
        <v>0.26313529764634003</v>
      </c>
      <c r="CY11" s="7">
        <v>-4.9023332735991902E-2</v>
      </c>
      <c r="CZ11" s="7">
        <v>-0.99559673402057103</v>
      </c>
      <c r="DA11" s="7">
        <v>-0.50946843779121898</v>
      </c>
      <c r="DB11" s="7">
        <v>-0.469111862815075</v>
      </c>
      <c r="DC11" s="7">
        <v>-1.31341024633075</v>
      </c>
      <c r="DD11" s="7">
        <v>-0.23965439421772899</v>
      </c>
      <c r="DE11" s="7">
        <v>0.704727240162214</v>
      </c>
      <c r="DF11" s="7">
        <v>-1.4292161808321699</v>
      </c>
      <c r="DG11" s="7">
        <v>-0.21784171521676701</v>
      </c>
      <c r="DH11" s="7">
        <v>9.08011265388141E-2</v>
      </c>
      <c r="DI11" s="7">
        <v>-1.27986882745732</v>
      </c>
      <c r="DJ11" s="7">
        <v>-2.0407879212553</v>
      </c>
      <c r="DK11" s="7">
        <v>1.4441082100196301</v>
      </c>
      <c r="DL11" s="7">
        <v>-0.41238529817008102</v>
      </c>
      <c r="DM11" s="7">
        <v>-1.13121868211177</v>
      </c>
      <c r="DN11" s="7">
        <v>0.97530686740601003</v>
      </c>
      <c r="DO11" s="7">
        <v>1.45897249084318</v>
      </c>
      <c r="DP11" s="7">
        <v>-1.0868651558281399</v>
      </c>
      <c r="DQ11" s="7">
        <v>-1.73899937221512</v>
      </c>
      <c r="DR11" s="7">
        <v>-0.39605699415425899</v>
      </c>
      <c r="DS11" s="7">
        <v>4.3519043094240602E-2</v>
      </c>
      <c r="DT11" s="7">
        <v>0.745013064843561</v>
      </c>
      <c r="DU11" s="7">
        <v>-1.27362677667974</v>
      </c>
      <c r="DV11" s="7">
        <v>1.6516384327971301</v>
      </c>
      <c r="DW11" s="7">
        <v>0.46899670052195802</v>
      </c>
      <c r="DX11" s="7">
        <v>0.49135056902086699</v>
      </c>
      <c r="DY11" s="7">
        <v>1.54813636904596</v>
      </c>
      <c r="DZ11" s="7">
        <v>-0.61224566852222395</v>
      </c>
      <c r="EA11" s="7">
        <v>2.3721436256456898</v>
      </c>
      <c r="EB11" s="7">
        <v>-1.37775098294349</v>
      </c>
      <c r="EC11" s="7">
        <v>1.09508847276592</v>
      </c>
      <c r="ED11" s="7">
        <v>0.147275230578015</v>
      </c>
      <c r="EE11" s="7">
        <v>-0.181772611777506</v>
      </c>
      <c r="EF11" s="7">
        <v>1.58870360678302</v>
      </c>
      <c r="EG11" s="7">
        <v>-1.44559584170068</v>
      </c>
      <c r="EH11" s="7">
        <v>-0.45791412030168899</v>
      </c>
      <c r="EI11" s="7">
        <v>0.54296740881949801</v>
      </c>
      <c r="EJ11" s="7">
        <v>0.95677085436468801</v>
      </c>
      <c r="EK11" s="7">
        <v>0.91989745677409096</v>
      </c>
      <c r="EL11" s="7">
        <v>0.59950111608826695</v>
      </c>
      <c r="EM11" s="7">
        <v>0.14118801101712899</v>
      </c>
      <c r="EN11" s="7">
        <v>0.27692710446692298</v>
      </c>
      <c r="EO11" s="7">
        <v>-0.76970481601569496</v>
      </c>
      <c r="EP11" s="7">
        <v>0.124503401993902</v>
      </c>
      <c r="EQ11" s="7">
        <v>-0.61125444535170403</v>
      </c>
      <c r="ER11" s="7">
        <v>-6.1794100998889497E-2</v>
      </c>
      <c r="ES11" s="7">
        <v>-0.25239251738589502</v>
      </c>
      <c r="ET11" s="7">
        <v>-0.117633069352976</v>
      </c>
      <c r="EU11" s="7">
        <v>0.437775825206557</v>
      </c>
      <c r="EV11" s="7">
        <v>-0.66696760121107501</v>
      </c>
      <c r="EW11" s="7">
        <v>1.34579812978244</v>
      </c>
      <c r="EX11" s="7">
        <v>1.41548391987994</v>
      </c>
      <c r="EY11" s="7">
        <v>-0.86946311448190805</v>
      </c>
      <c r="EZ11" s="7">
        <v>1.3031685013776699</v>
      </c>
      <c r="FA11" s="7">
        <v>-8.7893420176882606E-2</v>
      </c>
      <c r="FB11" s="7">
        <v>1.3651152235408801</v>
      </c>
      <c r="FC11" s="7">
        <v>1.39234763584725</v>
      </c>
      <c r="FD11" s="7">
        <v>0.34977193531393203</v>
      </c>
      <c r="FE11" s="7">
        <v>1.3247786889928399</v>
      </c>
      <c r="FF11" s="7">
        <v>-0.26781069741430602</v>
      </c>
      <c r="FG11" s="7">
        <v>0.19264013486114201</v>
      </c>
      <c r="FH11" s="7">
        <v>-0.36400372508609402</v>
      </c>
      <c r="FI11" s="7">
        <v>-0.64235675759988398</v>
      </c>
      <c r="FJ11" s="7">
        <v>-0.30319943143699402</v>
      </c>
      <c r="FK11" s="7">
        <v>8.2257411589002793E-2</v>
      </c>
      <c r="FL11" s="7">
        <v>0.44756228933861503</v>
      </c>
      <c r="FM11" s="7">
        <v>-1.4790243202225899</v>
      </c>
      <c r="FN11" s="7">
        <v>0.82377558386055305</v>
      </c>
      <c r="FO11" s="7">
        <v>-1.2415014122199599</v>
      </c>
      <c r="FP11" s="7">
        <v>0.49735067170443997</v>
      </c>
      <c r="FQ11" s="7">
        <v>-2.3474141133254798</v>
      </c>
      <c r="FR11" s="7">
        <v>0.62142572880876101</v>
      </c>
      <c r="FS11" s="7">
        <v>-1.0641108799494501</v>
      </c>
      <c r="FT11" s="7">
        <v>-0.47492584460275</v>
      </c>
      <c r="FU11" s="7">
        <v>0.68102721657163801</v>
      </c>
      <c r="FV11" s="7">
        <v>0.87102259221698597</v>
      </c>
      <c r="FW11" s="7">
        <v>-0.52496928422357803</v>
      </c>
      <c r="FX11" s="7">
        <v>-1.07880277333511</v>
      </c>
      <c r="FY11" s="7">
        <v>-0.82920823827106105</v>
      </c>
      <c r="FZ11" s="7">
        <v>-2.3304559122897999</v>
      </c>
      <c r="GA11" s="7">
        <v>1.22464919047202</v>
      </c>
      <c r="GB11" s="7">
        <v>-0.56007967910356804</v>
      </c>
      <c r="GC11" s="7">
        <v>0.74823854123450595</v>
      </c>
      <c r="GD11" s="7">
        <v>0.232587473478017</v>
      </c>
      <c r="GE11" s="7">
        <v>-1.38681373777567</v>
      </c>
      <c r="GF11" s="7">
        <v>0.69053558011531302</v>
      </c>
      <c r="GG11" s="7">
        <v>-0.79790683771528803</v>
      </c>
      <c r="GH11" s="7">
        <v>1.88437642059616</v>
      </c>
      <c r="GI11" s="7">
        <v>-1.14515854776458</v>
      </c>
      <c r="GJ11" s="7">
        <v>0.77184151564639802</v>
      </c>
      <c r="GK11" s="7">
        <v>1.44477207805889</v>
      </c>
      <c r="GL11" s="7">
        <v>-1.8378969377728999E-2</v>
      </c>
      <c r="GM11" s="7">
        <v>0.45841051692596801</v>
      </c>
      <c r="GN11" s="7">
        <v>0.52072702717930497</v>
      </c>
      <c r="GO11" s="7">
        <v>2.0301299983714198</v>
      </c>
      <c r="GP11" s="7">
        <v>2.1065140371694899</v>
      </c>
      <c r="GQ11" s="7">
        <v>-4.6441642622191803E-2</v>
      </c>
      <c r="GR11" s="7">
        <v>-1.4262406005388499</v>
      </c>
      <c r="GS11" s="7">
        <v>-0.61410414927255896</v>
      </c>
      <c r="GT11" s="7">
        <v>1.47820928491515</v>
      </c>
      <c r="GU11" s="7">
        <v>-0.44609578048123699</v>
      </c>
      <c r="GV11" s="7">
        <v>-1.1433939435809199</v>
      </c>
      <c r="GW11" s="7">
        <v>0.353845855837151</v>
      </c>
      <c r="GX11" s="7">
        <v>-0.27273622745951798</v>
      </c>
      <c r="GY11" s="7">
        <v>1.4303006960418201</v>
      </c>
      <c r="GZ11" s="7">
        <v>-0.82648588582907501</v>
      </c>
      <c r="HA11" s="7">
        <v>0.34491372141212601</v>
      </c>
      <c r="HB11" s="7">
        <v>0.72071278708490205</v>
      </c>
      <c r="HC11" s="7">
        <v>7.6578301657358294E-2</v>
      </c>
      <c r="HD11" s="7">
        <v>-0.22969790603986101</v>
      </c>
      <c r="HE11" s="7">
        <v>-0.69002210746191806</v>
      </c>
      <c r="HF11" s="7">
        <v>0.72278170030657296</v>
      </c>
      <c r="HG11" s="7">
        <v>2.14122349331008</v>
      </c>
      <c r="HH11" s="7">
        <v>-3.2545328585332503E-2</v>
      </c>
      <c r="HI11" s="7">
        <v>-0.27877143527814202</v>
      </c>
      <c r="HJ11" s="7">
        <v>0.21365546642319899</v>
      </c>
      <c r="HK11" s="7">
        <v>-0.86556939880831196</v>
      </c>
      <c r="HL11" s="7">
        <v>0.627261244422613</v>
      </c>
      <c r="HM11" s="7">
        <v>-0.96431693989765399</v>
      </c>
      <c r="HN11" s="7">
        <v>-0.73736895906160504</v>
      </c>
      <c r="HO11" s="7">
        <v>0.25254036566459898</v>
      </c>
      <c r="HP11" s="7">
        <v>-1.9693162012279299</v>
      </c>
      <c r="HQ11" s="7">
        <v>0.68468955144985599</v>
      </c>
      <c r="HR11" s="7">
        <v>0.48985178372904697</v>
      </c>
      <c r="HS11" s="7">
        <v>1.6110611785573601</v>
      </c>
      <c r="HT11" s="7">
        <v>-1.6718579736911401</v>
      </c>
      <c r="HU11" s="7">
        <v>1.38123553883326</v>
      </c>
      <c r="HV11" s="7">
        <v>-0.22346261928144701</v>
      </c>
      <c r="HW11" s="7">
        <v>-1.5454974701723501</v>
      </c>
      <c r="HX11" s="7">
        <v>-1.55084592815716</v>
      </c>
      <c r="HY11" s="7">
        <v>-0.132937438103711</v>
      </c>
      <c r="HZ11" s="7">
        <v>-0.49984863538556901</v>
      </c>
      <c r="IA11" s="7">
        <v>0.24075574502366701</v>
      </c>
      <c r="IB11" s="7">
        <v>-0.41168995097723399</v>
      </c>
      <c r="IC11" s="7">
        <v>-0.111369782606874</v>
      </c>
      <c r="ID11" s="7">
        <v>-1.34840557144259</v>
      </c>
      <c r="IE11" s="7">
        <v>-0.59854416670761201</v>
      </c>
      <c r="IF11" s="7">
        <v>-1.83068395069715</v>
      </c>
      <c r="IG11" s="7">
        <v>-1.53545823627642</v>
      </c>
      <c r="IH11" s="7">
        <v>0.13445650043408</v>
      </c>
      <c r="II11" s="7">
        <v>-1.96049833962306</v>
      </c>
      <c r="IJ11" s="7">
        <v>-3.8916428897646398E-2</v>
      </c>
      <c r="IK11" s="7">
        <v>1.71148616361176</v>
      </c>
      <c r="IL11" s="7">
        <v>-0.75825248286495195</v>
      </c>
      <c r="IM11" s="7">
        <v>-1.7348718807600801E-2</v>
      </c>
      <c r="IN11" s="7">
        <v>-0.54618227752656401</v>
      </c>
      <c r="IO11" s="7">
        <v>1.88856544812557</v>
      </c>
      <c r="IP11" s="7">
        <v>-0.43447773387194799</v>
      </c>
      <c r="IQ11" s="7">
        <v>-1.0389518920031799</v>
      </c>
      <c r="IR11" s="7">
        <v>0.98082930478303099</v>
      </c>
      <c r="IS11" s="7">
        <v>1.72408999446572</v>
      </c>
      <c r="IT11" s="7">
        <v>-0.85810136393163705</v>
      </c>
      <c r="IU11" s="7">
        <v>-1.5885521079176701</v>
      </c>
      <c r="IV11" s="7">
        <v>0.97778455025434097</v>
      </c>
      <c r="IW11" s="7">
        <v>-2.9162751701218501E-2</v>
      </c>
      <c r="IX11" s="7">
        <v>0.77434253718298696</v>
      </c>
      <c r="IY11" s="7">
        <v>-0.55557276057980398</v>
      </c>
      <c r="IZ11" s="7">
        <v>1.05874650200547</v>
      </c>
      <c r="JA11" s="7">
        <v>0.78072572160790499</v>
      </c>
      <c r="JB11" s="7">
        <v>-0.68870953428292303</v>
      </c>
      <c r="JC11" s="7">
        <v>-0.73373051896786801</v>
      </c>
      <c r="JD11" s="7">
        <v>1.15224226534439</v>
      </c>
      <c r="JE11" s="7">
        <v>0.57667177524697699</v>
      </c>
      <c r="JF11" s="7">
        <v>-1.0818344361310901</v>
      </c>
      <c r="JG11" s="7">
        <v>-1.3365654036069601</v>
      </c>
      <c r="JH11" s="7">
        <v>2.1942753983985201</v>
      </c>
      <c r="JI11" s="7">
        <v>-0.545321846722439</v>
      </c>
      <c r="JJ11" s="7">
        <v>0.92479028422638698</v>
      </c>
      <c r="JK11" s="7">
        <v>-1.00653535290315</v>
      </c>
      <c r="JL11" s="7">
        <v>-0.116841396829184</v>
      </c>
      <c r="JM11" s="7">
        <v>0.52048863455067496</v>
      </c>
      <c r="JN11" s="7">
        <v>0.396357710320693</v>
      </c>
      <c r="JO11" s="7">
        <v>-1.17934322204224</v>
      </c>
      <c r="JP11" s="7">
        <v>-0.66254489886074197</v>
      </c>
      <c r="JQ11" s="7">
        <v>-0.51369878010237002</v>
      </c>
      <c r="JR11" s="7">
        <v>0.75207173627790103</v>
      </c>
      <c r="JS11" s="7">
        <v>0.63342001320103303</v>
      </c>
      <c r="JT11" s="7">
        <v>0.85375923168268597</v>
      </c>
      <c r="JU11" s="7">
        <v>-0.63383929147571105</v>
      </c>
      <c r="JV11" s="7">
        <v>-1.51629056222841</v>
      </c>
      <c r="JW11" s="7">
        <v>1.2568162950937101</v>
      </c>
      <c r="JX11" s="7">
        <v>-1.0493617271123199</v>
      </c>
      <c r="JY11" s="7">
        <v>-0.68184698621887396</v>
      </c>
      <c r="JZ11" s="7">
        <v>-0.76969435519495799</v>
      </c>
      <c r="KA11" s="7">
        <v>1.84013774723558</v>
      </c>
      <c r="KB11" s="7">
        <v>-0.67642640745318094</v>
      </c>
      <c r="KC11" s="7">
        <v>-0.91223432166777796</v>
      </c>
      <c r="KD11" s="7">
        <v>-0.84672657963016495</v>
      </c>
      <c r="KE11" s="7">
        <v>0.234016453770716</v>
      </c>
      <c r="KF11" s="7">
        <v>-0.32796244322892698</v>
      </c>
      <c r="KG11" s="7">
        <v>0.64612876415857301</v>
      </c>
      <c r="KH11" s="7">
        <v>-1.7759589195150101</v>
      </c>
      <c r="KI11" s="7">
        <v>9.5059436246453605E-2</v>
      </c>
      <c r="KJ11" s="7">
        <v>-0.54842400578067196</v>
      </c>
      <c r="KK11" s="7">
        <v>-0.43678572479410799</v>
      </c>
      <c r="KL11" s="7">
        <v>0.51609494231556896</v>
      </c>
      <c r="KM11" s="7">
        <v>-0.30028506893500501</v>
      </c>
      <c r="KN11" s="7">
        <v>-0.81932070819066205</v>
      </c>
      <c r="KO11" s="7">
        <v>-0.27311748570295502</v>
      </c>
      <c r="KP11" s="7">
        <v>-0.97553656754417795</v>
      </c>
      <c r="KQ11" s="7">
        <v>1.33324277034062</v>
      </c>
      <c r="KR11" s="7">
        <v>0.11738015915082201</v>
      </c>
      <c r="KS11" s="7">
        <v>-1.3104435202904401</v>
      </c>
      <c r="KT11" s="7">
        <v>-0.44709358600137</v>
      </c>
      <c r="KU11" s="7">
        <v>0.66535264286083895</v>
      </c>
      <c r="KV11" s="7">
        <v>-0.64042918628012402</v>
      </c>
      <c r="KW11" s="7">
        <v>2.3932041264780999</v>
      </c>
      <c r="KX11" s="7">
        <v>-1.63079656298849</v>
      </c>
      <c r="KY11" s="7">
        <v>-0.80807857781095804</v>
      </c>
      <c r="KZ11" s="7">
        <v>0.116348226666836</v>
      </c>
      <c r="LA11" s="7">
        <v>1.1921073467863701</v>
      </c>
      <c r="LB11" s="7">
        <v>-0.19833276017676099</v>
      </c>
      <c r="LC11" s="7">
        <v>0.14142600059194699</v>
      </c>
      <c r="LD11" s="7">
        <v>-0.90930425005297599</v>
      </c>
      <c r="LE11" s="7">
        <v>-0.98155743051373201</v>
      </c>
      <c r="LF11" s="7">
        <v>0.64700743214395395</v>
      </c>
      <c r="LG11" s="7">
        <v>0.67341496393755296</v>
      </c>
      <c r="LH11" s="7">
        <v>1.32528617913438</v>
      </c>
      <c r="LI11" s="7">
        <v>-1.26466349664706</v>
      </c>
      <c r="LJ11" s="7">
        <v>-0.37105889333275999</v>
      </c>
      <c r="LK11" s="7">
        <v>-1.21548386837939</v>
      </c>
      <c r="LL11" s="7">
        <v>0.61718161253421</v>
      </c>
      <c r="LM11" s="7">
        <v>0.69815544297752996</v>
      </c>
      <c r="LN11" s="7">
        <v>2.17214905715324</v>
      </c>
      <c r="LO11" s="7">
        <v>-0.163002058566527</v>
      </c>
      <c r="LP11" s="7">
        <v>-1.16361576369108</v>
      </c>
      <c r="LQ11" s="7">
        <v>-0.53294614687235498</v>
      </c>
      <c r="LR11" s="7">
        <v>1.6940964550593698E-2</v>
      </c>
      <c r="LS11" s="7">
        <v>0.75891687738121505</v>
      </c>
      <c r="LT11" s="7">
        <v>-0.14678707124003401</v>
      </c>
      <c r="LU11" s="7">
        <v>0.18331367466380999</v>
      </c>
      <c r="LV11" s="7">
        <v>-0.72048745721766005</v>
      </c>
      <c r="LW11" s="7">
        <v>-2.0083918542700299</v>
      </c>
      <c r="LX11" s="7">
        <v>1.86241620306412</v>
      </c>
      <c r="LY11" s="7">
        <v>6.7594530606142594E-2</v>
      </c>
      <c r="LZ11" s="7">
        <v>-2.5875016982480399</v>
      </c>
      <c r="MA11" s="7">
        <v>1.6482243168716999</v>
      </c>
      <c r="MB11" s="7">
        <v>-1.3383511687568601</v>
      </c>
      <c r="MC11" s="7">
        <v>0.46331659032494099</v>
      </c>
      <c r="MD11" s="7">
        <v>0.95804957393485601</v>
      </c>
      <c r="ME11" s="7">
        <v>2.3436496416647699</v>
      </c>
      <c r="MF11" s="7">
        <v>0.61540451106914396</v>
      </c>
      <c r="MG11" s="7">
        <v>0.66917925494507302</v>
      </c>
      <c r="MH11" s="7">
        <v>1.0821548650320201</v>
      </c>
      <c r="MI11" s="7">
        <v>-0.75270101794238298</v>
      </c>
      <c r="MJ11" s="7">
        <v>-0.22889437194218601</v>
      </c>
      <c r="MK11" s="7">
        <v>0.26311396477770899</v>
      </c>
      <c r="ML11" s="7">
        <v>-0.44119872027066298</v>
      </c>
      <c r="MM11" s="7">
        <v>-0.260854736149566</v>
      </c>
      <c r="MN11" s="7">
        <v>0.162359165008747</v>
      </c>
      <c r="MO11" s="7">
        <v>-0.73613520289608603</v>
      </c>
      <c r="MP11" s="7">
        <v>0.37307469474670002</v>
      </c>
      <c r="MQ11" s="7">
        <v>-1.0761932488339001</v>
      </c>
      <c r="MR11" s="7">
        <v>0.57484649294441703</v>
      </c>
      <c r="MS11" s="7">
        <v>0.47141186264403501</v>
      </c>
      <c r="MT11" s="7">
        <v>0.49382127467510001</v>
      </c>
      <c r="MU11" s="7">
        <v>0.42560623022671701</v>
      </c>
      <c r="MV11" s="7">
        <v>-0.56055924904223298</v>
      </c>
      <c r="MW11" s="7">
        <v>0.29370371070868101</v>
      </c>
      <c r="MX11" s="7">
        <v>2.2158082238202601</v>
      </c>
      <c r="MY11" s="7">
        <v>-0.30560953940427399</v>
      </c>
      <c r="MZ11" s="7">
        <v>-0.92722957798038697</v>
      </c>
      <c r="NA11" s="7">
        <v>0.92850420495867403</v>
      </c>
      <c r="NB11" s="7">
        <v>-0.24085539449775201</v>
      </c>
      <c r="NC11" s="7">
        <v>4.7029151261362402E-2</v>
      </c>
      <c r="ND11" s="7">
        <v>0.61713167570398897</v>
      </c>
      <c r="NE11" s="7">
        <v>0.41304225257452598</v>
      </c>
      <c r="NF11" s="7">
        <v>-0.70218208994633002</v>
      </c>
      <c r="NG11" s="7">
        <v>-0.760750000605944</v>
      </c>
      <c r="NH11" s="7">
        <v>0.92793063845738899</v>
      </c>
      <c r="NI11" s="7">
        <v>-0.20367224964410599</v>
      </c>
      <c r="NJ11" s="7">
        <v>0.109313568548825</v>
      </c>
      <c r="NK11" s="7">
        <v>0.26067139551910501</v>
      </c>
      <c r="NL11" s="7">
        <v>0.75971352083742705</v>
      </c>
      <c r="NM11" s="7">
        <v>1.1186961862918401</v>
      </c>
      <c r="NN11" s="7">
        <v>1.39649860237623</v>
      </c>
      <c r="NO11" s="7">
        <v>-1.0079537026921801</v>
      </c>
      <c r="NP11" s="7">
        <v>-1.5301938702919999</v>
      </c>
      <c r="NQ11" s="7">
        <v>0.91969792958088503</v>
      </c>
      <c r="NR11" s="7">
        <v>0.115646520252511</v>
      </c>
      <c r="NS11" s="7">
        <v>-0.456211815963672</v>
      </c>
      <c r="NT11" s="7">
        <v>0.44929784897388603</v>
      </c>
      <c r="NU11" s="7">
        <v>-0.609761541440484</v>
      </c>
      <c r="NV11" s="7">
        <v>-0.55262207761446203</v>
      </c>
      <c r="NW11" s="7">
        <v>-2.4847357807580899</v>
      </c>
      <c r="NX11" s="7">
        <v>-1.13006758156702</v>
      </c>
      <c r="NY11" s="7">
        <v>0.16118474439443001</v>
      </c>
      <c r="NZ11" s="7">
        <v>-2.34375269731034</v>
      </c>
      <c r="OA11" s="7">
        <v>0.34461842383213098</v>
      </c>
      <c r="OB11" s="7">
        <v>-1.06363732119488</v>
      </c>
      <c r="OC11" s="7">
        <v>0.38235242240366402</v>
      </c>
      <c r="OD11" s="7">
        <v>-1.55680507470008E-2</v>
      </c>
      <c r="OE11" s="7">
        <v>-0.81349289948650805</v>
      </c>
      <c r="OF11" s="7">
        <v>0.45692707808878902</v>
      </c>
      <c r="OG11" s="7">
        <v>-1.18711444489516</v>
      </c>
      <c r="OH11" s="7">
        <v>-0.172121431605812</v>
      </c>
      <c r="OI11" s="7">
        <v>-0.70676122137640096</v>
      </c>
      <c r="OJ11" s="7">
        <v>-0.87695210935866597</v>
      </c>
      <c r="OK11" s="7">
        <v>-0.49392030125752201</v>
      </c>
      <c r="OL11" s="7">
        <v>-0.41669401684529001</v>
      </c>
      <c r="OM11" s="7">
        <v>1.5428858929481299</v>
      </c>
      <c r="ON11" s="7">
        <v>1.6091601321259601</v>
      </c>
      <c r="OO11" s="7">
        <v>0.57646908729593804</v>
      </c>
      <c r="OP11" s="7">
        <v>2.8010292491043201</v>
      </c>
      <c r="OQ11" s="7">
        <v>-0.86789494628598196</v>
      </c>
      <c r="OR11" s="7">
        <v>-0.31679310428252699</v>
      </c>
      <c r="OS11" s="7">
        <v>0.38997207732160999</v>
      </c>
      <c r="OT11" s="7">
        <v>0.75581485476151899</v>
      </c>
      <c r="OU11" s="7">
        <v>-1.8089159486509501</v>
      </c>
      <c r="OV11" s="7">
        <v>-0.38492106827331302</v>
      </c>
      <c r="OW11" s="7">
        <v>-1.2354448226577699</v>
      </c>
      <c r="OX11" s="7">
        <v>-1.2712786772057001</v>
      </c>
      <c r="OY11" s="7">
        <v>-0.703328946267746</v>
      </c>
      <c r="OZ11" s="7">
        <v>-1.6061817840169901</v>
      </c>
      <c r="PA11" s="7">
        <v>-5.8111410520824101E-2</v>
      </c>
      <c r="PB11" s="7">
        <v>-0.41539368143914601</v>
      </c>
      <c r="PC11" s="7">
        <v>1.40876906049418</v>
      </c>
      <c r="PD11" s="7">
        <v>0.86343677671853003</v>
      </c>
      <c r="PE11" s="7">
        <v>-2.9376267684731001</v>
      </c>
      <c r="PF11" s="7">
        <v>0.37884933897182999</v>
      </c>
      <c r="PG11" s="7">
        <v>0.97043380492672804</v>
      </c>
      <c r="PH11" s="7">
        <v>1.7668085614164299</v>
      </c>
      <c r="PI11" s="7">
        <v>-0.45309755975324101</v>
      </c>
      <c r="PJ11" s="7">
        <v>-1.2381408530329401</v>
      </c>
      <c r="PK11" s="7">
        <v>-0.71807388598664701</v>
      </c>
      <c r="PL11" s="7">
        <v>1.8889237725016701</v>
      </c>
      <c r="PM11" s="7">
        <v>1.98572140785813</v>
      </c>
      <c r="PN11" s="7">
        <v>1.3009828496143301</v>
      </c>
      <c r="PO11" s="7">
        <v>1.4809168942344899</v>
      </c>
      <c r="PP11" s="7">
        <v>0.19642191323268199</v>
      </c>
      <c r="PQ11" s="7">
        <v>-3.0480133182142701</v>
      </c>
      <c r="PR11" s="7">
        <v>0.25751844566468002</v>
      </c>
      <c r="PS11" s="7">
        <v>-9.7076281127061695E-2</v>
      </c>
      <c r="PT11" s="7">
        <v>0.46563006051418498</v>
      </c>
      <c r="PU11" s="7">
        <v>-4.4371894940881597E-2</v>
      </c>
      <c r="PV11" s="7">
        <v>-0.68608487266804297</v>
      </c>
      <c r="PW11" s="7">
        <v>0.77065689942974003</v>
      </c>
      <c r="PX11" s="7">
        <v>0.36373998103989202</v>
      </c>
      <c r="PY11" s="7">
        <v>5.1286381137189002E-3</v>
      </c>
      <c r="PZ11" s="7">
        <v>-1.37878666284931</v>
      </c>
      <c r="QA11" s="7">
        <v>-0.62346271601079295</v>
      </c>
      <c r="QB11" s="7">
        <v>0.34722930055013401</v>
      </c>
      <c r="QC11" s="7">
        <v>0.50843446019821203</v>
      </c>
      <c r="QD11" s="7">
        <v>1.77445855032346</v>
      </c>
      <c r="QE11" s="7">
        <v>0.44496941934871898</v>
      </c>
      <c r="QF11" s="7">
        <v>0.55626768132721904</v>
      </c>
      <c r="QG11" s="7">
        <v>2.25027656522012</v>
      </c>
      <c r="QH11" s="7">
        <v>-1.2685560998388701</v>
      </c>
      <c r="QI11" s="7">
        <v>-1.0309842617698</v>
      </c>
      <c r="QJ11" s="7">
        <v>-0.14691110857109399</v>
      </c>
      <c r="QK11" s="7">
        <v>-0.14511633667986501</v>
      </c>
      <c r="QL11" s="7">
        <v>-0.86029562423721395</v>
      </c>
      <c r="QM11" s="7">
        <v>0.174431965236891</v>
      </c>
      <c r="QN11" s="7">
        <v>0.47324447501281802</v>
      </c>
      <c r="QO11" s="7">
        <v>1.32989998894762</v>
      </c>
      <c r="QP11" s="7">
        <v>1.7825546607425</v>
      </c>
      <c r="QQ11" s="7">
        <v>-1.3897887796594</v>
      </c>
      <c r="QR11" s="7">
        <v>-1.0555739974296201</v>
      </c>
      <c r="QS11" s="7">
        <v>0.32805229526449298</v>
      </c>
      <c r="QT11" s="7">
        <v>0.25105246496073702</v>
      </c>
      <c r="QU11" s="7">
        <v>-0.85559999565764699</v>
      </c>
      <c r="QV11" s="7">
        <v>0.65454590455091199</v>
      </c>
      <c r="QW11" s="7">
        <v>0.70053837012117104</v>
      </c>
      <c r="QX11" s="7">
        <v>-0.89754879656353803</v>
      </c>
      <c r="QY11" s="7">
        <v>0.82362332197465404</v>
      </c>
      <c r="QZ11" s="7">
        <v>0.628247863217127</v>
      </c>
      <c r="RA11" s="7">
        <v>1.2078521627423</v>
      </c>
      <c r="RB11" s="7">
        <v>1.98839605958151</v>
      </c>
      <c r="RC11" s="7">
        <v>0.98611952437904105</v>
      </c>
      <c r="RD11" s="7">
        <v>-0.52439031147762805</v>
      </c>
      <c r="RE11" s="7">
        <v>-0.55761012671810595</v>
      </c>
      <c r="RF11" s="7">
        <v>-1.16825045745205</v>
      </c>
      <c r="RG11" s="7">
        <v>-8.58189771895599E-2</v>
      </c>
      <c r="RH11" s="7">
        <v>-1.23384177589496</v>
      </c>
      <c r="RI11" s="7">
        <v>0.374876219854617</v>
      </c>
      <c r="RJ11" s="7">
        <v>-0.67710310730038104</v>
      </c>
      <c r="RK11" s="7">
        <v>-0.69195115490901804</v>
      </c>
      <c r="RL11" s="7">
        <v>-6.0992887056542003E-2</v>
      </c>
      <c r="RM11" s="7">
        <v>-0.92963845927676703</v>
      </c>
      <c r="RN11" s="7">
        <v>1.30555958103474</v>
      </c>
      <c r="RO11" s="7">
        <v>0.44899667130758603</v>
      </c>
      <c r="RP11" s="7">
        <v>0.55037543201411299</v>
      </c>
      <c r="RQ11" s="7">
        <v>-0.618786815496147</v>
      </c>
      <c r="RR11" s="7">
        <v>-1.2547610950419701</v>
      </c>
      <c r="RS11" s="7">
        <v>-3.43986171485599E-2</v>
      </c>
      <c r="RT11" s="7">
        <v>-1.5133983485173901</v>
      </c>
      <c r="RU11" s="7">
        <v>-0.63658980770763196</v>
      </c>
      <c r="RV11" s="7">
        <v>-0.90575778414744901</v>
      </c>
      <c r="RW11" s="7">
        <v>-0.27717051678526999</v>
      </c>
      <c r="RX11" s="7">
        <v>0.64946584870300295</v>
      </c>
      <c r="RY11" s="7">
        <v>-1.2729538131173199</v>
      </c>
      <c r="RZ11" s="7">
        <v>0.43929116799166701</v>
      </c>
      <c r="SA11" s="7">
        <v>1.3958861732335299</v>
      </c>
      <c r="SB11" s="7">
        <v>-0.218174220904259</v>
      </c>
      <c r="SC11" s="7">
        <v>0.44561571808549799</v>
      </c>
      <c r="SD11" s="7">
        <v>0.18030459109019401</v>
      </c>
      <c r="SE11" s="7">
        <v>0.65393257017836504</v>
      </c>
      <c r="SF11" s="7">
        <v>0.71353057734745895</v>
      </c>
      <c r="SG11" s="7">
        <v>0.58104013631498996</v>
      </c>
      <c r="SH11" s="7">
        <v>2.0134693334821598</v>
      </c>
      <c r="SI11" s="7">
        <v>-0.970061020707639</v>
      </c>
      <c r="SJ11" s="7">
        <v>-0.807390990419384</v>
      </c>
      <c r="SK11" s="7">
        <v>-0.58020631427663905</v>
      </c>
      <c r="SL11" s="7">
        <v>1.15559385793477</v>
      </c>
      <c r="SM11" s="7">
        <v>-0.11658401191800701</v>
      </c>
      <c r="SN11" s="7">
        <v>-1.5468916008945399</v>
      </c>
      <c r="SO11" s="7">
        <v>0.39611505763225902</v>
      </c>
      <c r="SP11" s="7">
        <v>-0.101916240029552</v>
      </c>
      <c r="SQ11" s="7">
        <v>-0.74013919037438902</v>
      </c>
      <c r="SR11" s="7">
        <v>-0.598285676588871</v>
      </c>
      <c r="SS11" s="7">
        <v>-1.4140390481965901</v>
      </c>
      <c r="ST11" s="7">
        <v>-1.33318250817108</v>
      </c>
      <c r="SU11" s="7">
        <v>-2.9479665730243701E-2</v>
      </c>
      <c r="SV11" s="7">
        <v>-0.356646427524966</v>
      </c>
      <c r="SW11" s="7">
        <v>0.31773722677968702</v>
      </c>
      <c r="SX11" s="7">
        <v>-0.35126465167392901</v>
      </c>
      <c r="SY11" s="7">
        <v>0.659284482103772</v>
      </c>
      <c r="SZ11" s="7">
        <v>-0.70100869103486596</v>
      </c>
      <c r="TA11" s="7">
        <v>0.18810520397674199</v>
      </c>
      <c r="TB11" s="7">
        <v>0.53946200267533695</v>
      </c>
      <c r="TC11" s="7">
        <v>0.382545611738144</v>
      </c>
      <c r="TD11" s="7">
        <v>0.78235778793353306</v>
      </c>
      <c r="TE11" s="7">
        <v>-1.16712433012706</v>
      </c>
      <c r="TF11" s="7">
        <v>-0.360517845158145</v>
      </c>
      <c r="TG11" s="7">
        <v>-0.19543531395859201</v>
      </c>
      <c r="TH11" s="7">
        <v>-0.29828366203860002</v>
      </c>
      <c r="TI11" s="7">
        <v>-1.46444316868266</v>
      </c>
      <c r="TJ11" s="7">
        <v>-0.78411536975333296</v>
      </c>
      <c r="TK11" s="7">
        <v>0.48870780483846499</v>
      </c>
      <c r="TL11" s="7">
        <v>-2.79321503453279</v>
      </c>
      <c r="TM11" s="7">
        <v>-2.0329277457105102</v>
      </c>
      <c r="TN11" s="7">
        <v>-0.86083117181911795</v>
      </c>
      <c r="TO11" s="7">
        <v>1.3509264243574699</v>
      </c>
      <c r="TP11" s="7">
        <v>-0.58602397690407804</v>
      </c>
      <c r="TQ11" s="7">
        <v>-0.31367066543311001</v>
      </c>
      <c r="TR11" s="7">
        <v>-0.15078394842659601</v>
      </c>
      <c r="TS11" s="7">
        <v>-0.88517717923100303</v>
      </c>
      <c r="TT11" s="7">
        <v>-0.73211133327799005</v>
      </c>
      <c r="TU11" s="7">
        <v>-0.72998613361488995</v>
      </c>
      <c r="TV11" s="7">
        <v>2.91799239884624</v>
      </c>
      <c r="TW11" s="7">
        <v>0.86078678437061196</v>
      </c>
      <c r="TX11" s="7">
        <v>-2.10362842479041</v>
      </c>
      <c r="TY11" s="7">
        <v>0.54625680303499602</v>
      </c>
      <c r="TZ11" s="7">
        <v>-8.9715773674378205E-2</v>
      </c>
      <c r="UA11" s="7">
        <v>-0.31133498378742003</v>
      </c>
      <c r="UB11" s="7">
        <v>0.53252945905511295</v>
      </c>
      <c r="UC11" s="7">
        <v>-0.38404200380961101</v>
      </c>
      <c r="UD11" s="7">
        <v>0.37225773329122602</v>
      </c>
      <c r="UE11" s="7">
        <v>0.86441014541087902</v>
      </c>
      <c r="UF11" s="7">
        <v>0.93474807724698805</v>
      </c>
      <c r="UG11" s="7">
        <v>-0.25336822961664002</v>
      </c>
      <c r="UH11" s="7">
        <v>-2.0961966685391098</v>
      </c>
      <c r="UI11" s="7">
        <v>1.23456451457493</v>
      </c>
      <c r="UJ11" s="7">
        <v>-0.59053404572934498</v>
      </c>
      <c r="UK11" s="7">
        <v>0.60322552884835001</v>
      </c>
      <c r="UL11" s="7">
        <v>0.15360912324310999</v>
      </c>
      <c r="UM11" s="7">
        <v>-0.28658849787471502</v>
      </c>
      <c r="UN11" s="7">
        <v>-0.58394974565695201</v>
      </c>
      <c r="UO11" s="7">
        <v>0.63571323471347196</v>
      </c>
      <c r="UP11" s="7">
        <v>-0.81316320044236401</v>
      </c>
      <c r="UQ11" s="7">
        <v>-0.42807302902806299</v>
      </c>
      <c r="UR11" s="7">
        <v>0.104641305942927</v>
      </c>
      <c r="US11" s="7">
        <v>0.61458965339472205</v>
      </c>
      <c r="UT11" s="7">
        <v>-0.20381440249176699</v>
      </c>
      <c r="UU11" s="7">
        <v>-1.18639243217676</v>
      </c>
      <c r="UV11" s="7">
        <v>-0.76213031597797198</v>
      </c>
      <c r="UW11" s="7">
        <v>0.84694080971555197</v>
      </c>
      <c r="UX11" s="7">
        <v>-1.5555257474259601</v>
      </c>
      <c r="UY11" s="7">
        <v>0.30297282728161001</v>
      </c>
      <c r="UZ11" s="7">
        <v>-0.234726901911884</v>
      </c>
      <c r="VA11" s="7">
        <v>-0.34360361818403601</v>
      </c>
      <c r="VB11" s="7">
        <v>-9.8638433408545903E-2</v>
      </c>
      <c r="VC11" s="7">
        <v>1.0648802272353499</v>
      </c>
      <c r="VD11" s="7">
        <v>1.10555726443915</v>
      </c>
      <c r="VE11" s="7">
        <v>-0.596999339996235</v>
      </c>
      <c r="VF11" s="7">
        <v>-4.3618478708884197E-2</v>
      </c>
      <c r="VG11" s="7">
        <v>0.349254830521189</v>
      </c>
      <c r="VH11" s="7">
        <v>-1.49300093579973</v>
      </c>
      <c r="VI11" s="7">
        <v>-3.0136206575924998E-3</v>
      </c>
      <c r="VJ11" s="7">
        <v>-0.11957453152354</v>
      </c>
      <c r="VK11" s="7">
        <v>0.38002400143005299</v>
      </c>
      <c r="VL11" s="7">
        <v>-0.31814353244407101</v>
      </c>
      <c r="VM11" s="7">
        <v>0.89525329831844902</v>
      </c>
      <c r="VN11" s="7">
        <v>-0.22785237751302201</v>
      </c>
      <c r="VO11" s="7">
        <v>0.53874477917104402</v>
      </c>
      <c r="VP11" s="7">
        <v>-0.55505062237052405</v>
      </c>
      <c r="VQ11" s="7">
        <v>-0.81629315322261398</v>
      </c>
      <c r="VR11" s="7">
        <v>-0.31338281170841797</v>
      </c>
      <c r="VS11" s="7">
        <v>0.62457426502096502</v>
      </c>
      <c r="VT11" s="7">
        <v>0.225300254107236</v>
      </c>
      <c r="VU11" s="7">
        <v>-5.9049421489043699E-2</v>
      </c>
      <c r="VV11" s="7">
        <v>-1.4804131780640599</v>
      </c>
      <c r="VW11" s="7">
        <v>-1.3872909293928899</v>
      </c>
      <c r="VX11" s="7">
        <v>1.1938651110041301</v>
      </c>
      <c r="VY11" s="7">
        <v>-0.92447087554302099</v>
      </c>
      <c r="VZ11" s="7">
        <v>-1.4697729138043101</v>
      </c>
      <c r="WA11" s="7">
        <v>-2.3440864034216399E-2</v>
      </c>
      <c r="WB11" s="7">
        <v>0.64101366945004201</v>
      </c>
      <c r="WC11" s="7">
        <v>-0.346977969696319</v>
      </c>
      <c r="WD11" s="7">
        <v>-1.15214254813197</v>
      </c>
      <c r="WE11" s="7">
        <v>-1.47069245854962E-2</v>
      </c>
      <c r="WF11" s="7">
        <v>0.90787487432061897</v>
      </c>
      <c r="WG11" s="7">
        <v>-0.35592425872196798</v>
      </c>
      <c r="WH11" s="7">
        <v>0.45143543962233401</v>
      </c>
      <c r="WI11" s="7">
        <v>0.94833368239465399</v>
      </c>
      <c r="WJ11" s="7">
        <v>-0.88260980444692405</v>
      </c>
      <c r="WK11" s="7">
        <v>0.94196239003167903</v>
      </c>
      <c r="WL11" s="7">
        <v>1.8931412328297299</v>
      </c>
      <c r="WM11" s="7">
        <v>1.1223190299721599</v>
      </c>
      <c r="WN11" s="7">
        <v>-1.4873445338190501</v>
      </c>
      <c r="WO11" s="7">
        <v>-0.13917081608896101</v>
      </c>
      <c r="WP11" s="7">
        <v>-1.3334497974220601E-2</v>
      </c>
      <c r="WQ11" s="7">
        <v>-0.335695303337044</v>
      </c>
      <c r="WR11" s="7">
        <v>-0.51448141946631898</v>
      </c>
      <c r="WS11" s="7">
        <v>1.3261297241429899</v>
      </c>
      <c r="WT11" s="7">
        <v>0.86697705840101003</v>
      </c>
      <c r="WU11" s="7">
        <v>2.3086310385013801E-2</v>
      </c>
      <c r="WV11" s="7">
        <v>-0.79817167492066599</v>
      </c>
      <c r="WW11" s="7">
        <v>2.12589087995593</v>
      </c>
      <c r="WX11" s="7">
        <v>-1.3386962686328601</v>
      </c>
      <c r="WY11" s="7">
        <v>-0.21778076893337101</v>
      </c>
      <c r="WZ11" s="7">
        <v>0.10469629443652199</v>
      </c>
      <c r="XA11" s="7">
        <v>-0.67805582735857195</v>
      </c>
      <c r="XB11" s="7">
        <v>1.5171774794539801</v>
      </c>
      <c r="XC11" s="7">
        <v>1.2456339398468601</v>
      </c>
      <c r="XD11" s="7">
        <v>-0.80871584716924005</v>
      </c>
      <c r="XE11" s="7">
        <v>2.02916213488047E-2</v>
      </c>
      <c r="XF11" s="7">
        <v>0.88511072434148397</v>
      </c>
      <c r="XG11" s="7">
        <v>-0.26766849175284901</v>
      </c>
      <c r="XH11" s="7">
        <v>-0.983842870921247</v>
      </c>
      <c r="XI11" s="7">
        <v>1.35355376901493</v>
      </c>
      <c r="XJ11" s="7">
        <v>-2.23800268339419</v>
      </c>
      <c r="XK11" s="7">
        <v>0.31435681541162602</v>
      </c>
      <c r="XL11" s="7">
        <v>-1.8163171919332299</v>
      </c>
      <c r="XM11" s="7">
        <v>-0.16515602273385399</v>
      </c>
      <c r="XN11" s="7">
        <v>0.66590835060932996</v>
      </c>
      <c r="XO11" s="7">
        <v>0.85295752481478304</v>
      </c>
      <c r="XP11" s="7">
        <v>0.80729134936596303</v>
      </c>
      <c r="XQ11" s="7">
        <v>-1.5788540033190801</v>
      </c>
      <c r="XR11" s="7">
        <v>1.25438229483873</v>
      </c>
      <c r="XS11" s="7">
        <v>0.84038902687239603</v>
      </c>
      <c r="XT11" s="7">
        <v>-1.7594483067630999</v>
      </c>
      <c r="XU11" s="7">
        <v>-1.7169070908264701</v>
      </c>
      <c r="XV11" s="7">
        <v>-0.94255513275678204</v>
      </c>
      <c r="XW11" s="7">
        <v>0.59257037710868798</v>
      </c>
      <c r="XX11" s="7">
        <v>-0.25004916833274698</v>
      </c>
      <c r="XY11" s="7">
        <v>6.0273950233309002E-3</v>
      </c>
      <c r="XZ11" s="7">
        <v>-0.15849411715509301</v>
      </c>
      <c r="YA11" s="7">
        <v>0.22959980233319599</v>
      </c>
      <c r="YB11" s="7">
        <v>-0.21189231154242399</v>
      </c>
      <c r="YC11" s="7">
        <v>1.6711470127247801</v>
      </c>
      <c r="YD11" s="7">
        <v>1.83736833848467</v>
      </c>
      <c r="YE11" s="7">
        <v>-0.14484084987468601</v>
      </c>
      <c r="YF11" s="7">
        <v>1.6092129141060301</v>
      </c>
      <c r="YG11" s="7">
        <v>0.57136043672118797</v>
      </c>
      <c r="YH11" s="7">
        <v>-0.157868591474388</v>
      </c>
      <c r="YI11" s="7">
        <v>-1.30875670771473</v>
      </c>
      <c r="YJ11" s="7">
        <v>-1.97365138742327</v>
      </c>
      <c r="YK11" s="7">
        <v>-1.0299225463510799</v>
      </c>
      <c r="YL11" s="7">
        <v>0.21286343784971701</v>
      </c>
      <c r="YM11" s="7">
        <v>-0.49207638750587301</v>
      </c>
      <c r="YN11" s="7">
        <v>0.38309028561831299</v>
      </c>
      <c r="YO11" s="7">
        <v>0.70021089761988597</v>
      </c>
      <c r="YP11" s="7">
        <v>1.0344778079127099</v>
      </c>
      <c r="YQ11" s="7">
        <v>-1.5410212046388001</v>
      </c>
      <c r="YR11" s="7">
        <v>9.1571829703009505E-2</v>
      </c>
      <c r="YS11" s="7">
        <v>1.78297430365656</v>
      </c>
      <c r="YT11" s="7">
        <v>-0.93262575698071004</v>
      </c>
      <c r="YU11" s="7">
        <v>1.83834080915753</v>
      </c>
      <c r="YV11" s="7">
        <v>0.28165273848726602</v>
      </c>
      <c r="YW11" s="7">
        <v>0.24309907145771101</v>
      </c>
      <c r="YX11" s="7">
        <v>-2.11790514350889</v>
      </c>
      <c r="YY11" s="7">
        <v>0.32764673838665997</v>
      </c>
      <c r="YZ11" s="7">
        <v>-0.52355622120623602</v>
      </c>
      <c r="ZA11" s="7">
        <v>-0.28080793415118999</v>
      </c>
      <c r="ZB11" s="7">
        <v>2.4925819816248098</v>
      </c>
      <c r="ZC11" s="7">
        <v>-0.79088017034600699</v>
      </c>
      <c r="ZD11" s="7">
        <v>-0.18364110391039701</v>
      </c>
      <c r="ZE11" s="7">
        <v>-0.50110478493424304</v>
      </c>
      <c r="ZF11" s="7">
        <v>-2.09365008282975</v>
      </c>
      <c r="ZG11" s="7">
        <v>-0.4891862358413</v>
      </c>
      <c r="ZH11" s="7">
        <v>0.469701560001834</v>
      </c>
      <c r="ZI11" s="7">
        <v>0.25756385961971601</v>
      </c>
      <c r="ZJ11" s="7">
        <v>1.01825590233159</v>
      </c>
      <c r="ZK11" s="7">
        <v>-0.70402031949338595</v>
      </c>
      <c r="ZL11" s="7">
        <v>-1.0763328296156001</v>
      </c>
      <c r="ZM11" s="7">
        <v>0.62691692198587601</v>
      </c>
      <c r="ZN11" s="7">
        <v>1.3873597636147199</v>
      </c>
      <c r="ZO11" s="7">
        <v>-1.7409045854529299</v>
      </c>
      <c r="ZP11" s="7">
        <v>0.90207620985143799</v>
      </c>
      <c r="ZQ11" s="7">
        <v>-1.46307699409684</v>
      </c>
      <c r="ZR11" s="7">
        <v>-0.89475781867894599</v>
      </c>
      <c r="ZS11" s="7">
        <v>0.15363901697721399</v>
      </c>
      <c r="ZT11" s="7">
        <v>1.56013711572512</v>
      </c>
      <c r="ZU11" s="7">
        <v>0.24645494306427199</v>
      </c>
      <c r="ZV11" s="7">
        <v>0.16908060388236501</v>
      </c>
      <c r="ZW11" s="7">
        <v>-1.3391539041301601</v>
      </c>
      <c r="ZX11" s="7">
        <v>-0.80201548878610396</v>
      </c>
      <c r="ZY11" s="7">
        <v>0.89898014579390295</v>
      </c>
      <c r="ZZ11" s="7">
        <v>-0.71715717585114303</v>
      </c>
      <c r="AAA11" s="7">
        <v>1.15893611175514</v>
      </c>
      <c r="AAB11" s="7">
        <v>0.110988929634493</v>
      </c>
      <c r="AAC11" s="7">
        <v>-1.34370189988508</v>
      </c>
      <c r="AAD11" s="7">
        <v>1.0319895456217201</v>
      </c>
      <c r="AAE11" s="7">
        <v>-1.3381676851734801</v>
      </c>
      <c r="AAF11" s="7">
        <v>-1.21598221153314</v>
      </c>
      <c r="AAG11" s="7">
        <v>0.15794169934762001</v>
      </c>
      <c r="AAH11" s="7">
        <v>0.55696520145982098</v>
      </c>
      <c r="AAI11" s="7">
        <v>2.3811464131943798</v>
      </c>
      <c r="AAJ11" s="7">
        <v>1.04650943411255</v>
      </c>
      <c r="AAK11" s="7">
        <v>-0.15402121669675201</v>
      </c>
      <c r="AAL11" s="7">
        <v>0.95213556989124304</v>
      </c>
      <c r="AAM11" s="7">
        <v>-1.6944960086728</v>
      </c>
      <c r="AAN11" s="7">
        <v>-0.72266475068145797</v>
      </c>
      <c r="AAO11" s="7">
        <v>0.86815024814665698</v>
      </c>
      <c r="AAP11" s="7">
        <v>0.103461975148176</v>
      </c>
      <c r="AAQ11" s="7">
        <v>0.515573579022095</v>
      </c>
      <c r="AAR11" s="7">
        <v>-1.54881583027684</v>
      </c>
      <c r="AAS11" s="7">
        <v>1.2747168098494699</v>
      </c>
      <c r="AAT11" s="7">
        <v>0.28445435461976798</v>
      </c>
      <c r="AAU11" s="7">
        <v>-2.3359593732046302</v>
      </c>
      <c r="AAV11" s="7">
        <v>1.15984456764861</v>
      </c>
      <c r="AAW11" s="7">
        <v>0.38108251645704</v>
      </c>
      <c r="AAX11" s="7">
        <v>-0.87865492429069703</v>
      </c>
      <c r="AAY11" s="7">
        <v>0.87792404984430505</v>
      </c>
      <c r="AAZ11" s="7">
        <v>-0.124479473718769</v>
      </c>
      <c r="ABA11" s="7">
        <v>-0.64005421380613703</v>
      </c>
      <c r="ABB11" s="7">
        <v>1.2701952471845299</v>
      </c>
      <c r="ABC11" s="7">
        <v>-0.174498165959308</v>
      </c>
      <c r="ABD11" s="7">
        <v>-0.130858189189303</v>
      </c>
      <c r="ABE11" s="7">
        <v>1.0400823058155899</v>
      </c>
      <c r="ABF11" s="7">
        <v>0.67716976652493199</v>
      </c>
      <c r="ABG11" s="7">
        <v>2.6202943973342601</v>
      </c>
      <c r="ABH11" s="7">
        <v>-0.51826269080078202</v>
      </c>
      <c r="ABI11" s="7">
        <v>0.44651207401940701</v>
      </c>
      <c r="ABJ11" s="7">
        <v>0.12219476049410601</v>
      </c>
      <c r="ABK11" s="7">
        <v>3.24567087358184E-2</v>
      </c>
      <c r="ABL11" s="7">
        <v>7.6646316080686505E-2</v>
      </c>
      <c r="ABM11" s="7">
        <v>0.64347713155975605</v>
      </c>
      <c r="ABN11" s="7">
        <v>1.36281926012215</v>
      </c>
      <c r="ABO11" s="7">
        <v>-1.2817943152586999</v>
      </c>
      <c r="ABP11" s="7">
        <v>-7.5070312788555499E-2</v>
      </c>
      <c r="ABQ11" s="7">
        <v>-1.16185153506178</v>
      </c>
      <c r="ABR11" s="7">
        <v>0.157116309545586</v>
      </c>
      <c r="ABS11" s="7">
        <v>1.3551280219575099</v>
      </c>
      <c r="ABT11" s="7">
        <v>0.23759560449945399</v>
      </c>
      <c r="ABU11" s="7">
        <v>-0.55675591937053903</v>
      </c>
      <c r="ABV11" s="7">
        <v>0.63338515665462103</v>
      </c>
      <c r="ABW11" s="7">
        <v>0.26377126271495099</v>
      </c>
      <c r="ABX11" s="7">
        <v>-0.52199841167827399</v>
      </c>
      <c r="ABY11" s="7">
        <v>-0.33186022473634302</v>
      </c>
      <c r="ABZ11" s="7">
        <v>2.0008596729156798</v>
      </c>
      <c r="ACA11" s="7">
        <v>-0.25591605866721301</v>
      </c>
      <c r="ACB11" s="7">
        <v>0.18566634795798501</v>
      </c>
      <c r="ACC11" s="7">
        <v>-1.95407502104547</v>
      </c>
      <c r="ACD11" s="7">
        <v>-0.85541269845476198</v>
      </c>
      <c r="ACE11" s="7">
        <v>2.20042835387921</v>
      </c>
      <c r="ACF11" s="7">
        <v>1.3466022700182201</v>
      </c>
      <c r="ACG11" s="7">
        <v>1.30861378921944</v>
      </c>
      <c r="ACH11" s="7">
        <v>1.1430826670191501</v>
      </c>
      <c r="ACI11" s="7">
        <v>-1.2336762223314801</v>
      </c>
      <c r="ACJ11" s="7">
        <v>2.2904585965722601</v>
      </c>
      <c r="ACK11" s="7">
        <v>1.2905347510251399</v>
      </c>
      <c r="ACL11" s="7">
        <v>1.38650572060446</v>
      </c>
      <c r="ACM11" s="7">
        <v>0.24981854958956701</v>
      </c>
      <c r="ACN11" s="7">
        <v>-1.5258342170785799</v>
      </c>
      <c r="ACO11" s="7">
        <v>-1.16767904787123</v>
      </c>
      <c r="ACP11" s="7">
        <v>1.72313667865353</v>
      </c>
      <c r="ACQ11" s="7">
        <v>0.66842890356685303</v>
      </c>
      <c r="ACR11" s="7">
        <v>0.75816904113666606</v>
      </c>
      <c r="ACS11" s="7">
        <v>0.24965070882726001</v>
      </c>
      <c r="ACT11" s="7">
        <v>-1.8638343126127801</v>
      </c>
      <c r="ACU11" s="7">
        <v>0.88173406801738496</v>
      </c>
      <c r="ACV11" s="7">
        <v>0.21468863085061701</v>
      </c>
      <c r="ACW11" s="7">
        <v>0.19154597150452801</v>
      </c>
      <c r="ACX11" s="7">
        <v>-3.17543317831286</v>
      </c>
      <c r="ACY11" s="7">
        <v>2.4107480207402299</v>
      </c>
      <c r="ACZ11" s="7">
        <v>-0.78001907994476105</v>
      </c>
      <c r="ADA11" s="7">
        <v>1.9094077617233401E-2</v>
      </c>
      <c r="ADB11" s="7">
        <v>0.87558174157688395</v>
      </c>
      <c r="ADC11" s="7">
        <v>-1.019552601035</v>
      </c>
      <c r="ADD11" s="7">
        <v>-1.23849902533678</v>
      </c>
      <c r="ADE11" s="7">
        <v>-0.24913060665283601</v>
      </c>
      <c r="ADF11" s="7">
        <v>-0.83073261447882796</v>
      </c>
      <c r="ADG11" s="7">
        <v>0.36595586633452198</v>
      </c>
      <c r="ADH11" s="7">
        <v>-0.38871738121681998</v>
      </c>
      <c r="ADI11" s="7">
        <v>-9.3351187416951295E-2</v>
      </c>
      <c r="ADJ11" s="7">
        <v>0.222505779549001</v>
      </c>
      <c r="ADK11" s="7">
        <v>-0.90411024981881505</v>
      </c>
      <c r="ADL11" s="7">
        <v>0.66254254585341898</v>
      </c>
      <c r="ADM11" s="7">
        <v>-1.48493887578274</v>
      </c>
      <c r="ADN11" s="7">
        <v>-1.1881438467946701</v>
      </c>
      <c r="ADO11" s="7">
        <v>1.1350842701286299</v>
      </c>
      <c r="ADP11" s="7">
        <v>-2.2350564324771498</v>
      </c>
      <c r="ADQ11" s="7">
        <v>-2.9038433102532899</v>
      </c>
      <c r="ADR11" s="7">
        <v>1.4391057124736299</v>
      </c>
      <c r="ADS11" s="7">
        <v>0.84225551147506295</v>
      </c>
      <c r="ADT11" s="7">
        <v>-0.68528000457155402</v>
      </c>
      <c r="ADU11" s="7">
        <v>1.5990546336929501</v>
      </c>
      <c r="ADV11" s="7">
        <v>0.83513222659036102</v>
      </c>
      <c r="ADW11" s="7">
        <v>0.34646926826330599</v>
      </c>
      <c r="ADX11" s="7">
        <v>0.111889841901684</v>
      </c>
      <c r="ADY11" s="7">
        <v>-0.60149975495332897</v>
      </c>
      <c r="ADZ11" s="7">
        <v>0.995507374352541</v>
      </c>
      <c r="AEA11" s="7">
        <v>0.49745068322852498</v>
      </c>
      <c r="AEB11" s="7">
        <v>1.35065378600091</v>
      </c>
      <c r="AEC11" s="7">
        <v>-0.74426617512270099</v>
      </c>
      <c r="AED11" s="7">
        <v>0.977375047877171</v>
      </c>
      <c r="AEE11" s="7">
        <v>0.36117423627560002</v>
      </c>
      <c r="AEF11" s="7">
        <v>0.96443097956267299</v>
      </c>
      <c r="AEG11" s="7">
        <v>0.113112743177099</v>
      </c>
      <c r="AEH11" s="7">
        <v>0.74964532069109702</v>
      </c>
      <c r="AEI11" s="7">
        <v>-0.81130786983293801</v>
      </c>
      <c r="AEJ11" s="7">
        <v>0.148680802778139</v>
      </c>
      <c r="AEK11" s="7">
        <v>0.39847560198569498</v>
      </c>
      <c r="AEL11" s="7">
        <v>2.33194193053534E-2</v>
      </c>
      <c r="AEM11" s="7">
        <v>0.63851075210339903</v>
      </c>
      <c r="AEN11" s="7">
        <v>-0.85341500531093095</v>
      </c>
      <c r="AEO11" s="7">
        <v>0.80273831871671897</v>
      </c>
      <c r="AEP11" s="7">
        <v>-1.12726758289875</v>
      </c>
      <c r="AEQ11" s="7">
        <v>1.7713555626219599</v>
      </c>
      <c r="AER11" s="7">
        <v>0.60470387975594098</v>
      </c>
      <c r="AES11" s="7">
        <v>0.190942701508897</v>
      </c>
      <c r="AET11" s="7">
        <v>0.60290547621827595</v>
      </c>
      <c r="AEU11" s="7">
        <v>0.52787601724553601</v>
      </c>
      <c r="AEV11" s="7">
        <v>0.281842569598382</v>
      </c>
      <c r="AEW11" s="7">
        <v>-0.800852461431798</v>
      </c>
      <c r="AEX11" s="7">
        <v>0.22070137491677499</v>
      </c>
      <c r="AEY11" s="7">
        <v>-0.52027716856995398</v>
      </c>
      <c r="AEZ11" s="7">
        <v>1.15430688588421</v>
      </c>
      <c r="AFA11" s="7">
        <v>2.2943441969037002</v>
      </c>
      <c r="AFB11" s="7">
        <v>-1.3910224118236401</v>
      </c>
      <c r="AFC11" s="7">
        <v>0.38763158311939999</v>
      </c>
      <c r="AFD11" s="7">
        <v>1.45565685867419</v>
      </c>
      <c r="AFE11" s="7">
        <v>1.9808405389588</v>
      </c>
      <c r="AFF11" s="7">
        <v>-1.06948653619814</v>
      </c>
      <c r="AFG11" s="7">
        <v>1.6317333878698701</v>
      </c>
      <c r="AFH11" s="7">
        <v>0.66453781877657203</v>
      </c>
      <c r="AFI11" s="7">
        <v>-2.8919758430934799</v>
      </c>
      <c r="AFJ11" s="7">
        <v>0.46458379267861399</v>
      </c>
      <c r="AFK11" s="7">
        <v>-1.10455474702048</v>
      </c>
      <c r="AFL11" s="7">
        <v>0.792649123841076</v>
      </c>
      <c r="AFM11" s="7">
        <v>-1.22561464028047</v>
      </c>
      <c r="AFN11" s="7">
        <v>-1.4754329358673499</v>
      </c>
      <c r="AFO11" s="7">
        <v>-0.33487595201499198</v>
      </c>
      <c r="AFP11" s="7">
        <v>-0.85551523298404897</v>
      </c>
      <c r="AFQ11" s="7">
        <v>8.7814046123799993E-5</v>
      </c>
      <c r="AFR11" s="7">
        <v>0.99752333922349801</v>
      </c>
      <c r="AFS11" s="7">
        <v>1.28220946527107</v>
      </c>
      <c r="AFT11" s="7">
        <v>-0.21151612260823099</v>
      </c>
      <c r="AFU11" s="7">
        <v>-1.07430050442728</v>
      </c>
      <c r="AFV11" s="7">
        <v>-1.66127466240121</v>
      </c>
      <c r="AFW11" s="7">
        <v>0.20256067572880801</v>
      </c>
      <c r="AFX11" s="7">
        <v>0.80845659539348003</v>
      </c>
      <c r="AFY11" s="7">
        <v>-7.6786665400149995E-4</v>
      </c>
      <c r="AFZ11" s="7">
        <v>-0.24506581420353499</v>
      </c>
      <c r="AGA11" s="7">
        <v>1.02501552954036</v>
      </c>
      <c r="AGB11" s="7">
        <v>0.80076366520796605</v>
      </c>
      <c r="AGC11" s="7">
        <v>0.959792786231633</v>
      </c>
      <c r="AGD11" s="7">
        <v>0.41238528500652899</v>
      </c>
      <c r="AGE11" s="7">
        <v>-1.4617563711672199</v>
      </c>
      <c r="AGF11" s="7">
        <v>-1.15314320702068</v>
      </c>
      <c r="AGG11" s="7">
        <v>3.0309225803461501</v>
      </c>
      <c r="AGH11" s="7">
        <v>-3.7985544435071197E-2</v>
      </c>
      <c r="AGI11" s="7">
        <v>-2.3065611564338302</v>
      </c>
      <c r="AGJ11" s="7">
        <v>-0.86633693898030995</v>
      </c>
      <c r="AGK11" s="7">
        <v>-1.7192109950588801</v>
      </c>
      <c r="AGL11" s="7">
        <v>-0.30656012193104998</v>
      </c>
      <c r="AGM11" s="7">
        <v>-0.89269295728051601</v>
      </c>
      <c r="AGN11" s="7">
        <v>2.1250515217752599</v>
      </c>
      <c r="AGO11" s="7">
        <v>0.271939720399551</v>
      </c>
      <c r="AGP11" s="7">
        <v>0.975133130491042</v>
      </c>
      <c r="AGQ11" s="7">
        <v>0.994435612735597</v>
      </c>
      <c r="AGR11" s="7">
        <v>1.7735895772717001</v>
      </c>
      <c r="AGS11" s="7">
        <v>-0.34467753834096398</v>
      </c>
      <c r="AGT11" s="7">
        <v>-1.3950296289528299</v>
      </c>
      <c r="AGU11" s="7">
        <v>0.35406377453129501</v>
      </c>
      <c r="AGV11" s="7">
        <v>-0.47347829031595101</v>
      </c>
      <c r="AGW11" s="7">
        <v>-0.492606925336734</v>
      </c>
      <c r="AGX11" s="7">
        <v>-0.37740428674193499</v>
      </c>
      <c r="AGY11" s="7">
        <v>-1.2181639901109</v>
      </c>
      <c r="AGZ11" s="7">
        <v>-1.24327724980751</v>
      </c>
      <c r="AHA11" s="7">
        <v>-0.42674824452256999</v>
      </c>
      <c r="AHB11" s="7">
        <v>0.97982236734015604</v>
      </c>
      <c r="AHC11" s="7">
        <v>-0.96856772971979899</v>
      </c>
      <c r="AHD11" s="7">
        <v>-9.3801360719065405E-2</v>
      </c>
      <c r="AHE11" s="7">
        <v>2.0397030364981599</v>
      </c>
      <c r="AHF11" s="7">
        <v>-0.53435131918748102</v>
      </c>
      <c r="AHG11" s="7">
        <v>-0.25521954064789398</v>
      </c>
      <c r="AHH11" s="7">
        <v>-1.7267023362740701</v>
      </c>
      <c r="AHI11" s="7">
        <v>0.85962400046187804</v>
      </c>
      <c r="AHJ11" s="7">
        <v>-0.34301372740645297</v>
      </c>
      <c r="AHK11" s="7">
        <v>-0.30758231347877701</v>
      </c>
      <c r="AHL11" s="7">
        <v>7.9675252426051196E-2</v>
      </c>
      <c r="AHM11" s="7">
        <v>2.6489577865201901</v>
      </c>
      <c r="AHN11" s="7">
        <v>0.88161372107448299</v>
      </c>
      <c r="AHO11" s="7">
        <v>-0.31879263179124301</v>
      </c>
      <c r="AHP11" s="7">
        <v>-0.53595420089111301</v>
      </c>
      <c r="AHQ11" s="7">
        <v>-9.298487009213E-4</v>
      </c>
      <c r="AHR11" s="7">
        <v>1.44154425008309</v>
      </c>
      <c r="AHS11" s="7">
        <v>-0.35381311220072198</v>
      </c>
      <c r="AHT11" s="7">
        <v>-1.14007153183536</v>
      </c>
      <c r="AHU11" s="7">
        <v>0.112532395176978</v>
      </c>
      <c r="AHV11" s="7">
        <v>-1.29443853786956</v>
      </c>
      <c r="AHW11" s="7">
        <v>0.58255325909115696</v>
      </c>
      <c r="AHX11" s="7">
        <v>1.8397107902215899</v>
      </c>
      <c r="AHY11" s="7">
        <v>0.82507988953713696</v>
      </c>
      <c r="AHZ11" s="7">
        <v>-0.78326362237101499</v>
      </c>
      <c r="AIA11" s="7">
        <v>0.79729535073436497</v>
      </c>
      <c r="AIB11" s="7">
        <v>-1.6692480040187101</v>
      </c>
      <c r="AIC11" s="7">
        <v>-1.64929855970399</v>
      </c>
      <c r="AID11" s="7">
        <v>0.13104207719914099</v>
      </c>
      <c r="AIE11" s="7">
        <v>0.205155211160086</v>
      </c>
      <c r="AIF11" s="7">
        <v>0.182969895577068</v>
      </c>
      <c r="AIG11" s="7">
        <v>-0.40920083221662601</v>
      </c>
      <c r="AIH11" s="7">
        <v>0.54974569607963397</v>
      </c>
      <c r="AII11" s="7">
        <v>2.3231184493534101</v>
      </c>
      <c r="AIJ11" s="7">
        <v>0.91211691192066702</v>
      </c>
      <c r="AIK11" s="7">
        <v>0.25023421526869299</v>
      </c>
      <c r="AIL11" s="7">
        <v>-2.6024024790084199E-2</v>
      </c>
      <c r="AIM11" s="7">
        <v>-1.19841325309447</v>
      </c>
      <c r="AIN11" s="7">
        <v>-0.40572172952555402</v>
      </c>
      <c r="AIO11" s="7">
        <v>1.9544307949366999E-2</v>
      </c>
      <c r="AIP11" s="7">
        <v>-1.20453717266476</v>
      </c>
      <c r="AIQ11" s="7">
        <v>1.3751313184606</v>
      </c>
      <c r="AIR11" s="7">
        <v>1.05382759554641</v>
      </c>
      <c r="AIS11" s="7">
        <v>0.92764977742653798</v>
      </c>
      <c r="AIT11" s="7">
        <v>-0.33364267503311801</v>
      </c>
      <c r="AIU11" s="7">
        <v>1.47462636171047</v>
      </c>
      <c r="AIV11" s="7">
        <v>-0.296271469234061</v>
      </c>
      <c r="AIW11" s="7">
        <v>1.2765104689365001</v>
      </c>
      <c r="AIX11" s="7">
        <v>0.52294682027415196</v>
      </c>
      <c r="AIY11" s="7">
        <v>-0.64922845931628403</v>
      </c>
      <c r="AIZ11" s="7">
        <v>-2.5052506057917701E-2</v>
      </c>
      <c r="AJA11" s="7">
        <v>2.3511920731098299</v>
      </c>
      <c r="AJB11" s="7">
        <v>1.6439343578352801</v>
      </c>
      <c r="AJC11" s="7">
        <v>9.2590510520873994E-3</v>
      </c>
      <c r="AJD11" s="7">
        <v>0.187458188371768</v>
      </c>
      <c r="AJE11" s="7">
        <v>-0.89403999888462904</v>
      </c>
      <c r="AJF11" s="7">
        <v>1.17221043604811</v>
      </c>
      <c r="AJG11" s="7">
        <v>0.487790450018671</v>
      </c>
      <c r="AJH11" s="7">
        <v>-0.86115164788013698</v>
      </c>
      <c r="AJI11" s="7">
        <v>-2.9047720047392001</v>
      </c>
      <c r="AJJ11" s="7">
        <v>-0.971513163030293</v>
      </c>
      <c r="AJK11" s="7">
        <v>-1.01889963312774</v>
      </c>
      <c r="AJL11" s="7">
        <v>-1.10260294337271</v>
      </c>
      <c r="AJM11" s="7">
        <v>1.0198912047976401</v>
      </c>
      <c r="AJN11" s="7">
        <v>0.15042380169230399</v>
      </c>
      <c r="AJO11" s="7">
        <v>1.5672292513145401</v>
      </c>
      <c r="AJP11" s="7">
        <v>-1.3271753750412201</v>
      </c>
      <c r="AJQ11" s="7">
        <v>0.33131723583178402</v>
      </c>
      <c r="AJR11" s="7">
        <v>0.14858241080873799</v>
      </c>
      <c r="AJS11" s="7">
        <v>1.6559969623247199</v>
      </c>
      <c r="AJT11" s="7">
        <v>0.27695331147360702</v>
      </c>
      <c r="AJU11" s="7">
        <v>-0.27406085665744101</v>
      </c>
      <c r="AJV11" s="7">
        <v>-0.60186960103946896</v>
      </c>
      <c r="AJW11" s="7">
        <v>-0.42748705512254098</v>
      </c>
      <c r="AJX11" s="7">
        <v>1.2699832920516401</v>
      </c>
      <c r="AJY11" s="7">
        <v>0.40612585015694802</v>
      </c>
      <c r="AJZ11" s="7">
        <v>-6.6342889720279796E-2</v>
      </c>
      <c r="AKA11" s="7">
        <v>1.8046897226399099</v>
      </c>
      <c r="AKB11" s="7">
        <v>-1.0628669104155799</v>
      </c>
      <c r="AKC11" s="7">
        <v>-0.405755257514746</v>
      </c>
      <c r="AKD11" s="7">
        <v>-0.44345332069718801</v>
      </c>
      <c r="AKE11" s="7">
        <v>-0.60659045347669804</v>
      </c>
      <c r="AKF11" s="7">
        <v>1.5773238672565399</v>
      </c>
      <c r="AKG11" s="7">
        <v>-0.35653318736334</v>
      </c>
      <c r="AKH11" s="7">
        <v>1.07882364007078</v>
      </c>
      <c r="AKI11" s="7">
        <v>0.48477091167462999</v>
      </c>
      <c r="AKJ11" s="7">
        <v>-1.7652858618529801</v>
      </c>
      <c r="AKK11" s="7">
        <v>1.2299841782772001</v>
      </c>
      <c r="AKL11" s="7">
        <v>-0.88152997867987803</v>
      </c>
      <c r="AKM11" s="7">
        <v>0.32345003496512398</v>
      </c>
      <c r="AKN11" s="7">
        <v>0.76906702817835604</v>
      </c>
      <c r="AKO11" s="7">
        <v>-2.49758403692864</v>
      </c>
      <c r="AKP11" s="7">
        <v>-2.05893197434295E-2</v>
      </c>
      <c r="AKQ11" s="7">
        <v>-0.819440813359675</v>
      </c>
      <c r="AKR11" s="7">
        <v>-0.61633363280150999</v>
      </c>
      <c r="AKS11" s="7">
        <v>0.81282447614855002</v>
      </c>
      <c r="AKT11" s="7">
        <v>1.0156792035307101</v>
      </c>
      <c r="AKU11" s="7">
        <v>-2.00075884500701</v>
      </c>
      <c r="AKV11" s="7">
        <v>1.10015540021175</v>
      </c>
      <c r="AKW11" s="7">
        <v>-0.32780242516503699</v>
      </c>
      <c r="AKX11" s="7">
        <v>-1.6250959180710001</v>
      </c>
      <c r="AKY11" s="7">
        <v>0.41287263288197001</v>
      </c>
      <c r="AKZ11" s="7">
        <v>-0.11642411909578</v>
      </c>
      <c r="ALA11" s="7">
        <v>0.57721189225720304</v>
      </c>
      <c r="ALB11" s="7">
        <v>-1.16452593180791</v>
      </c>
      <c r="ALC11" s="7">
        <v>-0.62946403104520299</v>
      </c>
      <c r="ALD11" s="7">
        <v>-0.35458019590183498</v>
      </c>
      <c r="ALE11" s="7">
        <v>-1.78689035164343E-2</v>
      </c>
      <c r="ALF11" s="7">
        <v>0.83209933531816704</v>
      </c>
      <c r="ALG11" s="7">
        <v>-1.9608645912843099</v>
      </c>
      <c r="ALH11" s="7">
        <v>0.16092501638910101</v>
      </c>
      <c r="ALI11" s="7">
        <v>0.21291265464512599</v>
      </c>
      <c r="ALJ11" s="7">
        <v>0.65900786094169295</v>
      </c>
      <c r="ALK11" s="7">
        <v>1.4361261722327501</v>
      </c>
      <c r="ALL11" s="7">
        <v>0.70394507754991098</v>
      </c>
      <c r="ALM11" s="7">
        <v>1.67201910229632</v>
      </c>
      <c r="ALN11" s="7">
        <v>0.95986572192366004</v>
      </c>
      <c r="ALO11" s="7">
        <v>0.74949573707259998</v>
      </c>
      <c r="ALP11" s="7">
        <v>-1.5612193920105001E-2</v>
      </c>
      <c r="ALQ11" s="7">
        <v>-1.36602292278369</v>
      </c>
      <c r="ALR11" s="7">
        <v>0.32292309366280503</v>
      </c>
      <c r="ALS11" s="7">
        <v>-0.286322708400925</v>
      </c>
      <c r="ALT11" s="7">
        <v>0.56938026948312304</v>
      </c>
      <c r="ALU11" s="7">
        <v>-0.20476917125413699</v>
      </c>
      <c r="ALV11" s="7">
        <v>0.24632724435471601</v>
      </c>
      <c r="ALW11" s="7">
        <v>0.81702808659672999</v>
      </c>
      <c r="ALX11" s="7">
        <v>-0.31787239482010998</v>
      </c>
      <c r="ALY11" s="7">
        <v>-1.5566706362654901</v>
      </c>
      <c r="ALZ11" s="7">
        <v>-0.79984373483640703</v>
      </c>
      <c r="AMA11" s="7">
        <v>1.0642518819931901</v>
      </c>
      <c r="AMB11" s="7">
        <v>-0.65211188875965798</v>
      </c>
      <c r="AMC11" s="7">
        <v>0.75374146411390197</v>
      </c>
      <c r="AMD11" s="7">
        <v>-1.96183508518821</v>
      </c>
      <c r="AME11" s="7">
        <v>2.2263814209394601</v>
      </c>
      <c r="AMF11" s="7">
        <v>-0.20300898538447901</v>
      </c>
      <c r="AMG11" s="7">
        <v>1.3555865409330501</v>
      </c>
      <c r="AMH11" s="7">
        <v>-0.71738936779859797</v>
      </c>
      <c r="AMI11" s="7">
        <v>1.1442517504073799</v>
      </c>
      <c r="AMJ11" s="7">
        <v>-0.73541853851442096</v>
      </c>
      <c r="AMK11" s="7">
        <v>0.33724070635865599</v>
      </c>
      <c r="AML11" s="7">
        <v>0.26790313436292701</v>
      </c>
      <c r="AMM11" s="7">
        <v>-1.55185454809819</v>
      </c>
      <c r="AMN11" s="7">
        <v>-0.66085423890900497</v>
      </c>
      <c r="AMO11" s="7">
        <v>0.36065272592539299</v>
      </c>
      <c r="AMP11" s="7">
        <v>3.5690316803534398E-2</v>
      </c>
      <c r="AMQ11" s="7">
        <v>-1.7094443496280201</v>
      </c>
      <c r="AMR11" s="7">
        <v>-0.60636626750001399</v>
      </c>
      <c r="AMS11" s="7">
        <v>-5.1635582668063798E-2</v>
      </c>
      <c r="AMT11" s="7">
        <v>-2.47328019544528E-2</v>
      </c>
      <c r="AMU11" s="7">
        <v>-0.79464249849083402</v>
      </c>
      <c r="AMV11" s="7">
        <v>1.41381167449448</v>
      </c>
      <c r="AMW11" s="7">
        <v>-1.1116099901551399</v>
      </c>
      <c r="AMX11" s="7">
        <v>0.199931170738987</v>
      </c>
      <c r="AMY11" s="7">
        <v>-0.106113722368035</v>
      </c>
      <c r="AMZ11" s="7">
        <v>-0.64175225595668395</v>
      </c>
      <c r="ANA11" s="7">
        <v>1.39540222170462</v>
      </c>
      <c r="ANB11" s="7">
        <v>0.36715779914418301</v>
      </c>
      <c r="ANC11" s="7">
        <v>8.5849553225609596E-2</v>
      </c>
      <c r="AND11" s="7">
        <v>0.68817612213424295</v>
      </c>
      <c r="ANE11" s="7">
        <v>1.8148444484633599</v>
      </c>
      <c r="ANF11" s="7">
        <v>1.27854138947632</v>
      </c>
      <c r="ANG11" s="7">
        <v>1.16076281326088</v>
      </c>
      <c r="ANH11" s="7">
        <v>-1.11995778820892</v>
      </c>
      <c r="ANI11" s="7">
        <v>-0.36052119811224298</v>
      </c>
      <c r="ANJ11" s="7">
        <v>0.27943994402578698</v>
      </c>
      <c r="ANK11" s="7">
        <v>0.206572420591985</v>
      </c>
      <c r="ANL11" s="7">
        <v>1.8027905116349201</v>
      </c>
      <c r="ANM11" s="7">
        <v>-5.4353424539412998E-2</v>
      </c>
      <c r="ANN11" s="7">
        <v>3.8080626383474002E-3</v>
      </c>
      <c r="ANO11" s="7">
        <v>-0.71838302070487803</v>
      </c>
      <c r="ANP11" s="7">
        <v>0.13030889218799099</v>
      </c>
      <c r="ANQ11" s="7">
        <v>-0.29151245216206001</v>
      </c>
      <c r="ANR11" s="7">
        <v>1.7561682642240899</v>
      </c>
      <c r="ANS11" s="7">
        <v>0.69406910565116098</v>
      </c>
      <c r="ANT11" s="7">
        <v>1.54755382486032</v>
      </c>
      <c r="ANU11" s="7">
        <v>-2.4605269654066699</v>
      </c>
      <c r="ANV11" s="7">
        <v>-0.24690534357525501</v>
      </c>
      <c r="ANW11" s="7">
        <v>-0.96351588797540599</v>
      </c>
      <c r="ANX11" s="7">
        <v>-0.72690770992969</v>
      </c>
      <c r="ANY11" s="7">
        <v>0.103123298196621</v>
      </c>
      <c r="ANZ11" s="7">
        <v>2.7270640065751799</v>
      </c>
      <c r="AOA11" s="7">
        <v>-0.78637055003114997</v>
      </c>
      <c r="AOB11" s="7">
        <v>-0.38556983418458102</v>
      </c>
      <c r="AOC11" s="7">
        <v>-0.50231482269785899</v>
      </c>
      <c r="AOD11" s="7">
        <v>0.555694541630123</v>
      </c>
      <c r="AOE11" s="7">
        <v>-7.0433499158385801E-2</v>
      </c>
      <c r="AOF11" s="7">
        <v>1.2401808038564699</v>
      </c>
      <c r="AOG11" s="7">
        <v>0.44112943450529801</v>
      </c>
      <c r="AOH11" s="7">
        <v>2.8124183726771501</v>
      </c>
      <c r="AOI11" s="7">
        <v>-1.0337524964640401</v>
      </c>
      <c r="AOJ11" s="7">
        <v>1.17363896254209</v>
      </c>
      <c r="AOK11" s="7">
        <v>-0.19762638682136599</v>
      </c>
      <c r="AOL11" s="7">
        <v>-2.6440518178901199E-2</v>
      </c>
      <c r="AOM11" s="7">
        <v>0.99620526284675404</v>
      </c>
      <c r="AON11" s="7">
        <v>-2.1577560545115899</v>
      </c>
      <c r="AOO11" s="7">
        <v>1.2281280719857299</v>
      </c>
      <c r="AOP11" s="7">
        <v>0.13576846580461599</v>
      </c>
      <c r="AOQ11" s="7">
        <v>-0.190333311605943</v>
      </c>
      <c r="AOR11" s="7">
        <v>-2.2044593876918501</v>
      </c>
      <c r="AOS11" s="7">
        <v>0.85903066653641702</v>
      </c>
      <c r="AOT11" s="7">
        <v>1.68171053193007</v>
      </c>
      <c r="AOU11" s="7">
        <v>-1.3872237622383601</v>
      </c>
      <c r="AOV11" s="7">
        <v>-0.271468713153665</v>
      </c>
      <c r="AOW11" s="7">
        <v>1.5265193495813401E-2</v>
      </c>
      <c r="AOX11" s="7">
        <v>-1.54782132564719</v>
      </c>
      <c r="AOY11" s="7">
        <v>1.38588251070851</v>
      </c>
      <c r="AOZ11" s="7">
        <v>-0.15775743156543301</v>
      </c>
      <c r="APA11" s="7">
        <v>-0.62703005062474004</v>
      </c>
      <c r="APB11" s="7">
        <v>-1.4135157899359501E-2</v>
      </c>
      <c r="APC11" s="7">
        <v>0.22277659401446501</v>
      </c>
      <c r="APD11" s="7">
        <v>1.24050708097121</v>
      </c>
      <c r="APE11" s="7">
        <v>-4.89444274394914E-2</v>
      </c>
      <c r="APF11" s="7">
        <v>-0.27137047637634898</v>
      </c>
      <c r="APG11" s="7">
        <v>0.24790152944820201</v>
      </c>
      <c r="APH11" s="7">
        <v>1.9531740920745899</v>
      </c>
      <c r="API11" s="7">
        <v>-0.402426611170834</v>
      </c>
      <c r="APJ11" s="7">
        <v>0.58499527369139004</v>
      </c>
      <c r="APK11" s="7">
        <v>0.82909782710615298</v>
      </c>
      <c r="APL11" s="7">
        <v>-1.1792851971452101</v>
      </c>
      <c r="APM11" s="7">
        <v>-0.87327379038803499</v>
      </c>
      <c r="APN11" s="7">
        <v>-0.115058808681452</v>
      </c>
      <c r="APO11" s="7">
        <v>-1.07017590522877</v>
      </c>
      <c r="APP11" s="7">
        <v>-1.7440863109548901</v>
      </c>
      <c r="APQ11" s="7">
        <v>-0.28840438130697899</v>
      </c>
      <c r="APR11" s="7">
        <v>1.45202329123521</v>
      </c>
      <c r="APS11" s="7">
        <v>0.38009842453565501</v>
      </c>
      <c r="APT11" s="7">
        <v>-5.28967764792991E-2</v>
      </c>
      <c r="APU11" s="7">
        <v>0.72535247258066704</v>
      </c>
      <c r="APV11" s="7">
        <v>0.97136812629228497</v>
      </c>
      <c r="APW11" s="7">
        <v>0.68280925728705899</v>
      </c>
      <c r="APX11" s="7">
        <v>0.82520767712050302</v>
      </c>
      <c r="APY11" s="7">
        <v>1.10038324231352</v>
      </c>
      <c r="APZ11" s="7">
        <v>-1.17442511526641</v>
      </c>
      <c r="AQA11" s="7">
        <v>6.0670521848204199E-2</v>
      </c>
      <c r="AQB11" s="7">
        <v>-0.70177474229500103</v>
      </c>
      <c r="AQC11" s="7">
        <v>1.5505930582956899</v>
      </c>
      <c r="AQD11" s="7">
        <v>-0.59726565959552402</v>
      </c>
      <c r="AQE11" s="7">
        <v>-1.31847883485567E-2</v>
      </c>
      <c r="AQF11" s="7">
        <v>-1.69472174495287</v>
      </c>
      <c r="AQG11" s="7">
        <v>-0.95452715351605699</v>
      </c>
      <c r="AQH11" s="7">
        <v>-1.3818013558325799</v>
      </c>
      <c r="AQI11" s="7">
        <v>1.5449431221569701</v>
      </c>
      <c r="AQJ11" s="7">
        <v>0.87388703906589704</v>
      </c>
      <c r="AQK11" s="7">
        <v>0.174910407041487</v>
      </c>
      <c r="AQL11" s="7">
        <v>-7.8092642099522894E-2</v>
      </c>
      <c r="AQM11" s="7">
        <v>1.4424360054829199</v>
      </c>
      <c r="AQN11" s="7">
        <v>-1.1639185213322401</v>
      </c>
      <c r="AQO11" s="7">
        <v>0.78873757949471301</v>
      </c>
      <c r="AQP11" s="7">
        <v>-0.96748545232550398</v>
      </c>
      <c r="AQQ11" s="7">
        <v>-0.24389135896302799</v>
      </c>
      <c r="AQR11" s="7">
        <v>0.20967815297964701</v>
      </c>
      <c r="AQS11" s="7">
        <v>-0.23839413666016901</v>
      </c>
      <c r="AQT11" s="7">
        <v>0.21922583600449599</v>
      </c>
      <c r="AQU11" s="7">
        <v>0.41451191134439602</v>
      </c>
      <c r="AQV11" s="7">
        <v>3.0138014481995201</v>
      </c>
      <c r="AQW11" s="7">
        <v>-0.80451054131535404</v>
      </c>
      <c r="AQX11" s="7">
        <v>1.03927051789513</v>
      </c>
      <c r="AQY11" s="7">
        <v>-0.965963661439738</v>
      </c>
      <c r="AQZ11" s="7">
        <v>-0.91895526922409698</v>
      </c>
      <c r="ARA11" s="7">
        <v>9.1008233816777598E-2</v>
      </c>
      <c r="ARB11" s="7">
        <v>0.55420426020904401</v>
      </c>
      <c r="ARC11" s="7">
        <v>0.82141440814445899</v>
      </c>
      <c r="ARD11" s="7">
        <v>-1.61585445054454</v>
      </c>
      <c r="ARE11" s="7">
        <v>-0.61682439254686205</v>
      </c>
      <c r="ARF11" s="7">
        <v>0.31269325691068001</v>
      </c>
      <c r="ARG11" s="7">
        <v>0.40872221473505799</v>
      </c>
      <c r="ARH11" s="7">
        <v>0.20541403342999801</v>
      </c>
      <c r="ARI11" s="7">
        <v>0.42742257211006901</v>
      </c>
      <c r="ARJ11" s="7">
        <v>-1.1215039552747299</v>
      </c>
      <c r="ARK11" s="7">
        <v>1.45635650883873</v>
      </c>
      <c r="ARL11" s="7">
        <v>0.13692517152504399</v>
      </c>
      <c r="ARM11" s="7">
        <v>1.4622763325069501</v>
      </c>
      <c r="ARN11" s="7">
        <v>1.47468360995948</v>
      </c>
      <c r="ARO11" s="7">
        <v>1.60284275192745</v>
      </c>
      <c r="ARP11" s="7">
        <v>0.27714992020601198</v>
      </c>
      <c r="ARQ11" s="7">
        <v>0.67418075054503601</v>
      </c>
      <c r="ARR11" s="7">
        <v>1.5338427338553899</v>
      </c>
      <c r="ARS11" s="7">
        <v>1.2331182647697601</v>
      </c>
      <c r="ART11" s="7">
        <v>-1.4763840183422701</v>
      </c>
      <c r="ARU11" s="7">
        <v>-0.63973371007322899</v>
      </c>
      <c r="ARV11" s="7">
        <v>-0.68544476150220301</v>
      </c>
      <c r="ARW11" s="7">
        <v>0.57004828700938404</v>
      </c>
      <c r="ARX11" s="7">
        <v>0.83781201928978899</v>
      </c>
      <c r="ARY11" s="7">
        <v>-1.41162032818599</v>
      </c>
      <c r="ARZ11" s="7">
        <v>0.81918572975009196</v>
      </c>
      <c r="ASA11" s="7">
        <v>0.674402151769812</v>
      </c>
      <c r="ASB11" s="7">
        <v>-0.55081509889484204</v>
      </c>
      <c r="ASC11" s="7">
        <v>-1.0034993288975501E-2</v>
      </c>
      <c r="ASD11" s="7">
        <v>0.70751635281346203</v>
      </c>
      <c r="ASE11" s="7">
        <v>3.0071818455583401E-2</v>
      </c>
      <c r="ASF11" s="7">
        <v>0.484520383992945</v>
      </c>
      <c r="ASG11" s="7">
        <v>1.0063070656123101</v>
      </c>
      <c r="ASH11" s="7">
        <v>0.726319348390148</v>
      </c>
      <c r="ASI11" s="7">
        <v>1.4205368831619301</v>
      </c>
      <c r="ASJ11" s="7">
        <v>-2.32594309696008E-2</v>
      </c>
      <c r="ASK11" s="7">
        <v>0.10099675933720401</v>
      </c>
      <c r="ASL11" s="7">
        <v>1.59713875993609</v>
      </c>
      <c r="ASM11" s="7">
        <v>-0.40780091978427402</v>
      </c>
      <c r="ASN11" s="7">
        <v>-2.0114072414530799</v>
      </c>
      <c r="ASO11" s="7">
        <v>-0.79402418991693302</v>
      </c>
      <c r="ASP11" s="7">
        <v>1.7076084617926199</v>
      </c>
      <c r="ASQ11" s="7">
        <v>1.1829667366415</v>
      </c>
      <c r="ASR11" s="7">
        <v>-0.60775834148184305</v>
      </c>
      <c r="ASS11" s="7">
        <v>0.112469802132708</v>
      </c>
      <c r="AST11" s="7">
        <v>1.1769700496858599</v>
      </c>
      <c r="ASU11" s="7">
        <v>0.47960810983907898</v>
      </c>
      <c r="ASV11" s="7">
        <v>-0.14726992149423199</v>
      </c>
      <c r="ASW11" s="7">
        <v>0.24833543096006</v>
      </c>
      <c r="ASX11" s="7">
        <v>-0.94006817307801904</v>
      </c>
      <c r="ASY11" s="7">
        <v>1.7306160016882699</v>
      </c>
      <c r="ASZ11" s="7">
        <v>-1.28286060649631</v>
      </c>
      <c r="ATA11" s="7">
        <v>-0.79193540583682798</v>
      </c>
      <c r="ATB11" s="7">
        <v>1.11035471155091</v>
      </c>
      <c r="ATC11" s="7">
        <v>1.6832594242887</v>
      </c>
      <c r="ATD11" s="7">
        <v>0.50388582918305302</v>
      </c>
      <c r="ATE11" s="7">
        <v>-0.26370050299298797</v>
      </c>
      <c r="ATF11" s="7">
        <v>-0.97809014223672897</v>
      </c>
      <c r="ATG11" s="7">
        <v>1.95132880122476</v>
      </c>
      <c r="ATH11" s="7">
        <v>0.92407234799946603</v>
      </c>
      <c r="ATI11" s="7">
        <v>4.6053233035524603E-2</v>
      </c>
      <c r="ATJ11" s="7">
        <v>0.85542030465959495</v>
      </c>
      <c r="ATK11" s="7">
        <v>-0.255523997770359</v>
      </c>
      <c r="ATL11" s="7">
        <v>0.42535863507534799</v>
      </c>
      <c r="ATM11" s="7">
        <v>-0.10871576720774399</v>
      </c>
      <c r="ATN11" s="7">
        <v>1.28806237191189</v>
      </c>
      <c r="ATO11" s="7">
        <v>0.60793481910149605</v>
      </c>
      <c r="ATP11" s="7">
        <v>-0.30897509939370099</v>
      </c>
      <c r="ATQ11" s="7">
        <v>-0.35829814842250501</v>
      </c>
      <c r="ATR11" s="7">
        <v>-0.1088963320263</v>
      </c>
      <c r="ATS11" s="7">
        <v>0.71458027819652403</v>
      </c>
      <c r="ATT11" s="7">
        <v>1.0138358114988699</v>
      </c>
      <c r="ATU11" s="7">
        <v>0.79714535185083701</v>
      </c>
      <c r="ATV11" s="7">
        <v>-0.51240999546245403</v>
      </c>
      <c r="ATW11" s="7">
        <v>0.56522615393391396</v>
      </c>
      <c r="ATX11" s="7">
        <v>-0.66984942716922002</v>
      </c>
      <c r="ATY11" s="7">
        <v>-0.55434003633816198</v>
      </c>
      <c r="ATZ11" s="7">
        <v>1.97232664948414</v>
      </c>
      <c r="AUA11" s="7">
        <v>-6.9127973008872995E-2</v>
      </c>
      <c r="AUB11" s="7">
        <v>-0.47425251774104199</v>
      </c>
      <c r="AUC11" s="7">
        <v>-1.6744732397211599</v>
      </c>
      <c r="AUD11" s="7">
        <v>-5.5872088243270598E-2</v>
      </c>
      <c r="AUE11" s="7">
        <v>-1.39214677994336</v>
      </c>
      <c r="AUF11" s="7">
        <v>0.57822483089443399</v>
      </c>
      <c r="AUG11" s="7">
        <v>0.99248103391599696</v>
      </c>
      <c r="AUH11" s="7">
        <v>0.32024176918755598</v>
      </c>
      <c r="AUI11" s="7">
        <v>-0.83850989674749898</v>
      </c>
      <c r="AUJ11" s="7">
        <v>-1.7948872552221899</v>
      </c>
      <c r="AUK11" s="7">
        <v>-0.42786712848182001</v>
      </c>
      <c r="AUL11" s="7">
        <v>-0.45180378916799302</v>
      </c>
      <c r="AUM11" s="7">
        <v>1.5702469517719</v>
      </c>
      <c r="AUN11" s="7">
        <v>0.80931566378905795</v>
      </c>
      <c r="AUO11" s="7">
        <v>1.6806829891753901</v>
      </c>
      <c r="AUP11" s="7">
        <v>-0.460298414397323</v>
      </c>
      <c r="AUQ11" s="7">
        <v>-0.37344198003882501</v>
      </c>
      <c r="AUR11" s="7">
        <v>-1.1461493333800501</v>
      </c>
      <c r="AUS11" s="7">
        <v>-2.4682813803278001E-2</v>
      </c>
      <c r="AUT11" s="7">
        <v>-2.0842934288018999</v>
      </c>
      <c r="AUU11" s="7">
        <v>-0.27091418960584601</v>
      </c>
      <c r="AUV11" s="7">
        <v>1.33920248099954</v>
      </c>
      <c r="AUW11" s="7">
        <v>0.82602698803590602</v>
      </c>
      <c r="AUX11" s="7">
        <v>0.13469441736135301</v>
      </c>
      <c r="AUY11" s="7">
        <v>-1.05664680311723</v>
      </c>
      <c r="AUZ11" s="7">
        <v>0.69669152826040504</v>
      </c>
      <c r="AVA11" s="7">
        <v>0.38000381535010003</v>
      </c>
      <c r="AVB11" s="7">
        <v>0.48446798354019599</v>
      </c>
      <c r="AVC11" s="7">
        <v>-1.0289241335705599</v>
      </c>
      <c r="AVD11" s="7">
        <v>-2.372038845963</v>
      </c>
      <c r="AVE11" s="7">
        <v>-0.63535376858664805</v>
      </c>
      <c r="AVF11" s="7">
        <v>0.889649379046764</v>
      </c>
      <c r="AVG11" s="7">
        <v>1.4616936132478699</v>
      </c>
      <c r="AVH11" s="7">
        <v>0.36587601157034</v>
      </c>
      <c r="AVI11" s="7">
        <v>-0.82352625752422903</v>
      </c>
      <c r="AVJ11" s="7">
        <v>0.81116942872819198</v>
      </c>
      <c r="AVK11" s="7">
        <v>1.1864054920331399</v>
      </c>
      <c r="AVL11" s="7">
        <v>-5.8201463865898001E-2</v>
      </c>
      <c r="AVM11" s="7">
        <v>1.0922918240053201</v>
      </c>
      <c r="AVN11" s="7">
        <v>-0.80337157227237599</v>
      </c>
      <c r="AVO11" s="7">
        <v>-6.5930425969831702E-2</v>
      </c>
      <c r="AVP11" s="7">
        <v>1.2002374889146401</v>
      </c>
      <c r="AVQ11" s="7">
        <v>-0.381028332052889</v>
      </c>
      <c r="AVR11" s="7">
        <v>0.95743995760159095</v>
      </c>
      <c r="AVS11" s="7">
        <v>0.16365866466117299</v>
      </c>
      <c r="AVT11" s="7">
        <v>-0.416981979264268</v>
      </c>
      <c r="AVU11" s="7">
        <v>0.164634481311907</v>
      </c>
      <c r="AVV11" s="7">
        <v>-0.39789752353580699</v>
      </c>
      <c r="AVW11" s="7">
        <v>0.29348313856446601</v>
      </c>
      <c r="AVX11" s="7">
        <v>-1.4397765515758201</v>
      </c>
      <c r="AVY11" s="7">
        <v>-1.00953503285821</v>
      </c>
      <c r="AVZ11" s="7">
        <v>-1.0648804072046001</v>
      </c>
      <c r="AWA11" s="7">
        <v>-0.63653051840866204</v>
      </c>
      <c r="AWB11" s="7">
        <v>0.91012352473380898</v>
      </c>
      <c r="AWC11" s="7">
        <v>-1.3954089344910099</v>
      </c>
      <c r="AWD11" s="7">
        <v>0.70777269595779402</v>
      </c>
      <c r="AWE11" s="7">
        <v>0.54761253885962002</v>
      </c>
      <c r="AWF11" s="7">
        <v>0.297823400795448</v>
      </c>
      <c r="AWG11" s="7">
        <v>-0.1315576912683</v>
      </c>
      <c r="AWH11" s="7">
        <v>1.5224647528374899</v>
      </c>
      <c r="AWI11" s="7">
        <v>1.1403919070600199</v>
      </c>
      <c r="AWJ11" s="7">
        <v>0.55925083599141601</v>
      </c>
      <c r="AWK11" s="7">
        <v>-5.5120744227253701E-2</v>
      </c>
      <c r="AWL11" s="7">
        <v>-2.6346871396272298</v>
      </c>
      <c r="AWM11" s="7">
        <v>0.44310334328860501</v>
      </c>
      <c r="AWN11" s="7">
        <v>2.4598642994069801</v>
      </c>
      <c r="AWO11" s="7">
        <v>-1.6566979536134501</v>
      </c>
      <c r="AWP11" s="7">
        <v>-1.7959853094307201</v>
      </c>
      <c r="AWQ11" s="7">
        <v>-0.23065858688127999</v>
      </c>
      <c r="AWR11" s="7">
        <v>2.2686322635809102</v>
      </c>
      <c r="AWS11" s="7">
        <v>0.13950939102757101</v>
      </c>
      <c r="AWT11" s="7">
        <v>6.7002184137434598E-2</v>
      </c>
      <c r="AWU11" s="7">
        <v>-1.3345492055355299</v>
      </c>
      <c r="AWV11" s="7">
        <v>2.16034791981604</v>
      </c>
      <c r="AWW11" s="7">
        <v>-0.733559360059577</v>
      </c>
      <c r="AWX11" s="7">
        <v>-0.69321452689956997</v>
      </c>
      <c r="AWY11" s="7">
        <v>-0.13743591531528301</v>
      </c>
      <c r="AWZ11" s="7">
        <v>-1.59567380122529</v>
      </c>
      <c r="AXA11" s="7">
        <v>-4.2518573459068801E-2</v>
      </c>
      <c r="AXB11" s="7">
        <v>0.63540129170438597</v>
      </c>
      <c r="AXC11" s="7">
        <v>-0.245395002503039</v>
      </c>
      <c r="AXD11" s="7">
        <v>-7.1794375530409002E-2</v>
      </c>
      <c r="AXE11" s="7">
        <v>0.42576631866374998</v>
      </c>
      <c r="AXF11" s="7">
        <v>-0.18866180573557301</v>
      </c>
      <c r="AXG11" s="7">
        <v>0.419880068558176</v>
      </c>
      <c r="AXH11" s="7">
        <v>0.196785263144304</v>
      </c>
      <c r="AXI11" s="7">
        <v>0.40836676512013598</v>
      </c>
      <c r="AXJ11" s="7">
        <v>-0.97947157086985503</v>
      </c>
      <c r="AXK11" s="7">
        <v>-1.08388884054417</v>
      </c>
      <c r="AXL11" s="7">
        <v>-8.9622821220816992E-3</v>
      </c>
      <c r="AXM11" s="7">
        <v>0.76277197221417603</v>
      </c>
      <c r="AXN11" s="7">
        <v>-0.21851117418194901</v>
      </c>
      <c r="AXO11" s="7">
        <v>0.41931212853309602</v>
      </c>
      <c r="AXP11" s="7">
        <v>-0.43433976622071302</v>
      </c>
      <c r="AXQ11" s="7">
        <v>-0.87500534350551196</v>
      </c>
      <c r="AXR11" s="7">
        <v>9.7578314410196501E-2</v>
      </c>
      <c r="AXS11" s="7">
        <v>-0.10248057910229</v>
      </c>
      <c r="AXT11" s="7">
        <v>-0.99682453864434695</v>
      </c>
      <c r="AXU11" s="7">
        <v>1.0483936194557799</v>
      </c>
      <c r="AXV11" s="7">
        <v>-2.0865562937351698</v>
      </c>
      <c r="AXW11" s="7">
        <v>1.1305972905671799</v>
      </c>
      <c r="AXX11" s="7">
        <v>-0.56976850967501402</v>
      </c>
      <c r="AXY11" s="7">
        <v>1.3060360117529199</v>
      </c>
      <c r="AXZ11" s="7">
        <v>1.53474558705019</v>
      </c>
      <c r="AYA11" s="7">
        <v>0.50349952293945399</v>
      </c>
      <c r="AYB11" s="7">
        <v>1.02066850135367</v>
      </c>
      <c r="AYC11" s="7">
        <v>0.71136094124563498</v>
      </c>
      <c r="AYD11" s="7">
        <v>-0.25970310855155398</v>
      </c>
      <c r="AYE11" s="7">
        <v>1.23203649389484</v>
      </c>
      <c r="AYF11" s="7">
        <v>0.63929546093144096</v>
      </c>
      <c r="AYG11" s="7">
        <v>0.99374008386671597</v>
      </c>
      <c r="AYH11" s="7">
        <v>-4.8287909585843697E-2</v>
      </c>
      <c r="AYI11" s="7">
        <v>-5.3430722217017203E-2</v>
      </c>
      <c r="AYJ11" s="7">
        <v>1.34643143786798</v>
      </c>
      <c r="AYK11" s="7">
        <v>0.26698324172430099</v>
      </c>
      <c r="AYL11" s="7">
        <v>-0.37644379213366402</v>
      </c>
      <c r="AYM11" s="7">
        <v>-0.38625084082598299</v>
      </c>
      <c r="AYN11" s="7">
        <v>-0.438723756727042</v>
      </c>
      <c r="AYO11" s="7">
        <v>1.02427309515346</v>
      </c>
      <c r="AYP11" s="7">
        <v>-0.38109630537995998</v>
      </c>
      <c r="AYQ11" s="7">
        <v>-0.58037874063143902</v>
      </c>
      <c r="AYR11" s="7">
        <v>1.6184032994583399</v>
      </c>
      <c r="AYS11" s="7">
        <v>0.69758279770286002</v>
      </c>
      <c r="AYT11" s="7">
        <v>1.34487401887069</v>
      </c>
      <c r="AYU11" s="7">
        <v>0.24964105229188699</v>
      </c>
      <c r="AYV11" s="7">
        <v>-2.0034854110096498</v>
      </c>
      <c r="AYW11" s="7">
        <v>1.2999981724449401</v>
      </c>
      <c r="AYX11" s="7">
        <v>0.53274584550325799</v>
      </c>
      <c r="AYY11" s="7">
        <v>-1.1806879559299199</v>
      </c>
      <c r="AYZ11" s="7">
        <v>8.9946965202451993E-3</v>
      </c>
      <c r="AZA11" s="7">
        <v>-0.61001278106771994</v>
      </c>
      <c r="AZB11" s="7">
        <v>-1.39941236242678</v>
      </c>
      <c r="AZC11" s="7">
        <v>-6.4257900730444406E-2</v>
      </c>
      <c r="AZD11" s="7">
        <v>-0.91456593211842896</v>
      </c>
      <c r="AZE11" s="7">
        <v>1.05333894184127</v>
      </c>
      <c r="AZF11" s="7">
        <v>0.64731844616884404</v>
      </c>
      <c r="AZG11" s="7">
        <v>0.47246200561521701</v>
      </c>
      <c r="AZH11" s="7">
        <v>-0.59144249002819604</v>
      </c>
      <c r="AZI11" s="7">
        <v>0.432463944218621</v>
      </c>
      <c r="AZJ11" s="7">
        <v>0.139485593058184</v>
      </c>
      <c r="AZK11" s="7">
        <v>-1.0644319714410599</v>
      </c>
      <c r="AZL11" s="7">
        <v>-1.12214980529452</v>
      </c>
      <c r="AZM11" s="7">
        <v>-0.72135219483005397</v>
      </c>
      <c r="AZN11" s="7">
        <v>-0.36755971075779598</v>
      </c>
      <c r="AZO11" s="7">
        <v>0.46637743783796598</v>
      </c>
      <c r="AZP11" s="7">
        <v>2.8687699023678199E-2</v>
      </c>
      <c r="AZQ11" s="7">
        <v>0.45586476143669202</v>
      </c>
      <c r="AZR11" s="7">
        <v>-0.74493356314493997</v>
      </c>
      <c r="AZS11" s="7">
        <v>0.280017978031536</v>
      </c>
      <c r="AZT11" s="7">
        <v>-0.90852522010344505</v>
      </c>
      <c r="AZU11" s="7">
        <v>0.97718301641319705</v>
      </c>
      <c r="AZV11" s="7">
        <v>-0.75701515505792105</v>
      </c>
      <c r="AZW11" s="7">
        <v>2.09005987822216</v>
      </c>
      <c r="AZX11" s="7">
        <v>0.88303525841415698</v>
      </c>
      <c r="AZY11" s="7">
        <v>-0.219276222673323</v>
      </c>
      <c r="AZZ11" s="7">
        <v>1.4112506293959901</v>
      </c>
      <c r="BAA11" s="7">
        <v>-0.106029004649823</v>
      </c>
      <c r="BAB11" s="7">
        <v>-1.01505221050216</v>
      </c>
      <c r="BAC11" s="7">
        <v>-0.249493607608338</v>
      </c>
      <c r="BAD11" s="7">
        <v>-0.82546298646402505</v>
      </c>
      <c r="BAE11" s="7">
        <v>-0.39686081219376401</v>
      </c>
      <c r="BAF11" s="7">
        <v>0.70625570280517203</v>
      </c>
      <c r="BAG11" s="7">
        <v>-0.80905715961206903</v>
      </c>
      <c r="BAH11" s="7">
        <v>0.594576860995218</v>
      </c>
      <c r="BAI11" s="7">
        <v>1.04564101936093</v>
      </c>
      <c r="BAJ11" s="7">
        <v>-5.09091976044974E-2</v>
      </c>
      <c r="BAK11" s="7">
        <v>-0.34888615696099101</v>
      </c>
      <c r="BAL11" s="7">
        <v>0.98086006316621099</v>
      </c>
      <c r="BAM11" s="7">
        <v>1.3116658071590801</v>
      </c>
      <c r="BAN11" s="7">
        <v>3.3372419505802497E-2</v>
      </c>
      <c r="BAO11" s="7">
        <v>0.21150446702499201</v>
      </c>
      <c r="BAP11" s="7">
        <v>-0.52403405958760996</v>
      </c>
      <c r="BAQ11" s="7">
        <v>1.3030938316249101</v>
      </c>
      <c r="BAR11" s="7">
        <v>0.33113004045957201</v>
      </c>
      <c r="BAS11" s="7">
        <v>0.170209284529244</v>
      </c>
      <c r="BAT11" s="7">
        <v>3.1381943961580601</v>
      </c>
      <c r="BAU11" s="7">
        <v>-0.72784292965461905</v>
      </c>
      <c r="BAV11" s="7">
        <v>1.46365527617908</v>
      </c>
      <c r="BAW11" s="7">
        <v>1.1939343963250699</v>
      </c>
      <c r="BAX11" s="7">
        <v>-0.705918632231059</v>
      </c>
      <c r="BAY11" s="7">
        <v>1.23906221212652</v>
      </c>
      <c r="BAZ11" s="7">
        <v>2.44583302711046</v>
      </c>
      <c r="BBA11" s="7">
        <v>-0.28501053628935902</v>
      </c>
      <c r="BBB11" s="7">
        <v>1.25656108031362</v>
      </c>
      <c r="BBC11" s="7">
        <v>-1.19074392938662</v>
      </c>
      <c r="BBD11" s="7">
        <v>-1.54559220462186</v>
      </c>
      <c r="BBE11" s="7">
        <v>0.418403556302549</v>
      </c>
      <c r="BBF11" s="7">
        <v>1.20688930413749</v>
      </c>
      <c r="BBG11" s="7">
        <v>2.1165119269017301</v>
      </c>
      <c r="BBH11" s="7">
        <v>-0.99140005128372499</v>
      </c>
      <c r="BBI11" s="7">
        <v>-0.62712475359225595</v>
      </c>
      <c r="BBJ11" s="7">
        <v>0.26289306148098901</v>
      </c>
      <c r="BBK11" s="7">
        <v>0.21307886456584699</v>
      </c>
      <c r="BBL11" s="7">
        <v>4.0026410919733302E-2</v>
      </c>
      <c r="BBM11" s="7">
        <v>1.4521140908683099</v>
      </c>
      <c r="BBN11" s="7">
        <v>0.56560402076225602</v>
      </c>
      <c r="BBO11" s="7">
        <v>1.03677055502577</v>
      </c>
      <c r="BBP11" s="7">
        <v>0.38944799083898801</v>
      </c>
      <c r="BBQ11" s="7">
        <v>0.57671271345861597</v>
      </c>
      <c r="BBR11" s="7">
        <v>-7.1326559694450994E-2</v>
      </c>
      <c r="BBS11" s="7">
        <v>0.44043873827669899</v>
      </c>
      <c r="BBT11" s="7">
        <v>0.81975182868979601</v>
      </c>
      <c r="BBU11" s="7">
        <v>0.56103864367135803</v>
      </c>
      <c r="BBV11" s="7">
        <v>-0.41261836858480699</v>
      </c>
      <c r="BBW11" s="7">
        <v>-1.2535291188161699</v>
      </c>
      <c r="BBX11" s="7">
        <v>1.1782387595197601</v>
      </c>
      <c r="BBY11" s="7">
        <v>-1.13310993626344</v>
      </c>
      <c r="BBZ11" s="7">
        <v>0.42420760241404398</v>
      </c>
      <c r="BCA11" s="7">
        <v>0.54439834240580498</v>
      </c>
      <c r="BCB11" s="7">
        <v>-1.261433010763E-3</v>
      </c>
      <c r="BCC11" s="7">
        <v>0.43826534850117499</v>
      </c>
      <c r="BCD11" s="7">
        <v>0.70936030818727702</v>
      </c>
      <c r="BCE11" s="7">
        <v>-1.4092104229675999</v>
      </c>
      <c r="BCF11" s="7">
        <v>-0.29165042621991899</v>
      </c>
      <c r="BCG11" s="7">
        <v>0.50263682611207305</v>
      </c>
      <c r="BCH11" s="7">
        <v>1.12140179038441</v>
      </c>
      <c r="BCI11" s="7">
        <v>-1.31522836572768</v>
      </c>
      <c r="BCJ11" s="7">
        <v>-0.92706177227822895</v>
      </c>
      <c r="BCK11" s="7">
        <v>0.17971851983401299</v>
      </c>
      <c r="BCL11" s="7">
        <v>0.82647148504850698</v>
      </c>
      <c r="BCM11" s="7">
        <v>0.42988084634144302</v>
      </c>
      <c r="BCN11" s="7">
        <v>0.93722044352925904</v>
      </c>
      <c r="BCO11" s="7">
        <v>0.46024668156159398</v>
      </c>
      <c r="BCP11" s="7">
        <v>0.15608162142467</v>
      </c>
      <c r="BCQ11" s="7">
        <v>0.42510212138431203</v>
      </c>
      <c r="BCR11" s="7">
        <v>-0.43233378425449298</v>
      </c>
      <c r="BCS11" s="7">
        <v>-0.412797555201868</v>
      </c>
      <c r="BCT11" s="7">
        <v>0.59633695045676904</v>
      </c>
      <c r="BCU11" s="7">
        <v>-0.64813773959202503</v>
      </c>
      <c r="BCV11" s="7">
        <v>1.7391558284451201</v>
      </c>
      <c r="BCW11" s="7">
        <v>0.73911925990720495</v>
      </c>
      <c r="BCX11" s="7">
        <v>0.28125936726481598</v>
      </c>
      <c r="BCY11" s="7">
        <v>-0.47457474726461601</v>
      </c>
      <c r="BCZ11" s="7">
        <v>-0.40547505126000299</v>
      </c>
      <c r="BDA11" s="7">
        <v>0.98613476102483899</v>
      </c>
      <c r="BDB11" s="7">
        <v>0.31338178082972301</v>
      </c>
      <c r="BDC11" s="7">
        <v>-0.38880347601273801</v>
      </c>
      <c r="BDD11" s="7">
        <v>0.80510106094062195</v>
      </c>
      <c r="BDE11" s="7">
        <v>-0.29691303217960302</v>
      </c>
      <c r="BDF11" s="7">
        <v>-0.43911828182023999</v>
      </c>
      <c r="BDG11" s="7">
        <v>-0.45209319257834002</v>
      </c>
      <c r="BDH11" s="7">
        <v>-0.15945102572768499</v>
      </c>
      <c r="BDI11" s="7">
        <v>0.87620974747848002</v>
      </c>
      <c r="BDJ11" s="7">
        <v>1.35798596694123</v>
      </c>
      <c r="BDK11" s="7">
        <v>-0.51725327612846805</v>
      </c>
      <c r="BDL11" s="7">
        <v>0.21866792027184201</v>
      </c>
      <c r="BDM11" s="7">
        <v>0.89476114641762206</v>
      </c>
      <c r="BDN11" s="7">
        <v>-1.3765500058574001</v>
      </c>
      <c r="BDO11" s="7">
        <v>-0.206452830660145</v>
      </c>
      <c r="BDP11" s="7">
        <v>-1.14231469799899</v>
      </c>
      <c r="BDQ11" s="7">
        <v>1.30355789214415</v>
      </c>
      <c r="BDR11" s="7">
        <v>2.2559193306648599</v>
      </c>
      <c r="BDS11" s="7">
        <v>0.223587392741534</v>
      </c>
      <c r="BDT11" s="7">
        <v>0.95591979431329099</v>
      </c>
      <c r="BDU11" s="7">
        <v>0.55277004303816002</v>
      </c>
      <c r="BDV11" s="7">
        <v>0.31007307245703902</v>
      </c>
      <c r="BDW11" s="7">
        <v>-1.1813859812985501</v>
      </c>
      <c r="BDX11" s="7">
        <v>-0.85214973696055596</v>
      </c>
      <c r="BDY11" s="7">
        <v>0.43015049532032401</v>
      </c>
      <c r="BDZ11" s="7">
        <v>1.4558315422664501</v>
      </c>
      <c r="BEA11" s="7">
        <v>1.09306681554012</v>
      </c>
      <c r="BEB11" s="7">
        <v>0.24818906894551901</v>
      </c>
      <c r="BEC11" s="7">
        <v>0.66609503618228605</v>
      </c>
      <c r="BED11" s="7">
        <v>-6.4205899106686004E-3</v>
      </c>
      <c r="BEE11" s="7">
        <v>0.84944914647043901</v>
      </c>
      <c r="BEF11" s="7">
        <v>0.30538579759148998</v>
      </c>
      <c r="BEG11" s="7">
        <v>-3.9630279076991903E-2</v>
      </c>
      <c r="BEH11" s="7">
        <v>-5.5214895603836099E-2</v>
      </c>
      <c r="BEI11" s="7">
        <v>-2.06596070483153</v>
      </c>
      <c r="BEJ11" s="7">
        <v>0.80959474570175305</v>
      </c>
      <c r="BEK11" s="7">
        <v>0.27820721212452199</v>
      </c>
      <c r="BEL11" s="7">
        <v>0.76079692171920599</v>
      </c>
      <c r="BEM11" s="7">
        <v>0.95889313504623397</v>
      </c>
      <c r="BEN11" s="7">
        <v>0.64965033053446997</v>
      </c>
      <c r="BEO11" s="7">
        <v>-0.33872192187454297</v>
      </c>
      <c r="BEP11" s="7">
        <v>-0.17638903850592699</v>
      </c>
      <c r="BEQ11" s="7">
        <v>0.64368616521980104</v>
      </c>
      <c r="BER11" s="7">
        <v>-0.87946771376937105</v>
      </c>
      <c r="BES11" s="7">
        <v>-0.76073857806189304</v>
      </c>
      <c r="BET11" s="7">
        <v>-1.9093950069449801</v>
      </c>
      <c r="BEU11" s="7">
        <v>-0.92390745885519998</v>
      </c>
      <c r="BEV11" s="7">
        <v>-0.64692252981065901</v>
      </c>
      <c r="BEW11" s="7">
        <v>0.16342827597198101</v>
      </c>
      <c r="BEX11" s="7">
        <v>1.0119073181663101</v>
      </c>
      <c r="BEY11" s="7">
        <v>-1.46677146439003</v>
      </c>
      <c r="BEZ11" s="7">
        <v>1.1863520763509801</v>
      </c>
      <c r="BFA11" s="7">
        <v>-1.9464867841288001</v>
      </c>
      <c r="BFB11" s="7">
        <v>-0.23950992725529599</v>
      </c>
      <c r="BFC11" s="7">
        <v>3.9925723498336202E-2</v>
      </c>
      <c r="BFD11" s="7">
        <v>-1.04743757488056</v>
      </c>
      <c r="BFE11" s="7">
        <v>7.6734015654174495E-2</v>
      </c>
      <c r="BFF11" s="7">
        <v>-1.5723050974649699</v>
      </c>
      <c r="BFG11" s="7">
        <v>4.9585640000153801E-2</v>
      </c>
      <c r="BFH11" s="7">
        <v>-1.0062550474724801</v>
      </c>
      <c r="BFI11" s="7">
        <v>-0.44967067163795399</v>
      </c>
      <c r="BFJ11" s="7">
        <v>1.5900207843755501</v>
      </c>
      <c r="BFK11" s="7">
        <v>1.7404936487462001E-3</v>
      </c>
      <c r="BFL11" s="7">
        <v>0.62190381639049497</v>
      </c>
      <c r="BFM11" s="7">
        <v>1.67166433117375</v>
      </c>
      <c r="BFN11" s="7">
        <v>-1.1478184791752399</v>
      </c>
      <c r="BFO11" s="7">
        <v>2.7343701875452902</v>
      </c>
      <c r="BFP11" s="7">
        <v>-0.99490991449817701</v>
      </c>
      <c r="BFQ11" s="7">
        <v>0.40807435634807498</v>
      </c>
      <c r="BFR11" s="7">
        <v>-1.1683016131750501</v>
      </c>
      <c r="BFS11" s="7">
        <v>1.1816331382399601</v>
      </c>
      <c r="BFT11" s="7">
        <v>-0.38666375910968198</v>
      </c>
      <c r="BFU11" s="7">
        <v>0.63060597192463996</v>
      </c>
      <c r="BFV11" s="7">
        <v>-9.0322300155526503E-2</v>
      </c>
      <c r="BFW11" s="7">
        <v>-1.6256635819076199</v>
      </c>
      <c r="BFX11" s="7">
        <v>-1.20124551637097E-2</v>
      </c>
      <c r="BFY11" s="7">
        <v>0.99392634254494605</v>
      </c>
      <c r="BFZ11" s="7">
        <v>-0.97446781342002298</v>
      </c>
      <c r="BGA11" s="7">
        <v>0.27792495408928097</v>
      </c>
      <c r="BGB11" s="7">
        <v>0.27898307039964498</v>
      </c>
      <c r="BGC11" s="7">
        <v>-1.0588241866194601</v>
      </c>
      <c r="BGD11" s="7">
        <v>-0.96589735910863905</v>
      </c>
      <c r="BGE11" s="7">
        <v>1.0881725006637599</v>
      </c>
      <c r="BGF11" s="7">
        <v>-0.47324217524769502</v>
      </c>
      <c r="BGG11" s="7">
        <v>-0.28987140136057499</v>
      </c>
      <c r="BGH11" s="7">
        <v>-1.80977484718499E-2</v>
      </c>
      <c r="BGI11" s="7">
        <v>-0.47038375821260398</v>
      </c>
      <c r="BGJ11" s="7">
        <v>-3.0822548327716501E-2</v>
      </c>
      <c r="BGK11" s="7">
        <v>-0.26414125739788102</v>
      </c>
      <c r="BGL11" s="7">
        <v>-0.359176997619922</v>
      </c>
      <c r="BGM11" s="7">
        <v>0.79014831081991299</v>
      </c>
      <c r="BGN11" s="7">
        <v>1.0369735806425</v>
      </c>
      <c r="BGO11" s="7">
        <v>9.4570005974756996E-2</v>
      </c>
      <c r="BGP11" s="7">
        <v>-0.73034266844419105</v>
      </c>
      <c r="BGQ11" s="7">
        <v>1.12692527310095</v>
      </c>
      <c r="BGR11" s="7">
        <v>0.28215898318919103</v>
      </c>
      <c r="BGS11" s="7">
        <v>0.75722578383192096</v>
      </c>
      <c r="BGT11" s="7">
        <v>-1.22752997361397</v>
      </c>
      <c r="BGU11" s="7">
        <v>-8.1301677263542094E-2</v>
      </c>
      <c r="BGV11" s="7">
        <v>-1.14184754422414</v>
      </c>
      <c r="BGW11" s="7">
        <v>-0.70160514509203598</v>
      </c>
      <c r="BGX11" s="7">
        <v>-1.1866175535063801</v>
      </c>
      <c r="BGY11" s="7">
        <v>-1.4993171336640301</v>
      </c>
      <c r="BGZ11" s="7">
        <v>-1.9388950207386</v>
      </c>
      <c r="BHA11" s="7">
        <v>-1.7428445594972699</v>
      </c>
      <c r="BHB11" s="7">
        <v>0.28698339154164298</v>
      </c>
      <c r="BHC11" s="7">
        <v>-1.75099834871816</v>
      </c>
      <c r="BHD11" s="7">
        <v>-6.9716522106429604E-2</v>
      </c>
      <c r="BHE11" s="7">
        <v>0.38426191633856699</v>
      </c>
      <c r="BHF11" s="7">
        <v>-1.0034887957648</v>
      </c>
      <c r="BHG11" s="7">
        <v>-1.46521204574079</v>
      </c>
      <c r="BHH11" s="7">
        <v>-0.47840326451319798</v>
      </c>
      <c r="BHI11" s="7">
        <v>0.49915083298788698</v>
      </c>
      <c r="BHJ11" s="7">
        <v>-0.58338965352979799</v>
      </c>
      <c r="BHK11" s="7">
        <v>0.39651248029032399</v>
      </c>
      <c r="BHL11" s="7">
        <v>-0.85244497277657205</v>
      </c>
      <c r="BHM11" s="7">
        <v>-0.53833973395642998</v>
      </c>
      <c r="BHN11" s="7">
        <v>0.33491483390563198</v>
      </c>
      <c r="BHO11" s="7">
        <v>0.93964886146697801</v>
      </c>
      <c r="BHP11" s="7">
        <v>-0.80198641703140405</v>
      </c>
      <c r="BHQ11" s="7">
        <v>-0.33334632651048202</v>
      </c>
      <c r="BHR11" s="7">
        <v>-0.92407516678600998</v>
      </c>
      <c r="BHS11" s="7">
        <v>-1.1435318916397701</v>
      </c>
      <c r="BHT11" s="7">
        <v>0.68244117909253699</v>
      </c>
      <c r="BHU11" s="7">
        <v>-0.70467440863623998</v>
      </c>
      <c r="BHV11" s="7">
        <v>-1.3033682000198099</v>
      </c>
      <c r="BHW11" s="7">
        <v>-0.40918753917181899</v>
      </c>
      <c r="BHX11" s="7">
        <v>3.4144927855210103E-2</v>
      </c>
      <c r="BHY11" s="7">
        <v>0.98571943443482901</v>
      </c>
      <c r="BHZ11" s="7">
        <v>2.42013569804972</v>
      </c>
      <c r="BIA11" s="7">
        <v>1.18532508893334</v>
      </c>
      <c r="BIB11" s="7">
        <v>-0.29841107635940201</v>
      </c>
      <c r="BIC11" s="7">
        <v>-1.09328574671963</v>
      </c>
      <c r="BID11" s="7">
        <v>-1.9234321197544599</v>
      </c>
      <c r="BIE11" s="7">
        <v>0.93617674110475002</v>
      </c>
      <c r="BIF11" s="7">
        <v>-1.2044088697897</v>
      </c>
      <c r="BIG11" s="7">
        <v>-0.69046944437589397</v>
      </c>
      <c r="BIH11" s="7">
        <v>0.87333778736069201</v>
      </c>
      <c r="BII11" s="7">
        <v>0.239140728892168</v>
      </c>
      <c r="BIJ11" s="7">
        <v>0.74158301714300001</v>
      </c>
      <c r="BIK11" s="7">
        <v>1.6350987775738099</v>
      </c>
      <c r="BIL11" s="7">
        <v>1.06291414765043</v>
      </c>
      <c r="BIM11" s="7">
        <v>-1.5621785426652699</v>
      </c>
      <c r="BIN11" s="7">
        <v>0.39193269317087498</v>
      </c>
      <c r="BIO11" s="7">
        <v>1.4424263073360299</v>
      </c>
      <c r="BIP11" s="7">
        <v>0.20056350360623701</v>
      </c>
      <c r="BIQ11" s="7">
        <v>0.30479239091670801</v>
      </c>
      <c r="BIR11" s="7">
        <v>2.0067305761152601</v>
      </c>
      <c r="BIS11" s="7">
        <v>1.0692837406727</v>
      </c>
      <c r="BIT11" s="7">
        <v>-6.3645564680879299E-2</v>
      </c>
      <c r="BIU11" s="7">
        <v>-0.42155638793243599</v>
      </c>
      <c r="BIV11" s="7">
        <v>1.5997193619107699</v>
      </c>
      <c r="BIW11" s="7">
        <v>-0.15820369130044301</v>
      </c>
      <c r="BIX11" s="7">
        <v>-0.172914963988133</v>
      </c>
      <c r="BIY11" s="7">
        <v>-0.65392132829933702</v>
      </c>
      <c r="BIZ11" s="7">
        <v>0.56833692355566101</v>
      </c>
      <c r="BJA11" s="7">
        <v>7.9862165739232494E-2</v>
      </c>
      <c r="BJB11" s="7">
        <v>5.0823209131372997E-3</v>
      </c>
      <c r="BJC11" s="7">
        <v>0.73856705139035395</v>
      </c>
      <c r="BJD11" s="7">
        <v>0.93536821810750603</v>
      </c>
      <c r="BJE11" s="7">
        <v>-0.90790376972261899</v>
      </c>
      <c r="BJF11" s="7">
        <v>1.6193343570824701</v>
      </c>
      <c r="BJG11" s="7">
        <v>0.44170482740707001</v>
      </c>
      <c r="BJH11" s="7">
        <v>-0.20278239030444301</v>
      </c>
      <c r="BJI11" s="7">
        <v>0.65727462602097897</v>
      </c>
      <c r="BJJ11" s="7">
        <v>-0.43457551764421398</v>
      </c>
      <c r="BJK11" s="7">
        <v>-1.2723022424722401</v>
      </c>
      <c r="BJL11" s="7">
        <v>0.80224055104777903</v>
      </c>
      <c r="BJM11" s="7">
        <v>-0.53938714752599604</v>
      </c>
      <c r="BJN11" s="7">
        <v>1.49415136213747</v>
      </c>
      <c r="BJO11" s="7">
        <v>-1.30542070374365</v>
      </c>
      <c r="BJP11" s="7">
        <v>1.2155679379842601</v>
      </c>
      <c r="BJQ11" s="7">
        <v>0.545276986670029</v>
      </c>
      <c r="BJR11" s="7">
        <v>1.0705459193059601</v>
      </c>
      <c r="BJS11" s="7">
        <v>0.44526143576305799</v>
      </c>
      <c r="BJT11" s="7">
        <v>0.450321662725016</v>
      </c>
      <c r="BJU11" s="7">
        <v>0.59810006078376898</v>
      </c>
      <c r="BJV11" s="7">
        <v>4.3146592169164402E-2</v>
      </c>
      <c r="BJW11" s="7">
        <v>-0.60098987462572095</v>
      </c>
      <c r="BJX11" s="7">
        <v>-1.0197015300177701</v>
      </c>
      <c r="BJY11" s="7">
        <v>-1.9499389701146801</v>
      </c>
      <c r="BJZ11" s="7">
        <v>-1.6425435991744499</v>
      </c>
      <c r="BKA11" s="7">
        <v>0.48115871958186002</v>
      </c>
      <c r="BKB11" s="7">
        <v>0.56271886309000196</v>
      </c>
      <c r="BKC11" s="7">
        <v>-0.61668729710422399</v>
      </c>
      <c r="BKD11" s="7">
        <v>0.16919210350030101</v>
      </c>
      <c r="BKE11" s="7">
        <v>2.3237558864666399</v>
      </c>
      <c r="BKF11" s="7">
        <v>-5.3752204031353903E-2</v>
      </c>
      <c r="BKG11" s="7">
        <v>-0.56394793968043999</v>
      </c>
      <c r="BKH11" s="7">
        <v>-0.53829550192312903</v>
      </c>
      <c r="BKI11" s="7">
        <v>-1.21035420500251</v>
      </c>
      <c r="BKJ11" s="7">
        <v>-1.7231439655205401</v>
      </c>
      <c r="BKK11" s="7">
        <v>-0.17630796179274399</v>
      </c>
      <c r="BKL11" s="7">
        <v>-1.2440686624067201</v>
      </c>
      <c r="BKM11" s="7">
        <v>0.139439224336523</v>
      </c>
      <c r="BKN11" s="7">
        <v>-0.801649295845829</v>
      </c>
      <c r="BKO11" s="7">
        <v>-0.70851054650217205</v>
      </c>
      <c r="BKP11" s="7">
        <v>-1.0259599824789201</v>
      </c>
      <c r="BKQ11" s="7">
        <v>-0.927373452785342</v>
      </c>
      <c r="BKR11" s="7">
        <v>-0.84560869886424905</v>
      </c>
      <c r="BKS11" s="7">
        <v>0.68133428407069097</v>
      </c>
      <c r="BKT11" s="7">
        <v>1.5459733260856701</v>
      </c>
      <c r="BKU11" s="7">
        <v>1.3301542718077699</v>
      </c>
      <c r="BKV11" s="7">
        <v>0.49815361827743498</v>
      </c>
      <c r="BKW11" s="7">
        <v>0.70617660219026002</v>
      </c>
      <c r="BKX11" s="7">
        <v>-2.45193308258243E-2</v>
      </c>
      <c r="BKY11" s="7">
        <v>-0.60438935307852604</v>
      </c>
      <c r="BKZ11" s="7">
        <v>-2.0738910525603602</v>
      </c>
      <c r="BLA11" s="7">
        <v>0.87309012778314299</v>
      </c>
      <c r="BLB11" s="7">
        <v>-0.29385251428750903</v>
      </c>
      <c r="BLC11" s="7">
        <v>1.76810618125931</v>
      </c>
      <c r="BLD11" s="7">
        <v>0.77870094764946896</v>
      </c>
      <c r="BLE11" s="7">
        <v>-9.0056723089416701E-2</v>
      </c>
      <c r="BLF11" s="7">
        <v>-0.51645866623980896</v>
      </c>
      <c r="BLG11" s="7">
        <v>0.51651764393696498</v>
      </c>
      <c r="BLH11" s="7">
        <v>-1.2381138385011199</v>
      </c>
      <c r="BLI11" s="7">
        <v>-0.84906605413151703</v>
      </c>
      <c r="BLJ11" s="7">
        <v>-1.70973397133608</v>
      </c>
      <c r="BLK11" s="7">
        <v>1.13089375188466</v>
      </c>
      <c r="BLL11" s="7">
        <v>1.19457625455429</v>
      </c>
      <c r="BLM11" s="7">
        <v>1.2663658824662201</v>
      </c>
      <c r="BLN11" s="7">
        <v>-0.58271639884100401</v>
      </c>
      <c r="BLO11" s="7">
        <v>0.67037650586660402</v>
      </c>
      <c r="BLP11" s="7">
        <v>1.44919102389177</v>
      </c>
      <c r="BLQ11" s="7">
        <v>-0.76368562947250296</v>
      </c>
      <c r="BLR11" s="7">
        <v>-0.72793988598403903</v>
      </c>
      <c r="BLS11" s="7">
        <v>-7.9938043875403004E-3</v>
      </c>
      <c r="BLT11" s="7">
        <v>-0.70836602449294295</v>
      </c>
      <c r="BLU11" s="7">
        <v>-0.72574658468554298</v>
      </c>
      <c r="BLV11" s="7">
        <v>0.33741878298240502</v>
      </c>
      <c r="BLW11" s="7">
        <v>0.22668674322329199</v>
      </c>
      <c r="BLX11" s="7">
        <v>-0.116438750894056</v>
      </c>
      <c r="BLY11" s="7">
        <v>-0.494507789123102</v>
      </c>
      <c r="BLZ11" s="7">
        <v>1.6868726365242099</v>
      </c>
      <c r="BMA11" s="7">
        <v>0.55283397093969799</v>
      </c>
      <c r="BMB11" s="7">
        <v>-0.150703769365994</v>
      </c>
      <c r="BMC11" s="7">
        <v>1.81097917091567</v>
      </c>
      <c r="BMD11" s="7">
        <v>-0.73992762748566299</v>
      </c>
      <c r="BME11" s="7">
        <v>-1.08163973921009</v>
      </c>
      <c r="BMF11" s="7">
        <v>-0.88537208963831504</v>
      </c>
      <c r="BMG11" s="7">
        <v>-0.26329436016900498</v>
      </c>
      <c r="BMH11" s="7">
        <v>-8.6681863004026499E-2</v>
      </c>
      <c r="BMI11" s="7">
        <v>-0.54659337953006604</v>
      </c>
      <c r="BMJ11" s="7">
        <v>-0.499458366515249</v>
      </c>
      <c r="BMK11" s="7">
        <v>-0.79681390779268502</v>
      </c>
      <c r="BML11" s="7">
        <v>-0.55663375433404805</v>
      </c>
      <c r="BMM11" s="7">
        <v>-0.79464449941110404</v>
      </c>
      <c r="BMN11" s="7">
        <v>0.32603889845769701</v>
      </c>
      <c r="BMO11" s="7">
        <v>-4.6086595930889603E-2</v>
      </c>
      <c r="BMP11" s="7">
        <v>-0.46410748664267598</v>
      </c>
      <c r="BMQ11" s="7">
        <v>-0.97417237126905198</v>
      </c>
      <c r="BMR11" s="7">
        <v>0.80939581233453695</v>
      </c>
      <c r="BMS11" s="7">
        <v>0.42084207220353897</v>
      </c>
      <c r="BMT11" s="7">
        <v>0.90726587669454095</v>
      </c>
      <c r="BMU11" s="7">
        <v>-2.02346361669741</v>
      </c>
      <c r="BMV11" s="7">
        <v>1.4085063277799299</v>
      </c>
      <c r="BMW11" s="7">
        <v>0.92158654870386003</v>
      </c>
      <c r="BMX11" s="7">
        <v>0.82957375065791095</v>
      </c>
      <c r="BMY11" s="7">
        <v>-0.43867561193813898</v>
      </c>
      <c r="BMZ11" s="7">
        <v>9.8656292515109198E-2</v>
      </c>
      <c r="BNA11" s="7">
        <v>-1.3466826447959099</v>
      </c>
      <c r="BNB11" s="7">
        <v>-1.7149300336335001</v>
      </c>
      <c r="BNC11" s="7">
        <v>2.5340330842800398</v>
      </c>
      <c r="BND11" s="7">
        <v>0.80159908030208005</v>
      </c>
      <c r="BNE11" s="7">
        <v>0.94447448852051896</v>
      </c>
      <c r="BNF11" s="7">
        <v>0.146234992703972</v>
      </c>
      <c r="BNG11" s="7">
        <v>-1.8465141507012901</v>
      </c>
      <c r="BNH11" s="7">
        <v>-7.7808539648695593E-2</v>
      </c>
      <c r="BNI11" s="7">
        <v>0.75156984862173304</v>
      </c>
      <c r="BNJ11" s="7">
        <v>1.4410181399700199</v>
      </c>
      <c r="BNK11" s="7">
        <v>0.332737628565277</v>
      </c>
      <c r="BNL11" s="7">
        <v>1.1195834025526701</v>
      </c>
      <c r="BNM11" s="7">
        <v>0.98872395435778504</v>
      </c>
      <c r="BNN11" s="7">
        <v>0.40321205633080598</v>
      </c>
      <c r="BNO11" s="7">
        <v>1.7809354148348899</v>
      </c>
      <c r="BNP11" s="7">
        <v>1.36502930194631</v>
      </c>
      <c r="BNQ11" s="7">
        <v>-0.45211645065876999</v>
      </c>
      <c r="BNR11" s="7">
        <v>0.184120636450544</v>
      </c>
      <c r="BNS11" s="7">
        <v>-1.65982083752681</v>
      </c>
      <c r="BNT11" s="7">
        <v>-0.657621964145225</v>
      </c>
      <c r="BNU11" s="7">
        <v>-0.69587658331712599</v>
      </c>
      <c r="BNV11" s="7">
        <v>-0.75680780350339905</v>
      </c>
      <c r="BNW11" s="7">
        <v>1.40648112647792</v>
      </c>
      <c r="BNX11" s="7">
        <v>-0.93888111198012503</v>
      </c>
      <c r="BNY11" s="7">
        <v>1.1669325501314001</v>
      </c>
      <c r="BNZ11" s="7">
        <v>-0.414836494665696</v>
      </c>
      <c r="BOA11" s="7">
        <v>0.92653777563098405</v>
      </c>
      <c r="BOB11" s="7">
        <v>-0.38328544030762202</v>
      </c>
      <c r="BOC11" s="7">
        <v>-0.29086028975949801</v>
      </c>
      <c r="BOD11" s="7">
        <v>0.74902236249110998</v>
      </c>
      <c r="BOE11" s="7">
        <v>-0.25632181839975599</v>
      </c>
      <c r="BOF11" s="7">
        <v>-0.36323109218241301</v>
      </c>
      <c r="BOG11" s="7">
        <v>0.50271216065707702</v>
      </c>
      <c r="BOH11" s="7">
        <v>2.28997808983714</v>
      </c>
      <c r="BOI11" s="7">
        <v>0.99044901233638105</v>
      </c>
      <c r="BOJ11" s="7">
        <v>0.69442907521546504</v>
      </c>
      <c r="BOK11" s="7">
        <v>-0.68616288417758198</v>
      </c>
      <c r="BOL11" s="7">
        <v>-0.326001566059412</v>
      </c>
      <c r="BOM11" s="7">
        <v>-0.52337723738269504</v>
      </c>
      <c r="BON11" s="7">
        <v>1.37561294129189</v>
      </c>
      <c r="BOO11" s="7">
        <v>-0.91766028325465998</v>
      </c>
      <c r="BOP11" s="7">
        <v>0.46187406610913601</v>
      </c>
      <c r="BOQ11" s="7">
        <v>-0.45566375830047301</v>
      </c>
      <c r="BOR11" s="7">
        <v>0.37169924599653198</v>
      </c>
      <c r="BOS11" s="7">
        <v>-0.78437485083792002</v>
      </c>
      <c r="BOT11" s="7">
        <v>-1.20084969043151</v>
      </c>
      <c r="BOU11" s="7">
        <v>0.38244653200638701</v>
      </c>
      <c r="BOV11" s="7">
        <v>-1.1656969748472501</v>
      </c>
      <c r="BOW11" s="7">
        <v>-1.2165604608292799</v>
      </c>
      <c r="BOX11" s="7">
        <v>-0.40645738131720899</v>
      </c>
      <c r="BOY11" s="7">
        <v>-0.15611169916005199</v>
      </c>
      <c r="BOZ11" s="7">
        <v>0.68987481536533002</v>
      </c>
      <c r="BPA11" s="7">
        <v>3.8868138906816597E-2</v>
      </c>
      <c r="BPB11" s="7">
        <v>-0.42728237235265598</v>
      </c>
      <c r="BPC11" s="7">
        <v>0.193789378759259</v>
      </c>
      <c r="BPD11" s="7">
        <v>0.68964041018168898</v>
      </c>
      <c r="BPE11" s="7">
        <v>1.7664776484886</v>
      </c>
      <c r="BPF11" s="7">
        <v>-1.3912915215539501</v>
      </c>
      <c r="BPG11" s="7">
        <v>-1.1752343830279199</v>
      </c>
      <c r="BPH11" s="7">
        <v>0.331941830944324</v>
      </c>
      <c r="BPI11" s="7">
        <v>2.8073197277644402E-2</v>
      </c>
      <c r="BPJ11" s="7">
        <v>-0.31714313312051401</v>
      </c>
      <c r="BPK11" s="7">
        <v>-0.19981468843335501</v>
      </c>
      <c r="BPL11" s="7">
        <v>-0.67603023338120305</v>
      </c>
      <c r="BPM11" s="7">
        <v>-0.72461034170099903</v>
      </c>
      <c r="BPN11" s="7">
        <v>0.39273380038574002</v>
      </c>
      <c r="BPO11" s="7">
        <v>-0.28051433589112501</v>
      </c>
      <c r="BPP11" s="7">
        <v>1.3814839658952101</v>
      </c>
      <c r="BPQ11" s="7">
        <v>0.33003309170775502</v>
      </c>
      <c r="BPR11" s="7">
        <v>-0.48469329546714102</v>
      </c>
      <c r="BPS11" s="7">
        <v>1.8893763100448</v>
      </c>
      <c r="BPT11" s="7">
        <v>1.25447145356215</v>
      </c>
      <c r="BPU11" s="7">
        <v>-0.49568074263836698</v>
      </c>
      <c r="BPV11" s="7">
        <v>-0.56846691521719495</v>
      </c>
      <c r="BPW11" s="7">
        <v>-0.56892604415193204</v>
      </c>
      <c r="BPX11" s="7">
        <v>-0.26256928891245801</v>
      </c>
      <c r="BPY11" s="7">
        <v>0.390875018243663</v>
      </c>
      <c r="BPZ11" s="7">
        <v>-0.61770429150603301</v>
      </c>
      <c r="BQA11" s="7">
        <v>0.16754033071368099</v>
      </c>
      <c r="BQB11" s="7">
        <v>0.71684356143219796</v>
      </c>
      <c r="BQC11" s="7">
        <v>-0.36924075614933199</v>
      </c>
      <c r="BQD11" s="7">
        <v>1.02310933083009</v>
      </c>
      <c r="BQE11" s="7">
        <v>1.11095773083039</v>
      </c>
      <c r="BQF11" s="7">
        <v>-1.9230877036743199</v>
      </c>
      <c r="BQG11" s="7">
        <v>-0.112180515234806</v>
      </c>
      <c r="BQH11" s="7">
        <v>1.8209658228455201</v>
      </c>
    </row>
    <row r="12" spans="1:1802" x14ac:dyDescent="0.2">
      <c r="A12" s="7">
        <v>10</v>
      </c>
      <c r="B12" s="7">
        <v>-0.82575388777905201</v>
      </c>
      <c r="C12" s="7">
        <v>-6.2603820079997194E-2</v>
      </c>
      <c r="D12" s="7">
        <v>-1.03325669744293</v>
      </c>
      <c r="E12" s="7">
        <v>3.9344287054058402E-2</v>
      </c>
      <c r="F12" s="7">
        <v>1.5234827646453799</v>
      </c>
      <c r="G12" s="7">
        <v>-0.450425712719426</v>
      </c>
      <c r="H12" s="7">
        <v>-0.82892797416345698</v>
      </c>
      <c r="I12" s="7">
        <v>0.83865754861271502</v>
      </c>
      <c r="J12" s="7">
        <v>4.1838714189332701E-2</v>
      </c>
      <c r="K12" s="7">
        <v>-0.28206113722331999</v>
      </c>
      <c r="L12" s="7">
        <v>1.66601780286434</v>
      </c>
      <c r="M12" s="7">
        <v>2.1924837975195399</v>
      </c>
      <c r="N12" s="7">
        <v>4.0005926319217899E-2</v>
      </c>
      <c r="O12" s="7">
        <v>1.1805205173100499</v>
      </c>
      <c r="P12" s="7">
        <v>-0.360591424663319</v>
      </c>
      <c r="Q12" s="7">
        <v>0.65337220788024697</v>
      </c>
      <c r="R12" s="7">
        <v>-1.3176215436640999</v>
      </c>
      <c r="S12" s="7">
        <v>-1.76437216088842</v>
      </c>
      <c r="T12" s="7">
        <v>-0.80005546790830295</v>
      </c>
      <c r="U12" s="7">
        <v>0.76172093918934203</v>
      </c>
      <c r="V12" s="7">
        <v>-0.99217878896818601</v>
      </c>
      <c r="W12" s="7">
        <v>0.95750210467247399</v>
      </c>
      <c r="X12" s="7">
        <v>-2.1528793869631002</v>
      </c>
      <c r="Y12" s="7">
        <v>0.55369430507808104</v>
      </c>
      <c r="Z12" s="7">
        <v>0.40600858450498101</v>
      </c>
      <c r="AA12" s="7">
        <v>1.2469093134852001</v>
      </c>
      <c r="AB12" s="7">
        <v>-0.67070737911515499</v>
      </c>
      <c r="AC12" s="7">
        <v>-4.4384192758500996E-3</v>
      </c>
      <c r="AD12" s="7">
        <v>1.3783331047246701</v>
      </c>
      <c r="AE12" s="7">
        <v>1.7612527576902</v>
      </c>
      <c r="AF12" s="7">
        <v>-0.52598925885030701</v>
      </c>
      <c r="AG12" s="7">
        <v>-2.2766555274895801E-2</v>
      </c>
      <c r="AH12" s="7">
        <v>0.57726018501202903</v>
      </c>
      <c r="AI12" s="7">
        <v>0.77835399514650505</v>
      </c>
      <c r="AJ12" s="7">
        <v>0.50934504203128494</v>
      </c>
      <c r="AK12" s="7">
        <v>-0.80853958584290797</v>
      </c>
      <c r="AL12" s="7">
        <v>-0.46297407202802099</v>
      </c>
      <c r="AM12" s="7">
        <v>-0.48347214684279899</v>
      </c>
      <c r="AN12" s="7">
        <v>-0.54061652443002295</v>
      </c>
      <c r="AO12" s="7">
        <v>-0.50488332330544605</v>
      </c>
      <c r="AP12" s="7">
        <v>-6.55214127838811E-2</v>
      </c>
      <c r="AQ12" s="7">
        <v>-0.95557270284037799</v>
      </c>
      <c r="AR12" s="7">
        <v>-2.8203665901011101</v>
      </c>
      <c r="AS12" s="7">
        <v>-1.0749866948445701</v>
      </c>
      <c r="AT12" s="7">
        <v>-1.88337713403643</v>
      </c>
      <c r="AU12" s="7">
        <v>-0.28567602211818999</v>
      </c>
      <c r="AV12" s="7">
        <v>-7.9898891187670698E-2</v>
      </c>
      <c r="AW12" s="7">
        <v>-0.36461162875530001</v>
      </c>
      <c r="AX12" s="7">
        <v>1.75664804665626</v>
      </c>
      <c r="AY12" s="7">
        <v>-1.8076325571957801</v>
      </c>
      <c r="AZ12" s="7">
        <v>0.109382944497334</v>
      </c>
      <c r="BA12" s="7">
        <v>-0.154183347574951</v>
      </c>
      <c r="BB12" s="7">
        <v>0.26350512230697598</v>
      </c>
      <c r="BC12" s="7">
        <v>-0.25299716542060202</v>
      </c>
      <c r="BD12" s="7">
        <v>0.84313626445169298</v>
      </c>
      <c r="BE12" s="7">
        <v>-0.57175564839182502</v>
      </c>
      <c r="BF12" s="7">
        <v>0.44119961603135399</v>
      </c>
      <c r="BG12" s="7">
        <v>-1.20721655817059</v>
      </c>
      <c r="BH12" s="7">
        <v>0.51689000479303804</v>
      </c>
      <c r="BI12" s="7">
        <v>0.70153593529631997</v>
      </c>
      <c r="BJ12" s="7">
        <v>-0.17334258560579899</v>
      </c>
      <c r="BK12" s="7">
        <v>0.26879610062396903</v>
      </c>
      <c r="BL12" s="7">
        <v>0.119231354233459</v>
      </c>
      <c r="BM12" s="7">
        <v>4.4883880776602499E-2</v>
      </c>
      <c r="BN12" s="7">
        <v>-0.7517764694147</v>
      </c>
      <c r="BO12" s="7">
        <v>0.44249971356568302</v>
      </c>
      <c r="BP12" s="7">
        <v>-0.27726594550369399</v>
      </c>
      <c r="BQ12" s="7">
        <v>1.0743132001977</v>
      </c>
      <c r="BR12" s="7">
        <v>0.72673168234891605</v>
      </c>
      <c r="BS12" s="7">
        <v>0.31595985394991599</v>
      </c>
      <c r="BT12" s="7">
        <v>0.53060370510872501</v>
      </c>
      <c r="BU12" s="7">
        <v>-1.3234026497686</v>
      </c>
      <c r="BV12" s="7">
        <v>-0.368860754174612</v>
      </c>
      <c r="BW12" s="7">
        <v>1.1762730143125399</v>
      </c>
      <c r="BX12" s="7">
        <v>-0.64658559245762104</v>
      </c>
      <c r="BY12" s="7">
        <v>-0.77345967869017795</v>
      </c>
      <c r="BZ12" s="7">
        <v>-1.8478580986807001</v>
      </c>
      <c r="CA12" s="7">
        <v>-0.47359605215702599</v>
      </c>
      <c r="CB12" s="7">
        <v>0.39395349779042999</v>
      </c>
      <c r="CC12" s="7">
        <v>-1.5758329806826601</v>
      </c>
      <c r="CD12" s="7">
        <v>1.5844350650974801</v>
      </c>
      <c r="CE12" s="7">
        <v>-0.107544741080582</v>
      </c>
      <c r="CF12" s="7">
        <v>-0.26099154690658599</v>
      </c>
      <c r="CG12" s="7">
        <v>0.91553918402310097</v>
      </c>
      <c r="CH12" s="7">
        <v>0.75779446203203704</v>
      </c>
      <c r="CI12" s="7">
        <v>0.338491946151667</v>
      </c>
      <c r="CJ12" s="7">
        <v>0.27074016225474701</v>
      </c>
      <c r="CK12" s="7">
        <v>-0.50019248624269697</v>
      </c>
      <c r="CL12" s="7">
        <v>1.1545057220013599</v>
      </c>
      <c r="CM12" s="7">
        <v>0.40632535158773497</v>
      </c>
      <c r="CN12" s="7">
        <v>2.38094588003755</v>
      </c>
      <c r="CO12" s="7">
        <v>-0.41664252122100998</v>
      </c>
      <c r="CP12" s="7">
        <v>-0.39185067546304497</v>
      </c>
      <c r="CQ12" s="7">
        <v>-1.03173099550001</v>
      </c>
      <c r="CR12" s="7">
        <v>0.554619477445503</v>
      </c>
      <c r="CS12" s="7">
        <v>-0.20263679481300201</v>
      </c>
      <c r="CT12" s="7">
        <v>-0.404746663055564</v>
      </c>
      <c r="CU12" s="7">
        <v>-0.47960105761906302</v>
      </c>
      <c r="CV12" s="7">
        <v>-1.17898854483494</v>
      </c>
      <c r="CW12" s="7">
        <v>1.3529761224177199</v>
      </c>
      <c r="CX12" s="7">
        <v>-0.78443522334530102</v>
      </c>
      <c r="CY12" s="7">
        <v>-1.89942919840308</v>
      </c>
      <c r="CZ12" s="7">
        <v>-1.29181744325981</v>
      </c>
      <c r="DA12" s="7">
        <v>0.64408243873315696</v>
      </c>
      <c r="DB12" s="7">
        <v>-1.1230348440782001</v>
      </c>
      <c r="DC12" s="7">
        <v>9.5781650694737999E-2</v>
      </c>
      <c r="DD12" s="7">
        <v>0.18014717774389899</v>
      </c>
      <c r="DE12" s="7">
        <v>-0.34901658763874599</v>
      </c>
      <c r="DF12" s="7">
        <v>-0.537462153728548</v>
      </c>
      <c r="DG12" s="7">
        <v>-0.56611138181191101</v>
      </c>
      <c r="DH12" s="7">
        <v>-3.2189528341809801</v>
      </c>
      <c r="DI12" s="7">
        <v>-1.8281482304888399</v>
      </c>
      <c r="DJ12" s="7">
        <v>0.90201243726289104</v>
      </c>
      <c r="DK12" s="7">
        <v>0.25132511578863997</v>
      </c>
      <c r="DL12" s="7">
        <v>-1.47313628269258</v>
      </c>
      <c r="DM12" s="7">
        <v>-0.76794427750828098</v>
      </c>
      <c r="DN12" s="7">
        <v>-5.0397150319815801E-2</v>
      </c>
      <c r="DO12" s="7">
        <v>-1.5406549824086</v>
      </c>
      <c r="DP12" s="7">
        <v>1.94928865306528</v>
      </c>
      <c r="DQ12" s="7">
        <v>-0.59290235961258597</v>
      </c>
      <c r="DR12" s="7">
        <v>-8.8794571665554198E-2</v>
      </c>
      <c r="DS12" s="7">
        <v>1.09959961716429E-2</v>
      </c>
      <c r="DT12" s="7">
        <v>1.2163888258170901</v>
      </c>
      <c r="DU12" s="7">
        <v>0.433268087412715</v>
      </c>
      <c r="DV12" s="7">
        <v>0.22959778568842201</v>
      </c>
      <c r="DW12" s="7">
        <v>0.93025753705156899</v>
      </c>
      <c r="DX12" s="7">
        <v>-0.42135817271369902</v>
      </c>
      <c r="DY12" s="7">
        <v>-0.28309748908217502</v>
      </c>
      <c r="DZ12" s="7">
        <v>-1.5908689789014101</v>
      </c>
      <c r="EA12" s="7">
        <v>-1.0872527817423101</v>
      </c>
      <c r="EB12" s="7">
        <v>-1.24940624867161</v>
      </c>
      <c r="EC12" s="7">
        <v>-0.13396741950069299</v>
      </c>
      <c r="ED12" s="7">
        <v>-0.45656927839712103</v>
      </c>
      <c r="EE12" s="7">
        <v>-2.3571790399059198</v>
      </c>
      <c r="EF12" s="7">
        <v>0.46700636097440301</v>
      </c>
      <c r="EG12" s="7">
        <v>0.87818655222963404</v>
      </c>
      <c r="EH12" s="7">
        <v>0.62527482676323298</v>
      </c>
      <c r="EI12" s="7">
        <v>1.4373976017546599</v>
      </c>
      <c r="EJ12" s="7">
        <v>-0.96905849705958502</v>
      </c>
      <c r="EK12" s="7">
        <v>1.2298811939580601</v>
      </c>
      <c r="EL12" s="7">
        <v>0.27581404940652099</v>
      </c>
      <c r="EM12" s="7">
        <v>-0.82317362320531096</v>
      </c>
      <c r="EN12" s="7">
        <v>1.3421739726221</v>
      </c>
      <c r="EO12" s="7">
        <v>1.57634369074545</v>
      </c>
      <c r="EP12" s="7">
        <v>-2.75373897922083</v>
      </c>
      <c r="EQ12" s="7">
        <v>0.68304190769397499</v>
      </c>
      <c r="ER12" s="7">
        <v>-1.0747076285760899</v>
      </c>
      <c r="ES12" s="7">
        <v>-1.41819723485002</v>
      </c>
      <c r="ET12" s="7">
        <v>-0.49496561414093199</v>
      </c>
      <c r="EU12" s="7">
        <v>0.85668903320372203</v>
      </c>
      <c r="EV12" s="7">
        <v>0.678432069638369</v>
      </c>
      <c r="EW12" s="7">
        <v>1.33868900644376</v>
      </c>
      <c r="EX12" s="7">
        <v>-0.75784758374148198</v>
      </c>
      <c r="EY12" s="7">
        <v>-0.377396725182014</v>
      </c>
      <c r="EZ12" s="7">
        <v>0.40641755028840099</v>
      </c>
      <c r="FA12" s="7">
        <v>0.52138941205256495</v>
      </c>
      <c r="FB12" s="7">
        <v>2.1305827988709499E-2</v>
      </c>
      <c r="FC12" s="7">
        <v>-0.48007468590926</v>
      </c>
      <c r="FD12" s="7">
        <v>0.56402829707544699</v>
      </c>
      <c r="FE12" s="7">
        <v>0.85394797368026498</v>
      </c>
      <c r="FF12" s="7">
        <v>0.643686482091543</v>
      </c>
      <c r="FG12" s="7">
        <v>8.5714995733991994E-2</v>
      </c>
      <c r="FH12" s="7">
        <v>0.48036233279023</v>
      </c>
      <c r="FI12" s="7">
        <v>-0.294930646286302</v>
      </c>
      <c r="FJ12" s="7">
        <v>0.98813863077181896</v>
      </c>
      <c r="FK12" s="7">
        <v>0.44017998893986099</v>
      </c>
      <c r="FL12" s="7">
        <v>1.1779025341649301</v>
      </c>
      <c r="FM12" s="7">
        <v>-0.74896763922498699</v>
      </c>
      <c r="FN12" s="7">
        <v>1.96005003684227</v>
      </c>
      <c r="FO12" s="7">
        <v>0.662474781802315</v>
      </c>
      <c r="FP12" s="7">
        <v>0.40859033606534001</v>
      </c>
      <c r="FQ12" s="7">
        <v>1.36210730159922</v>
      </c>
      <c r="FR12" s="7">
        <v>0.64947128347976901</v>
      </c>
      <c r="FS12" s="7">
        <v>0.38213147386919999</v>
      </c>
      <c r="FT12" s="7">
        <v>0.65684046310965905</v>
      </c>
      <c r="FU12" s="7">
        <v>0.944765411223082</v>
      </c>
      <c r="FV12" s="7">
        <v>-0.74998167786330105</v>
      </c>
      <c r="FW12" s="7">
        <v>0.101721659042475</v>
      </c>
      <c r="FX12" s="7">
        <v>1.4575057938895899</v>
      </c>
      <c r="FY12" s="7">
        <v>-0.35174667308910301</v>
      </c>
      <c r="FZ12" s="7">
        <v>0.75490251288988997</v>
      </c>
      <c r="GA12" s="7">
        <v>2.4645766844624699</v>
      </c>
      <c r="GB12" s="7">
        <v>0.56279587342423298</v>
      </c>
      <c r="GC12" s="7">
        <v>-1.62855664443913</v>
      </c>
      <c r="GD12" s="7">
        <v>0.66235291483829295</v>
      </c>
      <c r="GE12" s="7">
        <v>1.14053659384143</v>
      </c>
      <c r="GF12" s="7">
        <v>0.80574157322784801</v>
      </c>
      <c r="GG12" s="7">
        <v>1.0476618838366101</v>
      </c>
      <c r="GH12" s="7">
        <v>0.65391191769630397</v>
      </c>
      <c r="GI12" s="7">
        <v>2.0160845878948602E-2</v>
      </c>
      <c r="GJ12" s="7">
        <v>-0.92713962930638105</v>
      </c>
      <c r="GK12" s="7">
        <v>3.4331199867316899E-2</v>
      </c>
      <c r="GL12" s="7">
        <v>6.2070971868713597E-2</v>
      </c>
      <c r="GM12" s="7">
        <v>-1.7344990397729501</v>
      </c>
      <c r="GN12" s="7">
        <v>-1.1072506794141701</v>
      </c>
      <c r="GO12" s="7">
        <v>-1.2139969024264901</v>
      </c>
      <c r="GP12" s="7">
        <v>0.226601144309513</v>
      </c>
      <c r="GQ12" s="7">
        <v>0.36532166184867099</v>
      </c>
      <c r="GR12" s="7">
        <v>1.30933493110298</v>
      </c>
      <c r="GS12" s="7">
        <v>-1.23845098740927</v>
      </c>
      <c r="GT12" s="7">
        <v>0.40554131688103001</v>
      </c>
      <c r="GU12" s="7">
        <v>8.2632866370510802E-2</v>
      </c>
      <c r="GV12" s="7">
        <v>0.73837544838220903</v>
      </c>
      <c r="GW12" s="7">
        <v>2.60669872680061E-2</v>
      </c>
      <c r="GX12" s="7">
        <v>-1.1337242237727301</v>
      </c>
      <c r="GY12" s="7">
        <v>-0.92678403527696396</v>
      </c>
      <c r="GZ12" s="7">
        <v>-0.23913151554683901</v>
      </c>
      <c r="HA12" s="7">
        <v>-0.203167496961148</v>
      </c>
      <c r="HB12" s="7">
        <v>0.402478652679227</v>
      </c>
      <c r="HC12" s="7">
        <v>-0.762204031342124</v>
      </c>
      <c r="HD12" s="7">
        <v>0.54535494240348104</v>
      </c>
      <c r="HE12" s="7">
        <v>-0.79938763244089195</v>
      </c>
      <c r="HF12" s="7">
        <v>-1.42623592244123</v>
      </c>
      <c r="HG12" s="7">
        <v>-0.96469931485384297</v>
      </c>
      <c r="HH12" s="7">
        <v>-0.75273415358195195</v>
      </c>
      <c r="HI12" s="7">
        <v>-1.5609253830774099</v>
      </c>
      <c r="HJ12" s="7">
        <v>2.4252738662167701</v>
      </c>
      <c r="HK12" s="7">
        <v>0.59288354200239901</v>
      </c>
      <c r="HL12" s="7">
        <v>-1.0526681368253401</v>
      </c>
      <c r="HM12" s="7">
        <v>-1.5303286573641699</v>
      </c>
      <c r="HN12" s="7">
        <v>-1.7368843907117399</v>
      </c>
      <c r="HO12" s="7">
        <v>-0.43382347954013301</v>
      </c>
      <c r="HP12" s="7">
        <v>-0.35866423434346201</v>
      </c>
      <c r="HQ12" s="7">
        <v>-0.224346264875733</v>
      </c>
      <c r="HR12" s="7">
        <v>1.0992110172209999</v>
      </c>
      <c r="HS12" s="7">
        <v>0.77367412737524499</v>
      </c>
      <c r="HT12" s="7">
        <v>0.126672358415479</v>
      </c>
      <c r="HU12" s="7">
        <v>-2.5840795423818799E-2</v>
      </c>
      <c r="HV12" s="7">
        <v>-0.86672445414598898</v>
      </c>
      <c r="HW12" s="7">
        <v>0.89296093326641501</v>
      </c>
      <c r="HX12" s="7">
        <v>-1.2559558507247499</v>
      </c>
      <c r="HY12" s="7">
        <v>0.32127048993821899</v>
      </c>
      <c r="HZ12" s="7">
        <v>0.48199677017852799</v>
      </c>
      <c r="IA12" s="7">
        <v>1.96807276111826</v>
      </c>
      <c r="IB12" s="7">
        <v>0.34629857316033302</v>
      </c>
      <c r="IC12" s="7">
        <v>-1.01552974049572</v>
      </c>
      <c r="ID12" s="7">
        <v>0.73743110098340103</v>
      </c>
      <c r="IE12" s="7">
        <v>-0.58062925489249195</v>
      </c>
      <c r="IF12" s="7">
        <v>0.35619341851641401</v>
      </c>
      <c r="IG12" s="7">
        <v>0.38402011007200998</v>
      </c>
      <c r="IH12" s="7">
        <v>0.734479789640757</v>
      </c>
      <c r="II12" s="7">
        <v>-1.6377470644377701</v>
      </c>
      <c r="IJ12" s="7">
        <v>-0.15640443092932799</v>
      </c>
      <c r="IK12" s="7">
        <v>-0.65847660310370004</v>
      </c>
      <c r="IL12" s="7">
        <v>-0.152325307353432</v>
      </c>
      <c r="IM12" s="7">
        <v>0.158345665563911</v>
      </c>
      <c r="IN12" s="7">
        <v>-0.61773234540682098</v>
      </c>
      <c r="IO12" s="7">
        <v>0.67008278668606702</v>
      </c>
      <c r="IP12" s="7">
        <v>2.3217330034089301</v>
      </c>
      <c r="IQ12" s="7">
        <v>-1.0563173725431E-2</v>
      </c>
      <c r="IR12" s="7">
        <v>1.0567702389823499</v>
      </c>
      <c r="IS12" s="7">
        <v>-0.59795322469001499</v>
      </c>
      <c r="IT12" s="7">
        <v>-0.65689140841208504</v>
      </c>
      <c r="IU12" s="7">
        <v>0.17060760199594599</v>
      </c>
      <c r="IV12" s="7">
        <v>0.54479160629322898</v>
      </c>
      <c r="IW12" s="7">
        <v>0.58266891777003804</v>
      </c>
      <c r="IX12" s="7">
        <v>0.98737453831741695</v>
      </c>
      <c r="IY12" s="7">
        <v>-1.5701191598058699</v>
      </c>
      <c r="IZ12" s="7">
        <v>-1.34546245673748</v>
      </c>
      <c r="JA12" s="7">
        <v>0.410763828043052</v>
      </c>
      <c r="JB12" s="7">
        <v>-1.2605022658685801</v>
      </c>
      <c r="JC12" s="7">
        <v>0.43528881216474302</v>
      </c>
      <c r="JD12" s="7">
        <v>0.69512825112616405</v>
      </c>
      <c r="JE12" s="7">
        <v>-0.15586990271714099</v>
      </c>
      <c r="JF12" s="7">
        <v>-1.1139331200045</v>
      </c>
      <c r="JG12" s="7">
        <v>0.93215661508907199</v>
      </c>
      <c r="JH12" s="7">
        <v>0.94637375280633695</v>
      </c>
      <c r="JI12" s="7">
        <v>-1.16481192345619</v>
      </c>
      <c r="JJ12" s="7">
        <v>-0.13614347627697401</v>
      </c>
      <c r="JK12" s="7">
        <v>-0.28761826984403899</v>
      </c>
      <c r="JL12" s="7">
        <v>-0.22839050123896101</v>
      </c>
      <c r="JM12" s="7">
        <v>-0.159497160776469</v>
      </c>
      <c r="JN12" s="7">
        <v>0.59771826569679698</v>
      </c>
      <c r="JO12" s="7">
        <v>9.8682795185584801E-2</v>
      </c>
      <c r="JP12" s="7">
        <v>-1.00090313813086</v>
      </c>
      <c r="JQ12" s="7">
        <v>1.44523014047593</v>
      </c>
      <c r="JR12" s="7">
        <v>0.22847436773893201</v>
      </c>
      <c r="JS12" s="7">
        <v>-2.2131566300146399E-2</v>
      </c>
      <c r="JT12" s="7">
        <v>-0.47644450102570401</v>
      </c>
      <c r="JU12" s="7">
        <v>-0.19029966225448999</v>
      </c>
      <c r="JV12" s="7">
        <v>-1.23538006032418</v>
      </c>
      <c r="JW12" s="7">
        <v>-0.49845812056440703</v>
      </c>
      <c r="JX12" s="7">
        <v>0.221257557796881</v>
      </c>
      <c r="JY12" s="7">
        <v>-8.1748735842057302E-2</v>
      </c>
      <c r="JZ12" s="7">
        <v>-0.53492183885795197</v>
      </c>
      <c r="KA12" s="7">
        <v>0.23515843578670101</v>
      </c>
      <c r="KB12" s="7">
        <v>-1.6778090458007799</v>
      </c>
      <c r="KC12" s="7">
        <v>0.38696217069191902</v>
      </c>
      <c r="KD12" s="7">
        <v>0.37044994929665798</v>
      </c>
      <c r="KE12" s="7">
        <v>-2.1524883060284101</v>
      </c>
      <c r="KF12" s="7">
        <v>-0.253465716015642</v>
      </c>
      <c r="KG12" s="7">
        <v>0.39492115730948002</v>
      </c>
      <c r="KH12" s="7">
        <v>0.99754004934833296</v>
      </c>
      <c r="KI12" s="7">
        <v>-0.93846675250912404</v>
      </c>
      <c r="KJ12" s="7">
        <v>0.66159114924071005</v>
      </c>
      <c r="KK12" s="7">
        <v>-0.59595670752586505</v>
      </c>
      <c r="KL12" s="7">
        <v>0.72184961514581802</v>
      </c>
      <c r="KM12" s="7">
        <v>0.88164709883384995</v>
      </c>
      <c r="KN12" s="7">
        <v>-0.91206610585663495</v>
      </c>
      <c r="KO12" s="7">
        <v>2.0059722904498898</v>
      </c>
      <c r="KP12" s="7">
        <v>1.5752230015341899</v>
      </c>
      <c r="KQ12" s="7">
        <v>1.47062434011341</v>
      </c>
      <c r="KR12" s="7">
        <v>-0.687906643745817</v>
      </c>
      <c r="KS12" s="7">
        <v>0.46865980738382301</v>
      </c>
      <c r="KT12" s="7">
        <v>-1.68532140172301</v>
      </c>
      <c r="KU12" s="7">
        <v>-0.36297863525754998</v>
      </c>
      <c r="KV12" s="7">
        <v>0.15057920258024499</v>
      </c>
      <c r="KW12" s="7">
        <v>-0.55864525882656402</v>
      </c>
      <c r="KX12" s="7">
        <v>0.33043205191038</v>
      </c>
      <c r="KY12" s="7">
        <v>-0.96706740597650298</v>
      </c>
      <c r="KZ12" s="7">
        <v>1.0853228219951101</v>
      </c>
      <c r="LA12" s="7">
        <v>0.98360710685227803</v>
      </c>
      <c r="LB12" s="7">
        <v>0.63110150738799597</v>
      </c>
      <c r="LC12" s="7">
        <v>-1.3569033191642299</v>
      </c>
      <c r="LD12" s="7">
        <v>0.244765335502453</v>
      </c>
      <c r="LE12" s="7">
        <v>0.211540540073449</v>
      </c>
      <c r="LF12" s="7">
        <v>0.117538699242626</v>
      </c>
      <c r="LG12" s="7">
        <v>-0.25431556093626301</v>
      </c>
      <c r="LH12" s="7">
        <v>0.959928196489924</v>
      </c>
      <c r="LI12" s="7">
        <v>-0.684161173458393</v>
      </c>
      <c r="LJ12" s="7">
        <v>0.88090132786902597</v>
      </c>
      <c r="LK12" s="7">
        <v>0.26783280523497</v>
      </c>
      <c r="LL12" s="7">
        <v>0.38496561876809698</v>
      </c>
      <c r="LM12" s="7">
        <v>-1.27530616645255</v>
      </c>
      <c r="LN12" s="7">
        <v>-0.58613491413727403</v>
      </c>
      <c r="LO12" s="7">
        <v>2.3652511707272801</v>
      </c>
      <c r="LP12" s="7">
        <v>1.11445255703039</v>
      </c>
      <c r="LQ12" s="7">
        <v>-1.39411500155541</v>
      </c>
      <c r="LR12" s="7">
        <v>-0.60811854716645697</v>
      </c>
      <c r="LS12" s="7">
        <v>1.5273840443270099</v>
      </c>
      <c r="LT12" s="7">
        <v>-2.1686251038932398</v>
      </c>
      <c r="LU12" s="7">
        <v>-0.34428307631680499</v>
      </c>
      <c r="LV12" s="7">
        <v>-2.2697409427699098</v>
      </c>
      <c r="LW12" s="7">
        <v>-0.44463599893199501</v>
      </c>
      <c r="LX12" s="7">
        <v>-2.0452183269368001</v>
      </c>
      <c r="LY12" s="7">
        <v>0.11044505342036801</v>
      </c>
      <c r="LZ12" s="7">
        <v>0.13668619916213301</v>
      </c>
      <c r="MA12" s="7">
        <v>-0.51309955688249698</v>
      </c>
      <c r="MB12" s="7">
        <v>-1.0675689248678799</v>
      </c>
      <c r="MC12" s="7">
        <v>9.46038692218273E-2</v>
      </c>
      <c r="MD12" s="7">
        <v>0.181164697292819</v>
      </c>
      <c r="ME12" s="7">
        <v>-0.41734806794885598</v>
      </c>
      <c r="MF12" s="7">
        <v>0.729086757788588</v>
      </c>
      <c r="MG12" s="7">
        <v>-0.21084301127000399</v>
      </c>
      <c r="MH12" s="7">
        <v>3.5389716430465401E-2</v>
      </c>
      <c r="MI12" s="7">
        <v>0.56814966091311203</v>
      </c>
      <c r="MJ12" s="7">
        <v>0.81353854587585595</v>
      </c>
      <c r="MK12" s="7">
        <v>0.14121193707969701</v>
      </c>
      <c r="ML12" s="7">
        <v>0.394217696633202</v>
      </c>
      <c r="MM12" s="7">
        <v>-1.20737067617889</v>
      </c>
      <c r="MN12" s="7">
        <v>-0.19425122036808401</v>
      </c>
      <c r="MO12" s="7">
        <v>-2.4433327169577999E-2</v>
      </c>
      <c r="MP12" s="7">
        <v>-0.18313424198907199</v>
      </c>
      <c r="MQ12" s="7">
        <v>0.31617958104180899</v>
      </c>
      <c r="MR12" s="7">
        <v>0.25690496565118098</v>
      </c>
      <c r="MS12" s="7">
        <v>-0.14151766628166901</v>
      </c>
      <c r="MT12" s="7">
        <v>0.96227044468501699</v>
      </c>
      <c r="MU12" s="7">
        <v>0.930662889639431</v>
      </c>
      <c r="MV12" s="7">
        <v>-1.9879893010641101</v>
      </c>
      <c r="MW12" s="7">
        <v>2.1514687719937098</v>
      </c>
      <c r="MX12" s="7">
        <v>1.23625700901729</v>
      </c>
      <c r="MY12" s="7">
        <v>-0.134687356569963</v>
      </c>
      <c r="MZ12" s="7">
        <v>-0.18483422958023901</v>
      </c>
      <c r="NA12" s="7">
        <v>-0.45976633949624102</v>
      </c>
      <c r="NB12" s="7">
        <v>1.6354799172568399</v>
      </c>
      <c r="NC12" s="7">
        <v>-0.65171703212236298</v>
      </c>
      <c r="ND12" s="7">
        <v>-0.334268884887784</v>
      </c>
      <c r="NE12" s="7">
        <v>-0.30584433463034599</v>
      </c>
      <c r="NF12" s="7">
        <v>-7.4046315126889998E-3</v>
      </c>
      <c r="NG12" s="7">
        <v>1.0840402250749399</v>
      </c>
      <c r="NH12" s="7">
        <v>-0.718213791439824</v>
      </c>
      <c r="NI12" s="7">
        <v>-0.96506431263404602</v>
      </c>
      <c r="NJ12" s="7">
        <v>0.50947308988546802</v>
      </c>
      <c r="NK12" s="7">
        <v>0.47432585431444602</v>
      </c>
      <c r="NL12" s="7">
        <v>-0.34058024736599801</v>
      </c>
      <c r="NM12" s="7">
        <v>-1.29503696121594</v>
      </c>
      <c r="NN12" s="7">
        <v>-0.52182015641034396</v>
      </c>
      <c r="NO12" s="7">
        <v>1.2644146855680301</v>
      </c>
      <c r="NP12" s="7">
        <v>0.51548489894817695</v>
      </c>
      <c r="NQ12" s="7">
        <v>-0.21127320483176101</v>
      </c>
      <c r="NR12" s="7">
        <v>-0.95091160087087301</v>
      </c>
      <c r="NS12" s="7">
        <v>0.19288636381003599</v>
      </c>
      <c r="NT12" s="7">
        <v>-0.94014468234917403</v>
      </c>
      <c r="NU12" s="7">
        <v>-0.78438004616719503</v>
      </c>
      <c r="NV12" s="7">
        <v>1.2208293928230101</v>
      </c>
      <c r="NW12" s="7">
        <v>-0.449139346194597</v>
      </c>
      <c r="NX12" s="7">
        <v>-0.71115292973125799</v>
      </c>
      <c r="NY12" s="7">
        <v>0.69320847898772697</v>
      </c>
      <c r="NZ12" s="7">
        <v>0.63815564429310201</v>
      </c>
      <c r="OA12" s="7">
        <v>-1.2270388462741399</v>
      </c>
      <c r="OB12" s="7">
        <v>0.388464611643492</v>
      </c>
      <c r="OC12" s="7">
        <v>0.328841809960496</v>
      </c>
      <c r="OD12" s="7">
        <v>-1.1702474942501599</v>
      </c>
      <c r="OE12" s="7">
        <v>-2.1037634009589601</v>
      </c>
      <c r="OF12" s="7">
        <v>1.3329865738675899</v>
      </c>
      <c r="OG12" s="7">
        <v>1.0247269510336701</v>
      </c>
      <c r="OH12" s="7">
        <v>0.39824989970867902</v>
      </c>
      <c r="OI12" s="7">
        <v>-0.39625087018134197</v>
      </c>
      <c r="OJ12" s="7">
        <v>0.90487737461307605</v>
      </c>
      <c r="OK12" s="7">
        <v>3.0220313887256899E-2</v>
      </c>
      <c r="OL12" s="7">
        <v>0.80947599038630902</v>
      </c>
      <c r="OM12" s="7">
        <v>-0.81363560596857798</v>
      </c>
      <c r="ON12" s="7">
        <v>-1.3366829043719699</v>
      </c>
      <c r="OO12" s="7">
        <v>0.74165589598320103</v>
      </c>
      <c r="OP12" s="7">
        <v>1.80491302021016</v>
      </c>
      <c r="OQ12" s="7">
        <v>0.2308501176694</v>
      </c>
      <c r="OR12" s="7">
        <v>-0.78435886962257795</v>
      </c>
      <c r="OS12" s="7">
        <v>-0.15807276714031099</v>
      </c>
      <c r="OT12" s="7">
        <v>1.64309059956028</v>
      </c>
      <c r="OU12" s="7">
        <v>-0.22521186953380301</v>
      </c>
      <c r="OV12" s="7">
        <v>-0.36279106505552999</v>
      </c>
      <c r="OW12" s="7">
        <v>-1.06004080588046E-2</v>
      </c>
      <c r="OX12" s="7">
        <v>0.90345016639668696</v>
      </c>
      <c r="OY12" s="7">
        <v>-1.7051541778358299</v>
      </c>
      <c r="OZ12" s="7">
        <v>-0.15932711952748599</v>
      </c>
      <c r="PA12" s="7">
        <v>-1.2146151191893499</v>
      </c>
      <c r="PB12" s="7">
        <v>0.62080033435614301</v>
      </c>
      <c r="PC12" s="7">
        <v>1.8685410865241601</v>
      </c>
      <c r="PD12" s="7">
        <v>-0.68120802616429799</v>
      </c>
      <c r="PE12" s="7">
        <v>0.68389948303127901</v>
      </c>
      <c r="PF12" s="7">
        <v>0.39578874571061401</v>
      </c>
      <c r="PG12" s="7">
        <v>-0.94147286180439904</v>
      </c>
      <c r="PH12" s="7">
        <v>0.56659877216421795</v>
      </c>
      <c r="PI12" s="7">
        <v>0.63375022769786904</v>
      </c>
      <c r="PJ12" s="7">
        <v>0.59354119941354599</v>
      </c>
      <c r="PK12" s="7">
        <v>-0.95165155554106895</v>
      </c>
      <c r="PL12" s="7">
        <v>-0.32888098019765799</v>
      </c>
      <c r="PM12" s="7">
        <v>-0.37611663700114301</v>
      </c>
      <c r="PN12" s="7">
        <v>0.123827341496366</v>
      </c>
      <c r="PO12" s="7">
        <v>0.31219162386452098</v>
      </c>
      <c r="PP12" s="7">
        <v>-1.7956018243181999</v>
      </c>
      <c r="PQ12" s="7">
        <v>-0.64993081136895003</v>
      </c>
      <c r="PR12" s="7">
        <v>0.46307347056361498</v>
      </c>
      <c r="PS12" s="7">
        <v>-0.48081029728234498</v>
      </c>
      <c r="PT12" s="7">
        <v>0.29115638730719001</v>
      </c>
      <c r="PU12" s="7">
        <v>0.84924270229898202</v>
      </c>
      <c r="PV12" s="7">
        <v>0.33227723146532001</v>
      </c>
      <c r="PW12" s="7">
        <v>0.27739234571272697</v>
      </c>
      <c r="PX12" s="7">
        <v>-8.1855885017414406E-2</v>
      </c>
      <c r="PY12" s="7">
        <v>0.93783704374671795</v>
      </c>
      <c r="PZ12" s="7">
        <v>-0.42549620363298901</v>
      </c>
      <c r="QA12" s="7">
        <v>-2.33120510324312</v>
      </c>
      <c r="QB12" s="7">
        <v>0.45755515054795598</v>
      </c>
      <c r="QC12" s="7">
        <v>-1.31922821112561</v>
      </c>
      <c r="QD12" s="7">
        <v>-1.31618157417844</v>
      </c>
      <c r="QE12" s="7">
        <v>-1.08542344932353</v>
      </c>
      <c r="QF12" s="7">
        <v>6.0003895790301999E-2</v>
      </c>
      <c r="QG12" s="7">
        <v>-0.92980272458650004</v>
      </c>
      <c r="QH12" s="7">
        <v>-0.98599089502170401</v>
      </c>
      <c r="QI12" s="7">
        <v>-1.4279292594563899</v>
      </c>
      <c r="QJ12" s="7">
        <v>1.3897051320918099</v>
      </c>
      <c r="QK12" s="7">
        <v>1.3442520840443599</v>
      </c>
      <c r="QL12" s="7">
        <v>-1.5979646460736601</v>
      </c>
      <c r="QM12" s="7">
        <v>1.26063998298929</v>
      </c>
      <c r="QN12" s="7">
        <v>-2.2326470944313101E-2</v>
      </c>
      <c r="QO12" s="7">
        <v>1.54450764176289</v>
      </c>
      <c r="QP12" s="7">
        <v>-0.21697537097140801</v>
      </c>
      <c r="QQ12" s="7">
        <v>1.2280566266147399</v>
      </c>
      <c r="QR12" s="7">
        <v>2.2978465802428798</v>
      </c>
      <c r="QS12" s="7">
        <v>-0.35867549935412801</v>
      </c>
      <c r="QT12" s="7">
        <v>0.426504207388537</v>
      </c>
      <c r="QU12" s="7">
        <v>-9.7429744339861707E-2</v>
      </c>
      <c r="QV12" s="7">
        <v>-0.59813499146114402</v>
      </c>
      <c r="QW12" s="7">
        <v>8.2557961773329996E-4</v>
      </c>
      <c r="QX12" s="7">
        <v>-0.48702982305708298</v>
      </c>
      <c r="QY12" s="7">
        <v>0.66756285565044204</v>
      </c>
      <c r="QZ12" s="7">
        <v>2.1453099657678498</v>
      </c>
      <c r="RA12" s="7">
        <v>0.66936173903968998</v>
      </c>
      <c r="RB12" s="7">
        <v>-0.27622389232568401</v>
      </c>
      <c r="RC12" s="7">
        <v>0.41146484204700301</v>
      </c>
      <c r="RD12" s="7">
        <v>-5.2249774072533298E-2</v>
      </c>
      <c r="RE12" s="7">
        <v>0.887415358349537</v>
      </c>
      <c r="RF12" s="7">
        <v>0.40220820099521698</v>
      </c>
      <c r="RG12" s="7">
        <v>0.55077556218830404</v>
      </c>
      <c r="RH12" s="7">
        <v>-2.0681197473197401</v>
      </c>
      <c r="RI12" s="7">
        <v>-1.2556933121618099</v>
      </c>
      <c r="RJ12" s="7">
        <v>-0.136998598865126</v>
      </c>
      <c r="RK12" s="7">
        <v>-0.31170369155879402</v>
      </c>
      <c r="RL12" s="7">
        <v>0.57490013728379896</v>
      </c>
      <c r="RM12" s="7">
        <v>0.71465249932265695</v>
      </c>
      <c r="RN12" s="7">
        <v>-0.24657844818431501</v>
      </c>
      <c r="RO12" s="7">
        <v>2.5996873260001601</v>
      </c>
      <c r="RP12" s="7">
        <v>0.39471132567962802</v>
      </c>
      <c r="RQ12" s="7">
        <v>0.463752417957353</v>
      </c>
      <c r="RR12" s="7">
        <v>0.334253739381701</v>
      </c>
      <c r="RS12" s="7">
        <v>0.16568082896553599</v>
      </c>
      <c r="RT12" s="7">
        <v>0.56084914251822604</v>
      </c>
      <c r="RU12" s="7">
        <v>-0.43573040690247999</v>
      </c>
      <c r="RV12" s="7">
        <v>-0.93125420391926395</v>
      </c>
      <c r="RW12" s="7">
        <v>-1.11984715286037</v>
      </c>
      <c r="RX12" s="7">
        <v>1.35209738330093</v>
      </c>
      <c r="RY12" s="7">
        <v>0.60329214112513996</v>
      </c>
      <c r="RZ12" s="7">
        <v>-1.02754716348551</v>
      </c>
      <c r="SA12" s="7">
        <v>1.69758837482749</v>
      </c>
      <c r="SB12" s="7">
        <v>0.74580799622879101</v>
      </c>
      <c r="SC12" s="7">
        <v>2.39647016732517</v>
      </c>
      <c r="SD12" s="7">
        <v>0.83351351821623898</v>
      </c>
      <c r="SE12" s="7">
        <v>1.0463817121333701</v>
      </c>
      <c r="SF12" s="7">
        <v>0.602442615277617</v>
      </c>
      <c r="SG12" s="7">
        <v>0.110625064105808</v>
      </c>
      <c r="SH12" s="7">
        <v>0.91727864193476905</v>
      </c>
      <c r="SI12" s="7">
        <v>-1.1088424502726499</v>
      </c>
      <c r="SJ12" s="7">
        <v>-2.5300252395159899</v>
      </c>
      <c r="SK12" s="7">
        <v>-2.0131980662286599</v>
      </c>
      <c r="SL12" s="7">
        <v>-0.43124985536424598</v>
      </c>
      <c r="SM12" s="7">
        <v>0.53593470435916601</v>
      </c>
      <c r="SN12" s="7">
        <v>-0.75972761579485104</v>
      </c>
      <c r="SO12" s="7">
        <v>0.47926801627765298</v>
      </c>
      <c r="SP12" s="7">
        <v>-0.49621767122671601</v>
      </c>
      <c r="SQ12" s="7">
        <v>-1.20813159324292</v>
      </c>
      <c r="SR12" s="7">
        <v>-1.62299911710581</v>
      </c>
      <c r="SS12" s="7">
        <v>-0.28150107443564498</v>
      </c>
      <c r="ST12" s="7">
        <v>1.3364999395517501</v>
      </c>
      <c r="SU12" s="7">
        <v>-1.02465054006769</v>
      </c>
      <c r="SV12" s="7">
        <v>0.30304389148987598</v>
      </c>
      <c r="SW12" s="7">
        <v>1.6173313623389101</v>
      </c>
      <c r="SX12" s="7">
        <v>-1.29089150961</v>
      </c>
      <c r="SY12" s="7">
        <v>-1.66100472304146</v>
      </c>
      <c r="SZ12" s="7">
        <v>0.172343654877989</v>
      </c>
      <c r="TA12" s="7">
        <v>4.74196026031031E-2</v>
      </c>
      <c r="TB12" s="7">
        <v>-0.361850239203522</v>
      </c>
      <c r="TC12" s="7">
        <v>-0.77591115989082604</v>
      </c>
      <c r="TD12" s="7">
        <v>-1.03033804160706</v>
      </c>
      <c r="TE12" s="7">
        <v>0.49757789018974102</v>
      </c>
      <c r="TF12" s="7">
        <v>-0.46184532612909601</v>
      </c>
      <c r="TG12" s="7">
        <v>2.0023664706331199</v>
      </c>
      <c r="TH12" s="7">
        <v>0.96801704061238802</v>
      </c>
      <c r="TI12" s="7">
        <v>-1.41671563547077</v>
      </c>
      <c r="TJ12" s="7">
        <v>0.33942274980996601</v>
      </c>
      <c r="TK12" s="7">
        <v>-1.3259679711004899</v>
      </c>
      <c r="TL12" s="7">
        <v>-0.91576243845230898</v>
      </c>
      <c r="TM12" s="7">
        <v>-0.49058400814978698</v>
      </c>
      <c r="TN12" s="7">
        <v>-0.32196189429294197</v>
      </c>
      <c r="TO12" s="7">
        <v>-1.28222415037143</v>
      </c>
      <c r="TP12" s="7">
        <v>0.72071597598970505</v>
      </c>
      <c r="TQ12" s="7">
        <v>-0.22395678626384899</v>
      </c>
      <c r="TR12" s="7">
        <v>-1.3196971508403199</v>
      </c>
      <c r="TS12" s="7">
        <v>-2.18086671858401</v>
      </c>
      <c r="TT12" s="7">
        <v>-0.87084906768484105</v>
      </c>
      <c r="TU12" s="7">
        <v>1.20660512250425</v>
      </c>
      <c r="TV12" s="7">
        <v>-0.203753062363069</v>
      </c>
      <c r="TW12" s="7">
        <v>2.4493549505715602</v>
      </c>
      <c r="TX12" s="7">
        <v>1.85726443981219</v>
      </c>
      <c r="TY12" s="7">
        <v>-0.34719177840669202</v>
      </c>
      <c r="TZ12" s="7">
        <v>0.61873173551290495</v>
      </c>
      <c r="UA12" s="7">
        <v>0.60550835142565995</v>
      </c>
      <c r="UB12" s="7">
        <v>0.27502633526038001</v>
      </c>
      <c r="UC12" s="7">
        <v>2.4928063464668901E-2</v>
      </c>
      <c r="UD12" s="7">
        <v>-0.241121860259671</v>
      </c>
      <c r="UE12" s="7">
        <v>-1.12736621763876</v>
      </c>
      <c r="UF12" s="7">
        <v>-1.1205552732053099</v>
      </c>
      <c r="UG12" s="7">
        <v>0.24918034720943</v>
      </c>
      <c r="UH12" s="7">
        <v>-1.2032946196855601</v>
      </c>
      <c r="UI12" s="7">
        <v>-2.3396250707486801</v>
      </c>
      <c r="UJ12" s="7">
        <v>1.0984371343095201</v>
      </c>
      <c r="UK12" s="7">
        <v>0.39624181919736101</v>
      </c>
      <c r="UL12" s="7">
        <v>0.697712273739309</v>
      </c>
      <c r="UM12" s="7">
        <v>-0.68414095208130599</v>
      </c>
      <c r="UN12" s="7">
        <v>0.114026179550336</v>
      </c>
      <c r="UO12" s="7">
        <v>-0.44325523728478999</v>
      </c>
      <c r="UP12" s="7">
        <v>-2.1804605018628198</v>
      </c>
      <c r="UQ12" s="7">
        <v>-0.29043298743558499</v>
      </c>
      <c r="UR12" s="7">
        <v>-0.73418520671577703</v>
      </c>
      <c r="US12" s="7">
        <v>-1.3306889905294501</v>
      </c>
      <c r="UT12" s="7">
        <v>0.71297703387384004</v>
      </c>
      <c r="UU12" s="7">
        <v>-0.23090648057312499</v>
      </c>
      <c r="UV12" s="7">
        <v>-0.78460571892372899</v>
      </c>
      <c r="UW12" s="7">
        <v>0.17414960418994099</v>
      </c>
      <c r="UX12" s="7">
        <v>0.21770630811208899</v>
      </c>
      <c r="UY12" s="7">
        <v>-1.4758745050322399</v>
      </c>
      <c r="UZ12" s="7">
        <v>-0.27775159918106701</v>
      </c>
      <c r="VA12" s="7">
        <v>-1.56780482155866</v>
      </c>
      <c r="VB12" s="7">
        <v>-2.0045522947075298</v>
      </c>
      <c r="VC12" s="7">
        <v>-2.2517295032043401</v>
      </c>
      <c r="VD12" s="7">
        <v>-0.57258347956826605</v>
      </c>
      <c r="VE12" s="7">
        <v>-1.0359392591529799</v>
      </c>
      <c r="VF12" s="7">
        <v>6.2891497419759704E-2</v>
      </c>
      <c r="VG12" s="7">
        <v>0.51814651311979998</v>
      </c>
      <c r="VH12" s="7">
        <v>-1.1614537923022801</v>
      </c>
      <c r="VI12" s="7">
        <v>-0.73293260096768398</v>
      </c>
      <c r="VJ12" s="7">
        <v>5.8179717127032599E-2</v>
      </c>
      <c r="VK12" s="7">
        <v>-0.83939838179415105</v>
      </c>
      <c r="VL12" s="7">
        <v>0.86893760515016405</v>
      </c>
      <c r="VM12" s="7">
        <v>0.19307870257009899</v>
      </c>
      <c r="VN12" s="7">
        <v>-1.48999447541087</v>
      </c>
      <c r="VO12" s="7">
        <v>0.58121081634942096</v>
      </c>
      <c r="VP12" s="7">
        <v>-0.32635079215511498</v>
      </c>
      <c r="VQ12" s="7">
        <v>0.39902060290535502</v>
      </c>
      <c r="VR12" s="7">
        <v>-0.18704767854792001</v>
      </c>
      <c r="VS12" s="7">
        <v>-0.17396135776251101</v>
      </c>
      <c r="VT12" s="7">
        <v>-2.3852511743735998</v>
      </c>
      <c r="VU12" s="7">
        <v>-0.28133466355675002</v>
      </c>
      <c r="VV12" s="7">
        <v>0.75320918511505797</v>
      </c>
      <c r="VW12" s="7">
        <v>-2.4770485332871202</v>
      </c>
      <c r="VX12" s="7">
        <v>1.2629130812492499</v>
      </c>
      <c r="VY12" s="7">
        <v>1.2368663932186801</v>
      </c>
      <c r="VZ12" s="7">
        <v>0.24238054202493101</v>
      </c>
      <c r="WA12" s="7">
        <v>0.39628178090476102</v>
      </c>
      <c r="WB12" s="7">
        <v>-0.115867914145038</v>
      </c>
      <c r="WC12" s="7">
        <v>1.1434126397926501</v>
      </c>
      <c r="WD12" s="7">
        <v>0.610061866031823</v>
      </c>
      <c r="WE12" s="7">
        <v>-0.81922314913152305</v>
      </c>
      <c r="WF12" s="7">
        <v>-0.83454907254514799</v>
      </c>
      <c r="WG12" s="7">
        <v>3.0685303308434501E-2</v>
      </c>
      <c r="WH12" s="7">
        <v>1.2261180243698699</v>
      </c>
      <c r="WI12" s="7">
        <v>0.54495591107491703</v>
      </c>
      <c r="WJ12" s="7">
        <v>0.38362542752335799</v>
      </c>
      <c r="WK12" s="7">
        <v>0.313644830489408</v>
      </c>
      <c r="WL12" s="7">
        <v>-0.10582994947012</v>
      </c>
      <c r="WM12" s="7">
        <v>1.78674944478123</v>
      </c>
      <c r="WN12" s="7">
        <v>0.170521578034246</v>
      </c>
      <c r="WO12" s="7">
        <v>-1.1986699057678001</v>
      </c>
      <c r="WP12" s="7">
        <v>-0.60758164897784195</v>
      </c>
      <c r="WQ12" s="7">
        <v>0.38997538707603202</v>
      </c>
      <c r="WR12" s="7">
        <v>1.24601827327926</v>
      </c>
      <c r="WS12" s="7">
        <v>0.76226024981621399</v>
      </c>
      <c r="WT12" s="7">
        <v>-1.4491009963828501</v>
      </c>
      <c r="WU12" s="7">
        <v>0.25543888105623302</v>
      </c>
      <c r="WV12" s="7">
        <v>-2.1514241058454902</v>
      </c>
      <c r="WW12" s="7">
        <v>1.6797115611358799</v>
      </c>
      <c r="WX12" s="7">
        <v>0.62369095268339103</v>
      </c>
      <c r="WY12" s="7">
        <v>0.56811357665793105</v>
      </c>
      <c r="WZ12" s="7">
        <v>-0.44318236421817703</v>
      </c>
      <c r="XA12" s="7">
        <v>-0.228648749725993</v>
      </c>
      <c r="XB12" s="7">
        <v>-0.137803484217282</v>
      </c>
      <c r="XC12" s="7">
        <v>-1.87443974503816</v>
      </c>
      <c r="XD12" s="7">
        <v>1.0207464593633699</v>
      </c>
      <c r="XE12" s="7">
        <v>-0.22920689402696201</v>
      </c>
      <c r="XF12" s="7">
        <v>-1.31130308341015</v>
      </c>
      <c r="XG12" s="7">
        <v>0.76650938471908703</v>
      </c>
      <c r="XH12" s="7">
        <v>-0.82784665484655195</v>
      </c>
      <c r="XI12" s="7">
        <v>-8.3168385923461499E-2</v>
      </c>
      <c r="XJ12" s="7">
        <v>-1.48754493911667</v>
      </c>
      <c r="XK12" s="7">
        <v>3.9947531772705103E-2</v>
      </c>
      <c r="XL12" s="7">
        <v>-0.86605574081838899</v>
      </c>
      <c r="XM12" s="7">
        <v>-0.88719041930459697</v>
      </c>
      <c r="XN12" s="7">
        <v>-1.3257069479353201</v>
      </c>
      <c r="XO12" s="7">
        <v>0.55714998170561603</v>
      </c>
      <c r="XP12" s="7">
        <v>0.36633010838334301</v>
      </c>
      <c r="XQ12" s="7">
        <v>-0.39401685095435401</v>
      </c>
      <c r="XR12" s="7">
        <v>-1.22812788333678E-2</v>
      </c>
      <c r="XS12" s="7">
        <v>2.9665907583379298</v>
      </c>
      <c r="XT12" s="7">
        <v>-1.31449983015653</v>
      </c>
      <c r="XU12" s="7">
        <v>-1.6017061270515001</v>
      </c>
      <c r="XV12" s="7">
        <v>-0.755550971825247</v>
      </c>
      <c r="XW12" s="7">
        <v>-1.3818171135095001</v>
      </c>
      <c r="XX12" s="7">
        <v>0.51752977742930195</v>
      </c>
      <c r="XY12" s="7">
        <v>-1.65814247377855</v>
      </c>
      <c r="XZ12" s="7">
        <v>-0.433803034033095</v>
      </c>
      <c r="YA12" s="7">
        <v>0.107493537013817</v>
      </c>
      <c r="YB12" s="7">
        <v>0.90762894532274796</v>
      </c>
      <c r="YC12" s="7">
        <v>-1.4852548065557001</v>
      </c>
      <c r="YD12" s="7">
        <v>1.78443556324823</v>
      </c>
      <c r="YE12" s="7">
        <v>-0.873877225330007</v>
      </c>
      <c r="YF12" s="7">
        <v>0.37754078798088297</v>
      </c>
      <c r="YG12" s="7">
        <v>-1.2822480336342399</v>
      </c>
      <c r="YH12" s="7">
        <v>0.204131269043485</v>
      </c>
      <c r="YI12" s="7">
        <v>0.41113838066855002</v>
      </c>
      <c r="YJ12" s="7">
        <v>0.43442987815371198</v>
      </c>
      <c r="YK12" s="7">
        <v>-0.13086764413197799</v>
      </c>
      <c r="YL12" s="7">
        <v>-0.45551969982083201</v>
      </c>
      <c r="YM12" s="7">
        <v>0.28318203293994698</v>
      </c>
      <c r="YN12" s="7">
        <v>0.50737001156553896</v>
      </c>
      <c r="YO12" s="7">
        <v>0.57837748248088305</v>
      </c>
      <c r="YP12" s="7">
        <v>1.6794167723747699</v>
      </c>
      <c r="YQ12" s="7">
        <v>0.57678398190622004</v>
      </c>
      <c r="YR12" s="7">
        <v>-0.332883035452465</v>
      </c>
      <c r="YS12" s="7">
        <v>1.5361928777443401</v>
      </c>
      <c r="YT12" s="7">
        <v>1.1065218880276599</v>
      </c>
      <c r="YU12" s="7">
        <v>-0.50369082323350001</v>
      </c>
      <c r="YV12" s="7">
        <v>0.55896348611291402</v>
      </c>
      <c r="YW12" s="7">
        <v>0.336412450550718</v>
      </c>
      <c r="YX12" s="7">
        <v>1.19182188827497</v>
      </c>
      <c r="YY12" s="7">
        <v>-0.79668694140244301</v>
      </c>
      <c r="YZ12" s="7">
        <v>-1.9218915534935801</v>
      </c>
      <c r="ZA12" s="7">
        <v>-0.95528463949388398</v>
      </c>
      <c r="ZB12" s="7">
        <v>-0.51059777826113595</v>
      </c>
      <c r="ZC12" s="7">
        <v>-1.0920828989025799</v>
      </c>
      <c r="ZD12" s="7">
        <v>1.5916359514218099</v>
      </c>
      <c r="ZE12" s="7">
        <v>-0.66302651808438695</v>
      </c>
      <c r="ZF12" s="7">
        <v>0.91233621725268099</v>
      </c>
      <c r="ZG12" s="7">
        <v>1.6544846401415401</v>
      </c>
      <c r="ZH12" s="7">
        <v>0.82447161307398098</v>
      </c>
      <c r="ZI12" s="7">
        <v>-0.16764828469684601</v>
      </c>
      <c r="ZJ12" s="7">
        <v>1.4087327477191001</v>
      </c>
      <c r="ZK12" s="7">
        <v>1.7847324402295801</v>
      </c>
      <c r="ZL12" s="7">
        <v>1.8624913942619601</v>
      </c>
      <c r="ZM12" s="7">
        <v>-0.329480149520677</v>
      </c>
      <c r="ZN12" s="7">
        <v>-1.9737360867109499</v>
      </c>
      <c r="ZO12" s="7">
        <v>1.6344372911262099</v>
      </c>
      <c r="ZP12" s="7">
        <v>0.93957229830894795</v>
      </c>
      <c r="ZQ12" s="7">
        <v>0.210330726954264</v>
      </c>
      <c r="ZR12" s="7">
        <v>2.06664859942269</v>
      </c>
      <c r="ZS12" s="7">
        <v>-0.71366015956893503</v>
      </c>
      <c r="ZT12" s="7">
        <v>-0.75438951324849801</v>
      </c>
      <c r="ZU12" s="7">
        <v>7.9187475308397995E-3</v>
      </c>
      <c r="ZV12" s="7">
        <v>0.73330289117953495</v>
      </c>
      <c r="ZW12" s="7">
        <v>0.64837010363912895</v>
      </c>
      <c r="ZX12" s="7">
        <v>-0.586358644209793</v>
      </c>
      <c r="ZY12" s="7">
        <v>2.35020622271341</v>
      </c>
      <c r="ZZ12" s="7">
        <v>-1.60528717845973E-2</v>
      </c>
      <c r="AAA12" s="7">
        <v>-1.9105293241402399</v>
      </c>
      <c r="AAB12" s="7">
        <v>1.56628776193889</v>
      </c>
      <c r="AAC12" s="7">
        <v>-0.44378988648024698</v>
      </c>
      <c r="AAD12" s="7">
        <v>2.1017340468908499</v>
      </c>
      <c r="AAE12" s="7">
        <v>-1.5240403132654701</v>
      </c>
      <c r="AAF12" s="7">
        <v>0.96082429161282501</v>
      </c>
      <c r="AAG12" s="7">
        <v>2.05847113959322</v>
      </c>
      <c r="AAH12" s="7">
        <v>-0.84690101392776296</v>
      </c>
      <c r="AAI12" s="7">
        <v>0.55012098279576105</v>
      </c>
      <c r="AAJ12" s="7">
        <v>0.50908038186571003</v>
      </c>
      <c r="AAK12" s="7">
        <v>-2.9446142414333899E-2</v>
      </c>
      <c r="AAL12" s="7">
        <v>-0.26718866989493301</v>
      </c>
      <c r="AAM12" s="7">
        <v>0.17334620455031599</v>
      </c>
      <c r="AAN12" s="7">
        <v>0.648883105451314</v>
      </c>
      <c r="AAO12" s="7">
        <v>0.84790541246437801</v>
      </c>
      <c r="AAP12" s="7">
        <v>-0.781991016298624</v>
      </c>
      <c r="AAQ12" s="7">
        <v>-0.51418011256671903</v>
      </c>
      <c r="AAR12" s="7">
        <v>2.2026619055705998</v>
      </c>
      <c r="AAS12" s="7">
        <v>0.42126027285981399</v>
      </c>
      <c r="AAT12" s="7">
        <v>-2.2526476950725201</v>
      </c>
      <c r="AAU12" s="7">
        <v>-2.64782537858158</v>
      </c>
      <c r="AAV12" s="7">
        <v>0.39397910632289301</v>
      </c>
      <c r="AAW12" s="7">
        <v>-0.55063853390166695</v>
      </c>
      <c r="AAX12" s="7">
        <v>-1.5084334135058199</v>
      </c>
      <c r="AAY12" s="7">
        <v>-1.76220539274676</v>
      </c>
      <c r="AAZ12" s="7">
        <v>-8.5729871933811694E-2</v>
      </c>
      <c r="ABA12" s="7">
        <v>-0.65339487747188196</v>
      </c>
      <c r="ABB12" s="7">
        <v>-8.5295895545439999E-3</v>
      </c>
      <c r="ABC12" s="7">
        <v>-0.31658676642453198</v>
      </c>
      <c r="ABD12" s="7">
        <v>7.9846503227329696E-2</v>
      </c>
      <c r="ABE12" s="7">
        <v>-2.1167077675585602</v>
      </c>
      <c r="ABF12" s="7">
        <v>-1.0953739278027801</v>
      </c>
      <c r="ABG12" s="7">
        <v>1.0114116514629099</v>
      </c>
      <c r="ABH12" s="7">
        <v>1.39130454600579</v>
      </c>
      <c r="ABI12" s="7">
        <v>-1.4078365984857999</v>
      </c>
      <c r="ABJ12" s="7">
        <v>0.88621020924889404</v>
      </c>
      <c r="ABK12" s="7">
        <v>0.67202245837641195</v>
      </c>
      <c r="ABL12" s="7">
        <v>-0.31366230548747398</v>
      </c>
      <c r="ABM12" s="7">
        <v>-0.11061578297062501</v>
      </c>
      <c r="ABN12" s="7">
        <v>0.66573006406667201</v>
      </c>
      <c r="ABO12" s="7">
        <v>0.18355030453846799</v>
      </c>
      <c r="ABP12" s="7">
        <v>1.9644128695408001</v>
      </c>
      <c r="ABQ12" s="7">
        <v>-0.14295982165695501</v>
      </c>
      <c r="ABR12" s="7">
        <v>2.0860071435038599</v>
      </c>
      <c r="ABS12" s="7">
        <v>-0.21030813868186099</v>
      </c>
      <c r="ABT12" s="7">
        <v>-0.575777565476989</v>
      </c>
      <c r="ABU12" s="7">
        <v>0.208342515825754</v>
      </c>
      <c r="ABV12" s="7">
        <v>-1.70535548883419</v>
      </c>
      <c r="ABW12" s="7">
        <v>0.34114048662694302</v>
      </c>
      <c r="ABX12" s="7">
        <v>-0.129184169541392</v>
      </c>
      <c r="ABY12" s="7">
        <v>-0.45588067774976898</v>
      </c>
      <c r="ABZ12" s="7">
        <v>2.1265935136021499</v>
      </c>
      <c r="ACA12" s="7">
        <v>-1.0551885165908901</v>
      </c>
      <c r="ACB12" s="7">
        <v>1.16426154432938</v>
      </c>
      <c r="ACC12" s="7">
        <v>-0.71695448100222903</v>
      </c>
      <c r="ACD12" s="7">
        <v>0.75052000014403097</v>
      </c>
      <c r="ACE12" s="7">
        <v>-1.1982965921886599</v>
      </c>
      <c r="ACF12" s="7">
        <v>1.23426852392999</v>
      </c>
      <c r="ACG12" s="7">
        <v>1.7790115338911801</v>
      </c>
      <c r="ACH12" s="7">
        <v>2.43411270947427E-2</v>
      </c>
      <c r="ACI12" s="7">
        <v>2.3898082237041902</v>
      </c>
      <c r="ACJ12" s="7">
        <v>0.80804685473218596</v>
      </c>
      <c r="ACK12" s="7">
        <v>-1.06005327785781</v>
      </c>
      <c r="ACL12" s="7">
        <v>0.70373261942430299</v>
      </c>
      <c r="ACM12" s="7">
        <v>-0.86677453583679798</v>
      </c>
      <c r="ACN12" s="7">
        <v>0.63463009026878103</v>
      </c>
      <c r="ACO12" s="7">
        <v>1.0036528743091</v>
      </c>
      <c r="ACP12" s="7">
        <v>1.0352155234770799</v>
      </c>
      <c r="ACQ12" s="7">
        <v>-0.40140455377193102</v>
      </c>
      <c r="ACR12" s="7">
        <v>-0.83640212292440896</v>
      </c>
      <c r="ACS12" s="7">
        <v>-0.113543102255693</v>
      </c>
      <c r="ACT12" s="7">
        <v>-1.0121316494474</v>
      </c>
      <c r="ACU12" s="7">
        <v>-0.83413440431102204</v>
      </c>
      <c r="ACV12" s="7">
        <v>-1.6099387577042901</v>
      </c>
      <c r="ACW12" s="7">
        <v>1.30605156603398</v>
      </c>
      <c r="ACX12" s="7">
        <v>0.63235889754754104</v>
      </c>
      <c r="ACY12" s="7">
        <v>1.1406188261854799</v>
      </c>
      <c r="ACZ12" s="7">
        <v>-0.26707145160786</v>
      </c>
      <c r="ADA12" s="7">
        <v>-0.47476631907976802</v>
      </c>
      <c r="ADB12" s="7">
        <v>-0.24137249492657301</v>
      </c>
      <c r="ADC12" s="7">
        <v>0.80197851987038005</v>
      </c>
      <c r="ADD12" s="7">
        <v>-1.2140392004059699</v>
      </c>
      <c r="ADE12" s="7">
        <v>5.0112379621846601E-2</v>
      </c>
      <c r="ADF12" s="7">
        <v>-1.59682887227545</v>
      </c>
      <c r="ADG12" s="7">
        <v>-1.0327780845680801</v>
      </c>
      <c r="ADH12" s="7">
        <v>-0.67660981140544096</v>
      </c>
      <c r="ADI12" s="7">
        <v>-0.35830932821088102</v>
      </c>
      <c r="ADJ12" s="7">
        <v>-1.0531030003377899</v>
      </c>
      <c r="ADK12" s="7">
        <v>-1.8380417117696799</v>
      </c>
      <c r="ADL12" s="7">
        <v>-0.47987518377705002</v>
      </c>
      <c r="ADM12" s="7">
        <v>1.28422803313663</v>
      </c>
      <c r="ADN12" s="7">
        <v>-1.15371827364861</v>
      </c>
      <c r="ADO12" s="7">
        <v>-1.4312526973172299</v>
      </c>
      <c r="ADP12" s="7">
        <v>0.96087422873306705</v>
      </c>
      <c r="ADQ12" s="7">
        <v>0.99905979888320695</v>
      </c>
      <c r="ADR12" s="7">
        <v>7.0636344032400697E-2</v>
      </c>
      <c r="ADS12" s="7">
        <v>-0.361848625516969</v>
      </c>
      <c r="ADT12" s="7">
        <v>2.0561992784227399</v>
      </c>
      <c r="ADU12" s="7">
        <v>-0.65737527380954197</v>
      </c>
      <c r="ADV12" s="7">
        <v>8.4197158640467396E-2</v>
      </c>
      <c r="ADW12" s="7">
        <v>-2.1200913593652801</v>
      </c>
      <c r="ADX12" s="7">
        <v>-0.14408484911296801</v>
      </c>
      <c r="ADY12" s="7">
        <v>-0.14757220502645599</v>
      </c>
      <c r="ADZ12" s="7">
        <v>0.90926666826706004</v>
      </c>
      <c r="AEA12" s="7">
        <v>-1.0145994360994499</v>
      </c>
      <c r="AEB12" s="7">
        <v>-0.343917469909019</v>
      </c>
      <c r="AEC12" s="7">
        <v>1.01552175834759</v>
      </c>
      <c r="AED12" s="7">
        <v>0.37062864311900401</v>
      </c>
      <c r="AEE12" s="7">
        <v>-1.4055887794694799</v>
      </c>
      <c r="AEF12" s="7">
        <v>0.17654692421649501</v>
      </c>
      <c r="AEG12" s="7">
        <v>0.49335959452577599</v>
      </c>
      <c r="AEH12" s="7">
        <v>-0.95632272030932597</v>
      </c>
      <c r="AEI12" s="7">
        <v>0.190935419700479</v>
      </c>
      <c r="AEJ12" s="7">
        <v>1.2243218693301699E-2</v>
      </c>
      <c r="AEK12" s="7">
        <v>-1.4818782731436</v>
      </c>
      <c r="AEL12" s="7">
        <v>-0.31933471375466299</v>
      </c>
      <c r="AEM12" s="7">
        <v>-1.7986379744346299</v>
      </c>
      <c r="AEN12" s="7">
        <v>-2.3299538290728701</v>
      </c>
      <c r="AEO12" s="7">
        <v>0.13679241005449999</v>
      </c>
      <c r="AEP12" s="7">
        <v>-0.55303532649972797</v>
      </c>
      <c r="AEQ12" s="7">
        <v>-1.04713446282624</v>
      </c>
      <c r="AER12" s="7">
        <v>-0.21766638664364699</v>
      </c>
      <c r="AES12" s="7">
        <v>0.76380447371298998</v>
      </c>
      <c r="AET12" s="7">
        <v>-0.87563984595975697</v>
      </c>
      <c r="AEU12" s="7">
        <v>0.92975897426401699</v>
      </c>
      <c r="AEV12" s="7">
        <v>0.836429038588554</v>
      </c>
      <c r="AEW12" s="7">
        <v>0.94354631787585197</v>
      </c>
      <c r="AEX12" s="7">
        <v>-0.11335953295925601</v>
      </c>
      <c r="AEY12" s="7">
        <v>1.2069864467092299</v>
      </c>
      <c r="AEZ12" s="7">
        <v>0.96280930298580503</v>
      </c>
      <c r="AFA12" s="7">
        <v>-0.13593065588876499</v>
      </c>
      <c r="AFB12" s="7">
        <v>0.23499284177463101</v>
      </c>
      <c r="AFC12" s="7">
        <v>0.56071911545328701</v>
      </c>
      <c r="AFD12" s="7">
        <v>1.6159713242351501</v>
      </c>
      <c r="AFE12" s="7">
        <v>-0.50216236785507595</v>
      </c>
      <c r="AFF12" s="7">
        <v>1.3290805959471701</v>
      </c>
      <c r="AFG12" s="7">
        <v>1.2562597532125099</v>
      </c>
      <c r="AFH12" s="7">
        <v>-1.15248770517946</v>
      </c>
      <c r="AFI12" s="7">
        <v>-0.88705222887326496</v>
      </c>
      <c r="AFJ12" s="7">
        <v>1.1838982851158499</v>
      </c>
      <c r="AFK12" s="7">
        <v>1.54623645505031</v>
      </c>
      <c r="AFL12" s="7">
        <v>-0.80673048494336197</v>
      </c>
      <c r="AFM12" s="7">
        <v>-2.0202551895298102</v>
      </c>
      <c r="AFN12" s="7">
        <v>-0.14015039391579101</v>
      </c>
      <c r="AFO12" s="7">
        <v>0.237444156674776</v>
      </c>
      <c r="AFP12" s="7">
        <v>-0.180511724242992</v>
      </c>
      <c r="AFQ12" s="7">
        <v>0.86017063904281399</v>
      </c>
      <c r="AFR12" s="7">
        <v>-0.91866754768009895</v>
      </c>
      <c r="AFS12" s="7">
        <v>-1.0527314251612201</v>
      </c>
      <c r="AFT12" s="7">
        <v>-1.30224105914005</v>
      </c>
      <c r="AFU12" s="7">
        <v>1.14380227957312</v>
      </c>
      <c r="AFV12" s="7">
        <v>1.31009554399774</v>
      </c>
      <c r="AFW12" s="7">
        <v>-0.67251563147186699</v>
      </c>
      <c r="AFX12" s="7">
        <v>-1.28198392949082</v>
      </c>
      <c r="AFY12" s="7">
        <v>-1.4206256508841699</v>
      </c>
      <c r="AFZ12" s="7">
        <v>1.6888983468319601</v>
      </c>
      <c r="AGA12" s="7">
        <v>-0.31008749152713699</v>
      </c>
      <c r="AGB12" s="7">
        <v>1.43732380501656</v>
      </c>
      <c r="AGC12" s="7">
        <v>-0.29507153857469698</v>
      </c>
      <c r="AGD12" s="7">
        <v>0.76644831193541596</v>
      </c>
      <c r="AGE12" s="7">
        <v>0.85781160929951294</v>
      </c>
      <c r="AGF12" s="7">
        <v>0.118534261925171</v>
      </c>
      <c r="AGG12" s="7">
        <v>-1.01004451158339</v>
      </c>
      <c r="AGH12" s="7">
        <v>-1.0327225598188301</v>
      </c>
      <c r="AGI12" s="7">
        <v>1.13234885545394</v>
      </c>
      <c r="AGJ12" s="7">
        <v>-1.63892543582146</v>
      </c>
      <c r="AGK12" s="7">
        <v>3.5805631539235702E-2</v>
      </c>
      <c r="AGL12" s="7">
        <v>0.36972426954087401</v>
      </c>
      <c r="AGM12" s="7">
        <v>0.77749398012279403</v>
      </c>
      <c r="AGN12" s="7">
        <v>-0.54928408828581698</v>
      </c>
      <c r="AGO12" s="7">
        <v>-0.45515116576152498</v>
      </c>
      <c r="AGP12" s="7">
        <v>-0.59098618309761397</v>
      </c>
      <c r="AGQ12" s="7">
        <v>-2.3383185256408302E-2</v>
      </c>
      <c r="AGR12" s="7">
        <v>-0.63958940432495703</v>
      </c>
      <c r="AGS12" s="7">
        <v>-0.20068207879498601</v>
      </c>
      <c r="AGT12" s="7">
        <v>-0.123389823211337</v>
      </c>
      <c r="AGU12" s="7">
        <v>7.2261375949365603E-2</v>
      </c>
      <c r="AGV12" s="7">
        <v>-0.116454834354137</v>
      </c>
      <c r="AGW12" s="7">
        <v>1.39176043873888</v>
      </c>
      <c r="AGX12" s="7">
        <v>0.253925065775501</v>
      </c>
      <c r="AGY12" s="7">
        <v>1.86851321643635</v>
      </c>
      <c r="AGZ12" s="7">
        <v>0.82444752602983296</v>
      </c>
      <c r="AHA12" s="7">
        <v>-1.3407381998422301</v>
      </c>
      <c r="AHB12" s="7">
        <v>0.31304612316543201</v>
      </c>
      <c r="AHC12" s="7">
        <v>-0.365717213466414</v>
      </c>
      <c r="AHD12" s="7">
        <v>-1.3531720237718201</v>
      </c>
      <c r="AHE12" s="7">
        <v>-0.689625201375202</v>
      </c>
      <c r="AHF12" s="7">
        <v>0.14691859618367101</v>
      </c>
      <c r="AHG12" s="7">
        <v>0.75829880609667899</v>
      </c>
      <c r="AHH12" s="7">
        <v>-1.5038240179448601</v>
      </c>
      <c r="AHI12" s="7">
        <v>1.3460482099209801</v>
      </c>
      <c r="AHJ12" s="7">
        <v>-0.22956600274019301</v>
      </c>
      <c r="AHK12" s="7">
        <v>1.9119422139122599</v>
      </c>
      <c r="AHL12" s="7">
        <v>0.15817044991707399</v>
      </c>
      <c r="AHM12" s="7">
        <v>-0.79029694550679197</v>
      </c>
      <c r="AHN12" s="7">
        <v>0.38901725890706401</v>
      </c>
      <c r="AHO12" s="7">
        <v>-0.65511819733582299</v>
      </c>
      <c r="AHP12" s="7">
        <v>0.50751580784460604</v>
      </c>
      <c r="AHQ12" s="7">
        <v>0.31660145968731102</v>
      </c>
      <c r="AHR12" s="7">
        <v>-1.15575976737607</v>
      </c>
      <c r="AHS12" s="7">
        <v>1.0047475973955999</v>
      </c>
      <c r="AHT12" s="7">
        <v>-1.7216554476021799</v>
      </c>
      <c r="AHU12" s="7">
        <v>-0.65879354388392897</v>
      </c>
      <c r="AHV12" s="7">
        <v>-1.73508263097315</v>
      </c>
      <c r="AHW12" s="7">
        <v>-1.6623246308738799</v>
      </c>
      <c r="AHX12" s="7">
        <v>-1.01488156611324</v>
      </c>
      <c r="AHY12" s="7">
        <v>-0.99303724555888895</v>
      </c>
      <c r="AHZ12" s="7">
        <v>-0.148497919370807</v>
      </c>
      <c r="AIA12" s="7">
        <v>0.86444758129584398</v>
      </c>
      <c r="AIB12" s="7">
        <v>-0.888216585281697</v>
      </c>
      <c r="AIC12" s="7">
        <v>-0.83652746346560403</v>
      </c>
      <c r="AID12" s="7">
        <v>-1.91251039570114</v>
      </c>
      <c r="AIE12" s="7">
        <v>0.234254743340753</v>
      </c>
      <c r="AIF12" s="7">
        <v>0.122153987595729</v>
      </c>
      <c r="AIG12" s="7">
        <v>-0.93044624855978197</v>
      </c>
      <c r="AIH12" s="7">
        <v>-0.22953574605689001</v>
      </c>
      <c r="AII12" s="7">
        <v>-1.0942971158077901</v>
      </c>
      <c r="AIJ12" s="7">
        <v>-1.3677539641079299</v>
      </c>
      <c r="AIK12" s="7">
        <v>-0.30774834037508098</v>
      </c>
      <c r="AIL12" s="7">
        <v>0.33957304855503501</v>
      </c>
      <c r="AIM12" s="7">
        <v>-0.58085194749778102</v>
      </c>
      <c r="AIN12" s="7">
        <v>-6.8855654880861997E-2</v>
      </c>
      <c r="AIO12" s="7">
        <v>0.16527188238597901</v>
      </c>
      <c r="AIP12" s="7">
        <v>1.3709569836038</v>
      </c>
      <c r="AIQ12" s="7">
        <v>1.6455541581225599</v>
      </c>
      <c r="AIR12" s="7">
        <v>-0.75561665001289202</v>
      </c>
      <c r="AIS12" s="7">
        <v>1.95525692750668</v>
      </c>
      <c r="AIT12" s="7">
        <v>-0.93736432285105298</v>
      </c>
      <c r="AIU12" s="7">
        <v>1.07782123379043</v>
      </c>
      <c r="AIV12" s="7">
        <v>-1.4393369252930099</v>
      </c>
      <c r="AIW12" s="7">
        <v>0.80218826959368195</v>
      </c>
      <c r="AIX12" s="7">
        <v>0.65811114650965197</v>
      </c>
      <c r="AIY12" s="7">
        <v>0.5333488618501</v>
      </c>
      <c r="AIZ12" s="7">
        <v>0.78624373249249901</v>
      </c>
      <c r="AJA12" s="7">
        <v>-3.5584630706678597E-2</v>
      </c>
      <c r="AJB12" s="7">
        <v>-0.51754604502957002</v>
      </c>
      <c r="AJC12" s="7">
        <v>-0.916530705915371</v>
      </c>
      <c r="AJD12" s="7">
        <v>-0.15019593400681999</v>
      </c>
      <c r="AJE12" s="7">
        <v>1.1448546640677799</v>
      </c>
      <c r="AJF12" s="7">
        <v>0.69630547033920398</v>
      </c>
      <c r="AJG12" s="7">
        <v>0.54820935247884395</v>
      </c>
      <c r="AJH12" s="7">
        <v>0.46714262259813299</v>
      </c>
      <c r="AJI12" s="7">
        <v>0.18012869318439101</v>
      </c>
      <c r="AJJ12" s="7">
        <v>-0.64567289123370197</v>
      </c>
      <c r="AJK12" s="7">
        <v>1.31973971957418</v>
      </c>
      <c r="AJL12" s="7">
        <v>-1.4349559575855</v>
      </c>
      <c r="AJM12" s="7">
        <v>-0.29358291819708998</v>
      </c>
      <c r="AJN12" s="7">
        <v>-0.227632775431477</v>
      </c>
      <c r="AJO12" s="7">
        <v>0.82178774050060699</v>
      </c>
      <c r="AJP12" s="7">
        <v>1.19004136505633</v>
      </c>
      <c r="AJQ12" s="7">
        <v>-9.4352429456630804E-2</v>
      </c>
      <c r="AJR12" s="7">
        <v>0.52212355461135496</v>
      </c>
      <c r="AJS12" s="7">
        <v>1.4696213899599599</v>
      </c>
      <c r="AJT12" s="7">
        <v>0.68505518256030495</v>
      </c>
      <c r="AJU12" s="7">
        <v>-0.58142832118820797</v>
      </c>
      <c r="AJV12" s="7">
        <v>0.29043728219982901</v>
      </c>
      <c r="AJW12" s="7">
        <v>-0.39199256387525899</v>
      </c>
      <c r="AJX12" s="7">
        <v>-1.9213817611786701</v>
      </c>
      <c r="AJY12" s="7">
        <v>0.93720525018284595</v>
      </c>
      <c r="AJZ12" s="7">
        <v>0.64043460933691998</v>
      </c>
      <c r="AKA12" s="7">
        <v>-0.91034481081617602</v>
      </c>
      <c r="AKB12" s="7">
        <v>-0.64759426807841802</v>
      </c>
      <c r="AKC12" s="7">
        <v>1.8241393152077401</v>
      </c>
      <c r="AKD12" s="7">
        <v>0.26145074898534199</v>
      </c>
      <c r="AKE12" s="7">
        <v>9.1602311294497807E-2</v>
      </c>
      <c r="AKF12" s="7">
        <v>1.2960547735268799</v>
      </c>
      <c r="AKG12" s="7">
        <v>-0.45082808828978299</v>
      </c>
      <c r="AKH12" s="7">
        <v>0.310526323393854</v>
      </c>
      <c r="AKI12" s="7">
        <v>-9.0667559734842598E-2</v>
      </c>
      <c r="AKJ12" s="7">
        <v>-2.5271400973193998</v>
      </c>
      <c r="AKK12" s="7">
        <v>2.7627935605975802</v>
      </c>
      <c r="AKL12" s="7">
        <v>-1.1222648090749301</v>
      </c>
      <c r="AKM12" s="7">
        <v>-0.991689628582341</v>
      </c>
      <c r="AKN12" s="7">
        <v>-3.6533530625893298</v>
      </c>
      <c r="AKO12" s="7">
        <v>-0.51403844481108396</v>
      </c>
      <c r="AKP12" s="7">
        <v>0.76287727484173595</v>
      </c>
      <c r="AKQ12" s="7">
        <v>0.52640288183371797</v>
      </c>
      <c r="AKR12" s="7">
        <v>-1.21344272066116</v>
      </c>
      <c r="AKS12" s="7">
        <v>-0.28309094137752999</v>
      </c>
      <c r="AKT12" s="7">
        <v>5.6377860933627497E-2</v>
      </c>
      <c r="AKU12" s="7">
        <v>-0.50304700243671996</v>
      </c>
      <c r="AKV12" s="7">
        <v>-1.2900917456306999</v>
      </c>
      <c r="AKW12" s="7">
        <v>-0.40678099659147099</v>
      </c>
      <c r="AKX12" s="7">
        <v>0.59821209900486605</v>
      </c>
      <c r="AKY12" s="7">
        <v>6.9715397712979604E-2</v>
      </c>
      <c r="AKZ12" s="7">
        <v>0.78869371686035805</v>
      </c>
      <c r="ALA12" s="7">
        <v>-0.168927085031814</v>
      </c>
      <c r="ALB12" s="7">
        <v>0.95070107011515803</v>
      </c>
      <c r="ALC12" s="7">
        <v>1.36207262555191</v>
      </c>
      <c r="ALD12" s="7">
        <v>1.19650112993161</v>
      </c>
      <c r="ALE12" s="7">
        <v>-0.32302009382331098</v>
      </c>
      <c r="ALF12" s="7">
        <v>0.16313871041765299</v>
      </c>
      <c r="ALG12" s="7">
        <v>-1.2079894137659699</v>
      </c>
      <c r="ALH12" s="7">
        <v>0.115987780442576</v>
      </c>
      <c r="ALI12" s="7">
        <v>-0.84608348690472801</v>
      </c>
      <c r="ALJ12" s="7">
        <v>-0.59825343987209501</v>
      </c>
      <c r="ALK12" s="7">
        <v>1.9762098724022601</v>
      </c>
      <c r="ALL12" s="7">
        <v>6.7591364589723799E-2</v>
      </c>
      <c r="ALM12" s="7">
        <v>0.61716260806859602</v>
      </c>
      <c r="ALN12" s="7">
        <v>-0.17322396748004901</v>
      </c>
      <c r="ALO12" s="7">
        <v>-0.29684714889133101</v>
      </c>
      <c r="ALP12" s="7">
        <v>-2.0622675685225098</v>
      </c>
      <c r="ALQ12" s="7">
        <v>-0.72798411471279301</v>
      </c>
      <c r="ALR12" s="7">
        <v>0.20183711307843599</v>
      </c>
      <c r="ALS12" s="7">
        <v>-1.3197494303122399</v>
      </c>
      <c r="ALT12" s="7">
        <v>-0.88094366101777299</v>
      </c>
      <c r="ALU12" s="7">
        <v>-1.3355547854652501</v>
      </c>
      <c r="ALV12" s="7">
        <v>-1.8002636684468001</v>
      </c>
      <c r="ALW12" s="7">
        <v>6.2965637924470002E-4</v>
      </c>
      <c r="ALX12" s="7">
        <v>-0.93076086761017196</v>
      </c>
      <c r="ALY12" s="7">
        <v>-6.2407276913590298E-2</v>
      </c>
      <c r="ALZ12" s="7">
        <v>-1.4246125189994401</v>
      </c>
      <c r="AMA12" s="7">
        <v>-0.25890209984591001</v>
      </c>
      <c r="AMB12" s="7">
        <v>0.96218312259255201</v>
      </c>
      <c r="AMC12" s="7">
        <v>-2.0287272546614402E-2</v>
      </c>
      <c r="AMD12" s="7">
        <v>0.98800426110904005</v>
      </c>
      <c r="AME12" s="7">
        <v>-1.2209251332895299</v>
      </c>
      <c r="AMF12" s="7">
        <v>0.85973036299136496</v>
      </c>
      <c r="AMG12" s="7">
        <v>0.692001007307119</v>
      </c>
      <c r="AMH12" s="7">
        <v>1.0084061919195699</v>
      </c>
      <c r="AMI12" s="7">
        <v>0.161037937595193</v>
      </c>
      <c r="AMJ12" s="7">
        <v>-0.57884780420169102</v>
      </c>
      <c r="AMK12" s="7">
        <v>0.80037291298017599</v>
      </c>
      <c r="AML12" s="7">
        <v>-1.44193354381084</v>
      </c>
      <c r="AMM12" s="7">
        <v>1.4014543788100799</v>
      </c>
      <c r="AMN12" s="7">
        <v>-1.23756695569216</v>
      </c>
      <c r="AMO12" s="7">
        <v>-0.72923098929971997</v>
      </c>
      <c r="AMP12" s="7">
        <v>0.266584565079858</v>
      </c>
      <c r="AMQ12" s="7">
        <v>0.24350308758077199</v>
      </c>
      <c r="AMR12" s="7">
        <v>0.32831879400897601</v>
      </c>
      <c r="AMS12" s="7">
        <v>0.58399073805386903</v>
      </c>
      <c r="AMT12" s="7">
        <v>-0.60100857800825203</v>
      </c>
      <c r="AMU12" s="7">
        <v>-0.66838584280743796</v>
      </c>
      <c r="AMV12" s="7">
        <v>0.115060686399098</v>
      </c>
      <c r="AMW12" s="7">
        <v>-0.43826905933924898</v>
      </c>
      <c r="AMX12" s="7">
        <v>1.6491399756746801</v>
      </c>
      <c r="AMY12" s="7">
        <v>0.28426331960506801</v>
      </c>
      <c r="AMZ12" s="7">
        <v>-1.93867487731331</v>
      </c>
      <c r="ANA12" s="7">
        <v>-0.75483007487272702</v>
      </c>
      <c r="ANB12" s="7">
        <v>1.3847282714448399</v>
      </c>
      <c r="ANC12" s="7">
        <v>-0.812757386105179</v>
      </c>
      <c r="AND12" s="7">
        <v>-0.36489526960989099</v>
      </c>
      <c r="ANE12" s="7">
        <v>0.39518705497465401</v>
      </c>
      <c r="ANF12" s="7">
        <v>1.7913391236769201</v>
      </c>
      <c r="ANG12" s="7">
        <v>-0.56186120999575495</v>
      </c>
      <c r="ANH12" s="7">
        <v>0.60050837644823096</v>
      </c>
      <c r="ANI12" s="7">
        <v>2.16274704831834</v>
      </c>
      <c r="ANJ12" s="7">
        <v>-0.211424392425139</v>
      </c>
      <c r="ANK12" s="7">
        <v>1.1102693215953501</v>
      </c>
      <c r="ANL12" s="7">
        <v>-0.55387529043416195</v>
      </c>
      <c r="ANM12" s="7">
        <v>0.26404058876159803</v>
      </c>
      <c r="ANN12" s="7">
        <v>1.7797765928734099</v>
      </c>
      <c r="ANO12" s="7">
        <v>1.3684382560727999</v>
      </c>
      <c r="ANP12" s="7">
        <v>0.79392206689209399</v>
      </c>
      <c r="ANQ12" s="7">
        <v>0.45230764602889301</v>
      </c>
      <c r="ANR12" s="7">
        <v>-0.38597601943825099</v>
      </c>
      <c r="ANS12" s="7">
        <v>-0.72196820777366999</v>
      </c>
      <c r="ANT12" s="7">
        <v>0.50894978225808896</v>
      </c>
      <c r="ANU12" s="7">
        <v>-0.93743684123736803</v>
      </c>
      <c r="ANV12" s="7">
        <v>0.66596073636449704</v>
      </c>
      <c r="ANW12" s="7">
        <v>0.53275155163616605</v>
      </c>
      <c r="ANX12" s="7">
        <v>-1.18833463760161</v>
      </c>
      <c r="ANY12" s="7">
        <v>0.69902433573952105</v>
      </c>
      <c r="ANZ12" s="7">
        <v>1.2323254910249899</v>
      </c>
      <c r="AOA12" s="7">
        <v>-0.35382296944535102</v>
      </c>
      <c r="AOB12" s="7">
        <v>0.62398741074278596</v>
      </c>
      <c r="AOC12" s="7">
        <v>2.5663311432215798</v>
      </c>
      <c r="AOD12" s="7">
        <v>0.84299604470005896</v>
      </c>
      <c r="AOE12" s="7">
        <v>-0.50796912957058304</v>
      </c>
      <c r="AOF12" s="7">
        <v>0.392543677991746</v>
      </c>
      <c r="AOG12" s="7">
        <v>-1.26878933226318</v>
      </c>
      <c r="AOH12" s="7">
        <v>-0.65748740067921496</v>
      </c>
      <c r="AOI12" s="7">
        <v>1.53918270529479</v>
      </c>
      <c r="AOJ12" s="7">
        <v>-0.54289571754613197</v>
      </c>
      <c r="AOK12" s="7">
        <v>0.19059906076772801</v>
      </c>
      <c r="AOL12" s="7">
        <v>0.71264813258148496</v>
      </c>
      <c r="AOM12" s="7">
        <v>2.0800683810664702</v>
      </c>
      <c r="AON12" s="7">
        <v>0.52748935830754295</v>
      </c>
      <c r="AOO12" s="7">
        <v>-0.20110165213386799</v>
      </c>
      <c r="AOP12" s="7">
        <v>-1.5774695127478</v>
      </c>
      <c r="AOQ12" s="7">
        <v>1.3882305547651601</v>
      </c>
      <c r="AOR12" s="7">
        <v>-0.89841961680287596</v>
      </c>
      <c r="AOS12" s="7">
        <v>0.88709662598351502</v>
      </c>
      <c r="AOT12" s="7">
        <v>-1.8152132462822701</v>
      </c>
      <c r="AOU12" s="7">
        <v>-0.61430261880055004</v>
      </c>
      <c r="AOV12" s="7">
        <v>-0.50445361318862303</v>
      </c>
      <c r="AOW12" s="7">
        <v>0.94401313516218099</v>
      </c>
      <c r="AOX12" s="7">
        <v>1.1384247676435699</v>
      </c>
      <c r="AOY12" s="7">
        <v>-0.34905365170121999</v>
      </c>
      <c r="AOZ12" s="7">
        <v>-1.5854440745162499</v>
      </c>
      <c r="APA12" s="7">
        <v>-0.457781132029977</v>
      </c>
      <c r="APB12" s="7">
        <v>0.70136227811790797</v>
      </c>
      <c r="APC12" s="7">
        <v>-0.29743255067874302</v>
      </c>
      <c r="APD12" s="7">
        <v>-0.27660470164846002</v>
      </c>
      <c r="APE12" s="7">
        <v>0.313995821790856</v>
      </c>
      <c r="APF12" s="7">
        <v>-1.21315706201643</v>
      </c>
      <c r="APG12" s="7">
        <v>0.58404054435683195</v>
      </c>
      <c r="APH12" s="7">
        <v>0.82846179885358395</v>
      </c>
      <c r="API12" s="7">
        <v>0.51260595344140203</v>
      </c>
      <c r="APJ12" s="7">
        <v>0.86182345808127503</v>
      </c>
      <c r="APK12" s="7">
        <v>-1.2797648536238</v>
      </c>
      <c r="APL12" s="7">
        <v>1.5282861369928999</v>
      </c>
      <c r="APM12" s="7">
        <v>-0.61330131436630797</v>
      </c>
      <c r="APN12" s="7">
        <v>-0.34317165699828001</v>
      </c>
      <c r="APO12" s="7">
        <v>-1.22233068166068</v>
      </c>
      <c r="APP12" s="7">
        <v>4.63793084861596E-2</v>
      </c>
      <c r="APQ12" s="7">
        <v>-0.36524034886423301</v>
      </c>
      <c r="APR12" s="7">
        <v>0.197201542952784</v>
      </c>
      <c r="APS12" s="7">
        <v>3.64089043483782E-2</v>
      </c>
      <c r="APT12" s="7">
        <v>-0.39944719414574997</v>
      </c>
      <c r="APU12" s="7">
        <v>0.194948808780011</v>
      </c>
      <c r="APV12" s="7">
        <v>0.23922136733466701</v>
      </c>
      <c r="APW12" s="7">
        <v>-0.961088987983853</v>
      </c>
      <c r="APX12" s="7">
        <v>-0.293986340236151</v>
      </c>
      <c r="APY12" s="7">
        <v>-0.53631397118203705</v>
      </c>
      <c r="APZ12" s="7">
        <v>0.46421361128629102</v>
      </c>
      <c r="AQA12" s="7">
        <v>1.8041321074139101</v>
      </c>
      <c r="AQB12" s="7">
        <v>-1.2294134439034301</v>
      </c>
      <c r="AQC12" s="7">
        <v>3.7134828256358901E-2</v>
      </c>
      <c r="AQD12" s="7">
        <v>0.52667073922333296</v>
      </c>
      <c r="AQE12" s="7">
        <v>2.22895336914338</v>
      </c>
      <c r="AQF12" s="7">
        <v>-0.826936011366877</v>
      </c>
      <c r="AQG12" s="7">
        <v>2.13854932558987</v>
      </c>
      <c r="AQH12" s="7">
        <v>0.15161470902017299</v>
      </c>
      <c r="AQI12" s="7">
        <v>-0.82935960612444504</v>
      </c>
      <c r="AQJ12" s="7">
        <v>0.27296511937500201</v>
      </c>
      <c r="AQK12" s="7">
        <v>0.51585592483748299</v>
      </c>
      <c r="AQL12" s="7">
        <v>0.43298685248894703</v>
      </c>
      <c r="AQM12" s="7">
        <v>1.1114225951827901</v>
      </c>
      <c r="AQN12" s="7">
        <v>0.409391702837963</v>
      </c>
      <c r="AQO12" s="7">
        <v>-0.67741381369784703</v>
      </c>
      <c r="AQP12" s="7">
        <v>-0.322903121321097</v>
      </c>
      <c r="AQQ12" s="7">
        <v>-1.43130153770583</v>
      </c>
      <c r="AQR12" s="7">
        <v>0.740415677346002</v>
      </c>
      <c r="AQS12" s="7">
        <v>-0.89304864126625405</v>
      </c>
      <c r="AQT12" s="7">
        <v>1.7153052453070899E-2</v>
      </c>
      <c r="AQU12" s="7">
        <v>1.7115492987594401</v>
      </c>
      <c r="AQV12" s="7">
        <v>0.196044910884103</v>
      </c>
      <c r="AQW12" s="7">
        <v>-0.24909753724775699</v>
      </c>
      <c r="AQX12" s="7">
        <v>-1.0160555663866799</v>
      </c>
      <c r="AQY12" s="7">
        <v>-1.04817331050164</v>
      </c>
      <c r="AQZ12" s="7">
        <v>1.12009179913177</v>
      </c>
      <c r="ARA12" s="7">
        <v>-0.61630455652207605</v>
      </c>
      <c r="ARB12" s="7">
        <v>-0.80929281775400197</v>
      </c>
      <c r="ARC12" s="7">
        <v>-0.33773962056340501</v>
      </c>
      <c r="ARD12" s="7">
        <v>-5.8129295599482399E-2</v>
      </c>
      <c r="ARE12" s="7">
        <v>1.0908162784342501</v>
      </c>
      <c r="ARF12" s="7">
        <v>-7.5203336823866498E-2</v>
      </c>
      <c r="ARG12" s="7">
        <v>-7.7313112690478594E-2</v>
      </c>
      <c r="ARH12" s="7">
        <v>1.8229039280563</v>
      </c>
      <c r="ARI12" s="7">
        <v>-3.7124926364221801E-2</v>
      </c>
      <c r="ARJ12" s="7">
        <v>-0.324450152216606</v>
      </c>
      <c r="ARK12" s="7">
        <v>-0.86284517726571897</v>
      </c>
      <c r="ARL12" s="7">
        <v>-1.9231010703815301</v>
      </c>
      <c r="ARM12" s="7">
        <v>-0.75829236465312</v>
      </c>
      <c r="ARN12" s="7">
        <v>0.99167410389292399</v>
      </c>
      <c r="ARO12" s="7">
        <v>-0.28906973961571097</v>
      </c>
      <c r="ARP12" s="7">
        <v>-0.51797637717200196</v>
      </c>
      <c r="ARQ12" s="7">
        <v>-2.1501542272751101E-2</v>
      </c>
      <c r="ARR12" s="7">
        <v>1.0714754672831499</v>
      </c>
      <c r="ARS12" s="7">
        <v>0.69430252156916805</v>
      </c>
      <c r="ART12" s="7">
        <v>-0.10005625756698799</v>
      </c>
      <c r="ARU12" s="7">
        <v>1.2300633037020099</v>
      </c>
      <c r="ARV12" s="7">
        <v>1.16482567066747</v>
      </c>
      <c r="ARW12" s="7">
        <v>-0.56031542374895904</v>
      </c>
      <c r="ARX12" s="7">
        <v>-1.0590692277465801</v>
      </c>
      <c r="ARY12" s="7">
        <v>0.48082182651426703</v>
      </c>
      <c r="ARZ12" s="7">
        <v>0.37946139895554798</v>
      </c>
      <c r="ASA12" s="7">
        <v>-4.5790723962289802E-2</v>
      </c>
      <c r="ASB12" s="7">
        <v>-0.17439375240800201</v>
      </c>
      <c r="ASC12" s="7">
        <v>0.43443009241389802</v>
      </c>
      <c r="ASD12" s="7">
        <v>-2.13509413745675</v>
      </c>
      <c r="ASE12" s="7">
        <v>-0.49068738349281699</v>
      </c>
      <c r="ASF12" s="7">
        <v>-0.259138559064298</v>
      </c>
      <c r="ASG12" s="7">
        <v>1.5610504568536001</v>
      </c>
      <c r="ASH12" s="7">
        <v>0.19674516777870099</v>
      </c>
      <c r="ASI12" s="7">
        <v>0.57490114928609404</v>
      </c>
      <c r="ASJ12" s="7">
        <v>-1.25518594404015</v>
      </c>
      <c r="ASK12" s="7">
        <v>-0.62123555820367604</v>
      </c>
      <c r="ASL12" s="7">
        <v>-0.50799183662981995</v>
      </c>
      <c r="ASM12" s="7">
        <v>-1.12647870590734</v>
      </c>
      <c r="ASN12" s="7">
        <v>-1.0628165735066899</v>
      </c>
      <c r="ASO12" s="7">
        <v>-4.6747724816096299E-2</v>
      </c>
      <c r="ASP12" s="7">
        <v>-0.200090365633878</v>
      </c>
      <c r="ASQ12" s="7">
        <v>0.38933443574988402</v>
      </c>
      <c r="ASR12" s="7">
        <v>-9.4224390068132796E-2</v>
      </c>
      <c r="ASS12" s="7">
        <v>0.661944283141643</v>
      </c>
      <c r="AST12" s="7">
        <v>-1.2469292242091099</v>
      </c>
      <c r="ASU12" s="7">
        <v>-0.86865656393443103</v>
      </c>
      <c r="ASV12" s="7">
        <v>-0.56860679890689902</v>
      </c>
      <c r="ASW12" s="7">
        <v>-7.5282609605860307E-2</v>
      </c>
      <c r="ASX12" s="7">
        <v>-0.82985406043235599</v>
      </c>
      <c r="ASY12" s="7">
        <v>-0.14215266472816501</v>
      </c>
      <c r="ASZ12" s="7">
        <v>9.5202950503046994E-3</v>
      </c>
      <c r="ATA12" s="7">
        <v>0.879001302246883</v>
      </c>
      <c r="ATB12" s="7">
        <v>2.5944116514331698E-2</v>
      </c>
      <c r="ATC12" s="7">
        <v>-0.8132858991877</v>
      </c>
      <c r="ATD12" s="7">
        <v>0.16343276671950799</v>
      </c>
      <c r="ATE12" s="7">
        <v>1.5998239031003501</v>
      </c>
      <c r="ATF12" s="7">
        <v>-1.8130753381231699</v>
      </c>
      <c r="ATG12" s="7">
        <v>-2.2753236143065401</v>
      </c>
      <c r="ATH12" s="7">
        <v>1.43148676635266</v>
      </c>
      <c r="ATI12" s="7">
        <v>0.28869397654318601</v>
      </c>
      <c r="ATJ12" s="7">
        <v>0.50336839707490899</v>
      </c>
      <c r="ATK12" s="7">
        <v>-0.19414092596166399</v>
      </c>
      <c r="ATL12" s="7">
        <v>-1.19171140250444</v>
      </c>
      <c r="ATM12" s="7">
        <v>6.7696725213388806E-2</v>
      </c>
      <c r="ATN12" s="7">
        <v>-3.48191780396781E-2</v>
      </c>
      <c r="ATO12" s="7">
        <v>1.0748935375726201</v>
      </c>
      <c r="ATP12" s="7">
        <v>-1.1339462273130301</v>
      </c>
      <c r="ATQ12" s="7">
        <v>1.66841460474575</v>
      </c>
      <c r="ATR12" s="7">
        <v>0.25843984014895399</v>
      </c>
      <c r="ATS12" s="7">
        <v>-1.5564906879717001E-2</v>
      </c>
      <c r="ATT12" s="7">
        <v>0.408822066280639</v>
      </c>
      <c r="ATU12" s="7">
        <v>-0.44815948492397401</v>
      </c>
      <c r="ATV12" s="7">
        <v>-1.2728643021810799</v>
      </c>
      <c r="ATW12" s="7">
        <v>1.5962793616307001</v>
      </c>
      <c r="ATX12" s="7">
        <v>-1.2956019631716</v>
      </c>
      <c r="ATY12" s="7">
        <v>-1.26455605651527</v>
      </c>
      <c r="ATZ12" s="7">
        <v>1.03112140068091</v>
      </c>
      <c r="AUA12" s="7">
        <v>-0.84453603031832003</v>
      </c>
      <c r="AUB12" s="7">
        <v>-0.81196977009905902</v>
      </c>
      <c r="AUC12" s="7">
        <v>0.902697387959006</v>
      </c>
      <c r="AUD12" s="7">
        <v>1.2310613767291301</v>
      </c>
      <c r="AUE12" s="7">
        <v>2.2243724595701999</v>
      </c>
      <c r="AUF12" s="7">
        <v>0.58567447935070505</v>
      </c>
      <c r="AUG12" s="7">
        <v>0.57083377521654899</v>
      </c>
      <c r="AUH12" s="7">
        <v>-0.60431924451944397</v>
      </c>
      <c r="AUI12" s="7">
        <v>-1.3347864966212599</v>
      </c>
      <c r="AUJ12" s="7">
        <v>0.24745927033805701</v>
      </c>
      <c r="AUK12" s="7">
        <v>0.149414248176932</v>
      </c>
      <c r="AUL12" s="7">
        <v>9.7491244133933702E-2</v>
      </c>
      <c r="AUM12" s="7">
        <v>-1.1690521449146101</v>
      </c>
      <c r="AUN12" s="7">
        <v>0.88213986607624395</v>
      </c>
      <c r="AUO12" s="7">
        <v>-0.313529165056529</v>
      </c>
      <c r="AUP12" s="7">
        <v>-0.63946527778372497</v>
      </c>
      <c r="AUQ12" s="7">
        <v>0.93998248831920905</v>
      </c>
      <c r="AUR12" s="7">
        <v>0.237018261768706</v>
      </c>
      <c r="AUS12" s="7">
        <v>-0.36828454662124099</v>
      </c>
      <c r="AUT12" s="7">
        <v>0.96149632918220196</v>
      </c>
      <c r="AUU12" s="7">
        <v>-0.31172370423020501</v>
      </c>
      <c r="AUV12" s="7">
        <v>-0.53870187380784695</v>
      </c>
      <c r="AUW12" s="7">
        <v>-0.66985360856959697</v>
      </c>
      <c r="AUX12" s="7">
        <v>-0.64561105222843795</v>
      </c>
      <c r="AUY12" s="7">
        <v>0.72185936712210697</v>
      </c>
      <c r="AUZ12" s="7">
        <v>1.4126353849187601</v>
      </c>
      <c r="AVA12" s="7">
        <v>0.110981829899753</v>
      </c>
      <c r="AVB12" s="7">
        <v>0.43210900498389299</v>
      </c>
      <c r="AVC12" s="7">
        <v>0.151250739097082</v>
      </c>
      <c r="AVD12" s="7">
        <v>-1.3567520367161201</v>
      </c>
      <c r="AVE12" s="7">
        <v>0.38460510353945498</v>
      </c>
      <c r="AVF12" s="7">
        <v>-0.20750299847688</v>
      </c>
      <c r="AVG12" s="7">
        <v>1.5144559082026801</v>
      </c>
      <c r="AVH12" s="7">
        <v>0.66249886308060202</v>
      </c>
      <c r="AVI12" s="7">
        <v>-0.55327633941796805</v>
      </c>
      <c r="AVJ12" s="7">
        <v>-0.88615726680345697</v>
      </c>
      <c r="AVK12" s="7">
        <v>2.05837216455126</v>
      </c>
      <c r="AVL12" s="7">
        <v>-1.5224034447141399</v>
      </c>
      <c r="AVM12" s="7">
        <v>-0.82064879849067196</v>
      </c>
      <c r="AVN12" s="7">
        <v>-0.101868282395918</v>
      </c>
      <c r="AVO12" s="7">
        <v>0.99954432336932297</v>
      </c>
      <c r="AVP12" s="7">
        <v>0.438056634982397</v>
      </c>
      <c r="AVQ12" s="7">
        <v>0.702822808523902</v>
      </c>
      <c r="AVR12" s="7">
        <v>1.1005223940192299</v>
      </c>
      <c r="AVS12" s="7">
        <v>-1.4223647004059099</v>
      </c>
      <c r="AVT12" s="7">
        <v>-4.4094546883045899E-2</v>
      </c>
      <c r="AVU12" s="7">
        <v>9.1299408354419798E-2</v>
      </c>
      <c r="AVV12" s="7">
        <v>-1.5923298022366501</v>
      </c>
      <c r="AVW12" s="7">
        <v>1.2518433648711</v>
      </c>
      <c r="AVX12" s="7">
        <v>-1.0763670650016</v>
      </c>
      <c r="AVY12" s="7">
        <v>1.3142148302452199</v>
      </c>
      <c r="AVZ12" s="7">
        <v>0.32801594469200102</v>
      </c>
      <c r="AWA12" s="7">
        <v>0.56256147895473396</v>
      </c>
      <c r="AWB12" s="7">
        <v>-0.51799473506536198</v>
      </c>
      <c r="AWC12" s="7">
        <v>0.17188280656197799</v>
      </c>
      <c r="AWD12" s="7">
        <v>0.82306321906160196</v>
      </c>
      <c r="AWE12" s="7">
        <v>1.57329459530938</v>
      </c>
      <c r="AWF12" s="7">
        <v>0.11395752278167599</v>
      </c>
      <c r="AWG12" s="7">
        <v>-1.4977396552734801</v>
      </c>
      <c r="AWH12" s="7">
        <v>1.4875743321008801</v>
      </c>
      <c r="AWI12" s="7">
        <v>1.9103864512079301E-2</v>
      </c>
      <c r="AWJ12" s="7">
        <v>0.65195428745039596</v>
      </c>
      <c r="AWK12" s="7">
        <v>2.3329090849865501</v>
      </c>
      <c r="AWL12" s="7">
        <v>-0.53771414463130895</v>
      </c>
      <c r="AWM12" s="7">
        <v>0.290292110251827</v>
      </c>
      <c r="AWN12" s="7">
        <v>1.4464987370154401</v>
      </c>
      <c r="AWO12" s="7">
        <v>0.39713518809196402</v>
      </c>
      <c r="AWP12" s="7">
        <v>0.47225187739741298</v>
      </c>
      <c r="AWQ12" s="7">
        <v>-0.99045428210789899</v>
      </c>
      <c r="AWR12" s="7">
        <v>-0.68851203070313505</v>
      </c>
      <c r="AWS12" s="7">
        <v>5.63139257391976E-2</v>
      </c>
      <c r="AWT12" s="7">
        <v>2.1505677690869498</v>
      </c>
      <c r="AWU12" s="7">
        <v>0.30641043672013002</v>
      </c>
      <c r="AWV12" s="7">
        <v>1.4065653659811299</v>
      </c>
      <c r="AWW12" s="7">
        <v>0.238244477393314</v>
      </c>
      <c r="AWX12" s="7">
        <v>-0.27658173638143102</v>
      </c>
      <c r="AWY12" s="7">
        <v>-1.1687864869446101</v>
      </c>
      <c r="AWZ12" s="7">
        <v>0.99762376263663299</v>
      </c>
      <c r="AXA12" s="7">
        <v>-1.3133016505683699</v>
      </c>
      <c r="AXB12" s="7">
        <v>-1.1610655221008399</v>
      </c>
      <c r="AXC12" s="7">
        <v>2.4465452425072902</v>
      </c>
      <c r="AXD12" s="7">
        <v>-1.15197266490737</v>
      </c>
      <c r="AXE12" s="7">
        <v>-1.39780327798419</v>
      </c>
      <c r="AXF12" s="7">
        <v>-1.18445750509826</v>
      </c>
      <c r="AXG12" s="7">
        <v>-0.35504082847651502</v>
      </c>
      <c r="AXH12" s="7">
        <v>0.58213463321730297</v>
      </c>
      <c r="AXI12" s="7">
        <v>0.716608352722369</v>
      </c>
      <c r="AXJ12" s="7">
        <v>0.91790933717617496</v>
      </c>
      <c r="AXK12" s="7">
        <v>-0.49531439077672601</v>
      </c>
      <c r="AXL12" s="7">
        <v>-0.48429739497757401</v>
      </c>
      <c r="AXM12" s="7">
        <v>-0.44135315025862998</v>
      </c>
      <c r="AXN12" s="7">
        <v>0.615590988168078</v>
      </c>
      <c r="AXO12" s="7">
        <v>-0.19024399627610999</v>
      </c>
      <c r="AXP12" s="7">
        <v>-0.64921666192295602</v>
      </c>
      <c r="AXQ12" s="7">
        <v>-1.08342703759716</v>
      </c>
      <c r="AXR12" s="7">
        <v>-6.4796279182127006E-2</v>
      </c>
      <c r="AXS12" s="7">
        <v>-0.69094481105695804</v>
      </c>
      <c r="AXT12" s="7">
        <v>-1.02357006049192</v>
      </c>
      <c r="AXU12" s="7">
        <v>0.43276532457510702</v>
      </c>
      <c r="AXV12" s="7">
        <v>0.71700192681646602</v>
      </c>
      <c r="AXW12" s="7">
        <v>-0.513337878221229</v>
      </c>
      <c r="AXX12" s="7">
        <v>-0.17320470307402899</v>
      </c>
      <c r="AXY12" s="7">
        <v>-1.0266462734859401</v>
      </c>
      <c r="AXZ12" s="7">
        <v>-0.208384892331689</v>
      </c>
      <c r="AYA12" s="7">
        <v>-6.8661273347861498E-2</v>
      </c>
      <c r="AYB12" s="7">
        <v>-1.2543413151910801</v>
      </c>
      <c r="AYC12" s="7">
        <v>1.10964497053584</v>
      </c>
      <c r="AYD12" s="7">
        <v>-0.52797854503165698</v>
      </c>
      <c r="AYE12" s="7">
        <v>-9.5316401365128894E-2</v>
      </c>
      <c r="AYF12" s="7">
        <v>-0.58386041082760698</v>
      </c>
      <c r="AYG12" s="7">
        <v>0.48808008219052501</v>
      </c>
      <c r="AYH12" s="7">
        <v>1.48826185258308</v>
      </c>
      <c r="AYI12" s="7">
        <v>2.26620236698394</v>
      </c>
      <c r="AYJ12" s="7">
        <v>0.29773284588836102</v>
      </c>
      <c r="AYK12" s="7">
        <v>-0.21880757588420399</v>
      </c>
      <c r="AYL12" s="7">
        <v>-3.3561844613365498E-2</v>
      </c>
      <c r="AYM12" s="7">
        <v>0.43275633514339901</v>
      </c>
      <c r="AYN12" s="7">
        <v>1.12440714402209</v>
      </c>
      <c r="AYO12" s="7">
        <v>0.92165546050756797</v>
      </c>
      <c r="AYP12" s="7">
        <v>0.49796117315709698</v>
      </c>
      <c r="AYQ12" s="7">
        <v>-0.78733465547401804</v>
      </c>
      <c r="AYR12" s="7">
        <v>1.3524581088715399</v>
      </c>
      <c r="AYS12" s="7">
        <v>1.3125915563266599</v>
      </c>
      <c r="AYT12" s="7">
        <v>1.3766115335339</v>
      </c>
      <c r="AYU12" s="7">
        <v>-0.57121337394965899</v>
      </c>
      <c r="AYV12" s="7">
        <v>0.267584329360957</v>
      </c>
      <c r="AYW12" s="7">
        <v>0.25263213985002297</v>
      </c>
      <c r="AYX12" s="7">
        <v>-1.07073099929199</v>
      </c>
      <c r="AYY12" s="7">
        <v>0.193026058594126</v>
      </c>
      <c r="AYZ12" s="7">
        <v>0.35307963786996099</v>
      </c>
      <c r="AZA12" s="7">
        <v>0.28505264512803002</v>
      </c>
      <c r="AZB12" s="7">
        <v>1.44488886768973</v>
      </c>
      <c r="AZC12" s="7">
        <v>4.9312880469254902E-2</v>
      </c>
      <c r="AZD12" s="7">
        <v>-0.70246878260633305</v>
      </c>
      <c r="AZE12" s="7">
        <v>-0.43766305147991302</v>
      </c>
      <c r="AZF12" s="7">
        <v>0.249768526222231</v>
      </c>
      <c r="AZG12" s="7">
        <v>-6.8517529312302206E-2</v>
      </c>
      <c r="AZH12" s="7">
        <v>-0.72720318735782996</v>
      </c>
      <c r="AZI12" s="7">
        <v>1.9450793625837299</v>
      </c>
      <c r="AZJ12" s="7">
        <v>0.34088170259359601</v>
      </c>
      <c r="AZK12" s="7">
        <v>2.7206866266385701</v>
      </c>
      <c r="AZL12" s="7">
        <v>-0.31210762468661701</v>
      </c>
      <c r="AZM12" s="7">
        <v>-1.43414173502762</v>
      </c>
      <c r="AZN12" s="7">
        <v>0.46930591450068598</v>
      </c>
      <c r="AZO12" s="7">
        <v>0.83207780236156603</v>
      </c>
      <c r="AZP12" s="7">
        <v>-1.24325954388142</v>
      </c>
      <c r="AZQ12" s="7">
        <v>0.81541334474546001</v>
      </c>
      <c r="AZR12" s="7">
        <v>0.80077556702455099</v>
      </c>
      <c r="AZS12" s="7">
        <v>-0.243955286819828</v>
      </c>
      <c r="AZT12" s="7">
        <v>0.64416813621001201</v>
      </c>
      <c r="AZU12" s="7">
        <v>1.5160567590816001</v>
      </c>
      <c r="AZV12" s="7">
        <v>-0.80068905885269603</v>
      </c>
      <c r="AZW12" s="7">
        <v>0.26484041229419802</v>
      </c>
      <c r="AZX12" s="7">
        <v>-0.50900758593117501</v>
      </c>
      <c r="AZY12" s="7">
        <v>-0.65558014478905002</v>
      </c>
      <c r="AZZ12" s="7">
        <v>0.83298316144055395</v>
      </c>
      <c r="BAA12" s="7">
        <v>0.13150574634267201</v>
      </c>
      <c r="BAB12" s="7">
        <v>0.69311288526771497</v>
      </c>
      <c r="BAC12" s="7">
        <v>-1.55689916893028</v>
      </c>
      <c r="BAD12" s="7">
        <v>0.22966387294802801</v>
      </c>
      <c r="BAE12" s="7">
        <v>1.4423184699545299</v>
      </c>
      <c r="BAF12" s="7">
        <v>0.27108474195112597</v>
      </c>
      <c r="BAG12" s="7">
        <v>0.80481491273509997</v>
      </c>
      <c r="BAH12" s="7">
        <v>5.0537530522850899E-2</v>
      </c>
      <c r="BAI12" s="7">
        <v>-0.25125981145666498</v>
      </c>
      <c r="BAJ12" s="7">
        <v>0.60254125570369998</v>
      </c>
      <c r="BAK12" s="7">
        <v>1.6791190184987399</v>
      </c>
      <c r="BAL12" s="7">
        <v>0.76082599392183503</v>
      </c>
      <c r="BAM12" s="7">
        <v>0.84045230075018196</v>
      </c>
      <c r="BAN12" s="7">
        <v>-0.64801454534877201</v>
      </c>
      <c r="BAO12" s="7">
        <v>0.25286616321495398</v>
      </c>
      <c r="BAP12" s="7">
        <v>0.18436247386489499</v>
      </c>
      <c r="BAQ12" s="7">
        <v>-0.34073129556996901</v>
      </c>
      <c r="BAR12" s="7">
        <v>0.33214404778962697</v>
      </c>
      <c r="BAS12" s="7">
        <v>0.15816603677656799</v>
      </c>
      <c r="BAT12" s="7">
        <v>-1.56076660034785E-2</v>
      </c>
      <c r="BAU12" s="7">
        <v>0.95886640430882097</v>
      </c>
      <c r="BAV12" s="7">
        <v>-1.3748592109342099</v>
      </c>
      <c r="BAW12" s="7">
        <v>2.2320673548759</v>
      </c>
      <c r="BAX12" s="7">
        <v>-0.29253676956154001</v>
      </c>
      <c r="BAY12" s="7">
        <v>1.6837211686774201E-2</v>
      </c>
      <c r="BAZ12" s="7">
        <v>0.27517793280432401</v>
      </c>
      <c r="BBA12" s="7">
        <v>1.71552375802975</v>
      </c>
      <c r="BBB12" s="7">
        <v>-1.4069516169938701</v>
      </c>
      <c r="BBC12" s="7">
        <v>-0.442815259401793</v>
      </c>
      <c r="BBD12" s="7">
        <v>1.1600815800390401</v>
      </c>
      <c r="BBE12" s="7">
        <v>-1.1563770091085701</v>
      </c>
      <c r="BBF12" s="7">
        <v>1.07004152369114</v>
      </c>
      <c r="BBG12" s="7">
        <v>-0.56499997223771403</v>
      </c>
      <c r="BBH12" s="7">
        <v>-0.50032744060720002</v>
      </c>
      <c r="BBI12" s="7">
        <v>0.29760945316556398</v>
      </c>
      <c r="BBJ12" s="7">
        <v>-2.6629803651603399</v>
      </c>
      <c r="BBK12" s="7">
        <v>-0.53070342664338599</v>
      </c>
      <c r="BBL12" s="7">
        <v>0.101368903162235</v>
      </c>
      <c r="BBM12" s="7">
        <v>-0.79504892435594698</v>
      </c>
      <c r="BBN12" s="7">
        <v>-0.155167019918559</v>
      </c>
      <c r="BBO12" s="7">
        <v>1.0233399180346501</v>
      </c>
      <c r="BBP12" s="7">
        <v>0.498751975991021</v>
      </c>
      <c r="BBQ12" s="7">
        <v>0.91493535590334596</v>
      </c>
      <c r="BBR12" s="7">
        <v>-0.16628003522493501</v>
      </c>
      <c r="BBS12" s="7">
        <v>-2.5399842293256598</v>
      </c>
      <c r="BBT12" s="7">
        <v>0.68086031201996999</v>
      </c>
      <c r="BBU12" s="7">
        <v>1.0887454994442001</v>
      </c>
      <c r="BBV12" s="7">
        <v>1.4031402077058099</v>
      </c>
      <c r="BBW12" s="7">
        <v>2.04680602941204</v>
      </c>
      <c r="BBX12" s="7">
        <v>0.61353056587967802</v>
      </c>
      <c r="BBY12" s="7">
        <v>1.3707423701085499</v>
      </c>
      <c r="BBZ12" s="7">
        <v>-0.64139800095622002</v>
      </c>
      <c r="BCA12" s="7">
        <v>-0.25102538685442199</v>
      </c>
      <c r="BCB12" s="7">
        <v>0.53445759890548405</v>
      </c>
      <c r="BCC12" s="7">
        <v>-3.2345966642275799E-2</v>
      </c>
      <c r="BCD12" s="7">
        <v>2.2910794373610002</v>
      </c>
      <c r="BCE12" s="7">
        <v>1.20236107694349</v>
      </c>
      <c r="BCF12" s="7">
        <v>-0.385888377015983</v>
      </c>
      <c r="BCG12" s="7">
        <v>-0.64599731840807295</v>
      </c>
      <c r="BCH12" s="7">
        <v>-0.26143430826768199</v>
      </c>
      <c r="BCI12" s="7">
        <v>0.57053211390806402</v>
      </c>
      <c r="BCJ12" s="7">
        <v>0.70001893324430697</v>
      </c>
      <c r="BCK12" s="7">
        <v>1.31975911161369</v>
      </c>
      <c r="BCL12" s="7">
        <v>-0.28489127073551801</v>
      </c>
      <c r="BCM12" s="7">
        <v>1.31396364200808</v>
      </c>
      <c r="BCN12" s="7">
        <v>0.46688315379726097</v>
      </c>
      <c r="BCO12" s="7">
        <v>-1.14629498667149</v>
      </c>
      <c r="BCP12" s="7">
        <v>0.25572375448574097</v>
      </c>
      <c r="BCQ12" s="7">
        <v>1.39515308258</v>
      </c>
      <c r="BCR12" s="7">
        <v>0.46659319802355798</v>
      </c>
      <c r="BCS12" s="7">
        <v>0.90668755447850902</v>
      </c>
      <c r="BCT12" s="7">
        <v>-0.31167853600273798</v>
      </c>
      <c r="BCU12" s="7">
        <v>0.69003024951181802</v>
      </c>
      <c r="BCV12" s="7">
        <v>0.77444050990784696</v>
      </c>
      <c r="BCW12" s="7">
        <v>-0.40945199695770601</v>
      </c>
      <c r="BCX12" s="7">
        <v>-1.3781042764056901</v>
      </c>
      <c r="BCY12" s="7">
        <v>-0.26595308164749598</v>
      </c>
      <c r="BCZ12" s="7">
        <v>0.388068793609119</v>
      </c>
      <c r="BDA12" s="7">
        <v>0.95949893806364595</v>
      </c>
      <c r="BDB12" s="7">
        <v>-0.14034547622903901</v>
      </c>
      <c r="BDC12" s="7">
        <v>0.72981285594659095</v>
      </c>
      <c r="BDD12" s="7">
        <v>0.71470664212389201</v>
      </c>
      <c r="BDE12" s="7">
        <v>0.37734654974114401</v>
      </c>
      <c r="BDF12" s="7">
        <v>-0.77429962353315895</v>
      </c>
      <c r="BDG12" s="7">
        <v>-1.1607122454993799</v>
      </c>
      <c r="BDH12" s="7">
        <v>-8.0117342815125406E-2</v>
      </c>
      <c r="BDI12" s="7">
        <v>1.5864048457909701</v>
      </c>
      <c r="BDJ12" s="7">
        <v>-0.27069641844179998</v>
      </c>
      <c r="BDK12" s="7">
        <v>0.24257811811515301</v>
      </c>
      <c r="BDL12" s="7">
        <v>1.6540535445736999</v>
      </c>
      <c r="BDM12" s="7">
        <v>-1.67208325360404</v>
      </c>
      <c r="BDN12" s="7">
        <v>7.8260244964011502E-2</v>
      </c>
      <c r="BDO12" s="7">
        <v>0.54145361444199502</v>
      </c>
      <c r="BDP12" s="7">
        <v>-1.73003270654786</v>
      </c>
      <c r="BDQ12" s="7">
        <v>0.57020270749201696</v>
      </c>
      <c r="BDR12" s="7">
        <v>-1.64132182418232</v>
      </c>
      <c r="BDS12" s="7">
        <v>-0.93460382053304103</v>
      </c>
      <c r="BDT12" s="7">
        <v>-2.4758808675700001E-5</v>
      </c>
      <c r="BDU12" s="7">
        <v>-0.38579890466188199</v>
      </c>
      <c r="BDV12" s="7">
        <v>1.1553163883628299</v>
      </c>
      <c r="BDW12" s="7">
        <v>-3.4221934360935402E-2</v>
      </c>
      <c r="BDX12" s="7">
        <v>-0.94931175416567803</v>
      </c>
      <c r="BDY12" s="7">
        <v>-0.20786759996860801</v>
      </c>
      <c r="BDZ12" s="7">
        <v>-0.35462837270942699</v>
      </c>
      <c r="BEA12" s="7">
        <v>1.1244299994248299</v>
      </c>
      <c r="BEB12" s="7">
        <v>-0.84393305211916803</v>
      </c>
      <c r="BEC12" s="7">
        <v>0.33895004384599697</v>
      </c>
      <c r="BED12" s="7">
        <v>1.25221448922388</v>
      </c>
      <c r="BEE12" s="7">
        <v>0.51262661783683705</v>
      </c>
      <c r="BEF12" s="7">
        <v>-0.70648529975098195</v>
      </c>
      <c r="BEG12" s="7">
        <v>0.58491727165000895</v>
      </c>
      <c r="BEH12" s="7">
        <v>0.61825209755571797</v>
      </c>
      <c r="BEI12" s="7">
        <v>-0.774781600613767</v>
      </c>
      <c r="BEJ12" s="7">
        <v>1.21350771966162</v>
      </c>
      <c r="BEK12" s="7">
        <v>0.53617074496347905</v>
      </c>
      <c r="BEL12" s="7">
        <v>2.0229700332764802</v>
      </c>
      <c r="BEM12" s="7">
        <v>0.51324233474387404</v>
      </c>
      <c r="BEN12" s="7">
        <v>-1.76723522999399</v>
      </c>
      <c r="BEO12" s="7">
        <v>1.65390595785156</v>
      </c>
      <c r="BEP12" s="7">
        <v>-1.5673158037519599</v>
      </c>
      <c r="BEQ12" s="7">
        <v>1.3032970695421899</v>
      </c>
      <c r="BER12" s="7">
        <v>2.0694767586160698</v>
      </c>
      <c r="BES12" s="7">
        <v>0.13350950312672499</v>
      </c>
      <c r="BET12" s="7">
        <v>-1.5669420227967401</v>
      </c>
      <c r="BEU12" s="7">
        <v>-1.4733486904334501</v>
      </c>
      <c r="BEV12" s="7">
        <v>5.44074978826527E-2</v>
      </c>
      <c r="BEW12" s="7">
        <v>-0.41330109892170203</v>
      </c>
      <c r="BEX12" s="7">
        <v>1.6579205997031701</v>
      </c>
      <c r="BEY12" s="7">
        <v>-0.37349251580939002</v>
      </c>
      <c r="BEZ12" s="7">
        <v>1.4267537739144001</v>
      </c>
      <c r="BFA12" s="7">
        <v>-1.5719414586934499</v>
      </c>
      <c r="BFB12" s="7">
        <v>1.4153378021548599</v>
      </c>
      <c r="BFC12" s="7">
        <v>-1.75268726747587</v>
      </c>
      <c r="BFD12" s="7">
        <v>2.3111635455082098</v>
      </c>
      <c r="BFE12" s="7">
        <v>2.6401007497714302</v>
      </c>
      <c r="BFF12" s="7">
        <v>0.109098340146058</v>
      </c>
      <c r="BFG12" s="7">
        <v>1.0561012052693699</v>
      </c>
      <c r="BFH12" s="7">
        <v>1.64173205335659</v>
      </c>
      <c r="BFI12" s="7">
        <v>1.1589979445951799</v>
      </c>
      <c r="BFJ12" s="7">
        <v>0.2790247016986</v>
      </c>
      <c r="BFK12" s="7">
        <v>-0.62947840648819797</v>
      </c>
      <c r="BFL12" s="7">
        <v>-1.0059416055469099</v>
      </c>
      <c r="BFM12" s="7">
        <v>1.08719530258207</v>
      </c>
      <c r="BFN12" s="7">
        <v>0.32970764059382801</v>
      </c>
      <c r="BFO12" s="7">
        <v>1.6841197476345</v>
      </c>
      <c r="BFP12" s="7">
        <v>-0.84265863199527502</v>
      </c>
      <c r="BFQ12" s="7">
        <v>0.62592666633612504</v>
      </c>
      <c r="BFR12" s="7">
        <v>0.52548174313672602</v>
      </c>
      <c r="BFS12" s="7">
        <v>1.1667069185149099</v>
      </c>
      <c r="BFT12" s="7">
        <v>0.34906254427354799</v>
      </c>
      <c r="BFU12" s="7">
        <v>1.0691015640457</v>
      </c>
      <c r="BFV12" s="7">
        <v>0.24916809804780099</v>
      </c>
      <c r="BFW12" s="7">
        <v>1.17119994274326</v>
      </c>
      <c r="BFX12" s="7">
        <v>-0.93147043564676202</v>
      </c>
      <c r="BFY12" s="7">
        <v>1.6313705698310399</v>
      </c>
      <c r="BFZ12" s="7">
        <v>0.32695361290454</v>
      </c>
      <c r="BGA12" s="7">
        <v>1.92819159469381</v>
      </c>
      <c r="BGB12" s="7">
        <v>5.6698358357662501E-2</v>
      </c>
      <c r="BGC12" s="7">
        <v>0.86675354109587499</v>
      </c>
      <c r="BGD12" s="7">
        <v>1.72802267295481</v>
      </c>
      <c r="BGE12" s="7">
        <v>0.79991863931602203</v>
      </c>
      <c r="BGF12" s="7">
        <v>0.27681076889670198</v>
      </c>
      <c r="BGG12" s="7">
        <v>7.7593763730504306E-2</v>
      </c>
      <c r="BGH12" s="7">
        <v>-0.62772571694242796</v>
      </c>
      <c r="BGI12" s="7">
        <v>-1.8378213583790399</v>
      </c>
      <c r="BGJ12" s="7">
        <v>0.46675490162632299</v>
      </c>
      <c r="BGK12" s="7">
        <v>-1.5549617594137</v>
      </c>
      <c r="BGL12" s="7">
        <v>1.19541480329421</v>
      </c>
      <c r="BGM12" s="7">
        <v>-0.368641540241058</v>
      </c>
      <c r="BGN12" s="7">
        <v>0.43686088433304299</v>
      </c>
      <c r="BGO12" s="7">
        <v>-0.26543293279990798</v>
      </c>
      <c r="BGP12" s="7">
        <v>0.60142958703581995</v>
      </c>
      <c r="BGQ12" s="7">
        <v>1.1563625581886201</v>
      </c>
      <c r="BGR12" s="7">
        <v>-0.34881119453500797</v>
      </c>
      <c r="BGS12" s="7">
        <v>1.7297424194811299</v>
      </c>
      <c r="BGT12" s="7">
        <v>-0.242970258341064</v>
      </c>
      <c r="BGU12" s="7">
        <v>0.776064531303993</v>
      </c>
      <c r="BGV12" s="7">
        <v>-1.8661073877816401</v>
      </c>
      <c r="BGW12" s="7">
        <v>2.1069145230995501</v>
      </c>
      <c r="BGX12" s="7">
        <v>-0.42014091271377002</v>
      </c>
      <c r="BGY12" s="7">
        <v>-0.70859935522984996</v>
      </c>
      <c r="BGZ12" s="7">
        <v>0.44398905507807601</v>
      </c>
      <c r="BHA12" s="7">
        <v>-0.181367053578015</v>
      </c>
      <c r="BHB12" s="7">
        <v>0.39158255091939098</v>
      </c>
      <c r="BHC12" s="7">
        <v>-0.65302795002209502</v>
      </c>
      <c r="BHD12" s="7">
        <v>0.33184245736176199</v>
      </c>
      <c r="BHE12" s="7">
        <v>0.88977443344520701</v>
      </c>
      <c r="BHF12" s="7">
        <v>-0.60139672772716801</v>
      </c>
      <c r="BHG12" s="7">
        <v>0.339256922485904</v>
      </c>
      <c r="BHH12" s="7">
        <v>-0.451778502700238</v>
      </c>
      <c r="BHI12" s="7">
        <v>-0.78730409998041995</v>
      </c>
      <c r="BHJ12" s="7">
        <v>0.33585679969881299</v>
      </c>
      <c r="BHK12" s="7">
        <v>1.8007209943285301</v>
      </c>
      <c r="BHL12" s="7">
        <v>2.2675215151267601E-2</v>
      </c>
      <c r="BHM12" s="7">
        <v>0.40556414779224897</v>
      </c>
      <c r="BHN12" s="7">
        <v>0.94381403885542403</v>
      </c>
      <c r="BHO12" s="7">
        <v>-0.10816146026708701</v>
      </c>
      <c r="BHP12" s="7">
        <v>-0.474144605168619</v>
      </c>
      <c r="BHQ12" s="7">
        <v>-0.82478789561441501</v>
      </c>
      <c r="BHR12" s="7">
        <v>0.84033936933435005</v>
      </c>
      <c r="BHS12" s="7">
        <v>-0.63157569156631799</v>
      </c>
      <c r="BHT12" s="7">
        <v>-0.49574494328555102</v>
      </c>
      <c r="BHU12" s="7">
        <v>1.5061654265342901</v>
      </c>
      <c r="BHV12" s="7">
        <v>4.71318478054139E-2</v>
      </c>
      <c r="BHW12" s="7">
        <v>1.08704236623803</v>
      </c>
      <c r="BHX12" s="7">
        <v>-2.85020756955995E-2</v>
      </c>
      <c r="BHY12" s="7">
        <v>1.4794912332158201</v>
      </c>
      <c r="BHZ12" s="7">
        <v>0.556896911153973</v>
      </c>
      <c r="BIA12" s="7">
        <v>0.50780889692022602</v>
      </c>
      <c r="BIB12" s="7">
        <v>-0.57261699651501097</v>
      </c>
      <c r="BIC12" s="7">
        <v>-0.59361912292336705</v>
      </c>
      <c r="BID12" s="7">
        <v>-0.41800890242642902</v>
      </c>
      <c r="BIE12" s="7">
        <v>-1.08615094575535</v>
      </c>
      <c r="BIF12" s="7">
        <v>-0.28350917891295102</v>
      </c>
      <c r="BIG12" s="7">
        <v>-0.105597787580458</v>
      </c>
      <c r="BIH12" s="7">
        <v>-0.85358881960590904</v>
      </c>
      <c r="BII12" s="7">
        <v>-1.65910058645994</v>
      </c>
      <c r="BIJ12" s="7">
        <v>-1.2033419823493801</v>
      </c>
      <c r="BIK12" s="7">
        <v>1.0245803741653099</v>
      </c>
      <c r="BIL12" s="7">
        <v>0.67539508990517805</v>
      </c>
      <c r="BIM12" s="7">
        <v>2.5092123650154998</v>
      </c>
      <c r="BIN12" s="7">
        <v>0.82889206259466897</v>
      </c>
      <c r="BIO12" s="7">
        <v>1.4101533548559699</v>
      </c>
      <c r="BIP12" s="7">
        <v>-0.68870447856802197</v>
      </c>
      <c r="BIQ12" s="7">
        <v>0.55280486410407803</v>
      </c>
      <c r="BIR12" s="7">
        <v>-0.42209936056664998</v>
      </c>
      <c r="BIS12" s="7">
        <v>-1.7696327648755501</v>
      </c>
      <c r="BIT12" s="7">
        <v>-1.15181808084533</v>
      </c>
      <c r="BIU12" s="7">
        <v>1.26618230777292</v>
      </c>
      <c r="BIV12" s="7">
        <v>7.8793595932202698E-2</v>
      </c>
      <c r="BIW12" s="7">
        <v>0.13203822704083401</v>
      </c>
      <c r="BIX12" s="7">
        <v>0.19088046508679199</v>
      </c>
      <c r="BIY12" s="7">
        <v>-0.46153308615981897</v>
      </c>
      <c r="BIZ12" s="7">
        <v>-1.97267809409182</v>
      </c>
      <c r="BJA12" s="7">
        <v>1.9287654373437499</v>
      </c>
      <c r="BJB12" s="7">
        <v>0.155582440761798</v>
      </c>
      <c r="BJC12" s="7">
        <v>0.619805856510936</v>
      </c>
      <c r="BJD12" s="7">
        <v>0.38032354605151503</v>
      </c>
      <c r="BJE12" s="7">
        <v>1.1458372051689101</v>
      </c>
      <c r="BJF12" s="7">
        <v>-0.43401252464978901</v>
      </c>
      <c r="BJG12" s="7">
        <v>0.54219628141815002</v>
      </c>
      <c r="BJH12" s="7">
        <v>0.38561304986405098</v>
      </c>
      <c r="BJI12" s="7">
        <v>0.42772395748775699</v>
      </c>
      <c r="BJJ12" s="7">
        <v>-0.71694404918441001</v>
      </c>
      <c r="BJK12" s="7">
        <v>0.59124429128657996</v>
      </c>
      <c r="BJL12" s="7">
        <v>-1.0494631962654799</v>
      </c>
      <c r="BJM12" s="7">
        <v>0.15216220554714199</v>
      </c>
      <c r="BJN12" s="7">
        <v>0.115551313327196</v>
      </c>
      <c r="BJO12" s="7">
        <v>0.65708381146105299</v>
      </c>
      <c r="BJP12" s="7">
        <v>0.10061088988446</v>
      </c>
      <c r="BJQ12" s="7">
        <v>0.95062834957045494</v>
      </c>
      <c r="BJR12" s="7">
        <v>2.2450516671679899</v>
      </c>
      <c r="BJS12" s="7">
        <v>-0.20503096922206099</v>
      </c>
      <c r="BJT12" s="7">
        <v>0.60437597151800204</v>
      </c>
      <c r="BJU12" s="7">
        <v>0.17563636070750799</v>
      </c>
      <c r="BJV12" s="7">
        <v>0.43623881153865401</v>
      </c>
      <c r="BJW12" s="7">
        <v>-0.163614695159258</v>
      </c>
      <c r="BJX12" s="7">
        <v>0.33565545034025901</v>
      </c>
      <c r="BJY12" s="7">
        <v>0.13573029052258001</v>
      </c>
      <c r="BJZ12" s="7">
        <v>1.1294520692697501</v>
      </c>
      <c r="BKA12" s="7">
        <v>2.52309421004401E-2</v>
      </c>
      <c r="BKB12" s="7">
        <v>1.7446790407689099</v>
      </c>
      <c r="BKC12" s="7">
        <v>-1.39877336372157</v>
      </c>
      <c r="BKD12" s="7">
        <v>0.26045293235399902</v>
      </c>
      <c r="BKE12" s="7">
        <v>0.14137188446288501</v>
      </c>
      <c r="BKF12" s="7">
        <v>5.9885773451775898E-2</v>
      </c>
      <c r="BKG12" s="7">
        <v>-1.5791824332303199</v>
      </c>
      <c r="BKH12" s="7">
        <v>0.80680496937648205</v>
      </c>
      <c r="BKI12" s="7">
        <v>-1.4380036672872201</v>
      </c>
      <c r="BKJ12" s="7">
        <v>-6.4136922264758003E-3</v>
      </c>
      <c r="BKK12" s="7">
        <v>7.6236013881673999E-3</v>
      </c>
      <c r="BKL12" s="7">
        <v>0.50710661942331803</v>
      </c>
      <c r="BKM12" s="7">
        <v>0.82935026589416605</v>
      </c>
      <c r="BKN12" s="7">
        <v>-1.62100276978222</v>
      </c>
      <c r="BKO12" s="7">
        <v>-0.66476196283824796</v>
      </c>
      <c r="BKP12" s="7">
        <v>1.1433581245381199</v>
      </c>
      <c r="BKQ12" s="7">
        <v>-0.218910815128006</v>
      </c>
      <c r="BKR12" s="7">
        <v>-0.68164592552334202</v>
      </c>
      <c r="BKS12" s="7">
        <v>0.196039759010945</v>
      </c>
      <c r="BKT12" s="7">
        <v>-0.82196770166622402</v>
      </c>
      <c r="BKU12" s="7">
        <v>0.55159228800276905</v>
      </c>
      <c r="BKV12" s="7">
        <v>-0.17857695970377799</v>
      </c>
      <c r="BKW12" s="7">
        <v>-1.22517713905079</v>
      </c>
      <c r="BKX12" s="7">
        <v>-0.72571762851787902</v>
      </c>
      <c r="BKY12" s="7">
        <v>-0.435532122150319</v>
      </c>
      <c r="BKZ12" s="7">
        <v>0.75725564148713298</v>
      </c>
      <c r="BLA12" s="7">
        <v>0.93752763824450902</v>
      </c>
      <c r="BLB12" s="7">
        <v>1.8474009584256801</v>
      </c>
      <c r="BLC12" s="7">
        <v>-0.90968318269748905</v>
      </c>
      <c r="BLD12" s="7">
        <v>0.74500837779049101</v>
      </c>
      <c r="BLE12" s="7">
        <v>1.3528815570498001</v>
      </c>
      <c r="BLF12" s="7">
        <v>0.375542299571962</v>
      </c>
      <c r="BLG12" s="7">
        <v>-1.0041630389317</v>
      </c>
      <c r="BLH12" s="7">
        <v>-0.17322777031224201</v>
      </c>
      <c r="BLI12" s="7">
        <v>-0.77289045171736503</v>
      </c>
      <c r="BLJ12" s="7">
        <v>-1.2944751496720299</v>
      </c>
      <c r="BLK12" s="7">
        <v>-1.8765983314600401</v>
      </c>
      <c r="BLL12" s="7">
        <v>-0.629108349039465</v>
      </c>
      <c r="BLM12" s="7">
        <v>0.97978275171501805</v>
      </c>
      <c r="BLN12" s="7">
        <v>-1.10700307311034</v>
      </c>
      <c r="BLO12" s="7">
        <v>-0.63321366286950398</v>
      </c>
      <c r="BLP12" s="7">
        <v>-0.38342343041611898</v>
      </c>
      <c r="BLQ12" s="7">
        <v>-0.911730412929326</v>
      </c>
      <c r="BLR12" s="7">
        <v>0.40336232911792702</v>
      </c>
      <c r="BLS12" s="7">
        <v>-0.131233802218684</v>
      </c>
      <c r="BLT12" s="7">
        <v>-0.106070031791453</v>
      </c>
      <c r="BLU12" s="7">
        <v>-0.37448802997220698</v>
      </c>
      <c r="BLV12" s="7">
        <v>-1.2297472835807699</v>
      </c>
      <c r="BLW12" s="7">
        <v>-2.2928161657822002</v>
      </c>
      <c r="BLX12" s="7">
        <v>-1.2624031238661499</v>
      </c>
      <c r="BLY12" s="7">
        <v>0.60823694767689795</v>
      </c>
      <c r="BLZ12" s="7">
        <v>-0.127522224445311</v>
      </c>
      <c r="BMA12" s="7">
        <v>1.3433788023278099</v>
      </c>
      <c r="BMB12" s="7">
        <v>-1.5924438782956301</v>
      </c>
      <c r="BMC12" s="7">
        <v>-7.6815130813513696E-2</v>
      </c>
      <c r="BMD12" s="7">
        <v>0.59087909813509099</v>
      </c>
      <c r="BME12" s="7">
        <v>-1.05293002684242</v>
      </c>
      <c r="BMF12" s="7">
        <v>-1.12159263888765</v>
      </c>
      <c r="BMG12" s="7">
        <v>-0.57619181859595803</v>
      </c>
      <c r="BMH12" s="7">
        <v>-1.9847743493291701</v>
      </c>
      <c r="BMI12" s="7">
        <v>-1.818246408809</v>
      </c>
      <c r="BMJ12" s="7">
        <v>-1.2113088206981</v>
      </c>
      <c r="BMK12" s="7">
        <v>0.33196511973103499</v>
      </c>
      <c r="BML12" s="7">
        <v>9.9562557024774206E-2</v>
      </c>
      <c r="BMM12" s="7">
        <v>0.27649963503289798</v>
      </c>
      <c r="BMN12" s="7">
        <v>-1.05031216956989</v>
      </c>
      <c r="BMO12" s="7">
        <v>-0.77119860543722996</v>
      </c>
      <c r="BMP12" s="7">
        <v>0.43732778574330999</v>
      </c>
      <c r="BMQ12" s="7">
        <v>0.30278804677876198</v>
      </c>
      <c r="BMR12" s="7">
        <v>0.50482465898157602</v>
      </c>
      <c r="BMS12" s="7">
        <v>1.1195433791218801</v>
      </c>
      <c r="BMT12" s="7">
        <v>-0.78612970361025303</v>
      </c>
      <c r="BMU12" s="7">
        <v>0.36297244818934299</v>
      </c>
      <c r="BMV12" s="7">
        <v>0.923080581695081</v>
      </c>
      <c r="BMW12" s="7">
        <v>-0.24347172199859499</v>
      </c>
      <c r="BMX12" s="7">
        <v>-0.49226252833657003</v>
      </c>
      <c r="BMY12" s="7">
        <v>-2.1340585788277902</v>
      </c>
      <c r="BMZ12" s="7">
        <v>8.6621811473139992E-3</v>
      </c>
      <c r="BNA12" s="7">
        <v>-1.1642323474999201</v>
      </c>
      <c r="BNB12" s="7">
        <v>-0.59335122443204402</v>
      </c>
      <c r="BNC12" s="7">
        <v>2.0227973033959201</v>
      </c>
      <c r="BND12" s="7">
        <v>-0.65824767622137204</v>
      </c>
      <c r="BNE12" s="7">
        <v>-2.3197113196968902</v>
      </c>
      <c r="BNF12" s="7">
        <v>-1.3837157325120799</v>
      </c>
      <c r="BNG12" s="7">
        <v>-1.66519427995069</v>
      </c>
      <c r="BNH12" s="7">
        <v>0.80933641674102796</v>
      </c>
      <c r="BNI12" s="7">
        <v>-0.43474881391705</v>
      </c>
      <c r="BNJ12" s="7">
        <v>-1.9766796398620301</v>
      </c>
      <c r="BNK12" s="7">
        <v>0.165320928741196</v>
      </c>
      <c r="BNL12" s="7">
        <v>0.53488460076714905</v>
      </c>
      <c r="BNM12" s="7">
        <v>-0.78854980054077795</v>
      </c>
      <c r="BNN12" s="7">
        <v>-7.8906936997144905E-2</v>
      </c>
      <c r="BNO12" s="7">
        <v>0.63159288195867802</v>
      </c>
      <c r="BNP12" s="7">
        <v>0.95615457042119201</v>
      </c>
      <c r="BNQ12" s="7">
        <v>0.121890945602441</v>
      </c>
      <c r="BNR12" s="7">
        <v>-0.168637360819958</v>
      </c>
      <c r="BNS12" s="7">
        <v>1.1839533663053201</v>
      </c>
      <c r="BNT12" s="7">
        <v>1.77542695756816</v>
      </c>
      <c r="BNU12" s="7">
        <v>-0.233747649701045</v>
      </c>
      <c r="BNV12" s="7">
        <v>6.4310969076888297E-2</v>
      </c>
      <c r="BNW12" s="7">
        <v>0.451103241458162</v>
      </c>
      <c r="BNX12" s="7">
        <v>-0.951988794899159</v>
      </c>
      <c r="BNY12" s="7">
        <v>0.99171676747605098</v>
      </c>
      <c r="BNZ12" s="7">
        <v>0.59376261197272195</v>
      </c>
      <c r="BOA12" s="7">
        <v>-1.57922853761574</v>
      </c>
      <c r="BOB12" s="7">
        <v>0.67495304703522796</v>
      </c>
      <c r="BOC12" s="7">
        <v>-2.2439297687998701</v>
      </c>
      <c r="BOD12" s="7">
        <v>0.361417736143335</v>
      </c>
      <c r="BOE12" s="7">
        <v>0.99931255019424203</v>
      </c>
      <c r="BOF12" s="7">
        <v>0.101855972952394</v>
      </c>
      <c r="BOG12" s="7">
        <v>-9.6615540574113298E-2</v>
      </c>
      <c r="BOH12" s="7">
        <v>2.3798185688942599</v>
      </c>
      <c r="BOI12" s="7">
        <v>0.17500896424801601</v>
      </c>
      <c r="BOJ12" s="7">
        <v>6.4476493270983801E-2</v>
      </c>
      <c r="BOK12" s="7">
        <v>0.23137850425685999</v>
      </c>
      <c r="BOL12" s="7">
        <v>-1.17099373158091</v>
      </c>
      <c r="BOM12" s="7">
        <v>9.41211151142788E-2</v>
      </c>
      <c r="BON12" s="7">
        <v>-1.4774947219363399</v>
      </c>
      <c r="BOO12" s="7">
        <v>-0.34666759327557201</v>
      </c>
      <c r="BOP12" s="7">
        <v>-1.4326769802824999</v>
      </c>
      <c r="BOQ12" s="7">
        <v>1.1013144216789601</v>
      </c>
      <c r="BOR12" s="7">
        <v>1.0804664837446401E-2</v>
      </c>
      <c r="BOS12" s="7">
        <v>-0.81712159843700305</v>
      </c>
      <c r="BOT12" s="7">
        <v>0.80444947018996005</v>
      </c>
      <c r="BOU12" s="7">
        <v>2.60612891893141E-2</v>
      </c>
      <c r="BOV12" s="7">
        <v>0.70363526743007698</v>
      </c>
      <c r="BOW12" s="7">
        <v>-0.56019729821626996</v>
      </c>
      <c r="BOX12" s="7">
        <v>-0.79550755211084201</v>
      </c>
      <c r="BOY12" s="7">
        <v>0.58347215899125404</v>
      </c>
      <c r="BOZ12" s="7">
        <v>-0.71005759314329098</v>
      </c>
      <c r="BPA12" s="7">
        <v>1.21949780468081</v>
      </c>
      <c r="BPB12" s="7">
        <v>-0.339863413331294</v>
      </c>
      <c r="BPC12" s="7">
        <v>0.182351745995326</v>
      </c>
      <c r="BPD12" s="7">
        <v>1.15329948803343</v>
      </c>
      <c r="BPE12" s="7">
        <v>2.32189113923594</v>
      </c>
      <c r="BPF12" s="7">
        <v>-2.8964437766854399E-2</v>
      </c>
      <c r="BPG12" s="7">
        <v>-0.66382632187353197</v>
      </c>
      <c r="BPH12" s="7">
        <v>1.8019797537048301</v>
      </c>
      <c r="BPI12" s="7">
        <v>0.48955439040153198</v>
      </c>
      <c r="BPJ12" s="7">
        <v>1.1238881788094199</v>
      </c>
      <c r="BPK12" s="7">
        <v>-0.41933336445903002</v>
      </c>
      <c r="BPL12" s="7">
        <v>-1.29575430400273</v>
      </c>
      <c r="BPM12" s="7">
        <v>-0.259103447412244</v>
      </c>
      <c r="BPN12" s="7">
        <v>0.87200737463575695</v>
      </c>
      <c r="BPO12" s="7">
        <v>9.1728893143510404E-2</v>
      </c>
      <c r="BPP12" s="7">
        <v>0.24167813874493899</v>
      </c>
      <c r="BPQ12" s="7">
        <v>-1.05434464534733</v>
      </c>
      <c r="BPR12" s="7">
        <v>1.2324232907607899</v>
      </c>
      <c r="BPS12" s="7">
        <v>0.18211793896619399</v>
      </c>
      <c r="BPT12" s="7">
        <v>1.1111199157513401</v>
      </c>
      <c r="BPU12" s="7">
        <v>4.5369772024871802E-2</v>
      </c>
      <c r="BPV12" s="7">
        <v>0.97238368881165704</v>
      </c>
      <c r="BPW12" s="7">
        <v>-1.1303215276779299</v>
      </c>
      <c r="BPX12" s="7">
        <v>-0.16607195067215699</v>
      </c>
      <c r="BPY12" s="7">
        <v>0.13135646134054599</v>
      </c>
      <c r="BPZ12" s="7">
        <v>-0.99279493804462204</v>
      </c>
      <c r="BQA12" s="7">
        <v>0.69900198632576405</v>
      </c>
      <c r="BQB12" s="7">
        <v>-7.7782071420255394E-2</v>
      </c>
      <c r="BQC12" s="7">
        <v>-1.70300080474369</v>
      </c>
      <c r="BQD12" s="7">
        <v>0.44517703217695298</v>
      </c>
      <c r="BQE12" s="7">
        <v>1.9956108965983901</v>
      </c>
      <c r="BQF12" s="7">
        <v>1.6822124829997499E-2</v>
      </c>
      <c r="BQG12" s="7">
        <v>0.36410207127660899</v>
      </c>
      <c r="BQH12" s="7">
        <v>0.72078524937675403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BD1145"/>
  <sheetViews>
    <sheetView showGridLines="0" workbookViewId="0">
      <pane xSplit="2" ySplit="3" topLeftCell="C4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6" customWidth="1"/>
    <col min="2" max="3" width="8" customWidth="1"/>
    <col min="4" max="4" width="7" customWidth="1"/>
    <col min="5" max="7" width="11" customWidth="1"/>
    <col min="8" max="9" width="10" customWidth="1"/>
    <col min="10" max="10" width="12" customWidth="1"/>
    <col min="11" max="11" width="11" customWidth="1"/>
    <col min="12" max="12" width="12" customWidth="1"/>
    <col min="13" max="13" width="11" customWidth="1"/>
    <col min="14" max="14" width="12" customWidth="1"/>
    <col min="15" max="16" width="11" customWidth="1"/>
    <col min="17" max="17" width="13" customWidth="1"/>
    <col min="18" max="18" width="12" customWidth="1"/>
    <col min="19" max="19" width="13" customWidth="1"/>
    <col min="20" max="20" width="11" customWidth="1"/>
    <col min="21" max="21" width="13" customWidth="1"/>
    <col min="22" max="23" width="11" customWidth="1"/>
    <col min="24" max="24" width="13" customWidth="1"/>
    <col min="25" max="25" width="11" customWidth="1"/>
    <col min="26" max="26" width="12" customWidth="1"/>
    <col min="27" max="27" width="13" customWidth="1"/>
    <col min="28" max="30" width="14" customWidth="1"/>
    <col min="31" max="32" width="13" customWidth="1"/>
    <col min="33" max="33" width="12" customWidth="1"/>
    <col min="34" max="36" width="13" customWidth="1"/>
    <col min="37" max="37" width="12" customWidth="1"/>
    <col min="38" max="40" width="13" customWidth="1"/>
    <col min="41" max="43" width="12" customWidth="1"/>
    <col min="44" max="44" width="13" customWidth="1"/>
    <col min="45" max="45" width="10" customWidth="1"/>
    <col min="46" max="46" width="12" customWidth="1"/>
    <col min="47" max="47" width="11" customWidth="1"/>
    <col min="48" max="51" width="13" customWidth="1"/>
    <col min="52" max="54" width="11" customWidth="1"/>
    <col min="55" max="55" width="12" customWidth="1"/>
    <col min="56" max="56" width="13" customWidth="1"/>
  </cols>
  <sheetData>
    <row r="1" spans="1:56" x14ac:dyDescent="0.2">
      <c r="A1" s="3" t="s">
        <v>175</v>
      </c>
    </row>
    <row r="2" spans="1:56" x14ac:dyDescent="0.2">
      <c r="A2" s="10" t="s">
        <v>176</v>
      </c>
      <c r="B2" s="10" t="s">
        <v>177</v>
      </c>
      <c r="C2" s="10" t="s">
        <v>178</v>
      </c>
      <c r="D2" s="10" t="s">
        <v>179</v>
      </c>
      <c r="E2" s="10" t="s">
        <v>180</v>
      </c>
      <c r="F2" s="10" t="s">
        <v>181</v>
      </c>
      <c r="G2" s="10" t="s">
        <v>182</v>
      </c>
      <c r="H2" s="10" t="s">
        <v>183</v>
      </c>
      <c r="I2" s="10" t="s">
        <v>184</v>
      </c>
      <c r="J2" s="10" t="s">
        <v>185</v>
      </c>
      <c r="K2" s="10" t="s">
        <v>186</v>
      </c>
      <c r="L2" s="10" t="s">
        <v>187</v>
      </c>
      <c r="M2" s="10" t="s">
        <v>188</v>
      </c>
      <c r="N2" s="10" t="s">
        <v>189</v>
      </c>
      <c r="O2" s="10" t="s">
        <v>190</v>
      </c>
      <c r="P2" s="10" t="s">
        <v>191</v>
      </c>
      <c r="Q2" s="10" t="s">
        <v>192</v>
      </c>
      <c r="R2" s="10" t="s">
        <v>193</v>
      </c>
      <c r="S2" s="10" t="s">
        <v>194</v>
      </c>
      <c r="T2" s="10" t="s">
        <v>195</v>
      </c>
      <c r="U2" s="10" t="s">
        <v>196</v>
      </c>
      <c r="V2" s="10" t="s">
        <v>197</v>
      </c>
      <c r="W2" s="10" t="s">
        <v>198</v>
      </c>
      <c r="X2" s="10" t="s">
        <v>199</v>
      </c>
      <c r="Y2" s="10" t="s">
        <v>200</v>
      </c>
      <c r="Z2" s="10" t="s">
        <v>201</v>
      </c>
      <c r="AA2" s="10" t="s">
        <v>202</v>
      </c>
      <c r="AB2" s="10" t="s">
        <v>203</v>
      </c>
      <c r="AC2" s="10" t="s">
        <v>204</v>
      </c>
      <c r="AD2" s="10" t="s">
        <v>205</v>
      </c>
      <c r="AE2" s="10" t="s">
        <v>206</v>
      </c>
      <c r="AF2" s="10" t="s">
        <v>207</v>
      </c>
      <c r="AG2" s="10" t="s">
        <v>208</v>
      </c>
      <c r="AH2" s="10" t="s">
        <v>209</v>
      </c>
      <c r="AI2" s="10" t="s">
        <v>210</v>
      </c>
      <c r="AJ2" s="10" t="s">
        <v>211</v>
      </c>
      <c r="AK2" s="10" t="s">
        <v>212</v>
      </c>
      <c r="AL2" s="10" t="s">
        <v>213</v>
      </c>
      <c r="AM2" s="10" t="s">
        <v>214</v>
      </c>
      <c r="AN2" s="10" t="s">
        <v>215</v>
      </c>
      <c r="AO2" s="10" t="s">
        <v>216</v>
      </c>
      <c r="AP2" s="10" t="s">
        <v>217</v>
      </c>
      <c r="AQ2" s="10" t="s">
        <v>218</v>
      </c>
      <c r="AR2" s="10" t="s">
        <v>219</v>
      </c>
      <c r="AS2" s="10" t="s">
        <v>220</v>
      </c>
      <c r="AT2" s="10" t="s">
        <v>221</v>
      </c>
      <c r="AU2" s="10" t="s">
        <v>222</v>
      </c>
      <c r="AV2" s="10" t="s">
        <v>223</v>
      </c>
      <c r="AW2" s="10" t="s">
        <v>224</v>
      </c>
      <c r="AX2" s="10" t="s">
        <v>225</v>
      </c>
      <c r="AY2" s="10" t="s">
        <v>226</v>
      </c>
      <c r="AZ2" s="10" t="s">
        <v>227</v>
      </c>
      <c r="BA2" s="10" t="s">
        <v>228</v>
      </c>
      <c r="BB2" s="10" t="s">
        <v>229</v>
      </c>
      <c r="BC2" s="10" t="s">
        <v>230</v>
      </c>
      <c r="BD2" s="10" t="s">
        <v>231</v>
      </c>
    </row>
    <row r="3" spans="1:56" x14ac:dyDescent="0.2">
      <c r="A3" s="25" t="s">
        <v>232</v>
      </c>
      <c r="B3" s="25" t="s">
        <v>142</v>
      </c>
      <c r="C3" s="25" t="s">
        <v>233</v>
      </c>
      <c r="D3" s="25" t="s">
        <v>234</v>
      </c>
      <c r="E3" s="25" t="s">
        <v>143</v>
      </c>
      <c r="F3" s="25" t="s">
        <v>235</v>
      </c>
      <c r="G3" s="25" t="s">
        <v>236</v>
      </c>
      <c r="H3" s="25" t="s">
        <v>237</v>
      </c>
      <c r="I3" s="25" t="s">
        <v>238</v>
      </c>
      <c r="J3" s="25" t="s">
        <v>239</v>
      </c>
      <c r="K3" s="25" t="s">
        <v>240</v>
      </c>
      <c r="L3" s="25" t="s">
        <v>241</v>
      </c>
      <c r="M3" s="25" t="s">
        <v>242</v>
      </c>
      <c r="N3" s="25" t="s">
        <v>243</v>
      </c>
      <c r="O3" s="25" t="s">
        <v>244</v>
      </c>
      <c r="P3" s="25" t="s">
        <v>245</v>
      </c>
      <c r="Q3" s="25" t="s">
        <v>246</v>
      </c>
      <c r="R3" s="25" t="s">
        <v>247</v>
      </c>
      <c r="S3" s="25" t="s">
        <v>248</v>
      </c>
      <c r="T3" s="25" t="s">
        <v>249</v>
      </c>
      <c r="U3" s="25" t="s">
        <v>250</v>
      </c>
      <c r="V3" s="25" t="s">
        <v>251</v>
      </c>
      <c r="W3" s="25" t="s">
        <v>252</v>
      </c>
      <c r="X3" s="25" t="s">
        <v>253</v>
      </c>
      <c r="Y3" s="25" t="s">
        <v>254</v>
      </c>
      <c r="Z3" s="25" t="s">
        <v>255</v>
      </c>
      <c r="AA3" s="25" t="s">
        <v>256</v>
      </c>
      <c r="AB3" s="25" t="s">
        <v>257</v>
      </c>
      <c r="AC3" s="25" t="s">
        <v>258</v>
      </c>
      <c r="AD3" s="25" t="s">
        <v>259</v>
      </c>
      <c r="AE3" s="25" t="s">
        <v>260</v>
      </c>
      <c r="AF3" s="25" t="s">
        <v>261</v>
      </c>
      <c r="AG3" s="25" t="s">
        <v>262</v>
      </c>
      <c r="AH3" s="25" t="s">
        <v>263</v>
      </c>
      <c r="AI3" s="25" t="s">
        <v>264</v>
      </c>
      <c r="AJ3" s="25" t="s">
        <v>265</v>
      </c>
      <c r="AK3" s="25" t="s">
        <v>266</v>
      </c>
      <c r="AL3" s="25" t="s">
        <v>267</v>
      </c>
      <c r="AM3" s="25" t="s">
        <v>268</v>
      </c>
      <c r="AN3" s="25" t="s">
        <v>269</v>
      </c>
      <c r="AO3" s="25" t="s">
        <v>270</v>
      </c>
      <c r="AP3" s="25" t="s">
        <v>271</v>
      </c>
      <c r="AQ3" s="25" t="s">
        <v>272</v>
      </c>
      <c r="AR3" s="25" t="s">
        <v>273</v>
      </c>
      <c r="AS3" s="25" t="s">
        <v>274</v>
      </c>
      <c r="AT3" s="25" t="s">
        <v>275</v>
      </c>
      <c r="AU3" s="25" t="s">
        <v>276</v>
      </c>
      <c r="AV3" s="25" t="s">
        <v>277</v>
      </c>
      <c r="AW3" s="25" t="s">
        <v>278</v>
      </c>
      <c r="AX3" s="25" t="s">
        <v>279</v>
      </c>
      <c r="AY3" s="25" t="s">
        <v>280</v>
      </c>
      <c r="AZ3" s="25" t="s">
        <v>281</v>
      </c>
      <c r="BA3" s="25" t="s">
        <v>282</v>
      </c>
      <c r="BB3" s="25" t="s">
        <v>283</v>
      </c>
      <c r="BC3" s="25" t="s">
        <v>284</v>
      </c>
      <c r="BD3" s="25" t="s">
        <v>285</v>
      </c>
    </row>
    <row r="4" spans="1:56" x14ac:dyDescent="0.2">
      <c r="A4" s="27">
        <v>0</v>
      </c>
      <c r="B4" s="28">
        <f t="shared" ref="B4:B67" si="0">Duration0+A4</f>
        <v>0</v>
      </c>
      <c r="C4" s="27">
        <f t="shared" ref="C4:C67" si="1">INT(B4/12)</f>
        <v>0</v>
      </c>
      <c r="D4" s="28">
        <f t="shared" ref="D4:D67" si="2">AgeAtEntry+C4</f>
        <v>20</v>
      </c>
      <c r="E4" s="29">
        <f t="shared" ref="E4:E67" si="3">IF(PremiumType="SINGLE",IF(B4=0,PremiumPPInput,0),IF(B4&lt;12*PolicyTerm,PremiumPPInput,0))</f>
        <v>500000</v>
      </c>
      <c r="F4" s="30">
        <f t="shared" ref="F4:F67" si="4">INDEX(MortRates,MATCH(MIN(D4,120),MortAges,0),MAX(MIN(C4,5),0)+1)</f>
        <v>2.3993637567701451E-4</v>
      </c>
      <c r="G4" s="31">
        <f t="shared" ref="G4:G67" si="5">1-(1-F4)^(1/12)</f>
        <v>1.999689714393682E-5</v>
      </c>
      <c r="H4" s="32">
        <f t="shared" ref="H4:H67" si="6">MAX(LapseBase-LapseStep*C4,LapseFloor)</f>
        <v>0.1</v>
      </c>
      <c r="I4" s="32">
        <f t="shared" ref="I4:I67" si="7">IF(HasSurrCharge,INDEX(SurrRates,MIN(C4,SurrDurMax)+1,MATCH(SurrChargeID,SurrTypes,0)),0)</f>
        <v>0</v>
      </c>
      <c r="J4" s="30">
        <f>PolsIfInit</f>
        <v>0</v>
      </c>
      <c r="K4" s="30">
        <f t="shared" ref="K4:K67" si="8">IF(B4=12*PolicyTerm,J4,0)</f>
        <v>0</v>
      </c>
      <c r="L4" s="33">
        <f t="shared" ref="L4:L67" si="9">J4-K4</f>
        <v>0</v>
      </c>
      <c r="M4" s="30">
        <f t="shared" ref="M4:M67" si="10">IF(B4=0,PolicyCount,0)</f>
        <v>100</v>
      </c>
      <c r="N4" s="33">
        <f t="shared" ref="N4:N67" si="11">L4+M4</f>
        <v>100</v>
      </c>
      <c r="O4" s="31">
        <f t="shared" ref="O4:O67" si="12">N4*G4</f>
        <v>1.999689714393682E-3</v>
      </c>
      <c r="P4" s="33">
        <f t="shared" ref="P4:P67" si="13">(N4-O4)*(1-(1-H4)^(1/12))</f>
        <v>0.8741436149601588</v>
      </c>
      <c r="Q4" s="29">
        <f>AvPPInit</f>
        <v>0</v>
      </c>
      <c r="R4" s="29">
        <f t="shared" ref="R4:R67" si="14">(1-LoadPremRate)*E4</f>
        <v>450000</v>
      </c>
      <c r="S4" s="34">
        <f t="shared" ref="S4:S67" si="15">Q4+R4</f>
        <v>450000</v>
      </c>
      <c r="T4" s="29">
        <f t="shared" ref="T4:T67" si="16">MaintFeeRateAnn/12*S4</f>
        <v>375</v>
      </c>
      <c r="U4" s="29">
        <f t="shared" ref="U4:U67" si="17">MAX(SumAssured-S4,0)</f>
        <v>50000</v>
      </c>
      <c r="V4" s="35">
        <f t="shared" ref="V4:V67" si="18">CoiMultiple*G4</f>
        <v>2.1996586858330504E-5</v>
      </c>
      <c r="W4" s="34">
        <f t="shared" ref="W4:W67" si="19">V4*U4</f>
        <v>1.0998293429165251</v>
      </c>
      <c r="X4" s="34">
        <f t="shared" ref="X4:X67" si="20">S4-T4-W4</f>
        <v>449623.90017065709</v>
      </c>
      <c r="Y4" s="36">
        <f t="shared" ref="Y4:Y67" si="21">EXP((Mu-0.5*Sigma^2)/12+Sigma*SQRT(1/12)*INDEX(NormRand,ScenID,A4+1))-1</f>
        <v>-2.2075176209919167E-3</v>
      </c>
      <c r="Z4" s="34">
        <f t="shared" ref="Z4:Z67" si="22">Y4*X4</f>
        <v>-992.55268244583601</v>
      </c>
      <c r="AA4" s="34">
        <f t="shared" ref="AA4:AA67" si="23">X4+0.5*Z4</f>
        <v>449127.62382943416</v>
      </c>
      <c r="AB4" s="34">
        <f t="shared" ref="AB4:AB67" si="24">Q4*J4</f>
        <v>0</v>
      </c>
      <c r="AC4" s="34">
        <f t="shared" ref="AC4:AC67" si="25">Q4*L4</f>
        <v>0</v>
      </c>
      <c r="AD4" s="34">
        <f t="shared" ref="AD4:AD67" si="26">S4*N4</f>
        <v>45000000</v>
      </c>
      <c r="AE4" s="34">
        <f t="shared" ref="AE4:AE67" si="27">E4*N4</f>
        <v>50000000</v>
      </c>
      <c r="AF4" s="34">
        <f t="shared" ref="AF4:AF67" si="28">R4*N4</f>
        <v>45000000</v>
      </c>
      <c r="AG4" s="29">
        <f t="shared" ref="AG4:AG67" si="29">MAX(SumAssured,AA4)</f>
        <v>500000</v>
      </c>
      <c r="AH4" s="34">
        <f t="shared" ref="AH4:AH67" si="30">AG4*O4</f>
        <v>999.84485719684108</v>
      </c>
      <c r="AI4" s="34">
        <f t="shared" ref="AI4:AI67" si="31">AA4*O4</f>
        <v>898.11588982179421</v>
      </c>
      <c r="AJ4" s="34">
        <f t="shared" ref="AJ4:AJ67" si="32">AA4*P4</f>
        <v>392602.04467272793</v>
      </c>
      <c r="AK4" s="34">
        <f t="shared" ref="AK4:AK67" si="33">I4*AA4*P4</f>
        <v>0</v>
      </c>
      <c r="AL4" s="34">
        <f t="shared" ref="AL4:AL67" si="34">AJ4-AK4</f>
        <v>392602.04467272793</v>
      </c>
      <c r="AM4" s="34">
        <f t="shared" ref="AM4:AM67" si="35">Q4*K4</f>
        <v>0</v>
      </c>
      <c r="AN4" s="34">
        <f t="shared" ref="AN4:AN67" si="36">AH4+AL4+AM4</f>
        <v>393601.88952992478</v>
      </c>
      <c r="AO4" s="34">
        <f t="shared" ref="AO4:AO67" si="37">(AG4-AA4)*O4</f>
        <v>101.72896737504676</v>
      </c>
      <c r="AP4" s="34">
        <f t="shared" ref="AP4:AP67" si="38">W4*N4</f>
        <v>109.98293429165251</v>
      </c>
      <c r="AQ4" s="34">
        <f t="shared" ref="AQ4:AQ67" si="39">T4*N4</f>
        <v>37500</v>
      </c>
      <c r="AR4" s="34">
        <f t="shared" ref="AR4:AR67" si="40">Z4*J5+0.5*Z4*(O4+P4)</f>
        <v>-98820.459050952762</v>
      </c>
      <c r="AS4" s="30">
        <f t="shared" ref="AS4:AS67" si="41">(1+InflationRate)^(A4/12)</f>
        <v>1</v>
      </c>
      <c r="AT4" s="29">
        <f t="shared" ref="AT4:AT67" si="42">ExpenseAcq*M4+N4*ExpenseMaint/12*AS4</f>
        <v>504166.66666666669</v>
      </c>
      <c r="AU4" s="29">
        <f t="shared" ref="AU4:AU67" si="43">CommissionRate*AE4</f>
        <v>2500000</v>
      </c>
      <c r="AV4" s="34">
        <f t="shared" ref="AV4:AV67" si="44">AB5-AB4</f>
        <v>44470069.397452205</v>
      </c>
      <c r="AW4" s="34">
        <f t="shared" ref="AW4:AW67" si="45">AE4+AR4-AN4-AT4-AU4-AV4</f>
        <v>2033341.5873002559</v>
      </c>
      <c r="AX4" s="29">
        <f t="shared" ref="AX4:AX67" si="46">LoadPremRate*E4*N4+AK4+AQ4-AU4-AT4</f>
        <v>2033333.3333333333</v>
      </c>
      <c r="AY4" s="34">
        <f t="shared" ref="AY4:AY67" si="47">AP4-AO4</f>
        <v>8.2539669166057479</v>
      </c>
      <c r="AZ4" s="37">
        <f t="shared" ref="AZ4:AZ67" si="48">(AW4-AX4-AY4)/MAX(1,ABS(AW4),ABS(AX4),ABS(AY4))</f>
        <v>2.9671305526387591E-15</v>
      </c>
      <c r="BA4" s="37">
        <f t="shared" ref="BA4:BA67" si="49">IF(OR(K4&gt;0,K5&gt;0),0,(AC5-(AC4+AF4-AQ4-AP4+AR4-AI4-AJ4-AM4))/MAX(1,ABS(AC4),ABS(AC5)))</f>
        <v>0</v>
      </c>
      <c r="BB4" s="35">
        <f t="shared" ref="BB4:BB67" si="50">(1+INDEX(DiscRateAnn,INT(A4/12)+1))^(1/12)-1</f>
        <v>0</v>
      </c>
      <c r="BC4" s="31">
        <f t="shared" ref="BC4:BC67" si="51">(1+BB4)^-A4</f>
        <v>1</v>
      </c>
      <c r="BD4" s="34">
        <f t="shared" ref="BD4:BD67" si="52">AW4*BC4</f>
        <v>2033341.5873002559</v>
      </c>
    </row>
    <row r="5" spans="1:56" x14ac:dyDescent="0.2">
      <c r="A5" s="27">
        <f t="shared" ref="A5:A68" si="53">A4+1</f>
        <v>1</v>
      </c>
      <c r="B5" s="28">
        <f t="shared" si="0"/>
        <v>1</v>
      </c>
      <c r="C5" s="27">
        <f t="shared" si="1"/>
        <v>0</v>
      </c>
      <c r="D5" s="28">
        <f t="shared" si="2"/>
        <v>20</v>
      </c>
      <c r="E5" s="29">
        <f t="shared" si="3"/>
        <v>0</v>
      </c>
      <c r="F5" s="30">
        <f t="shared" si="4"/>
        <v>2.3993637567701451E-4</v>
      </c>
      <c r="G5" s="31">
        <f t="shared" si="5"/>
        <v>1.999689714393682E-5</v>
      </c>
      <c r="H5" s="32">
        <f t="shared" si="6"/>
        <v>0.1</v>
      </c>
      <c r="I5" s="32">
        <f t="shared" si="7"/>
        <v>0</v>
      </c>
      <c r="J5" s="33">
        <f t="shared" ref="J5:J68" si="54">N4-P4-O4</f>
        <v>99.123856695325443</v>
      </c>
      <c r="K5" s="30">
        <f t="shared" si="8"/>
        <v>0</v>
      </c>
      <c r="L5" s="33">
        <f t="shared" si="9"/>
        <v>99.123856695325443</v>
      </c>
      <c r="M5" s="30">
        <f t="shared" si="10"/>
        <v>0</v>
      </c>
      <c r="N5" s="33">
        <f t="shared" si="11"/>
        <v>99.123856695325443</v>
      </c>
      <c r="O5" s="31">
        <f t="shared" si="12"/>
        <v>1.9821695668467559E-3</v>
      </c>
      <c r="P5" s="33">
        <f t="shared" si="13"/>
        <v>0.86648486420444526</v>
      </c>
      <c r="Q5" s="34">
        <f t="shared" ref="Q5:Q68" si="55">X4+Z4</f>
        <v>448631.34748821124</v>
      </c>
      <c r="R5" s="29">
        <f t="shared" si="14"/>
        <v>0</v>
      </c>
      <c r="S5" s="34">
        <f t="shared" si="15"/>
        <v>448631.34748821124</v>
      </c>
      <c r="T5" s="29">
        <f t="shared" si="16"/>
        <v>373.85945624017603</v>
      </c>
      <c r="U5" s="29">
        <f t="shared" si="17"/>
        <v>51368.652511788765</v>
      </c>
      <c r="V5" s="35">
        <f t="shared" si="18"/>
        <v>2.1996586858330504E-5</v>
      </c>
      <c r="W5" s="34">
        <f t="shared" si="19"/>
        <v>1.1299350267709589</v>
      </c>
      <c r="X5" s="34">
        <f t="shared" si="20"/>
        <v>448256.35809694428</v>
      </c>
      <c r="Y5" s="36">
        <f t="shared" si="21"/>
        <v>-1.4535174042505594E-2</v>
      </c>
      <c r="Z5" s="34">
        <f t="shared" si="22"/>
        <v>-6515.4841805987971</v>
      </c>
      <c r="AA5" s="34">
        <f t="shared" si="23"/>
        <v>444998.61600664491</v>
      </c>
      <c r="AB5" s="34">
        <f t="shared" si="24"/>
        <v>44470069.397452205</v>
      </c>
      <c r="AC5" s="34">
        <f t="shared" si="25"/>
        <v>44470069.397452205</v>
      </c>
      <c r="AD5" s="34">
        <f t="shared" si="26"/>
        <v>44470069.397452205</v>
      </c>
      <c r="AE5" s="34">
        <f t="shared" si="27"/>
        <v>0</v>
      </c>
      <c r="AF5" s="34">
        <f t="shared" si="28"/>
        <v>0</v>
      </c>
      <c r="AG5" s="29">
        <f t="shared" si="29"/>
        <v>500000</v>
      </c>
      <c r="AH5" s="34">
        <f t="shared" si="30"/>
        <v>991.08478342337798</v>
      </c>
      <c r="AI5" s="34">
        <f t="shared" si="31"/>
        <v>882.06271393729719</v>
      </c>
      <c r="AJ5" s="34">
        <f t="shared" si="32"/>
        <v>385584.56536168378</v>
      </c>
      <c r="AK5" s="34">
        <f t="shared" si="33"/>
        <v>0</v>
      </c>
      <c r="AL5" s="34">
        <f t="shared" si="34"/>
        <v>385584.56536168378</v>
      </c>
      <c r="AM5" s="34">
        <f t="shared" si="35"/>
        <v>0</v>
      </c>
      <c r="AN5" s="34">
        <f t="shared" si="36"/>
        <v>386575.65014510718</v>
      </c>
      <c r="AO5" s="34">
        <f t="shared" si="37"/>
        <v>109.02206948608075</v>
      </c>
      <c r="AP5" s="34">
        <f t="shared" si="38"/>
        <v>112.00351766867325</v>
      </c>
      <c r="AQ5" s="34">
        <f t="shared" si="39"/>
        <v>37058.3911645435</v>
      </c>
      <c r="AR5" s="34">
        <f t="shared" si="40"/>
        <v>-643010.67860838084</v>
      </c>
      <c r="AS5" s="30">
        <f t="shared" si="41"/>
        <v>1.0008295381143462</v>
      </c>
      <c r="AT5" s="29">
        <f t="shared" si="42"/>
        <v>4133.586821353967</v>
      </c>
      <c r="AU5" s="29">
        <f t="shared" si="43"/>
        <v>0</v>
      </c>
      <c r="AV5" s="34">
        <f t="shared" si="44"/>
        <v>-1066647.7013662234</v>
      </c>
      <c r="AW5" s="34">
        <f t="shared" si="45"/>
        <v>32927.785791381379</v>
      </c>
      <c r="AX5" s="29">
        <f t="shared" si="46"/>
        <v>32924.804343189535</v>
      </c>
      <c r="AY5" s="34">
        <f t="shared" si="47"/>
        <v>2.9814481825925014</v>
      </c>
      <c r="AZ5" s="37">
        <f t="shared" si="48"/>
        <v>2.8095752052001371E-13</v>
      </c>
      <c r="BA5" s="37">
        <f t="shared" si="49"/>
        <v>-3.3508293096348032E-16</v>
      </c>
      <c r="BB5" s="35">
        <f t="shared" si="50"/>
        <v>0</v>
      </c>
      <c r="BC5" s="31">
        <f t="shared" si="51"/>
        <v>1</v>
      </c>
      <c r="BD5" s="34">
        <f t="shared" si="52"/>
        <v>32927.785791381379</v>
      </c>
    </row>
    <row r="6" spans="1:56" x14ac:dyDescent="0.2">
      <c r="A6" s="27">
        <f t="shared" si="53"/>
        <v>2</v>
      </c>
      <c r="B6" s="28">
        <f t="shared" si="0"/>
        <v>2</v>
      </c>
      <c r="C6" s="27">
        <f t="shared" si="1"/>
        <v>0</v>
      </c>
      <c r="D6" s="28">
        <f t="shared" si="2"/>
        <v>20</v>
      </c>
      <c r="E6" s="29">
        <f t="shared" si="3"/>
        <v>0</v>
      </c>
      <c r="F6" s="30">
        <f t="shared" si="4"/>
        <v>2.3993637567701451E-4</v>
      </c>
      <c r="G6" s="31">
        <f t="shared" si="5"/>
        <v>1.999689714393682E-5</v>
      </c>
      <c r="H6" s="32">
        <f t="shared" si="6"/>
        <v>0.1</v>
      </c>
      <c r="I6" s="32">
        <f t="shared" si="7"/>
        <v>0</v>
      </c>
      <c r="J6" s="33">
        <f t="shared" si="54"/>
        <v>98.255389661554148</v>
      </c>
      <c r="K6" s="30">
        <f t="shared" si="8"/>
        <v>0</v>
      </c>
      <c r="L6" s="33">
        <f t="shared" si="9"/>
        <v>98.255389661554148</v>
      </c>
      <c r="M6" s="30">
        <f t="shared" si="10"/>
        <v>0</v>
      </c>
      <c r="N6" s="33">
        <f t="shared" si="11"/>
        <v>98.255389661554148</v>
      </c>
      <c r="O6" s="31">
        <f t="shared" si="12"/>
        <v>1.9648029208995314E-3</v>
      </c>
      <c r="P6" s="33">
        <f t="shared" si="13"/>
        <v>0.8588932150806996</v>
      </c>
      <c r="Q6" s="34">
        <f t="shared" si="55"/>
        <v>441740.87391634547</v>
      </c>
      <c r="R6" s="29">
        <f t="shared" si="14"/>
        <v>0</v>
      </c>
      <c r="S6" s="34">
        <f t="shared" si="15"/>
        <v>441740.87391634547</v>
      </c>
      <c r="T6" s="29">
        <f t="shared" si="16"/>
        <v>368.1173949302879</v>
      </c>
      <c r="U6" s="29">
        <f t="shared" si="17"/>
        <v>58259.126083654526</v>
      </c>
      <c r="V6" s="35">
        <f t="shared" si="18"/>
        <v>2.1996586858330504E-5</v>
      </c>
      <c r="W6" s="34">
        <f t="shared" si="19"/>
        <v>1.2815019271895349</v>
      </c>
      <c r="X6" s="34">
        <f t="shared" si="20"/>
        <v>441371.47501948802</v>
      </c>
      <c r="Y6" s="36">
        <f t="shared" si="21"/>
        <v>1.4389844497798343E-2</v>
      </c>
      <c r="Z6" s="34">
        <f t="shared" si="22"/>
        <v>6351.2668912943182</v>
      </c>
      <c r="AA6" s="34">
        <f t="shared" si="23"/>
        <v>444547.10846513516</v>
      </c>
      <c r="AB6" s="34">
        <f t="shared" si="24"/>
        <v>43403421.696085982</v>
      </c>
      <c r="AC6" s="34">
        <f t="shared" si="25"/>
        <v>43403421.696085982</v>
      </c>
      <c r="AD6" s="34">
        <f t="shared" si="26"/>
        <v>43403421.696085982</v>
      </c>
      <c r="AE6" s="34">
        <f t="shared" si="27"/>
        <v>0</v>
      </c>
      <c r="AF6" s="34">
        <f t="shared" si="28"/>
        <v>0</v>
      </c>
      <c r="AG6" s="29">
        <f t="shared" si="29"/>
        <v>500000</v>
      </c>
      <c r="AH6" s="34">
        <f t="shared" si="30"/>
        <v>982.40146044976575</v>
      </c>
      <c r="AI6" s="34">
        <f t="shared" si="31"/>
        <v>873.44745718973832</v>
      </c>
      <c r="AJ6" s="34">
        <f t="shared" si="32"/>
        <v>381818.49524444842</v>
      </c>
      <c r="AK6" s="34">
        <f t="shared" si="33"/>
        <v>0</v>
      </c>
      <c r="AL6" s="34">
        <f t="shared" si="34"/>
        <v>381818.49524444842</v>
      </c>
      <c r="AM6" s="34">
        <f t="shared" si="35"/>
        <v>0</v>
      </c>
      <c r="AN6" s="34">
        <f t="shared" si="36"/>
        <v>382800.89670489822</v>
      </c>
      <c r="AO6" s="34">
        <f t="shared" si="37"/>
        <v>108.95400326002735</v>
      </c>
      <c r="AP6" s="34">
        <f t="shared" si="38"/>
        <v>125.91447120804034</v>
      </c>
      <c r="AQ6" s="34">
        <f t="shared" si="39"/>
        <v>36169.518080071655</v>
      </c>
      <c r="AR6" s="34">
        <f t="shared" si="40"/>
        <v>621312.43373473152</v>
      </c>
      <c r="AS6" s="30">
        <f t="shared" si="41"/>
        <v>1.0016597643621756</v>
      </c>
      <c r="AT6" s="29">
        <f t="shared" si="42"/>
        <v>4100.7696023210865</v>
      </c>
      <c r="AU6" s="29">
        <f t="shared" si="43"/>
        <v>0</v>
      </c>
      <c r="AV6" s="34">
        <f t="shared" si="44"/>
        <v>202325.05848181993</v>
      </c>
      <c r="AW6" s="34">
        <f t="shared" si="45"/>
        <v>32085.708945692284</v>
      </c>
      <c r="AX6" s="29">
        <f t="shared" si="46"/>
        <v>32068.748477750567</v>
      </c>
      <c r="AY6" s="34">
        <f t="shared" si="47"/>
        <v>16.96046794801299</v>
      </c>
      <c r="AZ6" s="37">
        <f t="shared" si="48"/>
        <v>-1.9622194542313529E-13</v>
      </c>
      <c r="BA6" s="37">
        <f t="shared" si="49"/>
        <v>1.7086235534180739E-16</v>
      </c>
      <c r="BB6" s="35">
        <f t="shared" si="50"/>
        <v>0</v>
      </c>
      <c r="BC6" s="31">
        <f t="shared" si="51"/>
        <v>1</v>
      </c>
      <c r="BD6" s="34">
        <f t="shared" si="52"/>
        <v>32085.708945692284</v>
      </c>
    </row>
    <row r="7" spans="1:56" x14ac:dyDescent="0.2">
      <c r="A7" s="27">
        <f t="shared" si="53"/>
        <v>3</v>
      </c>
      <c r="B7" s="28">
        <f t="shared" si="0"/>
        <v>3</v>
      </c>
      <c r="C7" s="27">
        <f t="shared" si="1"/>
        <v>0</v>
      </c>
      <c r="D7" s="28">
        <f t="shared" si="2"/>
        <v>20</v>
      </c>
      <c r="E7" s="29">
        <f t="shared" si="3"/>
        <v>0</v>
      </c>
      <c r="F7" s="30">
        <f t="shared" si="4"/>
        <v>2.3993637567701451E-4</v>
      </c>
      <c r="G7" s="31">
        <f t="shared" si="5"/>
        <v>1.999689714393682E-5</v>
      </c>
      <c r="H7" s="32">
        <f t="shared" si="6"/>
        <v>0.1</v>
      </c>
      <c r="I7" s="32">
        <f t="shared" si="7"/>
        <v>0</v>
      </c>
      <c r="J7" s="33">
        <f t="shared" si="54"/>
        <v>97.394531643552554</v>
      </c>
      <c r="K7" s="30">
        <f t="shared" si="8"/>
        <v>0</v>
      </c>
      <c r="L7" s="33">
        <f t="shared" si="9"/>
        <v>97.394531643552554</v>
      </c>
      <c r="M7" s="30">
        <f t="shared" si="10"/>
        <v>0</v>
      </c>
      <c r="N7" s="33">
        <f t="shared" si="11"/>
        <v>97.394531643552554</v>
      </c>
      <c r="O7" s="31">
        <f t="shared" si="12"/>
        <v>1.9475884316580204E-3</v>
      </c>
      <c r="P7" s="33">
        <f t="shared" si="13"/>
        <v>0.85136807968246597</v>
      </c>
      <c r="Q7" s="34">
        <f t="shared" si="55"/>
        <v>447722.74191078235</v>
      </c>
      <c r="R7" s="29">
        <f t="shared" si="14"/>
        <v>0</v>
      </c>
      <c r="S7" s="34">
        <f t="shared" si="15"/>
        <v>447722.74191078235</v>
      </c>
      <c r="T7" s="29">
        <f t="shared" si="16"/>
        <v>373.10228492565199</v>
      </c>
      <c r="U7" s="29">
        <f t="shared" si="17"/>
        <v>52277.258089217648</v>
      </c>
      <c r="V7" s="35">
        <f t="shared" si="18"/>
        <v>2.1996586858330504E-5</v>
      </c>
      <c r="W7" s="34">
        <f t="shared" si="19"/>
        <v>1.1499212482748369</v>
      </c>
      <c r="X7" s="34">
        <f t="shared" si="20"/>
        <v>447348.48970460845</v>
      </c>
      <c r="Y7" s="36">
        <f t="shared" si="21"/>
        <v>3.7945345104302142E-3</v>
      </c>
      <c r="Z7" s="34">
        <f t="shared" si="22"/>
        <v>1697.4792823729722</v>
      </c>
      <c r="AA7" s="34">
        <f t="shared" si="23"/>
        <v>448197.22934579494</v>
      </c>
      <c r="AB7" s="34">
        <f t="shared" si="24"/>
        <v>43605746.754567802</v>
      </c>
      <c r="AC7" s="34">
        <f t="shared" si="25"/>
        <v>43605746.754567802</v>
      </c>
      <c r="AD7" s="34">
        <f t="shared" si="26"/>
        <v>43605746.754567802</v>
      </c>
      <c r="AE7" s="34">
        <f t="shared" si="27"/>
        <v>0</v>
      </c>
      <c r="AF7" s="34">
        <f t="shared" si="28"/>
        <v>0</v>
      </c>
      <c r="AG7" s="29">
        <f t="shared" si="29"/>
        <v>500000</v>
      </c>
      <c r="AH7" s="34">
        <f t="shared" si="30"/>
        <v>973.79421582901023</v>
      </c>
      <c r="AI7" s="34">
        <f t="shared" si="31"/>
        <v>872.90373897504685</v>
      </c>
      <c r="AJ7" s="34">
        <f t="shared" si="32"/>
        <v>381580.81446713122</v>
      </c>
      <c r="AK7" s="34">
        <f t="shared" si="33"/>
        <v>0</v>
      </c>
      <c r="AL7" s="34">
        <f t="shared" si="34"/>
        <v>381580.81446713122</v>
      </c>
      <c r="AM7" s="34">
        <f t="shared" si="35"/>
        <v>0</v>
      </c>
      <c r="AN7" s="34">
        <f t="shared" si="36"/>
        <v>382554.60868296021</v>
      </c>
      <c r="AO7" s="34">
        <f t="shared" si="37"/>
        <v>100.89047685396335</v>
      </c>
      <c r="AP7" s="34">
        <f t="shared" si="38"/>
        <v>111.99604140269706</v>
      </c>
      <c r="AQ7" s="34">
        <f t="shared" si="39"/>
        <v>36338.122295473171</v>
      </c>
      <c r="AR7" s="34">
        <f t="shared" si="40"/>
        <v>164600.95684737532</v>
      </c>
      <c r="AS7" s="30">
        <f t="shared" si="41"/>
        <v>1.0024906793143211</v>
      </c>
      <c r="AT7" s="29">
        <f t="shared" si="42"/>
        <v>4068.2129245352148</v>
      </c>
      <c r="AU7" s="29">
        <f t="shared" si="43"/>
        <v>0</v>
      </c>
      <c r="AV7" s="34">
        <f t="shared" si="44"/>
        <v>-254302.87969560176</v>
      </c>
      <c r="AW7" s="34">
        <f t="shared" si="45"/>
        <v>32281.014935481653</v>
      </c>
      <c r="AX7" s="29">
        <f t="shared" si="46"/>
        <v>32269.909370937956</v>
      </c>
      <c r="AY7" s="34">
        <f t="shared" si="47"/>
        <v>11.10556454873371</v>
      </c>
      <c r="AZ7" s="37">
        <f t="shared" si="48"/>
        <v>-1.5601909725658011E-13</v>
      </c>
      <c r="BA7" s="37">
        <f t="shared" si="49"/>
        <v>1.7086235534180739E-16</v>
      </c>
      <c r="BB7" s="35">
        <f t="shared" si="50"/>
        <v>0</v>
      </c>
      <c r="BC7" s="31">
        <f t="shared" si="51"/>
        <v>1</v>
      </c>
      <c r="BD7" s="34">
        <f t="shared" si="52"/>
        <v>32281.014935481653</v>
      </c>
    </row>
    <row r="8" spans="1:56" x14ac:dyDescent="0.2">
      <c r="A8" s="27">
        <f t="shared" si="53"/>
        <v>4</v>
      </c>
      <c r="B8" s="28">
        <f t="shared" si="0"/>
        <v>4</v>
      </c>
      <c r="C8" s="27">
        <f t="shared" si="1"/>
        <v>0</v>
      </c>
      <c r="D8" s="28">
        <f t="shared" si="2"/>
        <v>20</v>
      </c>
      <c r="E8" s="29">
        <f t="shared" si="3"/>
        <v>0</v>
      </c>
      <c r="F8" s="30">
        <f t="shared" si="4"/>
        <v>2.3993637567701451E-4</v>
      </c>
      <c r="G8" s="31">
        <f t="shared" si="5"/>
        <v>1.999689714393682E-5</v>
      </c>
      <c r="H8" s="32">
        <f t="shared" si="6"/>
        <v>0.1</v>
      </c>
      <c r="I8" s="32">
        <f t="shared" si="7"/>
        <v>0</v>
      </c>
      <c r="J8" s="33">
        <f t="shared" si="54"/>
        <v>96.541215975438419</v>
      </c>
      <c r="K8" s="30">
        <f t="shared" si="8"/>
        <v>0</v>
      </c>
      <c r="L8" s="33">
        <f t="shared" si="9"/>
        <v>96.541215975438419</v>
      </c>
      <c r="M8" s="30">
        <f t="shared" si="10"/>
        <v>0</v>
      </c>
      <c r="N8" s="33">
        <f t="shared" si="11"/>
        <v>96.541215975438419</v>
      </c>
      <c r="O8" s="31">
        <f t="shared" si="12"/>
        <v>1.9305247660114323E-3</v>
      </c>
      <c r="P8" s="33">
        <f t="shared" si="13"/>
        <v>0.84390887525419178</v>
      </c>
      <c r="Q8" s="34">
        <f t="shared" si="55"/>
        <v>449045.96898698143</v>
      </c>
      <c r="R8" s="29">
        <f t="shared" si="14"/>
        <v>0</v>
      </c>
      <c r="S8" s="34">
        <f t="shared" si="15"/>
        <v>449045.96898698143</v>
      </c>
      <c r="T8" s="29">
        <f t="shared" si="16"/>
        <v>374.20497415581787</v>
      </c>
      <c r="U8" s="29">
        <f t="shared" si="17"/>
        <v>50954.031013018568</v>
      </c>
      <c r="V8" s="35">
        <f t="shared" si="18"/>
        <v>2.1996586858330504E-5</v>
      </c>
      <c r="W8" s="34">
        <f t="shared" si="19"/>
        <v>1.1208147689599293</v>
      </c>
      <c r="X8" s="34">
        <f t="shared" si="20"/>
        <v>448670.64319805667</v>
      </c>
      <c r="Y8" s="36">
        <f t="shared" si="21"/>
        <v>-6.7811473582449766E-3</v>
      </c>
      <c r="Z8" s="34">
        <f t="shared" si="22"/>
        <v>-3042.5017468445767</v>
      </c>
      <c r="AA8" s="34">
        <f t="shared" si="23"/>
        <v>447149.39232463436</v>
      </c>
      <c r="AB8" s="34">
        <f t="shared" si="24"/>
        <v>43351443.8748722</v>
      </c>
      <c r="AC8" s="34">
        <f t="shared" si="25"/>
        <v>43351443.8748722</v>
      </c>
      <c r="AD8" s="34">
        <f t="shared" si="26"/>
        <v>43351443.8748722</v>
      </c>
      <c r="AE8" s="34">
        <f t="shared" si="27"/>
        <v>0</v>
      </c>
      <c r="AF8" s="34">
        <f t="shared" si="28"/>
        <v>0</v>
      </c>
      <c r="AG8" s="29">
        <f t="shared" si="29"/>
        <v>500000</v>
      </c>
      <c r="AH8" s="34">
        <f t="shared" si="30"/>
        <v>965.26238300571617</v>
      </c>
      <c r="AI8" s="34">
        <f t="shared" si="31"/>
        <v>863.23297598966894</v>
      </c>
      <c r="AJ8" s="34">
        <f t="shared" si="32"/>
        <v>377353.34074727754</v>
      </c>
      <c r="AK8" s="34">
        <f t="shared" si="33"/>
        <v>0</v>
      </c>
      <c r="AL8" s="34">
        <f t="shared" si="34"/>
        <v>377353.34074727754</v>
      </c>
      <c r="AM8" s="34">
        <f t="shared" si="35"/>
        <v>0</v>
      </c>
      <c r="AN8" s="34">
        <f t="shared" si="36"/>
        <v>378318.60313028324</v>
      </c>
      <c r="AO8" s="34">
        <f t="shared" si="37"/>
        <v>102.02940701604726</v>
      </c>
      <c r="AP8" s="34">
        <f t="shared" si="38"/>
        <v>108.20482067862164</v>
      </c>
      <c r="AQ8" s="34">
        <f t="shared" si="39"/>
        <v>36126.203229060164</v>
      </c>
      <c r="AR8" s="34">
        <f t="shared" si="40"/>
        <v>-292440.08432171523</v>
      </c>
      <c r="AS8" s="30">
        <f t="shared" si="41"/>
        <v>1.0033222835420892</v>
      </c>
      <c r="AT8" s="29">
        <f t="shared" si="42"/>
        <v>4035.9147195169539</v>
      </c>
      <c r="AU8" s="29">
        <f t="shared" si="43"/>
        <v>0</v>
      </c>
      <c r="AV8" s="34">
        <f t="shared" si="44"/>
        <v>-706891.06609471887</v>
      </c>
      <c r="AW8" s="34">
        <f t="shared" si="45"/>
        <v>32096.46392320341</v>
      </c>
      <c r="AX8" s="29">
        <f t="shared" si="46"/>
        <v>32090.28850954321</v>
      </c>
      <c r="AY8" s="34">
        <f t="shared" si="47"/>
        <v>6.1754136625743854</v>
      </c>
      <c r="AZ8" s="37">
        <f t="shared" si="48"/>
        <v>-7.3994907635494559E-14</v>
      </c>
      <c r="BA8" s="37">
        <f t="shared" si="49"/>
        <v>0</v>
      </c>
      <c r="BB8" s="35">
        <f t="shared" si="50"/>
        <v>0</v>
      </c>
      <c r="BC8" s="31">
        <f t="shared" si="51"/>
        <v>1</v>
      </c>
      <c r="BD8" s="34">
        <f t="shared" si="52"/>
        <v>32096.46392320341</v>
      </c>
    </row>
    <row r="9" spans="1:56" x14ac:dyDescent="0.2">
      <c r="A9" s="27">
        <f t="shared" si="53"/>
        <v>5</v>
      </c>
      <c r="B9" s="28">
        <f t="shared" si="0"/>
        <v>5</v>
      </c>
      <c r="C9" s="27">
        <f t="shared" si="1"/>
        <v>0</v>
      </c>
      <c r="D9" s="28">
        <f t="shared" si="2"/>
        <v>20</v>
      </c>
      <c r="E9" s="29">
        <f t="shared" si="3"/>
        <v>0</v>
      </c>
      <c r="F9" s="30">
        <f t="shared" si="4"/>
        <v>2.3993637567701451E-4</v>
      </c>
      <c r="G9" s="31">
        <f t="shared" si="5"/>
        <v>1.999689714393682E-5</v>
      </c>
      <c r="H9" s="32">
        <f t="shared" si="6"/>
        <v>0.1</v>
      </c>
      <c r="I9" s="32">
        <f t="shared" si="7"/>
        <v>0</v>
      </c>
      <c r="J9" s="33">
        <f t="shared" si="54"/>
        <v>95.695376575418223</v>
      </c>
      <c r="K9" s="30">
        <f t="shared" si="8"/>
        <v>0</v>
      </c>
      <c r="L9" s="33">
        <f t="shared" si="9"/>
        <v>95.695376575418223</v>
      </c>
      <c r="M9" s="30">
        <f t="shared" si="10"/>
        <v>0</v>
      </c>
      <c r="N9" s="33">
        <f t="shared" si="11"/>
        <v>95.695376575418223</v>
      </c>
      <c r="O9" s="31">
        <f t="shared" si="12"/>
        <v>1.9136106025289391E-3</v>
      </c>
      <c r="P9" s="33">
        <f t="shared" si="13"/>
        <v>0.83651502414609791</v>
      </c>
      <c r="Q9" s="34">
        <f t="shared" si="55"/>
        <v>445628.14145121211</v>
      </c>
      <c r="R9" s="29">
        <f t="shared" si="14"/>
        <v>0</v>
      </c>
      <c r="S9" s="34">
        <f t="shared" si="15"/>
        <v>445628.14145121211</v>
      </c>
      <c r="T9" s="29">
        <f t="shared" si="16"/>
        <v>371.35678454267679</v>
      </c>
      <c r="U9" s="29">
        <f t="shared" si="17"/>
        <v>54371.858548787888</v>
      </c>
      <c r="V9" s="35">
        <f t="shared" si="18"/>
        <v>2.1996586858330504E-5</v>
      </c>
      <c r="W9" s="34">
        <f t="shared" si="19"/>
        <v>1.1959953092172728</v>
      </c>
      <c r="X9" s="34">
        <f t="shared" si="20"/>
        <v>445255.58867136022</v>
      </c>
      <c r="Y9" s="36">
        <f t="shared" si="21"/>
        <v>4.1513627958826849E-3</v>
      </c>
      <c r="Z9" s="34">
        <f t="shared" si="22"/>
        <v>1848.4174854691287</v>
      </c>
      <c r="AA9" s="34">
        <f t="shared" si="23"/>
        <v>446179.79741409479</v>
      </c>
      <c r="AB9" s="34">
        <f t="shared" si="24"/>
        <v>42644552.808777481</v>
      </c>
      <c r="AC9" s="34">
        <f t="shared" si="25"/>
        <v>42644552.808777481</v>
      </c>
      <c r="AD9" s="34">
        <f t="shared" si="26"/>
        <v>42644552.808777481</v>
      </c>
      <c r="AE9" s="34">
        <f t="shared" si="27"/>
        <v>0</v>
      </c>
      <c r="AF9" s="34">
        <f t="shared" si="28"/>
        <v>0</v>
      </c>
      <c r="AG9" s="29">
        <f t="shared" si="29"/>
        <v>500000</v>
      </c>
      <c r="AH9" s="34">
        <f t="shared" si="30"/>
        <v>956.80530126446956</v>
      </c>
      <c r="AI9" s="34">
        <f t="shared" si="31"/>
        <v>853.81439096582596</v>
      </c>
      <c r="AJ9" s="34">
        <f t="shared" si="32"/>
        <v>373236.10400735255</v>
      </c>
      <c r="AK9" s="34">
        <f t="shared" si="33"/>
        <v>0</v>
      </c>
      <c r="AL9" s="34">
        <f t="shared" si="34"/>
        <v>373236.10400735255</v>
      </c>
      <c r="AM9" s="34">
        <f t="shared" si="35"/>
        <v>0</v>
      </c>
      <c r="AN9" s="34">
        <f t="shared" si="36"/>
        <v>374192.909308617</v>
      </c>
      <c r="AO9" s="34">
        <f t="shared" si="37"/>
        <v>102.99091029864363</v>
      </c>
      <c r="AP9" s="34">
        <f t="shared" si="38"/>
        <v>114.45122149798068</v>
      </c>
      <c r="AQ9" s="34">
        <f t="shared" si="39"/>
        <v>35537.127340647901</v>
      </c>
      <c r="AR9" s="34">
        <f t="shared" si="40"/>
        <v>176110.12426616225</v>
      </c>
      <c r="AS9" s="30">
        <f t="shared" si="41"/>
        <v>1.0041545776172602</v>
      </c>
      <c r="AT9" s="29">
        <f t="shared" si="42"/>
        <v>4003.8729352089063</v>
      </c>
      <c r="AU9" s="29">
        <f t="shared" si="43"/>
        <v>0</v>
      </c>
      <c r="AV9" s="34">
        <f t="shared" si="44"/>
        <v>-233631.37269429862</v>
      </c>
      <c r="AW9" s="34">
        <f t="shared" si="45"/>
        <v>31544.714716634975</v>
      </c>
      <c r="AX9" s="29">
        <f t="shared" si="46"/>
        <v>31533.254405438995</v>
      </c>
      <c r="AY9" s="34">
        <f t="shared" si="47"/>
        <v>11.460311199337056</v>
      </c>
      <c r="AZ9" s="37">
        <f t="shared" si="48"/>
        <v>-1.0640735549609882E-13</v>
      </c>
      <c r="BA9" s="37">
        <f t="shared" si="49"/>
        <v>0</v>
      </c>
      <c r="BB9" s="35">
        <f t="shared" si="50"/>
        <v>0</v>
      </c>
      <c r="BC9" s="31">
        <f t="shared" si="51"/>
        <v>1</v>
      </c>
      <c r="BD9" s="34">
        <f t="shared" si="52"/>
        <v>31544.714716634975</v>
      </c>
    </row>
    <row r="10" spans="1:56" x14ac:dyDescent="0.2">
      <c r="A10" s="27">
        <f t="shared" si="53"/>
        <v>6</v>
      </c>
      <c r="B10" s="28">
        <f t="shared" si="0"/>
        <v>6</v>
      </c>
      <c r="C10" s="27">
        <f t="shared" si="1"/>
        <v>0</v>
      </c>
      <c r="D10" s="28">
        <f t="shared" si="2"/>
        <v>20</v>
      </c>
      <c r="E10" s="29">
        <f t="shared" si="3"/>
        <v>0</v>
      </c>
      <c r="F10" s="30">
        <f t="shared" si="4"/>
        <v>2.3993637567701451E-4</v>
      </c>
      <c r="G10" s="31">
        <f t="shared" si="5"/>
        <v>1.999689714393682E-5</v>
      </c>
      <c r="H10" s="32">
        <f t="shared" si="6"/>
        <v>0.1</v>
      </c>
      <c r="I10" s="32">
        <f t="shared" si="7"/>
        <v>0</v>
      </c>
      <c r="J10" s="33">
        <f t="shared" si="54"/>
        <v>94.856947940669599</v>
      </c>
      <c r="K10" s="30">
        <f t="shared" si="8"/>
        <v>0</v>
      </c>
      <c r="L10" s="33">
        <f t="shared" si="9"/>
        <v>94.856947940669599</v>
      </c>
      <c r="M10" s="30">
        <f t="shared" si="10"/>
        <v>0</v>
      </c>
      <c r="N10" s="33">
        <f t="shared" si="11"/>
        <v>94.856947940669599</v>
      </c>
      <c r="O10" s="31">
        <f t="shared" si="12"/>
        <v>1.8968446313573396E-3</v>
      </c>
      <c r="P10" s="33">
        <f t="shared" si="13"/>
        <v>0.82918595376944515</v>
      </c>
      <c r="Q10" s="34">
        <f t="shared" si="55"/>
        <v>447104.00615682936</v>
      </c>
      <c r="R10" s="29">
        <f t="shared" si="14"/>
        <v>0</v>
      </c>
      <c r="S10" s="34">
        <f t="shared" si="15"/>
        <v>447104.00615682936</v>
      </c>
      <c r="T10" s="29">
        <f t="shared" si="16"/>
        <v>372.58667179735784</v>
      </c>
      <c r="U10" s="29">
        <f t="shared" si="17"/>
        <v>52895.99384317064</v>
      </c>
      <c r="V10" s="35">
        <f t="shared" si="18"/>
        <v>2.1996586858330504E-5</v>
      </c>
      <c r="W10" s="34">
        <f t="shared" si="19"/>
        <v>1.1635313230290185</v>
      </c>
      <c r="X10" s="34">
        <f t="shared" si="20"/>
        <v>446730.25595370895</v>
      </c>
      <c r="Y10" s="36">
        <f t="shared" si="21"/>
        <v>2.2986732892313899E-3</v>
      </c>
      <c r="Z10" s="34">
        <f t="shared" si="22"/>
        <v>1026.8869068522929</v>
      </c>
      <c r="AA10" s="34">
        <f t="shared" si="23"/>
        <v>447243.69940713508</v>
      </c>
      <c r="AB10" s="34">
        <f t="shared" si="24"/>
        <v>42410921.436083183</v>
      </c>
      <c r="AC10" s="34">
        <f t="shared" si="25"/>
        <v>42410921.436083183</v>
      </c>
      <c r="AD10" s="34">
        <f t="shared" si="26"/>
        <v>42410921.436083183</v>
      </c>
      <c r="AE10" s="34">
        <f t="shared" si="27"/>
        <v>0</v>
      </c>
      <c r="AF10" s="34">
        <f t="shared" si="28"/>
        <v>0</v>
      </c>
      <c r="AG10" s="29">
        <f t="shared" si="29"/>
        <v>500000</v>
      </c>
      <c r="AH10" s="34">
        <f t="shared" si="30"/>
        <v>948.42231567866986</v>
      </c>
      <c r="AI10" s="34">
        <f t="shared" si="31"/>
        <v>848.35181012881992</v>
      </c>
      <c r="AJ10" s="34">
        <f t="shared" si="32"/>
        <v>370848.19346028031</v>
      </c>
      <c r="AK10" s="34">
        <f t="shared" si="33"/>
        <v>0</v>
      </c>
      <c r="AL10" s="34">
        <f t="shared" si="34"/>
        <v>370848.19346028031</v>
      </c>
      <c r="AM10" s="34">
        <f t="shared" si="35"/>
        <v>0</v>
      </c>
      <c r="AN10" s="34">
        <f t="shared" si="36"/>
        <v>371796.61577595898</v>
      </c>
      <c r="AO10" s="34">
        <f t="shared" si="37"/>
        <v>100.07050554984986</v>
      </c>
      <c r="AP10" s="34">
        <f t="shared" si="38"/>
        <v>110.36903013590204</v>
      </c>
      <c r="AQ10" s="34">
        <f t="shared" si="39"/>
        <v>35342.434530069324</v>
      </c>
      <c r="AR10" s="34">
        <f t="shared" si="40"/>
        <v>96980.643842149206</v>
      </c>
      <c r="AS10" s="30">
        <f t="shared" si="41"/>
        <v>1.004987562112089</v>
      </c>
      <c r="AT10" s="29">
        <f t="shared" si="42"/>
        <v>3972.0855358452868</v>
      </c>
      <c r="AU10" s="29">
        <f t="shared" si="43"/>
        <v>0</v>
      </c>
      <c r="AV10" s="34">
        <f t="shared" si="44"/>
        <v>-310168.70498846471</v>
      </c>
      <c r="AW10" s="34">
        <f t="shared" si="45"/>
        <v>31380.647518809594</v>
      </c>
      <c r="AX10" s="29">
        <f t="shared" si="46"/>
        <v>31370.348994224038</v>
      </c>
      <c r="AY10" s="34">
        <f t="shared" si="47"/>
        <v>10.298524586052181</v>
      </c>
      <c r="AZ10" s="37">
        <f t="shared" si="48"/>
        <v>-1.5806872166573527E-14</v>
      </c>
      <c r="BA10" s="37">
        <f t="shared" si="49"/>
        <v>0</v>
      </c>
      <c r="BB10" s="35">
        <f t="shared" si="50"/>
        <v>0</v>
      </c>
      <c r="BC10" s="31">
        <f t="shared" si="51"/>
        <v>1</v>
      </c>
      <c r="BD10" s="34">
        <f t="shared" si="52"/>
        <v>31380.647518809594</v>
      </c>
    </row>
    <row r="11" spans="1:56" x14ac:dyDescent="0.2">
      <c r="A11" s="27">
        <f t="shared" si="53"/>
        <v>7</v>
      </c>
      <c r="B11" s="28">
        <f t="shared" si="0"/>
        <v>7</v>
      </c>
      <c r="C11" s="27">
        <f t="shared" si="1"/>
        <v>0</v>
      </c>
      <c r="D11" s="28">
        <f t="shared" si="2"/>
        <v>20</v>
      </c>
      <c r="E11" s="29">
        <f t="shared" si="3"/>
        <v>0</v>
      </c>
      <c r="F11" s="30">
        <f t="shared" si="4"/>
        <v>2.3993637567701451E-4</v>
      </c>
      <c r="G11" s="31">
        <f t="shared" si="5"/>
        <v>1.999689714393682E-5</v>
      </c>
      <c r="H11" s="32">
        <f t="shared" si="6"/>
        <v>0.1</v>
      </c>
      <c r="I11" s="32">
        <f t="shared" si="7"/>
        <v>0</v>
      </c>
      <c r="J11" s="33">
        <f t="shared" si="54"/>
        <v>94.025865142268799</v>
      </c>
      <c r="K11" s="30">
        <f t="shared" si="8"/>
        <v>0</v>
      </c>
      <c r="L11" s="33">
        <f t="shared" si="9"/>
        <v>94.025865142268799</v>
      </c>
      <c r="M11" s="30">
        <f t="shared" si="10"/>
        <v>0</v>
      </c>
      <c r="N11" s="33">
        <f t="shared" si="11"/>
        <v>94.025865142268799</v>
      </c>
      <c r="O11" s="31">
        <f t="shared" si="12"/>
        <v>1.8802255541196236E-3</v>
      </c>
      <c r="P11" s="33">
        <f t="shared" si="13"/>
        <v>0.82192109655219237</v>
      </c>
      <c r="Q11" s="34">
        <f t="shared" si="55"/>
        <v>447757.14286056126</v>
      </c>
      <c r="R11" s="29">
        <f t="shared" si="14"/>
        <v>0</v>
      </c>
      <c r="S11" s="34">
        <f t="shared" si="15"/>
        <v>447757.14286056126</v>
      </c>
      <c r="T11" s="29">
        <f t="shared" si="16"/>
        <v>373.13095238380106</v>
      </c>
      <c r="U11" s="29">
        <f t="shared" si="17"/>
        <v>52242.85713943874</v>
      </c>
      <c r="V11" s="35">
        <f t="shared" si="18"/>
        <v>2.1996586858330504E-5</v>
      </c>
      <c r="W11" s="34">
        <f t="shared" si="19"/>
        <v>1.1491645447950161</v>
      </c>
      <c r="X11" s="34">
        <f t="shared" si="20"/>
        <v>447382.86274363269</v>
      </c>
      <c r="Y11" s="36">
        <f t="shared" si="21"/>
        <v>6.3309298862042063E-3</v>
      </c>
      <c r="Z11" s="34">
        <f t="shared" si="22"/>
        <v>2832.3495363192587</v>
      </c>
      <c r="AA11" s="34">
        <f t="shared" si="23"/>
        <v>448799.03751179232</v>
      </c>
      <c r="AB11" s="34">
        <f t="shared" si="24"/>
        <v>42100752.731094718</v>
      </c>
      <c r="AC11" s="34">
        <f t="shared" si="25"/>
        <v>42100752.731094718</v>
      </c>
      <c r="AD11" s="34">
        <f t="shared" si="26"/>
        <v>42100752.731094718</v>
      </c>
      <c r="AE11" s="34">
        <f t="shared" si="27"/>
        <v>0</v>
      </c>
      <c r="AF11" s="34">
        <f t="shared" si="28"/>
        <v>0</v>
      </c>
      <c r="AG11" s="29">
        <f t="shared" si="29"/>
        <v>500000</v>
      </c>
      <c r="AH11" s="34">
        <f t="shared" si="30"/>
        <v>940.11277705981183</v>
      </c>
      <c r="AI11" s="34">
        <f t="shared" si="31"/>
        <v>843.8434189939635</v>
      </c>
      <c r="AJ11" s="34">
        <f t="shared" si="32"/>
        <v>368877.39704326086</v>
      </c>
      <c r="AK11" s="34">
        <f t="shared" si="33"/>
        <v>0</v>
      </c>
      <c r="AL11" s="34">
        <f t="shared" si="34"/>
        <v>368877.39704326086</v>
      </c>
      <c r="AM11" s="34">
        <f t="shared" si="35"/>
        <v>0</v>
      </c>
      <c r="AN11" s="34">
        <f t="shared" si="36"/>
        <v>369817.5098203207</v>
      </c>
      <c r="AO11" s="34">
        <f t="shared" si="37"/>
        <v>96.269358065848337</v>
      </c>
      <c r="AP11" s="34">
        <f t="shared" si="38"/>
        <v>108.05119051517289</v>
      </c>
      <c r="AQ11" s="34">
        <f t="shared" si="39"/>
        <v>35083.960609245602</v>
      </c>
      <c r="AR11" s="34">
        <f t="shared" si="40"/>
        <v>265147.46889137872</v>
      </c>
      <c r="AS11" s="30">
        <f t="shared" si="41"/>
        <v>1.005821237599305</v>
      </c>
      <c r="AT11" s="29">
        <f t="shared" si="42"/>
        <v>3940.5505018225895</v>
      </c>
      <c r="AU11" s="29">
        <f t="shared" si="43"/>
        <v>0</v>
      </c>
      <c r="AV11" s="34">
        <f t="shared" si="44"/>
        <v>-139765.78337062895</v>
      </c>
      <c r="AW11" s="34">
        <f t="shared" si="45"/>
        <v>31155.19193986438</v>
      </c>
      <c r="AX11" s="29">
        <f t="shared" si="46"/>
        <v>31143.410107423013</v>
      </c>
      <c r="AY11" s="34">
        <f t="shared" si="47"/>
        <v>11.781832449324554</v>
      </c>
      <c r="AZ11" s="37">
        <f t="shared" si="48"/>
        <v>-2.5540244841859016E-13</v>
      </c>
      <c r="BA11" s="37">
        <f t="shared" si="49"/>
        <v>0</v>
      </c>
      <c r="BB11" s="35">
        <f t="shared" si="50"/>
        <v>0</v>
      </c>
      <c r="BC11" s="31">
        <f t="shared" si="51"/>
        <v>1</v>
      </c>
      <c r="BD11" s="34">
        <f t="shared" si="52"/>
        <v>31155.19193986438</v>
      </c>
    </row>
    <row r="12" spans="1:56" x14ac:dyDescent="0.2">
      <c r="A12" s="27">
        <f t="shared" si="53"/>
        <v>8</v>
      </c>
      <c r="B12" s="28">
        <f t="shared" si="0"/>
        <v>8</v>
      </c>
      <c r="C12" s="27">
        <f t="shared" si="1"/>
        <v>0</v>
      </c>
      <c r="D12" s="28">
        <f t="shared" si="2"/>
        <v>20</v>
      </c>
      <c r="E12" s="29">
        <f t="shared" si="3"/>
        <v>0</v>
      </c>
      <c r="F12" s="30">
        <f t="shared" si="4"/>
        <v>2.3993637567701451E-4</v>
      </c>
      <c r="G12" s="31">
        <f t="shared" si="5"/>
        <v>1.999689714393682E-5</v>
      </c>
      <c r="H12" s="32">
        <f t="shared" si="6"/>
        <v>0.1</v>
      </c>
      <c r="I12" s="32">
        <f t="shared" si="7"/>
        <v>0</v>
      </c>
      <c r="J12" s="33">
        <f t="shared" si="54"/>
        <v>93.202063820162493</v>
      </c>
      <c r="K12" s="30">
        <f t="shared" si="8"/>
        <v>0</v>
      </c>
      <c r="L12" s="33">
        <f t="shared" si="9"/>
        <v>93.202063820162493</v>
      </c>
      <c r="M12" s="30">
        <f t="shared" si="10"/>
        <v>0</v>
      </c>
      <c r="N12" s="33">
        <f t="shared" si="11"/>
        <v>93.202063820162493</v>
      </c>
      <c r="O12" s="31">
        <f t="shared" si="12"/>
        <v>1.8637520838144246E-3</v>
      </c>
      <c r="P12" s="33">
        <f t="shared" si="13"/>
        <v>0.81471988989504263</v>
      </c>
      <c r="Q12" s="34">
        <f t="shared" si="55"/>
        <v>450215.21227995196</v>
      </c>
      <c r="R12" s="29">
        <f t="shared" si="14"/>
        <v>0</v>
      </c>
      <c r="S12" s="34">
        <f t="shared" si="15"/>
        <v>450215.21227995196</v>
      </c>
      <c r="T12" s="29">
        <f t="shared" si="16"/>
        <v>375.17934356662664</v>
      </c>
      <c r="U12" s="29">
        <f t="shared" si="17"/>
        <v>49784.787720048043</v>
      </c>
      <c r="V12" s="35">
        <f t="shared" si="18"/>
        <v>2.1996586858330504E-5</v>
      </c>
      <c r="W12" s="34">
        <f t="shared" si="19"/>
        <v>1.0950954073075827</v>
      </c>
      <c r="X12" s="34">
        <f t="shared" si="20"/>
        <v>449838.93784097797</v>
      </c>
      <c r="Y12" s="36">
        <f t="shared" si="21"/>
        <v>-2.345353198548672E-3</v>
      </c>
      <c r="Z12" s="34">
        <f t="shared" si="22"/>
        <v>-1055.031191697075</v>
      </c>
      <c r="AA12" s="34">
        <f t="shared" si="23"/>
        <v>449311.42224512942</v>
      </c>
      <c r="AB12" s="34">
        <f t="shared" si="24"/>
        <v>41960986.947724089</v>
      </c>
      <c r="AC12" s="34">
        <f t="shared" si="25"/>
        <v>41960986.947724089</v>
      </c>
      <c r="AD12" s="34">
        <f t="shared" si="26"/>
        <v>41960986.947724089</v>
      </c>
      <c r="AE12" s="34">
        <f t="shared" si="27"/>
        <v>0</v>
      </c>
      <c r="AF12" s="34">
        <f t="shared" si="28"/>
        <v>0</v>
      </c>
      <c r="AG12" s="29">
        <f t="shared" si="29"/>
        <v>500000</v>
      </c>
      <c r="AH12" s="34">
        <f t="shared" si="30"/>
        <v>931.87604190721231</v>
      </c>
      <c r="AI12" s="34">
        <f t="shared" si="31"/>
        <v>837.40509949098271</v>
      </c>
      <c r="AJ12" s="34">
        <f t="shared" si="32"/>
        <v>366062.95246013685</v>
      </c>
      <c r="AK12" s="34">
        <f t="shared" si="33"/>
        <v>0</v>
      </c>
      <c r="AL12" s="34">
        <f t="shared" si="34"/>
        <v>366062.95246013685</v>
      </c>
      <c r="AM12" s="34">
        <f t="shared" si="35"/>
        <v>0</v>
      </c>
      <c r="AN12" s="34">
        <f t="shared" si="36"/>
        <v>366994.82850204408</v>
      </c>
      <c r="AO12" s="34">
        <f t="shared" si="37"/>
        <v>94.470942416229533</v>
      </c>
      <c r="AP12" s="34">
        <f t="shared" si="38"/>
        <v>102.06515204104817</v>
      </c>
      <c r="AQ12" s="34">
        <f t="shared" si="39"/>
        <v>34967.489123103405</v>
      </c>
      <c r="AR12" s="34">
        <f t="shared" si="40"/>
        <v>-97900.32385435421</v>
      </c>
      <c r="AS12" s="30">
        <f t="shared" si="41"/>
        <v>1.0066556046521125</v>
      </c>
      <c r="AT12" s="29">
        <f t="shared" si="42"/>
        <v>3909.265829571269</v>
      </c>
      <c r="AU12" s="29">
        <f t="shared" si="43"/>
        <v>0</v>
      </c>
      <c r="AV12" s="34">
        <f t="shared" si="44"/>
        <v>-499870.23568913341</v>
      </c>
      <c r="AW12" s="34">
        <f t="shared" si="45"/>
        <v>31065.817503163824</v>
      </c>
      <c r="AX12" s="29">
        <f t="shared" si="46"/>
        <v>31058.223293532137</v>
      </c>
      <c r="AY12" s="34">
        <f t="shared" si="47"/>
        <v>7.5942096248186317</v>
      </c>
      <c r="AZ12" s="37">
        <f t="shared" si="48"/>
        <v>2.2108058929203481E-13</v>
      </c>
      <c r="BA12" s="37">
        <f t="shared" si="49"/>
        <v>0</v>
      </c>
      <c r="BB12" s="35">
        <f t="shared" si="50"/>
        <v>0</v>
      </c>
      <c r="BC12" s="31">
        <f t="shared" si="51"/>
        <v>1</v>
      </c>
      <c r="BD12" s="34">
        <f t="shared" si="52"/>
        <v>31065.817503163824</v>
      </c>
    </row>
    <row r="13" spans="1:56" x14ac:dyDescent="0.2">
      <c r="A13" s="27">
        <f t="shared" si="53"/>
        <v>9</v>
      </c>
      <c r="B13" s="28">
        <f t="shared" si="0"/>
        <v>9</v>
      </c>
      <c r="C13" s="27">
        <f t="shared" si="1"/>
        <v>0</v>
      </c>
      <c r="D13" s="28">
        <f t="shared" si="2"/>
        <v>20</v>
      </c>
      <c r="E13" s="29">
        <f t="shared" si="3"/>
        <v>0</v>
      </c>
      <c r="F13" s="30">
        <f t="shared" si="4"/>
        <v>2.3993637567701451E-4</v>
      </c>
      <c r="G13" s="31">
        <f t="shared" si="5"/>
        <v>1.999689714393682E-5</v>
      </c>
      <c r="H13" s="32">
        <f t="shared" si="6"/>
        <v>0.1</v>
      </c>
      <c r="I13" s="32">
        <f t="shared" si="7"/>
        <v>0</v>
      </c>
      <c r="J13" s="33">
        <f t="shared" si="54"/>
        <v>92.385480178183627</v>
      </c>
      <c r="K13" s="30">
        <f t="shared" si="8"/>
        <v>0</v>
      </c>
      <c r="L13" s="33">
        <f t="shared" si="9"/>
        <v>92.385480178183627</v>
      </c>
      <c r="M13" s="30">
        <f t="shared" si="10"/>
        <v>0</v>
      </c>
      <c r="N13" s="33">
        <f t="shared" si="11"/>
        <v>92.385480178183627</v>
      </c>
      <c r="O13" s="31">
        <f t="shared" si="12"/>
        <v>1.8474229447163518E-3</v>
      </c>
      <c r="P13" s="33">
        <f t="shared" si="13"/>
        <v>0.80758177612787529</v>
      </c>
      <c r="Q13" s="34">
        <f t="shared" si="55"/>
        <v>448783.90664928092</v>
      </c>
      <c r="R13" s="29">
        <f t="shared" si="14"/>
        <v>0</v>
      </c>
      <c r="S13" s="34">
        <f t="shared" si="15"/>
        <v>448783.90664928092</v>
      </c>
      <c r="T13" s="29">
        <f t="shared" si="16"/>
        <v>373.98658887440081</v>
      </c>
      <c r="U13" s="29">
        <f t="shared" si="17"/>
        <v>51216.093350719078</v>
      </c>
      <c r="V13" s="35">
        <f t="shared" si="18"/>
        <v>2.1996586858330504E-5</v>
      </c>
      <c r="W13" s="34">
        <f t="shared" si="19"/>
        <v>1.1265792459334556</v>
      </c>
      <c r="X13" s="34">
        <f t="shared" si="20"/>
        <v>448408.79348116054</v>
      </c>
      <c r="Y13" s="36">
        <f t="shared" si="21"/>
        <v>2.6754920875211585E-3</v>
      </c>
      <c r="Z13" s="34">
        <f t="shared" si="22"/>
        <v>1199.7141789337543</v>
      </c>
      <c r="AA13" s="34">
        <f t="shared" si="23"/>
        <v>449008.65057062742</v>
      </c>
      <c r="AB13" s="34">
        <f t="shared" si="24"/>
        <v>41461116.712034956</v>
      </c>
      <c r="AC13" s="34">
        <f t="shared" si="25"/>
        <v>41461116.712034956</v>
      </c>
      <c r="AD13" s="34">
        <f t="shared" si="26"/>
        <v>41461116.712034956</v>
      </c>
      <c r="AE13" s="34">
        <f t="shared" si="27"/>
        <v>0</v>
      </c>
      <c r="AF13" s="34">
        <f t="shared" si="28"/>
        <v>0</v>
      </c>
      <c r="AG13" s="29">
        <f t="shared" si="29"/>
        <v>500000</v>
      </c>
      <c r="AH13" s="34">
        <f t="shared" si="30"/>
        <v>923.71147235817591</v>
      </c>
      <c r="AI13" s="34">
        <f t="shared" si="31"/>
        <v>829.50888344030398</v>
      </c>
      <c r="AJ13" s="34">
        <f t="shared" si="32"/>
        <v>362611.20352460782</v>
      </c>
      <c r="AK13" s="34">
        <f t="shared" si="33"/>
        <v>0</v>
      </c>
      <c r="AL13" s="34">
        <f t="shared" si="34"/>
        <v>362611.20352460782</v>
      </c>
      <c r="AM13" s="34">
        <f t="shared" si="35"/>
        <v>0</v>
      </c>
      <c r="AN13" s="34">
        <f t="shared" si="36"/>
        <v>363534.91499696596</v>
      </c>
      <c r="AO13" s="34">
        <f t="shared" si="37"/>
        <v>94.202588917871964</v>
      </c>
      <c r="AP13" s="34">
        <f t="shared" si="38"/>
        <v>104.07956459433832</v>
      </c>
      <c r="AQ13" s="34">
        <f t="shared" si="39"/>
        <v>34550.930593362464</v>
      </c>
      <c r="AR13" s="34">
        <f t="shared" si="40"/>
        <v>110350.62865388501</v>
      </c>
      <c r="AS13" s="30">
        <f t="shared" si="41"/>
        <v>1.0074906638441916</v>
      </c>
      <c r="AT13" s="29">
        <f t="shared" si="42"/>
        <v>3878.2295314284429</v>
      </c>
      <c r="AU13" s="29">
        <f t="shared" si="43"/>
        <v>0</v>
      </c>
      <c r="AV13" s="34">
        <f t="shared" si="44"/>
        <v>-287745.09391212463</v>
      </c>
      <c r="AW13" s="34">
        <f t="shared" si="45"/>
        <v>30682.578037615225</v>
      </c>
      <c r="AX13" s="29">
        <f t="shared" si="46"/>
        <v>30672.701061934022</v>
      </c>
      <c r="AY13" s="34">
        <f t="shared" si="47"/>
        <v>9.8769756764663583</v>
      </c>
      <c r="AZ13" s="37">
        <f t="shared" si="48"/>
        <v>1.5439111274259795E-13</v>
      </c>
      <c r="BA13" s="37">
        <f t="shared" si="49"/>
        <v>-1.7970043230314493E-16</v>
      </c>
      <c r="BB13" s="35">
        <f t="shared" si="50"/>
        <v>0</v>
      </c>
      <c r="BC13" s="31">
        <f t="shared" si="51"/>
        <v>1</v>
      </c>
      <c r="BD13" s="34">
        <f t="shared" si="52"/>
        <v>30682.578037615225</v>
      </c>
    </row>
    <row r="14" spans="1:56" x14ac:dyDescent="0.2">
      <c r="A14" s="27">
        <f t="shared" si="53"/>
        <v>10</v>
      </c>
      <c r="B14" s="28">
        <f t="shared" si="0"/>
        <v>10</v>
      </c>
      <c r="C14" s="27">
        <f t="shared" si="1"/>
        <v>0</v>
      </c>
      <c r="D14" s="28">
        <f t="shared" si="2"/>
        <v>20</v>
      </c>
      <c r="E14" s="29">
        <f t="shared" si="3"/>
        <v>0</v>
      </c>
      <c r="F14" s="30">
        <f t="shared" si="4"/>
        <v>2.3993637567701451E-4</v>
      </c>
      <c r="G14" s="31">
        <f t="shared" si="5"/>
        <v>1.999689714393682E-5</v>
      </c>
      <c r="H14" s="32">
        <f t="shared" si="6"/>
        <v>0.1</v>
      </c>
      <c r="I14" s="32">
        <f t="shared" si="7"/>
        <v>0</v>
      </c>
      <c r="J14" s="33">
        <f t="shared" si="54"/>
        <v>91.576050979111031</v>
      </c>
      <c r="K14" s="30">
        <f t="shared" si="8"/>
        <v>0</v>
      </c>
      <c r="L14" s="33">
        <f t="shared" si="9"/>
        <v>91.576050979111031</v>
      </c>
      <c r="M14" s="30">
        <f t="shared" si="10"/>
        <v>0</v>
      </c>
      <c r="N14" s="33">
        <f t="shared" si="11"/>
        <v>91.576050979111031</v>
      </c>
      <c r="O14" s="31">
        <f t="shared" si="12"/>
        <v>1.8312368722771979E-3</v>
      </c>
      <c r="P14" s="33">
        <f t="shared" si="13"/>
        <v>0.80050620246655901</v>
      </c>
      <c r="Q14" s="34">
        <f t="shared" si="55"/>
        <v>449608.5076600943</v>
      </c>
      <c r="R14" s="29">
        <f t="shared" si="14"/>
        <v>0</v>
      </c>
      <c r="S14" s="34">
        <f t="shared" si="15"/>
        <v>449608.5076600943</v>
      </c>
      <c r="T14" s="29">
        <f t="shared" si="16"/>
        <v>374.67375638341196</v>
      </c>
      <c r="U14" s="29">
        <f t="shared" si="17"/>
        <v>50391.492339905701</v>
      </c>
      <c r="V14" s="35">
        <f t="shared" si="18"/>
        <v>2.1996586858330504E-5</v>
      </c>
      <c r="W14" s="34">
        <f t="shared" si="19"/>
        <v>1.1084408381756319</v>
      </c>
      <c r="X14" s="34">
        <f t="shared" si="20"/>
        <v>449232.72546287271</v>
      </c>
      <c r="Y14" s="36">
        <f t="shared" si="21"/>
        <v>-1.8165924989355098E-3</v>
      </c>
      <c r="Z14" s="34">
        <f t="shared" si="22"/>
        <v>-816.0727993522097</v>
      </c>
      <c r="AA14" s="34">
        <f t="shared" si="23"/>
        <v>448824.68906319659</v>
      </c>
      <c r="AB14" s="34">
        <f t="shared" si="24"/>
        <v>41173371.618122831</v>
      </c>
      <c r="AC14" s="34">
        <f t="shared" si="25"/>
        <v>41173371.618122831</v>
      </c>
      <c r="AD14" s="34">
        <f t="shared" si="26"/>
        <v>41173371.618122831</v>
      </c>
      <c r="AE14" s="34">
        <f t="shared" si="27"/>
        <v>0</v>
      </c>
      <c r="AF14" s="34">
        <f t="shared" si="28"/>
        <v>0</v>
      </c>
      <c r="AG14" s="29">
        <f t="shared" si="29"/>
        <v>500000</v>
      </c>
      <c r="AH14" s="34">
        <f t="shared" si="30"/>
        <v>915.61843613859901</v>
      </c>
      <c r="AI14" s="34">
        <f t="shared" si="31"/>
        <v>821.90431980087396</v>
      </c>
      <c r="AJ14" s="34">
        <f t="shared" si="32"/>
        <v>359286.94741521362</v>
      </c>
      <c r="AK14" s="34">
        <f t="shared" si="33"/>
        <v>0</v>
      </c>
      <c r="AL14" s="34">
        <f t="shared" si="34"/>
        <v>359286.94741521362</v>
      </c>
      <c r="AM14" s="34">
        <f t="shared" si="35"/>
        <v>0</v>
      </c>
      <c r="AN14" s="34">
        <f t="shared" si="36"/>
        <v>360202.56585135224</v>
      </c>
      <c r="AO14" s="34">
        <f t="shared" si="37"/>
        <v>93.714116337724946</v>
      </c>
      <c r="AP14" s="34">
        <f t="shared" si="38"/>
        <v>101.50663470410022</v>
      </c>
      <c r="AQ14" s="34">
        <f t="shared" si="39"/>
        <v>34311.14301510236</v>
      </c>
      <c r="AR14" s="34">
        <f t="shared" si="40"/>
        <v>-74405.341396070624</v>
      </c>
      <c r="AS14" s="30">
        <f t="shared" si="41"/>
        <v>1.0083264157496983</v>
      </c>
      <c r="AT14" s="29">
        <f t="shared" si="42"/>
        <v>3847.4396355116119</v>
      </c>
      <c r="AU14" s="29">
        <f t="shared" si="43"/>
        <v>0</v>
      </c>
      <c r="AV14" s="34">
        <f t="shared" si="44"/>
        <v>-468926.84278090298</v>
      </c>
      <c r="AW14" s="34">
        <f t="shared" si="45"/>
        <v>30471.495897968533</v>
      </c>
      <c r="AX14" s="29">
        <f t="shared" si="46"/>
        <v>30463.703379590748</v>
      </c>
      <c r="AY14" s="34">
        <f t="shared" si="47"/>
        <v>7.7925183663752762</v>
      </c>
      <c r="AZ14" s="37">
        <f t="shared" si="48"/>
        <v>3.7441595306136447E-13</v>
      </c>
      <c r="BA14" s="37">
        <f t="shared" si="49"/>
        <v>-3.6191258107433628E-16</v>
      </c>
      <c r="BB14" s="35">
        <f t="shared" si="50"/>
        <v>0</v>
      </c>
      <c r="BC14" s="31">
        <f t="shared" si="51"/>
        <v>1</v>
      </c>
      <c r="BD14" s="34">
        <f t="shared" si="52"/>
        <v>30471.495897968533</v>
      </c>
    </row>
    <row r="15" spans="1:56" x14ac:dyDescent="0.2">
      <c r="A15" s="27">
        <f t="shared" si="53"/>
        <v>11</v>
      </c>
      <c r="B15" s="28">
        <f t="shared" si="0"/>
        <v>11</v>
      </c>
      <c r="C15" s="27">
        <f t="shared" si="1"/>
        <v>0</v>
      </c>
      <c r="D15" s="28">
        <f t="shared" si="2"/>
        <v>20</v>
      </c>
      <c r="E15" s="29">
        <f t="shared" si="3"/>
        <v>0</v>
      </c>
      <c r="F15" s="30">
        <f t="shared" si="4"/>
        <v>2.3993637567701451E-4</v>
      </c>
      <c r="G15" s="31">
        <f t="shared" si="5"/>
        <v>1.999689714393682E-5</v>
      </c>
      <c r="H15" s="32">
        <f t="shared" si="6"/>
        <v>0.1</v>
      </c>
      <c r="I15" s="32">
        <f t="shared" si="7"/>
        <v>0</v>
      </c>
      <c r="J15" s="33">
        <f t="shared" si="54"/>
        <v>90.773713539772189</v>
      </c>
      <c r="K15" s="30">
        <f t="shared" si="8"/>
        <v>0</v>
      </c>
      <c r="L15" s="33">
        <f t="shared" si="9"/>
        <v>90.773713539772189</v>
      </c>
      <c r="M15" s="30">
        <f t="shared" si="10"/>
        <v>0</v>
      </c>
      <c r="N15" s="33">
        <f t="shared" si="11"/>
        <v>90.773713539772189</v>
      </c>
      <c r="O15" s="31">
        <f t="shared" si="12"/>
        <v>1.8151926130280096E-3</v>
      </c>
      <c r="P15" s="33">
        <f t="shared" si="13"/>
        <v>0.79349262097014372</v>
      </c>
      <c r="Q15" s="34">
        <f t="shared" si="55"/>
        <v>448416.65266352048</v>
      </c>
      <c r="R15" s="29">
        <f t="shared" si="14"/>
        <v>0</v>
      </c>
      <c r="S15" s="34">
        <f t="shared" si="15"/>
        <v>448416.65266352048</v>
      </c>
      <c r="T15" s="29">
        <f t="shared" si="16"/>
        <v>373.68054388626712</v>
      </c>
      <c r="U15" s="29">
        <f t="shared" si="17"/>
        <v>51583.347336479521</v>
      </c>
      <c r="V15" s="35">
        <f t="shared" si="18"/>
        <v>2.1996586858330504E-5</v>
      </c>
      <c r="W15" s="34">
        <f t="shared" si="19"/>
        <v>1.1346575801303032</v>
      </c>
      <c r="X15" s="34">
        <f t="shared" si="20"/>
        <v>448041.8374620541</v>
      </c>
      <c r="Y15" s="36">
        <f t="shared" si="21"/>
        <v>6.4134276599310258E-3</v>
      </c>
      <c r="Z15" s="34">
        <f t="shared" si="22"/>
        <v>2873.4839131854587</v>
      </c>
      <c r="AA15" s="34">
        <f t="shared" si="23"/>
        <v>449478.57941864681</v>
      </c>
      <c r="AB15" s="34">
        <f t="shared" si="24"/>
        <v>40704444.775341928</v>
      </c>
      <c r="AC15" s="34">
        <f t="shared" si="25"/>
        <v>40704444.775341928</v>
      </c>
      <c r="AD15" s="34">
        <f t="shared" si="26"/>
        <v>40704444.775341928</v>
      </c>
      <c r="AE15" s="34">
        <f t="shared" si="27"/>
        <v>0</v>
      </c>
      <c r="AF15" s="34">
        <f t="shared" si="28"/>
        <v>0</v>
      </c>
      <c r="AG15" s="29">
        <f t="shared" si="29"/>
        <v>500000</v>
      </c>
      <c r="AH15" s="34">
        <f t="shared" si="30"/>
        <v>907.59630651400482</v>
      </c>
      <c r="AI15" s="34">
        <f t="shared" si="31"/>
        <v>815.89019707505122</v>
      </c>
      <c r="AJ15" s="34">
        <f t="shared" si="32"/>
        <v>356657.93605283898</v>
      </c>
      <c r="AK15" s="34">
        <f t="shared" si="33"/>
        <v>0</v>
      </c>
      <c r="AL15" s="34">
        <f t="shared" si="34"/>
        <v>356657.93605283898</v>
      </c>
      <c r="AM15" s="34">
        <f t="shared" si="35"/>
        <v>0</v>
      </c>
      <c r="AN15" s="34">
        <f t="shared" si="36"/>
        <v>357565.53235935298</v>
      </c>
      <c r="AO15" s="34">
        <f t="shared" si="37"/>
        <v>91.706109438953561</v>
      </c>
      <c r="AP15" s="34">
        <f t="shared" si="38"/>
        <v>102.99708214447925</v>
      </c>
      <c r="AQ15" s="34">
        <f t="shared" si="39"/>
        <v>33920.370646118281</v>
      </c>
      <c r="AR15" s="34">
        <f t="shared" si="40"/>
        <v>259694.1534924595</v>
      </c>
      <c r="AS15" s="30">
        <f t="shared" si="41"/>
        <v>1.0091628609432648</v>
      </c>
      <c r="AT15" s="29">
        <f t="shared" si="42"/>
        <v>3816.8941855933695</v>
      </c>
      <c r="AU15" s="29">
        <f t="shared" si="43"/>
        <v>0</v>
      </c>
      <c r="AV15" s="34">
        <f t="shared" si="44"/>
        <v>-131803.04048570991</v>
      </c>
      <c r="AW15" s="34">
        <f t="shared" si="45"/>
        <v>30114.767433223067</v>
      </c>
      <c r="AX15" s="29">
        <f t="shared" si="46"/>
        <v>30103.476460524911</v>
      </c>
      <c r="AY15" s="34">
        <f t="shared" si="47"/>
        <v>11.290972705525689</v>
      </c>
      <c r="AZ15" s="37">
        <f t="shared" si="48"/>
        <v>-2.4471644157267994E-13</v>
      </c>
      <c r="BA15" s="37">
        <f t="shared" si="49"/>
        <v>1.8304095874653142E-16</v>
      </c>
      <c r="BB15" s="35">
        <f t="shared" si="50"/>
        <v>0</v>
      </c>
      <c r="BC15" s="31">
        <f t="shared" si="51"/>
        <v>1</v>
      </c>
      <c r="BD15" s="34">
        <f t="shared" si="52"/>
        <v>30114.767433223067</v>
      </c>
    </row>
    <row r="16" spans="1:56" x14ac:dyDescent="0.2">
      <c r="A16" s="27">
        <f t="shared" si="53"/>
        <v>12</v>
      </c>
      <c r="B16" s="28">
        <f t="shared" si="0"/>
        <v>12</v>
      </c>
      <c r="C16" s="27">
        <f t="shared" si="1"/>
        <v>1</v>
      </c>
      <c r="D16" s="28">
        <f t="shared" si="2"/>
        <v>21</v>
      </c>
      <c r="E16" s="29">
        <f t="shared" si="3"/>
        <v>0</v>
      </c>
      <c r="F16" s="30">
        <f t="shared" si="4"/>
        <v>2.6943116546805472E-4</v>
      </c>
      <c r="G16" s="31">
        <f t="shared" si="5"/>
        <v>2.2455370254803597E-5</v>
      </c>
      <c r="H16" s="32">
        <f t="shared" si="6"/>
        <v>0.08</v>
      </c>
      <c r="I16" s="32">
        <f t="shared" si="7"/>
        <v>0</v>
      </c>
      <c r="J16" s="33">
        <f t="shared" si="54"/>
        <v>89.978405726189024</v>
      </c>
      <c r="K16" s="30">
        <f t="shared" si="8"/>
        <v>0</v>
      </c>
      <c r="L16" s="33">
        <f t="shared" si="9"/>
        <v>89.978405726189024</v>
      </c>
      <c r="M16" s="30">
        <f t="shared" si="10"/>
        <v>0</v>
      </c>
      <c r="N16" s="33">
        <f t="shared" si="11"/>
        <v>89.978405726189024</v>
      </c>
      <c r="O16" s="31">
        <f t="shared" si="12"/>
        <v>2.0204984155185145E-3</v>
      </c>
      <c r="P16" s="33">
        <f t="shared" si="13"/>
        <v>0.62303091882837136</v>
      </c>
      <c r="Q16" s="34">
        <f t="shared" si="55"/>
        <v>450915.32137523958</v>
      </c>
      <c r="R16" s="29">
        <f t="shared" si="14"/>
        <v>0</v>
      </c>
      <c r="S16" s="34">
        <f t="shared" si="15"/>
        <v>450915.32137523958</v>
      </c>
      <c r="T16" s="29">
        <f t="shared" si="16"/>
        <v>375.76276781269968</v>
      </c>
      <c r="U16" s="29">
        <f t="shared" si="17"/>
        <v>49084.678624760418</v>
      </c>
      <c r="V16" s="35">
        <f t="shared" si="18"/>
        <v>2.470090728028396E-5</v>
      </c>
      <c r="W16" s="34">
        <f t="shared" si="19"/>
        <v>1.2124360955927431</v>
      </c>
      <c r="X16" s="34">
        <f t="shared" si="20"/>
        <v>450538.3461713313</v>
      </c>
      <c r="Y16" s="36">
        <f t="shared" si="21"/>
        <v>4.9944651875133417E-5</v>
      </c>
      <c r="Z16" s="34">
        <f t="shared" si="22"/>
        <v>22.501980855925492</v>
      </c>
      <c r="AA16" s="34">
        <f t="shared" si="23"/>
        <v>450549.59716175927</v>
      </c>
      <c r="AB16" s="34">
        <f t="shared" si="24"/>
        <v>40572641.734856218</v>
      </c>
      <c r="AC16" s="34">
        <f t="shared" si="25"/>
        <v>40572641.734856218</v>
      </c>
      <c r="AD16" s="34">
        <f t="shared" si="26"/>
        <v>40572641.734856218</v>
      </c>
      <c r="AE16" s="34">
        <f t="shared" si="27"/>
        <v>0</v>
      </c>
      <c r="AF16" s="34">
        <f t="shared" si="28"/>
        <v>0</v>
      </c>
      <c r="AG16" s="29">
        <f t="shared" si="29"/>
        <v>500000</v>
      </c>
      <c r="AH16" s="34">
        <f t="shared" si="30"/>
        <v>1010.2492077592573</v>
      </c>
      <c r="AI16" s="34">
        <f t="shared" si="31"/>
        <v>910.33474717783963</v>
      </c>
      <c r="AJ16" s="34">
        <f t="shared" si="32"/>
        <v>280706.32949744345</v>
      </c>
      <c r="AK16" s="34">
        <f t="shared" si="33"/>
        <v>0</v>
      </c>
      <c r="AL16" s="34">
        <f t="shared" si="34"/>
        <v>280706.32949744345</v>
      </c>
      <c r="AM16" s="34">
        <f t="shared" si="35"/>
        <v>0</v>
      </c>
      <c r="AN16" s="34">
        <f t="shared" si="36"/>
        <v>281716.57870520273</v>
      </c>
      <c r="AO16" s="34">
        <f t="shared" si="37"/>
        <v>99.914460581417643</v>
      </c>
      <c r="AP16" s="34">
        <f t="shared" si="38"/>
        <v>109.09306692632035</v>
      </c>
      <c r="AQ16" s="34">
        <f t="shared" si="39"/>
        <v>33810.534779046851</v>
      </c>
      <c r="AR16" s="34">
        <f t="shared" si="40"/>
        <v>2017.6599155850063</v>
      </c>
      <c r="AS16" s="30">
        <f t="shared" si="41"/>
        <v>1.01</v>
      </c>
      <c r="AT16" s="29">
        <f t="shared" si="42"/>
        <v>3786.5912409771213</v>
      </c>
      <c r="AU16" s="29">
        <f t="shared" si="43"/>
        <v>0</v>
      </c>
      <c r="AV16" s="34">
        <f t="shared" si="44"/>
        <v>-313518.63217500597</v>
      </c>
      <c r="AW16" s="34">
        <f t="shared" si="45"/>
        <v>30033.122144411143</v>
      </c>
      <c r="AX16" s="29">
        <f t="shared" si="46"/>
        <v>30023.943538069729</v>
      </c>
      <c r="AY16" s="34">
        <f t="shared" si="47"/>
        <v>9.178606344902704</v>
      </c>
      <c r="AZ16" s="37">
        <f t="shared" si="48"/>
        <v>-1.1613835650039307E-13</v>
      </c>
      <c r="BA16" s="37">
        <f t="shared" si="49"/>
        <v>1.8363557999534909E-16</v>
      </c>
      <c r="BB16" s="35">
        <f t="shared" si="50"/>
        <v>4.6132767043349787E-4</v>
      </c>
      <c r="BC16" s="31">
        <f t="shared" si="51"/>
        <v>0.99448063248968344</v>
      </c>
      <c r="BD16" s="34">
        <f t="shared" si="52"/>
        <v>29867.358305813912</v>
      </c>
    </row>
    <row r="17" spans="1:56" x14ac:dyDescent="0.2">
      <c r="A17" s="27">
        <f t="shared" si="53"/>
        <v>13</v>
      </c>
      <c r="B17" s="28">
        <f t="shared" si="0"/>
        <v>13</v>
      </c>
      <c r="C17" s="27">
        <f t="shared" si="1"/>
        <v>1</v>
      </c>
      <c r="D17" s="28">
        <f t="shared" si="2"/>
        <v>21</v>
      </c>
      <c r="E17" s="29">
        <f t="shared" si="3"/>
        <v>0</v>
      </c>
      <c r="F17" s="30">
        <f t="shared" si="4"/>
        <v>2.6943116546805472E-4</v>
      </c>
      <c r="G17" s="31">
        <f t="shared" si="5"/>
        <v>2.2455370254803597E-5</v>
      </c>
      <c r="H17" s="32">
        <f t="shared" si="6"/>
        <v>0.08</v>
      </c>
      <c r="I17" s="32">
        <f t="shared" si="7"/>
        <v>0</v>
      </c>
      <c r="J17" s="33">
        <f t="shared" si="54"/>
        <v>89.353354308945129</v>
      </c>
      <c r="K17" s="30">
        <f t="shared" si="8"/>
        <v>0</v>
      </c>
      <c r="L17" s="33">
        <f t="shared" si="9"/>
        <v>89.353354308945129</v>
      </c>
      <c r="M17" s="30">
        <f t="shared" si="10"/>
        <v>0</v>
      </c>
      <c r="N17" s="33">
        <f t="shared" si="11"/>
        <v>89.353354308945129</v>
      </c>
      <c r="O17" s="31">
        <f t="shared" si="12"/>
        <v>2.0064626545160131E-3</v>
      </c>
      <c r="P17" s="33">
        <f t="shared" si="13"/>
        <v>0.61870292084199341</v>
      </c>
      <c r="Q17" s="34">
        <f t="shared" si="55"/>
        <v>450560.84815218725</v>
      </c>
      <c r="R17" s="29">
        <f t="shared" si="14"/>
        <v>0</v>
      </c>
      <c r="S17" s="34">
        <f t="shared" si="15"/>
        <v>450560.84815218725</v>
      </c>
      <c r="T17" s="29">
        <f t="shared" si="16"/>
        <v>375.46737346015607</v>
      </c>
      <c r="U17" s="29">
        <f t="shared" si="17"/>
        <v>49439.151847812755</v>
      </c>
      <c r="V17" s="35">
        <f t="shared" si="18"/>
        <v>2.470090728028396E-5</v>
      </c>
      <c r="W17" s="34">
        <f t="shared" si="19"/>
        <v>1.2211919058087022</v>
      </c>
      <c r="X17" s="34">
        <f t="shared" si="20"/>
        <v>450184.15958682128</v>
      </c>
      <c r="Y17" s="36">
        <f t="shared" si="21"/>
        <v>-4.8501613018164802E-3</v>
      </c>
      <c r="Z17" s="34">
        <f t="shared" si="22"/>
        <v>-2183.4657895187752</v>
      </c>
      <c r="AA17" s="34">
        <f t="shared" si="23"/>
        <v>449092.42669206188</v>
      </c>
      <c r="AB17" s="34">
        <f t="shared" si="24"/>
        <v>40259123.102681212</v>
      </c>
      <c r="AC17" s="34">
        <f t="shared" si="25"/>
        <v>40259123.102681212</v>
      </c>
      <c r="AD17" s="34">
        <f t="shared" si="26"/>
        <v>40259123.102681212</v>
      </c>
      <c r="AE17" s="34">
        <f t="shared" si="27"/>
        <v>0</v>
      </c>
      <c r="AF17" s="34">
        <f t="shared" si="28"/>
        <v>0</v>
      </c>
      <c r="AG17" s="29">
        <f t="shared" si="29"/>
        <v>500000</v>
      </c>
      <c r="AH17" s="34">
        <f t="shared" si="30"/>
        <v>1003.2313272580066</v>
      </c>
      <c r="AI17" s="34">
        <f t="shared" si="31"/>
        <v>901.08718258359249</v>
      </c>
      <c r="AJ17" s="34">
        <f t="shared" si="32"/>
        <v>277854.79612239747</v>
      </c>
      <c r="AK17" s="34">
        <f t="shared" si="33"/>
        <v>0</v>
      </c>
      <c r="AL17" s="34">
        <f t="shared" si="34"/>
        <v>277854.79612239747</v>
      </c>
      <c r="AM17" s="34">
        <f t="shared" si="35"/>
        <v>0</v>
      </c>
      <c r="AN17" s="34">
        <f t="shared" si="36"/>
        <v>278858.02744965546</v>
      </c>
      <c r="AO17" s="34">
        <f t="shared" si="37"/>
        <v>102.14414467441405</v>
      </c>
      <c r="AP17" s="34">
        <f t="shared" si="38"/>
        <v>109.11759303894091</v>
      </c>
      <c r="AQ17" s="34">
        <f t="shared" si="39"/>
        <v>33549.26925223435</v>
      </c>
      <c r="AR17" s="34">
        <f t="shared" si="40"/>
        <v>-194422.34346028275</v>
      </c>
      <c r="AS17" s="30">
        <f t="shared" si="41"/>
        <v>1.0108378334954897</v>
      </c>
      <c r="AT17" s="29">
        <f t="shared" si="42"/>
        <v>3763.4062952170402</v>
      </c>
      <c r="AU17" s="29">
        <f t="shared" si="43"/>
        <v>0</v>
      </c>
      <c r="AV17" s="34">
        <f t="shared" si="44"/>
        <v>-506836.61361054331</v>
      </c>
      <c r="AW17" s="34">
        <f t="shared" si="45"/>
        <v>29792.836405388021</v>
      </c>
      <c r="AX17" s="29">
        <f t="shared" si="46"/>
        <v>29785.862957017311</v>
      </c>
      <c r="AY17" s="34">
        <f t="shared" si="47"/>
        <v>6.9734483645268597</v>
      </c>
      <c r="AZ17" s="37">
        <f t="shared" si="48"/>
        <v>2.0756080164600842E-13</v>
      </c>
      <c r="BA17" s="37">
        <f t="shared" si="49"/>
        <v>-1.8506564531773489E-16</v>
      </c>
      <c r="BB17" s="35">
        <f t="shared" si="50"/>
        <v>4.6132767043349787E-4</v>
      </c>
      <c r="BC17" s="31">
        <f t="shared" si="51"/>
        <v>0.99402206260718129</v>
      </c>
      <c r="BD17" s="34">
        <f t="shared" si="52"/>
        <v>29614.736694602121</v>
      </c>
    </row>
    <row r="18" spans="1:56" x14ac:dyDescent="0.2">
      <c r="A18" s="27">
        <f t="shared" si="53"/>
        <v>14</v>
      </c>
      <c r="B18" s="28">
        <f t="shared" si="0"/>
        <v>14</v>
      </c>
      <c r="C18" s="27">
        <f t="shared" si="1"/>
        <v>1</v>
      </c>
      <c r="D18" s="28">
        <f t="shared" si="2"/>
        <v>21</v>
      </c>
      <c r="E18" s="29">
        <f t="shared" si="3"/>
        <v>0</v>
      </c>
      <c r="F18" s="30">
        <f t="shared" si="4"/>
        <v>2.6943116546805472E-4</v>
      </c>
      <c r="G18" s="31">
        <f t="shared" si="5"/>
        <v>2.2455370254803597E-5</v>
      </c>
      <c r="H18" s="32">
        <f t="shared" si="6"/>
        <v>0.08</v>
      </c>
      <c r="I18" s="32">
        <f t="shared" si="7"/>
        <v>0</v>
      </c>
      <c r="J18" s="33">
        <f t="shared" si="54"/>
        <v>88.732644925448611</v>
      </c>
      <c r="K18" s="30">
        <f t="shared" si="8"/>
        <v>0</v>
      </c>
      <c r="L18" s="33">
        <f t="shared" si="9"/>
        <v>88.732644925448611</v>
      </c>
      <c r="M18" s="30">
        <f t="shared" si="10"/>
        <v>0</v>
      </c>
      <c r="N18" s="33">
        <f t="shared" si="11"/>
        <v>88.732644925448611</v>
      </c>
      <c r="O18" s="31">
        <f t="shared" si="12"/>
        <v>1.9925243954889683E-3</v>
      </c>
      <c r="P18" s="33">
        <f t="shared" si="13"/>
        <v>0.61440498808352639</v>
      </c>
      <c r="Q18" s="34">
        <f t="shared" si="55"/>
        <v>448000.69379730249</v>
      </c>
      <c r="R18" s="29">
        <f t="shared" si="14"/>
        <v>0</v>
      </c>
      <c r="S18" s="34">
        <f t="shared" si="15"/>
        <v>448000.69379730249</v>
      </c>
      <c r="T18" s="29">
        <f t="shared" si="16"/>
        <v>373.33391149775213</v>
      </c>
      <c r="U18" s="29">
        <f t="shared" si="17"/>
        <v>51999.306202697509</v>
      </c>
      <c r="V18" s="35">
        <f t="shared" si="18"/>
        <v>2.470090728028396E-5</v>
      </c>
      <c r="W18" s="34">
        <f t="shared" si="19"/>
        <v>1.2844300411519258</v>
      </c>
      <c r="X18" s="34">
        <f t="shared" si="20"/>
        <v>447626.07545576361</v>
      </c>
      <c r="Y18" s="36">
        <f t="shared" si="21"/>
        <v>6.3808524821187262E-3</v>
      </c>
      <c r="Z18" s="34">
        <f t="shared" si="22"/>
        <v>2856.2359546329735</v>
      </c>
      <c r="AA18" s="34">
        <f t="shared" si="23"/>
        <v>449054.1934330801</v>
      </c>
      <c r="AB18" s="34">
        <f t="shared" si="24"/>
        <v>39752286.489070669</v>
      </c>
      <c r="AC18" s="34">
        <f t="shared" si="25"/>
        <v>39752286.489070669</v>
      </c>
      <c r="AD18" s="34">
        <f t="shared" si="26"/>
        <v>39752286.489070669</v>
      </c>
      <c r="AE18" s="34">
        <f t="shared" si="27"/>
        <v>0</v>
      </c>
      <c r="AF18" s="34">
        <f t="shared" si="28"/>
        <v>0</v>
      </c>
      <c r="AG18" s="29">
        <f t="shared" si="29"/>
        <v>500000</v>
      </c>
      <c r="AH18" s="34">
        <f t="shared" si="30"/>
        <v>996.26219774448418</v>
      </c>
      <c r="AI18" s="34">
        <f t="shared" si="31"/>
        <v>894.75143531203412</v>
      </c>
      <c r="AJ18" s="34">
        <f t="shared" si="32"/>
        <v>275901.13636510912</v>
      </c>
      <c r="AK18" s="34">
        <f t="shared" si="33"/>
        <v>0</v>
      </c>
      <c r="AL18" s="34">
        <f t="shared" si="34"/>
        <v>275901.13636510912</v>
      </c>
      <c r="AM18" s="34">
        <f t="shared" si="35"/>
        <v>0</v>
      </c>
      <c r="AN18" s="34">
        <f t="shared" si="36"/>
        <v>276897.39856285363</v>
      </c>
      <c r="AO18" s="34">
        <f t="shared" si="37"/>
        <v>101.51076243244998</v>
      </c>
      <c r="AP18" s="34">
        <f t="shared" si="38"/>
        <v>113.97087477311318</v>
      </c>
      <c r="AQ18" s="34">
        <f t="shared" si="39"/>
        <v>33126.905407558894</v>
      </c>
      <c r="AR18" s="34">
        <f t="shared" si="40"/>
        <v>252561.08241700297</v>
      </c>
      <c r="AS18" s="30">
        <f t="shared" si="41"/>
        <v>1.0116763620057974</v>
      </c>
      <c r="AT18" s="29">
        <f t="shared" si="42"/>
        <v>3740.3633087220846</v>
      </c>
      <c r="AU18" s="29">
        <f t="shared" si="43"/>
        <v>0</v>
      </c>
      <c r="AV18" s="34">
        <f t="shared" si="44"/>
        <v>-57475.681665740907</v>
      </c>
      <c r="AW18" s="34">
        <f t="shared" si="45"/>
        <v>29399.002211168157</v>
      </c>
      <c r="AX18" s="29">
        <f t="shared" si="46"/>
        <v>29386.54209883681</v>
      </c>
      <c r="AY18" s="34">
        <f t="shared" si="47"/>
        <v>12.460112340663201</v>
      </c>
      <c r="AZ18" s="37">
        <f t="shared" si="48"/>
        <v>-3.1686206088643634E-13</v>
      </c>
      <c r="BA18" s="37">
        <f t="shared" si="49"/>
        <v>0</v>
      </c>
      <c r="BB18" s="35">
        <f t="shared" si="50"/>
        <v>4.6132767043349787E-4</v>
      </c>
      <c r="BC18" s="31">
        <f t="shared" si="51"/>
        <v>0.99356370417810547</v>
      </c>
      <c r="BD18" s="34">
        <f t="shared" si="52"/>
        <v>29209.781536068549</v>
      </c>
    </row>
    <row r="19" spans="1:56" x14ac:dyDescent="0.2">
      <c r="A19" s="27">
        <f t="shared" si="53"/>
        <v>15</v>
      </c>
      <c r="B19" s="28">
        <f t="shared" si="0"/>
        <v>15</v>
      </c>
      <c r="C19" s="27">
        <f t="shared" si="1"/>
        <v>1</v>
      </c>
      <c r="D19" s="28">
        <f t="shared" si="2"/>
        <v>21</v>
      </c>
      <c r="E19" s="29">
        <f t="shared" si="3"/>
        <v>0</v>
      </c>
      <c r="F19" s="30">
        <f t="shared" si="4"/>
        <v>2.6943116546805472E-4</v>
      </c>
      <c r="G19" s="31">
        <f t="shared" si="5"/>
        <v>2.2455370254803597E-5</v>
      </c>
      <c r="H19" s="32">
        <f t="shared" si="6"/>
        <v>0.08</v>
      </c>
      <c r="I19" s="32">
        <f t="shared" si="7"/>
        <v>0</v>
      </c>
      <c r="J19" s="33">
        <f t="shared" si="54"/>
        <v>88.116247412969599</v>
      </c>
      <c r="K19" s="30">
        <f t="shared" si="8"/>
        <v>0</v>
      </c>
      <c r="L19" s="33">
        <f t="shared" si="9"/>
        <v>88.116247412969599</v>
      </c>
      <c r="M19" s="30">
        <f t="shared" si="10"/>
        <v>0</v>
      </c>
      <c r="N19" s="33">
        <f t="shared" si="11"/>
        <v>88.116247412969599</v>
      </c>
      <c r="O19" s="31">
        <f t="shared" si="12"/>
        <v>1.9786829611221119E-3</v>
      </c>
      <c r="P19" s="33">
        <f t="shared" si="13"/>
        <v>0.61013691169937745</v>
      </c>
      <c r="Q19" s="34">
        <f t="shared" si="55"/>
        <v>450482.31141039659</v>
      </c>
      <c r="R19" s="29">
        <f t="shared" si="14"/>
        <v>0</v>
      </c>
      <c r="S19" s="34">
        <f t="shared" si="15"/>
        <v>450482.31141039659</v>
      </c>
      <c r="T19" s="29">
        <f t="shared" si="16"/>
        <v>375.40192617533052</v>
      </c>
      <c r="U19" s="29">
        <f t="shared" si="17"/>
        <v>49517.688589603407</v>
      </c>
      <c r="V19" s="35">
        <f t="shared" si="18"/>
        <v>2.470090728028396E-5</v>
      </c>
      <c r="W19" s="34">
        <f t="shared" si="19"/>
        <v>1.2231318345857687</v>
      </c>
      <c r="X19" s="34">
        <f t="shared" si="20"/>
        <v>450105.68635238666</v>
      </c>
      <c r="Y19" s="36">
        <f t="shared" si="21"/>
        <v>-1.4674469612980245E-2</v>
      </c>
      <c r="Z19" s="34">
        <f t="shared" si="22"/>
        <v>-6605.0622170077149</v>
      </c>
      <c r="AA19" s="34">
        <f t="shared" si="23"/>
        <v>446803.15524388279</v>
      </c>
      <c r="AB19" s="34">
        <f t="shared" si="24"/>
        <v>39694810.807404928</v>
      </c>
      <c r="AC19" s="34">
        <f t="shared" si="25"/>
        <v>39694810.807404928</v>
      </c>
      <c r="AD19" s="34">
        <f t="shared" si="26"/>
        <v>39694810.807404928</v>
      </c>
      <c r="AE19" s="34">
        <f t="shared" si="27"/>
        <v>0</v>
      </c>
      <c r="AF19" s="34">
        <f t="shared" si="28"/>
        <v>0</v>
      </c>
      <c r="AG19" s="29">
        <f t="shared" si="29"/>
        <v>500000</v>
      </c>
      <c r="AH19" s="34">
        <f t="shared" si="30"/>
        <v>989.34148056105596</v>
      </c>
      <c r="AI19" s="34">
        <f t="shared" si="31"/>
        <v>884.08179025666868</v>
      </c>
      <c r="AJ19" s="34">
        <f t="shared" si="32"/>
        <v>272611.09727804014</v>
      </c>
      <c r="AK19" s="34">
        <f t="shared" si="33"/>
        <v>0</v>
      </c>
      <c r="AL19" s="34">
        <f t="shared" si="34"/>
        <v>272611.09727804014</v>
      </c>
      <c r="AM19" s="34">
        <f t="shared" si="35"/>
        <v>0</v>
      </c>
      <c r="AN19" s="34">
        <f t="shared" si="36"/>
        <v>273600.4387586012</v>
      </c>
      <c r="AO19" s="34">
        <f t="shared" si="37"/>
        <v>105.25969030438728</v>
      </c>
      <c r="AP19" s="34">
        <f t="shared" si="38"/>
        <v>107.777787355039</v>
      </c>
      <c r="AQ19" s="34">
        <f t="shared" si="39"/>
        <v>33079.009006170774</v>
      </c>
      <c r="AR19" s="34">
        <f t="shared" si="40"/>
        <v>-579991.7656985427</v>
      </c>
      <c r="AS19" s="30">
        <f t="shared" si="41"/>
        <v>1.0125155861074644</v>
      </c>
      <c r="AT19" s="29">
        <f t="shared" si="42"/>
        <v>3717.4614122888861</v>
      </c>
      <c r="AU19" s="29">
        <f t="shared" si="43"/>
        <v>0</v>
      </c>
      <c r="AV19" s="34">
        <f t="shared" si="44"/>
        <v>-886673.73156037182</v>
      </c>
      <c r="AW19" s="34">
        <f t="shared" si="45"/>
        <v>29364.065690939082</v>
      </c>
      <c r="AX19" s="29">
        <f t="shared" si="46"/>
        <v>29361.547593881889</v>
      </c>
      <c r="AY19" s="34">
        <f t="shared" si="47"/>
        <v>2.5180970506517184</v>
      </c>
      <c r="AZ19" s="37">
        <f t="shared" si="48"/>
        <v>2.2275769824049173E-13</v>
      </c>
      <c r="BA19" s="37">
        <f t="shared" si="49"/>
        <v>0</v>
      </c>
      <c r="BB19" s="35">
        <f t="shared" si="50"/>
        <v>4.6132767043349787E-4</v>
      </c>
      <c r="BC19" s="31">
        <f t="shared" si="51"/>
        <v>0.99310555710495174</v>
      </c>
      <c r="BD19" s="34">
        <f t="shared" si="52"/>
        <v>29161.616816866455</v>
      </c>
    </row>
    <row r="20" spans="1:56" x14ac:dyDescent="0.2">
      <c r="A20" s="27">
        <f t="shared" si="53"/>
        <v>16</v>
      </c>
      <c r="B20" s="28">
        <f t="shared" si="0"/>
        <v>16</v>
      </c>
      <c r="C20" s="27">
        <f t="shared" si="1"/>
        <v>1</v>
      </c>
      <c r="D20" s="28">
        <f t="shared" si="2"/>
        <v>21</v>
      </c>
      <c r="E20" s="29">
        <f t="shared" si="3"/>
        <v>0</v>
      </c>
      <c r="F20" s="30">
        <f t="shared" si="4"/>
        <v>2.6943116546805472E-4</v>
      </c>
      <c r="G20" s="31">
        <f t="shared" si="5"/>
        <v>2.2455370254803597E-5</v>
      </c>
      <c r="H20" s="32">
        <f t="shared" si="6"/>
        <v>0.08</v>
      </c>
      <c r="I20" s="32">
        <f t="shared" si="7"/>
        <v>0</v>
      </c>
      <c r="J20" s="33">
        <f t="shared" si="54"/>
        <v>87.504131818309105</v>
      </c>
      <c r="K20" s="30">
        <f t="shared" si="8"/>
        <v>0</v>
      </c>
      <c r="L20" s="33">
        <f t="shared" si="9"/>
        <v>87.504131818309105</v>
      </c>
      <c r="M20" s="30">
        <f t="shared" si="10"/>
        <v>0</v>
      </c>
      <c r="N20" s="33">
        <f t="shared" si="11"/>
        <v>87.504131818309105</v>
      </c>
      <c r="O20" s="31">
        <f t="shared" si="12"/>
        <v>1.9649376788052715E-3</v>
      </c>
      <c r="P20" s="33">
        <f t="shared" si="13"/>
        <v>0.60589848428679327</v>
      </c>
      <c r="Q20" s="34">
        <f t="shared" si="55"/>
        <v>443500.62413537892</v>
      </c>
      <c r="R20" s="29">
        <f t="shared" si="14"/>
        <v>0</v>
      </c>
      <c r="S20" s="34">
        <f t="shared" si="15"/>
        <v>443500.62413537892</v>
      </c>
      <c r="T20" s="29">
        <f t="shared" si="16"/>
        <v>369.58385344614913</v>
      </c>
      <c r="U20" s="29">
        <f t="shared" si="17"/>
        <v>56499.375864621077</v>
      </c>
      <c r="V20" s="35">
        <f t="shared" si="18"/>
        <v>2.470090728028396E-5</v>
      </c>
      <c r="W20" s="34">
        <f t="shared" si="19"/>
        <v>1.3955858446259186</v>
      </c>
      <c r="X20" s="34">
        <f t="shared" si="20"/>
        <v>443129.64469608816</v>
      </c>
      <c r="Y20" s="36">
        <f t="shared" si="21"/>
        <v>6.0952066878197098E-3</v>
      </c>
      <c r="Z20" s="34">
        <f t="shared" si="22"/>
        <v>2700.9667739227684</v>
      </c>
      <c r="AA20" s="34">
        <f t="shared" si="23"/>
        <v>444480.12808304955</v>
      </c>
      <c r="AB20" s="34">
        <f t="shared" si="24"/>
        <v>38808137.075844556</v>
      </c>
      <c r="AC20" s="34">
        <f t="shared" si="25"/>
        <v>38808137.075844556</v>
      </c>
      <c r="AD20" s="34">
        <f t="shared" si="26"/>
        <v>38808137.075844556</v>
      </c>
      <c r="AE20" s="34">
        <f t="shared" si="27"/>
        <v>0</v>
      </c>
      <c r="AF20" s="34">
        <f t="shared" si="28"/>
        <v>0</v>
      </c>
      <c r="AG20" s="29">
        <f t="shared" si="29"/>
        <v>500000</v>
      </c>
      <c r="AH20" s="34">
        <f t="shared" si="30"/>
        <v>982.46883940263569</v>
      </c>
      <c r="AI20" s="34">
        <f t="shared" si="31"/>
        <v>873.37575115057712</v>
      </c>
      <c r="AJ20" s="34">
        <f t="shared" si="32"/>
        <v>269309.83590111946</v>
      </c>
      <c r="AK20" s="34">
        <f t="shared" si="33"/>
        <v>0</v>
      </c>
      <c r="AL20" s="34">
        <f t="shared" si="34"/>
        <v>269309.83590111946</v>
      </c>
      <c r="AM20" s="34">
        <f t="shared" si="35"/>
        <v>0</v>
      </c>
      <c r="AN20" s="34">
        <f t="shared" si="36"/>
        <v>270292.30474052212</v>
      </c>
      <c r="AO20" s="34">
        <f t="shared" si="37"/>
        <v>109.09308825205859</v>
      </c>
      <c r="AP20" s="34">
        <f t="shared" si="38"/>
        <v>122.11952771191264</v>
      </c>
      <c r="AQ20" s="34">
        <f t="shared" si="39"/>
        <v>32340.114229870469</v>
      </c>
      <c r="AR20" s="34">
        <f t="shared" si="40"/>
        <v>235524.84316930495</v>
      </c>
      <c r="AS20" s="30">
        <f t="shared" si="41"/>
        <v>1.0133555063775102</v>
      </c>
      <c r="AT20" s="29">
        <f t="shared" si="42"/>
        <v>3694.6997420361258</v>
      </c>
      <c r="AU20" s="29">
        <f t="shared" si="43"/>
        <v>0</v>
      </c>
      <c r="AV20" s="34">
        <f t="shared" si="44"/>
        <v>-67120.602240547538</v>
      </c>
      <c r="AW20" s="34">
        <f t="shared" si="45"/>
        <v>28658.440927294243</v>
      </c>
      <c r="AX20" s="29">
        <f t="shared" si="46"/>
        <v>28645.414487834343</v>
      </c>
      <c r="AY20" s="34">
        <f t="shared" si="47"/>
        <v>13.026439459854046</v>
      </c>
      <c r="AZ20" s="37">
        <f t="shared" si="48"/>
        <v>1.598188291655277E-15</v>
      </c>
      <c r="BA20" s="37">
        <f t="shared" si="49"/>
        <v>1.9198501031788282E-16</v>
      </c>
      <c r="BB20" s="35">
        <f t="shared" si="50"/>
        <v>4.6132767043349787E-4</v>
      </c>
      <c r="BC20" s="31">
        <f t="shared" si="51"/>
        <v>0.99264762129026063</v>
      </c>
      <c r="BD20" s="34">
        <f t="shared" si="52"/>
        <v>28447.733216366083</v>
      </c>
    </row>
    <row r="21" spans="1:56" x14ac:dyDescent="0.2">
      <c r="A21" s="27">
        <f t="shared" si="53"/>
        <v>17</v>
      </c>
      <c r="B21" s="28">
        <f t="shared" si="0"/>
        <v>17</v>
      </c>
      <c r="C21" s="27">
        <f t="shared" si="1"/>
        <v>1</v>
      </c>
      <c r="D21" s="28">
        <f t="shared" si="2"/>
        <v>21</v>
      </c>
      <c r="E21" s="29">
        <f t="shared" si="3"/>
        <v>0</v>
      </c>
      <c r="F21" s="30">
        <f t="shared" si="4"/>
        <v>2.6943116546805472E-4</v>
      </c>
      <c r="G21" s="31">
        <f t="shared" si="5"/>
        <v>2.2455370254803597E-5</v>
      </c>
      <c r="H21" s="32">
        <f t="shared" si="6"/>
        <v>0.08</v>
      </c>
      <c r="I21" s="32">
        <f t="shared" si="7"/>
        <v>0</v>
      </c>
      <c r="J21" s="33">
        <f t="shared" si="54"/>
        <v>86.896268396343501</v>
      </c>
      <c r="K21" s="30">
        <f t="shared" si="8"/>
        <v>0</v>
      </c>
      <c r="L21" s="33">
        <f t="shared" si="9"/>
        <v>86.896268396343501</v>
      </c>
      <c r="M21" s="30">
        <f t="shared" si="10"/>
        <v>0</v>
      </c>
      <c r="N21" s="33">
        <f t="shared" si="11"/>
        <v>86.896268396343501</v>
      </c>
      <c r="O21" s="31">
        <f t="shared" si="12"/>
        <v>1.9512878806006817E-3</v>
      </c>
      <c r="P21" s="33">
        <f t="shared" si="13"/>
        <v>0.60168949988378151</v>
      </c>
      <c r="Q21" s="34">
        <f t="shared" si="55"/>
        <v>445830.61147001095</v>
      </c>
      <c r="R21" s="29">
        <f t="shared" si="14"/>
        <v>0</v>
      </c>
      <c r="S21" s="34">
        <f t="shared" si="15"/>
        <v>445830.61147001095</v>
      </c>
      <c r="T21" s="29">
        <f t="shared" si="16"/>
        <v>371.52550955834249</v>
      </c>
      <c r="U21" s="29">
        <f t="shared" si="17"/>
        <v>54169.388529989053</v>
      </c>
      <c r="V21" s="35">
        <f t="shared" si="18"/>
        <v>2.470090728028396E-5</v>
      </c>
      <c r="W21" s="34">
        <f t="shared" si="19"/>
        <v>1.3380330435089369</v>
      </c>
      <c r="X21" s="34">
        <f t="shared" si="20"/>
        <v>445457.74792740913</v>
      </c>
      <c r="Y21" s="36">
        <f t="shared" si="21"/>
        <v>-5.6267549735985467E-3</v>
      </c>
      <c r="Z21" s="34">
        <f t="shared" si="22"/>
        <v>-2506.481598678557</v>
      </c>
      <c r="AA21" s="34">
        <f t="shared" si="23"/>
        <v>444204.50712806988</v>
      </c>
      <c r="AB21" s="34">
        <f t="shared" si="24"/>
        <v>38741016.473604009</v>
      </c>
      <c r="AC21" s="34">
        <f t="shared" si="25"/>
        <v>38741016.473604009</v>
      </c>
      <c r="AD21" s="34">
        <f t="shared" si="26"/>
        <v>38741016.473604009</v>
      </c>
      <c r="AE21" s="34">
        <f t="shared" si="27"/>
        <v>0</v>
      </c>
      <c r="AF21" s="34">
        <f t="shared" si="28"/>
        <v>0</v>
      </c>
      <c r="AG21" s="29">
        <f t="shared" si="29"/>
        <v>500000</v>
      </c>
      <c r="AH21" s="34">
        <f t="shared" si="30"/>
        <v>975.64394030034089</v>
      </c>
      <c r="AI21" s="34">
        <f t="shared" si="31"/>
        <v>866.77087126720187</v>
      </c>
      <c r="AJ21" s="34">
        <f t="shared" si="32"/>
        <v>267273.18774001003</v>
      </c>
      <c r="AK21" s="34">
        <f t="shared" si="33"/>
        <v>0</v>
      </c>
      <c r="AL21" s="34">
        <f t="shared" si="34"/>
        <v>267273.18774001003</v>
      </c>
      <c r="AM21" s="34">
        <f t="shared" si="35"/>
        <v>0</v>
      </c>
      <c r="AN21" s="34">
        <f t="shared" si="36"/>
        <v>268248.83168031037</v>
      </c>
      <c r="AO21" s="34">
        <f t="shared" si="37"/>
        <v>108.87306903313898</v>
      </c>
      <c r="AP21" s="34">
        <f t="shared" si="38"/>
        <v>116.27007847192894</v>
      </c>
      <c r="AQ21" s="34">
        <f t="shared" si="39"/>
        <v>32284.180394670013</v>
      </c>
      <c r="AR21" s="34">
        <f t="shared" si="40"/>
        <v>-217047.39046589643</v>
      </c>
      <c r="AS21" s="30">
        <f t="shared" si="41"/>
        <v>1.0141961233934329</v>
      </c>
      <c r="AT21" s="29">
        <f t="shared" si="42"/>
        <v>3672.0774393719521</v>
      </c>
      <c r="AU21" s="29">
        <f t="shared" si="43"/>
        <v>0</v>
      </c>
      <c r="AV21" s="34">
        <f t="shared" si="44"/>
        <v>-517587.79955030978</v>
      </c>
      <c r="AW21" s="34">
        <f t="shared" si="45"/>
        <v>28619.499964731047</v>
      </c>
      <c r="AX21" s="29">
        <f t="shared" si="46"/>
        <v>28612.102955298062</v>
      </c>
      <c r="AY21" s="34">
        <f t="shared" si="47"/>
        <v>7.397009438789965</v>
      </c>
      <c r="AZ21" s="37">
        <f t="shared" si="48"/>
        <v>-2.0282501319855812E-13</v>
      </c>
      <c r="BA21" s="37">
        <f t="shared" si="49"/>
        <v>1.9231763322473077E-16</v>
      </c>
      <c r="BB21" s="35">
        <f t="shared" si="50"/>
        <v>4.6132767043349787E-4</v>
      </c>
      <c r="BC21" s="31">
        <f t="shared" si="51"/>
        <v>0.9921898966366175</v>
      </c>
      <c r="BD21" s="34">
        <f t="shared" si="52"/>
        <v>28395.978711798176</v>
      </c>
    </row>
    <row r="22" spans="1:56" x14ac:dyDescent="0.2">
      <c r="A22" s="27">
        <f t="shared" si="53"/>
        <v>18</v>
      </c>
      <c r="B22" s="28">
        <f t="shared" si="0"/>
        <v>18</v>
      </c>
      <c r="C22" s="27">
        <f t="shared" si="1"/>
        <v>1</v>
      </c>
      <c r="D22" s="28">
        <f t="shared" si="2"/>
        <v>21</v>
      </c>
      <c r="E22" s="29">
        <f t="shared" si="3"/>
        <v>0</v>
      </c>
      <c r="F22" s="30">
        <f t="shared" si="4"/>
        <v>2.6943116546805472E-4</v>
      </c>
      <c r="G22" s="31">
        <f t="shared" si="5"/>
        <v>2.2455370254803597E-5</v>
      </c>
      <c r="H22" s="32">
        <f t="shared" si="6"/>
        <v>0.08</v>
      </c>
      <c r="I22" s="32">
        <f t="shared" si="7"/>
        <v>0</v>
      </c>
      <c r="J22" s="33">
        <f t="shared" si="54"/>
        <v>86.292627608579124</v>
      </c>
      <c r="K22" s="30">
        <f t="shared" si="8"/>
        <v>0</v>
      </c>
      <c r="L22" s="33">
        <f t="shared" si="9"/>
        <v>86.292627608579124</v>
      </c>
      <c r="M22" s="30">
        <f t="shared" si="10"/>
        <v>0</v>
      </c>
      <c r="N22" s="33">
        <f t="shared" si="11"/>
        <v>86.292627608579124</v>
      </c>
      <c r="O22" s="31">
        <f t="shared" si="12"/>
        <v>1.9377329032105313E-3</v>
      </c>
      <c r="P22" s="33">
        <f t="shared" si="13"/>
        <v>0.59750975395910289</v>
      </c>
      <c r="Q22" s="34">
        <f t="shared" si="55"/>
        <v>442951.26632873056</v>
      </c>
      <c r="R22" s="29">
        <f t="shared" si="14"/>
        <v>0</v>
      </c>
      <c r="S22" s="34">
        <f t="shared" si="15"/>
        <v>442951.26632873056</v>
      </c>
      <c r="T22" s="29">
        <f t="shared" si="16"/>
        <v>369.12605527394214</v>
      </c>
      <c r="U22" s="29">
        <f t="shared" si="17"/>
        <v>57048.733671269438</v>
      </c>
      <c r="V22" s="35">
        <f t="shared" si="18"/>
        <v>2.470090728028396E-5</v>
      </c>
      <c r="W22" s="34">
        <f t="shared" si="19"/>
        <v>1.40915548087164</v>
      </c>
      <c r="X22" s="34">
        <f t="shared" si="20"/>
        <v>442580.73111797578</v>
      </c>
      <c r="Y22" s="36">
        <f t="shared" si="21"/>
        <v>7.6139811387074818E-3</v>
      </c>
      <c r="Z22" s="34">
        <f t="shared" si="22"/>
        <v>3369.8013390876349</v>
      </c>
      <c r="AA22" s="34">
        <f t="shared" si="23"/>
        <v>444265.63178751961</v>
      </c>
      <c r="AB22" s="34">
        <f t="shared" si="24"/>
        <v>38223428.674053699</v>
      </c>
      <c r="AC22" s="34">
        <f t="shared" si="25"/>
        <v>38223428.674053699</v>
      </c>
      <c r="AD22" s="34">
        <f t="shared" si="26"/>
        <v>38223428.674053699</v>
      </c>
      <c r="AE22" s="34">
        <f t="shared" si="27"/>
        <v>0</v>
      </c>
      <c r="AF22" s="34">
        <f t="shared" si="28"/>
        <v>0</v>
      </c>
      <c r="AG22" s="29">
        <f t="shared" si="29"/>
        <v>500000</v>
      </c>
      <c r="AH22" s="34">
        <f t="shared" si="30"/>
        <v>968.86645160526564</v>
      </c>
      <c r="AI22" s="34">
        <f t="shared" si="31"/>
        <v>860.86813248029125</v>
      </c>
      <c r="AJ22" s="34">
        <f t="shared" si="32"/>
        <v>265453.04834184627</v>
      </c>
      <c r="AK22" s="34">
        <f t="shared" si="33"/>
        <v>0</v>
      </c>
      <c r="AL22" s="34">
        <f t="shared" si="34"/>
        <v>265453.04834184627</v>
      </c>
      <c r="AM22" s="34">
        <f t="shared" si="35"/>
        <v>0</v>
      </c>
      <c r="AN22" s="34">
        <f t="shared" si="36"/>
        <v>266421.91479345155</v>
      </c>
      <c r="AO22" s="34">
        <f t="shared" si="37"/>
        <v>107.99831912497437</v>
      </c>
      <c r="AP22" s="34">
        <f t="shared" si="38"/>
        <v>121.59972915344467</v>
      </c>
      <c r="AQ22" s="34">
        <f t="shared" si="39"/>
        <v>31852.857228378085</v>
      </c>
      <c r="AR22" s="34">
        <f t="shared" si="40"/>
        <v>289779.00259680988</v>
      </c>
      <c r="AS22" s="30">
        <f t="shared" si="41"/>
        <v>1.0150374377332099</v>
      </c>
      <c r="AT22" s="29">
        <f t="shared" si="42"/>
        <v>3649.5936509615917</v>
      </c>
      <c r="AU22" s="29">
        <f t="shared" si="43"/>
        <v>0</v>
      </c>
      <c r="AV22" s="34">
        <f t="shared" si="44"/>
        <v>-8509.3708350434899</v>
      </c>
      <c r="AW22" s="34">
        <f t="shared" si="45"/>
        <v>28216.864987440225</v>
      </c>
      <c r="AX22" s="29">
        <f t="shared" si="46"/>
        <v>28203.263577416492</v>
      </c>
      <c r="AY22" s="34">
        <f t="shared" si="47"/>
        <v>13.601410028470298</v>
      </c>
      <c r="AZ22" s="37">
        <f t="shared" si="48"/>
        <v>-1.6787190707395828E-13</v>
      </c>
      <c r="BA22" s="37">
        <f t="shared" si="49"/>
        <v>0</v>
      </c>
      <c r="BB22" s="35">
        <f t="shared" si="50"/>
        <v>4.6132767043349787E-4</v>
      </c>
      <c r="BC22" s="31">
        <f t="shared" si="51"/>
        <v>0.99173238304665323</v>
      </c>
      <c r="BD22" s="34">
        <f t="shared" si="52"/>
        <v>27983.578756099767</v>
      </c>
    </row>
    <row r="23" spans="1:56" x14ac:dyDescent="0.2">
      <c r="A23" s="27">
        <f t="shared" si="53"/>
        <v>19</v>
      </c>
      <c r="B23" s="28">
        <f t="shared" si="0"/>
        <v>19</v>
      </c>
      <c r="C23" s="27">
        <f t="shared" si="1"/>
        <v>1</v>
      </c>
      <c r="D23" s="28">
        <f t="shared" si="2"/>
        <v>21</v>
      </c>
      <c r="E23" s="29">
        <f t="shared" si="3"/>
        <v>0</v>
      </c>
      <c r="F23" s="30">
        <f t="shared" si="4"/>
        <v>2.6943116546805472E-4</v>
      </c>
      <c r="G23" s="31">
        <f t="shared" si="5"/>
        <v>2.2455370254803597E-5</v>
      </c>
      <c r="H23" s="32">
        <f t="shared" si="6"/>
        <v>0.08</v>
      </c>
      <c r="I23" s="32">
        <f t="shared" si="7"/>
        <v>0</v>
      </c>
      <c r="J23" s="33">
        <f t="shared" si="54"/>
        <v>85.693180121716807</v>
      </c>
      <c r="K23" s="30">
        <f t="shared" si="8"/>
        <v>0</v>
      </c>
      <c r="L23" s="33">
        <f t="shared" si="9"/>
        <v>85.693180121716807</v>
      </c>
      <c r="M23" s="30">
        <f t="shared" si="10"/>
        <v>0</v>
      </c>
      <c r="N23" s="33">
        <f t="shared" si="11"/>
        <v>85.693180121716807</v>
      </c>
      <c r="O23" s="31">
        <f t="shared" si="12"/>
        <v>1.9242720879447265E-3</v>
      </c>
      <c r="P23" s="33">
        <f t="shared" si="13"/>
        <v>0.59335904340233103</v>
      </c>
      <c r="Q23" s="34">
        <f t="shared" si="55"/>
        <v>445950.53245706344</v>
      </c>
      <c r="R23" s="29">
        <f t="shared" si="14"/>
        <v>0</v>
      </c>
      <c r="S23" s="34">
        <f t="shared" si="15"/>
        <v>445950.53245706344</v>
      </c>
      <c r="T23" s="29">
        <f t="shared" si="16"/>
        <v>371.62544371421956</v>
      </c>
      <c r="U23" s="29">
        <f t="shared" si="17"/>
        <v>54049.46754293656</v>
      </c>
      <c r="V23" s="35">
        <f t="shared" si="18"/>
        <v>2.470090728028396E-5</v>
      </c>
      <c r="W23" s="34">
        <f t="shared" si="19"/>
        <v>1.3350708863267933</v>
      </c>
      <c r="X23" s="34">
        <f t="shared" si="20"/>
        <v>445577.57194246294</v>
      </c>
      <c r="Y23" s="36">
        <f t="shared" si="21"/>
        <v>-7.2362568964190466E-4</v>
      </c>
      <c r="Z23" s="34">
        <f t="shared" si="22"/>
        <v>-322.43137778583014</v>
      </c>
      <c r="AA23" s="34">
        <f t="shared" si="23"/>
        <v>445416.35625357</v>
      </c>
      <c r="AB23" s="34">
        <f t="shared" si="24"/>
        <v>38214919.303218655</v>
      </c>
      <c r="AC23" s="34">
        <f t="shared" si="25"/>
        <v>38214919.303218655</v>
      </c>
      <c r="AD23" s="34">
        <f t="shared" si="26"/>
        <v>38214919.303218655</v>
      </c>
      <c r="AE23" s="34">
        <f t="shared" si="27"/>
        <v>0</v>
      </c>
      <c r="AF23" s="34">
        <f t="shared" si="28"/>
        <v>0</v>
      </c>
      <c r="AG23" s="29">
        <f t="shared" si="29"/>
        <v>500000</v>
      </c>
      <c r="AH23" s="34">
        <f t="shared" si="30"/>
        <v>962.13604397236327</v>
      </c>
      <c r="AI23" s="34">
        <f t="shared" si="31"/>
        <v>857.1022618527893</v>
      </c>
      <c r="AJ23" s="34">
        <f t="shared" si="32"/>
        <v>264291.82306237018</v>
      </c>
      <c r="AK23" s="34">
        <f t="shared" si="33"/>
        <v>0</v>
      </c>
      <c r="AL23" s="34">
        <f t="shared" si="34"/>
        <v>264291.82306237018</v>
      </c>
      <c r="AM23" s="34">
        <f t="shared" si="35"/>
        <v>0</v>
      </c>
      <c r="AN23" s="34">
        <f t="shared" si="36"/>
        <v>265253.95910634252</v>
      </c>
      <c r="AO23" s="34">
        <f t="shared" si="37"/>
        <v>105.03378211957396</v>
      </c>
      <c r="AP23" s="34">
        <f t="shared" si="38"/>
        <v>114.406469937262</v>
      </c>
      <c r="AQ23" s="34">
        <f t="shared" si="39"/>
        <v>31845.766086015548</v>
      </c>
      <c r="AR23" s="34">
        <f t="shared" si="40"/>
        <v>-27534.201123701234</v>
      </c>
      <c r="AS23" s="30">
        <f t="shared" si="41"/>
        <v>1.0158794499752979</v>
      </c>
      <c r="AT23" s="29">
        <f t="shared" si="42"/>
        <v>3627.2475286951585</v>
      </c>
      <c r="AU23" s="29">
        <f t="shared" si="43"/>
        <v>0</v>
      </c>
      <c r="AV23" s="34">
        <f t="shared" si="44"/>
        <v>-324643.2990038693</v>
      </c>
      <c r="AW23" s="34">
        <f t="shared" si="45"/>
        <v>28227.891245130391</v>
      </c>
      <c r="AX23" s="29">
        <f t="shared" si="46"/>
        <v>28218.518557320389</v>
      </c>
      <c r="AY23" s="34">
        <f t="shared" si="47"/>
        <v>9.3726878176880462</v>
      </c>
      <c r="AZ23" s="37">
        <f t="shared" si="48"/>
        <v>-2.7227172192497929E-13</v>
      </c>
      <c r="BA23" s="37">
        <f t="shared" si="49"/>
        <v>0</v>
      </c>
      <c r="BB23" s="35">
        <f t="shared" si="50"/>
        <v>4.6132767043349787E-4</v>
      </c>
      <c r="BC23" s="31">
        <f t="shared" si="51"/>
        <v>0.99127508042304291</v>
      </c>
      <c r="BD23" s="34">
        <f t="shared" si="52"/>
        <v>27981.605164189539</v>
      </c>
    </row>
    <row r="24" spans="1:56" x14ac:dyDescent="0.2">
      <c r="A24" s="27">
        <f t="shared" si="53"/>
        <v>20</v>
      </c>
      <c r="B24" s="28">
        <f t="shared" si="0"/>
        <v>20</v>
      </c>
      <c r="C24" s="27">
        <f t="shared" si="1"/>
        <v>1</v>
      </c>
      <c r="D24" s="28">
        <f t="shared" si="2"/>
        <v>21</v>
      </c>
      <c r="E24" s="29">
        <f t="shared" si="3"/>
        <v>0</v>
      </c>
      <c r="F24" s="30">
        <f t="shared" si="4"/>
        <v>2.6943116546805472E-4</v>
      </c>
      <c r="G24" s="31">
        <f t="shared" si="5"/>
        <v>2.2455370254803597E-5</v>
      </c>
      <c r="H24" s="32">
        <f t="shared" si="6"/>
        <v>0.08</v>
      </c>
      <c r="I24" s="32">
        <f t="shared" si="7"/>
        <v>0</v>
      </c>
      <c r="J24" s="33">
        <f t="shared" si="54"/>
        <v>85.09789680622653</v>
      </c>
      <c r="K24" s="30">
        <f t="shared" si="8"/>
        <v>0</v>
      </c>
      <c r="L24" s="33">
        <f t="shared" si="9"/>
        <v>85.09789680622653</v>
      </c>
      <c r="M24" s="30">
        <f t="shared" si="10"/>
        <v>0</v>
      </c>
      <c r="N24" s="33">
        <f t="shared" si="11"/>
        <v>85.09789680622653</v>
      </c>
      <c r="O24" s="31">
        <f t="shared" si="12"/>
        <v>1.9109047806888852E-3</v>
      </c>
      <c r="P24" s="33">
        <f t="shared" si="13"/>
        <v>0.58923716651398383</v>
      </c>
      <c r="Q24" s="34">
        <f t="shared" si="55"/>
        <v>445255.14056467713</v>
      </c>
      <c r="R24" s="29">
        <f t="shared" si="14"/>
        <v>0</v>
      </c>
      <c r="S24" s="34">
        <f t="shared" si="15"/>
        <v>445255.14056467713</v>
      </c>
      <c r="T24" s="29">
        <f t="shared" si="16"/>
        <v>371.04595047056432</v>
      </c>
      <c r="U24" s="29">
        <f t="shared" si="17"/>
        <v>54744.859435322869</v>
      </c>
      <c r="V24" s="35">
        <f t="shared" si="18"/>
        <v>2.470090728028396E-5</v>
      </c>
      <c r="W24" s="34">
        <f t="shared" si="19"/>
        <v>1.3522476969840886</v>
      </c>
      <c r="X24" s="34">
        <f t="shared" si="20"/>
        <v>444882.74236650957</v>
      </c>
      <c r="Y24" s="36">
        <f t="shared" si="21"/>
        <v>5.3777577526048503E-3</v>
      </c>
      <c r="Z24" s="34">
        <f t="shared" si="22"/>
        <v>2392.4716167616029</v>
      </c>
      <c r="AA24" s="34">
        <f t="shared" si="23"/>
        <v>446078.97817489039</v>
      </c>
      <c r="AB24" s="34">
        <f t="shared" si="24"/>
        <v>37890276.004214786</v>
      </c>
      <c r="AC24" s="34">
        <f t="shared" si="25"/>
        <v>37890276.004214786</v>
      </c>
      <c r="AD24" s="34">
        <f t="shared" si="26"/>
        <v>37890276.004214786</v>
      </c>
      <c r="AE24" s="34">
        <f t="shared" si="27"/>
        <v>0</v>
      </c>
      <c r="AF24" s="34">
        <f t="shared" si="28"/>
        <v>0</v>
      </c>
      <c r="AG24" s="29">
        <f t="shared" si="29"/>
        <v>500000</v>
      </c>
      <c r="AH24" s="34">
        <f t="shared" si="30"/>
        <v>955.45239034444262</v>
      </c>
      <c r="AI24" s="34">
        <f t="shared" si="31"/>
        <v>852.41445195921096</v>
      </c>
      <c r="AJ24" s="34">
        <f t="shared" si="32"/>
        <v>262846.31314122566</v>
      </c>
      <c r="AK24" s="34">
        <f t="shared" si="33"/>
        <v>0</v>
      </c>
      <c r="AL24" s="34">
        <f t="shared" si="34"/>
        <v>262846.31314122566</v>
      </c>
      <c r="AM24" s="34">
        <f t="shared" si="35"/>
        <v>0</v>
      </c>
      <c r="AN24" s="34">
        <f t="shared" si="36"/>
        <v>263801.76553157013</v>
      </c>
      <c r="AO24" s="34">
        <f t="shared" si="37"/>
        <v>103.03793838523167</v>
      </c>
      <c r="AP24" s="34">
        <f t="shared" si="38"/>
        <v>115.07343497440945</v>
      </c>
      <c r="AQ24" s="34">
        <f t="shared" si="39"/>
        <v>31575.230003512323</v>
      </c>
      <c r="AR24" s="34">
        <f t="shared" si="40"/>
        <v>202887.15026406691</v>
      </c>
      <c r="AS24" s="30">
        <f t="shared" si="41"/>
        <v>1.0167221606986336</v>
      </c>
      <c r="AT24" s="29">
        <f t="shared" si="42"/>
        <v>3605.0382296556663</v>
      </c>
      <c r="AU24" s="29">
        <f t="shared" si="43"/>
        <v>0</v>
      </c>
      <c r="AV24" s="34">
        <f t="shared" si="44"/>
        <v>-92501.880767606199</v>
      </c>
      <c r="AW24" s="34">
        <f t="shared" si="45"/>
        <v>27982.227270447314</v>
      </c>
      <c r="AX24" s="29">
        <f t="shared" si="46"/>
        <v>27970.191773856655</v>
      </c>
      <c r="AY24" s="34">
        <f t="shared" si="47"/>
        <v>12.035496589177782</v>
      </c>
      <c r="AZ24" s="37">
        <f t="shared" si="48"/>
        <v>5.2935029267453014E-14</v>
      </c>
      <c r="BA24" s="37">
        <f t="shared" si="49"/>
        <v>-1.9663569080613323E-16</v>
      </c>
      <c r="BB24" s="35">
        <f t="shared" si="50"/>
        <v>4.6132767043349787E-4</v>
      </c>
      <c r="BC24" s="31">
        <f t="shared" si="51"/>
        <v>0.9908179886685069</v>
      </c>
      <c r="BD24" s="34">
        <f t="shared" si="52"/>
        <v>27725.294142569652</v>
      </c>
    </row>
    <row r="25" spans="1:56" x14ac:dyDescent="0.2">
      <c r="A25" s="27">
        <f t="shared" si="53"/>
        <v>21</v>
      </c>
      <c r="B25" s="28">
        <f t="shared" si="0"/>
        <v>21</v>
      </c>
      <c r="C25" s="27">
        <f t="shared" si="1"/>
        <v>1</v>
      </c>
      <c r="D25" s="28">
        <f t="shared" si="2"/>
        <v>21</v>
      </c>
      <c r="E25" s="29">
        <f t="shared" si="3"/>
        <v>0</v>
      </c>
      <c r="F25" s="30">
        <f t="shared" si="4"/>
        <v>2.6943116546805472E-4</v>
      </c>
      <c r="G25" s="31">
        <f t="shared" si="5"/>
        <v>2.2455370254803597E-5</v>
      </c>
      <c r="H25" s="32">
        <f t="shared" si="6"/>
        <v>0.08</v>
      </c>
      <c r="I25" s="32">
        <f t="shared" si="7"/>
        <v>0</v>
      </c>
      <c r="J25" s="33">
        <f t="shared" si="54"/>
        <v>84.506748734931861</v>
      </c>
      <c r="K25" s="30">
        <f t="shared" si="8"/>
        <v>0</v>
      </c>
      <c r="L25" s="33">
        <f t="shared" si="9"/>
        <v>84.506748734931861</v>
      </c>
      <c r="M25" s="30">
        <f t="shared" si="10"/>
        <v>0</v>
      </c>
      <c r="N25" s="33">
        <f t="shared" si="11"/>
        <v>84.506748734931861</v>
      </c>
      <c r="O25" s="31">
        <f t="shared" si="12"/>
        <v>1.8976303318725505E-3</v>
      </c>
      <c r="P25" s="33">
        <f t="shared" si="13"/>
        <v>0.58514392299572116</v>
      </c>
      <c r="Q25" s="34">
        <f t="shared" si="55"/>
        <v>447275.21398327115</v>
      </c>
      <c r="R25" s="29">
        <f t="shared" si="14"/>
        <v>0</v>
      </c>
      <c r="S25" s="34">
        <f t="shared" si="15"/>
        <v>447275.21398327115</v>
      </c>
      <c r="T25" s="29">
        <f t="shared" si="16"/>
        <v>372.72934498605935</v>
      </c>
      <c r="U25" s="29">
        <f t="shared" si="17"/>
        <v>52724.786016728845</v>
      </c>
      <c r="V25" s="35">
        <f t="shared" si="18"/>
        <v>2.470090728028396E-5</v>
      </c>
      <c r="W25" s="34">
        <f t="shared" si="19"/>
        <v>1.3023500507720314</v>
      </c>
      <c r="X25" s="34">
        <f t="shared" si="20"/>
        <v>446901.1822882343</v>
      </c>
      <c r="Y25" s="36">
        <f t="shared" si="21"/>
        <v>1.5618994289761989E-2</v>
      </c>
      <c r="Z25" s="34">
        <f t="shared" si="22"/>
        <v>6980.1470142478138</v>
      </c>
      <c r="AA25" s="34">
        <f t="shared" si="23"/>
        <v>450391.25579535821</v>
      </c>
      <c r="AB25" s="34">
        <f t="shared" si="24"/>
        <v>37797774.12344718</v>
      </c>
      <c r="AC25" s="34">
        <f t="shared" si="25"/>
        <v>37797774.12344718</v>
      </c>
      <c r="AD25" s="34">
        <f t="shared" si="26"/>
        <v>37797774.12344718</v>
      </c>
      <c r="AE25" s="34">
        <f t="shared" si="27"/>
        <v>0</v>
      </c>
      <c r="AF25" s="34">
        <f t="shared" si="28"/>
        <v>0</v>
      </c>
      <c r="AG25" s="29">
        <f t="shared" si="29"/>
        <v>500000</v>
      </c>
      <c r="AH25" s="34">
        <f t="shared" si="30"/>
        <v>948.81516593627521</v>
      </c>
      <c r="AI25" s="34">
        <f t="shared" si="31"/>
        <v>854.67610820744039</v>
      </c>
      <c r="AJ25" s="34">
        <f t="shared" si="32"/>
        <v>263543.70629906526</v>
      </c>
      <c r="AK25" s="34">
        <f t="shared" si="33"/>
        <v>0</v>
      </c>
      <c r="AL25" s="34">
        <f t="shared" si="34"/>
        <v>263543.70629906526</v>
      </c>
      <c r="AM25" s="34">
        <f t="shared" si="35"/>
        <v>0</v>
      </c>
      <c r="AN25" s="34">
        <f t="shared" si="36"/>
        <v>264492.52146500151</v>
      </c>
      <c r="AO25" s="34">
        <f t="shared" si="37"/>
        <v>94.139057728834857</v>
      </c>
      <c r="AP25" s="34">
        <f t="shared" si="38"/>
        <v>110.0573685055178</v>
      </c>
      <c r="AQ25" s="34">
        <f t="shared" si="39"/>
        <v>31498.145102872651</v>
      </c>
      <c r="AR25" s="34">
        <f t="shared" si="40"/>
        <v>587820.71169307537</v>
      </c>
      <c r="AS25" s="30">
        <f t="shared" si="41"/>
        <v>1.0175655704826336</v>
      </c>
      <c r="AT25" s="29">
        <f t="shared" si="42"/>
        <v>3582.9649160872295</v>
      </c>
      <c r="AU25" s="29">
        <f t="shared" si="43"/>
        <v>0</v>
      </c>
      <c r="AV25" s="34">
        <f t="shared" si="44"/>
        <v>291814.12681441754</v>
      </c>
      <c r="AW25" s="34">
        <f t="shared" si="45"/>
        <v>27931.098497569095</v>
      </c>
      <c r="AX25" s="29">
        <f t="shared" si="46"/>
        <v>27915.180186785423</v>
      </c>
      <c r="AY25" s="34">
        <f t="shared" si="47"/>
        <v>15.918310776682944</v>
      </c>
      <c r="AZ25" s="37">
        <f t="shared" si="48"/>
        <v>2.5024264795248066E-13</v>
      </c>
      <c r="BA25" s="37">
        <f t="shared" si="49"/>
        <v>-3.912135015989656E-16</v>
      </c>
      <c r="BB25" s="35">
        <f t="shared" si="50"/>
        <v>4.6132767043349787E-4</v>
      </c>
      <c r="BC25" s="31">
        <f t="shared" si="51"/>
        <v>0.99036110768581043</v>
      </c>
      <c r="BD25" s="34">
        <f t="shared" si="52"/>
        <v>27661.873646934004</v>
      </c>
    </row>
    <row r="26" spans="1:56" x14ac:dyDescent="0.2">
      <c r="A26" s="27">
        <f t="shared" si="53"/>
        <v>22</v>
      </c>
      <c r="B26" s="28">
        <f t="shared" si="0"/>
        <v>22</v>
      </c>
      <c r="C26" s="27">
        <f t="shared" si="1"/>
        <v>1</v>
      </c>
      <c r="D26" s="28">
        <f t="shared" si="2"/>
        <v>21</v>
      </c>
      <c r="E26" s="29">
        <f t="shared" si="3"/>
        <v>0</v>
      </c>
      <c r="F26" s="30">
        <f t="shared" si="4"/>
        <v>2.6943116546805472E-4</v>
      </c>
      <c r="G26" s="31">
        <f t="shared" si="5"/>
        <v>2.2455370254803597E-5</v>
      </c>
      <c r="H26" s="32">
        <f t="shared" si="6"/>
        <v>0.08</v>
      </c>
      <c r="I26" s="32">
        <f t="shared" si="7"/>
        <v>0</v>
      </c>
      <c r="J26" s="33">
        <f t="shared" si="54"/>
        <v>83.919707181604267</v>
      </c>
      <c r="K26" s="30">
        <f t="shared" si="8"/>
        <v>0</v>
      </c>
      <c r="L26" s="33">
        <f t="shared" si="9"/>
        <v>83.919707181604267</v>
      </c>
      <c r="M26" s="30">
        <f t="shared" si="10"/>
        <v>0</v>
      </c>
      <c r="N26" s="33">
        <f t="shared" si="11"/>
        <v>83.919707181604267</v>
      </c>
      <c r="O26" s="31">
        <f t="shared" si="12"/>
        <v>1.8844480964376243E-3</v>
      </c>
      <c r="P26" s="33">
        <f t="shared" si="13"/>
        <v>0.58107911394061174</v>
      </c>
      <c r="Q26" s="34">
        <f t="shared" si="55"/>
        <v>453881.32930248213</v>
      </c>
      <c r="R26" s="29">
        <f t="shared" si="14"/>
        <v>0</v>
      </c>
      <c r="S26" s="34">
        <f t="shared" si="15"/>
        <v>453881.32930248213</v>
      </c>
      <c r="T26" s="29">
        <f t="shared" si="16"/>
        <v>378.23444108540178</v>
      </c>
      <c r="U26" s="29">
        <f t="shared" si="17"/>
        <v>46118.670697517868</v>
      </c>
      <c r="V26" s="35">
        <f t="shared" si="18"/>
        <v>2.470090728028396E-5</v>
      </c>
      <c r="W26" s="34">
        <f t="shared" si="19"/>
        <v>1.1391730087893377</v>
      </c>
      <c r="X26" s="34">
        <f t="shared" si="20"/>
        <v>453501.95568838791</v>
      </c>
      <c r="Y26" s="36">
        <f t="shared" si="21"/>
        <v>-4.8757729946664607E-3</v>
      </c>
      <c r="Z26" s="34">
        <f t="shared" si="22"/>
        <v>-2211.1725885738679</v>
      </c>
      <c r="AA26" s="34">
        <f t="shared" si="23"/>
        <v>452396.36939410097</v>
      </c>
      <c r="AB26" s="34">
        <f t="shared" si="24"/>
        <v>38089588.250261597</v>
      </c>
      <c r="AC26" s="34">
        <f t="shared" si="25"/>
        <v>38089588.250261597</v>
      </c>
      <c r="AD26" s="34">
        <f t="shared" si="26"/>
        <v>38089588.250261597</v>
      </c>
      <c r="AE26" s="34">
        <f t="shared" si="27"/>
        <v>0</v>
      </c>
      <c r="AF26" s="34">
        <f t="shared" si="28"/>
        <v>0</v>
      </c>
      <c r="AG26" s="29">
        <f t="shared" si="29"/>
        <v>500000</v>
      </c>
      <c r="AH26" s="34">
        <f t="shared" si="30"/>
        <v>942.22404821881219</v>
      </c>
      <c r="AI26" s="34">
        <f t="shared" si="31"/>
        <v>852.51747714000589</v>
      </c>
      <c r="AJ26" s="34">
        <f t="shared" si="32"/>
        <v>262878.0814774739</v>
      </c>
      <c r="AK26" s="34">
        <f t="shared" si="33"/>
        <v>0</v>
      </c>
      <c r="AL26" s="34">
        <f t="shared" si="34"/>
        <v>262878.0814774739</v>
      </c>
      <c r="AM26" s="34">
        <f t="shared" si="35"/>
        <v>0</v>
      </c>
      <c r="AN26" s="34">
        <f t="shared" si="36"/>
        <v>263820.3055256927</v>
      </c>
      <c r="AO26" s="34">
        <f t="shared" si="37"/>
        <v>89.706571078806263</v>
      </c>
      <c r="AP26" s="34">
        <f t="shared" si="38"/>
        <v>95.59906532678832</v>
      </c>
      <c r="AQ26" s="34">
        <f t="shared" si="39"/>
        <v>31741.323541884667</v>
      </c>
      <c r="AR26" s="34">
        <f t="shared" si="40"/>
        <v>-184916.43963685207</v>
      </c>
      <c r="AS26" s="30">
        <f t="shared" si="41"/>
        <v>1.0184096799071953</v>
      </c>
      <c r="AT26" s="29">
        <f t="shared" si="42"/>
        <v>3561.0267553634653</v>
      </c>
      <c r="AU26" s="29">
        <f t="shared" si="43"/>
        <v>0</v>
      </c>
      <c r="AV26" s="34">
        <f t="shared" si="44"/>
        <v>-480483.9611986801</v>
      </c>
      <c r="AW26" s="34">
        <f t="shared" si="45"/>
        <v>28186.189280771883</v>
      </c>
      <c r="AX26" s="29">
        <f t="shared" si="46"/>
        <v>28180.296786521201</v>
      </c>
      <c r="AY26" s="34">
        <f t="shared" si="47"/>
        <v>5.8924942479820572</v>
      </c>
      <c r="AZ26" s="37">
        <f t="shared" si="48"/>
        <v>9.5786749213529437E-14</v>
      </c>
      <c r="BA26" s="37">
        <f t="shared" si="49"/>
        <v>-1.956067507994828E-16</v>
      </c>
      <c r="BB26" s="35">
        <f t="shared" si="50"/>
        <v>4.6132767043349787E-4</v>
      </c>
      <c r="BC26" s="31">
        <f t="shared" si="51"/>
        <v>0.98990443737776301</v>
      </c>
      <c r="BD26" s="34">
        <f t="shared" si="52"/>
        <v>27901.633841805626</v>
      </c>
    </row>
    <row r="27" spans="1:56" x14ac:dyDescent="0.2">
      <c r="A27" s="27">
        <f t="shared" si="53"/>
        <v>23</v>
      </c>
      <c r="B27" s="28">
        <f t="shared" si="0"/>
        <v>23</v>
      </c>
      <c r="C27" s="27">
        <f t="shared" si="1"/>
        <v>1</v>
      </c>
      <c r="D27" s="28">
        <f t="shared" si="2"/>
        <v>21</v>
      </c>
      <c r="E27" s="29">
        <f t="shared" si="3"/>
        <v>0</v>
      </c>
      <c r="F27" s="30">
        <f t="shared" si="4"/>
        <v>2.6943116546805472E-4</v>
      </c>
      <c r="G27" s="31">
        <f t="shared" si="5"/>
        <v>2.2455370254803597E-5</v>
      </c>
      <c r="H27" s="32">
        <f t="shared" si="6"/>
        <v>0.08</v>
      </c>
      <c r="I27" s="32">
        <f t="shared" si="7"/>
        <v>0</v>
      </c>
      <c r="J27" s="33">
        <f t="shared" si="54"/>
        <v>83.336743619567216</v>
      </c>
      <c r="K27" s="30">
        <f t="shared" si="8"/>
        <v>0</v>
      </c>
      <c r="L27" s="33">
        <f t="shared" si="9"/>
        <v>83.336743619567216</v>
      </c>
      <c r="M27" s="30">
        <f t="shared" si="10"/>
        <v>0</v>
      </c>
      <c r="N27" s="33">
        <f t="shared" si="11"/>
        <v>83.336743619567216</v>
      </c>
      <c r="O27" s="31">
        <f t="shared" si="12"/>
        <v>1.8713574338070232E-3</v>
      </c>
      <c r="P27" s="33">
        <f t="shared" si="13"/>
        <v>0.5770425418234677</v>
      </c>
      <c r="Q27" s="34">
        <f t="shared" si="55"/>
        <v>451290.78309981403</v>
      </c>
      <c r="R27" s="29">
        <f t="shared" si="14"/>
        <v>0</v>
      </c>
      <c r="S27" s="34">
        <f t="shared" si="15"/>
        <v>451290.78309981403</v>
      </c>
      <c r="T27" s="29">
        <f t="shared" si="16"/>
        <v>376.0756525831784</v>
      </c>
      <c r="U27" s="29">
        <f t="shared" si="17"/>
        <v>48709.216900185973</v>
      </c>
      <c r="V27" s="35">
        <f t="shared" si="18"/>
        <v>2.470090728028396E-5</v>
      </c>
      <c r="W27" s="34">
        <f t="shared" si="19"/>
        <v>1.2031618503467343</v>
      </c>
      <c r="X27" s="34">
        <f t="shared" si="20"/>
        <v>450913.50428538054</v>
      </c>
      <c r="Y27" s="36">
        <f t="shared" si="21"/>
        <v>2.987056434554658E-3</v>
      </c>
      <c r="Z27" s="34">
        <f t="shared" si="22"/>
        <v>1346.9040844032352</v>
      </c>
      <c r="AA27" s="34">
        <f t="shared" si="23"/>
        <v>451586.95632758213</v>
      </c>
      <c r="AB27" s="34">
        <f t="shared" si="24"/>
        <v>37609104.289062917</v>
      </c>
      <c r="AC27" s="34">
        <f t="shared" si="25"/>
        <v>37609104.289062917</v>
      </c>
      <c r="AD27" s="34">
        <f t="shared" si="26"/>
        <v>37609104.289062917</v>
      </c>
      <c r="AE27" s="34">
        <f t="shared" si="27"/>
        <v>0</v>
      </c>
      <c r="AF27" s="34">
        <f t="shared" si="28"/>
        <v>0</v>
      </c>
      <c r="AG27" s="29">
        <f t="shared" si="29"/>
        <v>500000</v>
      </c>
      <c r="AH27" s="34">
        <f t="shared" si="30"/>
        <v>935.6787169035116</v>
      </c>
      <c r="AI27" s="34">
        <f t="shared" si="31"/>
        <v>845.08060773390832</v>
      </c>
      <c r="AJ27" s="34">
        <f t="shared" si="32"/>
        <v>260584.88513359131</v>
      </c>
      <c r="AK27" s="34">
        <f t="shared" si="33"/>
        <v>0</v>
      </c>
      <c r="AL27" s="34">
        <f t="shared" si="34"/>
        <v>260584.88513359131</v>
      </c>
      <c r="AM27" s="34">
        <f t="shared" si="35"/>
        <v>0</v>
      </c>
      <c r="AN27" s="34">
        <f t="shared" si="36"/>
        <v>261520.56385049483</v>
      </c>
      <c r="AO27" s="34">
        <f t="shared" si="37"/>
        <v>90.598109169603248</v>
      </c>
      <c r="AP27" s="34">
        <f t="shared" si="38"/>
        <v>100.26759065518989</v>
      </c>
      <c r="AQ27" s="34">
        <f t="shared" si="39"/>
        <v>31340.920240885767</v>
      </c>
      <c r="AR27" s="34">
        <f t="shared" si="40"/>
        <v>111856.72961434659</v>
      </c>
      <c r="AS27" s="30">
        <f t="shared" si="41"/>
        <v>1.0192544895526976</v>
      </c>
      <c r="AT27" s="29">
        <f t="shared" si="42"/>
        <v>3539.2229199560843</v>
      </c>
      <c r="AU27" s="29">
        <f t="shared" si="43"/>
        <v>0</v>
      </c>
      <c r="AV27" s="34">
        <f t="shared" si="44"/>
        <v>-181014.42395851761</v>
      </c>
      <c r="AW27" s="34">
        <f t="shared" si="45"/>
        <v>27811.366802413308</v>
      </c>
      <c r="AX27" s="29">
        <f t="shared" si="46"/>
        <v>27801.697320929685</v>
      </c>
      <c r="AY27" s="34">
        <f t="shared" si="47"/>
        <v>9.669481485586644</v>
      </c>
      <c r="AZ27" s="37">
        <f t="shared" si="48"/>
        <v>-7.0612877806764243E-14</v>
      </c>
      <c r="BA27" s="37">
        <f t="shared" si="49"/>
        <v>1.9810577087023388E-16</v>
      </c>
      <c r="BB27" s="35">
        <f t="shared" si="50"/>
        <v>4.6132767043349787E-4</v>
      </c>
      <c r="BC27" s="31">
        <f t="shared" si="51"/>
        <v>0.98944797764722014</v>
      </c>
      <c r="BD27" s="34">
        <f t="shared" si="52"/>
        <v>27517.900638252882</v>
      </c>
    </row>
    <row r="28" spans="1:56" x14ac:dyDescent="0.2">
      <c r="A28" s="27">
        <f t="shared" si="53"/>
        <v>24</v>
      </c>
      <c r="B28" s="28">
        <f t="shared" si="0"/>
        <v>24</v>
      </c>
      <c r="C28" s="27">
        <f t="shared" si="1"/>
        <v>2</v>
      </c>
      <c r="D28" s="28">
        <f t="shared" si="2"/>
        <v>22</v>
      </c>
      <c r="E28" s="29">
        <f t="shared" si="3"/>
        <v>0</v>
      </c>
      <c r="F28" s="30">
        <f t="shared" si="4"/>
        <v>3.0291899158048141E-4</v>
      </c>
      <c r="G28" s="31">
        <f t="shared" si="5"/>
        <v>2.5246754695840146E-5</v>
      </c>
      <c r="H28" s="32">
        <f t="shared" si="6"/>
        <v>6.0000000000000005E-2</v>
      </c>
      <c r="I28" s="32">
        <f t="shared" si="7"/>
        <v>0</v>
      </c>
      <c r="J28" s="33">
        <f t="shared" si="54"/>
        <v>82.757829720309928</v>
      </c>
      <c r="K28" s="30">
        <f t="shared" si="8"/>
        <v>0</v>
      </c>
      <c r="L28" s="33">
        <f t="shared" si="9"/>
        <v>82.757829720309928</v>
      </c>
      <c r="M28" s="30">
        <f t="shared" si="10"/>
        <v>0</v>
      </c>
      <c r="N28" s="33">
        <f t="shared" si="11"/>
        <v>82.757829720309928</v>
      </c>
      <c r="O28" s="31">
        <f t="shared" si="12"/>
        <v>2.0893666261087738E-3</v>
      </c>
      <c r="P28" s="33">
        <f t="shared" si="13"/>
        <v>0.42561383454600388</v>
      </c>
      <c r="Q28" s="34">
        <f t="shared" si="55"/>
        <v>452260.40836978378</v>
      </c>
      <c r="R28" s="29">
        <f t="shared" si="14"/>
        <v>0</v>
      </c>
      <c r="S28" s="34">
        <f t="shared" si="15"/>
        <v>452260.40836978378</v>
      </c>
      <c r="T28" s="29">
        <f t="shared" si="16"/>
        <v>376.8836736414865</v>
      </c>
      <c r="U28" s="29">
        <f t="shared" si="17"/>
        <v>47739.591630216222</v>
      </c>
      <c r="V28" s="35">
        <f t="shared" si="18"/>
        <v>2.7771430165424161E-5</v>
      </c>
      <c r="W28" s="34">
        <f t="shared" si="19"/>
        <v>1.3257967350844175</v>
      </c>
      <c r="X28" s="34">
        <f t="shared" si="20"/>
        <v>451882.19889940723</v>
      </c>
      <c r="Y28" s="36">
        <f t="shared" si="21"/>
        <v>1.6286127444743226E-2</v>
      </c>
      <c r="Z28" s="34">
        <f t="shared" si="22"/>
        <v>7359.4110812865529</v>
      </c>
      <c r="AA28" s="34">
        <f t="shared" si="23"/>
        <v>455561.90444005048</v>
      </c>
      <c r="AB28" s="34">
        <f t="shared" si="24"/>
        <v>37428089.8651044</v>
      </c>
      <c r="AC28" s="34">
        <f t="shared" si="25"/>
        <v>37428089.8651044</v>
      </c>
      <c r="AD28" s="34">
        <f t="shared" si="26"/>
        <v>37428089.8651044</v>
      </c>
      <c r="AE28" s="34">
        <f t="shared" si="27"/>
        <v>0</v>
      </c>
      <c r="AF28" s="34">
        <f t="shared" si="28"/>
        <v>0</v>
      </c>
      <c r="AG28" s="29">
        <f t="shared" si="29"/>
        <v>500000</v>
      </c>
      <c r="AH28" s="34">
        <f t="shared" si="30"/>
        <v>1044.6833130543869</v>
      </c>
      <c r="AI28" s="34">
        <f t="shared" si="31"/>
        <v>951.83583926359586</v>
      </c>
      <c r="AJ28" s="34">
        <f t="shared" si="32"/>
        <v>193893.44902181008</v>
      </c>
      <c r="AK28" s="34">
        <f t="shared" si="33"/>
        <v>0</v>
      </c>
      <c r="AL28" s="34">
        <f t="shared" si="34"/>
        <v>193893.44902181008</v>
      </c>
      <c r="AM28" s="34">
        <f t="shared" si="35"/>
        <v>0</v>
      </c>
      <c r="AN28" s="34">
        <f t="shared" si="36"/>
        <v>194938.13233486447</v>
      </c>
      <c r="AO28" s="34">
        <f t="shared" si="37"/>
        <v>92.847473790791014</v>
      </c>
      <c r="AP28" s="34">
        <f t="shared" si="38"/>
        <v>109.72006044585908</v>
      </c>
      <c r="AQ28" s="34">
        <f t="shared" si="39"/>
        <v>31190.074887586998</v>
      </c>
      <c r="AR28" s="34">
        <f t="shared" si="40"/>
        <v>607475.06726777076</v>
      </c>
      <c r="AS28" s="30">
        <f t="shared" si="41"/>
        <v>1.0201</v>
      </c>
      <c r="AT28" s="29">
        <f t="shared" si="42"/>
        <v>3517.5525874036734</v>
      </c>
      <c r="AU28" s="29">
        <f t="shared" si="43"/>
        <v>0</v>
      </c>
      <c r="AV28" s="34">
        <f t="shared" si="44"/>
        <v>381329.98745866865</v>
      </c>
      <c r="AW28" s="34">
        <f t="shared" si="45"/>
        <v>27689.394886833965</v>
      </c>
      <c r="AX28" s="29">
        <f t="shared" si="46"/>
        <v>27672.522300183326</v>
      </c>
      <c r="AY28" s="34">
        <f t="shared" si="47"/>
        <v>16.872586655068062</v>
      </c>
      <c r="AZ28" s="37">
        <f t="shared" si="48"/>
        <v>-1.5994515114482033E-13</v>
      </c>
      <c r="BA28" s="37">
        <f t="shared" si="49"/>
        <v>1.9705619990936623E-16</v>
      </c>
      <c r="BB28" s="35">
        <f t="shared" si="50"/>
        <v>5.6822082023177956E-4</v>
      </c>
      <c r="BC28" s="31">
        <f t="shared" si="51"/>
        <v>0.98645908760132384</v>
      </c>
      <c r="BD28" s="34">
        <f t="shared" si="52"/>
        <v>27314.455216298993</v>
      </c>
    </row>
    <row r="29" spans="1:56" x14ac:dyDescent="0.2">
      <c r="A29" s="27">
        <f t="shared" si="53"/>
        <v>25</v>
      </c>
      <c r="B29" s="28">
        <f t="shared" si="0"/>
        <v>25</v>
      </c>
      <c r="C29" s="27">
        <f t="shared" si="1"/>
        <v>2</v>
      </c>
      <c r="D29" s="28">
        <f t="shared" si="2"/>
        <v>22</v>
      </c>
      <c r="E29" s="29">
        <f t="shared" si="3"/>
        <v>0</v>
      </c>
      <c r="F29" s="30">
        <f t="shared" si="4"/>
        <v>3.0291899158048141E-4</v>
      </c>
      <c r="G29" s="31">
        <f t="shared" si="5"/>
        <v>2.5246754695840146E-5</v>
      </c>
      <c r="H29" s="32">
        <f t="shared" si="6"/>
        <v>6.0000000000000005E-2</v>
      </c>
      <c r="I29" s="32">
        <f t="shared" si="7"/>
        <v>0</v>
      </c>
      <c r="J29" s="33">
        <f t="shared" si="54"/>
        <v>82.330126519137821</v>
      </c>
      <c r="K29" s="30">
        <f t="shared" si="8"/>
        <v>0</v>
      </c>
      <c r="L29" s="33">
        <f t="shared" si="9"/>
        <v>82.330126519137821</v>
      </c>
      <c r="M29" s="30">
        <f t="shared" si="10"/>
        <v>0</v>
      </c>
      <c r="N29" s="33">
        <f t="shared" si="11"/>
        <v>82.330126519137821</v>
      </c>
      <c r="O29" s="31">
        <f t="shared" si="12"/>
        <v>2.0785685083061561E-3</v>
      </c>
      <c r="P29" s="33">
        <f t="shared" si="13"/>
        <v>0.42341420702902238</v>
      </c>
      <c r="Q29" s="34">
        <f t="shared" si="55"/>
        <v>459241.60998069379</v>
      </c>
      <c r="R29" s="29">
        <f t="shared" si="14"/>
        <v>0</v>
      </c>
      <c r="S29" s="34">
        <f t="shared" si="15"/>
        <v>459241.60998069379</v>
      </c>
      <c r="T29" s="29">
        <f t="shared" si="16"/>
        <v>382.70134165057817</v>
      </c>
      <c r="U29" s="29">
        <f t="shared" si="17"/>
        <v>40758.390019306215</v>
      </c>
      <c r="V29" s="35">
        <f t="shared" si="18"/>
        <v>2.7771430165424161E-5</v>
      </c>
      <c r="W29" s="34">
        <f t="shared" si="19"/>
        <v>1.1319187820762837</v>
      </c>
      <c r="X29" s="34">
        <f t="shared" si="20"/>
        <v>458857.77672026114</v>
      </c>
      <c r="Y29" s="36">
        <f t="shared" si="21"/>
        <v>7.3885617761519917E-3</v>
      </c>
      <c r="Z29" s="34">
        <f t="shared" si="22"/>
        <v>3390.2990297654069</v>
      </c>
      <c r="AA29" s="34">
        <f t="shared" si="23"/>
        <v>460552.92623514385</v>
      </c>
      <c r="AB29" s="34">
        <f t="shared" si="24"/>
        <v>37809419.852563068</v>
      </c>
      <c r="AC29" s="34">
        <f t="shared" si="25"/>
        <v>37809419.852563068</v>
      </c>
      <c r="AD29" s="34">
        <f t="shared" si="26"/>
        <v>37809419.852563068</v>
      </c>
      <c r="AE29" s="34">
        <f t="shared" si="27"/>
        <v>0</v>
      </c>
      <c r="AF29" s="34">
        <f t="shared" si="28"/>
        <v>0</v>
      </c>
      <c r="AG29" s="29">
        <f t="shared" si="29"/>
        <v>500000</v>
      </c>
      <c r="AH29" s="34">
        <f t="shared" si="30"/>
        <v>1039.2842541530781</v>
      </c>
      <c r="AI29" s="34">
        <f t="shared" si="31"/>
        <v>957.2908088806181</v>
      </c>
      <c r="AJ29" s="34">
        <f t="shared" si="32"/>
        <v>195004.65205674927</v>
      </c>
      <c r="AK29" s="34">
        <f t="shared" si="33"/>
        <v>0</v>
      </c>
      <c r="AL29" s="34">
        <f t="shared" si="34"/>
        <v>195004.65205674927</v>
      </c>
      <c r="AM29" s="34">
        <f t="shared" si="35"/>
        <v>0</v>
      </c>
      <c r="AN29" s="34">
        <f t="shared" si="36"/>
        <v>196043.93631090235</v>
      </c>
      <c r="AO29" s="34">
        <f t="shared" si="37"/>
        <v>81.993445272459951</v>
      </c>
      <c r="AP29" s="34">
        <f t="shared" si="38"/>
        <v>93.191016537728828</v>
      </c>
      <c r="AQ29" s="34">
        <f t="shared" si="39"/>
        <v>31507.84987713589</v>
      </c>
      <c r="AR29" s="34">
        <f t="shared" si="40"/>
        <v>278402.47418625792</v>
      </c>
      <c r="AS29" s="30">
        <f t="shared" si="41"/>
        <v>1.0209462118304446</v>
      </c>
      <c r="AT29" s="29">
        <f t="shared" si="42"/>
        <v>3502.2762828847913</v>
      </c>
      <c r="AU29" s="29">
        <f t="shared" si="43"/>
        <v>0</v>
      </c>
      <c r="AV29" s="34">
        <f t="shared" si="44"/>
        <v>50839.490426950157</v>
      </c>
      <c r="AW29" s="34">
        <f t="shared" si="45"/>
        <v>28016.771165520622</v>
      </c>
      <c r="AX29" s="29">
        <f t="shared" si="46"/>
        <v>28005.573594251098</v>
      </c>
      <c r="AY29" s="34">
        <f t="shared" si="47"/>
        <v>11.197571265268877</v>
      </c>
      <c r="AZ29" s="37">
        <f t="shared" si="48"/>
        <v>1.5187432929162914E-13</v>
      </c>
      <c r="BA29" s="37">
        <f t="shared" si="49"/>
        <v>-1.9679158902283994E-16</v>
      </c>
      <c r="BB29" s="35">
        <f t="shared" si="50"/>
        <v>5.6822082023177956E-4</v>
      </c>
      <c r="BC29" s="31">
        <f t="shared" si="51"/>
        <v>0.9858988793314446</v>
      </c>
      <c r="BD29" s="34">
        <f t="shared" si="52"/>
        <v>27621.703294572311</v>
      </c>
    </row>
    <row r="30" spans="1:56" x14ac:dyDescent="0.2">
      <c r="A30" s="27">
        <f t="shared" si="53"/>
        <v>26</v>
      </c>
      <c r="B30" s="28">
        <f t="shared" si="0"/>
        <v>26</v>
      </c>
      <c r="C30" s="27">
        <f t="shared" si="1"/>
        <v>2</v>
      </c>
      <c r="D30" s="28">
        <f t="shared" si="2"/>
        <v>22</v>
      </c>
      <c r="E30" s="29">
        <f t="shared" si="3"/>
        <v>0</v>
      </c>
      <c r="F30" s="30">
        <f t="shared" si="4"/>
        <v>3.0291899158048141E-4</v>
      </c>
      <c r="G30" s="31">
        <f t="shared" si="5"/>
        <v>2.5246754695840146E-5</v>
      </c>
      <c r="H30" s="32">
        <f t="shared" si="6"/>
        <v>6.0000000000000005E-2</v>
      </c>
      <c r="I30" s="32">
        <f t="shared" si="7"/>
        <v>0</v>
      </c>
      <c r="J30" s="33">
        <f t="shared" si="54"/>
        <v>81.904633743600485</v>
      </c>
      <c r="K30" s="30">
        <f t="shared" si="8"/>
        <v>0</v>
      </c>
      <c r="L30" s="33">
        <f t="shared" si="9"/>
        <v>81.904633743600485</v>
      </c>
      <c r="M30" s="30">
        <f t="shared" si="10"/>
        <v>0</v>
      </c>
      <c r="N30" s="33">
        <f t="shared" si="11"/>
        <v>81.904633743600485</v>
      </c>
      <c r="O30" s="31">
        <f t="shared" si="12"/>
        <v>2.0678261965773126E-3</v>
      </c>
      <c r="P30" s="33">
        <f t="shared" si="13"/>
        <v>0.42122594747243297</v>
      </c>
      <c r="Q30" s="34">
        <f t="shared" si="55"/>
        <v>462248.07575002656</v>
      </c>
      <c r="R30" s="29">
        <f t="shared" si="14"/>
        <v>0</v>
      </c>
      <c r="S30" s="34">
        <f t="shared" si="15"/>
        <v>462248.07575002656</v>
      </c>
      <c r="T30" s="29">
        <f t="shared" si="16"/>
        <v>385.20672979168882</v>
      </c>
      <c r="U30" s="29">
        <f t="shared" si="17"/>
        <v>37751.924249973439</v>
      </c>
      <c r="V30" s="35">
        <f t="shared" si="18"/>
        <v>2.7771430165424161E-5</v>
      </c>
      <c r="W30" s="34">
        <f t="shared" si="19"/>
        <v>1.0484249279185203</v>
      </c>
      <c r="X30" s="34">
        <f t="shared" si="20"/>
        <v>461861.82059530693</v>
      </c>
      <c r="Y30" s="36">
        <f t="shared" si="21"/>
        <v>2.1878746091541501E-4</v>
      </c>
      <c r="Z30" s="34">
        <f t="shared" si="22"/>
        <v>101.04957502181813</v>
      </c>
      <c r="AA30" s="34">
        <f t="shared" si="23"/>
        <v>461912.34538281785</v>
      </c>
      <c r="AB30" s="34">
        <f t="shared" si="24"/>
        <v>37860259.342990018</v>
      </c>
      <c r="AC30" s="34">
        <f t="shared" si="25"/>
        <v>37860259.342990018</v>
      </c>
      <c r="AD30" s="34">
        <f t="shared" si="26"/>
        <v>37860259.342990018</v>
      </c>
      <c r="AE30" s="34">
        <f t="shared" si="27"/>
        <v>0</v>
      </c>
      <c r="AF30" s="34">
        <f t="shared" si="28"/>
        <v>0</v>
      </c>
      <c r="AG30" s="29">
        <f t="shared" si="29"/>
        <v>500000</v>
      </c>
      <c r="AH30" s="34">
        <f t="shared" si="30"/>
        <v>1033.9130982886563</v>
      </c>
      <c r="AI30" s="34">
        <f t="shared" si="31"/>
        <v>955.15444830505817</v>
      </c>
      <c r="AJ30" s="34">
        <f t="shared" si="32"/>
        <v>194569.46533309115</v>
      </c>
      <c r="AK30" s="34">
        <f t="shared" si="33"/>
        <v>0</v>
      </c>
      <c r="AL30" s="34">
        <f t="shared" si="34"/>
        <v>194569.46533309115</v>
      </c>
      <c r="AM30" s="34">
        <f t="shared" si="35"/>
        <v>0</v>
      </c>
      <c r="AN30" s="34">
        <f t="shared" si="36"/>
        <v>195603.3784313798</v>
      </c>
      <c r="AO30" s="34">
        <f t="shared" si="37"/>
        <v>78.75864998359809</v>
      </c>
      <c r="AP30" s="34">
        <f t="shared" si="38"/>
        <v>85.870859728827142</v>
      </c>
      <c r="AQ30" s="34">
        <f t="shared" si="39"/>
        <v>31550.216119158351</v>
      </c>
      <c r="AR30" s="34">
        <f t="shared" si="40"/>
        <v>8255.0416041391763</v>
      </c>
      <c r="AS30" s="30">
        <f t="shared" si="41"/>
        <v>1.0217931256258554</v>
      </c>
      <c r="AT30" s="29">
        <f t="shared" si="42"/>
        <v>3487.0663215047684</v>
      </c>
      <c r="AU30" s="29">
        <f t="shared" si="43"/>
        <v>0</v>
      </c>
      <c r="AV30" s="34">
        <f t="shared" si="44"/>
        <v>-218905.66515614837</v>
      </c>
      <c r="AW30" s="34">
        <f t="shared" si="45"/>
        <v>28070.262007402984</v>
      </c>
      <c r="AX30" s="29">
        <f t="shared" si="46"/>
        <v>28063.149797653583</v>
      </c>
      <c r="AY30" s="34">
        <f t="shared" si="47"/>
        <v>7.1122097452290518</v>
      </c>
      <c r="AZ30" s="37">
        <f t="shared" si="48"/>
        <v>1.4861772608657822E-13</v>
      </c>
      <c r="BA30" s="37">
        <f t="shared" si="49"/>
        <v>-1.9679158902283994E-16</v>
      </c>
      <c r="BB30" s="35">
        <f t="shared" si="50"/>
        <v>5.6822082023177956E-4</v>
      </c>
      <c r="BC30" s="31">
        <f t="shared" si="51"/>
        <v>0.98533898920279328</v>
      </c>
      <c r="BD30" s="34">
        <f t="shared" si="52"/>
        <v>27658.723593032028</v>
      </c>
    </row>
    <row r="31" spans="1:56" x14ac:dyDescent="0.2">
      <c r="A31" s="27">
        <f t="shared" si="53"/>
        <v>27</v>
      </c>
      <c r="B31" s="28">
        <f t="shared" si="0"/>
        <v>27</v>
      </c>
      <c r="C31" s="27">
        <f t="shared" si="1"/>
        <v>2</v>
      </c>
      <c r="D31" s="28">
        <f t="shared" si="2"/>
        <v>22</v>
      </c>
      <c r="E31" s="29">
        <f t="shared" si="3"/>
        <v>0</v>
      </c>
      <c r="F31" s="30">
        <f t="shared" si="4"/>
        <v>3.0291899158048141E-4</v>
      </c>
      <c r="G31" s="31">
        <f t="shared" si="5"/>
        <v>2.5246754695840146E-5</v>
      </c>
      <c r="H31" s="32">
        <f t="shared" si="6"/>
        <v>6.0000000000000005E-2</v>
      </c>
      <c r="I31" s="32">
        <f t="shared" si="7"/>
        <v>0</v>
      </c>
      <c r="J31" s="33">
        <f t="shared" si="54"/>
        <v>81.481339969931469</v>
      </c>
      <c r="K31" s="30">
        <f t="shared" si="8"/>
        <v>0</v>
      </c>
      <c r="L31" s="33">
        <f t="shared" si="9"/>
        <v>81.481339969931469</v>
      </c>
      <c r="M31" s="30">
        <f t="shared" si="10"/>
        <v>0</v>
      </c>
      <c r="N31" s="33">
        <f t="shared" si="11"/>
        <v>81.481339969931469</v>
      </c>
      <c r="O31" s="31">
        <f t="shared" si="12"/>
        <v>2.0571394025092147E-3</v>
      </c>
      <c r="P31" s="33">
        <f t="shared" si="13"/>
        <v>0.41904899712514149</v>
      </c>
      <c r="Q31" s="34">
        <f t="shared" si="55"/>
        <v>461962.87017032877</v>
      </c>
      <c r="R31" s="29">
        <f t="shared" si="14"/>
        <v>0</v>
      </c>
      <c r="S31" s="34">
        <f t="shared" si="15"/>
        <v>461962.87017032877</v>
      </c>
      <c r="T31" s="29">
        <f t="shared" si="16"/>
        <v>384.96905847527398</v>
      </c>
      <c r="U31" s="29">
        <f t="shared" si="17"/>
        <v>38037.129829671234</v>
      </c>
      <c r="V31" s="35">
        <f t="shared" si="18"/>
        <v>2.7771430165424161E-5</v>
      </c>
      <c r="W31" s="34">
        <f t="shared" si="19"/>
        <v>1.056345494757887</v>
      </c>
      <c r="X31" s="34">
        <f t="shared" si="20"/>
        <v>461576.84476635873</v>
      </c>
      <c r="Y31" s="36">
        <f t="shared" si="21"/>
        <v>4.1075049056125135E-3</v>
      </c>
      <c r="Z31" s="34">
        <f t="shared" si="22"/>
        <v>1895.929154194964</v>
      </c>
      <c r="AA31" s="34">
        <f t="shared" si="23"/>
        <v>462524.80934345623</v>
      </c>
      <c r="AB31" s="34">
        <f t="shared" si="24"/>
        <v>37641353.67783387</v>
      </c>
      <c r="AC31" s="34">
        <f t="shared" si="25"/>
        <v>37641353.67783387</v>
      </c>
      <c r="AD31" s="34">
        <f t="shared" si="26"/>
        <v>37641353.67783387</v>
      </c>
      <c r="AE31" s="34">
        <f t="shared" si="27"/>
        <v>0</v>
      </c>
      <c r="AF31" s="34">
        <f t="shared" si="28"/>
        <v>0</v>
      </c>
      <c r="AG31" s="29">
        <f t="shared" si="29"/>
        <v>500000</v>
      </c>
      <c r="AH31" s="34">
        <f t="shared" si="30"/>
        <v>1028.5697012546073</v>
      </c>
      <c r="AI31" s="34">
        <f t="shared" si="31"/>
        <v>951.47800993848603</v>
      </c>
      <c r="AJ31" s="34">
        <f t="shared" si="32"/>
        <v>193820.55750087262</v>
      </c>
      <c r="AK31" s="34">
        <f t="shared" si="33"/>
        <v>0</v>
      </c>
      <c r="AL31" s="34">
        <f t="shared" si="34"/>
        <v>193820.55750087262</v>
      </c>
      <c r="AM31" s="34">
        <f t="shared" si="35"/>
        <v>0</v>
      </c>
      <c r="AN31" s="34">
        <f t="shared" si="36"/>
        <v>194849.12720212722</v>
      </c>
      <c r="AO31" s="34">
        <f t="shared" si="37"/>
        <v>77.091691316121356</v>
      </c>
      <c r="AP31" s="34">
        <f t="shared" si="38"/>
        <v>86.072446384072848</v>
      </c>
      <c r="AQ31" s="34">
        <f t="shared" si="39"/>
        <v>31367.794731528225</v>
      </c>
      <c r="AR31" s="34">
        <f t="shared" si="40"/>
        <v>154083.65427123787</v>
      </c>
      <c r="AS31" s="30">
        <f t="shared" si="41"/>
        <v>1.022640741968539</v>
      </c>
      <c r="AT31" s="29">
        <f t="shared" si="42"/>
        <v>3471.9224151433955</v>
      </c>
      <c r="AU31" s="29">
        <f t="shared" si="43"/>
        <v>0</v>
      </c>
      <c r="AV31" s="34">
        <f t="shared" si="44"/>
        <v>-72142.248417489231</v>
      </c>
      <c r="AW31" s="34">
        <f t="shared" si="45"/>
        <v>27904.853071456491</v>
      </c>
      <c r="AX31" s="29">
        <f t="shared" si="46"/>
        <v>27895.87231638483</v>
      </c>
      <c r="AY31" s="34">
        <f t="shared" si="47"/>
        <v>8.9807550679514918</v>
      </c>
      <c r="AZ31" s="37">
        <f t="shared" si="48"/>
        <v>1.3294870767317847E-13</v>
      </c>
      <c r="BA31" s="37">
        <f t="shared" si="49"/>
        <v>-1.9793604291418734E-16</v>
      </c>
      <c r="BB31" s="35">
        <f t="shared" si="50"/>
        <v>5.6822082023177956E-4</v>
      </c>
      <c r="BC31" s="31">
        <f t="shared" si="51"/>
        <v>0.98477941703469851</v>
      </c>
      <c r="BD31" s="34">
        <f t="shared" si="52"/>
        <v>27480.124940147838</v>
      </c>
    </row>
    <row r="32" spans="1:56" x14ac:dyDescent="0.2">
      <c r="A32" s="27">
        <f t="shared" si="53"/>
        <v>28</v>
      </c>
      <c r="B32" s="28">
        <f t="shared" si="0"/>
        <v>28</v>
      </c>
      <c r="C32" s="27">
        <f t="shared" si="1"/>
        <v>2</v>
      </c>
      <c r="D32" s="28">
        <f t="shared" si="2"/>
        <v>22</v>
      </c>
      <c r="E32" s="29">
        <f t="shared" si="3"/>
        <v>0</v>
      </c>
      <c r="F32" s="30">
        <f t="shared" si="4"/>
        <v>3.0291899158048141E-4</v>
      </c>
      <c r="G32" s="31">
        <f t="shared" si="5"/>
        <v>2.5246754695840146E-5</v>
      </c>
      <c r="H32" s="32">
        <f t="shared" si="6"/>
        <v>6.0000000000000005E-2</v>
      </c>
      <c r="I32" s="32">
        <f t="shared" si="7"/>
        <v>0</v>
      </c>
      <c r="J32" s="33">
        <f t="shared" si="54"/>
        <v>81.060233833403814</v>
      </c>
      <c r="K32" s="30">
        <f t="shared" si="8"/>
        <v>0</v>
      </c>
      <c r="L32" s="33">
        <f t="shared" si="9"/>
        <v>81.060233833403814</v>
      </c>
      <c r="M32" s="30">
        <f t="shared" si="10"/>
        <v>0</v>
      </c>
      <c r="N32" s="33">
        <f t="shared" si="11"/>
        <v>81.060233833403814</v>
      </c>
      <c r="O32" s="31">
        <f t="shared" si="12"/>
        <v>2.0465078391793878E-3</v>
      </c>
      <c r="P32" s="33">
        <f t="shared" si="13"/>
        <v>0.416883297539687</v>
      </c>
      <c r="Q32" s="34">
        <f t="shared" si="55"/>
        <v>463472.77392055368</v>
      </c>
      <c r="R32" s="29">
        <f t="shared" si="14"/>
        <v>0</v>
      </c>
      <c r="S32" s="34">
        <f t="shared" si="15"/>
        <v>463472.77392055368</v>
      </c>
      <c r="T32" s="29">
        <f t="shared" si="16"/>
        <v>386.22731160046141</v>
      </c>
      <c r="U32" s="29">
        <f t="shared" si="17"/>
        <v>36527.226079446322</v>
      </c>
      <c r="V32" s="35">
        <f t="shared" si="18"/>
        <v>2.7771430165424161E-5</v>
      </c>
      <c r="W32" s="34">
        <f t="shared" si="19"/>
        <v>1.0144133082020037</v>
      </c>
      <c r="X32" s="34">
        <f t="shared" si="20"/>
        <v>463085.53219564504</v>
      </c>
      <c r="Y32" s="36">
        <f t="shared" si="21"/>
        <v>-1.9039643132147788E-2</v>
      </c>
      <c r="Z32" s="34">
        <f t="shared" si="22"/>
        <v>-8816.9832726658169</v>
      </c>
      <c r="AA32" s="34">
        <f t="shared" si="23"/>
        <v>458677.04055931215</v>
      </c>
      <c r="AB32" s="34">
        <f t="shared" si="24"/>
        <v>37569211.429416381</v>
      </c>
      <c r="AC32" s="34">
        <f t="shared" si="25"/>
        <v>37569211.429416381</v>
      </c>
      <c r="AD32" s="34">
        <f t="shared" si="26"/>
        <v>37569211.429416381</v>
      </c>
      <c r="AE32" s="34">
        <f t="shared" si="27"/>
        <v>0</v>
      </c>
      <c r="AF32" s="34">
        <f t="shared" si="28"/>
        <v>0</v>
      </c>
      <c r="AG32" s="29">
        <f t="shared" si="29"/>
        <v>500000</v>
      </c>
      <c r="AH32" s="34">
        <f t="shared" si="30"/>
        <v>1023.2539195896939</v>
      </c>
      <c r="AI32" s="34">
        <f t="shared" si="31"/>
        <v>938.68615915623434</v>
      </c>
      <c r="AJ32" s="34">
        <f t="shared" si="32"/>
        <v>191214.7971741108</v>
      </c>
      <c r="AK32" s="34">
        <f t="shared" si="33"/>
        <v>0</v>
      </c>
      <c r="AL32" s="34">
        <f t="shared" si="34"/>
        <v>191214.7971741108</v>
      </c>
      <c r="AM32" s="34">
        <f t="shared" si="35"/>
        <v>0</v>
      </c>
      <c r="AN32" s="34">
        <f t="shared" si="36"/>
        <v>192238.05109370049</v>
      </c>
      <c r="AO32" s="34">
        <f t="shared" si="37"/>
        <v>84.567760433459569</v>
      </c>
      <c r="AP32" s="34">
        <f t="shared" si="38"/>
        <v>82.228579966571147</v>
      </c>
      <c r="AQ32" s="34">
        <f t="shared" si="39"/>
        <v>31307.676191180319</v>
      </c>
      <c r="AR32" s="34">
        <f t="shared" si="40"/>
        <v>-712859.87724427786</v>
      </c>
      <c r="AS32" s="30">
        <f t="shared" si="41"/>
        <v>1.0234890614412853</v>
      </c>
      <c r="AT32" s="29">
        <f t="shared" si="42"/>
        <v>3456.8442769317326</v>
      </c>
      <c r="AU32" s="29">
        <f t="shared" si="43"/>
        <v>0</v>
      </c>
      <c r="AV32" s="34">
        <f t="shared" si="44"/>
        <v>-936403.26534868777</v>
      </c>
      <c r="AW32" s="34">
        <f t="shared" si="45"/>
        <v>27848.492733777734</v>
      </c>
      <c r="AX32" s="29">
        <f t="shared" si="46"/>
        <v>27850.831914248585</v>
      </c>
      <c r="AY32" s="34">
        <f t="shared" si="47"/>
        <v>-2.339180466888422</v>
      </c>
      <c r="AZ32" s="37">
        <f t="shared" si="48"/>
        <v>-1.4230431986501925E-13</v>
      </c>
      <c r="BA32" s="37">
        <f t="shared" si="49"/>
        <v>1.9831612944343264E-16</v>
      </c>
      <c r="BB32" s="35">
        <f t="shared" si="50"/>
        <v>5.6822082023177956E-4</v>
      </c>
      <c r="BC32" s="31">
        <f t="shared" si="51"/>
        <v>0.98422016264659073</v>
      </c>
      <c r="BD32" s="34">
        <f t="shared" si="52"/>
        <v>27409.04804790112</v>
      </c>
    </row>
    <row r="33" spans="1:56" x14ac:dyDescent="0.2">
      <c r="A33" s="27">
        <f t="shared" si="53"/>
        <v>29</v>
      </c>
      <c r="B33" s="28">
        <f t="shared" si="0"/>
        <v>29</v>
      </c>
      <c r="C33" s="27">
        <f t="shared" si="1"/>
        <v>2</v>
      </c>
      <c r="D33" s="28">
        <f t="shared" si="2"/>
        <v>22</v>
      </c>
      <c r="E33" s="29">
        <f t="shared" si="3"/>
        <v>0</v>
      </c>
      <c r="F33" s="30">
        <f t="shared" si="4"/>
        <v>3.0291899158048141E-4</v>
      </c>
      <c r="G33" s="31">
        <f t="shared" si="5"/>
        <v>2.5246754695840146E-5</v>
      </c>
      <c r="H33" s="32">
        <f t="shared" si="6"/>
        <v>6.0000000000000005E-2</v>
      </c>
      <c r="I33" s="32">
        <f t="shared" si="7"/>
        <v>0</v>
      </c>
      <c r="J33" s="33">
        <f t="shared" si="54"/>
        <v>80.641304028024948</v>
      </c>
      <c r="K33" s="30">
        <f t="shared" si="8"/>
        <v>0</v>
      </c>
      <c r="L33" s="33">
        <f t="shared" si="9"/>
        <v>80.641304028024948</v>
      </c>
      <c r="M33" s="30">
        <f t="shared" si="10"/>
        <v>0</v>
      </c>
      <c r="N33" s="33">
        <f t="shared" si="11"/>
        <v>80.641304028024948</v>
      </c>
      <c r="O33" s="31">
        <f t="shared" si="12"/>
        <v>2.0359312211482117E-3</v>
      </c>
      <c r="P33" s="33">
        <f t="shared" si="13"/>
        <v>0.41472879057067269</v>
      </c>
      <c r="Q33" s="34">
        <f t="shared" si="55"/>
        <v>454268.54892297921</v>
      </c>
      <c r="R33" s="29">
        <f t="shared" si="14"/>
        <v>0</v>
      </c>
      <c r="S33" s="34">
        <f t="shared" si="15"/>
        <v>454268.54892297921</v>
      </c>
      <c r="T33" s="29">
        <f t="shared" si="16"/>
        <v>378.5571241024827</v>
      </c>
      <c r="U33" s="29">
        <f t="shared" si="17"/>
        <v>45731.451077020785</v>
      </c>
      <c r="V33" s="35">
        <f t="shared" si="18"/>
        <v>2.7771430165424161E-5</v>
      </c>
      <c r="W33" s="34">
        <f t="shared" si="19"/>
        <v>1.2700277999489942</v>
      </c>
      <c r="X33" s="34">
        <f t="shared" si="20"/>
        <v>453888.72177107679</v>
      </c>
      <c r="Y33" s="36">
        <f t="shared" si="21"/>
        <v>4.0029217151515972E-4</v>
      </c>
      <c r="Z33" s="34">
        <f t="shared" si="22"/>
        <v>181.68810206398447</v>
      </c>
      <c r="AA33" s="34">
        <f t="shared" si="23"/>
        <v>453979.56582210877</v>
      </c>
      <c r="AB33" s="34">
        <f t="shared" si="24"/>
        <v>36632808.164067693</v>
      </c>
      <c r="AC33" s="34">
        <f t="shared" si="25"/>
        <v>36632808.164067693</v>
      </c>
      <c r="AD33" s="34">
        <f t="shared" si="26"/>
        <v>36632808.164067693</v>
      </c>
      <c r="AE33" s="34">
        <f t="shared" si="27"/>
        <v>0</v>
      </c>
      <c r="AF33" s="34">
        <f t="shared" si="28"/>
        <v>0</v>
      </c>
      <c r="AG33" s="29">
        <f t="shared" si="29"/>
        <v>500000</v>
      </c>
      <c r="AH33" s="34">
        <f t="shared" si="30"/>
        <v>1017.9656105741059</v>
      </c>
      <c r="AI33" s="34">
        <f t="shared" si="31"/>
        <v>924.27117182054087</v>
      </c>
      <c r="AJ33" s="34">
        <f t="shared" si="32"/>
        <v>188278.39627720226</v>
      </c>
      <c r="AK33" s="34">
        <f t="shared" si="33"/>
        <v>0</v>
      </c>
      <c r="AL33" s="34">
        <f t="shared" si="34"/>
        <v>188278.39627720226</v>
      </c>
      <c r="AM33" s="34">
        <f t="shared" si="35"/>
        <v>0</v>
      </c>
      <c r="AN33" s="34">
        <f t="shared" si="36"/>
        <v>189296.36188777638</v>
      </c>
      <c r="AO33" s="34">
        <f t="shared" si="37"/>
        <v>93.694438753564995</v>
      </c>
      <c r="AP33" s="34">
        <f t="shared" si="38"/>
        <v>102.41669793973048</v>
      </c>
      <c r="AQ33" s="34">
        <f t="shared" si="39"/>
        <v>30527.34013672308</v>
      </c>
      <c r="AR33" s="34">
        <f t="shared" si="40"/>
        <v>14613.70488116181</v>
      </c>
      <c r="AS33" s="30">
        <f t="shared" si="41"/>
        <v>1.0243380846273673</v>
      </c>
      <c r="AT33" s="29">
        <f t="shared" si="42"/>
        <v>3441.831621246678</v>
      </c>
      <c r="AU33" s="29">
        <f t="shared" si="43"/>
        <v>0</v>
      </c>
      <c r="AV33" s="34">
        <f t="shared" si="44"/>
        <v>-205218.7194025293</v>
      </c>
      <c r="AW33" s="34">
        <f t="shared" si="45"/>
        <v>27094.230774668045</v>
      </c>
      <c r="AX33" s="29">
        <f t="shared" si="46"/>
        <v>27085.508515476402</v>
      </c>
      <c r="AY33" s="34">
        <f t="shared" si="47"/>
        <v>8.7222591861654877</v>
      </c>
      <c r="AZ33" s="37">
        <f t="shared" si="48"/>
        <v>2.0217960218876804E-13</v>
      </c>
      <c r="BA33" s="37">
        <f t="shared" si="49"/>
        <v>0</v>
      </c>
      <c r="BB33" s="35">
        <f t="shared" si="50"/>
        <v>5.6822082023177956E-4</v>
      </c>
      <c r="BC33" s="31">
        <f t="shared" si="51"/>
        <v>0.98366122585800342</v>
      </c>
      <c r="BD33" s="34">
        <f t="shared" si="52"/>
        <v>26651.544257489611</v>
      </c>
    </row>
    <row r="34" spans="1:56" x14ac:dyDescent="0.2">
      <c r="A34" s="27">
        <f t="shared" si="53"/>
        <v>30</v>
      </c>
      <c r="B34" s="28">
        <f t="shared" si="0"/>
        <v>30</v>
      </c>
      <c r="C34" s="27">
        <f t="shared" si="1"/>
        <v>2</v>
      </c>
      <c r="D34" s="28">
        <f t="shared" si="2"/>
        <v>22</v>
      </c>
      <c r="E34" s="29">
        <f t="shared" si="3"/>
        <v>0</v>
      </c>
      <c r="F34" s="30">
        <f t="shared" si="4"/>
        <v>3.0291899158048141E-4</v>
      </c>
      <c r="G34" s="31">
        <f t="shared" si="5"/>
        <v>2.5246754695840146E-5</v>
      </c>
      <c r="H34" s="32">
        <f t="shared" si="6"/>
        <v>6.0000000000000005E-2</v>
      </c>
      <c r="I34" s="32">
        <f t="shared" si="7"/>
        <v>0</v>
      </c>
      <c r="J34" s="33">
        <f t="shared" si="54"/>
        <v>80.224539306233126</v>
      </c>
      <c r="K34" s="30">
        <f t="shared" si="8"/>
        <v>0</v>
      </c>
      <c r="L34" s="33">
        <f t="shared" si="9"/>
        <v>80.224539306233126</v>
      </c>
      <c r="M34" s="30">
        <f t="shared" si="10"/>
        <v>0</v>
      </c>
      <c r="N34" s="33">
        <f t="shared" si="11"/>
        <v>80.224539306233126</v>
      </c>
      <c r="O34" s="31">
        <f t="shared" si="12"/>
        <v>2.0254092644512536E-3</v>
      </c>
      <c r="P34" s="33">
        <f t="shared" si="13"/>
        <v>0.41258541837320456</v>
      </c>
      <c r="Q34" s="34">
        <f t="shared" si="55"/>
        <v>454070.40987314074</v>
      </c>
      <c r="R34" s="29">
        <f t="shared" si="14"/>
        <v>0</v>
      </c>
      <c r="S34" s="34">
        <f t="shared" si="15"/>
        <v>454070.40987314074</v>
      </c>
      <c r="T34" s="29">
        <f t="shared" si="16"/>
        <v>378.39200822761728</v>
      </c>
      <c r="U34" s="29">
        <f t="shared" si="17"/>
        <v>45929.590126859257</v>
      </c>
      <c r="V34" s="35">
        <f t="shared" si="18"/>
        <v>2.7771430165424161E-5</v>
      </c>
      <c r="W34" s="34">
        <f t="shared" si="19"/>
        <v>1.275530404734627</v>
      </c>
      <c r="X34" s="34">
        <f t="shared" si="20"/>
        <v>453690.74233450834</v>
      </c>
      <c r="Y34" s="36">
        <f t="shared" si="21"/>
        <v>6.1012611883055623E-3</v>
      </c>
      <c r="Z34" s="34">
        <f t="shared" si="22"/>
        <v>2768.0857176990748</v>
      </c>
      <c r="AA34" s="34">
        <f t="shared" si="23"/>
        <v>455074.78519335785</v>
      </c>
      <c r="AB34" s="34">
        <f t="shared" si="24"/>
        <v>36427589.444665164</v>
      </c>
      <c r="AC34" s="34">
        <f t="shared" si="25"/>
        <v>36427589.444665164</v>
      </c>
      <c r="AD34" s="34">
        <f t="shared" si="26"/>
        <v>36427589.444665164</v>
      </c>
      <c r="AE34" s="34">
        <f t="shared" si="27"/>
        <v>0</v>
      </c>
      <c r="AF34" s="34">
        <f t="shared" si="28"/>
        <v>0</v>
      </c>
      <c r="AG34" s="29">
        <f t="shared" si="29"/>
        <v>500000</v>
      </c>
      <c r="AH34" s="34">
        <f t="shared" si="30"/>
        <v>1012.7046322256268</v>
      </c>
      <c r="AI34" s="34">
        <f t="shared" si="31"/>
        <v>921.71268594879109</v>
      </c>
      <c r="AJ34" s="34">
        <f t="shared" si="32"/>
        <v>187757.22064009774</v>
      </c>
      <c r="AK34" s="34">
        <f t="shared" si="33"/>
        <v>0</v>
      </c>
      <c r="AL34" s="34">
        <f t="shared" si="34"/>
        <v>187757.22064009774</v>
      </c>
      <c r="AM34" s="34">
        <f t="shared" si="35"/>
        <v>0</v>
      </c>
      <c r="AN34" s="34">
        <f t="shared" si="36"/>
        <v>188769.92527232337</v>
      </c>
      <c r="AO34" s="34">
        <f t="shared" si="37"/>
        <v>90.991946276835648</v>
      </c>
      <c r="AP34" s="34">
        <f t="shared" si="38"/>
        <v>102.32883909092853</v>
      </c>
      <c r="AQ34" s="34">
        <f t="shared" si="39"/>
        <v>30356.324537220971</v>
      </c>
      <c r="AR34" s="34">
        <f t="shared" si="40"/>
        <v>221494.56230737836</v>
      </c>
      <c r="AS34" s="30">
        <f t="shared" si="41"/>
        <v>1.025187812110542</v>
      </c>
      <c r="AT34" s="29">
        <f t="shared" si="42"/>
        <v>3426.8841637055548</v>
      </c>
      <c r="AU34" s="29">
        <f t="shared" si="43"/>
        <v>0</v>
      </c>
      <c r="AV34" s="34">
        <f t="shared" si="44"/>
        <v>2356.9756050184369</v>
      </c>
      <c r="AW34" s="34">
        <f t="shared" si="45"/>
        <v>26940.777266331006</v>
      </c>
      <c r="AX34" s="29">
        <f t="shared" si="46"/>
        <v>26929.440373515416</v>
      </c>
      <c r="AY34" s="34">
        <f t="shared" si="47"/>
        <v>11.336892814092877</v>
      </c>
      <c r="AZ34" s="37">
        <f t="shared" si="48"/>
        <v>5.5591112044570472E-14</v>
      </c>
      <c r="BA34" s="37">
        <f t="shared" si="49"/>
        <v>0</v>
      </c>
      <c r="BB34" s="35">
        <f t="shared" si="50"/>
        <v>5.6822082023177956E-4</v>
      </c>
      <c r="BC34" s="31">
        <f t="shared" si="51"/>
        <v>0.98310260648857262</v>
      </c>
      <c r="BD34" s="34">
        <f t="shared" si="52"/>
        <v>26485.548351358095</v>
      </c>
    </row>
    <row r="35" spans="1:56" x14ac:dyDescent="0.2">
      <c r="A35" s="27">
        <f t="shared" si="53"/>
        <v>31</v>
      </c>
      <c r="B35" s="28">
        <f t="shared" si="0"/>
        <v>31</v>
      </c>
      <c r="C35" s="27">
        <f t="shared" si="1"/>
        <v>2</v>
      </c>
      <c r="D35" s="28">
        <f t="shared" si="2"/>
        <v>22</v>
      </c>
      <c r="E35" s="29">
        <f t="shared" si="3"/>
        <v>0</v>
      </c>
      <c r="F35" s="30">
        <f t="shared" si="4"/>
        <v>3.0291899158048141E-4</v>
      </c>
      <c r="G35" s="31">
        <f t="shared" si="5"/>
        <v>2.5246754695840146E-5</v>
      </c>
      <c r="H35" s="32">
        <f t="shared" si="6"/>
        <v>6.0000000000000005E-2</v>
      </c>
      <c r="I35" s="32">
        <f t="shared" si="7"/>
        <v>0</v>
      </c>
      <c r="J35" s="33">
        <f t="shared" si="54"/>
        <v>79.809928478595467</v>
      </c>
      <c r="K35" s="30">
        <f t="shared" si="8"/>
        <v>0</v>
      </c>
      <c r="L35" s="33">
        <f t="shared" si="9"/>
        <v>79.809928478595467</v>
      </c>
      <c r="M35" s="30">
        <f t="shared" si="10"/>
        <v>0</v>
      </c>
      <c r="N35" s="33">
        <f t="shared" si="11"/>
        <v>79.809928478595467</v>
      </c>
      <c r="O35" s="31">
        <f t="shared" si="12"/>
        <v>2.0149416865916461E-3</v>
      </c>
      <c r="P35" s="33">
        <f t="shared" si="13"/>
        <v>0.41045312340133855</v>
      </c>
      <c r="Q35" s="34">
        <f t="shared" si="55"/>
        <v>456458.82805220742</v>
      </c>
      <c r="R35" s="29">
        <f t="shared" si="14"/>
        <v>0</v>
      </c>
      <c r="S35" s="34">
        <f t="shared" si="15"/>
        <v>456458.82805220742</v>
      </c>
      <c r="T35" s="29">
        <f t="shared" si="16"/>
        <v>380.38235671017287</v>
      </c>
      <c r="U35" s="29">
        <f t="shared" si="17"/>
        <v>43541.17194779258</v>
      </c>
      <c r="V35" s="35">
        <f t="shared" si="18"/>
        <v>2.7771430165424161E-5</v>
      </c>
      <c r="W35" s="34">
        <f t="shared" si="19"/>
        <v>1.2092006160688471</v>
      </c>
      <c r="X35" s="34">
        <f t="shared" si="20"/>
        <v>456077.23649488122</v>
      </c>
      <c r="Y35" s="36">
        <f t="shared" si="21"/>
        <v>3.8813434091957699E-3</v>
      </c>
      <c r="Z35" s="34">
        <f t="shared" si="22"/>
        <v>1770.1923759536278</v>
      </c>
      <c r="AA35" s="34">
        <f t="shared" si="23"/>
        <v>456962.33268285805</v>
      </c>
      <c r="AB35" s="34">
        <f t="shared" si="24"/>
        <v>36429946.420270182</v>
      </c>
      <c r="AC35" s="34">
        <f t="shared" si="25"/>
        <v>36429946.420270182</v>
      </c>
      <c r="AD35" s="34">
        <f t="shared" si="26"/>
        <v>36429946.420270182</v>
      </c>
      <c r="AE35" s="34">
        <f t="shared" si="27"/>
        <v>0</v>
      </c>
      <c r="AF35" s="34">
        <f t="shared" si="28"/>
        <v>0</v>
      </c>
      <c r="AG35" s="29">
        <f t="shared" si="29"/>
        <v>500000</v>
      </c>
      <c r="AH35" s="34">
        <f t="shared" si="30"/>
        <v>1007.470843295823</v>
      </c>
      <c r="AI35" s="34">
        <f t="shared" si="31"/>
        <v>920.75245332485088</v>
      </c>
      <c r="AJ35" s="34">
        <f t="shared" si="32"/>
        <v>187561.61672644064</v>
      </c>
      <c r="AK35" s="34">
        <f t="shared" si="33"/>
        <v>0</v>
      </c>
      <c r="AL35" s="34">
        <f t="shared" si="34"/>
        <v>187561.61672644064</v>
      </c>
      <c r="AM35" s="34">
        <f t="shared" si="35"/>
        <v>0</v>
      </c>
      <c r="AN35" s="34">
        <f t="shared" si="36"/>
        <v>188569.08756973647</v>
      </c>
      <c r="AO35" s="34">
        <f t="shared" si="37"/>
        <v>86.718389970972169</v>
      </c>
      <c r="AP35" s="34">
        <f t="shared" si="38"/>
        <v>96.506214684728263</v>
      </c>
      <c r="AQ35" s="34">
        <f t="shared" si="39"/>
        <v>30358.288683558487</v>
      </c>
      <c r="AR35" s="34">
        <f t="shared" si="40"/>
        <v>140913.85300614251</v>
      </c>
      <c r="AS35" s="30">
        <f t="shared" si="41"/>
        <v>1.0260382444750509</v>
      </c>
      <c r="AT35" s="29">
        <f t="shared" si="42"/>
        <v>3412.0016211607276</v>
      </c>
      <c r="AU35" s="29">
        <f t="shared" si="43"/>
        <v>0</v>
      </c>
      <c r="AV35" s="34">
        <f t="shared" si="44"/>
        <v>-78023.311071872711</v>
      </c>
      <c r="AW35" s="34">
        <f t="shared" si="45"/>
        <v>26956.074887118026</v>
      </c>
      <c r="AX35" s="29">
        <f t="shared" si="46"/>
        <v>26946.287062397758</v>
      </c>
      <c r="AY35" s="34">
        <f t="shared" si="47"/>
        <v>9.7878247137560948</v>
      </c>
      <c r="AZ35" s="37">
        <f t="shared" si="48"/>
        <v>2.4157331529630026E-13</v>
      </c>
      <c r="BA35" s="37">
        <f t="shared" si="49"/>
        <v>0</v>
      </c>
      <c r="BB35" s="35">
        <f t="shared" si="50"/>
        <v>5.6822082023177956E-4</v>
      </c>
      <c r="BC35" s="31">
        <f t="shared" si="51"/>
        <v>0.98254430435803619</v>
      </c>
      <c r="BD35" s="34">
        <f t="shared" si="52"/>
        <v>26485.537848186508</v>
      </c>
    </row>
    <row r="36" spans="1:56" x14ac:dyDescent="0.2">
      <c r="A36" s="27">
        <f t="shared" si="53"/>
        <v>32</v>
      </c>
      <c r="B36" s="28">
        <f t="shared" si="0"/>
        <v>32</v>
      </c>
      <c r="C36" s="27">
        <f t="shared" si="1"/>
        <v>2</v>
      </c>
      <c r="D36" s="28">
        <f t="shared" si="2"/>
        <v>22</v>
      </c>
      <c r="E36" s="29">
        <f t="shared" si="3"/>
        <v>0</v>
      </c>
      <c r="F36" s="30">
        <f t="shared" si="4"/>
        <v>3.0291899158048141E-4</v>
      </c>
      <c r="G36" s="31">
        <f t="shared" si="5"/>
        <v>2.5246754695840146E-5</v>
      </c>
      <c r="H36" s="32">
        <f t="shared" si="6"/>
        <v>6.0000000000000005E-2</v>
      </c>
      <c r="I36" s="32">
        <f t="shared" si="7"/>
        <v>0</v>
      </c>
      <c r="J36" s="33">
        <f t="shared" si="54"/>
        <v>79.397460413507531</v>
      </c>
      <c r="K36" s="30">
        <f t="shared" si="8"/>
        <v>0</v>
      </c>
      <c r="L36" s="33">
        <f t="shared" si="9"/>
        <v>79.397460413507531</v>
      </c>
      <c r="M36" s="30">
        <f t="shared" si="10"/>
        <v>0</v>
      </c>
      <c r="N36" s="33">
        <f t="shared" si="11"/>
        <v>79.397460413507531</v>
      </c>
      <c r="O36" s="31">
        <f t="shared" si="12"/>
        <v>2.0045282065325031E-3</v>
      </c>
      <c r="P36" s="33">
        <f t="shared" si="13"/>
        <v>0.40833184840653569</v>
      </c>
      <c r="Q36" s="34">
        <f t="shared" si="55"/>
        <v>457847.42887083482</v>
      </c>
      <c r="R36" s="29">
        <f t="shared" si="14"/>
        <v>0</v>
      </c>
      <c r="S36" s="34">
        <f t="shared" si="15"/>
        <v>457847.42887083482</v>
      </c>
      <c r="T36" s="29">
        <f t="shared" si="16"/>
        <v>381.53952405902902</v>
      </c>
      <c r="U36" s="29">
        <f t="shared" si="17"/>
        <v>42152.571129165182</v>
      </c>
      <c r="V36" s="35">
        <f t="shared" si="18"/>
        <v>2.7771430165424161E-5</v>
      </c>
      <c r="W36" s="34">
        <f t="shared" si="19"/>
        <v>1.1706371854066855</v>
      </c>
      <c r="X36" s="34">
        <f t="shared" si="20"/>
        <v>457464.71870959038</v>
      </c>
      <c r="Y36" s="36">
        <f t="shared" si="21"/>
        <v>4.2861688987871904E-3</v>
      </c>
      <c r="Z36" s="34">
        <f t="shared" si="22"/>
        <v>1960.7710496254767</v>
      </c>
      <c r="AA36" s="34">
        <f t="shared" si="23"/>
        <v>458445.10423440312</v>
      </c>
      <c r="AB36" s="34">
        <f t="shared" si="24"/>
        <v>36351923.109198309</v>
      </c>
      <c r="AC36" s="34">
        <f t="shared" si="25"/>
        <v>36351923.109198309</v>
      </c>
      <c r="AD36" s="34">
        <f t="shared" si="26"/>
        <v>36351923.109198309</v>
      </c>
      <c r="AE36" s="34">
        <f t="shared" si="27"/>
        <v>0</v>
      </c>
      <c r="AF36" s="34">
        <f t="shared" si="28"/>
        <v>0</v>
      </c>
      <c r="AG36" s="29">
        <f t="shared" si="29"/>
        <v>500000</v>
      </c>
      <c r="AH36" s="34">
        <f t="shared" si="30"/>
        <v>1002.2641032662516</v>
      </c>
      <c r="AI36" s="34">
        <f t="shared" si="31"/>
        <v>918.96614258459454</v>
      </c>
      <c r="AJ36" s="34">
        <f t="shared" si="32"/>
        <v>187197.73680496076</v>
      </c>
      <c r="AK36" s="34">
        <f t="shared" si="33"/>
        <v>0</v>
      </c>
      <c r="AL36" s="34">
        <f t="shared" si="34"/>
        <v>187197.73680496076</v>
      </c>
      <c r="AM36" s="34">
        <f t="shared" si="35"/>
        <v>0</v>
      </c>
      <c r="AN36" s="34">
        <f t="shared" si="36"/>
        <v>188200.00090822703</v>
      </c>
      <c r="AO36" s="34">
        <f t="shared" si="37"/>
        <v>83.297960681657031</v>
      </c>
      <c r="AP36" s="34">
        <f t="shared" si="38"/>
        <v>92.945619586907185</v>
      </c>
      <c r="AQ36" s="34">
        <f t="shared" si="39"/>
        <v>30293.269257665263</v>
      </c>
      <c r="AR36" s="34">
        <f t="shared" si="40"/>
        <v>155277.95394865487</v>
      </c>
      <c r="AS36" s="30">
        <f t="shared" si="41"/>
        <v>1.02688938230562</v>
      </c>
      <c r="AT36" s="29">
        <f t="shared" si="42"/>
        <v>3397.1837116942365</v>
      </c>
      <c r="AU36" s="29">
        <f t="shared" si="43"/>
        <v>0</v>
      </c>
      <c r="AV36" s="34">
        <f t="shared" si="44"/>
        <v>-63224.963876135647</v>
      </c>
      <c r="AW36" s="34">
        <f t="shared" si="45"/>
        <v>26905.733204869262</v>
      </c>
      <c r="AX36" s="29">
        <f t="shared" si="46"/>
        <v>26896.085545971026</v>
      </c>
      <c r="AY36" s="34">
        <f t="shared" si="47"/>
        <v>9.6476589052501538</v>
      </c>
      <c r="AZ36" s="37">
        <f t="shared" si="48"/>
        <v>-2.6066238537100445E-13</v>
      </c>
      <c r="BA36" s="37">
        <f t="shared" si="49"/>
        <v>4.0991397206375421E-16</v>
      </c>
      <c r="BB36" s="35">
        <f t="shared" si="50"/>
        <v>5.6822082023177956E-4</v>
      </c>
      <c r="BC36" s="31">
        <f t="shared" si="51"/>
        <v>0.98198631928623492</v>
      </c>
      <c r="BD36" s="34">
        <f t="shared" si="52"/>
        <v>26421.061917547002</v>
      </c>
    </row>
    <row r="37" spans="1:56" x14ac:dyDescent="0.2">
      <c r="A37" s="27">
        <f t="shared" si="53"/>
        <v>33</v>
      </c>
      <c r="B37" s="28">
        <f t="shared" si="0"/>
        <v>33</v>
      </c>
      <c r="C37" s="27">
        <f t="shared" si="1"/>
        <v>2</v>
      </c>
      <c r="D37" s="28">
        <f t="shared" si="2"/>
        <v>22</v>
      </c>
      <c r="E37" s="29">
        <f t="shared" si="3"/>
        <v>0</v>
      </c>
      <c r="F37" s="30">
        <f t="shared" si="4"/>
        <v>3.0291899158048141E-4</v>
      </c>
      <c r="G37" s="31">
        <f t="shared" si="5"/>
        <v>2.5246754695840146E-5</v>
      </c>
      <c r="H37" s="32">
        <f t="shared" si="6"/>
        <v>6.0000000000000005E-2</v>
      </c>
      <c r="I37" s="32">
        <f t="shared" si="7"/>
        <v>0</v>
      </c>
      <c r="J37" s="33">
        <f t="shared" si="54"/>
        <v>78.987124036894471</v>
      </c>
      <c r="K37" s="30">
        <f t="shared" si="8"/>
        <v>0</v>
      </c>
      <c r="L37" s="33">
        <f t="shared" si="9"/>
        <v>78.987124036894471</v>
      </c>
      <c r="M37" s="30">
        <f t="shared" si="10"/>
        <v>0</v>
      </c>
      <c r="N37" s="33">
        <f t="shared" si="11"/>
        <v>78.987124036894471</v>
      </c>
      <c r="O37" s="31">
        <f t="shared" si="12"/>
        <v>1.9941685446893736E-3</v>
      </c>
      <c r="P37" s="33">
        <f t="shared" si="13"/>
        <v>0.4062215364361248</v>
      </c>
      <c r="Q37" s="34">
        <f t="shared" si="55"/>
        <v>459425.48975921585</v>
      </c>
      <c r="R37" s="29">
        <f t="shared" si="14"/>
        <v>0</v>
      </c>
      <c r="S37" s="34">
        <f t="shared" si="15"/>
        <v>459425.48975921585</v>
      </c>
      <c r="T37" s="29">
        <f t="shared" si="16"/>
        <v>382.85457479934655</v>
      </c>
      <c r="U37" s="29">
        <f t="shared" si="17"/>
        <v>40574.510240784148</v>
      </c>
      <c r="V37" s="35">
        <f t="shared" si="18"/>
        <v>2.7771430165424161E-5</v>
      </c>
      <c r="W37" s="34">
        <f t="shared" si="19"/>
        <v>1.1268121776482245</v>
      </c>
      <c r="X37" s="34">
        <f t="shared" si="20"/>
        <v>459041.50837223884</v>
      </c>
      <c r="Y37" s="36">
        <f t="shared" si="21"/>
        <v>7.715750490195461E-3</v>
      </c>
      <c r="Z37" s="34">
        <f t="shared" si="22"/>
        <v>3541.8497432431654</v>
      </c>
      <c r="AA37" s="34">
        <f t="shared" si="23"/>
        <v>460812.43324386043</v>
      </c>
      <c r="AB37" s="34">
        <f t="shared" si="24"/>
        <v>36288698.145322174</v>
      </c>
      <c r="AC37" s="34">
        <f t="shared" si="25"/>
        <v>36288698.145322174</v>
      </c>
      <c r="AD37" s="34">
        <f t="shared" si="26"/>
        <v>36288698.145322174</v>
      </c>
      <c r="AE37" s="34">
        <f t="shared" si="27"/>
        <v>0</v>
      </c>
      <c r="AF37" s="34">
        <f t="shared" si="28"/>
        <v>0</v>
      </c>
      <c r="AG37" s="29">
        <f t="shared" si="29"/>
        <v>500000</v>
      </c>
      <c r="AH37" s="34">
        <f t="shared" si="30"/>
        <v>997.08427234468684</v>
      </c>
      <c r="AI37" s="34">
        <f t="shared" si="31"/>
        <v>918.93765937667831</v>
      </c>
      <c r="AJ37" s="34">
        <f t="shared" si="32"/>
        <v>187191.93464119016</v>
      </c>
      <c r="AK37" s="34">
        <f t="shared" si="33"/>
        <v>0</v>
      </c>
      <c r="AL37" s="34">
        <f t="shared" si="34"/>
        <v>187191.93464119016</v>
      </c>
      <c r="AM37" s="34">
        <f t="shared" si="35"/>
        <v>0</v>
      </c>
      <c r="AN37" s="34">
        <f t="shared" si="36"/>
        <v>188189.01891353485</v>
      </c>
      <c r="AO37" s="34">
        <f t="shared" si="37"/>
        <v>78.146612968008526</v>
      </c>
      <c r="AP37" s="34">
        <f t="shared" si="38"/>
        <v>89.003653242183475</v>
      </c>
      <c r="AQ37" s="34">
        <f t="shared" si="39"/>
        <v>30240.581787768479</v>
      </c>
      <c r="AR37" s="34">
        <f t="shared" si="40"/>
        <v>279037.60564465373</v>
      </c>
      <c r="AS37" s="30">
        <f t="shared" si="41"/>
        <v>1.0277412261874599</v>
      </c>
      <c r="AT37" s="29">
        <f t="shared" si="42"/>
        <v>3382.4301546124543</v>
      </c>
      <c r="AU37" s="29">
        <f t="shared" si="43"/>
        <v>0</v>
      </c>
      <c r="AV37" s="34">
        <f t="shared" si="44"/>
        <v>60597.147903077304</v>
      </c>
      <c r="AW37" s="34">
        <f t="shared" si="45"/>
        <v>26869.008673429125</v>
      </c>
      <c r="AX37" s="29">
        <f t="shared" si="46"/>
        <v>26858.151633156023</v>
      </c>
      <c r="AY37" s="34">
        <f t="shared" si="47"/>
        <v>10.857040274174949</v>
      </c>
      <c r="AZ37" s="37">
        <f t="shared" si="48"/>
        <v>-3.9931489249871947E-14</v>
      </c>
      <c r="BA37" s="37">
        <f t="shared" si="49"/>
        <v>0</v>
      </c>
      <c r="BB37" s="35">
        <f t="shared" si="50"/>
        <v>5.6822082023177956E-4</v>
      </c>
      <c r="BC37" s="31">
        <f t="shared" si="51"/>
        <v>0.98142865109311184</v>
      </c>
      <c r="BD37" s="34">
        <f t="shared" si="52"/>
        <v>26370.014938572669</v>
      </c>
    </row>
    <row r="38" spans="1:56" x14ac:dyDescent="0.2">
      <c r="A38" s="27">
        <f t="shared" si="53"/>
        <v>34</v>
      </c>
      <c r="B38" s="28">
        <f t="shared" si="0"/>
        <v>34</v>
      </c>
      <c r="C38" s="27">
        <f t="shared" si="1"/>
        <v>2</v>
      </c>
      <c r="D38" s="28">
        <f t="shared" si="2"/>
        <v>22</v>
      </c>
      <c r="E38" s="29">
        <f t="shared" si="3"/>
        <v>0</v>
      </c>
      <c r="F38" s="30">
        <f t="shared" si="4"/>
        <v>3.0291899158048141E-4</v>
      </c>
      <c r="G38" s="31">
        <f t="shared" si="5"/>
        <v>2.5246754695840146E-5</v>
      </c>
      <c r="H38" s="32">
        <f t="shared" si="6"/>
        <v>6.0000000000000005E-2</v>
      </c>
      <c r="I38" s="32">
        <f t="shared" si="7"/>
        <v>0</v>
      </c>
      <c r="J38" s="33">
        <f t="shared" si="54"/>
        <v>78.578908331913667</v>
      </c>
      <c r="K38" s="30">
        <f t="shared" si="8"/>
        <v>0</v>
      </c>
      <c r="L38" s="33">
        <f t="shared" si="9"/>
        <v>78.578908331913667</v>
      </c>
      <c r="M38" s="30">
        <f t="shared" si="10"/>
        <v>0</v>
      </c>
      <c r="N38" s="33">
        <f t="shared" si="11"/>
        <v>78.578908331913667</v>
      </c>
      <c r="O38" s="31">
        <f t="shared" si="12"/>
        <v>1.9838624229227336E-3</v>
      </c>
      <c r="P38" s="33">
        <f t="shared" si="13"/>
        <v>0.4041221308317734</v>
      </c>
      <c r="Q38" s="34">
        <f t="shared" si="55"/>
        <v>462583.35811548203</v>
      </c>
      <c r="R38" s="29">
        <f t="shared" si="14"/>
        <v>0</v>
      </c>
      <c r="S38" s="34">
        <f t="shared" si="15"/>
        <v>462583.35811548203</v>
      </c>
      <c r="T38" s="29">
        <f t="shared" si="16"/>
        <v>385.48613176290172</v>
      </c>
      <c r="U38" s="29">
        <f t="shared" si="17"/>
        <v>37416.641884517972</v>
      </c>
      <c r="V38" s="35">
        <f t="shared" si="18"/>
        <v>2.7771430165424161E-5</v>
      </c>
      <c r="W38" s="34">
        <f t="shared" si="19"/>
        <v>1.0391136571205755</v>
      </c>
      <c r="X38" s="34">
        <f t="shared" si="20"/>
        <v>462196.83287006197</v>
      </c>
      <c r="Y38" s="36">
        <f t="shared" si="21"/>
        <v>-4.663849430275202E-3</v>
      </c>
      <c r="Z38" s="34">
        <f t="shared" si="22"/>
        <v>-2155.6164356560412</v>
      </c>
      <c r="AA38" s="34">
        <f t="shared" si="23"/>
        <v>461119.02465223393</v>
      </c>
      <c r="AB38" s="34">
        <f t="shared" si="24"/>
        <v>36349295.293225251</v>
      </c>
      <c r="AC38" s="34">
        <f t="shared" si="25"/>
        <v>36349295.293225251</v>
      </c>
      <c r="AD38" s="34">
        <f t="shared" si="26"/>
        <v>36349295.293225251</v>
      </c>
      <c r="AE38" s="34">
        <f t="shared" si="27"/>
        <v>0</v>
      </c>
      <c r="AF38" s="34">
        <f t="shared" si="28"/>
        <v>0</v>
      </c>
      <c r="AG38" s="29">
        <f t="shared" si="29"/>
        <v>500000</v>
      </c>
      <c r="AH38" s="34">
        <f t="shared" si="30"/>
        <v>991.93121146136684</v>
      </c>
      <c r="AI38" s="34">
        <f t="shared" si="31"/>
        <v>914.79670550234857</v>
      </c>
      <c r="AJ38" s="34">
        <f t="shared" si="32"/>
        <v>186348.40280952983</v>
      </c>
      <c r="AK38" s="34">
        <f t="shared" si="33"/>
        <v>0</v>
      </c>
      <c r="AL38" s="34">
        <f t="shared" si="34"/>
        <v>186348.40280952983</v>
      </c>
      <c r="AM38" s="34">
        <f t="shared" si="35"/>
        <v>0</v>
      </c>
      <c r="AN38" s="34">
        <f t="shared" si="36"/>
        <v>187340.3340209912</v>
      </c>
      <c r="AO38" s="34">
        <f t="shared" si="37"/>
        <v>77.13450595901827</v>
      </c>
      <c r="AP38" s="34">
        <f t="shared" si="38"/>
        <v>81.652416809317273</v>
      </c>
      <c r="AQ38" s="34">
        <f t="shared" si="39"/>
        <v>30291.079411021048</v>
      </c>
      <c r="AR38" s="34">
        <f t="shared" si="40"/>
        <v>-168948.28191934343</v>
      </c>
      <c r="AS38" s="30">
        <f t="shared" si="41"/>
        <v>1.0285937767062674</v>
      </c>
      <c r="AT38" s="29">
        <f t="shared" si="42"/>
        <v>3367.7406704407776</v>
      </c>
      <c r="AU38" s="29">
        <f t="shared" si="43"/>
        <v>0</v>
      </c>
      <c r="AV38" s="34">
        <f t="shared" si="44"/>
        <v>-386584.21326220781</v>
      </c>
      <c r="AW38" s="34">
        <f t="shared" si="45"/>
        <v>26927.856651432405</v>
      </c>
      <c r="AX38" s="29">
        <f t="shared" si="46"/>
        <v>26923.338740580271</v>
      </c>
      <c r="AY38" s="34">
        <f t="shared" si="47"/>
        <v>4.5179108502990033</v>
      </c>
      <c r="AZ38" s="37">
        <f t="shared" si="48"/>
        <v>6.8120955976472529E-14</v>
      </c>
      <c r="BA38" s="37">
        <f t="shared" si="49"/>
        <v>0</v>
      </c>
      <c r="BB38" s="35">
        <f t="shared" si="50"/>
        <v>5.6822082023177956E-4</v>
      </c>
      <c r="BC38" s="31">
        <f t="shared" si="51"/>
        <v>0.980871299598712</v>
      </c>
      <c r="BD38" s="34">
        <f t="shared" si="52"/>
        <v>26412.761749098325</v>
      </c>
    </row>
    <row r="39" spans="1:56" x14ac:dyDescent="0.2">
      <c r="A39" s="27">
        <f t="shared" si="53"/>
        <v>35</v>
      </c>
      <c r="B39" s="28">
        <f t="shared" si="0"/>
        <v>35</v>
      </c>
      <c r="C39" s="27">
        <f t="shared" si="1"/>
        <v>2</v>
      </c>
      <c r="D39" s="28">
        <f t="shared" si="2"/>
        <v>22</v>
      </c>
      <c r="E39" s="29">
        <f t="shared" si="3"/>
        <v>0</v>
      </c>
      <c r="F39" s="30">
        <f t="shared" si="4"/>
        <v>3.0291899158048141E-4</v>
      </c>
      <c r="G39" s="31">
        <f t="shared" si="5"/>
        <v>2.5246754695840146E-5</v>
      </c>
      <c r="H39" s="32">
        <f t="shared" si="6"/>
        <v>6.0000000000000005E-2</v>
      </c>
      <c r="I39" s="32">
        <f t="shared" si="7"/>
        <v>0</v>
      </c>
      <c r="J39" s="33">
        <f t="shared" si="54"/>
        <v>78.172802338658968</v>
      </c>
      <c r="K39" s="30">
        <f t="shared" si="8"/>
        <v>0</v>
      </c>
      <c r="L39" s="33">
        <f t="shared" si="9"/>
        <v>78.172802338658968</v>
      </c>
      <c r="M39" s="30">
        <f t="shared" si="10"/>
        <v>0</v>
      </c>
      <c r="N39" s="33">
        <f t="shared" si="11"/>
        <v>78.172802338658968</v>
      </c>
      <c r="O39" s="31">
        <f t="shared" si="12"/>
        <v>1.973609564530522E-3</v>
      </c>
      <c r="P39" s="33">
        <f t="shared" si="13"/>
        <v>0.40203357522796651</v>
      </c>
      <c r="Q39" s="34">
        <f t="shared" si="55"/>
        <v>460041.21643440594</v>
      </c>
      <c r="R39" s="29">
        <f t="shared" si="14"/>
        <v>0</v>
      </c>
      <c r="S39" s="34">
        <f t="shared" si="15"/>
        <v>460041.21643440594</v>
      </c>
      <c r="T39" s="29">
        <f t="shared" si="16"/>
        <v>383.36768036200499</v>
      </c>
      <c r="U39" s="29">
        <f t="shared" si="17"/>
        <v>39958.783565594058</v>
      </c>
      <c r="V39" s="35">
        <f t="shared" si="18"/>
        <v>2.7771430165424161E-5</v>
      </c>
      <c r="W39" s="34">
        <f t="shared" si="19"/>
        <v>1.1097125672871941</v>
      </c>
      <c r="X39" s="34">
        <f t="shared" si="20"/>
        <v>459656.73904147663</v>
      </c>
      <c r="Y39" s="36">
        <f t="shared" si="21"/>
        <v>-6.7811496603151777E-3</v>
      </c>
      <c r="Z39" s="34">
        <f t="shared" si="22"/>
        <v>-3117.0011398126917</v>
      </c>
      <c r="AA39" s="34">
        <f t="shared" si="23"/>
        <v>458098.23847157031</v>
      </c>
      <c r="AB39" s="34">
        <f t="shared" si="24"/>
        <v>35962711.079963043</v>
      </c>
      <c r="AC39" s="34">
        <f t="shared" si="25"/>
        <v>35962711.079963043</v>
      </c>
      <c r="AD39" s="34">
        <f t="shared" si="26"/>
        <v>35962711.079963043</v>
      </c>
      <c r="AE39" s="34">
        <f t="shared" si="27"/>
        <v>0</v>
      </c>
      <c r="AF39" s="34">
        <f t="shared" si="28"/>
        <v>0</v>
      </c>
      <c r="AG39" s="29">
        <f t="shared" si="29"/>
        <v>500000</v>
      </c>
      <c r="AH39" s="34">
        <f t="shared" si="30"/>
        <v>986.804782265261</v>
      </c>
      <c r="AI39" s="34">
        <f t="shared" si="31"/>
        <v>904.10706494207511</v>
      </c>
      <c r="AJ39" s="34">
        <f t="shared" si="32"/>
        <v>184170.87261835899</v>
      </c>
      <c r="AK39" s="34">
        <f t="shared" si="33"/>
        <v>0</v>
      </c>
      <c r="AL39" s="34">
        <f t="shared" si="34"/>
        <v>184170.87261835899</v>
      </c>
      <c r="AM39" s="34">
        <f t="shared" si="35"/>
        <v>0</v>
      </c>
      <c r="AN39" s="34">
        <f t="shared" si="36"/>
        <v>185157.67740062426</v>
      </c>
      <c r="AO39" s="34">
        <f t="shared" si="37"/>
        <v>82.697717323185898</v>
      </c>
      <c r="AP39" s="34">
        <f t="shared" si="38"/>
        <v>86.749341175267617</v>
      </c>
      <c r="AQ39" s="34">
        <f t="shared" si="39"/>
        <v>29968.925899969207</v>
      </c>
      <c r="AR39" s="34">
        <f t="shared" si="40"/>
        <v>-243035.06856420691</v>
      </c>
      <c r="AS39" s="30">
        <f t="shared" si="41"/>
        <v>1.0294470344482245</v>
      </c>
      <c r="AT39" s="29">
        <f t="shared" si="42"/>
        <v>3353.1149809183207</v>
      </c>
      <c r="AU39" s="29">
        <f t="shared" si="43"/>
        <v>0</v>
      </c>
      <c r="AV39" s="34">
        <f t="shared" si="44"/>
        <v>-458165.72348865122</v>
      </c>
      <c r="AW39" s="34">
        <f t="shared" si="45"/>
        <v>26619.862542901712</v>
      </c>
      <c r="AX39" s="29">
        <f t="shared" si="46"/>
        <v>26615.810919050884</v>
      </c>
      <c r="AY39" s="34">
        <f t="shared" si="47"/>
        <v>4.0516238520817183</v>
      </c>
      <c r="AZ39" s="37">
        <f t="shared" si="48"/>
        <v>-4.7095720383778606E-14</v>
      </c>
      <c r="BA39" s="37">
        <f t="shared" si="49"/>
        <v>0</v>
      </c>
      <c r="BB39" s="35">
        <f t="shared" si="50"/>
        <v>5.6822082023177956E-4</v>
      </c>
      <c r="BC39" s="31">
        <f t="shared" si="51"/>
        <v>0.98031426462318283</v>
      </c>
      <c r="BD39" s="34">
        <f t="shared" si="52"/>
        <v>26095.830973114902</v>
      </c>
    </row>
    <row r="40" spans="1:56" x14ac:dyDescent="0.2">
      <c r="A40" s="27">
        <f t="shared" si="53"/>
        <v>36</v>
      </c>
      <c r="B40" s="28">
        <f t="shared" si="0"/>
        <v>36</v>
      </c>
      <c r="C40" s="27">
        <f t="shared" si="1"/>
        <v>3</v>
      </c>
      <c r="D40" s="28">
        <f t="shared" si="2"/>
        <v>23</v>
      </c>
      <c r="E40" s="29">
        <f t="shared" si="3"/>
        <v>0</v>
      </c>
      <c r="F40" s="30">
        <f t="shared" si="4"/>
        <v>3.4098638547795489E-4</v>
      </c>
      <c r="G40" s="31">
        <f t="shared" si="5"/>
        <v>2.8419974024473937E-5</v>
      </c>
      <c r="H40" s="32">
        <f t="shared" si="6"/>
        <v>4.0000000000000008E-2</v>
      </c>
      <c r="I40" s="32">
        <f t="shared" si="7"/>
        <v>0</v>
      </c>
      <c r="J40" s="33">
        <f t="shared" si="54"/>
        <v>77.768795153866478</v>
      </c>
      <c r="K40" s="30">
        <f t="shared" si="8"/>
        <v>0</v>
      </c>
      <c r="L40" s="33">
        <f t="shared" si="9"/>
        <v>77.768795153866478</v>
      </c>
      <c r="M40" s="30">
        <f t="shared" si="10"/>
        <v>0</v>
      </c>
      <c r="N40" s="33">
        <f t="shared" si="11"/>
        <v>77.768795153866478</v>
      </c>
      <c r="O40" s="31">
        <f t="shared" si="12"/>
        <v>2.2101871381875198E-3</v>
      </c>
      <c r="P40" s="33">
        <f t="shared" si="13"/>
        <v>0.26409945964515175</v>
      </c>
      <c r="Q40" s="34">
        <f t="shared" si="55"/>
        <v>456539.73790166393</v>
      </c>
      <c r="R40" s="29">
        <f t="shared" si="14"/>
        <v>0</v>
      </c>
      <c r="S40" s="34">
        <f t="shared" si="15"/>
        <v>456539.73790166393</v>
      </c>
      <c r="T40" s="29">
        <f t="shared" si="16"/>
        <v>380.44978158471997</v>
      </c>
      <c r="U40" s="29">
        <f t="shared" si="17"/>
        <v>43460.262098336068</v>
      </c>
      <c r="V40" s="35">
        <f t="shared" si="18"/>
        <v>3.1261971426921337E-5</v>
      </c>
      <c r="W40" s="34">
        <f t="shared" si="19"/>
        <v>1.3586534719246945</v>
      </c>
      <c r="X40" s="34">
        <f t="shared" si="20"/>
        <v>456157.92946660728</v>
      </c>
      <c r="Y40" s="36">
        <f t="shared" si="21"/>
        <v>1.5809595908769847E-2</v>
      </c>
      <c r="Z40" s="34">
        <f t="shared" si="22"/>
        <v>7211.6725354481987</v>
      </c>
      <c r="AA40" s="34">
        <f t="shared" si="23"/>
        <v>459763.76573433139</v>
      </c>
      <c r="AB40" s="34">
        <f t="shared" si="24"/>
        <v>35504545.356474392</v>
      </c>
      <c r="AC40" s="34">
        <f t="shared" si="25"/>
        <v>35504545.356474392</v>
      </c>
      <c r="AD40" s="34">
        <f t="shared" si="26"/>
        <v>35504545.356474392</v>
      </c>
      <c r="AE40" s="34">
        <f t="shared" si="27"/>
        <v>0</v>
      </c>
      <c r="AF40" s="34">
        <f t="shared" si="28"/>
        <v>0</v>
      </c>
      <c r="AG40" s="29">
        <f t="shared" si="29"/>
        <v>500000</v>
      </c>
      <c r="AH40" s="34">
        <f t="shared" si="30"/>
        <v>1105.0935690937599</v>
      </c>
      <c r="AI40" s="34">
        <f t="shared" si="31"/>
        <v>1016.1639616306792</v>
      </c>
      <c r="AJ40" s="34">
        <f t="shared" si="32"/>
        <v>121423.36209485706</v>
      </c>
      <c r="AK40" s="34">
        <f t="shared" si="33"/>
        <v>0</v>
      </c>
      <c r="AL40" s="34">
        <f t="shared" si="34"/>
        <v>121423.36209485706</v>
      </c>
      <c r="AM40" s="34">
        <f t="shared" si="35"/>
        <v>0</v>
      </c>
      <c r="AN40" s="34">
        <f t="shared" si="36"/>
        <v>122528.45566395082</v>
      </c>
      <c r="AO40" s="34">
        <f t="shared" si="37"/>
        <v>88.929607463080728</v>
      </c>
      <c r="AP40" s="34">
        <f t="shared" si="38"/>
        <v>105.66084354320105</v>
      </c>
      <c r="AQ40" s="34">
        <f t="shared" si="39"/>
        <v>29587.121130395331</v>
      </c>
      <c r="AR40" s="34">
        <f t="shared" si="40"/>
        <v>559882.81514321966</v>
      </c>
      <c r="AS40" s="30">
        <f t="shared" si="41"/>
        <v>1.0303009999999999</v>
      </c>
      <c r="AT40" s="29">
        <f t="shared" si="42"/>
        <v>3338.5528089926574</v>
      </c>
      <c r="AU40" s="29">
        <f t="shared" si="43"/>
        <v>0</v>
      </c>
      <c r="AV40" s="34">
        <f t="shared" si="44"/>
        <v>407750.50711279362</v>
      </c>
      <c r="AW40" s="34">
        <f t="shared" si="45"/>
        <v>26265.299557482533</v>
      </c>
      <c r="AX40" s="29">
        <f t="shared" si="46"/>
        <v>26248.568321402672</v>
      </c>
      <c r="AY40" s="34">
        <f t="shared" si="47"/>
        <v>16.731236080120325</v>
      </c>
      <c r="AZ40" s="37">
        <f t="shared" si="48"/>
        <v>-9.890945065372327E-15</v>
      </c>
      <c r="BA40" s="37">
        <f t="shared" si="49"/>
        <v>0</v>
      </c>
      <c r="BB40" s="35">
        <f t="shared" si="50"/>
        <v>6.5430687736722781E-4</v>
      </c>
      <c r="BC40" s="31">
        <f t="shared" si="51"/>
        <v>0.97672773056559192</v>
      </c>
      <c r="BD40" s="34">
        <f t="shared" si="52"/>
        <v>25654.04642940536</v>
      </c>
    </row>
    <row r="41" spans="1:56" x14ac:dyDescent="0.2">
      <c r="A41" s="27">
        <f t="shared" si="53"/>
        <v>37</v>
      </c>
      <c r="B41" s="28">
        <f t="shared" si="0"/>
        <v>37</v>
      </c>
      <c r="C41" s="27">
        <f t="shared" si="1"/>
        <v>3</v>
      </c>
      <c r="D41" s="28">
        <f t="shared" si="2"/>
        <v>23</v>
      </c>
      <c r="E41" s="29">
        <f t="shared" si="3"/>
        <v>0</v>
      </c>
      <c r="F41" s="30">
        <f t="shared" si="4"/>
        <v>3.4098638547795489E-4</v>
      </c>
      <c r="G41" s="31">
        <f t="shared" si="5"/>
        <v>2.8419974024473937E-5</v>
      </c>
      <c r="H41" s="32">
        <f t="shared" si="6"/>
        <v>4.0000000000000008E-2</v>
      </c>
      <c r="I41" s="32">
        <f t="shared" si="7"/>
        <v>0</v>
      </c>
      <c r="J41" s="33">
        <f t="shared" si="54"/>
        <v>77.502485507083136</v>
      </c>
      <c r="K41" s="30">
        <f t="shared" si="8"/>
        <v>0</v>
      </c>
      <c r="L41" s="33">
        <f t="shared" si="9"/>
        <v>77.502485507083136</v>
      </c>
      <c r="M41" s="30">
        <f t="shared" si="10"/>
        <v>0</v>
      </c>
      <c r="N41" s="33">
        <f t="shared" si="11"/>
        <v>77.502485507083136</v>
      </c>
      <c r="O41" s="31">
        <f t="shared" si="12"/>
        <v>2.2026186249434706E-3</v>
      </c>
      <c r="P41" s="33">
        <f t="shared" si="13"/>
        <v>0.2631950836203642</v>
      </c>
      <c r="Q41" s="34">
        <f t="shared" si="55"/>
        <v>463369.6020020555</v>
      </c>
      <c r="R41" s="29">
        <f t="shared" si="14"/>
        <v>0</v>
      </c>
      <c r="S41" s="34">
        <f t="shared" si="15"/>
        <v>463369.6020020555</v>
      </c>
      <c r="T41" s="29">
        <f t="shared" si="16"/>
        <v>386.14133500171295</v>
      </c>
      <c r="U41" s="29">
        <f t="shared" si="17"/>
        <v>36630.397997944499</v>
      </c>
      <c r="V41" s="35">
        <f t="shared" si="18"/>
        <v>3.1261971426921337E-5</v>
      </c>
      <c r="W41" s="34">
        <f t="shared" si="19"/>
        <v>1.1451384555684974</v>
      </c>
      <c r="X41" s="34">
        <f t="shared" si="20"/>
        <v>462982.31552859821</v>
      </c>
      <c r="Y41" s="36">
        <f t="shared" si="21"/>
        <v>-5.429410740034335E-3</v>
      </c>
      <c r="Z41" s="34">
        <f t="shared" si="22"/>
        <v>-2513.7211563769365</v>
      </c>
      <c r="AA41" s="34">
        <f t="shared" si="23"/>
        <v>461725.45495040977</v>
      </c>
      <c r="AB41" s="34">
        <f t="shared" si="24"/>
        <v>35912295.863587186</v>
      </c>
      <c r="AC41" s="34">
        <f t="shared" si="25"/>
        <v>35912295.863587186</v>
      </c>
      <c r="AD41" s="34">
        <f t="shared" si="26"/>
        <v>35912295.863587186</v>
      </c>
      <c r="AE41" s="34">
        <f t="shared" si="27"/>
        <v>0</v>
      </c>
      <c r="AF41" s="34">
        <f t="shared" si="28"/>
        <v>0</v>
      </c>
      <c r="AG41" s="29">
        <f t="shared" si="29"/>
        <v>500000</v>
      </c>
      <c r="AH41" s="34">
        <f t="shared" si="30"/>
        <v>1101.3093124717352</v>
      </c>
      <c r="AI41" s="34">
        <f t="shared" si="31"/>
        <v>1017.0050866842699</v>
      </c>
      <c r="AJ41" s="34">
        <f t="shared" si="32"/>
        <v>121523.86972532381</v>
      </c>
      <c r="AK41" s="34">
        <f t="shared" si="33"/>
        <v>0</v>
      </c>
      <c r="AL41" s="34">
        <f t="shared" si="34"/>
        <v>121523.86972532381</v>
      </c>
      <c r="AM41" s="34">
        <f t="shared" si="35"/>
        <v>0</v>
      </c>
      <c r="AN41" s="34">
        <f t="shared" si="36"/>
        <v>122625.17903779555</v>
      </c>
      <c r="AO41" s="34">
        <f t="shared" si="37"/>
        <v>84.304225787465356</v>
      </c>
      <c r="AP41" s="34">
        <f t="shared" si="38"/>
        <v>88.75107655630103</v>
      </c>
      <c r="AQ41" s="34">
        <f t="shared" si="39"/>
        <v>29926.913219655991</v>
      </c>
      <c r="AR41" s="34">
        <f t="shared" si="40"/>
        <v>-194486.06958145785</v>
      </c>
      <c r="AS41" s="30">
        <f t="shared" si="41"/>
        <v>1.0311556739487491</v>
      </c>
      <c r="AT41" s="29">
        <f t="shared" si="42"/>
        <v>3329.8803198233113</v>
      </c>
      <c r="AU41" s="29">
        <f t="shared" si="43"/>
        <v>0</v>
      </c>
      <c r="AV41" s="34">
        <f t="shared" si="44"/>
        <v>-347042.6086896807</v>
      </c>
      <c r="AW41" s="34">
        <f t="shared" si="45"/>
        <v>26601.479750603961</v>
      </c>
      <c r="AX41" s="29">
        <f t="shared" si="46"/>
        <v>26597.03289983268</v>
      </c>
      <c r="AY41" s="34">
        <f t="shared" si="47"/>
        <v>4.4468507688356738</v>
      </c>
      <c r="AZ41" s="37">
        <f t="shared" si="48"/>
        <v>9.1919883794074724E-14</v>
      </c>
      <c r="BA41" s="37">
        <f t="shared" si="49"/>
        <v>-2.0746600621761554E-16</v>
      </c>
      <c r="BB41" s="35">
        <f t="shared" si="50"/>
        <v>6.5430687736722781E-4</v>
      </c>
      <c r="BC41" s="31">
        <f t="shared" si="51"/>
        <v>0.97608906877496926</v>
      </c>
      <c r="BD41" s="34">
        <f t="shared" si="52"/>
        <v>25965.413597803221</v>
      </c>
    </row>
    <row r="42" spans="1:56" x14ac:dyDescent="0.2">
      <c r="A42" s="27">
        <f t="shared" si="53"/>
        <v>38</v>
      </c>
      <c r="B42" s="28">
        <f t="shared" si="0"/>
        <v>38</v>
      </c>
      <c r="C42" s="27">
        <f t="shared" si="1"/>
        <v>3</v>
      </c>
      <c r="D42" s="28">
        <f t="shared" si="2"/>
        <v>23</v>
      </c>
      <c r="E42" s="29">
        <f t="shared" si="3"/>
        <v>0</v>
      </c>
      <c r="F42" s="30">
        <f t="shared" si="4"/>
        <v>3.4098638547795489E-4</v>
      </c>
      <c r="G42" s="31">
        <f t="shared" si="5"/>
        <v>2.8419974024473937E-5</v>
      </c>
      <c r="H42" s="32">
        <f t="shared" si="6"/>
        <v>4.0000000000000008E-2</v>
      </c>
      <c r="I42" s="32">
        <f t="shared" si="7"/>
        <v>0</v>
      </c>
      <c r="J42" s="33">
        <f t="shared" si="54"/>
        <v>77.237087804837827</v>
      </c>
      <c r="K42" s="30">
        <f t="shared" si="8"/>
        <v>0</v>
      </c>
      <c r="L42" s="33">
        <f t="shared" si="9"/>
        <v>77.237087804837827</v>
      </c>
      <c r="M42" s="30">
        <f t="shared" si="10"/>
        <v>0</v>
      </c>
      <c r="N42" s="33">
        <f t="shared" si="11"/>
        <v>77.237087804837827</v>
      </c>
      <c r="O42" s="31">
        <f t="shared" si="12"/>
        <v>2.195076029139504E-3</v>
      </c>
      <c r="P42" s="33">
        <f t="shared" si="13"/>
        <v>0.26229380451972528</v>
      </c>
      <c r="Q42" s="34">
        <f t="shared" si="55"/>
        <v>460468.59437222127</v>
      </c>
      <c r="R42" s="29">
        <f t="shared" si="14"/>
        <v>0</v>
      </c>
      <c r="S42" s="34">
        <f t="shared" si="15"/>
        <v>460468.59437222127</v>
      </c>
      <c r="T42" s="29">
        <f t="shared" si="16"/>
        <v>383.72382864351772</v>
      </c>
      <c r="U42" s="29">
        <f t="shared" si="17"/>
        <v>39531.405627778731</v>
      </c>
      <c r="V42" s="35">
        <f t="shared" si="18"/>
        <v>3.1261971426921337E-5</v>
      </c>
      <c r="W42" s="34">
        <f t="shared" si="19"/>
        <v>1.235829673201656</v>
      </c>
      <c r="X42" s="34">
        <f t="shared" si="20"/>
        <v>460083.63471390458</v>
      </c>
      <c r="Y42" s="36">
        <f t="shared" si="21"/>
        <v>-5.055891963733794E-3</v>
      </c>
      <c r="Z42" s="34">
        <f t="shared" si="22"/>
        <v>-2326.1331513954647</v>
      </c>
      <c r="AA42" s="34">
        <f t="shared" si="23"/>
        <v>458920.56813820684</v>
      </c>
      <c r="AB42" s="34">
        <f t="shared" si="24"/>
        <v>35565253.254897505</v>
      </c>
      <c r="AC42" s="34">
        <f t="shared" si="25"/>
        <v>35565253.254897505</v>
      </c>
      <c r="AD42" s="34">
        <f t="shared" si="26"/>
        <v>35565253.254897505</v>
      </c>
      <c r="AE42" s="34">
        <f t="shared" si="27"/>
        <v>0</v>
      </c>
      <c r="AF42" s="34">
        <f t="shared" si="28"/>
        <v>0</v>
      </c>
      <c r="AG42" s="29">
        <f t="shared" si="29"/>
        <v>500000</v>
      </c>
      <c r="AH42" s="34">
        <f t="shared" si="30"/>
        <v>1097.538014569752</v>
      </c>
      <c r="AI42" s="34">
        <f t="shared" si="31"/>
        <v>1007.3655383992602</v>
      </c>
      <c r="AJ42" s="34">
        <f t="shared" si="32"/>
        <v>120372.02178932409</v>
      </c>
      <c r="AK42" s="34">
        <f t="shared" si="33"/>
        <v>0</v>
      </c>
      <c r="AL42" s="34">
        <f t="shared" si="34"/>
        <v>120372.02178932409</v>
      </c>
      <c r="AM42" s="34">
        <f t="shared" si="35"/>
        <v>0</v>
      </c>
      <c r="AN42" s="34">
        <f t="shared" si="36"/>
        <v>121469.55980389385</v>
      </c>
      <c r="AO42" s="34">
        <f t="shared" si="37"/>
        <v>90.172476170491748</v>
      </c>
      <c r="AP42" s="34">
        <f t="shared" si="38"/>
        <v>95.451884980900346</v>
      </c>
      <c r="AQ42" s="34">
        <f t="shared" si="39"/>
        <v>29637.711045747921</v>
      </c>
      <c r="AR42" s="34">
        <f t="shared" si="40"/>
        <v>-179356.13228346553</v>
      </c>
      <c r="AS42" s="30">
        <f t="shared" si="41"/>
        <v>1.0320110568821139</v>
      </c>
      <c r="AT42" s="29">
        <f t="shared" si="42"/>
        <v>3321.2303589986377</v>
      </c>
      <c r="AU42" s="29">
        <f t="shared" si="43"/>
        <v>0</v>
      </c>
      <c r="AV42" s="34">
        <f t="shared" si="44"/>
        <v>-330468.68254191428</v>
      </c>
      <c r="AW42" s="34">
        <f t="shared" si="45"/>
        <v>26321.760095556267</v>
      </c>
      <c r="AX42" s="29">
        <f t="shared" si="46"/>
        <v>26316.480686749284</v>
      </c>
      <c r="AY42" s="34">
        <f t="shared" si="47"/>
        <v>5.2794088104085972</v>
      </c>
      <c r="AZ42" s="37">
        <f t="shared" si="48"/>
        <v>-1.3017179498005429E-13</v>
      </c>
      <c r="BA42" s="37">
        <f t="shared" si="49"/>
        <v>0</v>
      </c>
      <c r="BB42" s="35">
        <f t="shared" si="50"/>
        <v>6.5430687736722781E-4</v>
      </c>
      <c r="BC42" s="31">
        <f t="shared" si="51"/>
        <v>0.97545082459190524</v>
      </c>
      <c r="BD42" s="34">
        <f t="shared" si="52"/>
        <v>25675.582589920668</v>
      </c>
    </row>
    <row r="43" spans="1:56" x14ac:dyDescent="0.2">
      <c r="A43" s="27">
        <f t="shared" si="53"/>
        <v>39</v>
      </c>
      <c r="B43" s="28">
        <f t="shared" si="0"/>
        <v>39</v>
      </c>
      <c r="C43" s="27">
        <f t="shared" si="1"/>
        <v>3</v>
      </c>
      <c r="D43" s="28">
        <f t="shared" si="2"/>
        <v>23</v>
      </c>
      <c r="E43" s="29">
        <f t="shared" si="3"/>
        <v>0</v>
      </c>
      <c r="F43" s="30">
        <f t="shared" si="4"/>
        <v>3.4098638547795489E-4</v>
      </c>
      <c r="G43" s="31">
        <f t="shared" si="5"/>
        <v>2.8419974024473937E-5</v>
      </c>
      <c r="H43" s="32">
        <f t="shared" si="6"/>
        <v>4.0000000000000008E-2</v>
      </c>
      <c r="I43" s="32">
        <f t="shared" si="7"/>
        <v>0</v>
      </c>
      <c r="J43" s="33">
        <f t="shared" si="54"/>
        <v>76.97259892428896</v>
      </c>
      <c r="K43" s="30">
        <f t="shared" si="8"/>
        <v>0</v>
      </c>
      <c r="L43" s="33">
        <f t="shared" si="9"/>
        <v>76.97259892428896</v>
      </c>
      <c r="M43" s="30">
        <f t="shared" si="10"/>
        <v>0</v>
      </c>
      <c r="N43" s="33">
        <f t="shared" si="11"/>
        <v>76.97259892428896</v>
      </c>
      <c r="O43" s="31">
        <f t="shared" si="12"/>
        <v>2.1875592620245426E-3</v>
      </c>
      <c r="P43" s="33">
        <f t="shared" si="13"/>
        <v>0.26139561173820014</v>
      </c>
      <c r="Q43" s="34">
        <f t="shared" si="55"/>
        <v>457757.5015625091</v>
      </c>
      <c r="R43" s="29">
        <f t="shared" si="14"/>
        <v>0</v>
      </c>
      <c r="S43" s="34">
        <f t="shared" si="15"/>
        <v>457757.5015625091</v>
      </c>
      <c r="T43" s="29">
        <f t="shared" si="16"/>
        <v>381.46458463542427</v>
      </c>
      <c r="U43" s="29">
        <f t="shared" si="17"/>
        <v>42242.498437490896</v>
      </c>
      <c r="V43" s="35">
        <f t="shared" si="18"/>
        <v>3.1261971426921337E-5</v>
      </c>
      <c r="W43" s="34">
        <f t="shared" si="19"/>
        <v>1.3205837791546096</v>
      </c>
      <c r="X43" s="34">
        <f t="shared" si="20"/>
        <v>457374.71639409458</v>
      </c>
      <c r="Y43" s="36">
        <f t="shared" si="21"/>
        <v>1.3647581052773861E-2</v>
      </c>
      <c r="Z43" s="34">
        <f t="shared" si="22"/>
        <v>6242.058513477863</v>
      </c>
      <c r="AA43" s="34">
        <f t="shared" si="23"/>
        <v>460495.74565083353</v>
      </c>
      <c r="AB43" s="34">
        <f t="shared" si="24"/>
        <v>35234784.572355591</v>
      </c>
      <c r="AC43" s="34">
        <f t="shared" si="25"/>
        <v>35234784.572355591</v>
      </c>
      <c r="AD43" s="34">
        <f t="shared" si="26"/>
        <v>35234784.572355591</v>
      </c>
      <c r="AE43" s="34">
        <f t="shared" si="27"/>
        <v>0</v>
      </c>
      <c r="AF43" s="34">
        <f t="shared" si="28"/>
        <v>0</v>
      </c>
      <c r="AG43" s="29">
        <f t="shared" si="29"/>
        <v>500000</v>
      </c>
      <c r="AH43" s="34">
        <f t="shared" si="30"/>
        <v>1093.7796310122712</v>
      </c>
      <c r="AI43" s="34">
        <f t="shared" si="31"/>
        <v>1007.3617335213789</v>
      </c>
      <c r="AJ43" s="34">
        <f t="shared" si="32"/>
        <v>120371.56713723825</v>
      </c>
      <c r="AK43" s="34">
        <f t="shared" si="33"/>
        <v>0</v>
      </c>
      <c r="AL43" s="34">
        <f t="shared" si="34"/>
        <v>120371.56713723825</v>
      </c>
      <c r="AM43" s="34">
        <f t="shared" si="35"/>
        <v>0</v>
      </c>
      <c r="AN43" s="34">
        <f t="shared" si="36"/>
        <v>121465.34676825051</v>
      </c>
      <c r="AO43" s="34">
        <f t="shared" si="37"/>
        <v>86.417897490892429</v>
      </c>
      <c r="AP43" s="34">
        <f t="shared" si="38"/>
        <v>101.64876557878955</v>
      </c>
      <c r="AQ43" s="34">
        <f t="shared" si="39"/>
        <v>29362.320476962992</v>
      </c>
      <c r="AR43" s="34">
        <f t="shared" si="40"/>
        <v>479644.81563159917</v>
      </c>
      <c r="AS43" s="30">
        <f t="shared" si="41"/>
        <v>1.0328671493882244</v>
      </c>
      <c r="AT43" s="29">
        <f t="shared" si="42"/>
        <v>3312.6028679972273</v>
      </c>
      <c r="AU43" s="29">
        <f t="shared" si="43"/>
        <v>0</v>
      </c>
      <c r="AV43" s="34">
        <f t="shared" si="44"/>
        <v>328801.9175183028</v>
      </c>
      <c r="AW43" s="34">
        <f t="shared" si="45"/>
        <v>26064.948477048601</v>
      </c>
      <c r="AX43" s="29">
        <f t="shared" si="46"/>
        <v>26049.717608965766</v>
      </c>
      <c r="AY43" s="34">
        <f t="shared" si="47"/>
        <v>15.230868087897122</v>
      </c>
      <c r="AZ43" s="37">
        <f t="shared" si="48"/>
        <v>-1.9419213608125547E-13</v>
      </c>
      <c r="BA43" s="37">
        <f t="shared" si="49"/>
        <v>2.095002594590748E-16</v>
      </c>
      <c r="BB43" s="35">
        <f t="shared" si="50"/>
        <v>6.5430687736722781E-4</v>
      </c>
      <c r="BC43" s="31">
        <f t="shared" si="51"/>
        <v>0.97481299774333507</v>
      </c>
      <c r="BD43" s="34">
        <f t="shared" si="52"/>
        <v>25408.450560937323</v>
      </c>
    </row>
    <row r="44" spans="1:56" x14ac:dyDescent="0.2">
      <c r="A44" s="27">
        <f t="shared" si="53"/>
        <v>40</v>
      </c>
      <c r="B44" s="28">
        <f t="shared" si="0"/>
        <v>40</v>
      </c>
      <c r="C44" s="27">
        <f t="shared" si="1"/>
        <v>3</v>
      </c>
      <c r="D44" s="28">
        <f t="shared" si="2"/>
        <v>23</v>
      </c>
      <c r="E44" s="29">
        <f t="shared" si="3"/>
        <v>0</v>
      </c>
      <c r="F44" s="30">
        <f t="shared" si="4"/>
        <v>3.4098638547795489E-4</v>
      </c>
      <c r="G44" s="31">
        <f t="shared" si="5"/>
        <v>2.8419974024473937E-5</v>
      </c>
      <c r="H44" s="32">
        <f t="shared" si="6"/>
        <v>4.0000000000000008E-2</v>
      </c>
      <c r="I44" s="32">
        <f t="shared" si="7"/>
        <v>0</v>
      </c>
      <c r="J44" s="33">
        <f t="shared" si="54"/>
        <v>76.709015753288739</v>
      </c>
      <c r="K44" s="30">
        <f t="shared" si="8"/>
        <v>0</v>
      </c>
      <c r="L44" s="33">
        <f t="shared" si="9"/>
        <v>76.709015753288739</v>
      </c>
      <c r="M44" s="30">
        <f t="shared" si="10"/>
        <v>0</v>
      </c>
      <c r="N44" s="33">
        <f t="shared" si="11"/>
        <v>76.709015753288739</v>
      </c>
      <c r="O44" s="31">
        <f t="shared" si="12"/>
        <v>2.1800682351514281E-3</v>
      </c>
      <c r="P44" s="33">
        <f t="shared" si="13"/>
        <v>0.26050049470706982</v>
      </c>
      <c r="Q44" s="34">
        <f t="shared" si="55"/>
        <v>463616.77490757243</v>
      </c>
      <c r="R44" s="29">
        <f t="shared" si="14"/>
        <v>0</v>
      </c>
      <c r="S44" s="34">
        <f t="shared" si="15"/>
        <v>463616.77490757243</v>
      </c>
      <c r="T44" s="29">
        <f t="shared" si="16"/>
        <v>386.34731242297704</v>
      </c>
      <c r="U44" s="29">
        <f t="shared" si="17"/>
        <v>36383.225092427572</v>
      </c>
      <c r="V44" s="35">
        <f t="shared" si="18"/>
        <v>3.1261971426921337E-5</v>
      </c>
      <c r="W44" s="34">
        <f t="shared" si="19"/>
        <v>1.1374113432587181</v>
      </c>
      <c r="X44" s="34">
        <f t="shared" si="20"/>
        <v>463229.29018380615</v>
      </c>
      <c r="Y44" s="36">
        <f t="shared" si="21"/>
        <v>3.21840465910328E-3</v>
      </c>
      <c r="Z44" s="34">
        <f t="shared" si="22"/>
        <v>1490.859305760667</v>
      </c>
      <c r="AA44" s="34">
        <f t="shared" si="23"/>
        <v>463974.71983668651</v>
      </c>
      <c r="AB44" s="34">
        <f t="shared" si="24"/>
        <v>35563586.489873894</v>
      </c>
      <c r="AC44" s="34">
        <f t="shared" si="25"/>
        <v>35563586.489873894</v>
      </c>
      <c r="AD44" s="34">
        <f t="shared" si="26"/>
        <v>35563586.489873894</v>
      </c>
      <c r="AE44" s="34">
        <f t="shared" si="27"/>
        <v>0</v>
      </c>
      <c r="AF44" s="34">
        <f t="shared" si="28"/>
        <v>0</v>
      </c>
      <c r="AG44" s="29">
        <f t="shared" si="29"/>
        <v>500000</v>
      </c>
      <c r="AH44" s="34">
        <f t="shared" si="30"/>
        <v>1090.0341175757142</v>
      </c>
      <c r="AI44" s="34">
        <f t="shared" si="31"/>
        <v>1011.4965486292434</v>
      </c>
      <c r="AJ44" s="34">
        <f t="shared" si="32"/>
        <v>120865.64404903096</v>
      </c>
      <c r="AK44" s="34">
        <f t="shared" si="33"/>
        <v>0</v>
      </c>
      <c r="AL44" s="34">
        <f t="shared" si="34"/>
        <v>120865.64404903096</v>
      </c>
      <c r="AM44" s="34">
        <f t="shared" si="35"/>
        <v>0</v>
      </c>
      <c r="AN44" s="34">
        <f t="shared" si="36"/>
        <v>121955.67816660668</v>
      </c>
      <c r="AO44" s="34">
        <f t="shared" si="37"/>
        <v>78.5375689464706</v>
      </c>
      <c r="AP44" s="34">
        <f t="shared" si="38"/>
        <v>87.249704648002307</v>
      </c>
      <c r="AQ44" s="34">
        <f t="shared" si="39"/>
        <v>29636.322074894913</v>
      </c>
      <c r="AR44" s="34">
        <f t="shared" si="40"/>
        <v>114166.54009067969</v>
      </c>
      <c r="AS44" s="30">
        <f t="shared" si="41"/>
        <v>1.033723952055698</v>
      </c>
      <c r="AT44" s="29">
        <f t="shared" si="42"/>
        <v>3303.9977884496848</v>
      </c>
      <c r="AU44" s="29">
        <f t="shared" si="43"/>
        <v>0</v>
      </c>
      <c r="AV44" s="34">
        <f t="shared" si="44"/>
        <v>-37434.172286532819</v>
      </c>
      <c r="AW44" s="34">
        <f t="shared" si="45"/>
        <v>26341.036422156139</v>
      </c>
      <c r="AX44" s="29">
        <f t="shared" si="46"/>
        <v>26332.32428644523</v>
      </c>
      <c r="AY44" s="34">
        <f t="shared" si="47"/>
        <v>8.7121357015317074</v>
      </c>
      <c r="AZ44" s="37">
        <f t="shared" si="48"/>
        <v>3.5603102494987049E-13</v>
      </c>
      <c r="BA44" s="37">
        <f t="shared" si="49"/>
        <v>0</v>
      </c>
      <c r="BB44" s="35">
        <f t="shared" si="50"/>
        <v>6.5430687736722781E-4</v>
      </c>
      <c r="BC44" s="31">
        <f t="shared" si="51"/>
        <v>0.97417558795637205</v>
      </c>
      <c r="BD44" s="34">
        <f t="shared" si="52"/>
        <v>25660.794643934169</v>
      </c>
    </row>
    <row r="45" spans="1:56" x14ac:dyDescent="0.2">
      <c r="A45" s="27">
        <f t="shared" si="53"/>
        <v>41</v>
      </c>
      <c r="B45" s="28">
        <f t="shared" si="0"/>
        <v>41</v>
      </c>
      <c r="C45" s="27">
        <f t="shared" si="1"/>
        <v>3</v>
      </c>
      <c r="D45" s="28">
        <f t="shared" si="2"/>
        <v>23</v>
      </c>
      <c r="E45" s="29">
        <f t="shared" si="3"/>
        <v>0</v>
      </c>
      <c r="F45" s="30">
        <f t="shared" si="4"/>
        <v>3.4098638547795489E-4</v>
      </c>
      <c r="G45" s="31">
        <f t="shared" si="5"/>
        <v>2.8419974024473937E-5</v>
      </c>
      <c r="H45" s="32">
        <f t="shared" si="6"/>
        <v>4.0000000000000008E-2</v>
      </c>
      <c r="I45" s="32">
        <f t="shared" si="7"/>
        <v>0</v>
      </c>
      <c r="J45" s="33">
        <f t="shared" si="54"/>
        <v>76.446335190346517</v>
      </c>
      <c r="K45" s="30">
        <f t="shared" si="8"/>
        <v>0</v>
      </c>
      <c r="L45" s="33">
        <f t="shared" si="9"/>
        <v>76.446335190346517</v>
      </c>
      <c r="M45" s="30">
        <f t="shared" si="10"/>
        <v>0</v>
      </c>
      <c r="N45" s="33">
        <f t="shared" si="11"/>
        <v>76.446335190346517</v>
      </c>
      <c r="O45" s="31">
        <f t="shared" si="12"/>
        <v>2.1726028603758761E-3</v>
      </c>
      <c r="P45" s="33">
        <f t="shared" si="13"/>
        <v>0.2596084428938063</v>
      </c>
      <c r="Q45" s="34">
        <f t="shared" si="55"/>
        <v>464720.1494895668</v>
      </c>
      <c r="R45" s="29">
        <f t="shared" si="14"/>
        <v>0</v>
      </c>
      <c r="S45" s="34">
        <f t="shared" si="15"/>
        <v>464720.1494895668</v>
      </c>
      <c r="T45" s="29">
        <f t="shared" si="16"/>
        <v>387.26679124130567</v>
      </c>
      <c r="U45" s="29">
        <f t="shared" si="17"/>
        <v>35279.8505104332</v>
      </c>
      <c r="V45" s="35">
        <f t="shared" si="18"/>
        <v>3.1261971426921337E-5</v>
      </c>
      <c r="W45" s="34">
        <f t="shared" si="19"/>
        <v>1.1029176786032189</v>
      </c>
      <c r="X45" s="34">
        <f t="shared" si="20"/>
        <v>464331.7797806469</v>
      </c>
      <c r="Y45" s="36">
        <f t="shared" si="21"/>
        <v>-1.5214347335612555E-4</v>
      </c>
      <c r="Z45" s="34">
        <f t="shared" si="22"/>
        <v>-70.645049765459206</v>
      </c>
      <c r="AA45" s="34">
        <f t="shared" si="23"/>
        <v>464296.45725576417</v>
      </c>
      <c r="AB45" s="34">
        <f t="shared" si="24"/>
        <v>35526152.317587361</v>
      </c>
      <c r="AC45" s="34">
        <f t="shared" si="25"/>
        <v>35526152.317587361</v>
      </c>
      <c r="AD45" s="34">
        <f t="shared" si="26"/>
        <v>35526152.317587361</v>
      </c>
      <c r="AE45" s="34">
        <f t="shared" si="27"/>
        <v>0</v>
      </c>
      <c r="AF45" s="34">
        <f t="shared" si="28"/>
        <v>0</v>
      </c>
      <c r="AG45" s="29">
        <f t="shared" si="29"/>
        <v>500000</v>
      </c>
      <c r="AH45" s="34">
        <f t="shared" si="30"/>
        <v>1086.301430187938</v>
      </c>
      <c r="AI45" s="34">
        <f t="shared" si="31"/>
        <v>1008.7318110962589</v>
      </c>
      <c r="AJ45" s="34">
        <f t="shared" si="32"/>
        <v>120535.28030927962</v>
      </c>
      <c r="AK45" s="34">
        <f t="shared" si="33"/>
        <v>0</v>
      </c>
      <c r="AL45" s="34">
        <f t="shared" si="34"/>
        <v>120535.28030927962</v>
      </c>
      <c r="AM45" s="34">
        <f t="shared" si="35"/>
        <v>0</v>
      </c>
      <c r="AN45" s="34">
        <f t="shared" si="36"/>
        <v>121621.58173946757</v>
      </c>
      <c r="AO45" s="34">
        <f t="shared" si="37"/>
        <v>77.569619091679129</v>
      </c>
      <c r="AP45" s="34">
        <f t="shared" si="38"/>
        <v>84.314014545860545</v>
      </c>
      <c r="AQ45" s="34">
        <f t="shared" si="39"/>
        <v>29605.126931322804</v>
      </c>
      <c r="AR45" s="34">
        <f t="shared" si="40"/>
        <v>-5391.3083864065266</v>
      </c>
      <c r="AS45" s="30">
        <f t="shared" si="41"/>
        <v>1.0345814654736409</v>
      </c>
      <c r="AT45" s="29">
        <f t="shared" si="42"/>
        <v>3295.4150621382446</v>
      </c>
      <c r="AU45" s="29">
        <f t="shared" si="43"/>
        <v>0</v>
      </c>
      <c r="AV45" s="34">
        <f t="shared" si="44"/>
        <v>-156624.76145264506</v>
      </c>
      <c r="AW45" s="34">
        <f t="shared" si="45"/>
        <v>26316.456264632725</v>
      </c>
      <c r="AX45" s="29">
        <f t="shared" si="46"/>
        <v>26309.711869184561</v>
      </c>
      <c r="AY45" s="34">
        <f t="shared" si="47"/>
        <v>6.7443954541814151</v>
      </c>
      <c r="AZ45" s="37">
        <f t="shared" si="48"/>
        <v>-2.2865061047126255E-13</v>
      </c>
      <c r="BA45" s="37">
        <f t="shared" si="49"/>
        <v>4.194420228973341E-16</v>
      </c>
      <c r="BB45" s="35">
        <f t="shared" si="50"/>
        <v>6.5430687736722781E-4</v>
      </c>
      <c r="BC45" s="31">
        <f t="shared" si="51"/>
        <v>0.97353859495830852</v>
      </c>
      <c r="BD45" s="34">
        <f t="shared" si="52"/>
        <v>25620.08585615232</v>
      </c>
    </row>
    <row r="46" spans="1:56" x14ac:dyDescent="0.2">
      <c r="A46" s="27">
        <f t="shared" si="53"/>
        <v>42</v>
      </c>
      <c r="B46" s="28">
        <f t="shared" si="0"/>
        <v>42</v>
      </c>
      <c r="C46" s="27">
        <f t="shared" si="1"/>
        <v>3</v>
      </c>
      <c r="D46" s="28">
        <f t="shared" si="2"/>
        <v>23</v>
      </c>
      <c r="E46" s="29">
        <f t="shared" si="3"/>
        <v>0</v>
      </c>
      <c r="F46" s="30">
        <f t="shared" si="4"/>
        <v>3.4098638547795489E-4</v>
      </c>
      <c r="G46" s="31">
        <f t="shared" si="5"/>
        <v>2.8419974024473937E-5</v>
      </c>
      <c r="H46" s="32">
        <f t="shared" si="6"/>
        <v>4.0000000000000008E-2</v>
      </c>
      <c r="I46" s="32">
        <f t="shared" si="7"/>
        <v>0</v>
      </c>
      <c r="J46" s="33">
        <f t="shared" si="54"/>
        <v>76.18455414459234</v>
      </c>
      <c r="K46" s="30">
        <f t="shared" si="8"/>
        <v>0</v>
      </c>
      <c r="L46" s="33">
        <f t="shared" si="9"/>
        <v>76.18455414459234</v>
      </c>
      <c r="M46" s="30">
        <f t="shared" si="10"/>
        <v>0</v>
      </c>
      <c r="N46" s="33">
        <f t="shared" si="11"/>
        <v>76.18455414459234</v>
      </c>
      <c r="O46" s="31">
        <f t="shared" si="12"/>
        <v>2.1651630498554426E-3</v>
      </c>
      <c r="P46" s="33">
        <f t="shared" si="13"/>
        <v>0.25871944580194917</v>
      </c>
      <c r="Q46" s="34">
        <f t="shared" si="55"/>
        <v>464261.13473088143</v>
      </c>
      <c r="R46" s="29">
        <f t="shared" si="14"/>
        <v>0</v>
      </c>
      <c r="S46" s="34">
        <f t="shared" si="15"/>
        <v>464261.13473088143</v>
      </c>
      <c r="T46" s="29">
        <f t="shared" si="16"/>
        <v>386.88427894240124</v>
      </c>
      <c r="U46" s="29">
        <f t="shared" si="17"/>
        <v>35738.865269118571</v>
      </c>
      <c r="V46" s="35">
        <f t="shared" si="18"/>
        <v>3.1261971426921337E-5</v>
      </c>
      <c r="W46" s="34">
        <f t="shared" si="19"/>
        <v>1.117267384873776</v>
      </c>
      <c r="X46" s="34">
        <f t="shared" si="20"/>
        <v>463873.13318455411</v>
      </c>
      <c r="Y46" s="36">
        <f t="shared" si="21"/>
        <v>5.0925036836597659E-3</v>
      </c>
      <c r="Z46" s="34">
        <f t="shared" si="22"/>
        <v>2362.2756394931389</v>
      </c>
      <c r="AA46" s="34">
        <f t="shared" si="23"/>
        <v>465054.27100430068</v>
      </c>
      <c r="AB46" s="34">
        <f t="shared" si="24"/>
        <v>35369527.556134716</v>
      </c>
      <c r="AC46" s="34">
        <f t="shared" si="25"/>
        <v>35369527.556134716</v>
      </c>
      <c r="AD46" s="34">
        <f t="shared" si="26"/>
        <v>35369527.556134716</v>
      </c>
      <c r="AE46" s="34">
        <f t="shared" si="27"/>
        <v>0</v>
      </c>
      <c r="AF46" s="34">
        <f t="shared" si="28"/>
        <v>0</v>
      </c>
      <c r="AG46" s="29">
        <f t="shared" si="29"/>
        <v>500000</v>
      </c>
      <c r="AH46" s="34">
        <f t="shared" si="30"/>
        <v>1082.5815249277214</v>
      </c>
      <c r="AI46" s="34">
        <f t="shared" si="31"/>
        <v>1006.9183237559712</v>
      </c>
      <c r="AJ46" s="34">
        <f t="shared" si="32"/>
        <v>120318.58326206215</v>
      </c>
      <c r="AK46" s="34">
        <f t="shared" si="33"/>
        <v>0</v>
      </c>
      <c r="AL46" s="34">
        <f t="shared" si="34"/>
        <v>120318.58326206215</v>
      </c>
      <c r="AM46" s="34">
        <f t="shared" si="35"/>
        <v>0</v>
      </c>
      <c r="AN46" s="34">
        <f t="shared" si="36"/>
        <v>121401.16478698987</v>
      </c>
      <c r="AO46" s="34">
        <f t="shared" si="37"/>
        <v>75.663201171750117</v>
      </c>
      <c r="AP46" s="34">
        <f t="shared" si="38"/>
        <v>85.118517576903272</v>
      </c>
      <c r="AQ46" s="34">
        <f t="shared" si="39"/>
        <v>29474.606296778933</v>
      </c>
      <c r="AR46" s="34">
        <f t="shared" si="40"/>
        <v>179660.77568331189</v>
      </c>
      <c r="AS46" s="30">
        <f t="shared" si="41"/>
        <v>1.0354396902316474</v>
      </c>
      <c r="AT46" s="29">
        <f t="shared" si="42"/>
        <v>3286.8546309963695</v>
      </c>
      <c r="AU46" s="29">
        <f t="shared" si="43"/>
        <v>0</v>
      </c>
      <c r="AV46" s="34">
        <f t="shared" si="44"/>
        <v>28775.549283139408</v>
      </c>
      <c r="AW46" s="34">
        <f t="shared" si="45"/>
        <v>26197.206982186239</v>
      </c>
      <c r="AX46" s="29">
        <f t="shared" si="46"/>
        <v>26187.751665782562</v>
      </c>
      <c r="AY46" s="34">
        <f t="shared" si="47"/>
        <v>9.4553164051531553</v>
      </c>
      <c r="AZ46" s="37">
        <f t="shared" si="48"/>
        <v>-5.6348249086251736E-14</v>
      </c>
      <c r="BA46" s="37">
        <f t="shared" si="49"/>
        <v>0</v>
      </c>
      <c r="BB46" s="35">
        <f t="shared" si="50"/>
        <v>6.5430687736722781E-4</v>
      </c>
      <c r="BC46" s="31">
        <f t="shared" si="51"/>
        <v>0.97290201847661484</v>
      </c>
      <c r="BD46" s="34">
        <f t="shared" si="52"/>
        <v>25487.315551418658</v>
      </c>
    </row>
    <row r="47" spans="1:56" x14ac:dyDescent="0.2">
      <c r="A47" s="27">
        <f t="shared" si="53"/>
        <v>43</v>
      </c>
      <c r="B47" s="28">
        <f t="shared" si="0"/>
        <v>43</v>
      </c>
      <c r="C47" s="27">
        <f t="shared" si="1"/>
        <v>3</v>
      </c>
      <c r="D47" s="28">
        <f t="shared" si="2"/>
        <v>23</v>
      </c>
      <c r="E47" s="29">
        <f t="shared" si="3"/>
        <v>0</v>
      </c>
      <c r="F47" s="30">
        <f t="shared" si="4"/>
        <v>3.4098638547795489E-4</v>
      </c>
      <c r="G47" s="31">
        <f t="shared" si="5"/>
        <v>2.8419974024473937E-5</v>
      </c>
      <c r="H47" s="32">
        <f t="shared" si="6"/>
        <v>4.0000000000000008E-2</v>
      </c>
      <c r="I47" s="32">
        <f t="shared" si="7"/>
        <v>0</v>
      </c>
      <c r="J47" s="33">
        <f t="shared" si="54"/>
        <v>75.923669535740544</v>
      </c>
      <c r="K47" s="30">
        <f t="shared" si="8"/>
        <v>0</v>
      </c>
      <c r="L47" s="33">
        <f t="shared" si="9"/>
        <v>75.923669535740544</v>
      </c>
      <c r="M47" s="30">
        <f t="shared" si="10"/>
        <v>0</v>
      </c>
      <c r="N47" s="33">
        <f t="shared" si="11"/>
        <v>75.923669535740544</v>
      </c>
      <c r="O47" s="31">
        <f t="shared" si="12"/>
        <v>2.1577487160484893E-3</v>
      </c>
      <c r="P47" s="33">
        <f t="shared" si="13"/>
        <v>0.25783349297098174</v>
      </c>
      <c r="Q47" s="34">
        <f t="shared" si="55"/>
        <v>466235.40882404725</v>
      </c>
      <c r="R47" s="29">
        <f t="shared" si="14"/>
        <v>0</v>
      </c>
      <c r="S47" s="34">
        <f t="shared" si="15"/>
        <v>466235.40882404725</v>
      </c>
      <c r="T47" s="29">
        <f t="shared" si="16"/>
        <v>388.52950735337271</v>
      </c>
      <c r="U47" s="29">
        <f t="shared" si="17"/>
        <v>33764.591175952752</v>
      </c>
      <c r="V47" s="35">
        <f t="shared" si="18"/>
        <v>3.1261971426921337E-5</v>
      </c>
      <c r="W47" s="34">
        <f t="shared" si="19"/>
        <v>1.0555476845843152</v>
      </c>
      <c r="X47" s="34">
        <f t="shared" si="20"/>
        <v>465845.82376900926</v>
      </c>
      <c r="Y47" s="36">
        <f t="shared" si="21"/>
        <v>-1.1815747144882094E-3</v>
      </c>
      <c r="Z47" s="34">
        <f t="shared" si="22"/>
        <v>-550.43164621539188</v>
      </c>
      <c r="AA47" s="34">
        <f t="shared" si="23"/>
        <v>465570.60794590157</v>
      </c>
      <c r="AB47" s="34">
        <f t="shared" si="24"/>
        <v>35398303.105417855</v>
      </c>
      <c r="AC47" s="34">
        <f t="shared" si="25"/>
        <v>35398303.105417855</v>
      </c>
      <c r="AD47" s="34">
        <f t="shared" si="26"/>
        <v>35398303.105417855</v>
      </c>
      <c r="AE47" s="34">
        <f t="shared" si="27"/>
        <v>0</v>
      </c>
      <c r="AF47" s="34">
        <f t="shared" si="28"/>
        <v>0</v>
      </c>
      <c r="AG47" s="29">
        <f t="shared" si="29"/>
        <v>500000</v>
      </c>
      <c r="AH47" s="34">
        <f t="shared" si="30"/>
        <v>1078.8743580242447</v>
      </c>
      <c r="AI47" s="34">
        <f t="shared" si="31"/>
        <v>1004.5843815251837</v>
      </c>
      <c r="AJ47" s="34">
        <f t="shared" si="32"/>
        <v>120039.69607131531</v>
      </c>
      <c r="AK47" s="34">
        <f t="shared" si="33"/>
        <v>0</v>
      </c>
      <c r="AL47" s="34">
        <f t="shared" si="34"/>
        <v>120039.69607131531</v>
      </c>
      <c r="AM47" s="34">
        <f t="shared" si="35"/>
        <v>0</v>
      </c>
      <c r="AN47" s="34">
        <f t="shared" si="36"/>
        <v>121118.57042933955</v>
      </c>
      <c r="AO47" s="34">
        <f t="shared" si="37"/>
        <v>74.289976499060941</v>
      </c>
      <c r="AP47" s="34">
        <f t="shared" si="38"/>
        <v>80.141053583595649</v>
      </c>
      <c r="AQ47" s="34">
        <f t="shared" si="39"/>
        <v>29498.585921181544</v>
      </c>
      <c r="AR47" s="34">
        <f t="shared" si="40"/>
        <v>-41719.236705689378</v>
      </c>
      <c r="AS47" s="30">
        <f t="shared" si="41"/>
        <v>1.0362986269198016</v>
      </c>
      <c r="AT47" s="29">
        <f t="shared" si="42"/>
        <v>3278.3164371083622</v>
      </c>
      <c r="AU47" s="29">
        <f t="shared" si="43"/>
        <v>0</v>
      </c>
      <c r="AV47" s="34">
        <f t="shared" si="44"/>
        <v>-192342.24413330108</v>
      </c>
      <c r="AW47" s="34">
        <f t="shared" si="45"/>
        <v>26226.120561163785</v>
      </c>
      <c r="AX47" s="29">
        <f t="shared" si="46"/>
        <v>26220.269484073182</v>
      </c>
      <c r="AY47" s="34">
        <f t="shared" si="47"/>
        <v>5.8510770845347082</v>
      </c>
      <c r="AZ47" s="37">
        <f t="shared" si="48"/>
        <v>2.3139159706995441E-13</v>
      </c>
      <c r="BA47" s="37">
        <f t="shared" si="49"/>
        <v>0</v>
      </c>
      <c r="BB47" s="35">
        <f t="shared" si="50"/>
        <v>6.5430687736722781E-4</v>
      </c>
      <c r="BC47" s="31">
        <f t="shared" si="51"/>
        <v>0.97226585823893985</v>
      </c>
      <c r="BD47" s="34">
        <f t="shared" si="52"/>
        <v>25498.761615677813</v>
      </c>
    </row>
    <row r="48" spans="1:56" x14ac:dyDescent="0.2">
      <c r="A48" s="27">
        <f t="shared" si="53"/>
        <v>44</v>
      </c>
      <c r="B48" s="28">
        <f t="shared" si="0"/>
        <v>44</v>
      </c>
      <c r="C48" s="27">
        <f t="shared" si="1"/>
        <v>3</v>
      </c>
      <c r="D48" s="28">
        <f t="shared" si="2"/>
        <v>23</v>
      </c>
      <c r="E48" s="29">
        <f t="shared" si="3"/>
        <v>0</v>
      </c>
      <c r="F48" s="30">
        <f t="shared" si="4"/>
        <v>3.4098638547795489E-4</v>
      </c>
      <c r="G48" s="31">
        <f t="shared" si="5"/>
        <v>2.8419974024473937E-5</v>
      </c>
      <c r="H48" s="32">
        <f t="shared" si="6"/>
        <v>4.0000000000000008E-2</v>
      </c>
      <c r="I48" s="32">
        <f t="shared" si="7"/>
        <v>0</v>
      </c>
      <c r="J48" s="33">
        <f t="shared" si="54"/>
        <v>75.663678294053511</v>
      </c>
      <c r="K48" s="30">
        <f t="shared" si="8"/>
        <v>0</v>
      </c>
      <c r="L48" s="33">
        <f t="shared" si="9"/>
        <v>75.663678294053511</v>
      </c>
      <c r="M48" s="30">
        <f t="shared" si="10"/>
        <v>0</v>
      </c>
      <c r="N48" s="33">
        <f t="shared" si="11"/>
        <v>75.663678294053511</v>
      </c>
      <c r="O48" s="31">
        <f t="shared" si="12"/>
        <v>2.1503597717131531E-3</v>
      </c>
      <c r="P48" s="33">
        <f t="shared" si="13"/>
        <v>0.25695057397620796</v>
      </c>
      <c r="Q48" s="34">
        <f t="shared" si="55"/>
        <v>465295.39212279388</v>
      </c>
      <c r="R48" s="29">
        <f t="shared" si="14"/>
        <v>0</v>
      </c>
      <c r="S48" s="34">
        <f t="shared" si="15"/>
        <v>465295.39212279388</v>
      </c>
      <c r="T48" s="29">
        <f t="shared" si="16"/>
        <v>387.74616010232825</v>
      </c>
      <c r="U48" s="29">
        <f t="shared" si="17"/>
        <v>34704.607877206116</v>
      </c>
      <c r="V48" s="35">
        <f t="shared" si="18"/>
        <v>3.1261971426921337E-5</v>
      </c>
      <c r="W48" s="34">
        <f t="shared" si="19"/>
        <v>1.0849344598397268</v>
      </c>
      <c r="X48" s="34">
        <f t="shared" si="20"/>
        <v>464906.56102823175</v>
      </c>
      <c r="Y48" s="36">
        <f t="shared" si="21"/>
        <v>-1.5746291180037786E-2</v>
      </c>
      <c r="Z48" s="34">
        <f t="shared" si="22"/>
        <v>-7320.5540814605438</v>
      </c>
      <c r="AA48" s="34">
        <f t="shared" si="23"/>
        <v>461246.28398750146</v>
      </c>
      <c r="AB48" s="34">
        <f t="shared" si="24"/>
        <v>35205960.861284554</v>
      </c>
      <c r="AC48" s="34">
        <f t="shared" si="25"/>
        <v>35205960.861284554</v>
      </c>
      <c r="AD48" s="34">
        <f t="shared" si="26"/>
        <v>35205960.861284554</v>
      </c>
      <c r="AE48" s="34">
        <f t="shared" si="27"/>
        <v>0</v>
      </c>
      <c r="AF48" s="34">
        <f t="shared" si="28"/>
        <v>0</v>
      </c>
      <c r="AG48" s="29">
        <f t="shared" si="29"/>
        <v>500000</v>
      </c>
      <c r="AH48" s="34">
        <f t="shared" si="30"/>
        <v>1075.1798858565767</v>
      </c>
      <c r="AI48" s="34">
        <f t="shared" si="31"/>
        <v>991.8454539389038</v>
      </c>
      <c r="AJ48" s="34">
        <f t="shared" si="32"/>
        <v>118517.49741498152</v>
      </c>
      <c r="AK48" s="34">
        <f t="shared" si="33"/>
        <v>0</v>
      </c>
      <c r="AL48" s="34">
        <f t="shared" si="34"/>
        <v>118517.49741498152</v>
      </c>
      <c r="AM48" s="34">
        <f t="shared" si="35"/>
        <v>0</v>
      </c>
      <c r="AN48" s="34">
        <f t="shared" si="36"/>
        <v>119592.6773008381</v>
      </c>
      <c r="AO48" s="34">
        <f t="shared" si="37"/>
        <v>83.334431917672731</v>
      </c>
      <c r="AP48" s="34">
        <f t="shared" si="38"/>
        <v>82.090131939445811</v>
      </c>
      <c r="AQ48" s="34">
        <f t="shared" si="39"/>
        <v>29338.300717737133</v>
      </c>
      <c r="AR48" s="34">
        <f t="shared" si="40"/>
        <v>-552951.6677548216</v>
      </c>
      <c r="AS48" s="30">
        <f t="shared" si="41"/>
        <v>1.0371582761286762</v>
      </c>
      <c r="AT48" s="29">
        <f t="shared" si="42"/>
        <v>3269.8004227089696</v>
      </c>
      <c r="AU48" s="29">
        <f t="shared" si="43"/>
        <v>0</v>
      </c>
      <c r="AV48" s="34">
        <f t="shared" si="44"/>
        <v>-701881.40147341788</v>
      </c>
      <c r="AW48" s="34">
        <f t="shared" si="45"/>
        <v>26067.255995049258</v>
      </c>
      <c r="AX48" s="29">
        <f t="shared" si="46"/>
        <v>26068.500295028163</v>
      </c>
      <c r="AY48" s="34">
        <f t="shared" si="47"/>
        <v>-1.2442999782269197</v>
      </c>
      <c r="AZ48" s="37">
        <f t="shared" si="48"/>
        <v>-2.6029656256274768E-14</v>
      </c>
      <c r="BA48" s="37">
        <f t="shared" si="49"/>
        <v>0</v>
      </c>
      <c r="BB48" s="35">
        <f t="shared" si="50"/>
        <v>6.5430687736722781E-4</v>
      </c>
      <c r="BC48" s="31">
        <f t="shared" si="51"/>
        <v>0.97163011397311017</v>
      </c>
      <c r="BD48" s="34">
        <f t="shared" si="52"/>
        <v>25327.730913435949</v>
      </c>
    </row>
    <row r="49" spans="1:56" x14ac:dyDescent="0.2">
      <c r="A49" s="27">
        <f t="shared" si="53"/>
        <v>45</v>
      </c>
      <c r="B49" s="28">
        <f t="shared" si="0"/>
        <v>45</v>
      </c>
      <c r="C49" s="27">
        <f t="shared" si="1"/>
        <v>3</v>
      </c>
      <c r="D49" s="28">
        <f t="shared" si="2"/>
        <v>23</v>
      </c>
      <c r="E49" s="29">
        <f t="shared" si="3"/>
        <v>0</v>
      </c>
      <c r="F49" s="30">
        <f t="shared" si="4"/>
        <v>3.4098638547795489E-4</v>
      </c>
      <c r="G49" s="31">
        <f t="shared" si="5"/>
        <v>2.8419974024473937E-5</v>
      </c>
      <c r="H49" s="32">
        <f t="shared" si="6"/>
        <v>4.0000000000000008E-2</v>
      </c>
      <c r="I49" s="32">
        <f t="shared" si="7"/>
        <v>0</v>
      </c>
      <c r="J49" s="33">
        <f t="shared" si="54"/>
        <v>75.404577360305581</v>
      </c>
      <c r="K49" s="30">
        <f t="shared" si="8"/>
        <v>0</v>
      </c>
      <c r="L49" s="33">
        <f t="shared" si="9"/>
        <v>75.404577360305581</v>
      </c>
      <c r="M49" s="30">
        <f t="shared" si="10"/>
        <v>0</v>
      </c>
      <c r="N49" s="33">
        <f t="shared" si="11"/>
        <v>75.404577360305581</v>
      </c>
      <c r="O49" s="31">
        <f t="shared" si="12"/>
        <v>2.14299612990632E-3</v>
      </c>
      <c r="P49" s="33">
        <f t="shared" si="13"/>
        <v>0.25607067842863007</v>
      </c>
      <c r="Q49" s="34">
        <f t="shared" si="55"/>
        <v>457586.00694677123</v>
      </c>
      <c r="R49" s="29">
        <f t="shared" si="14"/>
        <v>0</v>
      </c>
      <c r="S49" s="34">
        <f t="shared" si="15"/>
        <v>457586.00694677123</v>
      </c>
      <c r="T49" s="29">
        <f t="shared" si="16"/>
        <v>381.32167245564273</v>
      </c>
      <c r="U49" s="29">
        <f t="shared" si="17"/>
        <v>42413.993053228769</v>
      </c>
      <c r="V49" s="35">
        <f t="shared" si="18"/>
        <v>3.1261971426921337E-5</v>
      </c>
      <c r="W49" s="34">
        <f t="shared" si="19"/>
        <v>1.3259450389316778</v>
      </c>
      <c r="X49" s="34">
        <f t="shared" si="20"/>
        <v>457203.35932927666</v>
      </c>
      <c r="Y49" s="36">
        <f t="shared" si="21"/>
        <v>-1.3532068786031859E-2</v>
      </c>
      <c r="Z49" s="34">
        <f t="shared" si="22"/>
        <v>-6186.9073076486129</v>
      </c>
      <c r="AA49" s="34">
        <f t="shared" si="23"/>
        <v>454109.90567545238</v>
      </c>
      <c r="AB49" s="34">
        <f t="shared" si="24"/>
        <v>34504079.459811136</v>
      </c>
      <c r="AC49" s="34">
        <f t="shared" si="25"/>
        <v>34504079.459811136</v>
      </c>
      <c r="AD49" s="34">
        <f t="shared" si="26"/>
        <v>34504079.459811136</v>
      </c>
      <c r="AE49" s="34">
        <f t="shared" si="27"/>
        <v>0</v>
      </c>
      <c r="AF49" s="34">
        <f t="shared" si="28"/>
        <v>0</v>
      </c>
      <c r="AG49" s="29">
        <f t="shared" si="29"/>
        <v>500000</v>
      </c>
      <c r="AH49" s="34">
        <f t="shared" si="30"/>
        <v>1071.4980649531599</v>
      </c>
      <c r="AI49" s="34">
        <f t="shared" si="31"/>
        <v>973.15577041461847</v>
      </c>
      <c r="AJ49" s="34">
        <f t="shared" si="32"/>
        <v>116284.23162747431</v>
      </c>
      <c r="AK49" s="34">
        <f t="shared" si="33"/>
        <v>0</v>
      </c>
      <c r="AL49" s="34">
        <f t="shared" si="34"/>
        <v>116284.23162747431</v>
      </c>
      <c r="AM49" s="34">
        <f t="shared" si="35"/>
        <v>0</v>
      </c>
      <c r="AN49" s="34">
        <f t="shared" si="36"/>
        <v>117355.72969242747</v>
      </c>
      <c r="AO49" s="34">
        <f t="shared" si="37"/>
        <v>98.342294538541537</v>
      </c>
      <c r="AP49" s="34">
        <f t="shared" si="38"/>
        <v>99.982325263637094</v>
      </c>
      <c r="AQ49" s="34">
        <f t="shared" si="39"/>
        <v>28753.399549842619</v>
      </c>
      <c r="AR49" s="34">
        <f t="shared" si="40"/>
        <v>-465722.35866559931</v>
      </c>
      <c r="AS49" s="30">
        <f t="shared" si="41"/>
        <v>1.0380186384493344</v>
      </c>
      <c r="AT49" s="29">
        <f t="shared" si="42"/>
        <v>3261.3065301829961</v>
      </c>
      <c r="AU49" s="29">
        <f t="shared" si="43"/>
        <v>0</v>
      </c>
      <c r="AV49" s="34">
        <f t="shared" si="44"/>
        <v>-611833.12793859094</v>
      </c>
      <c r="AW49" s="34">
        <f t="shared" si="45"/>
        <v>25493.733050381183</v>
      </c>
      <c r="AX49" s="29">
        <f t="shared" si="46"/>
        <v>25492.093019659624</v>
      </c>
      <c r="AY49" s="34">
        <f t="shared" si="47"/>
        <v>1.6400307250955564</v>
      </c>
      <c r="AZ49" s="37">
        <f t="shared" si="48"/>
        <v>-1.3872200352712654E-13</v>
      </c>
      <c r="BA49" s="37">
        <f t="shared" si="49"/>
        <v>0</v>
      </c>
      <c r="BB49" s="35">
        <f t="shared" si="50"/>
        <v>6.5430687736722781E-4</v>
      </c>
      <c r="BC49" s="31">
        <f t="shared" si="51"/>
        <v>0.97099478540713047</v>
      </c>
      <c r="BD49" s="34">
        <f t="shared" si="52"/>
        <v>24754.281852481545</v>
      </c>
    </row>
    <row r="50" spans="1:56" x14ac:dyDescent="0.2">
      <c r="A50" s="27">
        <f t="shared" si="53"/>
        <v>46</v>
      </c>
      <c r="B50" s="28">
        <f t="shared" si="0"/>
        <v>46</v>
      </c>
      <c r="C50" s="27">
        <f t="shared" si="1"/>
        <v>3</v>
      </c>
      <c r="D50" s="28">
        <f t="shared" si="2"/>
        <v>23</v>
      </c>
      <c r="E50" s="29">
        <f t="shared" si="3"/>
        <v>0</v>
      </c>
      <c r="F50" s="30">
        <f t="shared" si="4"/>
        <v>3.4098638547795489E-4</v>
      </c>
      <c r="G50" s="31">
        <f t="shared" si="5"/>
        <v>2.8419974024473937E-5</v>
      </c>
      <c r="H50" s="32">
        <f t="shared" si="6"/>
        <v>4.0000000000000008E-2</v>
      </c>
      <c r="I50" s="32">
        <f t="shared" si="7"/>
        <v>0</v>
      </c>
      <c r="J50" s="33">
        <f t="shared" si="54"/>
        <v>75.146363685747048</v>
      </c>
      <c r="K50" s="30">
        <f t="shared" si="8"/>
        <v>0</v>
      </c>
      <c r="L50" s="33">
        <f t="shared" si="9"/>
        <v>75.146363685747048</v>
      </c>
      <c r="M50" s="30">
        <f t="shared" si="10"/>
        <v>0</v>
      </c>
      <c r="N50" s="33">
        <f t="shared" si="11"/>
        <v>75.146363685747048</v>
      </c>
      <c r="O50" s="31">
        <f t="shared" si="12"/>
        <v>2.1356577039826027E-3</v>
      </c>
      <c r="P50" s="33">
        <f t="shared" si="13"/>
        <v>0.25519379597482611</v>
      </c>
      <c r="Q50" s="34">
        <f t="shared" si="55"/>
        <v>451016.45202162804</v>
      </c>
      <c r="R50" s="29">
        <f t="shared" si="14"/>
        <v>0</v>
      </c>
      <c r="S50" s="34">
        <f t="shared" si="15"/>
        <v>451016.45202162804</v>
      </c>
      <c r="T50" s="29">
        <f t="shared" si="16"/>
        <v>375.84704335135672</v>
      </c>
      <c r="U50" s="29">
        <f t="shared" si="17"/>
        <v>48983.547978371964</v>
      </c>
      <c r="V50" s="35">
        <f t="shared" si="18"/>
        <v>3.1261971426921337E-5</v>
      </c>
      <c r="W50" s="34">
        <f t="shared" si="19"/>
        <v>1.5313222772890946</v>
      </c>
      <c r="X50" s="34">
        <f t="shared" si="20"/>
        <v>450639.07365599944</v>
      </c>
      <c r="Y50" s="36">
        <f t="shared" si="21"/>
        <v>-4.3071724822130175E-4</v>
      </c>
      <c r="Z50" s="34">
        <f t="shared" si="22"/>
        <v>-194.0980217461086</v>
      </c>
      <c r="AA50" s="34">
        <f t="shared" si="23"/>
        <v>450542.02464512637</v>
      </c>
      <c r="AB50" s="34">
        <f t="shared" si="24"/>
        <v>33892246.331872545</v>
      </c>
      <c r="AC50" s="34">
        <f t="shared" si="25"/>
        <v>33892246.331872545</v>
      </c>
      <c r="AD50" s="34">
        <f t="shared" si="26"/>
        <v>33892246.331872545</v>
      </c>
      <c r="AE50" s="34">
        <f t="shared" si="27"/>
        <v>0</v>
      </c>
      <c r="AF50" s="34">
        <f t="shared" si="28"/>
        <v>0</v>
      </c>
      <c r="AG50" s="29">
        <f t="shared" si="29"/>
        <v>500000</v>
      </c>
      <c r="AH50" s="34">
        <f t="shared" si="30"/>
        <v>1067.8288519913012</v>
      </c>
      <c r="AI50" s="34">
        <f t="shared" si="31"/>
        <v>962.20354590128375</v>
      </c>
      <c r="AJ50" s="34">
        <f t="shared" si="32"/>
        <v>114975.52951537345</v>
      </c>
      <c r="AK50" s="34">
        <f t="shared" si="33"/>
        <v>0</v>
      </c>
      <c r="AL50" s="34">
        <f t="shared" si="34"/>
        <v>114975.52951537345</v>
      </c>
      <c r="AM50" s="34">
        <f t="shared" si="35"/>
        <v>0</v>
      </c>
      <c r="AN50" s="34">
        <f t="shared" si="36"/>
        <v>116043.35836736475</v>
      </c>
      <c r="AO50" s="34">
        <f t="shared" si="37"/>
        <v>105.62530609001757</v>
      </c>
      <c r="AP50" s="34">
        <f t="shared" si="38"/>
        <v>115.0733007692527</v>
      </c>
      <c r="AQ50" s="34">
        <f t="shared" si="39"/>
        <v>28243.538609893789</v>
      </c>
      <c r="AR50" s="34">
        <f t="shared" si="40"/>
        <v>-14560.786963869081</v>
      </c>
      <c r="AS50" s="30">
        <f t="shared" si="41"/>
        <v>1.0388797144733299</v>
      </c>
      <c r="AT50" s="29">
        <f t="shared" si="42"/>
        <v>3252.8347020649121</v>
      </c>
      <c r="AU50" s="29">
        <f t="shared" si="43"/>
        <v>0</v>
      </c>
      <c r="AV50" s="34">
        <f t="shared" si="44"/>
        <v>-158857.13193580508</v>
      </c>
      <c r="AW50" s="34">
        <f t="shared" si="45"/>
        <v>25000.151902506332</v>
      </c>
      <c r="AX50" s="29">
        <f t="shared" si="46"/>
        <v>24990.703907828876</v>
      </c>
      <c r="AY50" s="34">
        <f t="shared" si="47"/>
        <v>9.4479946792351228</v>
      </c>
      <c r="AZ50" s="37">
        <f t="shared" si="48"/>
        <v>-7.1187423068413578E-14</v>
      </c>
      <c r="BA50" s="37">
        <f t="shared" si="49"/>
        <v>0</v>
      </c>
      <c r="BB50" s="35">
        <f t="shared" si="50"/>
        <v>6.5430687736722781E-4</v>
      </c>
      <c r="BC50" s="31">
        <f t="shared" si="51"/>
        <v>0.97035987226918385</v>
      </c>
      <c r="BD50" s="34">
        <f t="shared" si="52"/>
        <v>24259.144206826237</v>
      </c>
    </row>
    <row r="51" spans="1:56" x14ac:dyDescent="0.2">
      <c r="A51" s="27">
        <f t="shared" si="53"/>
        <v>47</v>
      </c>
      <c r="B51" s="28">
        <f t="shared" si="0"/>
        <v>47</v>
      </c>
      <c r="C51" s="27">
        <f t="shared" si="1"/>
        <v>3</v>
      </c>
      <c r="D51" s="28">
        <f t="shared" si="2"/>
        <v>23</v>
      </c>
      <c r="E51" s="29">
        <f t="shared" si="3"/>
        <v>0</v>
      </c>
      <c r="F51" s="30">
        <f t="shared" si="4"/>
        <v>3.4098638547795489E-4</v>
      </c>
      <c r="G51" s="31">
        <f t="shared" si="5"/>
        <v>2.8419974024473937E-5</v>
      </c>
      <c r="H51" s="32">
        <f t="shared" si="6"/>
        <v>4.0000000000000008E-2</v>
      </c>
      <c r="I51" s="32">
        <f t="shared" si="7"/>
        <v>0</v>
      </c>
      <c r="J51" s="33">
        <f t="shared" si="54"/>
        <v>74.889034232068227</v>
      </c>
      <c r="K51" s="30">
        <f t="shared" si="8"/>
        <v>0</v>
      </c>
      <c r="L51" s="33">
        <f t="shared" si="9"/>
        <v>74.889034232068227</v>
      </c>
      <c r="M51" s="30">
        <f t="shared" si="10"/>
        <v>0</v>
      </c>
      <c r="N51" s="33">
        <f t="shared" si="11"/>
        <v>74.889034232068227</v>
      </c>
      <c r="O51" s="31">
        <f t="shared" si="12"/>
        <v>2.1283444075933184E-3</v>
      </c>
      <c r="P51" s="33">
        <f t="shared" si="13"/>
        <v>0.2543199162968281</v>
      </c>
      <c r="Q51" s="34">
        <f t="shared" si="55"/>
        <v>450444.97563425335</v>
      </c>
      <c r="R51" s="29">
        <f t="shared" si="14"/>
        <v>0</v>
      </c>
      <c r="S51" s="34">
        <f t="shared" si="15"/>
        <v>450444.97563425335</v>
      </c>
      <c r="T51" s="29">
        <f t="shared" si="16"/>
        <v>375.37081302854449</v>
      </c>
      <c r="U51" s="29">
        <f t="shared" si="17"/>
        <v>49555.024365746649</v>
      </c>
      <c r="V51" s="35">
        <f t="shared" si="18"/>
        <v>3.1261971426921337E-5</v>
      </c>
      <c r="W51" s="34">
        <f t="shared" si="19"/>
        <v>1.5491877557823623</v>
      </c>
      <c r="X51" s="34">
        <f t="shared" si="20"/>
        <v>450068.05563346902</v>
      </c>
      <c r="Y51" s="36">
        <f t="shared" si="21"/>
        <v>6.5428831753397976E-3</v>
      </c>
      <c r="Z51" s="34">
        <f t="shared" si="22"/>
        <v>2944.7427089621206</v>
      </c>
      <c r="AA51" s="34">
        <f t="shared" si="23"/>
        <v>451540.42698795011</v>
      </c>
      <c r="AB51" s="34">
        <f t="shared" si="24"/>
        <v>33733389.19993674</v>
      </c>
      <c r="AC51" s="34">
        <f t="shared" si="25"/>
        <v>33733389.19993674</v>
      </c>
      <c r="AD51" s="34">
        <f t="shared" si="26"/>
        <v>33733389.19993674</v>
      </c>
      <c r="AE51" s="34">
        <f t="shared" si="27"/>
        <v>0</v>
      </c>
      <c r="AF51" s="34">
        <f t="shared" si="28"/>
        <v>0</v>
      </c>
      <c r="AG51" s="29">
        <f t="shared" si="29"/>
        <v>500000</v>
      </c>
      <c r="AH51" s="34">
        <f t="shared" si="30"/>
        <v>1064.1722037966592</v>
      </c>
      <c r="AI51" s="34">
        <f t="shared" si="31"/>
        <v>961.03354258210265</v>
      </c>
      <c r="AJ51" s="34">
        <f t="shared" si="32"/>
        <v>114835.72359620949</v>
      </c>
      <c r="AK51" s="34">
        <f t="shared" si="33"/>
        <v>0</v>
      </c>
      <c r="AL51" s="34">
        <f t="shared" si="34"/>
        <v>114835.72359620949</v>
      </c>
      <c r="AM51" s="34">
        <f t="shared" si="35"/>
        <v>0</v>
      </c>
      <c r="AN51" s="34">
        <f t="shared" si="36"/>
        <v>115899.89580000614</v>
      </c>
      <c r="AO51" s="34">
        <f t="shared" si="37"/>
        <v>103.13866121455649</v>
      </c>
      <c r="AP51" s="34">
        <f t="shared" si="38"/>
        <v>116.01717487468629</v>
      </c>
      <c r="AQ51" s="34">
        <f t="shared" si="39"/>
        <v>28111.157666613952</v>
      </c>
      <c r="AR51" s="34">
        <f t="shared" si="40"/>
        <v>220151.3504631299</v>
      </c>
      <c r="AS51" s="30">
        <f t="shared" si="41"/>
        <v>1.0397415047927068</v>
      </c>
      <c r="AT51" s="29">
        <f t="shared" si="42"/>
        <v>3244.3848810384643</v>
      </c>
      <c r="AU51" s="29">
        <f t="shared" si="43"/>
        <v>0</v>
      </c>
      <c r="AV51" s="34">
        <f t="shared" si="44"/>
        <v>76127.418482847512</v>
      </c>
      <c r="AW51" s="34">
        <f t="shared" si="45"/>
        <v>24879.651299237783</v>
      </c>
      <c r="AX51" s="29">
        <f t="shared" si="46"/>
        <v>24866.772785575486</v>
      </c>
      <c r="AY51" s="34">
        <f t="shared" si="47"/>
        <v>12.878513660129798</v>
      </c>
      <c r="AZ51" s="37">
        <f t="shared" si="48"/>
        <v>8.7120957246375116E-14</v>
      </c>
      <c r="BA51" s="37">
        <f t="shared" si="49"/>
        <v>0</v>
      </c>
      <c r="BB51" s="35">
        <f t="shared" si="50"/>
        <v>6.5430687736722781E-4</v>
      </c>
      <c r="BC51" s="31">
        <f t="shared" si="51"/>
        <v>0.96972537428762984</v>
      </c>
      <c r="BD51" s="34">
        <f t="shared" si="52"/>
        <v>24126.429168299073</v>
      </c>
    </row>
    <row r="52" spans="1:56" x14ac:dyDescent="0.2">
      <c r="A52" s="27">
        <f t="shared" si="53"/>
        <v>48</v>
      </c>
      <c r="B52" s="28">
        <f t="shared" si="0"/>
        <v>48</v>
      </c>
      <c r="C52" s="27">
        <f t="shared" si="1"/>
        <v>4</v>
      </c>
      <c r="D52" s="28">
        <f t="shared" si="2"/>
        <v>24</v>
      </c>
      <c r="E52" s="29">
        <f t="shared" si="3"/>
        <v>0</v>
      </c>
      <c r="F52" s="30">
        <f t="shared" si="4"/>
        <v>3.8431221764747008E-4</v>
      </c>
      <c r="G52" s="31">
        <f t="shared" si="5"/>
        <v>3.2031660684883612E-5</v>
      </c>
      <c r="H52" s="32">
        <f t="shared" si="6"/>
        <v>2.0000000000000004E-2</v>
      </c>
      <c r="I52" s="32">
        <f t="shared" si="7"/>
        <v>0</v>
      </c>
      <c r="J52" s="33">
        <f t="shared" si="54"/>
        <v>74.63258597136381</v>
      </c>
      <c r="K52" s="30">
        <f t="shared" si="8"/>
        <v>0</v>
      </c>
      <c r="L52" s="33">
        <f t="shared" si="9"/>
        <v>74.63258597136381</v>
      </c>
      <c r="M52" s="30">
        <f t="shared" si="10"/>
        <v>0</v>
      </c>
      <c r="N52" s="33">
        <f t="shared" si="11"/>
        <v>74.63258597136381</v>
      </c>
      <c r="O52" s="31">
        <f t="shared" si="12"/>
        <v>2.3906056698701304E-3</v>
      </c>
      <c r="P52" s="33">
        <f t="shared" si="13"/>
        <v>0.1255386273439015</v>
      </c>
      <c r="Q52" s="34">
        <f t="shared" si="55"/>
        <v>453012.79834243114</v>
      </c>
      <c r="R52" s="29">
        <f t="shared" si="14"/>
        <v>0</v>
      </c>
      <c r="S52" s="34">
        <f t="shared" si="15"/>
        <v>453012.79834243114</v>
      </c>
      <c r="T52" s="29">
        <f t="shared" si="16"/>
        <v>377.51066528535932</v>
      </c>
      <c r="U52" s="29">
        <f t="shared" si="17"/>
        <v>46987.201657568861</v>
      </c>
      <c r="V52" s="35">
        <f t="shared" si="18"/>
        <v>3.5234826753371975E-5</v>
      </c>
      <c r="W52" s="34">
        <f t="shared" si="19"/>
        <v>1.6555859100301913</v>
      </c>
      <c r="X52" s="34">
        <f t="shared" si="20"/>
        <v>452633.63209123578</v>
      </c>
      <c r="Y52" s="36">
        <f t="shared" si="21"/>
        <v>-1.9816588452319039E-2</v>
      </c>
      <c r="Z52" s="34">
        <f t="shared" si="22"/>
        <v>-8969.6544068304083</v>
      </c>
      <c r="AA52" s="34">
        <f t="shared" si="23"/>
        <v>448148.80488782056</v>
      </c>
      <c r="AB52" s="34">
        <f t="shared" si="24"/>
        <v>33809516.618419588</v>
      </c>
      <c r="AC52" s="34">
        <f t="shared" si="25"/>
        <v>33809516.618419588</v>
      </c>
      <c r="AD52" s="34">
        <f t="shared" si="26"/>
        <v>33809516.618419588</v>
      </c>
      <c r="AE52" s="34">
        <f t="shared" si="27"/>
        <v>0</v>
      </c>
      <c r="AF52" s="34">
        <f t="shared" si="28"/>
        <v>0</v>
      </c>
      <c r="AG52" s="29">
        <f t="shared" si="29"/>
        <v>500000</v>
      </c>
      <c r="AH52" s="34">
        <f t="shared" si="30"/>
        <v>1195.3028349350652</v>
      </c>
      <c r="AI52" s="34">
        <f t="shared" si="31"/>
        <v>1071.3470739103466</v>
      </c>
      <c r="AJ52" s="34">
        <f t="shared" si="32"/>
        <v>56259.98581142693</v>
      </c>
      <c r="AK52" s="34">
        <f t="shared" si="33"/>
        <v>0</v>
      </c>
      <c r="AL52" s="34">
        <f t="shared" si="34"/>
        <v>56259.98581142693</v>
      </c>
      <c r="AM52" s="34">
        <f t="shared" si="35"/>
        <v>0</v>
      </c>
      <c r="AN52" s="34">
        <f t="shared" si="36"/>
        <v>57455.288646361994</v>
      </c>
      <c r="AO52" s="34">
        <f t="shared" si="37"/>
        <v>123.95576102471856</v>
      </c>
      <c r="AP52" s="34">
        <f t="shared" si="38"/>
        <v>123.56065776330684</v>
      </c>
      <c r="AQ52" s="34">
        <f t="shared" si="39"/>
        <v>28174.597182016329</v>
      </c>
      <c r="AR52" s="34">
        <f t="shared" si="40"/>
        <v>-668854.76314686053</v>
      </c>
      <c r="AS52" s="30">
        <f t="shared" si="41"/>
        <v>1.04060401</v>
      </c>
      <c r="AT52" s="29">
        <f t="shared" si="42"/>
        <v>3235.9570099362882</v>
      </c>
      <c r="AU52" s="29">
        <f t="shared" si="43"/>
        <v>0</v>
      </c>
      <c r="AV52" s="34">
        <f t="shared" si="44"/>
        <v>-754484.25387197733</v>
      </c>
      <c r="AW52" s="34">
        <f t="shared" si="45"/>
        <v>24938.245068818447</v>
      </c>
      <c r="AX52" s="29">
        <f t="shared" si="46"/>
        <v>24938.640172080042</v>
      </c>
      <c r="AY52" s="34">
        <f t="shared" si="47"/>
        <v>-0.39510326141171959</v>
      </c>
      <c r="AZ52" s="37">
        <f t="shared" si="48"/>
        <v>-7.3519825568036898E-15</v>
      </c>
      <c r="BA52" s="37">
        <f t="shared" si="49"/>
        <v>-1.1018466606625065E-16</v>
      </c>
      <c r="BB52" s="35">
        <f t="shared" si="50"/>
        <v>7.1881800016160291E-4</v>
      </c>
      <c r="BC52" s="31">
        <f t="shared" si="51"/>
        <v>0.96609716092139786</v>
      </c>
      <c r="BD52" s="34">
        <f t="shared" si="52"/>
        <v>24092.767759347553</v>
      </c>
    </row>
    <row r="53" spans="1:56" x14ac:dyDescent="0.2">
      <c r="A53" s="27">
        <f t="shared" si="53"/>
        <v>49</v>
      </c>
      <c r="B53" s="28">
        <f t="shared" si="0"/>
        <v>49</v>
      </c>
      <c r="C53" s="27">
        <f t="shared" si="1"/>
        <v>4</v>
      </c>
      <c r="D53" s="28">
        <f t="shared" si="2"/>
        <v>24</v>
      </c>
      <c r="E53" s="29">
        <f t="shared" si="3"/>
        <v>0</v>
      </c>
      <c r="F53" s="30">
        <f t="shared" si="4"/>
        <v>3.8431221764747008E-4</v>
      </c>
      <c r="G53" s="31">
        <f t="shared" si="5"/>
        <v>3.2031660684883612E-5</v>
      </c>
      <c r="H53" s="32">
        <f t="shared" si="6"/>
        <v>2.0000000000000004E-2</v>
      </c>
      <c r="I53" s="32">
        <f t="shared" si="7"/>
        <v>0</v>
      </c>
      <c r="J53" s="33">
        <f t="shared" si="54"/>
        <v>74.504656738350036</v>
      </c>
      <c r="K53" s="30">
        <f t="shared" si="8"/>
        <v>0</v>
      </c>
      <c r="L53" s="33">
        <f t="shared" si="9"/>
        <v>74.504656738350036</v>
      </c>
      <c r="M53" s="30">
        <f t="shared" si="10"/>
        <v>0</v>
      </c>
      <c r="N53" s="33">
        <f t="shared" si="11"/>
        <v>74.504656738350036</v>
      </c>
      <c r="O53" s="31">
        <f t="shared" si="12"/>
        <v>2.3865078840865557E-3</v>
      </c>
      <c r="P53" s="33">
        <f t="shared" si="13"/>
        <v>0.12532343903036955</v>
      </c>
      <c r="Q53" s="34">
        <f t="shared" si="55"/>
        <v>443663.97768440534</v>
      </c>
      <c r="R53" s="29">
        <f t="shared" si="14"/>
        <v>0</v>
      </c>
      <c r="S53" s="34">
        <f t="shared" si="15"/>
        <v>443663.97768440534</v>
      </c>
      <c r="T53" s="29">
        <f t="shared" si="16"/>
        <v>369.71998140367111</v>
      </c>
      <c r="U53" s="29">
        <f t="shared" si="17"/>
        <v>56336.022315594659</v>
      </c>
      <c r="V53" s="35">
        <f t="shared" si="18"/>
        <v>3.5234826753371975E-5</v>
      </c>
      <c r="W53" s="34">
        <f t="shared" si="19"/>
        <v>1.9849899862640754</v>
      </c>
      <c r="X53" s="34">
        <f t="shared" si="20"/>
        <v>443292.27271301538</v>
      </c>
      <c r="Y53" s="36">
        <f t="shared" si="21"/>
        <v>6.4906261932409226E-3</v>
      </c>
      <c r="Z53" s="34">
        <f t="shared" si="22"/>
        <v>2877.2444365323959</v>
      </c>
      <c r="AA53" s="34">
        <f t="shared" si="23"/>
        <v>444730.89493128157</v>
      </c>
      <c r="AB53" s="34">
        <f t="shared" si="24"/>
        <v>33055032.36454761</v>
      </c>
      <c r="AC53" s="34">
        <f t="shared" si="25"/>
        <v>33055032.36454761</v>
      </c>
      <c r="AD53" s="34">
        <f t="shared" si="26"/>
        <v>33055032.36454761</v>
      </c>
      <c r="AE53" s="34">
        <f t="shared" si="27"/>
        <v>0</v>
      </c>
      <c r="AF53" s="34">
        <f t="shared" si="28"/>
        <v>0</v>
      </c>
      <c r="AG53" s="29">
        <f t="shared" si="29"/>
        <v>500000</v>
      </c>
      <c r="AH53" s="34">
        <f t="shared" si="30"/>
        <v>1193.2539420432779</v>
      </c>
      <c r="AI53" s="34">
        <f t="shared" si="31"/>
        <v>1061.3537870503731</v>
      </c>
      <c r="AJ53" s="34">
        <f t="shared" si="32"/>
        <v>55735.205195842151</v>
      </c>
      <c r="AK53" s="34">
        <f t="shared" si="33"/>
        <v>0</v>
      </c>
      <c r="AL53" s="34">
        <f t="shared" si="34"/>
        <v>55735.205195842151</v>
      </c>
      <c r="AM53" s="34">
        <f t="shared" si="35"/>
        <v>0</v>
      </c>
      <c r="AN53" s="34">
        <f t="shared" si="36"/>
        <v>56928.459137885431</v>
      </c>
      <c r="AO53" s="34">
        <f t="shared" si="37"/>
        <v>131.90015499290476</v>
      </c>
      <c r="AP53" s="34">
        <f t="shared" si="38"/>
        <v>147.8909975556671</v>
      </c>
      <c r="AQ53" s="34">
        <f t="shared" si="39"/>
        <v>27545.860303789676</v>
      </c>
      <c r="AR53" s="34">
        <f t="shared" si="40"/>
        <v>214184.38272904881</v>
      </c>
      <c r="AS53" s="30">
        <f t="shared" si="41"/>
        <v>1.0414672306882367</v>
      </c>
      <c r="AT53" s="29">
        <f t="shared" si="42"/>
        <v>3233.0899386111287</v>
      </c>
      <c r="AU53" s="29">
        <f t="shared" si="43"/>
        <v>0</v>
      </c>
      <c r="AV53" s="34">
        <f t="shared" si="44"/>
        <v>129694.07244481146</v>
      </c>
      <c r="AW53" s="34">
        <f t="shared" si="45"/>
        <v>24328.761207740783</v>
      </c>
      <c r="AX53" s="29">
        <f t="shared" si="46"/>
        <v>24312.770365178549</v>
      </c>
      <c r="AY53" s="34">
        <f t="shared" si="47"/>
        <v>15.990842562762339</v>
      </c>
      <c r="AZ53" s="37">
        <f t="shared" si="48"/>
        <v>-2.170346912813809E-14</v>
      </c>
      <c r="BA53" s="37">
        <f t="shared" si="49"/>
        <v>-1.1225918361976234E-16</v>
      </c>
      <c r="BB53" s="35">
        <f t="shared" si="50"/>
        <v>7.1881800016160291E-4</v>
      </c>
      <c r="BC53" s="31">
        <f t="shared" si="51"/>
        <v>0.96540321171540311</v>
      </c>
      <c r="BD53" s="34">
        <f t="shared" si="52"/>
        <v>23487.064207010062</v>
      </c>
    </row>
    <row r="54" spans="1:56" x14ac:dyDescent="0.2">
      <c r="A54" s="27">
        <f t="shared" si="53"/>
        <v>50</v>
      </c>
      <c r="B54" s="28">
        <f t="shared" si="0"/>
        <v>50</v>
      </c>
      <c r="C54" s="27">
        <f t="shared" si="1"/>
        <v>4</v>
      </c>
      <c r="D54" s="28">
        <f t="shared" si="2"/>
        <v>24</v>
      </c>
      <c r="E54" s="29">
        <f t="shared" si="3"/>
        <v>0</v>
      </c>
      <c r="F54" s="30">
        <f t="shared" si="4"/>
        <v>3.8431221764747008E-4</v>
      </c>
      <c r="G54" s="31">
        <f t="shared" si="5"/>
        <v>3.2031660684883612E-5</v>
      </c>
      <c r="H54" s="32">
        <f t="shared" si="6"/>
        <v>2.0000000000000004E-2</v>
      </c>
      <c r="I54" s="32">
        <f t="shared" si="7"/>
        <v>0</v>
      </c>
      <c r="J54" s="33">
        <f t="shared" si="54"/>
        <v>74.376946791435586</v>
      </c>
      <c r="K54" s="30">
        <f t="shared" si="8"/>
        <v>0</v>
      </c>
      <c r="L54" s="33">
        <f t="shared" si="9"/>
        <v>74.376946791435586</v>
      </c>
      <c r="M54" s="30">
        <f t="shared" si="10"/>
        <v>0</v>
      </c>
      <c r="N54" s="33">
        <f t="shared" si="11"/>
        <v>74.376946791435586</v>
      </c>
      <c r="O54" s="31">
        <f t="shared" si="12"/>
        <v>2.3824171224009075E-3</v>
      </c>
      <c r="P54" s="33">
        <f t="shared" si="13"/>
        <v>0.12510861957550096</v>
      </c>
      <c r="Q54" s="34">
        <f t="shared" si="55"/>
        <v>446169.51714954776</v>
      </c>
      <c r="R54" s="29">
        <f t="shared" si="14"/>
        <v>0</v>
      </c>
      <c r="S54" s="34">
        <f t="shared" si="15"/>
        <v>446169.51714954776</v>
      </c>
      <c r="T54" s="29">
        <f t="shared" si="16"/>
        <v>371.8079309579565</v>
      </c>
      <c r="U54" s="29">
        <f t="shared" si="17"/>
        <v>53830.482850452245</v>
      </c>
      <c r="V54" s="35">
        <f t="shared" si="18"/>
        <v>3.5234826753371975E-5</v>
      </c>
      <c r="W54" s="34">
        <f t="shared" si="19"/>
        <v>1.8967077372860461</v>
      </c>
      <c r="X54" s="34">
        <f t="shared" si="20"/>
        <v>445795.81251085253</v>
      </c>
      <c r="Y54" s="36">
        <f t="shared" si="21"/>
        <v>2.7851400264227166E-3</v>
      </c>
      <c r="Z54" s="34">
        <f t="shared" si="22"/>
        <v>1241.6037610356123</v>
      </c>
      <c r="AA54" s="34">
        <f t="shared" si="23"/>
        <v>446416.61439137033</v>
      </c>
      <c r="AB54" s="34">
        <f t="shared" si="24"/>
        <v>33184726.436992422</v>
      </c>
      <c r="AC54" s="34">
        <f t="shared" si="25"/>
        <v>33184726.436992422</v>
      </c>
      <c r="AD54" s="34">
        <f t="shared" si="26"/>
        <v>33184726.436992422</v>
      </c>
      <c r="AE54" s="34">
        <f t="shared" si="27"/>
        <v>0</v>
      </c>
      <c r="AF54" s="34">
        <f t="shared" si="28"/>
        <v>0</v>
      </c>
      <c r="AG54" s="29">
        <f t="shared" si="29"/>
        <v>500000</v>
      </c>
      <c r="AH54" s="34">
        <f t="shared" si="30"/>
        <v>1191.2085612004537</v>
      </c>
      <c r="AI54" s="34">
        <f t="shared" si="31"/>
        <v>1063.550585850244</v>
      </c>
      <c r="AJ54" s="34">
        <f t="shared" si="32"/>
        <v>55850.566382073055</v>
      </c>
      <c r="AK54" s="34">
        <f t="shared" si="33"/>
        <v>0</v>
      </c>
      <c r="AL54" s="34">
        <f t="shared" si="34"/>
        <v>55850.566382073055</v>
      </c>
      <c r="AM54" s="34">
        <f t="shared" si="35"/>
        <v>0</v>
      </c>
      <c r="AN54" s="34">
        <f t="shared" si="36"/>
        <v>57041.774943273507</v>
      </c>
      <c r="AO54" s="34">
        <f t="shared" si="37"/>
        <v>127.65797535020971</v>
      </c>
      <c r="AP54" s="34">
        <f t="shared" si="38"/>
        <v>141.07133045502843</v>
      </c>
      <c r="AQ54" s="34">
        <f t="shared" si="39"/>
        <v>27653.938697493686</v>
      </c>
      <c r="AR54" s="34">
        <f t="shared" si="40"/>
        <v>92267.550195260817</v>
      </c>
      <c r="AS54" s="30">
        <f t="shared" si="41"/>
        <v>1.042331167450935</v>
      </c>
      <c r="AT54" s="29">
        <f t="shared" si="42"/>
        <v>3230.2254075230471</v>
      </c>
      <c r="AU54" s="29">
        <f t="shared" si="43"/>
        <v>0</v>
      </c>
      <c r="AV54" s="34">
        <f t="shared" si="44"/>
        <v>7558.4231993854046</v>
      </c>
      <c r="AW54" s="34">
        <f t="shared" si="45"/>
        <v>24437.126645078857</v>
      </c>
      <c r="AX54" s="29">
        <f t="shared" si="46"/>
        <v>24423.713289970638</v>
      </c>
      <c r="AY54" s="34">
        <f t="shared" si="47"/>
        <v>13.41335510481872</v>
      </c>
      <c r="AZ54" s="37">
        <f t="shared" si="48"/>
        <v>1.3916644591639336E-13</v>
      </c>
      <c r="BA54" s="37">
        <f t="shared" si="49"/>
        <v>-1.1223362037753935E-16</v>
      </c>
      <c r="BB54" s="35">
        <f t="shared" si="50"/>
        <v>7.1881800016160291E-4</v>
      </c>
      <c r="BC54" s="31">
        <f t="shared" si="51"/>
        <v>0.96470976097428318</v>
      </c>
      <c r="BD54" s="34">
        <f t="shared" si="52"/>
        <v>23574.734604672311</v>
      </c>
    </row>
    <row r="55" spans="1:56" x14ac:dyDescent="0.2">
      <c r="A55" s="27">
        <f t="shared" si="53"/>
        <v>51</v>
      </c>
      <c r="B55" s="28">
        <f t="shared" si="0"/>
        <v>51</v>
      </c>
      <c r="C55" s="27">
        <f t="shared" si="1"/>
        <v>4</v>
      </c>
      <c r="D55" s="28">
        <f t="shared" si="2"/>
        <v>24</v>
      </c>
      <c r="E55" s="29">
        <f t="shared" si="3"/>
        <v>0</v>
      </c>
      <c r="F55" s="30">
        <f t="shared" si="4"/>
        <v>3.8431221764747008E-4</v>
      </c>
      <c r="G55" s="31">
        <f t="shared" si="5"/>
        <v>3.2031660684883612E-5</v>
      </c>
      <c r="H55" s="32">
        <f t="shared" si="6"/>
        <v>2.0000000000000004E-2</v>
      </c>
      <c r="I55" s="32">
        <f t="shared" si="7"/>
        <v>0</v>
      </c>
      <c r="J55" s="33">
        <f t="shared" si="54"/>
        <v>74.249455754737681</v>
      </c>
      <c r="K55" s="30">
        <f t="shared" si="8"/>
        <v>0</v>
      </c>
      <c r="L55" s="33">
        <f t="shared" si="9"/>
        <v>74.249455754737681</v>
      </c>
      <c r="M55" s="30">
        <f t="shared" si="10"/>
        <v>0</v>
      </c>
      <c r="N55" s="33">
        <f t="shared" si="11"/>
        <v>74.249455754737681</v>
      </c>
      <c r="O55" s="31">
        <f t="shared" si="12"/>
        <v>2.3783333727730362E-3</v>
      </c>
      <c r="P55" s="33">
        <f t="shared" si="13"/>
        <v>0.12489416834702755</v>
      </c>
      <c r="Q55" s="34">
        <f t="shared" si="55"/>
        <v>447037.41627188813</v>
      </c>
      <c r="R55" s="29">
        <f t="shared" si="14"/>
        <v>0</v>
      </c>
      <c r="S55" s="34">
        <f t="shared" si="15"/>
        <v>447037.41627188813</v>
      </c>
      <c r="T55" s="29">
        <f t="shared" si="16"/>
        <v>372.53118022657344</v>
      </c>
      <c r="U55" s="29">
        <f t="shared" si="17"/>
        <v>52962.583728111873</v>
      </c>
      <c r="V55" s="35">
        <f t="shared" si="18"/>
        <v>3.5234826753371975E-5</v>
      </c>
      <c r="W55" s="34">
        <f t="shared" si="19"/>
        <v>1.8661274620709796</v>
      </c>
      <c r="X55" s="34">
        <f t="shared" si="20"/>
        <v>446663.01896419947</v>
      </c>
      <c r="Y55" s="36">
        <f t="shared" si="21"/>
        <v>1.1563316833483439E-2</v>
      </c>
      <c r="Z55" s="34">
        <f t="shared" si="22"/>
        <v>5164.9060060832599</v>
      </c>
      <c r="AA55" s="34">
        <f t="shared" si="23"/>
        <v>449245.47196724109</v>
      </c>
      <c r="AB55" s="34">
        <f t="shared" si="24"/>
        <v>33192284.860191807</v>
      </c>
      <c r="AC55" s="34">
        <f t="shared" si="25"/>
        <v>33192284.860191807</v>
      </c>
      <c r="AD55" s="34">
        <f t="shared" si="26"/>
        <v>33192284.860191807</v>
      </c>
      <c r="AE55" s="34">
        <f t="shared" si="27"/>
        <v>0</v>
      </c>
      <c r="AF55" s="34">
        <f t="shared" si="28"/>
        <v>0</v>
      </c>
      <c r="AG55" s="29">
        <f t="shared" si="29"/>
        <v>500000</v>
      </c>
      <c r="AH55" s="34">
        <f t="shared" si="30"/>
        <v>1189.1666863865182</v>
      </c>
      <c r="AI55" s="34">
        <f t="shared" si="31"/>
        <v>1068.4554985468631</v>
      </c>
      <c r="AJ55" s="34">
        <f t="shared" si="32"/>
        <v>56108.139605016455</v>
      </c>
      <c r="AK55" s="34">
        <f t="shared" si="33"/>
        <v>0</v>
      </c>
      <c r="AL55" s="34">
        <f t="shared" si="34"/>
        <v>56108.139605016455</v>
      </c>
      <c r="AM55" s="34">
        <f t="shared" si="35"/>
        <v>0</v>
      </c>
      <c r="AN55" s="34">
        <f t="shared" si="36"/>
        <v>57297.306291402972</v>
      </c>
      <c r="AO55" s="34">
        <f t="shared" si="37"/>
        <v>120.71118783965512</v>
      </c>
      <c r="AP55" s="34">
        <f t="shared" si="38"/>
        <v>138.55894842774012</v>
      </c>
      <c r="AQ55" s="34">
        <f t="shared" si="39"/>
        <v>27660.237383493175</v>
      </c>
      <c r="AR55" s="34">
        <f t="shared" si="40"/>
        <v>383162.78472178697</v>
      </c>
      <c r="AS55" s="30">
        <f t="shared" si="41"/>
        <v>1.0431958208821066</v>
      </c>
      <c r="AT55" s="29">
        <f t="shared" si="42"/>
        <v>3227.3634144213843</v>
      </c>
      <c r="AU55" s="29">
        <f t="shared" si="43"/>
        <v>0</v>
      </c>
      <c r="AV55" s="34">
        <f t="shared" si="44"/>
        <v>298187.39328630269</v>
      </c>
      <c r="AW55" s="34">
        <f t="shared" si="45"/>
        <v>24450.721729659941</v>
      </c>
      <c r="AX55" s="29">
        <f t="shared" si="46"/>
        <v>24432.873969071792</v>
      </c>
      <c r="AY55" s="34">
        <f t="shared" si="47"/>
        <v>17.847760588084995</v>
      </c>
      <c r="AZ55" s="37">
        <f t="shared" si="48"/>
        <v>2.6159987333025778E-15</v>
      </c>
      <c r="BA55" s="37">
        <f t="shared" si="49"/>
        <v>-1.112343316710032E-16</v>
      </c>
      <c r="BB55" s="35">
        <f t="shared" si="50"/>
        <v>7.1881800016160291E-4</v>
      </c>
      <c r="BC55" s="31">
        <f t="shared" si="51"/>
        <v>0.96401680833998993</v>
      </c>
      <c r="BD55" s="34">
        <f t="shared" si="52"/>
        <v>23570.906723436015</v>
      </c>
    </row>
    <row r="56" spans="1:56" x14ac:dyDescent="0.2">
      <c r="A56" s="27">
        <f t="shared" si="53"/>
        <v>52</v>
      </c>
      <c r="B56" s="28">
        <f t="shared" si="0"/>
        <v>52</v>
      </c>
      <c r="C56" s="27">
        <f t="shared" si="1"/>
        <v>4</v>
      </c>
      <c r="D56" s="28">
        <f t="shared" si="2"/>
        <v>24</v>
      </c>
      <c r="E56" s="29">
        <f t="shared" si="3"/>
        <v>0</v>
      </c>
      <c r="F56" s="30">
        <f t="shared" si="4"/>
        <v>3.8431221764747008E-4</v>
      </c>
      <c r="G56" s="31">
        <f t="shared" si="5"/>
        <v>3.2031660684883612E-5</v>
      </c>
      <c r="H56" s="32">
        <f t="shared" si="6"/>
        <v>2.0000000000000004E-2</v>
      </c>
      <c r="I56" s="32">
        <f t="shared" si="7"/>
        <v>0</v>
      </c>
      <c r="J56" s="33">
        <f t="shared" si="54"/>
        <v>74.12218325301788</v>
      </c>
      <c r="K56" s="30">
        <f t="shared" si="8"/>
        <v>0</v>
      </c>
      <c r="L56" s="33">
        <f t="shared" si="9"/>
        <v>74.12218325301788</v>
      </c>
      <c r="M56" s="30">
        <f t="shared" si="10"/>
        <v>0</v>
      </c>
      <c r="N56" s="33">
        <f t="shared" si="11"/>
        <v>74.12218325301788</v>
      </c>
      <c r="O56" s="31">
        <f t="shared" si="12"/>
        <v>2.3742566231834314E-3</v>
      </c>
      <c r="P56" s="33">
        <f t="shared" si="13"/>
        <v>0.12468008471376502</v>
      </c>
      <c r="Q56" s="34">
        <f t="shared" si="55"/>
        <v>451827.92497028271</v>
      </c>
      <c r="R56" s="29">
        <f t="shared" si="14"/>
        <v>0</v>
      </c>
      <c r="S56" s="34">
        <f t="shared" si="15"/>
        <v>451827.92497028271</v>
      </c>
      <c r="T56" s="29">
        <f t="shared" si="16"/>
        <v>376.52327080856895</v>
      </c>
      <c r="U56" s="29">
        <f t="shared" si="17"/>
        <v>48172.075029717293</v>
      </c>
      <c r="V56" s="35">
        <f t="shared" si="18"/>
        <v>3.5234826753371975E-5</v>
      </c>
      <c r="W56" s="34">
        <f t="shared" si="19"/>
        <v>1.6973347180225249</v>
      </c>
      <c r="X56" s="34">
        <f t="shared" si="20"/>
        <v>451449.70436475612</v>
      </c>
      <c r="Y56" s="36">
        <f t="shared" si="21"/>
        <v>-3.6423565636144462E-3</v>
      </c>
      <c r="Z56" s="34">
        <f t="shared" si="22"/>
        <v>-1644.3407938347707</v>
      </c>
      <c r="AA56" s="34">
        <f t="shared" si="23"/>
        <v>450627.53396783874</v>
      </c>
      <c r="AB56" s="34">
        <f t="shared" si="24"/>
        <v>33490472.25347811</v>
      </c>
      <c r="AC56" s="34">
        <f t="shared" si="25"/>
        <v>33490472.25347811</v>
      </c>
      <c r="AD56" s="34">
        <f t="shared" si="26"/>
        <v>33490472.25347811</v>
      </c>
      <c r="AE56" s="34">
        <f t="shared" si="27"/>
        <v>0</v>
      </c>
      <c r="AF56" s="34">
        <f t="shared" si="28"/>
        <v>0</v>
      </c>
      <c r="AG56" s="29">
        <f t="shared" si="29"/>
        <v>500000</v>
      </c>
      <c r="AH56" s="34">
        <f t="shared" si="30"/>
        <v>1187.1283115917158</v>
      </c>
      <c r="AI56" s="34">
        <f t="shared" si="31"/>
        <v>1069.9054071119579</v>
      </c>
      <c r="AJ56" s="34">
        <f t="shared" si="32"/>
        <v>56184.279109465155</v>
      </c>
      <c r="AK56" s="34">
        <f t="shared" si="33"/>
        <v>0</v>
      </c>
      <c r="AL56" s="34">
        <f t="shared" si="34"/>
        <v>56184.279109465155</v>
      </c>
      <c r="AM56" s="34">
        <f t="shared" si="35"/>
        <v>0</v>
      </c>
      <c r="AN56" s="34">
        <f t="shared" si="36"/>
        <v>57371.407421056872</v>
      </c>
      <c r="AO56" s="34">
        <f t="shared" si="37"/>
        <v>117.22290447975787</v>
      </c>
      <c r="AP56" s="34">
        <f t="shared" si="38"/>
        <v>125.81015501097502</v>
      </c>
      <c r="AQ56" s="34">
        <f t="shared" si="39"/>
        <v>27908.726877898425</v>
      </c>
      <c r="AR56" s="34">
        <f t="shared" si="40"/>
        <v>-121777.6693327867</v>
      </c>
      <c r="AS56" s="30">
        <f t="shared" si="41"/>
        <v>1.044061191576255</v>
      </c>
      <c r="AT56" s="29">
        <f t="shared" si="42"/>
        <v>3224.5039570574741</v>
      </c>
      <c r="AU56" s="29">
        <f t="shared" si="43"/>
        <v>0</v>
      </c>
      <c r="AV56" s="34">
        <f t="shared" si="44"/>
        <v>-207066.39088227227</v>
      </c>
      <c r="AW56" s="34">
        <f t="shared" si="45"/>
        <v>24692.810171371209</v>
      </c>
      <c r="AX56" s="29">
        <f t="shared" si="46"/>
        <v>24684.222920840952</v>
      </c>
      <c r="AY56" s="34">
        <f t="shared" si="47"/>
        <v>8.5872505312171512</v>
      </c>
      <c r="AZ56" s="37">
        <f t="shared" si="48"/>
        <v>-3.8854121006436899E-14</v>
      </c>
      <c r="BA56" s="37">
        <f t="shared" si="49"/>
        <v>1.112343316710032E-16</v>
      </c>
      <c r="BB56" s="35">
        <f t="shared" si="50"/>
        <v>7.1881800016160291E-4</v>
      </c>
      <c r="BC56" s="31">
        <f t="shared" si="51"/>
        <v>0.96332435345473288</v>
      </c>
      <c r="BD56" s="34">
        <f t="shared" si="52"/>
        <v>23787.185393316624</v>
      </c>
    </row>
    <row r="57" spans="1:56" x14ac:dyDescent="0.2">
      <c r="A57" s="27">
        <f t="shared" si="53"/>
        <v>53</v>
      </c>
      <c r="B57" s="28">
        <f t="shared" si="0"/>
        <v>53</v>
      </c>
      <c r="C57" s="27">
        <f t="shared" si="1"/>
        <v>4</v>
      </c>
      <c r="D57" s="28">
        <f t="shared" si="2"/>
        <v>24</v>
      </c>
      <c r="E57" s="29">
        <f t="shared" si="3"/>
        <v>0</v>
      </c>
      <c r="F57" s="30">
        <f t="shared" si="4"/>
        <v>3.8431221764747008E-4</v>
      </c>
      <c r="G57" s="31">
        <f t="shared" si="5"/>
        <v>3.2031660684883612E-5</v>
      </c>
      <c r="H57" s="32">
        <f t="shared" si="6"/>
        <v>2.0000000000000004E-2</v>
      </c>
      <c r="I57" s="32">
        <f t="shared" si="7"/>
        <v>0</v>
      </c>
      <c r="J57" s="33">
        <f t="shared" si="54"/>
        <v>73.995128911680936</v>
      </c>
      <c r="K57" s="30">
        <f t="shared" si="8"/>
        <v>0</v>
      </c>
      <c r="L57" s="33">
        <f t="shared" si="9"/>
        <v>73.995128911680936</v>
      </c>
      <c r="M57" s="30">
        <f t="shared" si="10"/>
        <v>0</v>
      </c>
      <c r="N57" s="33">
        <f t="shared" si="11"/>
        <v>73.995128911680936</v>
      </c>
      <c r="O57" s="31">
        <f t="shared" si="12"/>
        <v>2.3701868616331848E-3</v>
      </c>
      <c r="P57" s="33">
        <f t="shared" si="13"/>
        <v>0.12446636804561091</v>
      </c>
      <c r="Q57" s="34">
        <f t="shared" si="55"/>
        <v>449805.36357092136</v>
      </c>
      <c r="R57" s="29">
        <f t="shared" si="14"/>
        <v>0</v>
      </c>
      <c r="S57" s="34">
        <f t="shared" si="15"/>
        <v>449805.36357092136</v>
      </c>
      <c r="T57" s="29">
        <f t="shared" si="16"/>
        <v>374.83780297576783</v>
      </c>
      <c r="U57" s="29">
        <f t="shared" si="17"/>
        <v>50194.636429078644</v>
      </c>
      <c r="V57" s="35">
        <f t="shared" si="18"/>
        <v>3.5234826753371975E-5</v>
      </c>
      <c r="W57" s="34">
        <f t="shared" si="19"/>
        <v>1.7685993185270799</v>
      </c>
      <c r="X57" s="34">
        <f t="shared" si="20"/>
        <v>449428.75716862705</v>
      </c>
      <c r="Y57" s="36">
        <f t="shared" si="21"/>
        <v>2.8992398130778252E-3</v>
      </c>
      <c r="Z57" s="34">
        <f t="shared" si="22"/>
        <v>1303.0017459253695</v>
      </c>
      <c r="AA57" s="34">
        <f t="shared" si="23"/>
        <v>450080.25804158975</v>
      </c>
      <c r="AB57" s="34">
        <f t="shared" si="24"/>
        <v>33283405.862595838</v>
      </c>
      <c r="AC57" s="34">
        <f t="shared" si="25"/>
        <v>33283405.862595838</v>
      </c>
      <c r="AD57" s="34">
        <f t="shared" si="26"/>
        <v>33283405.862595838</v>
      </c>
      <c r="AE57" s="34">
        <f t="shared" si="27"/>
        <v>0</v>
      </c>
      <c r="AF57" s="34">
        <f t="shared" si="28"/>
        <v>0</v>
      </c>
      <c r="AG57" s="29">
        <f t="shared" si="29"/>
        <v>500000</v>
      </c>
      <c r="AH57" s="34">
        <f t="shared" si="30"/>
        <v>1185.0934308165924</v>
      </c>
      <c r="AI57" s="34">
        <f t="shared" si="31"/>
        <v>1066.7743142906495</v>
      </c>
      <c r="AJ57" s="34">
        <f t="shared" si="32"/>
        <v>56019.855047468038</v>
      </c>
      <c r="AK57" s="34">
        <f t="shared" si="33"/>
        <v>0</v>
      </c>
      <c r="AL57" s="34">
        <f t="shared" si="34"/>
        <v>56019.855047468038</v>
      </c>
      <c r="AM57" s="34">
        <f t="shared" si="35"/>
        <v>0</v>
      </c>
      <c r="AN57" s="34">
        <f t="shared" si="36"/>
        <v>57204.948478284627</v>
      </c>
      <c r="AO57" s="34">
        <f t="shared" si="37"/>
        <v>118.31911652594279</v>
      </c>
      <c r="AP57" s="34">
        <f t="shared" si="38"/>
        <v>130.86773456752232</v>
      </c>
      <c r="AQ57" s="34">
        <f t="shared" si="39"/>
        <v>27736.1715521632</v>
      </c>
      <c r="AR57" s="34">
        <f t="shared" si="40"/>
        <v>96333.148035647391</v>
      </c>
      <c r="AS57" s="30">
        <f t="shared" si="41"/>
        <v>1.0449272801283773</v>
      </c>
      <c r="AT57" s="29">
        <f t="shared" si="42"/>
        <v>3221.6470331846426</v>
      </c>
      <c r="AU57" s="29">
        <f t="shared" si="43"/>
        <v>0</v>
      </c>
      <c r="AV57" s="34">
        <f t="shared" si="44"/>
        <v>11379.479387149215</v>
      </c>
      <c r="AW57" s="34">
        <f t="shared" si="45"/>
        <v>24527.073137028907</v>
      </c>
      <c r="AX57" s="29">
        <f t="shared" si="46"/>
        <v>24514.524518978556</v>
      </c>
      <c r="AY57" s="34">
        <f t="shared" si="47"/>
        <v>12.54861804157953</v>
      </c>
      <c r="AZ57" s="37">
        <f t="shared" si="48"/>
        <v>3.5759715737499914E-13</v>
      </c>
      <c r="BA57" s="37">
        <f t="shared" si="49"/>
        <v>-3.356643024003387E-16</v>
      </c>
      <c r="BB57" s="35">
        <f t="shared" si="50"/>
        <v>7.1881800016160291E-4</v>
      </c>
      <c r="BC57" s="31">
        <f t="shared" si="51"/>
        <v>0.96263239596097738</v>
      </c>
      <c r="BD57" s="34">
        <f t="shared" si="52"/>
        <v>23610.555179808263</v>
      </c>
    </row>
    <row r="58" spans="1:56" x14ac:dyDescent="0.2">
      <c r="A58" s="27">
        <f t="shared" si="53"/>
        <v>54</v>
      </c>
      <c r="B58" s="28">
        <f t="shared" si="0"/>
        <v>54</v>
      </c>
      <c r="C58" s="27">
        <f t="shared" si="1"/>
        <v>4</v>
      </c>
      <c r="D58" s="28">
        <f t="shared" si="2"/>
        <v>24</v>
      </c>
      <c r="E58" s="29">
        <f t="shared" si="3"/>
        <v>0</v>
      </c>
      <c r="F58" s="30">
        <f t="shared" si="4"/>
        <v>3.8431221764747008E-4</v>
      </c>
      <c r="G58" s="31">
        <f t="shared" si="5"/>
        <v>3.2031660684883612E-5</v>
      </c>
      <c r="H58" s="32">
        <f t="shared" si="6"/>
        <v>2.0000000000000004E-2</v>
      </c>
      <c r="I58" s="32">
        <f t="shared" si="7"/>
        <v>0</v>
      </c>
      <c r="J58" s="33">
        <f t="shared" si="54"/>
        <v>73.868292356773679</v>
      </c>
      <c r="K58" s="30">
        <f t="shared" si="8"/>
        <v>0</v>
      </c>
      <c r="L58" s="33">
        <f t="shared" si="9"/>
        <v>73.868292356773679</v>
      </c>
      <c r="M58" s="30">
        <f t="shared" si="10"/>
        <v>0</v>
      </c>
      <c r="N58" s="33">
        <f t="shared" si="11"/>
        <v>73.868292356773679</v>
      </c>
      <c r="O58" s="31">
        <f t="shared" si="12"/>
        <v>2.366124076143956E-3</v>
      </c>
      <c r="P58" s="33">
        <f t="shared" si="13"/>
        <v>0.12425301771354288</v>
      </c>
      <c r="Q58" s="34">
        <f t="shared" si="55"/>
        <v>450731.7589145524</v>
      </c>
      <c r="R58" s="29">
        <f t="shared" si="14"/>
        <v>0</v>
      </c>
      <c r="S58" s="34">
        <f t="shared" si="15"/>
        <v>450731.7589145524</v>
      </c>
      <c r="T58" s="29">
        <f t="shared" si="16"/>
        <v>375.60979909546035</v>
      </c>
      <c r="U58" s="29">
        <f t="shared" si="17"/>
        <v>49268.241085447604</v>
      </c>
      <c r="V58" s="35">
        <f t="shared" si="18"/>
        <v>3.5234826753371975E-5</v>
      </c>
      <c r="W58" s="34">
        <f t="shared" si="19"/>
        <v>1.7359579390891096</v>
      </c>
      <c r="X58" s="34">
        <f t="shared" si="20"/>
        <v>450354.41315751785</v>
      </c>
      <c r="Y58" s="36">
        <f t="shared" si="21"/>
        <v>8.9295718803978907E-3</v>
      </c>
      <c r="Z58" s="34">
        <f t="shared" si="22"/>
        <v>4021.4721039444653</v>
      </c>
      <c r="AA58" s="34">
        <f t="shared" si="23"/>
        <v>452365.1492094901</v>
      </c>
      <c r="AB58" s="34">
        <f t="shared" si="24"/>
        <v>33294785.341982987</v>
      </c>
      <c r="AC58" s="34">
        <f t="shared" si="25"/>
        <v>33294785.341982987</v>
      </c>
      <c r="AD58" s="34">
        <f t="shared" si="26"/>
        <v>33294785.341982987</v>
      </c>
      <c r="AE58" s="34">
        <f t="shared" si="27"/>
        <v>0</v>
      </c>
      <c r="AF58" s="34">
        <f t="shared" si="28"/>
        <v>0</v>
      </c>
      <c r="AG58" s="29">
        <f t="shared" si="29"/>
        <v>500000</v>
      </c>
      <c r="AH58" s="34">
        <f t="shared" si="30"/>
        <v>1183.0620380719779</v>
      </c>
      <c r="AI58" s="34">
        <f t="shared" si="31"/>
        <v>1070.3520707530276</v>
      </c>
      <c r="AJ58" s="34">
        <f t="shared" si="32"/>
        <v>56207.734897716247</v>
      </c>
      <c r="AK58" s="34">
        <f t="shared" si="33"/>
        <v>0</v>
      </c>
      <c r="AL58" s="34">
        <f t="shared" si="34"/>
        <v>56207.734897716247</v>
      </c>
      <c r="AM58" s="34">
        <f t="shared" si="35"/>
        <v>0</v>
      </c>
      <c r="AN58" s="34">
        <f t="shared" si="36"/>
        <v>57390.796935788225</v>
      </c>
      <c r="AO58" s="34">
        <f t="shared" si="37"/>
        <v>112.70996731895042</v>
      </c>
      <c r="AP58" s="34">
        <f t="shared" si="38"/>
        <v>128.23224856369666</v>
      </c>
      <c r="AQ58" s="34">
        <f t="shared" si="39"/>
        <v>27745.654451652492</v>
      </c>
      <c r="AR58" s="34">
        <f t="shared" si="40"/>
        <v>296804.67940551322</v>
      </c>
      <c r="AS58" s="30">
        <f t="shared" si="41"/>
        <v>1.0457940871339639</v>
      </c>
      <c r="AT58" s="29">
        <f t="shared" si="42"/>
        <v>3218.7926405582039</v>
      </c>
      <c r="AU58" s="29">
        <f t="shared" si="43"/>
        <v>0</v>
      </c>
      <c r="AV58" s="34">
        <f t="shared" si="44"/>
        <v>211652.70573682711</v>
      </c>
      <c r="AW58" s="34">
        <f t="shared" si="45"/>
        <v>24542.384092339664</v>
      </c>
      <c r="AX58" s="29">
        <f t="shared" si="46"/>
        <v>24526.861811094288</v>
      </c>
      <c r="AY58" s="34">
        <f t="shared" si="47"/>
        <v>15.522281244746239</v>
      </c>
      <c r="AZ58" s="37">
        <f t="shared" si="48"/>
        <v>2.5651169891027229E-14</v>
      </c>
      <c r="BA58" s="37">
        <f t="shared" si="49"/>
        <v>2.2236265717987462E-16</v>
      </c>
      <c r="BB58" s="35">
        <f t="shared" si="50"/>
        <v>7.1881800016160291E-4</v>
      </c>
      <c r="BC58" s="31">
        <f t="shared" si="51"/>
        <v>0.96194093550144666</v>
      </c>
      <c r="BD58" s="34">
        <f t="shared" si="52"/>
        <v>23608.32391322104</v>
      </c>
    </row>
    <row r="59" spans="1:56" x14ac:dyDescent="0.2">
      <c r="A59" s="27">
        <f t="shared" si="53"/>
        <v>55</v>
      </c>
      <c r="B59" s="28">
        <f t="shared" si="0"/>
        <v>55</v>
      </c>
      <c r="C59" s="27">
        <f t="shared" si="1"/>
        <v>4</v>
      </c>
      <c r="D59" s="28">
        <f t="shared" si="2"/>
        <v>24</v>
      </c>
      <c r="E59" s="29">
        <f t="shared" si="3"/>
        <v>0</v>
      </c>
      <c r="F59" s="30">
        <f t="shared" si="4"/>
        <v>3.8431221764747008E-4</v>
      </c>
      <c r="G59" s="31">
        <f t="shared" si="5"/>
        <v>3.2031660684883612E-5</v>
      </c>
      <c r="H59" s="32">
        <f t="shared" si="6"/>
        <v>2.0000000000000004E-2</v>
      </c>
      <c r="I59" s="32">
        <f t="shared" si="7"/>
        <v>0</v>
      </c>
      <c r="J59" s="33">
        <f t="shared" si="54"/>
        <v>73.74167321498399</v>
      </c>
      <c r="K59" s="30">
        <f t="shared" si="8"/>
        <v>0</v>
      </c>
      <c r="L59" s="33">
        <f t="shared" si="9"/>
        <v>73.74167321498399</v>
      </c>
      <c r="M59" s="30">
        <f t="shared" si="10"/>
        <v>0</v>
      </c>
      <c r="N59" s="33">
        <f t="shared" si="11"/>
        <v>73.74167321498399</v>
      </c>
      <c r="O59" s="31">
        <f t="shared" si="12"/>
        <v>2.3620682547579376E-3</v>
      </c>
      <c r="P59" s="33">
        <f t="shared" si="13"/>
        <v>0.12404003308961684</v>
      </c>
      <c r="Q59" s="34">
        <f t="shared" si="55"/>
        <v>454375.8852614623</v>
      </c>
      <c r="R59" s="29">
        <f t="shared" si="14"/>
        <v>0</v>
      </c>
      <c r="S59" s="34">
        <f t="shared" si="15"/>
        <v>454375.8852614623</v>
      </c>
      <c r="T59" s="29">
        <f t="shared" si="16"/>
        <v>378.64657105121859</v>
      </c>
      <c r="U59" s="29">
        <f t="shared" si="17"/>
        <v>45624.114738537697</v>
      </c>
      <c r="V59" s="35">
        <f t="shared" si="18"/>
        <v>3.5234826753371975E-5</v>
      </c>
      <c r="W59" s="34">
        <f t="shared" si="19"/>
        <v>1.6075577785883408</v>
      </c>
      <c r="X59" s="34">
        <f t="shared" si="20"/>
        <v>453995.63113263249</v>
      </c>
      <c r="Y59" s="36">
        <f t="shared" si="21"/>
        <v>8.8164629315445886E-3</v>
      </c>
      <c r="Z59" s="34">
        <f t="shared" si="22"/>
        <v>4002.6356529640448</v>
      </c>
      <c r="AA59" s="34">
        <f t="shared" si="23"/>
        <v>455996.9489591145</v>
      </c>
      <c r="AB59" s="34">
        <f t="shared" si="24"/>
        <v>33506438.047719814</v>
      </c>
      <c r="AC59" s="34">
        <f t="shared" si="25"/>
        <v>33506438.047719814</v>
      </c>
      <c r="AD59" s="34">
        <f t="shared" si="26"/>
        <v>33506438.047719814</v>
      </c>
      <c r="AE59" s="34">
        <f t="shared" si="27"/>
        <v>0</v>
      </c>
      <c r="AF59" s="34">
        <f t="shared" si="28"/>
        <v>0</v>
      </c>
      <c r="AG59" s="29">
        <f t="shared" si="29"/>
        <v>500000</v>
      </c>
      <c r="AH59" s="34">
        <f t="shared" si="30"/>
        <v>1181.0341273789688</v>
      </c>
      <c r="AI59" s="34">
        <f t="shared" si="31"/>
        <v>1077.0959174027998</v>
      </c>
      <c r="AJ59" s="34">
        <f t="shared" si="32"/>
        <v>56561.87663765288</v>
      </c>
      <c r="AK59" s="34">
        <f t="shared" si="33"/>
        <v>0</v>
      </c>
      <c r="AL59" s="34">
        <f t="shared" si="34"/>
        <v>56561.87663765288</v>
      </c>
      <c r="AM59" s="34">
        <f t="shared" si="35"/>
        <v>0</v>
      </c>
      <c r="AN59" s="34">
        <f t="shared" si="36"/>
        <v>57742.910765031847</v>
      </c>
      <c r="AO59" s="34">
        <f t="shared" si="37"/>
        <v>103.93820997616888</v>
      </c>
      <c r="AP59" s="34">
        <f t="shared" si="38"/>
        <v>118.54400038286701</v>
      </c>
      <c r="AQ59" s="34">
        <f t="shared" si="39"/>
        <v>27922.031706433179</v>
      </c>
      <c r="AR59" s="34">
        <f t="shared" si="40"/>
        <v>294908.07954079338</v>
      </c>
      <c r="AS59" s="30">
        <f t="shared" si="41"/>
        <v>1.0466616131889994</v>
      </c>
      <c r="AT59" s="29">
        <f t="shared" si="42"/>
        <v>3215.9407769354657</v>
      </c>
      <c r="AU59" s="29">
        <f t="shared" si="43"/>
        <v>0</v>
      </c>
      <c r="AV59" s="34">
        <f t="shared" si="44"/>
        <v>209228.53127892315</v>
      </c>
      <c r="AW59" s="34">
        <f t="shared" si="45"/>
        <v>24720.696719902917</v>
      </c>
      <c r="AX59" s="29">
        <f t="shared" si="46"/>
        <v>24706.090929497714</v>
      </c>
      <c r="AY59" s="34">
        <f t="shared" si="47"/>
        <v>14.605790406698134</v>
      </c>
      <c r="AZ59" s="37">
        <f t="shared" si="48"/>
        <v>-6.0474910273690778E-14</v>
      </c>
      <c r="BA59" s="37">
        <f t="shared" si="49"/>
        <v>0</v>
      </c>
      <c r="BB59" s="35">
        <f t="shared" si="50"/>
        <v>7.1881800016160291E-4</v>
      </c>
      <c r="BC59" s="31">
        <f t="shared" si="51"/>
        <v>0.96124997171912019</v>
      </c>
      <c r="BD59" s="34">
        <f t="shared" si="52"/>
        <v>23762.769022883625</v>
      </c>
    </row>
    <row r="60" spans="1:56" x14ac:dyDescent="0.2">
      <c r="A60" s="27">
        <f t="shared" si="53"/>
        <v>56</v>
      </c>
      <c r="B60" s="28">
        <f t="shared" si="0"/>
        <v>56</v>
      </c>
      <c r="C60" s="27">
        <f t="shared" si="1"/>
        <v>4</v>
      </c>
      <c r="D60" s="28">
        <f t="shared" si="2"/>
        <v>24</v>
      </c>
      <c r="E60" s="29">
        <f t="shared" si="3"/>
        <v>0</v>
      </c>
      <c r="F60" s="30">
        <f t="shared" si="4"/>
        <v>3.8431221764747008E-4</v>
      </c>
      <c r="G60" s="31">
        <f t="shared" si="5"/>
        <v>3.2031660684883612E-5</v>
      </c>
      <c r="H60" s="32">
        <f t="shared" si="6"/>
        <v>2.0000000000000004E-2</v>
      </c>
      <c r="I60" s="32">
        <f t="shared" si="7"/>
        <v>0</v>
      </c>
      <c r="J60" s="33">
        <f t="shared" si="54"/>
        <v>73.615271113639622</v>
      </c>
      <c r="K60" s="30">
        <f t="shared" si="8"/>
        <v>0</v>
      </c>
      <c r="L60" s="33">
        <f t="shared" si="9"/>
        <v>73.615271113639622</v>
      </c>
      <c r="M60" s="30">
        <f t="shared" si="10"/>
        <v>0</v>
      </c>
      <c r="N60" s="33">
        <f t="shared" si="11"/>
        <v>73.615271113639622</v>
      </c>
      <c r="O60" s="31">
        <f t="shared" si="12"/>
        <v>2.3580193855378185E-3</v>
      </c>
      <c r="P60" s="33">
        <f t="shared" si="13"/>
        <v>0.12382741354696497</v>
      </c>
      <c r="Q60" s="34">
        <f t="shared" si="55"/>
        <v>457998.26678559656</v>
      </c>
      <c r="R60" s="29">
        <f t="shared" si="14"/>
        <v>0</v>
      </c>
      <c r="S60" s="34">
        <f t="shared" si="15"/>
        <v>457998.26678559656</v>
      </c>
      <c r="T60" s="29">
        <f t="shared" si="16"/>
        <v>381.66522232133048</v>
      </c>
      <c r="U60" s="29">
        <f t="shared" si="17"/>
        <v>42001.733214403444</v>
      </c>
      <c r="V60" s="35">
        <f t="shared" si="18"/>
        <v>3.5234826753371975E-5</v>
      </c>
      <c r="W60" s="34">
        <f t="shared" si="19"/>
        <v>1.4799237931508549</v>
      </c>
      <c r="X60" s="34">
        <f t="shared" si="20"/>
        <v>457615.12163948204</v>
      </c>
      <c r="Y60" s="36">
        <f t="shared" si="21"/>
        <v>-5.6733045724843834E-4</v>
      </c>
      <c r="Z60" s="34">
        <f t="shared" si="22"/>
        <v>-259.61899620352705</v>
      </c>
      <c r="AA60" s="34">
        <f t="shared" si="23"/>
        <v>457485.31214138027</v>
      </c>
      <c r="AB60" s="34">
        <f t="shared" si="24"/>
        <v>33715666.578998737</v>
      </c>
      <c r="AC60" s="34">
        <f t="shared" si="25"/>
        <v>33715666.578998737</v>
      </c>
      <c r="AD60" s="34">
        <f t="shared" si="26"/>
        <v>33715666.578998737</v>
      </c>
      <c r="AE60" s="34">
        <f t="shared" si="27"/>
        <v>0</v>
      </c>
      <c r="AF60" s="34">
        <f t="shared" si="28"/>
        <v>0</v>
      </c>
      <c r="AG60" s="29">
        <f t="shared" si="29"/>
        <v>500000</v>
      </c>
      <c r="AH60" s="34">
        <f t="shared" si="30"/>
        <v>1179.0096927689092</v>
      </c>
      <c r="AI60" s="34">
        <f t="shared" si="31"/>
        <v>1078.7592346281947</v>
      </c>
      <c r="AJ60" s="34">
        <f t="shared" si="32"/>
        <v>56649.222938193052</v>
      </c>
      <c r="AK60" s="34">
        <f t="shared" si="33"/>
        <v>0</v>
      </c>
      <c r="AL60" s="34">
        <f t="shared" si="34"/>
        <v>56649.222938193052</v>
      </c>
      <c r="AM60" s="34">
        <f t="shared" si="35"/>
        <v>0</v>
      </c>
      <c r="AN60" s="34">
        <f t="shared" si="36"/>
        <v>57828.23263096196</v>
      </c>
      <c r="AO60" s="34">
        <f t="shared" si="37"/>
        <v>100.25045814071464</v>
      </c>
      <c r="AP60" s="34">
        <f t="shared" si="38"/>
        <v>108.94499126032611</v>
      </c>
      <c r="AQ60" s="34">
        <f t="shared" si="39"/>
        <v>28096.388815832284</v>
      </c>
      <c r="AR60" s="34">
        <f t="shared" si="40"/>
        <v>-19095.542724056901</v>
      </c>
      <c r="AS60" s="30">
        <f t="shared" si="41"/>
        <v>1.0475298588899629</v>
      </c>
      <c r="AT60" s="29">
        <f t="shared" si="42"/>
        <v>3213.0914400757197</v>
      </c>
      <c r="AU60" s="29">
        <f t="shared" si="43"/>
        <v>0</v>
      </c>
      <c r="AV60" s="34">
        <f t="shared" si="44"/>
        <v>-105028.85870397091</v>
      </c>
      <c r="AW60" s="34">
        <f t="shared" si="45"/>
        <v>24891.991908876327</v>
      </c>
      <c r="AX60" s="29">
        <f t="shared" si="46"/>
        <v>24883.297375756563</v>
      </c>
      <c r="AY60" s="34">
        <f t="shared" si="47"/>
        <v>8.6945331196114637</v>
      </c>
      <c r="AZ60" s="37">
        <f t="shared" si="48"/>
        <v>6.1257641273675337E-15</v>
      </c>
      <c r="BA60" s="37">
        <f t="shared" si="49"/>
        <v>2.2098274638783933E-16</v>
      </c>
      <c r="BB60" s="35">
        <f t="shared" si="50"/>
        <v>7.1881800016160291E-4</v>
      </c>
      <c r="BC60" s="31">
        <f t="shared" si="51"/>
        <v>0.9605595042572338</v>
      </c>
      <c r="BD60" s="34">
        <f t="shared" si="52"/>
        <v>23910.23940796532</v>
      </c>
    </row>
    <row r="61" spans="1:56" x14ac:dyDescent="0.2">
      <c r="A61" s="27">
        <f t="shared" si="53"/>
        <v>57</v>
      </c>
      <c r="B61" s="28">
        <f t="shared" si="0"/>
        <v>57</v>
      </c>
      <c r="C61" s="27">
        <f t="shared" si="1"/>
        <v>4</v>
      </c>
      <c r="D61" s="28">
        <f t="shared" si="2"/>
        <v>24</v>
      </c>
      <c r="E61" s="29">
        <f t="shared" si="3"/>
        <v>0</v>
      </c>
      <c r="F61" s="30">
        <f t="shared" si="4"/>
        <v>3.8431221764747008E-4</v>
      </c>
      <c r="G61" s="31">
        <f t="shared" si="5"/>
        <v>3.2031660684883612E-5</v>
      </c>
      <c r="H61" s="32">
        <f t="shared" si="6"/>
        <v>2.0000000000000004E-2</v>
      </c>
      <c r="I61" s="32">
        <f t="shared" si="7"/>
        <v>0</v>
      </c>
      <c r="J61" s="33">
        <f t="shared" si="54"/>
        <v>73.48908568070712</v>
      </c>
      <c r="K61" s="30">
        <f t="shared" si="8"/>
        <v>0</v>
      </c>
      <c r="L61" s="33">
        <f t="shared" si="9"/>
        <v>73.48908568070712</v>
      </c>
      <c r="M61" s="30">
        <f t="shared" si="10"/>
        <v>0</v>
      </c>
      <c r="N61" s="33">
        <f t="shared" si="11"/>
        <v>73.48908568070712</v>
      </c>
      <c r="O61" s="31">
        <f t="shared" si="12"/>
        <v>2.3539774565667494E-3</v>
      </c>
      <c r="P61" s="33">
        <f t="shared" si="13"/>
        <v>0.12361515845979407</v>
      </c>
      <c r="Q61" s="34">
        <f t="shared" si="55"/>
        <v>457355.50264327851</v>
      </c>
      <c r="R61" s="29">
        <f t="shared" si="14"/>
        <v>0</v>
      </c>
      <c r="S61" s="34">
        <f t="shared" si="15"/>
        <v>457355.50264327851</v>
      </c>
      <c r="T61" s="29">
        <f t="shared" si="16"/>
        <v>381.12958553606546</v>
      </c>
      <c r="U61" s="29">
        <f t="shared" si="17"/>
        <v>42644.497356721491</v>
      </c>
      <c r="V61" s="35">
        <f t="shared" si="18"/>
        <v>3.5234826753371975E-5</v>
      </c>
      <c r="W61" s="34">
        <f t="shared" si="19"/>
        <v>1.5025714763487108</v>
      </c>
      <c r="X61" s="34">
        <f t="shared" si="20"/>
        <v>456972.8704862661</v>
      </c>
      <c r="Y61" s="36">
        <f t="shared" si="21"/>
        <v>3.4072967439437996E-3</v>
      </c>
      <c r="Z61" s="34">
        <f t="shared" si="22"/>
        <v>1557.0421736785061</v>
      </c>
      <c r="AA61" s="34">
        <f t="shared" si="23"/>
        <v>457751.39157310536</v>
      </c>
      <c r="AB61" s="34">
        <f t="shared" si="24"/>
        <v>33610637.720294766</v>
      </c>
      <c r="AC61" s="34">
        <f t="shared" si="25"/>
        <v>33610637.720294766</v>
      </c>
      <c r="AD61" s="34">
        <f t="shared" si="26"/>
        <v>33610637.720294766</v>
      </c>
      <c r="AE61" s="34">
        <f t="shared" si="27"/>
        <v>0</v>
      </c>
      <c r="AF61" s="34">
        <f t="shared" si="28"/>
        <v>0</v>
      </c>
      <c r="AG61" s="29">
        <f t="shared" si="29"/>
        <v>500000</v>
      </c>
      <c r="AH61" s="34">
        <f t="shared" si="30"/>
        <v>1176.9887282833747</v>
      </c>
      <c r="AI61" s="34">
        <f t="shared" si="31"/>
        <v>1077.5364564751487</v>
      </c>
      <c r="AJ61" s="34">
        <f t="shared" si="32"/>
        <v>56585.010804500664</v>
      </c>
      <c r="AK61" s="34">
        <f t="shared" si="33"/>
        <v>0</v>
      </c>
      <c r="AL61" s="34">
        <f t="shared" si="34"/>
        <v>56585.010804500664</v>
      </c>
      <c r="AM61" s="34">
        <f t="shared" si="35"/>
        <v>0</v>
      </c>
      <c r="AN61" s="34">
        <f t="shared" si="36"/>
        <v>57761.999532784037</v>
      </c>
      <c r="AO61" s="34">
        <f t="shared" si="37"/>
        <v>99.452271808225987</v>
      </c>
      <c r="AP61" s="34">
        <f t="shared" si="38"/>
        <v>110.422603966777</v>
      </c>
      <c r="AQ61" s="34">
        <f t="shared" si="39"/>
        <v>28008.864766912309</v>
      </c>
      <c r="AR61" s="34">
        <f t="shared" si="40"/>
        <v>114327.53608133238</v>
      </c>
      <c r="AS61" s="30">
        <f t="shared" si="41"/>
        <v>1.0483988248338278</v>
      </c>
      <c r="AT61" s="29">
        <f t="shared" si="42"/>
        <v>3210.2446277402432</v>
      </c>
      <c r="AU61" s="29">
        <f t="shared" si="43"/>
        <v>0</v>
      </c>
      <c r="AV61" s="34">
        <f t="shared" si="44"/>
        <v>28545.701449476182</v>
      </c>
      <c r="AW61" s="34">
        <f t="shared" si="45"/>
        <v>24809.590471331918</v>
      </c>
      <c r="AX61" s="29">
        <f t="shared" si="46"/>
        <v>24798.620139172068</v>
      </c>
      <c r="AY61" s="34">
        <f t="shared" si="47"/>
        <v>10.970332158551017</v>
      </c>
      <c r="AZ61" s="37">
        <f t="shared" si="48"/>
        <v>5.2355348430057167E-14</v>
      </c>
      <c r="BA61" s="37">
        <f t="shared" si="49"/>
        <v>0</v>
      </c>
      <c r="BB61" s="35">
        <f t="shared" si="50"/>
        <v>7.1881800016160291E-4</v>
      </c>
      <c r="BC61" s="31">
        <f t="shared" si="51"/>
        <v>0.95986953275927989</v>
      </c>
      <c r="BD61" s="34">
        <f t="shared" si="52"/>
        <v>23813.970013666451</v>
      </c>
    </row>
    <row r="62" spans="1:56" x14ac:dyDescent="0.2">
      <c r="A62" s="27">
        <f t="shared" si="53"/>
        <v>58</v>
      </c>
      <c r="B62" s="28">
        <f t="shared" si="0"/>
        <v>58</v>
      </c>
      <c r="C62" s="27">
        <f t="shared" si="1"/>
        <v>4</v>
      </c>
      <c r="D62" s="28">
        <f t="shared" si="2"/>
        <v>24</v>
      </c>
      <c r="E62" s="29">
        <f t="shared" si="3"/>
        <v>0</v>
      </c>
      <c r="F62" s="30">
        <f t="shared" si="4"/>
        <v>3.8431221764747008E-4</v>
      </c>
      <c r="G62" s="31">
        <f t="shared" si="5"/>
        <v>3.2031660684883612E-5</v>
      </c>
      <c r="H62" s="32">
        <f t="shared" si="6"/>
        <v>2.0000000000000004E-2</v>
      </c>
      <c r="I62" s="32">
        <f t="shared" si="7"/>
        <v>0</v>
      </c>
      <c r="J62" s="33">
        <f t="shared" si="54"/>
        <v>73.363116544790756</v>
      </c>
      <c r="K62" s="30">
        <f t="shared" si="8"/>
        <v>0</v>
      </c>
      <c r="L62" s="33">
        <f t="shared" si="9"/>
        <v>73.363116544790756</v>
      </c>
      <c r="M62" s="30">
        <f t="shared" si="10"/>
        <v>0</v>
      </c>
      <c r="N62" s="33">
        <f t="shared" si="11"/>
        <v>73.363116544790756</v>
      </c>
      <c r="O62" s="31">
        <f t="shared" si="12"/>
        <v>2.3499424559483085E-3</v>
      </c>
      <c r="P62" s="33">
        <f t="shared" si="13"/>
        <v>0.12340326720338354</v>
      </c>
      <c r="Q62" s="34">
        <f t="shared" si="55"/>
        <v>458529.91265994462</v>
      </c>
      <c r="R62" s="29">
        <f t="shared" si="14"/>
        <v>0</v>
      </c>
      <c r="S62" s="34">
        <f t="shared" si="15"/>
        <v>458529.91265994462</v>
      </c>
      <c r="T62" s="29">
        <f t="shared" si="16"/>
        <v>382.10826054995385</v>
      </c>
      <c r="U62" s="29">
        <f t="shared" si="17"/>
        <v>41470.087340055383</v>
      </c>
      <c r="V62" s="35">
        <f t="shared" si="18"/>
        <v>3.5234826753371975E-5</v>
      </c>
      <c r="W62" s="34">
        <f t="shared" si="19"/>
        <v>1.4611913428740559</v>
      </c>
      <c r="X62" s="34">
        <f t="shared" si="20"/>
        <v>458146.34320805181</v>
      </c>
      <c r="Y62" s="36">
        <f t="shared" si="21"/>
        <v>-3.6618485998392014E-3</v>
      </c>
      <c r="Z62" s="34">
        <f t="shared" si="22"/>
        <v>-1677.6625453978547</v>
      </c>
      <c r="AA62" s="34">
        <f t="shared" si="23"/>
        <v>457307.51193535287</v>
      </c>
      <c r="AB62" s="34">
        <f t="shared" si="24"/>
        <v>33639183.421744242</v>
      </c>
      <c r="AC62" s="34">
        <f t="shared" si="25"/>
        <v>33639183.421744242</v>
      </c>
      <c r="AD62" s="34">
        <f t="shared" si="26"/>
        <v>33639183.421744242</v>
      </c>
      <c r="AE62" s="34">
        <f t="shared" si="27"/>
        <v>0</v>
      </c>
      <c r="AF62" s="34">
        <f t="shared" si="28"/>
        <v>0</v>
      </c>
      <c r="AG62" s="29">
        <f t="shared" si="29"/>
        <v>500000</v>
      </c>
      <c r="AH62" s="34">
        <f t="shared" si="30"/>
        <v>1174.9712279741543</v>
      </c>
      <c r="AI62" s="34">
        <f t="shared" si="31"/>
        <v>1074.6463377209734</v>
      </c>
      <c r="AJ62" s="34">
        <f t="shared" si="32"/>
        <v>56433.24108947286</v>
      </c>
      <c r="AK62" s="34">
        <f t="shared" si="33"/>
        <v>0</v>
      </c>
      <c r="AL62" s="34">
        <f t="shared" si="34"/>
        <v>56433.24108947286</v>
      </c>
      <c r="AM62" s="34">
        <f t="shared" si="35"/>
        <v>0</v>
      </c>
      <c r="AN62" s="34">
        <f t="shared" si="36"/>
        <v>57608.212317447018</v>
      </c>
      <c r="AO62" s="34">
        <f t="shared" si="37"/>
        <v>100.32489025318071</v>
      </c>
      <c r="AP62" s="34">
        <f t="shared" si="38"/>
        <v>107.19755078150868</v>
      </c>
      <c r="AQ62" s="34">
        <f t="shared" si="39"/>
        <v>28032.652851453538</v>
      </c>
      <c r="AR62" s="34">
        <f t="shared" si="40"/>
        <v>-122973.06711594861</v>
      </c>
      <c r="AS62" s="30">
        <f t="shared" si="41"/>
        <v>1.0492685116180633</v>
      </c>
      <c r="AT62" s="29">
        <f t="shared" si="42"/>
        <v>3207.4003376922965</v>
      </c>
      <c r="AU62" s="29">
        <f t="shared" si="43"/>
        <v>0</v>
      </c>
      <c r="AV62" s="34">
        <f t="shared" si="44"/>
        <v>-208620.8049453795</v>
      </c>
      <c r="AW62" s="34">
        <f t="shared" si="45"/>
        <v>24832.125174291577</v>
      </c>
      <c r="AX62" s="29">
        <f t="shared" si="46"/>
        <v>24825.252513761243</v>
      </c>
      <c r="AY62" s="34">
        <f t="shared" si="47"/>
        <v>6.8726605283279696</v>
      </c>
      <c r="AZ62" s="37">
        <f t="shared" si="48"/>
        <v>8.0805515907430478E-14</v>
      </c>
      <c r="BA62" s="37">
        <f t="shared" si="49"/>
        <v>0</v>
      </c>
      <c r="BB62" s="35">
        <f t="shared" si="50"/>
        <v>7.1881800016160291E-4</v>
      </c>
      <c r="BC62" s="31">
        <f t="shared" si="51"/>
        <v>0.95918005686900654</v>
      </c>
      <c r="BD62" s="34">
        <f t="shared" si="52"/>
        <v>23818.479236855284</v>
      </c>
    </row>
    <row r="63" spans="1:56" x14ac:dyDescent="0.2">
      <c r="A63" s="27">
        <f t="shared" si="53"/>
        <v>59</v>
      </c>
      <c r="B63" s="28">
        <f t="shared" si="0"/>
        <v>59</v>
      </c>
      <c r="C63" s="27">
        <f t="shared" si="1"/>
        <v>4</v>
      </c>
      <c r="D63" s="28">
        <f t="shared" si="2"/>
        <v>24</v>
      </c>
      <c r="E63" s="29">
        <f t="shared" si="3"/>
        <v>0</v>
      </c>
      <c r="F63" s="30">
        <f t="shared" si="4"/>
        <v>3.8431221764747008E-4</v>
      </c>
      <c r="G63" s="31">
        <f t="shared" si="5"/>
        <v>3.2031660684883612E-5</v>
      </c>
      <c r="H63" s="32">
        <f t="shared" si="6"/>
        <v>2.0000000000000004E-2</v>
      </c>
      <c r="I63" s="32">
        <f t="shared" si="7"/>
        <v>0</v>
      </c>
      <c r="J63" s="33">
        <f t="shared" si="54"/>
        <v>73.23736333513142</v>
      </c>
      <c r="K63" s="30">
        <f t="shared" si="8"/>
        <v>0</v>
      </c>
      <c r="L63" s="33">
        <f t="shared" si="9"/>
        <v>73.23736333513142</v>
      </c>
      <c r="M63" s="30">
        <f t="shared" si="10"/>
        <v>0</v>
      </c>
      <c r="N63" s="33">
        <f t="shared" si="11"/>
        <v>73.23736333513142</v>
      </c>
      <c r="O63" s="31">
        <f t="shared" si="12"/>
        <v>2.3459143718064655E-3</v>
      </c>
      <c r="P63" s="33">
        <f t="shared" si="13"/>
        <v>0.12319173915408375</v>
      </c>
      <c r="Q63" s="34">
        <f t="shared" si="55"/>
        <v>456468.68066265393</v>
      </c>
      <c r="R63" s="29">
        <f t="shared" si="14"/>
        <v>0</v>
      </c>
      <c r="S63" s="34">
        <f t="shared" si="15"/>
        <v>456468.68066265393</v>
      </c>
      <c r="T63" s="29">
        <f t="shared" si="16"/>
        <v>380.39056721887829</v>
      </c>
      <c r="U63" s="29">
        <f t="shared" si="17"/>
        <v>43531.319337346067</v>
      </c>
      <c r="V63" s="35">
        <f t="shared" si="18"/>
        <v>3.5234826753371975E-5</v>
      </c>
      <c r="W63" s="34">
        <f t="shared" si="19"/>
        <v>1.5338184951971001</v>
      </c>
      <c r="X63" s="34">
        <f t="shared" si="20"/>
        <v>456086.75627693988</v>
      </c>
      <c r="Y63" s="36">
        <f t="shared" si="21"/>
        <v>-3.0007758773427096E-3</v>
      </c>
      <c r="Z63" s="34">
        <f t="shared" si="22"/>
        <v>-1368.6141362113249</v>
      </c>
      <c r="AA63" s="34">
        <f t="shared" si="23"/>
        <v>455402.44920883421</v>
      </c>
      <c r="AB63" s="34">
        <f t="shared" si="24"/>
        <v>33430562.616798863</v>
      </c>
      <c r="AC63" s="34">
        <f t="shared" si="25"/>
        <v>33430562.616798863</v>
      </c>
      <c r="AD63" s="34">
        <f t="shared" si="26"/>
        <v>33430562.616798863</v>
      </c>
      <c r="AE63" s="34">
        <f t="shared" si="27"/>
        <v>0</v>
      </c>
      <c r="AF63" s="34">
        <f t="shared" si="28"/>
        <v>0</v>
      </c>
      <c r="AG63" s="29">
        <f t="shared" si="29"/>
        <v>500000</v>
      </c>
      <c r="AH63" s="34">
        <f t="shared" si="30"/>
        <v>1172.9571859032328</v>
      </c>
      <c r="AI63" s="34">
        <f t="shared" si="31"/>
        <v>1068.3351505548681</v>
      </c>
      <c r="AJ63" s="34">
        <f t="shared" si="32"/>
        <v>56101.819733065582</v>
      </c>
      <c r="AK63" s="34">
        <f t="shared" si="33"/>
        <v>0</v>
      </c>
      <c r="AL63" s="34">
        <f t="shared" si="34"/>
        <v>56101.819733065582</v>
      </c>
      <c r="AM63" s="34">
        <f t="shared" si="35"/>
        <v>0</v>
      </c>
      <c r="AN63" s="34">
        <f t="shared" si="36"/>
        <v>57274.776918968812</v>
      </c>
      <c r="AO63" s="34">
        <f t="shared" si="37"/>
        <v>104.62203534836463</v>
      </c>
      <c r="AP63" s="34">
        <f t="shared" si="38"/>
        <v>112.33282242289455</v>
      </c>
      <c r="AQ63" s="34">
        <f t="shared" si="39"/>
        <v>27858.80218066572</v>
      </c>
      <c r="AR63" s="34">
        <f t="shared" si="40"/>
        <v>-100147.78445568468</v>
      </c>
      <c r="AS63" s="30">
        <f t="shared" si="41"/>
        <v>1.0501389198406339</v>
      </c>
      <c r="AT63" s="29">
        <f t="shared" si="42"/>
        <v>3204.5585676971232</v>
      </c>
      <c r="AU63" s="29">
        <f t="shared" si="43"/>
        <v>0</v>
      </c>
      <c r="AV63" s="34">
        <f t="shared" si="44"/>
        <v>-185289.07434238866</v>
      </c>
      <c r="AW63" s="34">
        <f t="shared" si="45"/>
        <v>24661.954400038056</v>
      </c>
      <c r="AX63" s="29">
        <f t="shared" si="46"/>
        <v>24654.243612968596</v>
      </c>
      <c r="AY63" s="34">
        <f t="shared" si="47"/>
        <v>7.7107870745299181</v>
      </c>
      <c r="AZ63" s="37">
        <f t="shared" si="48"/>
        <v>-2.0558008317194826E-13</v>
      </c>
      <c r="BA63" s="37">
        <f t="shared" si="49"/>
        <v>1.1143367047582847E-16</v>
      </c>
      <c r="BB63" s="35">
        <f t="shared" si="50"/>
        <v>7.1881800016160291E-4</v>
      </c>
      <c r="BC63" s="31">
        <f t="shared" si="51"/>
        <v>0.95849107623041763</v>
      </c>
      <c r="BD63" s="34">
        <f t="shared" si="52"/>
        <v>23638.26321483796</v>
      </c>
    </row>
    <row r="64" spans="1:56" x14ac:dyDescent="0.2">
      <c r="A64" s="27">
        <f t="shared" si="53"/>
        <v>60</v>
      </c>
      <c r="B64" s="28">
        <f t="shared" si="0"/>
        <v>60</v>
      </c>
      <c r="C64" s="27">
        <f t="shared" si="1"/>
        <v>5</v>
      </c>
      <c r="D64" s="28">
        <f t="shared" si="2"/>
        <v>25</v>
      </c>
      <c r="E64" s="29">
        <f t="shared" si="3"/>
        <v>0</v>
      </c>
      <c r="F64" s="30">
        <f t="shared" si="4"/>
        <v>4.3368314789589071E-4</v>
      </c>
      <c r="G64" s="31">
        <f t="shared" si="5"/>
        <v>3.6147447967760371E-5</v>
      </c>
      <c r="H64" s="32">
        <f t="shared" si="6"/>
        <v>0.02</v>
      </c>
      <c r="I64" s="32">
        <f t="shared" si="7"/>
        <v>0</v>
      </c>
      <c r="J64" s="33">
        <f t="shared" si="54"/>
        <v>73.111825681605538</v>
      </c>
      <c r="K64" s="30">
        <f t="shared" si="8"/>
        <v>0</v>
      </c>
      <c r="L64" s="33">
        <f t="shared" si="9"/>
        <v>73.111825681605538</v>
      </c>
      <c r="M64" s="30">
        <f t="shared" si="10"/>
        <v>0</v>
      </c>
      <c r="N64" s="33">
        <f t="shared" si="11"/>
        <v>73.111825681605538</v>
      </c>
      <c r="O64" s="31">
        <f t="shared" si="12"/>
        <v>2.6428059146538026E-3</v>
      </c>
      <c r="P64" s="33">
        <f t="shared" si="13"/>
        <v>0.12298006751121902</v>
      </c>
      <c r="Q64" s="34">
        <f t="shared" si="55"/>
        <v>454718.14214072854</v>
      </c>
      <c r="R64" s="29">
        <f t="shared" si="14"/>
        <v>0</v>
      </c>
      <c r="S64" s="34">
        <f t="shared" si="15"/>
        <v>454718.14214072854</v>
      </c>
      <c r="T64" s="29">
        <f t="shared" si="16"/>
        <v>378.93178511727382</v>
      </c>
      <c r="U64" s="29">
        <f t="shared" si="17"/>
        <v>45281.857859271462</v>
      </c>
      <c r="V64" s="35">
        <f t="shared" si="18"/>
        <v>3.9762192764536412E-5</v>
      </c>
      <c r="W64" s="34">
        <f t="shared" si="19"/>
        <v>1.80050596093669</v>
      </c>
      <c r="X64" s="34">
        <f t="shared" si="20"/>
        <v>454337.40984965034</v>
      </c>
      <c r="Y64" s="36">
        <f t="shared" si="21"/>
        <v>4.0758326888763463E-3</v>
      </c>
      <c r="Z64" s="34">
        <f t="shared" si="22"/>
        <v>1851.8032668446149</v>
      </c>
      <c r="AA64" s="34">
        <f t="shared" si="23"/>
        <v>455263.31148307264</v>
      </c>
      <c r="AB64" s="34">
        <f t="shared" si="24"/>
        <v>33245273.542456474</v>
      </c>
      <c r="AC64" s="34">
        <f t="shared" si="25"/>
        <v>33245273.542456474</v>
      </c>
      <c r="AD64" s="34">
        <f t="shared" si="26"/>
        <v>33245273.542456474</v>
      </c>
      <c r="AE64" s="34">
        <f t="shared" si="27"/>
        <v>0</v>
      </c>
      <c r="AF64" s="34">
        <f t="shared" si="28"/>
        <v>0</v>
      </c>
      <c r="AG64" s="29">
        <f t="shared" si="29"/>
        <v>500000</v>
      </c>
      <c r="AH64" s="34">
        <f t="shared" si="30"/>
        <v>1321.4029573269013</v>
      </c>
      <c r="AI64" s="34">
        <f t="shared" si="31"/>
        <v>1203.1725723123409</v>
      </c>
      <c r="AJ64" s="34">
        <f t="shared" si="32"/>
        <v>55988.31278156941</v>
      </c>
      <c r="AK64" s="34">
        <f t="shared" si="33"/>
        <v>0</v>
      </c>
      <c r="AL64" s="34">
        <f t="shared" si="34"/>
        <v>55988.31278156941</v>
      </c>
      <c r="AM64" s="34">
        <f t="shared" si="35"/>
        <v>0</v>
      </c>
      <c r="AN64" s="34">
        <f t="shared" si="36"/>
        <v>57309.71573889631</v>
      </c>
      <c r="AO64" s="34">
        <f t="shared" si="37"/>
        <v>118.23038501456048</v>
      </c>
      <c r="AP64" s="34">
        <f t="shared" si="38"/>
        <v>131.63827795469496</v>
      </c>
      <c r="AQ64" s="34">
        <f t="shared" si="39"/>
        <v>27704.39461871373</v>
      </c>
      <c r="AR64" s="34">
        <f t="shared" si="40"/>
        <v>135272.40321847092</v>
      </c>
      <c r="AS64" s="30">
        <f t="shared" si="41"/>
        <v>1.0510100500999999</v>
      </c>
      <c r="AT64" s="29">
        <f t="shared" si="42"/>
        <v>3201.7193155219456</v>
      </c>
      <c r="AU64" s="29">
        <f t="shared" si="43"/>
        <v>0</v>
      </c>
      <c r="AV64" s="34">
        <f t="shared" si="44"/>
        <v>50244.884967923164</v>
      </c>
      <c r="AW64" s="34">
        <f t="shared" si="45"/>
        <v>24516.083196129504</v>
      </c>
      <c r="AX64" s="29">
        <f t="shared" si="46"/>
        <v>24502.675303191783</v>
      </c>
      <c r="AY64" s="34">
        <f t="shared" si="47"/>
        <v>13.407892940134474</v>
      </c>
      <c r="AZ64" s="37">
        <f t="shared" si="48"/>
        <v>-9.8442701347325265E-14</v>
      </c>
      <c r="BA64" s="37">
        <f t="shared" si="49"/>
        <v>0</v>
      </c>
      <c r="BB64" s="35">
        <f t="shared" si="50"/>
        <v>7.7749991783826466E-4</v>
      </c>
      <c r="BC64" s="31">
        <f t="shared" si="51"/>
        <v>0.95443869112682778</v>
      </c>
      <c r="BD64" s="34">
        <f t="shared" si="52"/>
        <v>23399.098357270261</v>
      </c>
    </row>
    <row r="65" spans="1:56" x14ac:dyDescent="0.2">
      <c r="A65" s="27">
        <f t="shared" si="53"/>
        <v>61</v>
      </c>
      <c r="B65" s="28">
        <f t="shared" si="0"/>
        <v>61</v>
      </c>
      <c r="C65" s="27">
        <f t="shared" si="1"/>
        <v>5</v>
      </c>
      <c r="D65" s="28">
        <f t="shared" si="2"/>
        <v>25</v>
      </c>
      <c r="E65" s="29">
        <f t="shared" si="3"/>
        <v>0</v>
      </c>
      <c r="F65" s="30">
        <f t="shared" si="4"/>
        <v>4.3368314789589071E-4</v>
      </c>
      <c r="G65" s="31">
        <f t="shared" si="5"/>
        <v>3.6147447967760371E-5</v>
      </c>
      <c r="H65" s="32">
        <f t="shared" si="6"/>
        <v>0.02</v>
      </c>
      <c r="I65" s="32">
        <f t="shared" si="7"/>
        <v>0</v>
      </c>
      <c r="J65" s="33">
        <f t="shared" si="54"/>
        <v>72.986202808179669</v>
      </c>
      <c r="K65" s="30">
        <f t="shared" si="8"/>
        <v>0</v>
      </c>
      <c r="L65" s="33">
        <f t="shared" si="9"/>
        <v>72.986202808179669</v>
      </c>
      <c r="M65" s="30">
        <f t="shared" si="10"/>
        <v>0</v>
      </c>
      <c r="N65" s="33">
        <f t="shared" si="11"/>
        <v>72.986202808179669</v>
      </c>
      <c r="O65" s="31">
        <f t="shared" si="12"/>
        <v>2.6382649683730805E-3</v>
      </c>
      <c r="P65" s="33">
        <f t="shared" si="13"/>
        <v>0.12276875956875091</v>
      </c>
      <c r="Q65" s="34">
        <f t="shared" si="55"/>
        <v>456189.21311649494</v>
      </c>
      <c r="R65" s="29">
        <f t="shared" si="14"/>
        <v>0</v>
      </c>
      <c r="S65" s="34">
        <f t="shared" si="15"/>
        <v>456189.21311649494</v>
      </c>
      <c r="T65" s="29">
        <f t="shared" si="16"/>
        <v>380.15767759707916</v>
      </c>
      <c r="U65" s="29">
        <f t="shared" si="17"/>
        <v>43810.786883505061</v>
      </c>
      <c r="V65" s="35">
        <f t="shared" si="18"/>
        <v>3.9762192764536412E-5</v>
      </c>
      <c r="W65" s="34">
        <f t="shared" si="19"/>
        <v>1.7420129532279518</v>
      </c>
      <c r="X65" s="34">
        <f t="shared" si="20"/>
        <v>455807.31342594465</v>
      </c>
      <c r="Y65" s="36">
        <f t="shared" si="21"/>
        <v>1.3596859302555941E-3</v>
      </c>
      <c r="Z65" s="34">
        <f t="shared" si="22"/>
        <v>619.7547909728587</v>
      </c>
      <c r="AA65" s="34">
        <f t="shared" si="23"/>
        <v>456117.19082143105</v>
      </c>
      <c r="AB65" s="34">
        <f t="shared" si="24"/>
        <v>33295518.427424397</v>
      </c>
      <c r="AC65" s="34">
        <f t="shared" si="25"/>
        <v>33295518.427424397</v>
      </c>
      <c r="AD65" s="34">
        <f t="shared" si="26"/>
        <v>33295518.427424397</v>
      </c>
      <c r="AE65" s="34">
        <f t="shared" si="27"/>
        <v>0</v>
      </c>
      <c r="AF65" s="34">
        <f t="shared" si="28"/>
        <v>0</v>
      </c>
      <c r="AG65" s="29">
        <f t="shared" si="29"/>
        <v>500000</v>
      </c>
      <c r="AH65" s="34">
        <f t="shared" si="30"/>
        <v>1319.1324841865403</v>
      </c>
      <c r="AI65" s="34">
        <f t="shared" si="31"/>
        <v>1203.3580060169211</v>
      </c>
      <c r="AJ65" s="34">
        <f t="shared" si="32"/>
        <v>55996.941735130349</v>
      </c>
      <c r="AK65" s="34">
        <f t="shared" si="33"/>
        <v>0</v>
      </c>
      <c r="AL65" s="34">
        <f t="shared" si="34"/>
        <v>55996.941735130349</v>
      </c>
      <c r="AM65" s="34">
        <f t="shared" si="35"/>
        <v>0</v>
      </c>
      <c r="AN65" s="34">
        <f t="shared" si="36"/>
        <v>57316.074219316892</v>
      </c>
      <c r="AO65" s="34">
        <f t="shared" si="37"/>
        <v>115.77447816961913</v>
      </c>
      <c r="AP65" s="34">
        <f t="shared" si="38"/>
        <v>127.14291069877129</v>
      </c>
      <c r="AQ65" s="34">
        <f t="shared" si="39"/>
        <v>27746.265356186999</v>
      </c>
      <c r="AR65" s="34">
        <f t="shared" si="40"/>
        <v>45194.688063146794</v>
      </c>
      <c r="AS65" s="30">
        <f t="shared" si="41"/>
        <v>1.051881902995119</v>
      </c>
      <c r="AT65" s="29">
        <f t="shared" si="42"/>
        <v>3198.8694125939892</v>
      </c>
      <c r="AU65" s="29">
        <f t="shared" si="43"/>
        <v>0</v>
      </c>
      <c r="AV65" s="34">
        <f t="shared" si="44"/>
        <v>-39879.019944887608</v>
      </c>
      <c r="AW65" s="34">
        <f t="shared" si="45"/>
        <v>24558.764376123523</v>
      </c>
      <c r="AX65" s="29">
        <f t="shared" si="46"/>
        <v>24547.395943593008</v>
      </c>
      <c r="AY65" s="34">
        <f t="shared" si="47"/>
        <v>11.368432529152159</v>
      </c>
      <c r="AZ65" s="37">
        <f t="shared" si="48"/>
        <v>5.5486458429705907E-14</v>
      </c>
      <c r="BA65" s="37">
        <f t="shared" si="49"/>
        <v>-1.1188563729926843E-16</v>
      </c>
      <c r="BB65" s="35">
        <f t="shared" si="50"/>
        <v>7.7749991783826466E-4</v>
      </c>
      <c r="BC65" s="31">
        <f t="shared" si="51"/>
        <v>0.95369719163868594</v>
      </c>
      <c r="BD65" s="34">
        <f t="shared" si="52"/>
        <v>23421.624615625209</v>
      </c>
    </row>
    <row r="66" spans="1:56" x14ac:dyDescent="0.2">
      <c r="A66" s="27">
        <f t="shared" si="53"/>
        <v>62</v>
      </c>
      <c r="B66" s="28">
        <f t="shared" si="0"/>
        <v>62</v>
      </c>
      <c r="C66" s="27">
        <f t="shared" si="1"/>
        <v>5</v>
      </c>
      <c r="D66" s="28">
        <f t="shared" si="2"/>
        <v>25</v>
      </c>
      <c r="E66" s="29">
        <f t="shared" si="3"/>
        <v>0</v>
      </c>
      <c r="F66" s="30">
        <f t="shared" si="4"/>
        <v>4.3368314789589071E-4</v>
      </c>
      <c r="G66" s="31">
        <f t="shared" si="5"/>
        <v>3.6147447967760371E-5</v>
      </c>
      <c r="H66" s="32">
        <f t="shared" si="6"/>
        <v>0.02</v>
      </c>
      <c r="I66" s="32">
        <f t="shared" si="7"/>
        <v>0</v>
      </c>
      <c r="J66" s="33">
        <f t="shared" si="54"/>
        <v>72.860795783642544</v>
      </c>
      <c r="K66" s="30">
        <f t="shared" si="8"/>
        <v>0</v>
      </c>
      <c r="L66" s="33">
        <f t="shared" si="9"/>
        <v>72.860795783642544</v>
      </c>
      <c r="M66" s="30">
        <f t="shared" si="10"/>
        <v>0</v>
      </c>
      <c r="N66" s="33">
        <f t="shared" si="11"/>
        <v>72.860795783642544</v>
      </c>
      <c r="O66" s="31">
        <f t="shared" si="12"/>
        <v>2.6337318244788331E-3</v>
      </c>
      <c r="P66" s="33">
        <f t="shared" si="13"/>
        <v>0.1225578147017588</v>
      </c>
      <c r="Q66" s="34">
        <f t="shared" si="55"/>
        <v>456427.06821691751</v>
      </c>
      <c r="R66" s="29">
        <f t="shared" si="14"/>
        <v>0</v>
      </c>
      <c r="S66" s="34">
        <f t="shared" si="15"/>
        <v>456427.06821691751</v>
      </c>
      <c r="T66" s="29">
        <f t="shared" si="16"/>
        <v>380.35589018076462</v>
      </c>
      <c r="U66" s="29">
        <f t="shared" si="17"/>
        <v>43572.931783082488</v>
      </c>
      <c r="V66" s="35">
        <f t="shared" si="18"/>
        <v>3.9762192764536412E-5</v>
      </c>
      <c r="W66" s="34">
        <f t="shared" si="19"/>
        <v>1.7325553128749211</v>
      </c>
      <c r="X66" s="34">
        <f t="shared" si="20"/>
        <v>456044.97977142391</v>
      </c>
      <c r="Y66" s="36">
        <f t="shared" si="21"/>
        <v>1.861319152280938E-3</v>
      </c>
      <c r="Z66" s="34">
        <f t="shared" si="22"/>
        <v>848.84525515012433</v>
      </c>
      <c r="AA66" s="34">
        <f t="shared" si="23"/>
        <v>456469.40239899897</v>
      </c>
      <c r="AB66" s="34">
        <f t="shared" si="24"/>
        <v>33255639.40747951</v>
      </c>
      <c r="AC66" s="34">
        <f t="shared" si="25"/>
        <v>33255639.40747951</v>
      </c>
      <c r="AD66" s="34">
        <f t="shared" si="26"/>
        <v>33255639.40747951</v>
      </c>
      <c r="AE66" s="34">
        <f t="shared" si="27"/>
        <v>0</v>
      </c>
      <c r="AF66" s="34">
        <f t="shared" si="28"/>
        <v>0</v>
      </c>
      <c r="AG66" s="29">
        <f t="shared" si="29"/>
        <v>500000</v>
      </c>
      <c r="AH66" s="34">
        <f t="shared" si="30"/>
        <v>1316.8659122394165</v>
      </c>
      <c r="AI66" s="34">
        <f t="shared" si="31"/>
        <v>1202.2179919990781</v>
      </c>
      <c r="AJ66" s="34">
        <f t="shared" si="32"/>
        <v>55943.89243623909</v>
      </c>
      <c r="AK66" s="34">
        <f t="shared" si="33"/>
        <v>0</v>
      </c>
      <c r="AL66" s="34">
        <f t="shared" si="34"/>
        <v>55943.89243623909</v>
      </c>
      <c r="AM66" s="34">
        <f t="shared" si="35"/>
        <v>0</v>
      </c>
      <c r="AN66" s="34">
        <f t="shared" si="36"/>
        <v>57260.758348478506</v>
      </c>
      <c r="AO66" s="34">
        <f t="shared" si="37"/>
        <v>114.64792024033837</v>
      </c>
      <c r="AP66" s="34">
        <f t="shared" si="38"/>
        <v>126.23535883524454</v>
      </c>
      <c r="AQ66" s="34">
        <f t="shared" si="39"/>
        <v>27713.032839566262</v>
      </c>
      <c r="AR66" s="34">
        <f t="shared" si="40"/>
        <v>61794.406662280308</v>
      </c>
      <c r="AS66" s="30">
        <f t="shared" si="41"/>
        <v>1.0527544791254444</v>
      </c>
      <c r="AT66" s="29">
        <f t="shared" si="42"/>
        <v>3196.0220464114163</v>
      </c>
      <c r="AU66" s="29">
        <f t="shared" si="43"/>
        <v>0</v>
      </c>
      <c r="AV66" s="34">
        <f t="shared" si="44"/>
        <v>-23190.971964355558</v>
      </c>
      <c r="AW66" s="34">
        <f t="shared" si="45"/>
        <v>24528.598231745942</v>
      </c>
      <c r="AX66" s="29">
        <f t="shared" si="46"/>
        <v>24517.010793154845</v>
      </c>
      <c r="AY66" s="34">
        <f t="shared" si="47"/>
        <v>11.587438594906175</v>
      </c>
      <c r="AZ66" s="37">
        <f t="shared" si="48"/>
        <v>-1.5527679937149676E-13</v>
      </c>
      <c r="BA66" s="37">
        <f t="shared" si="49"/>
        <v>1.1201980671055931E-16</v>
      </c>
      <c r="BB66" s="35">
        <f t="shared" si="50"/>
        <v>7.7749991783826466E-4</v>
      </c>
      <c r="BC66" s="31">
        <f t="shared" si="51"/>
        <v>0.95295626821844248</v>
      </c>
      <c r="BD66" s="34">
        <f t="shared" si="52"/>
        <v>23374.681435554099</v>
      </c>
    </row>
    <row r="67" spans="1:56" x14ac:dyDescent="0.2">
      <c r="A67" s="27">
        <f t="shared" si="53"/>
        <v>63</v>
      </c>
      <c r="B67" s="28">
        <f t="shared" si="0"/>
        <v>63</v>
      </c>
      <c r="C67" s="27">
        <f t="shared" si="1"/>
        <v>5</v>
      </c>
      <c r="D67" s="28">
        <f t="shared" si="2"/>
        <v>25</v>
      </c>
      <c r="E67" s="29">
        <f t="shared" si="3"/>
        <v>0</v>
      </c>
      <c r="F67" s="30">
        <f t="shared" si="4"/>
        <v>4.3368314789589071E-4</v>
      </c>
      <c r="G67" s="31">
        <f t="shared" si="5"/>
        <v>3.6147447967760371E-5</v>
      </c>
      <c r="H67" s="32">
        <f t="shared" si="6"/>
        <v>0.02</v>
      </c>
      <c r="I67" s="32">
        <f t="shared" si="7"/>
        <v>0</v>
      </c>
      <c r="J67" s="33">
        <f t="shared" si="54"/>
        <v>72.735604237116306</v>
      </c>
      <c r="K67" s="30">
        <f t="shared" si="8"/>
        <v>0</v>
      </c>
      <c r="L67" s="33">
        <f t="shared" si="9"/>
        <v>72.735604237116306</v>
      </c>
      <c r="M67" s="30">
        <f t="shared" si="10"/>
        <v>0</v>
      </c>
      <c r="N67" s="33">
        <f t="shared" si="11"/>
        <v>72.735604237116306</v>
      </c>
      <c r="O67" s="31">
        <f t="shared" si="12"/>
        <v>2.6292064695647723E-3</v>
      </c>
      <c r="P67" s="33">
        <f t="shared" si="13"/>
        <v>0.1223472322863958</v>
      </c>
      <c r="Q67" s="34">
        <f t="shared" si="55"/>
        <v>456893.82502657402</v>
      </c>
      <c r="R67" s="29">
        <f t="shared" si="14"/>
        <v>0</v>
      </c>
      <c r="S67" s="34">
        <f t="shared" si="15"/>
        <v>456893.82502657402</v>
      </c>
      <c r="T67" s="29">
        <f t="shared" si="16"/>
        <v>380.7448541888117</v>
      </c>
      <c r="U67" s="29">
        <f t="shared" si="17"/>
        <v>43106.174973425979</v>
      </c>
      <c r="V67" s="35">
        <f t="shared" si="18"/>
        <v>3.9762192764536412E-5</v>
      </c>
      <c r="W67" s="34">
        <f t="shared" si="19"/>
        <v>1.7139960386351991</v>
      </c>
      <c r="X67" s="34">
        <f t="shared" si="20"/>
        <v>456511.36617634655</v>
      </c>
      <c r="Y67" s="36">
        <f t="shared" si="21"/>
        <v>3.2263694101268836E-3</v>
      </c>
      <c r="Z67" s="34">
        <f t="shared" si="22"/>
        <v>1472.874307206597</v>
      </c>
      <c r="AA67" s="34">
        <f t="shared" si="23"/>
        <v>457247.80332994985</v>
      </c>
      <c r="AB67" s="34">
        <f t="shared" si="24"/>
        <v>33232448.435515154</v>
      </c>
      <c r="AC67" s="34">
        <f t="shared" si="25"/>
        <v>33232448.435515154</v>
      </c>
      <c r="AD67" s="34">
        <f t="shared" si="26"/>
        <v>33232448.435515154</v>
      </c>
      <c r="AE67" s="34">
        <f t="shared" si="27"/>
        <v>0</v>
      </c>
      <c r="AF67" s="34">
        <f t="shared" si="28"/>
        <v>0</v>
      </c>
      <c r="AG67" s="29">
        <f t="shared" si="29"/>
        <v>500000</v>
      </c>
      <c r="AH67" s="34">
        <f t="shared" si="30"/>
        <v>1314.6032347823862</v>
      </c>
      <c r="AI67" s="34">
        <f t="shared" si="31"/>
        <v>1202.1988827093849</v>
      </c>
      <c r="AJ67" s="34">
        <f t="shared" si="32"/>
        <v>55943.003206453599</v>
      </c>
      <c r="AK67" s="34">
        <f t="shared" si="33"/>
        <v>0</v>
      </c>
      <c r="AL67" s="34">
        <f t="shared" si="34"/>
        <v>55943.003206453599</v>
      </c>
      <c r="AM67" s="34">
        <f t="shared" si="35"/>
        <v>0</v>
      </c>
      <c r="AN67" s="34">
        <f t="shared" si="36"/>
        <v>57257.606441235985</v>
      </c>
      <c r="AO67" s="34">
        <f t="shared" si="37"/>
        <v>112.40435207300138</v>
      </c>
      <c r="AP67" s="34">
        <f t="shared" si="38"/>
        <v>124.66853753015495</v>
      </c>
      <c r="AQ67" s="34">
        <f t="shared" si="39"/>
        <v>27693.707029595964</v>
      </c>
      <c r="AR67" s="34">
        <f t="shared" si="40"/>
        <v>107038.36540717098</v>
      </c>
      <c r="AS67" s="30">
        <f t="shared" si="41"/>
        <v>1.0536277790909276</v>
      </c>
      <c r="AT67" s="29">
        <f t="shared" si="42"/>
        <v>3193.1772147162301</v>
      </c>
      <c r="AU67" s="29">
        <f t="shared" si="43"/>
        <v>0</v>
      </c>
      <c r="AV67" s="34">
        <f t="shared" si="44"/>
        <v>22074.78775087744</v>
      </c>
      <c r="AW67" s="34">
        <f t="shared" si="45"/>
        <v>24512.794000341324</v>
      </c>
      <c r="AX67" s="29">
        <f t="shared" si="46"/>
        <v>24500.529814879734</v>
      </c>
      <c r="AY67" s="34">
        <f t="shared" si="47"/>
        <v>12.264185457153573</v>
      </c>
      <c r="AZ67" s="37">
        <f t="shared" si="48"/>
        <v>1.809999130713367E-13</v>
      </c>
      <c r="BA67" s="37">
        <f t="shared" si="49"/>
        <v>-1.1202356664237393E-16</v>
      </c>
      <c r="BB67" s="35">
        <f t="shared" si="50"/>
        <v>7.7749991783826466E-4</v>
      </c>
      <c r="BC67" s="31">
        <f t="shared" si="51"/>
        <v>0.95221592041855285</v>
      </c>
      <c r="BD67" s="34">
        <f t="shared" si="52"/>
        <v>23341.472701065395</v>
      </c>
    </row>
    <row r="68" spans="1:56" x14ac:dyDescent="0.2">
      <c r="A68" s="27">
        <f t="shared" si="53"/>
        <v>64</v>
      </c>
      <c r="B68" s="28">
        <f t="shared" ref="B68:B131" si="56">Duration0+A68</f>
        <v>64</v>
      </c>
      <c r="C68" s="27">
        <f t="shared" ref="C68:C131" si="57">INT(B68/12)</f>
        <v>5</v>
      </c>
      <c r="D68" s="28">
        <f t="shared" ref="D68:D131" si="58">AgeAtEntry+C68</f>
        <v>25</v>
      </c>
      <c r="E68" s="29">
        <f t="shared" ref="E68:E131" si="59">IF(PremiumType="SINGLE",IF(B68=0,PremiumPPInput,0),IF(B68&lt;12*PolicyTerm,PremiumPPInput,0))</f>
        <v>0</v>
      </c>
      <c r="F68" s="30">
        <f t="shared" ref="F68:F131" si="60">INDEX(MortRates,MATCH(MIN(D68,120),MortAges,0),MAX(MIN(C68,5),0)+1)</f>
        <v>4.3368314789589071E-4</v>
      </c>
      <c r="G68" s="31">
        <f t="shared" ref="G68:G131" si="61">1-(1-F68)^(1/12)</f>
        <v>3.6147447967760371E-5</v>
      </c>
      <c r="H68" s="32">
        <f t="shared" ref="H68:H131" si="62">MAX(LapseBase-LapseStep*C68,LapseFloor)</f>
        <v>0.02</v>
      </c>
      <c r="I68" s="32">
        <f t="shared" ref="I68:I131" si="63">IF(HasSurrCharge,INDEX(SurrRates,MIN(C68,SurrDurMax)+1,MATCH(SurrChargeID,SurrTypes,0)),0)</f>
        <v>0</v>
      </c>
      <c r="J68" s="33">
        <f t="shared" si="54"/>
        <v>72.610627798360341</v>
      </c>
      <c r="K68" s="30">
        <f t="shared" ref="K68:K131" si="64">IF(B68=12*PolicyTerm,J68,0)</f>
        <v>0</v>
      </c>
      <c r="L68" s="33">
        <f t="shared" ref="L68:L131" si="65">J68-K68</f>
        <v>72.610627798360341</v>
      </c>
      <c r="M68" s="30">
        <f t="shared" ref="M68:M131" si="66">IF(B68=0,PolicyCount,0)</f>
        <v>0</v>
      </c>
      <c r="N68" s="33">
        <f t="shared" ref="N68:N131" si="67">L68+M68</f>
        <v>72.610627798360341</v>
      </c>
      <c r="O68" s="31">
        <f t="shared" ref="O68:O131" si="68">N68*G68</f>
        <v>2.6246888902476452E-3</v>
      </c>
      <c r="P68" s="33">
        <f t="shared" ref="P68:P131" si="69">(N68-O68)*(1-(1-H68)^(1/12))</f>
        <v>0.12213701169988694</v>
      </c>
      <c r="Q68" s="34">
        <f t="shared" si="55"/>
        <v>457984.24048355315</v>
      </c>
      <c r="R68" s="29">
        <f t="shared" ref="R68:R131" si="70">(1-LoadPremRate)*E68</f>
        <v>0</v>
      </c>
      <c r="S68" s="34">
        <f t="shared" ref="S68:S131" si="71">Q68+R68</f>
        <v>457984.24048355315</v>
      </c>
      <c r="T68" s="29">
        <f t="shared" ref="T68:T131" si="72">MaintFeeRateAnn/12*S68</f>
        <v>381.65353373629432</v>
      </c>
      <c r="U68" s="29">
        <f t="shared" ref="U68:U131" si="73">MAX(SumAssured-S68,0)</f>
        <v>42015.759516446851</v>
      </c>
      <c r="V68" s="35">
        <f t="shared" ref="V68:V131" si="74">CoiMultiple*G68</f>
        <v>3.9762192764536412E-5</v>
      </c>
      <c r="W68" s="34">
        <f t="shared" ref="W68:W131" si="75">V68*U68</f>
        <v>1.6706387290413649</v>
      </c>
      <c r="X68" s="34">
        <f t="shared" ref="X68:X131" si="76">S68-T68-W68</f>
        <v>457600.91631108779</v>
      </c>
      <c r="Y68" s="36">
        <f t="shared" ref="Y68:Y131" si="77">EXP((Mu-0.5*Sigma^2)/12+Sigma*SQRT(1/12)*INDEX(NormRand,ScenID,A68+1))-1</f>
        <v>2.2769319091509033E-4</v>
      </c>
      <c r="Z68" s="34">
        <f t="shared" ref="Z68:Z131" si="78">Y68*X68</f>
        <v>104.19261280054079</v>
      </c>
      <c r="AA68" s="34">
        <f t="shared" ref="AA68:AA131" si="79">X68+0.5*Z68</f>
        <v>457653.01261748804</v>
      </c>
      <c r="AB68" s="34">
        <f t="shared" ref="AB68:AB131" si="80">Q68*J68</f>
        <v>33254523.223266032</v>
      </c>
      <c r="AC68" s="34">
        <f t="shared" ref="AC68:AC131" si="81">Q68*L68</f>
        <v>33254523.223266032</v>
      </c>
      <c r="AD68" s="34">
        <f t="shared" ref="AD68:AD131" si="82">S68*N68</f>
        <v>33254523.223266032</v>
      </c>
      <c r="AE68" s="34">
        <f t="shared" ref="AE68:AE131" si="83">E68*N68</f>
        <v>0</v>
      </c>
      <c r="AF68" s="34">
        <f t="shared" ref="AF68:AF131" si="84">R68*N68</f>
        <v>0</v>
      </c>
      <c r="AG68" s="29">
        <f t="shared" ref="AG68:AG131" si="85">MAX(SumAssured,AA68)</f>
        <v>500000</v>
      </c>
      <c r="AH68" s="34">
        <f t="shared" ref="AH68:AH131" si="86">AG68*O68</f>
        <v>1312.3444451238227</v>
      </c>
      <c r="AI68" s="34">
        <f t="shared" ref="AI68:AI131" si="87">AA68*O68</f>
        <v>1201.1967778054861</v>
      </c>
      <c r="AJ68" s="34">
        <f t="shared" ref="AJ68:AJ131" si="88">AA68*P68</f>
        <v>55896.37135655064</v>
      </c>
      <c r="AK68" s="34">
        <f t="shared" ref="AK68:AK131" si="89">I68*AA68*P68</f>
        <v>0</v>
      </c>
      <c r="AL68" s="34">
        <f t="shared" ref="AL68:AL131" si="90">AJ68-AK68</f>
        <v>55896.37135655064</v>
      </c>
      <c r="AM68" s="34">
        <f t="shared" ref="AM68:AM131" si="91">Q68*K68</f>
        <v>0</v>
      </c>
      <c r="AN68" s="34">
        <f t="shared" ref="AN68:AN131" si="92">AH68+AL68+AM68</f>
        <v>57208.715801674465</v>
      </c>
      <c r="AO68" s="34">
        <f t="shared" ref="AO68:AO131" si="93">(AG68-AA68)*O68</f>
        <v>111.14766731833635</v>
      </c>
      <c r="AP68" s="34">
        <f t="shared" ref="AP68:AP131" si="94">W68*N68</f>
        <v>121.30612693994831</v>
      </c>
      <c r="AQ68" s="34">
        <f t="shared" ref="AQ68:AQ131" si="95">T68*N68</f>
        <v>27712.10268605503</v>
      </c>
      <c r="AR68" s="34">
        <f t="shared" ref="AR68:AR131" si="96">Z68*J69+0.5*Z68*(O68+P68)</f>
        <v>7558.9914036177797</v>
      </c>
      <c r="AS68" s="30">
        <f t="shared" ref="AS68:AS131" si="97">(1+InflationRate)^(A68/12)</f>
        <v>1.0545018034920177</v>
      </c>
      <c r="AT68" s="29">
        <f t="shared" ref="AT68:AT131" si="98">ExpenseAcq*M68+N68*ExpenseMaint/12*AS68</f>
        <v>3190.334915252442</v>
      </c>
      <c r="AU68" s="29">
        <f t="shared" ref="AU68:AU131" si="99">CommissionRate*AE68</f>
        <v>0</v>
      </c>
      <c r="AV68" s="34">
        <f t="shared" ref="AV68:AV131" si="100">AB69-AB68</f>
        <v>-77371.985543739051</v>
      </c>
      <c r="AW68" s="34">
        <f t="shared" ref="AW68:AW131" si="101">AE68+AR68-AN68-AT68-AU68-AV68</f>
        <v>24531.926230429926</v>
      </c>
      <c r="AX68" s="29">
        <f t="shared" ref="AX68:AX131" si="102">LoadPremRate*E68*N68+AK68+AQ68-AU68-AT68</f>
        <v>24521.767770802588</v>
      </c>
      <c r="AY68" s="34">
        <f t="shared" ref="AY68:AY131" si="103">AP68-AO68</f>
        <v>10.158459621611968</v>
      </c>
      <c r="AZ68" s="37">
        <f t="shared" ref="AZ68:AZ131" si="104">(AW68-AX68-AY68)/MAX(1,ABS(AW68),ABS(AX68),ABS(AY68))</f>
        <v>2.3344173810358109E-13</v>
      </c>
      <c r="BA68" s="37">
        <f t="shared" ref="BA68:BA131" si="105">IF(OR(K68&gt;0,K69&gt;0),0,(AC69-(AC68+AF68-AQ68-AP68+AR68-AI68-AJ68-AM68))/MAX(1,ABS(AC68),ABS(AC69)))</f>
        <v>-1.1202356664237393E-16</v>
      </c>
      <c r="BB68" s="35">
        <f t="shared" ref="BB68:BB131" si="106">(1+INDEX(DiscRateAnn,INT(A68/12)+1))^(1/12)-1</f>
        <v>7.7749991783826466E-4</v>
      </c>
      <c r="BC68" s="31">
        <f t="shared" ref="BC68:BC131" si="107">(1+BB68)^-A68</f>
        <v>0.95147614779181944</v>
      </c>
      <c r="BD68" s="34">
        <f t="shared" ref="BD68:BD131" si="108">AW68*BC68</f>
        <v>23341.542667642556</v>
      </c>
    </row>
    <row r="69" spans="1:56" x14ac:dyDescent="0.2">
      <c r="A69" s="27">
        <f t="shared" ref="A69:A132" si="109">A68+1</f>
        <v>65</v>
      </c>
      <c r="B69" s="28">
        <f t="shared" si="56"/>
        <v>65</v>
      </c>
      <c r="C69" s="27">
        <f t="shared" si="57"/>
        <v>5</v>
      </c>
      <c r="D69" s="28">
        <f t="shared" si="58"/>
        <v>25</v>
      </c>
      <c r="E69" s="29">
        <f t="shared" si="59"/>
        <v>0</v>
      </c>
      <c r="F69" s="30">
        <f t="shared" si="60"/>
        <v>4.3368314789589071E-4</v>
      </c>
      <c r="G69" s="31">
        <f t="shared" si="61"/>
        <v>3.6147447967760371E-5</v>
      </c>
      <c r="H69" s="32">
        <f t="shared" si="62"/>
        <v>0.02</v>
      </c>
      <c r="I69" s="32">
        <f t="shared" si="63"/>
        <v>0</v>
      </c>
      <c r="J69" s="33">
        <f t="shared" ref="J69:J132" si="110">N68-P68-O68</f>
        <v>72.485866097770199</v>
      </c>
      <c r="K69" s="30">
        <f t="shared" si="64"/>
        <v>0</v>
      </c>
      <c r="L69" s="33">
        <f t="shared" si="65"/>
        <v>72.485866097770199</v>
      </c>
      <c r="M69" s="30">
        <f t="shared" si="66"/>
        <v>0</v>
      </c>
      <c r="N69" s="33">
        <f t="shared" si="67"/>
        <v>72.485866097770199</v>
      </c>
      <c r="O69" s="31">
        <f t="shared" si="68"/>
        <v>2.6201790731671939E-3</v>
      </c>
      <c r="P69" s="33">
        <f t="shared" si="69"/>
        <v>0.12192715232052734</v>
      </c>
      <c r="Q69" s="34">
        <f t="shared" ref="Q69:Q132" si="111">X68+Z68</f>
        <v>457705.1089238883</v>
      </c>
      <c r="R69" s="29">
        <f t="shared" si="70"/>
        <v>0</v>
      </c>
      <c r="S69" s="34">
        <f t="shared" si="71"/>
        <v>457705.1089238883</v>
      </c>
      <c r="T69" s="29">
        <f t="shared" si="72"/>
        <v>381.42092410324028</v>
      </c>
      <c r="U69" s="29">
        <f t="shared" si="73"/>
        <v>42294.8910761117</v>
      </c>
      <c r="V69" s="35">
        <f t="shared" si="74"/>
        <v>3.9762192764536412E-5</v>
      </c>
      <c r="W69" s="34">
        <f t="shared" si="75"/>
        <v>1.6817376119234244</v>
      </c>
      <c r="X69" s="34">
        <f t="shared" si="76"/>
        <v>457322.00626217312</v>
      </c>
      <c r="Y69" s="36">
        <f t="shared" si="77"/>
        <v>1.5016216602004251E-2</v>
      </c>
      <c r="Z69" s="34">
        <f t="shared" si="78"/>
        <v>6867.2463028959364</v>
      </c>
      <c r="AA69" s="34">
        <f t="shared" si="79"/>
        <v>460755.62941362109</v>
      </c>
      <c r="AB69" s="34">
        <f t="shared" si="80"/>
        <v>33177151.237722293</v>
      </c>
      <c r="AC69" s="34">
        <f t="shared" si="81"/>
        <v>33177151.237722293</v>
      </c>
      <c r="AD69" s="34">
        <f t="shared" si="82"/>
        <v>33177151.237722293</v>
      </c>
      <c r="AE69" s="34">
        <f t="shared" si="83"/>
        <v>0</v>
      </c>
      <c r="AF69" s="34">
        <f t="shared" si="84"/>
        <v>0</v>
      </c>
      <c r="AG69" s="29">
        <f t="shared" si="85"/>
        <v>500000</v>
      </c>
      <c r="AH69" s="34">
        <f t="shared" si="86"/>
        <v>1310.089536583597</v>
      </c>
      <c r="AI69" s="34">
        <f t="shared" si="87"/>
        <v>1207.2622580335487</v>
      </c>
      <c r="AJ69" s="34">
        <f t="shared" si="88"/>
        <v>56178.621810055025</v>
      </c>
      <c r="AK69" s="34">
        <f t="shared" si="89"/>
        <v>0</v>
      </c>
      <c r="AL69" s="34">
        <f t="shared" si="90"/>
        <v>56178.621810055025</v>
      </c>
      <c r="AM69" s="34">
        <f t="shared" si="91"/>
        <v>0</v>
      </c>
      <c r="AN69" s="34">
        <f t="shared" si="92"/>
        <v>57488.711346638622</v>
      </c>
      <c r="AO69" s="34">
        <f t="shared" si="93"/>
        <v>102.82727855004818</v>
      </c>
      <c r="AP69" s="34">
        <f t="shared" si="94"/>
        <v>121.90220734946516</v>
      </c>
      <c r="AQ69" s="34">
        <f t="shared" si="95"/>
        <v>27647.626031435244</v>
      </c>
      <c r="AR69" s="34">
        <f t="shared" si="96"/>
        <v>497350.64737159794</v>
      </c>
      <c r="AS69" s="30">
        <f t="shared" si="97"/>
        <v>1.055376552929661</v>
      </c>
      <c r="AT69" s="29">
        <f t="shared" si="98"/>
        <v>3187.49514576607</v>
      </c>
      <c r="AU69" s="29">
        <f t="shared" si="99"/>
        <v>0</v>
      </c>
      <c r="AV69" s="34">
        <f t="shared" si="100"/>
        <v>412195.23506473005</v>
      </c>
      <c r="AW69" s="34">
        <f t="shared" si="101"/>
        <v>24479.205814463203</v>
      </c>
      <c r="AX69" s="29">
        <f t="shared" si="102"/>
        <v>24460.130885669176</v>
      </c>
      <c r="AY69" s="34">
        <f t="shared" si="103"/>
        <v>19.07492879941698</v>
      </c>
      <c r="AZ69" s="37">
        <f t="shared" si="104"/>
        <v>-2.2018309041921526E-13</v>
      </c>
      <c r="BA69" s="37">
        <f t="shared" si="105"/>
        <v>0</v>
      </c>
      <c r="BB69" s="35">
        <f t="shared" si="106"/>
        <v>7.7749991783826466E-4</v>
      </c>
      <c r="BC69" s="31">
        <f t="shared" si="107"/>
        <v>0.95073694989139301</v>
      </c>
      <c r="BD69" s="34">
        <f t="shared" si="108"/>
        <v>23273.285471806397</v>
      </c>
    </row>
    <row r="70" spans="1:56" x14ac:dyDescent="0.2">
      <c r="A70" s="27">
        <f t="shared" si="109"/>
        <v>66</v>
      </c>
      <c r="B70" s="28">
        <f t="shared" si="56"/>
        <v>66</v>
      </c>
      <c r="C70" s="27">
        <f t="shared" si="57"/>
        <v>5</v>
      </c>
      <c r="D70" s="28">
        <f t="shared" si="58"/>
        <v>25</v>
      </c>
      <c r="E70" s="29">
        <f t="shared" si="59"/>
        <v>0</v>
      </c>
      <c r="F70" s="30">
        <f t="shared" si="60"/>
        <v>4.3368314789589071E-4</v>
      </c>
      <c r="G70" s="31">
        <f t="shared" si="61"/>
        <v>3.6147447967760371E-5</v>
      </c>
      <c r="H70" s="32">
        <f t="shared" si="62"/>
        <v>0.02</v>
      </c>
      <c r="I70" s="32">
        <f t="shared" si="63"/>
        <v>0</v>
      </c>
      <c r="J70" s="33">
        <f t="shared" si="110"/>
        <v>72.361318766376513</v>
      </c>
      <c r="K70" s="30">
        <f t="shared" si="64"/>
        <v>0</v>
      </c>
      <c r="L70" s="33">
        <f t="shared" si="65"/>
        <v>72.361318766376513</v>
      </c>
      <c r="M70" s="30">
        <f t="shared" si="66"/>
        <v>0</v>
      </c>
      <c r="N70" s="33">
        <f t="shared" si="67"/>
        <v>72.361318766376513</v>
      </c>
      <c r="O70" s="31">
        <f t="shared" si="68"/>
        <v>2.6156770049861173E-3</v>
      </c>
      <c r="P70" s="33">
        <f t="shared" si="69"/>
        <v>0.12171765352768033</v>
      </c>
      <c r="Q70" s="34">
        <f t="shared" si="111"/>
        <v>464189.25256506907</v>
      </c>
      <c r="R70" s="29">
        <f t="shared" si="70"/>
        <v>0</v>
      </c>
      <c r="S70" s="34">
        <f t="shared" si="71"/>
        <v>464189.25256506907</v>
      </c>
      <c r="T70" s="29">
        <f t="shared" si="72"/>
        <v>386.82437713755758</v>
      </c>
      <c r="U70" s="29">
        <f t="shared" si="73"/>
        <v>35810.747434930934</v>
      </c>
      <c r="V70" s="35">
        <f t="shared" si="74"/>
        <v>3.9762192764536412E-5</v>
      </c>
      <c r="W70" s="34">
        <f t="shared" si="75"/>
        <v>1.4239138425498516</v>
      </c>
      <c r="X70" s="34">
        <f t="shared" si="76"/>
        <v>463801.00427408895</v>
      </c>
      <c r="Y70" s="36">
        <f t="shared" si="77"/>
        <v>1.8321097656562868E-2</v>
      </c>
      <c r="Z70" s="34">
        <f t="shared" si="78"/>
        <v>8497.3434925175152</v>
      </c>
      <c r="AA70" s="34">
        <f t="shared" si="79"/>
        <v>468049.67602034769</v>
      </c>
      <c r="AB70" s="34">
        <f t="shared" si="80"/>
        <v>33589346.472787023</v>
      </c>
      <c r="AC70" s="34">
        <f t="shared" si="81"/>
        <v>33589346.472787023</v>
      </c>
      <c r="AD70" s="34">
        <f t="shared" si="82"/>
        <v>33589346.472787023</v>
      </c>
      <c r="AE70" s="34">
        <f t="shared" si="83"/>
        <v>0</v>
      </c>
      <c r="AF70" s="34">
        <f t="shared" si="84"/>
        <v>0</v>
      </c>
      <c r="AG70" s="29">
        <f t="shared" si="85"/>
        <v>500000</v>
      </c>
      <c r="AH70" s="34">
        <f t="shared" si="86"/>
        <v>1307.8385024930587</v>
      </c>
      <c r="AI70" s="34">
        <f t="shared" si="87"/>
        <v>1224.2667747576256</v>
      </c>
      <c r="AJ70" s="34">
        <f t="shared" si="88"/>
        <v>56969.908299587703</v>
      </c>
      <c r="AK70" s="34">
        <f t="shared" si="89"/>
        <v>0</v>
      </c>
      <c r="AL70" s="34">
        <f t="shared" si="90"/>
        <v>56969.908299587703</v>
      </c>
      <c r="AM70" s="34">
        <f t="shared" si="91"/>
        <v>0</v>
      </c>
      <c r="AN70" s="34">
        <f t="shared" si="92"/>
        <v>58277.746802080765</v>
      </c>
      <c r="AO70" s="34">
        <f t="shared" si="93"/>
        <v>83.571727735433086</v>
      </c>
      <c r="AP70" s="34">
        <f t="shared" si="94"/>
        <v>103.03628345660587</v>
      </c>
      <c r="AQ70" s="34">
        <f t="shared" si="95"/>
        <v>27991.122060655849</v>
      </c>
      <c r="AR70" s="34">
        <f t="shared" si="96"/>
        <v>614350.72962090257</v>
      </c>
      <c r="AS70" s="30">
        <f t="shared" si="97"/>
        <v>1.0562520280053036</v>
      </c>
      <c r="AT70" s="29">
        <f t="shared" si="98"/>
        <v>3184.6579040051429</v>
      </c>
      <c r="AU70" s="29">
        <f t="shared" si="99"/>
        <v>0</v>
      </c>
      <c r="AV70" s="34">
        <f t="shared" si="100"/>
        <v>528062.39620244503</v>
      </c>
      <c r="AW70" s="34">
        <f t="shared" si="101"/>
        <v>24825.92871237162</v>
      </c>
      <c r="AX70" s="29">
        <f t="shared" si="102"/>
        <v>24806.464156650705</v>
      </c>
      <c r="AY70" s="34">
        <f t="shared" si="103"/>
        <v>19.464555721172786</v>
      </c>
      <c r="AZ70" s="37">
        <f t="shared" si="104"/>
        <v>-1.0380261797700743E-14</v>
      </c>
      <c r="BA70" s="37">
        <f t="shared" si="105"/>
        <v>0</v>
      </c>
      <c r="BB70" s="35">
        <f t="shared" si="106"/>
        <v>7.7749991783826466E-4</v>
      </c>
      <c r="BC70" s="31">
        <f t="shared" si="107"/>
        <v>0.94999832627077108</v>
      </c>
      <c r="BD70" s="34">
        <f t="shared" si="108"/>
        <v>23584.590724870519</v>
      </c>
    </row>
    <row r="71" spans="1:56" x14ac:dyDescent="0.2">
      <c r="A71" s="27">
        <f t="shared" si="109"/>
        <v>67</v>
      </c>
      <c r="B71" s="28">
        <f t="shared" si="56"/>
        <v>67</v>
      </c>
      <c r="C71" s="27">
        <f t="shared" si="57"/>
        <v>5</v>
      </c>
      <c r="D71" s="28">
        <f t="shared" si="58"/>
        <v>25</v>
      </c>
      <c r="E71" s="29">
        <f t="shared" si="59"/>
        <v>0</v>
      </c>
      <c r="F71" s="30">
        <f t="shared" si="60"/>
        <v>4.3368314789589071E-4</v>
      </c>
      <c r="G71" s="31">
        <f t="shared" si="61"/>
        <v>3.6147447967760371E-5</v>
      </c>
      <c r="H71" s="32">
        <f t="shared" si="62"/>
        <v>0.02</v>
      </c>
      <c r="I71" s="32">
        <f t="shared" si="63"/>
        <v>0</v>
      </c>
      <c r="J71" s="33">
        <f t="shared" si="110"/>
        <v>72.236985435843849</v>
      </c>
      <c r="K71" s="30">
        <f t="shared" si="64"/>
        <v>0</v>
      </c>
      <c r="L71" s="33">
        <f t="shared" si="65"/>
        <v>72.236985435843849</v>
      </c>
      <c r="M71" s="30">
        <f t="shared" si="66"/>
        <v>0</v>
      </c>
      <c r="N71" s="33">
        <f t="shared" si="67"/>
        <v>72.236985435843849</v>
      </c>
      <c r="O71" s="31">
        <f t="shared" si="68"/>
        <v>2.6111826723900292E-3</v>
      </c>
      <c r="P71" s="33">
        <f t="shared" si="69"/>
        <v>0.12150851470177558</v>
      </c>
      <c r="Q71" s="34">
        <f t="shared" si="111"/>
        <v>472298.34776660649</v>
      </c>
      <c r="R71" s="29">
        <f t="shared" si="70"/>
        <v>0</v>
      </c>
      <c r="S71" s="34">
        <f t="shared" si="71"/>
        <v>472298.34776660649</v>
      </c>
      <c r="T71" s="29">
        <f t="shared" si="72"/>
        <v>393.58195647217212</v>
      </c>
      <c r="U71" s="29">
        <f t="shared" si="73"/>
        <v>27701.652233393514</v>
      </c>
      <c r="V71" s="35">
        <f t="shared" si="74"/>
        <v>3.9762192764536412E-5</v>
      </c>
      <c r="W71" s="34">
        <f t="shared" si="75"/>
        <v>1.1014784360003436</v>
      </c>
      <c r="X71" s="34">
        <f t="shared" si="76"/>
        <v>471903.66433169832</v>
      </c>
      <c r="Y71" s="36">
        <f t="shared" si="77"/>
        <v>3.6899112323347527E-3</v>
      </c>
      <c r="Z71" s="34">
        <f t="shared" si="78"/>
        <v>1741.2826315974623</v>
      </c>
      <c r="AA71" s="34">
        <f t="shared" si="79"/>
        <v>472774.30564749707</v>
      </c>
      <c r="AB71" s="34">
        <f t="shared" si="80"/>
        <v>34117408.868989468</v>
      </c>
      <c r="AC71" s="34">
        <f t="shared" si="81"/>
        <v>34117408.868989468</v>
      </c>
      <c r="AD71" s="34">
        <f t="shared" si="82"/>
        <v>34117408.868989468</v>
      </c>
      <c r="AE71" s="34">
        <f t="shared" si="83"/>
        <v>0</v>
      </c>
      <c r="AF71" s="34">
        <f t="shared" si="84"/>
        <v>0</v>
      </c>
      <c r="AG71" s="29">
        <f t="shared" si="85"/>
        <v>500000</v>
      </c>
      <c r="AH71" s="34">
        <f t="shared" si="86"/>
        <v>1305.5913361950145</v>
      </c>
      <c r="AI71" s="34">
        <f t="shared" si="87"/>
        <v>1234.5000748579719</v>
      </c>
      <c r="AJ71" s="34">
        <f t="shared" si="88"/>
        <v>57446.103668390642</v>
      </c>
      <c r="AK71" s="34">
        <f t="shared" si="89"/>
        <v>0</v>
      </c>
      <c r="AL71" s="34">
        <f t="shared" si="90"/>
        <v>57446.103668390642</v>
      </c>
      <c r="AM71" s="34">
        <f t="shared" si="91"/>
        <v>0</v>
      </c>
      <c r="AN71" s="34">
        <f t="shared" si="92"/>
        <v>58751.695004585657</v>
      </c>
      <c r="AO71" s="34">
        <f t="shared" si="93"/>
        <v>71.091261337042738</v>
      </c>
      <c r="AP71" s="34">
        <f t="shared" si="94"/>
        <v>79.567481739252884</v>
      </c>
      <c r="AQ71" s="34">
        <f t="shared" si="95"/>
        <v>28431.174057491226</v>
      </c>
      <c r="AR71" s="34">
        <f t="shared" si="96"/>
        <v>125676.94436175535</v>
      </c>
      <c r="AS71" s="30">
        <f t="shared" si="97"/>
        <v>1.0571282293208895</v>
      </c>
      <c r="AT71" s="29">
        <f t="shared" si="98"/>
        <v>3181.8231877196868</v>
      </c>
      <c r="AU71" s="29">
        <f t="shared" si="99"/>
        <v>0</v>
      </c>
      <c r="AV71" s="34">
        <f t="shared" si="100"/>
        <v>38485.599079273641</v>
      </c>
      <c r="AW71" s="34">
        <f t="shared" si="101"/>
        <v>25257.827090176368</v>
      </c>
      <c r="AX71" s="29">
        <f t="shared" si="102"/>
        <v>25249.350869771537</v>
      </c>
      <c r="AY71" s="34">
        <f t="shared" si="103"/>
        <v>8.4762204022101457</v>
      </c>
      <c r="AZ71" s="37">
        <f t="shared" si="104"/>
        <v>1.0376841876326524E-13</v>
      </c>
      <c r="BA71" s="37">
        <f t="shared" si="105"/>
        <v>0</v>
      </c>
      <c r="BB71" s="35">
        <f t="shared" si="106"/>
        <v>7.7749991783826466E-4</v>
      </c>
      <c r="BC71" s="31">
        <f t="shared" si="107"/>
        <v>0.94926027648379774</v>
      </c>
      <c r="BD71" s="34">
        <f t="shared" si="108"/>
        <v>23976.251927000776</v>
      </c>
    </row>
    <row r="72" spans="1:56" x14ac:dyDescent="0.2">
      <c r="A72" s="27">
        <f t="shared" si="109"/>
        <v>68</v>
      </c>
      <c r="B72" s="28">
        <f t="shared" si="56"/>
        <v>68</v>
      </c>
      <c r="C72" s="27">
        <f t="shared" si="57"/>
        <v>5</v>
      </c>
      <c r="D72" s="28">
        <f t="shared" si="58"/>
        <v>25</v>
      </c>
      <c r="E72" s="29">
        <f t="shared" si="59"/>
        <v>0</v>
      </c>
      <c r="F72" s="30">
        <f t="shared" si="60"/>
        <v>4.3368314789589071E-4</v>
      </c>
      <c r="G72" s="31">
        <f t="shared" si="61"/>
        <v>3.6147447967760371E-5</v>
      </c>
      <c r="H72" s="32">
        <f t="shared" si="62"/>
        <v>0.02</v>
      </c>
      <c r="I72" s="32">
        <f t="shared" si="63"/>
        <v>0</v>
      </c>
      <c r="J72" s="33">
        <f t="shared" si="110"/>
        <v>72.112865738469679</v>
      </c>
      <c r="K72" s="30">
        <f t="shared" si="64"/>
        <v>0</v>
      </c>
      <c r="L72" s="33">
        <f t="shared" si="65"/>
        <v>72.112865738469679</v>
      </c>
      <c r="M72" s="30">
        <f t="shared" si="66"/>
        <v>0</v>
      </c>
      <c r="N72" s="33">
        <f t="shared" si="67"/>
        <v>72.112865738469679</v>
      </c>
      <c r="O72" s="31">
        <f t="shared" si="68"/>
        <v>2.6066960620874224E-3</v>
      </c>
      <c r="P72" s="33">
        <f t="shared" si="69"/>
        <v>0.12129973522430745</v>
      </c>
      <c r="Q72" s="34">
        <f t="shared" si="111"/>
        <v>473644.94696329581</v>
      </c>
      <c r="R72" s="29">
        <f t="shared" si="70"/>
        <v>0</v>
      </c>
      <c r="S72" s="34">
        <f t="shared" si="71"/>
        <v>473644.94696329581</v>
      </c>
      <c r="T72" s="29">
        <f t="shared" si="72"/>
        <v>394.70412246941322</v>
      </c>
      <c r="U72" s="29">
        <f t="shared" si="73"/>
        <v>26355.053036704194</v>
      </c>
      <c r="V72" s="35">
        <f t="shared" si="74"/>
        <v>3.9762192764536412E-5</v>
      </c>
      <c r="W72" s="34">
        <f t="shared" si="75"/>
        <v>1.0479346991650129</v>
      </c>
      <c r="X72" s="34">
        <f t="shared" si="76"/>
        <v>473249.19490612723</v>
      </c>
      <c r="Y72" s="36">
        <f t="shared" si="77"/>
        <v>-8.6014687122494271E-3</v>
      </c>
      <c r="Z72" s="34">
        <f t="shared" si="78"/>
        <v>-4070.6381430822844</v>
      </c>
      <c r="AA72" s="34">
        <f t="shared" si="79"/>
        <v>471213.8758345861</v>
      </c>
      <c r="AB72" s="34">
        <f t="shared" si="80"/>
        <v>34155894.468068741</v>
      </c>
      <c r="AC72" s="34">
        <f t="shared" si="81"/>
        <v>34155894.468068741</v>
      </c>
      <c r="AD72" s="34">
        <f t="shared" si="82"/>
        <v>34155894.468068741</v>
      </c>
      <c r="AE72" s="34">
        <f t="shared" si="83"/>
        <v>0</v>
      </c>
      <c r="AF72" s="34">
        <f t="shared" si="84"/>
        <v>0</v>
      </c>
      <c r="AG72" s="29">
        <f t="shared" si="85"/>
        <v>500000</v>
      </c>
      <c r="AH72" s="34">
        <f t="shared" si="86"/>
        <v>1303.3480310437112</v>
      </c>
      <c r="AI72" s="34">
        <f t="shared" si="87"/>
        <v>1228.3113545389672</v>
      </c>
      <c r="AJ72" s="34">
        <f t="shared" si="88"/>
        <v>57158.11837275498</v>
      </c>
      <c r="AK72" s="34">
        <f t="shared" si="89"/>
        <v>0</v>
      </c>
      <c r="AL72" s="34">
        <f t="shared" si="90"/>
        <v>57158.11837275498</v>
      </c>
      <c r="AM72" s="34">
        <f t="shared" si="91"/>
        <v>0</v>
      </c>
      <c r="AN72" s="34">
        <f t="shared" si="92"/>
        <v>58461.466403798688</v>
      </c>
      <c r="AO72" s="34">
        <f t="shared" si="93"/>
        <v>75.036676504744008</v>
      </c>
      <c r="AP72" s="34">
        <f t="shared" si="94"/>
        <v>75.569574263570189</v>
      </c>
      <c r="AQ72" s="34">
        <f t="shared" si="95"/>
        <v>28463.245390057287</v>
      </c>
      <c r="AR72" s="34">
        <f t="shared" si="96"/>
        <v>-293293.19275930244</v>
      </c>
      <c r="AS72" s="30">
        <f t="shared" si="97"/>
        <v>1.0580051574788625</v>
      </c>
      <c r="AT72" s="29">
        <f t="shared" si="98"/>
        <v>3178.9909946617372</v>
      </c>
      <c r="AU72" s="29">
        <f t="shared" si="99"/>
        <v>0</v>
      </c>
      <c r="AV72" s="34">
        <f t="shared" si="100"/>
        <v>-380218.43745091558</v>
      </c>
      <c r="AW72" s="34">
        <f t="shared" si="101"/>
        <v>25284.787293152709</v>
      </c>
      <c r="AX72" s="29">
        <f t="shared" si="102"/>
        <v>25284.25439539555</v>
      </c>
      <c r="AY72" s="34">
        <f t="shared" si="103"/>
        <v>0.53289775882618073</v>
      </c>
      <c r="AZ72" s="37">
        <f t="shared" si="104"/>
        <v>-6.5938695768598813E-14</v>
      </c>
      <c r="BA72" s="37">
        <f t="shared" si="105"/>
        <v>2.181345478710604E-16</v>
      </c>
      <c r="BB72" s="35">
        <f t="shared" si="106"/>
        <v>7.7749991783826466E-4</v>
      </c>
      <c r="BC72" s="31">
        <f t="shared" si="107"/>
        <v>0.94852280008466405</v>
      </c>
      <c r="BD72" s="34">
        <f t="shared" si="108"/>
        <v>23983.197242846341</v>
      </c>
    </row>
    <row r="73" spans="1:56" x14ac:dyDescent="0.2">
      <c r="A73" s="27">
        <f t="shared" si="109"/>
        <v>69</v>
      </c>
      <c r="B73" s="28">
        <f t="shared" si="56"/>
        <v>69</v>
      </c>
      <c r="C73" s="27">
        <f t="shared" si="57"/>
        <v>5</v>
      </c>
      <c r="D73" s="28">
        <f t="shared" si="58"/>
        <v>25</v>
      </c>
      <c r="E73" s="29">
        <f t="shared" si="59"/>
        <v>0</v>
      </c>
      <c r="F73" s="30">
        <f t="shared" si="60"/>
        <v>4.3368314789589071E-4</v>
      </c>
      <c r="G73" s="31">
        <f t="shared" si="61"/>
        <v>3.6147447967760371E-5</v>
      </c>
      <c r="H73" s="32">
        <f t="shared" si="62"/>
        <v>0.02</v>
      </c>
      <c r="I73" s="32">
        <f t="shared" si="63"/>
        <v>0</v>
      </c>
      <c r="J73" s="33">
        <f t="shared" si="110"/>
        <v>71.988959307183279</v>
      </c>
      <c r="K73" s="30">
        <f t="shared" si="64"/>
        <v>0</v>
      </c>
      <c r="L73" s="33">
        <f t="shared" si="65"/>
        <v>71.988959307183279</v>
      </c>
      <c r="M73" s="30">
        <f t="shared" si="66"/>
        <v>0</v>
      </c>
      <c r="N73" s="33">
        <f t="shared" si="67"/>
        <v>71.988959307183279</v>
      </c>
      <c r="O73" s="31">
        <f t="shared" si="68"/>
        <v>2.6022171608096265E-3</v>
      </c>
      <c r="P73" s="33">
        <f t="shared" si="69"/>
        <v>0.12109131447783292</v>
      </c>
      <c r="Q73" s="34">
        <f t="shared" si="111"/>
        <v>469178.55676304497</v>
      </c>
      <c r="R73" s="29">
        <f t="shared" si="70"/>
        <v>0</v>
      </c>
      <c r="S73" s="34">
        <f t="shared" si="71"/>
        <v>469178.55676304497</v>
      </c>
      <c r="T73" s="29">
        <f t="shared" si="72"/>
        <v>390.98213063587082</v>
      </c>
      <c r="U73" s="29">
        <f t="shared" si="73"/>
        <v>30821.443236955034</v>
      </c>
      <c r="V73" s="35">
        <f t="shared" si="74"/>
        <v>3.9762192764536412E-5</v>
      </c>
      <c r="W73" s="34">
        <f t="shared" si="75"/>
        <v>1.2255281672690232</v>
      </c>
      <c r="X73" s="34">
        <f t="shared" si="76"/>
        <v>468786.34910424182</v>
      </c>
      <c r="Y73" s="36">
        <f t="shared" si="77"/>
        <v>2.5081328567777561E-4</v>
      </c>
      <c r="Z73" s="34">
        <f t="shared" si="78"/>
        <v>117.57784449972365</v>
      </c>
      <c r="AA73" s="34">
        <f t="shared" si="79"/>
        <v>468845.13802649168</v>
      </c>
      <c r="AB73" s="34">
        <f t="shared" si="80"/>
        <v>33775676.030617826</v>
      </c>
      <c r="AC73" s="34">
        <f t="shared" si="81"/>
        <v>33775676.030617826</v>
      </c>
      <c r="AD73" s="34">
        <f t="shared" si="82"/>
        <v>33775676.030617826</v>
      </c>
      <c r="AE73" s="34">
        <f t="shared" si="83"/>
        <v>0</v>
      </c>
      <c r="AF73" s="34">
        <f t="shared" si="84"/>
        <v>0</v>
      </c>
      <c r="AG73" s="29">
        <f t="shared" si="85"/>
        <v>500000</v>
      </c>
      <c r="AH73" s="34">
        <f t="shared" si="86"/>
        <v>1301.1085804048132</v>
      </c>
      <c r="AI73" s="34">
        <f t="shared" si="87"/>
        <v>1220.0368639346946</v>
      </c>
      <c r="AJ73" s="34">
        <f t="shared" si="88"/>
        <v>56773.074050168885</v>
      </c>
      <c r="AK73" s="34">
        <f t="shared" si="89"/>
        <v>0</v>
      </c>
      <c r="AL73" s="34">
        <f t="shared" si="90"/>
        <v>56773.074050168885</v>
      </c>
      <c r="AM73" s="34">
        <f t="shared" si="91"/>
        <v>0</v>
      </c>
      <c r="AN73" s="34">
        <f t="shared" si="92"/>
        <v>58074.182630573698</v>
      </c>
      <c r="AO73" s="34">
        <f t="shared" si="93"/>
        <v>81.071716470118616</v>
      </c>
      <c r="AP73" s="34">
        <f t="shared" si="94"/>
        <v>88.224497363336624</v>
      </c>
      <c r="AQ73" s="34">
        <f t="shared" si="95"/>
        <v>28146.396692181523</v>
      </c>
      <c r="AR73" s="34">
        <f t="shared" si="96"/>
        <v>8457.034853702613</v>
      </c>
      <c r="AS73" s="30">
        <f t="shared" si="97"/>
        <v>1.0588828130821661</v>
      </c>
      <c r="AT73" s="29">
        <f t="shared" si="98"/>
        <v>3176.1613225853257</v>
      </c>
      <c r="AU73" s="29">
        <f t="shared" si="99"/>
        <v>0</v>
      </c>
      <c r="AV73" s="34">
        <f t="shared" si="100"/>
        <v>-77770.697249948978</v>
      </c>
      <c r="AW73" s="34">
        <f t="shared" si="101"/>
        <v>24977.388150492567</v>
      </c>
      <c r="AX73" s="29">
        <f t="shared" si="102"/>
        <v>24970.235369596197</v>
      </c>
      <c r="AY73" s="34">
        <f t="shared" si="103"/>
        <v>7.1527808932180079</v>
      </c>
      <c r="AZ73" s="37">
        <f t="shared" si="104"/>
        <v>1.2616268688885131E-13</v>
      </c>
      <c r="BA73" s="37">
        <f t="shared" si="105"/>
        <v>-2.2059012498135754E-16</v>
      </c>
      <c r="BB73" s="35">
        <f t="shared" si="106"/>
        <v>7.7749991783826466E-4</v>
      </c>
      <c r="BC73" s="31">
        <f t="shared" si="107"/>
        <v>0.94778589662790758</v>
      </c>
      <c r="BD73" s="34">
        <f t="shared" si="108"/>
        <v>23673.216223637872</v>
      </c>
    </row>
    <row r="74" spans="1:56" x14ac:dyDescent="0.2">
      <c r="A74" s="27">
        <f t="shared" si="109"/>
        <v>70</v>
      </c>
      <c r="B74" s="28">
        <f t="shared" si="56"/>
        <v>70</v>
      </c>
      <c r="C74" s="27">
        <f t="shared" si="57"/>
        <v>5</v>
      </c>
      <c r="D74" s="28">
        <f t="shared" si="58"/>
        <v>25</v>
      </c>
      <c r="E74" s="29">
        <f t="shared" si="59"/>
        <v>0</v>
      </c>
      <c r="F74" s="30">
        <f t="shared" si="60"/>
        <v>4.3368314789589071E-4</v>
      </c>
      <c r="G74" s="31">
        <f t="shared" si="61"/>
        <v>3.6147447967760371E-5</v>
      </c>
      <c r="H74" s="32">
        <f t="shared" si="62"/>
        <v>0.02</v>
      </c>
      <c r="I74" s="32">
        <f t="shared" si="63"/>
        <v>0</v>
      </c>
      <c r="J74" s="33">
        <f t="shared" si="110"/>
        <v>71.865265775544628</v>
      </c>
      <c r="K74" s="30">
        <f t="shared" si="64"/>
        <v>0</v>
      </c>
      <c r="L74" s="33">
        <f t="shared" si="65"/>
        <v>71.865265775544628</v>
      </c>
      <c r="M74" s="30">
        <f t="shared" si="66"/>
        <v>0</v>
      </c>
      <c r="N74" s="33">
        <f t="shared" si="67"/>
        <v>71.865265775544628</v>
      </c>
      <c r="O74" s="31">
        <f t="shared" si="68"/>
        <v>2.5977459553107696E-3</v>
      </c>
      <c r="P74" s="33">
        <f t="shared" si="69"/>
        <v>0.12088325184596993</v>
      </c>
      <c r="Q74" s="34">
        <f t="shared" si="111"/>
        <v>468903.92694874154</v>
      </c>
      <c r="R74" s="29">
        <f t="shared" si="70"/>
        <v>0</v>
      </c>
      <c r="S74" s="34">
        <f t="shared" si="71"/>
        <v>468903.92694874154</v>
      </c>
      <c r="T74" s="29">
        <f t="shared" si="72"/>
        <v>390.75327245728465</v>
      </c>
      <c r="U74" s="29">
        <f t="shared" si="73"/>
        <v>31096.073051258456</v>
      </c>
      <c r="V74" s="35">
        <f t="shared" si="74"/>
        <v>3.9762192764536412E-5</v>
      </c>
      <c r="W74" s="34">
        <f t="shared" si="75"/>
        <v>1.2364480508842446</v>
      </c>
      <c r="X74" s="34">
        <f t="shared" si="76"/>
        <v>468511.93722823338</v>
      </c>
      <c r="Y74" s="36">
        <f t="shared" si="77"/>
        <v>7.4693160575334261E-4</v>
      </c>
      <c r="Z74" s="34">
        <f t="shared" si="78"/>
        <v>349.9463735884936</v>
      </c>
      <c r="AA74" s="34">
        <f t="shared" si="79"/>
        <v>468686.91041502764</v>
      </c>
      <c r="AB74" s="34">
        <f t="shared" si="80"/>
        <v>33697905.333367877</v>
      </c>
      <c r="AC74" s="34">
        <f t="shared" si="81"/>
        <v>33697905.333367877</v>
      </c>
      <c r="AD74" s="34">
        <f t="shared" si="82"/>
        <v>33697905.333367877</v>
      </c>
      <c r="AE74" s="34">
        <f t="shared" si="83"/>
        <v>0</v>
      </c>
      <c r="AF74" s="34">
        <f t="shared" si="84"/>
        <v>0</v>
      </c>
      <c r="AG74" s="29">
        <f t="shared" si="85"/>
        <v>500000</v>
      </c>
      <c r="AH74" s="34">
        <f t="shared" si="86"/>
        <v>1298.8729776553848</v>
      </c>
      <c r="AI74" s="34">
        <f t="shared" si="87"/>
        <v>1217.5295258377391</v>
      </c>
      <c r="AJ74" s="34">
        <f t="shared" si="88"/>
        <v>56656.397828609333</v>
      </c>
      <c r="AK74" s="34">
        <f t="shared" si="89"/>
        <v>0</v>
      </c>
      <c r="AL74" s="34">
        <f t="shared" si="90"/>
        <v>56656.397828609333</v>
      </c>
      <c r="AM74" s="34">
        <f t="shared" si="91"/>
        <v>0</v>
      </c>
      <c r="AN74" s="34">
        <f t="shared" si="92"/>
        <v>57955.270806264722</v>
      </c>
      <c r="AO74" s="34">
        <f t="shared" si="93"/>
        <v>81.343451817645729</v>
      </c>
      <c r="AP74" s="34">
        <f t="shared" si="94"/>
        <v>88.857667794450364</v>
      </c>
      <c r="AQ74" s="34">
        <f t="shared" si="95"/>
        <v>28081.587777806566</v>
      </c>
      <c r="AR74" s="34">
        <f t="shared" si="96"/>
        <v>25127.383281431303</v>
      </c>
      <c r="AS74" s="30">
        <f t="shared" si="97"/>
        <v>1.059761196734244</v>
      </c>
      <c r="AT74" s="29">
        <f t="shared" si="98"/>
        <v>3173.3341692464865</v>
      </c>
      <c r="AU74" s="29">
        <f t="shared" si="99"/>
        <v>0</v>
      </c>
      <c r="AV74" s="34">
        <f t="shared" si="100"/>
        <v>-60916.989518620074</v>
      </c>
      <c r="AW74" s="34">
        <f t="shared" si="101"/>
        <v>24915.767824540162</v>
      </c>
      <c r="AX74" s="29">
        <f t="shared" si="102"/>
        <v>24908.25360856008</v>
      </c>
      <c r="AY74" s="34">
        <f t="shared" si="103"/>
        <v>7.5142159768046355</v>
      </c>
      <c r="AZ74" s="37">
        <f t="shared" si="104"/>
        <v>1.3152349586606995E-13</v>
      </c>
      <c r="BA74" s="37">
        <f t="shared" si="105"/>
        <v>0</v>
      </c>
      <c r="BB74" s="35">
        <f t="shared" si="106"/>
        <v>7.7749991783826466E-4</v>
      </c>
      <c r="BC74" s="31">
        <f t="shared" si="107"/>
        <v>0.9470495656684117</v>
      </c>
      <c r="BD74" s="34">
        <f t="shared" si="108"/>
        <v>23596.467096525746</v>
      </c>
    </row>
    <row r="75" spans="1:56" x14ac:dyDescent="0.2">
      <c r="A75" s="27">
        <f t="shared" si="109"/>
        <v>71</v>
      </c>
      <c r="B75" s="28">
        <f t="shared" si="56"/>
        <v>71</v>
      </c>
      <c r="C75" s="27">
        <f t="shared" si="57"/>
        <v>5</v>
      </c>
      <c r="D75" s="28">
        <f t="shared" si="58"/>
        <v>25</v>
      </c>
      <c r="E75" s="29">
        <f t="shared" si="59"/>
        <v>0</v>
      </c>
      <c r="F75" s="30">
        <f t="shared" si="60"/>
        <v>4.3368314789589071E-4</v>
      </c>
      <c r="G75" s="31">
        <f t="shared" si="61"/>
        <v>3.6147447967760371E-5</v>
      </c>
      <c r="H75" s="32">
        <f t="shared" si="62"/>
        <v>0.02</v>
      </c>
      <c r="I75" s="32">
        <f t="shared" si="63"/>
        <v>0</v>
      </c>
      <c r="J75" s="33">
        <f t="shared" si="110"/>
        <v>71.741784777743348</v>
      </c>
      <c r="K75" s="30">
        <f t="shared" si="64"/>
        <v>0</v>
      </c>
      <c r="L75" s="33">
        <f t="shared" si="65"/>
        <v>71.741784777743348</v>
      </c>
      <c r="M75" s="30">
        <f t="shared" si="66"/>
        <v>0</v>
      </c>
      <c r="N75" s="33">
        <f t="shared" si="67"/>
        <v>71.741784777743348</v>
      </c>
      <c r="O75" s="31">
        <f t="shared" si="68"/>
        <v>2.5932824323677407E-3</v>
      </c>
      <c r="P75" s="33">
        <f t="shared" si="69"/>
        <v>0.12067554671339553</v>
      </c>
      <c r="Q75" s="34">
        <f t="shared" si="111"/>
        <v>468861.8836018219</v>
      </c>
      <c r="R75" s="29">
        <f t="shared" si="70"/>
        <v>0</v>
      </c>
      <c r="S75" s="34">
        <f t="shared" si="71"/>
        <v>468861.8836018219</v>
      </c>
      <c r="T75" s="29">
        <f t="shared" si="72"/>
        <v>390.71823633485161</v>
      </c>
      <c r="U75" s="29">
        <f t="shared" si="73"/>
        <v>31138.116398178099</v>
      </c>
      <c r="V75" s="35">
        <f t="shared" si="74"/>
        <v>3.9762192764536412E-5</v>
      </c>
      <c r="W75" s="34">
        <f t="shared" si="75"/>
        <v>1.2381197865489297</v>
      </c>
      <c r="X75" s="34">
        <f t="shared" si="76"/>
        <v>468469.9272457005</v>
      </c>
      <c r="Y75" s="36">
        <f t="shared" si="77"/>
        <v>-3.5852596940009196E-3</v>
      </c>
      <c r="Z75" s="34">
        <f t="shared" si="78"/>
        <v>-1679.5863480055532</v>
      </c>
      <c r="AA75" s="34">
        <f t="shared" si="79"/>
        <v>467630.13407169771</v>
      </c>
      <c r="AB75" s="34">
        <f t="shared" si="80"/>
        <v>33636988.343849257</v>
      </c>
      <c r="AC75" s="34">
        <f t="shared" si="81"/>
        <v>33636988.343849257</v>
      </c>
      <c r="AD75" s="34">
        <f t="shared" si="82"/>
        <v>33636988.343849257</v>
      </c>
      <c r="AE75" s="34">
        <f t="shared" si="83"/>
        <v>0</v>
      </c>
      <c r="AF75" s="34">
        <f t="shared" si="84"/>
        <v>0</v>
      </c>
      <c r="AG75" s="29">
        <f t="shared" si="85"/>
        <v>500000</v>
      </c>
      <c r="AH75" s="34">
        <f t="shared" si="86"/>
        <v>1296.6412161838703</v>
      </c>
      <c r="AI75" s="34">
        <f t="shared" si="87"/>
        <v>1212.697011533905</v>
      </c>
      <c r="AJ75" s="34">
        <f t="shared" si="88"/>
        <v>56431.522088760576</v>
      </c>
      <c r="AK75" s="34">
        <f t="shared" si="89"/>
        <v>0</v>
      </c>
      <c r="AL75" s="34">
        <f t="shared" si="90"/>
        <v>56431.522088760576</v>
      </c>
      <c r="AM75" s="34">
        <f t="shared" si="91"/>
        <v>0</v>
      </c>
      <c r="AN75" s="34">
        <f t="shared" si="92"/>
        <v>57728.163304944443</v>
      </c>
      <c r="AO75" s="34">
        <f t="shared" si="93"/>
        <v>83.944204649965414</v>
      </c>
      <c r="AP75" s="34">
        <f t="shared" si="94"/>
        <v>88.824923255658845</v>
      </c>
      <c r="AQ75" s="34">
        <f t="shared" si="95"/>
        <v>28030.823619874383</v>
      </c>
      <c r="AR75" s="34">
        <f t="shared" si="96"/>
        <v>-120393.00197296639</v>
      </c>
      <c r="AS75" s="30">
        <f t="shared" si="97"/>
        <v>1.0606403090390402</v>
      </c>
      <c r="AT75" s="29">
        <f t="shared" si="98"/>
        <v>3170.5095324032504</v>
      </c>
      <c r="AU75" s="29">
        <f t="shared" si="99"/>
        <v>0</v>
      </c>
      <c r="AV75" s="34">
        <f t="shared" si="100"/>
        <v>-206156.869616393</v>
      </c>
      <c r="AW75" s="34">
        <f t="shared" si="101"/>
        <v>24865.194806078915</v>
      </c>
      <c r="AX75" s="29">
        <f t="shared" si="102"/>
        <v>24860.314087471132</v>
      </c>
      <c r="AY75" s="34">
        <f t="shared" si="103"/>
        <v>4.8807186056934313</v>
      </c>
      <c r="AZ75" s="37">
        <f t="shared" si="104"/>
        <v>8.4032271956469309E-14</v>
      </c>
      <c r="BA75" s="37">
        <f t="shared" si="105"/>
        <v>-1.1074981684985207E-16</v>
      </c>
      <c r="BB75" s="35">
        <f t="shared" si="106"/>
        <v>7.7749991783826466E-4</v>
      </c>
      <c r="BC75" s="31">
        <f t="shared" si="107"/>
        <v>0.94631380676140542</v>
      </c>
      <c r="BD75" s="34">
        <f t="shared" si="108"/>
        <v>23530.277152804465</v>
      </c>
    </row>
    <row r="76" spans="1:56" x14ac:dyDescent="0.2">
      <c r="A76" s="27">
        <f t="shared" si="109"/>
        <v>72</v>
      </c>
      <c r="B76" s="28">
        <f t="shared" si="56"/>
        <v>72</v>
      </c>
      <c r="C76" s="27">
        <f t="shared" si="57"/>
        <v>6</v>
      </c>
      <c r="D76" s="28">
        <f t="shared" si="58"/>
        <v>26</v>
      </c>
      <c r="E76" s="29">
        <f t="shared" si="59"/>
        <v>0</v>
      </c>
      <c r="F76" s="30">
        <f t="shared" si="60"/>
        <v>4.4546527732059691E-4</v>
      </c>
      <c r="G76" s="31">
        <f t="shared" si="61"/>
        <v>3.7129687880499418E-5</v>
      </c>
      <c r="H76" s="32">
        <f t="shared" si="62"/>
        <v>0.02</v>
      </c>
      <c r="I76" s="32">
        <f t="shared" si="63"/>
        <v>0</v>
      </c>
      <c r="J76" s="33">
        <f t="shared" si="110"/>
        <v>71.618515948597576</v>
      </c>
      <c r="K76" s="30">
        <f t="shared" si="64"/>
        <v>0</v>
      </c>
      <c r="L76" s="33">
        <f t="shared" si="65"/>
        <v>71.618515948597576</v>
      </c>
      <c r="M76" s="30">
        <f t="shared" si="66"/>
        <v>0</v>
      </c>
      <c r="N76" s="33">
        <f t="shared" si="67"/>
        <v>71.618515948597576</v>
      </c>
      <c r="O76" s="31">
        <f t="shared" si="68"/>
        <v>2.6591731436359975E-3</v>
      </c>
      <c r="P76" s="33">
        <f t="shared" si="69"/>
        <v>0.1204680801328938</v>
      </c>
      <c r="Q76" s="34">
        <f t="shared" si="111"/>
        <v>466790.34089769493</v>
      </c>
      <c r="R76" s="29">
        <f t="shared" si="70"/>
        <v>0</v>
      </c>
      <c r="S76" s="34">
        <f t="shared" si="71"/>
        <v>466790.34089769493</v>
      </c>
      <c r="T76" s="29">
        <f t="shared" si="72"/>
        <v>388.99195074807915</v>
      </c>
      <c r="U76" s="29">
        <f t="shared" si="73"/>
        <v>33209.659102305071</v>
      </c>
      <c r="V76" s="35">
        <f t="shared" si="74"/>
        <v>4.0842656668549364E-5</v>
      </c>
      <c r="W76" s="34">
        <f t="shared" si="75"/>
        <v>1.3563707047950113</v>
      </c>
      <c r="X76" s="34">
        <f t="shared" si="76"/>
        <v>466399.99257624208</v>
      </c>
      <c r="Y76" s="36">
        <f t="shared" si="77"/>
        <v>9.435037305223215E-4</v>
      </c>
      <c r="Z76" s="34">
        <f t="shared" si="78"/>
        <v>440.05013291126744</v>
      </c>
      <c r="AA76" s="34">
        <f t="shared" si="79"/>
        <v>466620.01764269773</v>
      </c>
      <c r="AB76" s="34">
        <f t="shared" si="80"/>
        <v>33430831.474232864</v>
      </c>
      <c r="AC76" s="34">
        <f t="shared" si="81"/>
        <v>33430831.474232864</v>
      </c>
      <c r="AD76" s="34">
        <f t="shared" si="82"/>
        <v>33430831.474232864</v>
      </c>
      <c r="AE76" s="34">
        <f t="shared" si="83"/>
        <v>0</v>
      </c>
      <c r="AF76" s="34">
        <f t="shared" si="84"/>
        <v>0</v>
      </c>
      <c r="AG76" s="29">
        <f t="shared" si="85"/>
        <v>500000</v>
      </c>
      <c r="AH76" s="34">
        <f t="shared" si="86"/>
        <v>1329.5865718179987</v>
      </c>
      <c r="AI76" s="34">
        <f t="shared" si="87"/>
        <v>1240.8234191984172</v>
      </c>
      <c r="AJ76" s="34">
        <f t="shared" si="88"/>
        <v>56212.817676992825</v>
      </c>
      <c r="AK76" s="34">
        <f t="shared" si="89"/>
        <v>0</v>
      </c>
      <c r="AL76" s="34">
        <f t="shared" si="90"/>
        <v>56212.817676992825</v>
      </c>
      <c r="AM76" s="34">
        <f t="shared" si="91"/>
        <v>0</v>
      </c>
      <c r="AN76" s="34">
        <f t="shared" si="92"/>
        <v>57542.404248810824</v>
      </c>
      <c r="AO76" s="34">
        <f t="shared" si="93"/>
        <v>88.763152619581618</v>
      </c>
      <c r="AP76" s="34">
        <f t="shared" si="94"/>
        <v>97.141256953572054</v>
      </c>
      <c r="AQ76" s="34">
        <f t="shared" si="95"/>
        <v>27859.026228527389</v>
      </c>
      <c r="AR76" s="34">
        <f t="shared" si="96"/>
        <v>31488.646380003422</v>
      </c>
      <c r="AS76" s="30">
        <f t="shared" si="97"/>
        <v>1.0615201506010001</v>
      </c>
      <c r="AT76" s="29">
        <f t="shared" si="98"/>
        <v>3167.6874098156427</v>
      </c>
      <c r="AU76" s="29">
        <f t="shared" si="99"/>
        <v>0</v>
      </c>
      <c r="AV76" s="34">
        <f t="shared" si="100"/>
        <v>-53921.162201672792</v>
      </c>
      <c r="AW76" s="34">
        <f t="shared" si="101"/>
        <v>24699.716923049746</v>
      </c>
      <c r="AX76" s="29">
        <f t="shared" si="102"/>
        <v>24691.338818711745</v>
      </c>
      <c r="AY76" s="34">
        <f t="shared" si="103"/>
        <v>8.3781043339904357</v>
      </c>
      <c r="AZ76" s="37">
        <f t="shared" si="104"/>
        <v>1.6234908130584487E-13</v>
      </c>
      <c r="BA76" s="37">
        <f t="shared" si="105"/>
        <v>-1.1143277430396003E-16</v>
      </c>
      <c r="BB76" s="35">
        <f t="shared" si="106"/>
        <v>8.2706077978311754E-4</v>
      </c>
      <c r="BC76" s="31">
        <f t="shared" si="107"/>
        <v>0.94221314195926376</v>
      </c>
      <c r="BD76" s="34">
        <f t="shared" si="108"/>
        <v>23272.3978875711</v>
      </c>
    </row>
    <row r="77" spans="1:56" x14ac:dyDescent="0.2">
      <c r="A77" s="27">
        <f t="shared" si="109"/>
        <v>73</v>
      </c>
      <c r="B77" s="28">
        <f t="shared" si="56"/>
        <v>73</v>
      </c>
      <c r="C77" s="27">
        <f t="shared" si="57"/>
        <v>6</v>
      </c>
      <c r="D77" s="28">
        <f t="shared" si="58"/>
        <v>26</v>
      </c>
      <c r="E77" s="29">
        <f t="shared" si="59"/>
        <v>0</v>
      </c>
      <c r="F77" s="30">
        <f t="shared" si="60"/>
        <v>4.4546527732059691E-4</v>
      </c>
      <c r="G77" s="31">
        <f t="shared" si="61"/>
        <v>3.7129687880499418E-5</v>
      </c>
      <c r="H77" s="32">
        <f t="shared" si="62"/>
        <v>0.02</v>
      </c>
      <c r="I77" s="32">
        <f t="shared" si="63"/>
        <v>0</v>
      </c>
      <c r="J77" s="33">
        <f t="shared" si="110"/>
        <v>71.49538869532104</v>
      </c>
      <c r="K77" s="30">
        <f t="shared" si="64"/>
        <v>0</v>
      </c>
      <c r="L77" s="33">
        <f t="shared" si="65"/>
        <v>71.49538869532104</v>
      </c>
      <c r="M77" s="30">
        <f t="shared" si="66"/>
        <v>0</v>
      </c>
      <c r="N77" s="33">
        <f t="shared" si="67"/>
        <v>71.49538869532104</v>
      </c>
      <c r="O77" s="31">
        <f t="shared" si="68"/>
        <v>2.6546014671522569E-3</v>
      </c>
      <c r="P77" s="33">
        <f t="shared" si="69"/>
        <v>0.12026097023096693</v>
      </c>
      <c r="Q77" s="34">
        <f t="shared" si="111"/>
        <v>466840.04270915332</v>
      </c>
      <c r="R77" s="29">
        <f t="shared" si="70"/>
        <v>0</v>
      </c>
      <c r="S77" s="34">
        <f t="shared" si="71"/>
        <v>466840.04270915332</v>
      </c>
      <c r="T77" s="29">
        <f t="shared" si="72"/>
        <v>389.03336892429445</v>
      </c>
      <c r="U77" s="29">
        <f t="shared" si="73"/>
        <v>33159.95729084668</v>
      </c>
      <c r="V77" s="35">
        <f t="shared" si="74"/>
        <v>4.0842656668549364E-5</v>
      </c>
      <c r="W77" s="34">
        <f t="shared" si="75"/>
        <v>1.3543407507738112</v>
      </c>
      <c r="X77" s="34">
        <f t="shared" si="76"/>
        <v>466449.65499947825</v>
      </c>
      <c r="Y77" s="36">
        <f t="shared" si="77"/>
        <v>1.9000335658863055E-3</v>
      </c>
      <c r="Z77" s="34">
        <f t="shared" si="78"/>
        <v>886.27000129509565</v>
      </c>
      <c r="AA77" s="34">
        <f t="shared" si="79"/>
        <v>466892.79000012582</v>
      </c>
      <c r="AB77" s="34">
        <f t="shared" si="80"/>
        <v>33376910.312031191</v>
      </c>
      <c r="AC77" s="34">
        <f t="shared" si="81"/>
        <v>33376910.312031191</v>
      </c>
      <c r="AD77" s="34">
        <f t="shared" si="82"/>
        <v>33376910.312031191</v>
      </c>
      <c r="AE77" s="34">
        <f t="shared" si="83"/>
        <v>0</v>
      </c>
      <c r="AF77" s="34">
        <f t="shared" si="84"/>
        <v>0</v>
      </c>
      <c r="AG77" s="29">
        <f t="shared" si="85"/>
        <v>500000</v>
      </c>
      <c r="AH77" s="34">
        <f t="shared" si="86"/>
        <v>1327.3007335761286</v>
      </c>
      <c r="AI77" s="34">
        <f t="shared" si="87"/>
        <v>1239.4142853371445</v>
      </c>
      <c r="AJ77" s="34">
        <f t="shared" si="88"/>
        <v>56148.979919258229</v>
      </c>
      <c r="AK77" s="34">
        <f t="shared" si="89"/>
        <v>0</v>
      </c>
      <c r="AL77" s="34">
        <f t="shared" si="90"/>
        <v>56148.979919258229</v>
      </c>
      <c r="AM77" s="34">
        <f t="shared" si="91"/>
        <v>0</v>
      </c>
      <c r="AN77" s="34">
        <f t="shared" si="92"/>
        <v>57476.280652834357</v>
      </c>
      <c r="AO77" s="34">
        <f t="shared" si="93"/>
        <v>87.88644823898386</v>
      </c>
      <c r="AP77" s="34">
        <f t="shared" si="94"/>
        <v>96.829118402486557</v>
      </c>
      <c r="AQ77" s="34">
        <f t="shared" si="95"/>
        <v>27814.091926692661</v>
      </c>
      <c r="AR77" s="34">
        <f t="shared" si="96"/>
        <v>63309.750039651495</v>
      </c>
      <c r="AS77" s="30">
        <f t="shared" si="97"/>
        <v>1.0624007220250702</v>
      </c>
      <c r="AT77" s="29">
        <f t="shared" si="98"/>
        <v>3164.8646904738384</v>
      </c>
      <c r="AU77" s="29">
        <f t="shared" si="99"/>
        <v>0</v>
      </c>
      <c r="AV77" s="34">
        <f t="shared" si="100"/>
        <v>-21989.565210044384</v>
      </c>
      <c r="AW77" s="34">
        <f t="shared" si="101"/>
        <v>24658.169906387684</v>
      </c>
      <c r="AX77" s="29">
        <f t="shared" si="102"/>
        <v>24649.227236218823</v>
      </c>
      <c r="AY77" s="34">
        <f t="shared" si="103"/>
        <v>8.9426701635026973</v>
      </c>
      <c r="AZ77" s="37">
        <f t="shared" si="104"/>
        <v>2.1729467774253532E-13</v>
      </c>
      <c r="BA77" s="37">
        <f t="shared" si="105"/>
        <v>-2.2322559300038501E-16</v>
      </c>
      <c r="BB77" s="35">
        <f t="shared" si="106"/>
        <v>8.2706077978311754E-4</v>
      </c>
      <c r="BC77" s="31">
        <f t="shared" si="107"/>
        <v>0.94143451839236747</v>
      </c>
      <c r="BD77" s="34">
        <f t="shared" si="108"/>
        <v>23214.052310257259</v>
      </c>
    </row>
    <row r="78" spans="1:56" x14ac:dyDescent="0.2">
      <c r="A78" s="27">
        <f t="shared" si="109"/>
        <v>74</v>
      </c>
      <c r="B78" s="28">
        <f t="shared" si="56"/>
        <v>74</v>
      </c>
      <c r="C78" s="27">
        <f t="shared" si="57"/>
        <v>6</v>
      </c>
      <c r="D78" s="28">
        <f t="shared" si="58"/>
        <v>26</v>
      </c>
      <c r="E78" s="29">
        <f t="shared" si="59"/>
        <v>0</v>
      </c>
      <c r="F78" s="30">
        <f t="shared" si="60"/>
        <v>4.4546527732059691E-4</v>
      </c>
      <c r="G78" s="31">
        <f t="shared" si="61"/>
        <v>3.7129687880499418E-5</v>
      </c>
      <c r="H78" s="32">
        <f t="shared" si="62"/>
        <v>0.02</v>
      </c>
      <c r="I78" s="32">
        <f t="shared" si="63"/>
        <v>0</v>
      </c>
      <c r="J78" s="33">
        <f t="shared" si="110"/>
        <v>71.37247312362291</v>
      </c>
      <c r="K78" s="30">
        <f t="shared" si="64"/>
        <v>0</v>
      </c>
      <c r="L78" s="33">
        <f t="shared" si="65"/>
        <v>71.37247312362291</v>
      </c>
      <c r="M78" s="30">
        <f t="shared" si="66"/>
        <v>0</v>
      </c>
      <c r="N78" s="33">
        <f t="shared" si="67"/>
        <v>71.37247312362291</v>
      </c>
      <c r="O78" s="31">
        <f t="shared" si="68"/>
        <v>2.650037650339452E-3</v>
      </c>
      <c r="P78" s="33">
        <f t="shared" si="69"/>
        <v>0.12005421639440968</v>
      </c>
      <c r="Q78" s="34">
        <f t="shared" si="111"/>
        <v>467335.92500077334</v>
      </c>
      <c r="R78" s="29">
        <f t="shared" si="70"/>
        <v>0</v>
      </c>
      <c r="S78" s="34">
        <f t="shared" si="71"/>
        <v>467335.92500077334</v>
      </c>
      <c r="T78" s="29">
        <f t="shared" si="72"/>
        <v>389.44660416731114</v>
      </c>
      <c r="U78" s="29">
        <f t="shared" si="73"/>
        <v>32664.074999226665</v>
      </c>
      <c r="V78" s="35">
        <f t="shared" si="74"/>
        <v>4.0842656668549364E-5</v>
      </c>
      <c r="W78" s="34">
        <f t="shared" si="75"/>
        <v>1.3340876005891615</v>
      </c>
      <c r="X78" s="34">
        <f t="shared" si="76"/>
        <v>466945.14430900547</v>
      </c>
      <c r="Y78" s="36">
        <f t="shared" si="77"/>
        <v>-3.327962951250818E-3</v>
      </c>
      <c r="Z78" s="34">
        <f t="shared" si="78"/>
        <v>-1553.9761405268368</v>
      </c>
      <c r="AA78" s="34">
        <f t="shared" si="79"/>
        <v>466168.15623874206</v>
      </c>
      <c r="AB78" s="34">
        <f t="shared" si="80"/>
        <v>33354920.746821146</v>
      </c>
      <c r="AC78" s="34">
        <f t="shared" si="81"/>
        <v>33354920.746821146</v>
      </c>
      <c r="AD78" s="34">
        <f t="shared" si="82"/>
        <v>33354920.746821146</v>
      </c>
      <c r="AE78" s="34">
        <f t="shared" si="83"/>
        <v>0</v>
      </c>
      <c r="AF78" s="34">
        <f t="shared" si="84"/>
        <v>0</v>
      </c>
      <c r="AG78" s="29">
        <f t="shared" si="85"/>
        <v>500000</v>
      </c>
      <c r="AH78" s="34">
        <f t="shared" si="86"/>
        <v>1325.0188251697259</v>
      </c>
      <c r="AI78" s="34">
        <f t="shared" si="87"/>
        <v>1235.3631654219905</v>
      </c>
      <c r="AJ78" s="34">
        <f t="shared" si="88"/>
        <v>55965.452705268915</v>
      </c>
      <c r="AK78" s="34">
        <f t="shared" si="89"/>
        <v>0</v>
      </c>
      <c r="AL78" s="34">
        <f t="shared" si="90"/>
        <v>55965.452705268915</v>
      </c>
      <c r="AM78" s="34">
        <f t="shared" si="91"/>
        <v>0</v>
      </c>
      <c r="AN78" s="34">
        <f t="shared" si="92"/>
        <v>57290.471530438641</v>
      </c>
      <c r="AO78" s="34">
        <f t="shared" si="93"/>
        <v>89.655659747735456</v>
      </c>
      <c r="AP78" s="34">
        <f t="shared" si="94"/>
        <v>95.217131417608513</v>
      </c>
      <c r="AQ78" s="34">
        <f t="shared" si="95"/>
        <v>27795.767289017625</v>
      </c>
      <c r="AR78" s="34">
        <f t="shared" si="96"/>
        <v>-110815.78058293958</v>
      </c>
      <c r="AS78" s="30">
        <f t="shared" si="97"/>
        <v>1.0632820239166989</v>
      </c>
      <c r="AT78" s="29">
        <f t="shared" si="98"/>
        <v>3162.0444864510819</v>
      </c>
      <c r="AU78" s="29">
        <f t="shared" si="99"/>
        <v>0</v>
      </c>
      <c r="AV78" s="34">
        <f t="shared" si="100"/>
        <v>-195907.58087406307</v>
      </c>
      <c r="AW78" s="34">
        <f t="shared" si="101"/>
        <v>24639.284274233767</v>
      </c>
      <c r="AX78" s="29">
        <f t="shared" si="102"/>
        <v>24633.722802566543</v>
      </c>
      <c r="AY78" s="34">
        <f t="shared" si="103"/>
        <v>5.5614716698730575</v>
      </c>
      <c r="AZ78" s="37">
        <f t="shared" si="104"/>
        <v>-1.0749751108449611E-13</v>
      </c>
      <c r="BA78" s="37">
        <f t="shared" si="105"/>
        <v>0</v>
      </c>
      <c r="BB78" s="35">
        <f t="shared" si="106"/>
        <v>8.2706077978311754E-4</v>
      </c>
      <c r="BC78" s="31">
        <f t="shared" si="107"/>
        <v>0.9406565382623242</v>
      </c>
      <c r="BD78" s="34">
        <f t="shared" si="108"/>
        <v>23177.103850662057</v>
      </c>
    </row>
    <row r="79" spans="1:56" x14ac:dyDescent="0.2">
      <c r="A79" s="27">
        <f t="shared" si="109"/>
        <v>75</v>
      </c>
      <c r="B79" s="28">
        <f t="shared" si="56"/>
        <v>75</v>
      </c>
      <c r="C79" s="27">
        <f t="shared" si="57"/>
        <v>6</v>
      </c>
      <c r="D79" s="28">
        <f t="shared" si="58"/>
        <v>26</v>
      </c>
      <c r="E79" s="29">
        <f t="shared" si="59"/>
        <v>0</v>
      </c>
      <c r="F79" s="30">
        <f t="shared" si="60"/>
        <v>4.4546527732059691E-4</v>
      </c>
      <c r="G79" s="31">
        <f t="shared" si="61"/>
        <v>3.7129687880499418E-5</v>
      </c>
      <c r="H79" s="32">
        <f t="shared" si="62"/>
        <v>0.02</v>
      </c>
      <c r="I79" s="32">
        <f t="shared" si="63"/>
        <v>0</v>
      </c>
      <c r="J79" s="33">
        <f t="shared" si="110"/>
        <v>71.249768869578162</v>
      </c>
      <c r="K79" s="30">
        <f t="shared" si="64"/>
        <v>0</v>
      </c>
      <c r="L79" s="33">
        <f t="shared" si="65"/>
        <v>71.249768869578162</v>
      </c>
      <c r="M79" s="30">
        <f t="shared" si="66"/>
        <v>0</v>
      </c>
      <c r="N79" s="33">
        <f t="shared" si="67"/>
        <v>71.249768869578162</v>
      </c>
      <c r="O79" s="31">
        <f t="shared" si="68"/>
        <v>2.6454816796851609E-3</v>
      </c>
      <c r="P79" s="33">
        <f t="shared" si="69"/>
        <v>0.11984781801107096</v>
      </c>
      <c r="Q79" s="34">
        <f t="shared" si="111"/>
        <v>465391.16816847865</v>
      </c>
      <c r="R79" s="29">
        <f t="shared" si="70"/>
        <v>0</v>
      </c>
      <c r="S79" s="34">
        <f t="shared" si="71"/>
        <v>465391.16816847865</v>
      </c>
      <c r="T79" s="29">
        <f t="shared" si="72"/>
        <v>387.82597347373223</v>
      </c>
      <c r="U79" s="29">
        <f t="shared" si="73"/>
        <v>34608.831831521355</v>
      </c>
      <c r="V79" s="35">
        <f t="shared" si="74"/>
        <v>4.0842656668549364E-5</v>
      </c>
      <c r="W79" s="34">
        <f t="shared" si="75"/>
        <v>1.4135166361943892</v>
      </c>
      <c r="X79" s="34">
        <f t="shared" si="76"/>
        <v>465001.92867836874</v>
      </c>
      <c r="Y79" s="36">
        <f t="shared" si="77"/>
        <v>-4.0261695278229759E-3</v>
      </c>
      <c r="Z79" s="34">
        <f t="shared" si="78"/>
        <v>-1872.1765956237609</v>
      </c>
      <c r="AA79" s="34">
        <f t="shared" si="79"/>
        <v>464065.84038055688</v>
      </c>
      <c r="AB79" s="34">
        <f t="shared" si="80"/>
        <v>33159013.165947083</v>
      </c>
      <c r="AC79" s="34">
        <f t="shared" si="81"/>
        <v>33159013.165947083</v>
      </c>
      <c r="AD79" s="34">
        <f t="shared" si="82"/>
        <v>33159013.165947083</v>
      </c>
      <c r="AE79" s="34">
        <f t="shared" si="83"/>
        <v>0</v>
      </c>
      <c r="AF79" s="34">
        <f t="shared" si="84"/>
        <v>0</v>
      </c>
      <c r="AG79" s="29">
        <f t="shared" si="85"/>
        <v>500000</v>
      </c>
      <c r="AH79" s="34">
        <f t="shared" si="86"/>
        <v>1322.7408398425805</v>
      </c>
      <c r="AI79" s="34">
        <f t="shared" si="87"/>
        <v>1227.6776788944615</v>
      </c>
      <c r="AJ79" s="34">
        <f t="shared" si="88"/>
        <v>55617.278383083685</v>
      </c>
      <c r="AK79" s="34">
        <f t="shared" si="89"/>
        <v>0</v>
      </c>
      <c r="AL79" s="34">
        <f t="shared" si="90"/>
        <v>55617.278383083685</v>
      </c>
      <c r="AM79" s="34">
        <f t="shared" si="91"/>
        <v>0</v>
      </c>
      <c r="AN79" s="34">
        <f t="shared" si="92"/>
        <v>56940.019222926268</v>
      </c>
      <c r="AO79" s="34">
        <f t="shared" si="93"/>
        <v>95.063160948119062</v>
      </c>
      <c r="AP79" s="34">
        <f t="shared" si="94"/>
        <v>100.71273362215383</v>
      </c>
      <c r="AQ79" s="34">
        <f t="shared" si="95"/>
        <v>27632.510971622574</v>
      </c>
      <c r="AR79" s="34">
        <f t="shared" si="96"/>
        <v>-133277.48517682581</v>
      </c>
      <c r="AS79" s="30">
        <f t="shared" si="97"/>
        <v>1.0641640568818369</v>
      </c>
      <c r="AT79" s="29">
        <f t="shared" si="98"/>
        <v>3159.2267955059801</v>
      </c>
      <c r="AU79" s="29">
        <f t="shared" si="99"/>
        <v>0</v>
      </c>
      <c r="AV79" s="34">
        <f t="shared" si="100"/>
        <v>-217855.66494404152</v>
      </c>
      <c r="AW79" s="34">
        <f t="shared" si="101"/>
        <v>24478.933748783456</v>
      </c>
      <c r="AX79" s="29">
        <f t="shared" si="102"/>
        <v>24473.284176116595</v>
      </c>
      <c r="AY79" s="34">
        <f t="shared" si="103"/>
        <v>5.649572674034772</v>
      </c>
      <c r="AZ79" s="37">
        <f t="shared" si="104"/>
        <v>-2.9302688730360048E-13</v>
      </c>
      <c r="BA79" s="37">
        <f t="shared" si="105"/>
        <v>2.2469247078122523E-16</v>
      </c>
      <c r="BB79" s="35">
        <f t="shared" si="106"/>
        <v>8.2706077978311754E-4</v>
      </c>
      <c r="BC79" s="31">
        <f t="shared" si="107"/>
        <v>0.93987920103741218</v>
      </c>
      <c r="BD79" s="34">
        <f t="shared" si="108"/>
        <v>23007.240694054341</v>
      </c>
    </row>
    <row r="80" spans="1:56" x14ac:dyDescent="0.2">
      <c r="A80" s="27">
        <f t="shared" si="109"/>
        <v>76</v>
      </c>
      <c r="B80" s="28">
        <f t="shared" si="56"/>
        <v>76</v>
      </c>
      <c r="C80" s="27">
        <f t="shared" si="57"/>
        <v>6</v>
      </c>
      <c r="D80" s="28">
        <f t="shared" si="58"/>
        <v>26</v>
      </c>
      <c r="E80" s="29">
        <f t="shared" si="59"/>
        <v>0</v>
      </c>
      <c r="F80" s="30">
        <f t="shared" si="60"/>
        <v>4.4546527732059691E-4</v>
      </c>
      <c r="G80" s="31">
        <f t="shared" si="61"/>
        <v>3.7129687880499418E-5</v>
      </c>
      <c r="H80" s="32">
        <f t="shared" si="62"/>
        <v>0.02</v>
      </c>
      <c r="I80" s="32">
        <f t="shared" si="63"/>
        <v>0</v>
      </c>
      <c r="J80" s="33">
        <f t="shared" si="110"/>
        <v>71.127275569887416</v>
      </c>
      <c r="K80" s="30">
        <f t="shared" si="64"/>
        <v>0</v>
      </c>
      <c r="L80" s="33">
        <f t="shared" si="65"/>
        <v>71.127275569887416</v>
      </c>
      <c r="M80" s="30">
        <f t="shared" si="66"/>
        <v>0</v>
      </c>
      <c r="N80" s="33">
        <f t="shared" si="67"/>
        <v>71.127275569887416</v>
      </c>
      <c r="O80" s="31">
        <f t="shared" si="68"/>
        <v>2.640933541700191E-3</v>
      </c>
      <c r="P80" s="33">
        <f t="shared" si="69"/>
        <v>0.11964177446985211</v>
      </c>
      <c r="Q80" s="34">
        <f t="shared" si="111"/>
        <v>463129.75208274496</v>
      </c>
      <c r="R80" s="29">
        <f t="shared" si="70"/>
        <v>0</v>
      </c>
      <c r="S80" s="34">
        <f t="shared" si="71"/>
        <v>463129.75208274496</v>
      </c>
      <c r="T80" s="29">
        <f t="shared" si="72"/>
        <v>385.94146006895414</v>
      </c>
      <c r="U80" s="29">
        <f t="shared" si="73"/>
        <v>36870.247917255037</v>
      </c>
      <c r="V80" s="35">
        <f t="shared" si="74"/>
        <v>4.0842656668549364E-5</v>
      </c>
      <c r="W80" s="34">
        <f t="shared" si="75"/>
        <v>1.5058788769687448</v>
      </c>
      <c r="X80" s="34">
        <f t="shared" si="76"/>
        <v>462742.30474379903</v>
      </c>
      <c r="Y80" s="36">
        <f t="shared" si="77"/>
        <v>-5.4563110737232412E-3</v>
      </c>
      <c r="Z80" s="34">
        <f t="shared" si="78"/>
        <v>-2524.8659616538052</v>
      </c>
      <c r="AA80" s="34">
        <f t="shared" si="79"/>
        <v>461479.87176297215</v>
      </c>
      <c r="AB80" s="34">
        <f t="shared" si="80"/>
        <v>32941157.501003042</v>
      </c>
      <c r="AC80" s="34">
        <f t="shared" si="81"/>
        <v>32941157.501003042</v>
      </c>
      <c r="AD80" s="34">
        <f t="shared" si="82"/>
        <v>32941157.501003042</v>
      </c>
      <c r="AE80" s="34">
        <f t="shared" si="83"/>
        <v>0</v>
      </c>
      <c r="AF80" s="34">
        <f t="shared" si="84"/>
        <v>0</v>
      </c>
      <c r="AG80" s="29">
        <f t="shared" si="85"/>
        <v>500000</v>
      </c>
      <c r="AH80" s="34">
        <f t="shared" si="86"/>
        <v>1320.4667708500956</v>
      </c>
      <c r="AI80" s="34">
        <f t="shared" si="87"/>
        <v>1218.737672158336</v>
      </c>
      <c r="AJ80" s="34">
        <f t="shared" si="88"/>
        <v>55212.270739841784</v>
      </c>
      <c r="AK80" s="34">
        <f t="shared" si="89"/>
        <v>0</v>
      </c>
      <c r="AL80" s="34">
        <f t="shared" si="90"/>
        <v>55212.270739841784</v>
      </c>
      <c r="AM80" s="34">
        <f t="shared" si="91"/>
        <v>0</v>
      </c>
      <c r="AN80" s="34">
        <f t="shared" si="92"/>
        <v>56532.737510691877</v>
      </c>
      <c r="AO80" s="34">
        <f t="shared" si="93"/>
        <v>101.72909869175949</v>
      </c>
      <c r="AP80" s="34">
        <f t="shared" si="94"/>
        <v>107.10906185702849</v>
      </c>
      <c r="AQ80" s="34">
        <f t="shared" si="95"/>
        <v>27450.964584169204</v>
      </c>
      <c r="AR80" s="34">
        <f t="shared" si="96"/>
        <v>-179432.46330800038</v>
      </c>
      <c r="AS80" s="30">
        <f t="shared" si="97"/>
        <v>1.0650468215269377</v>
      </c>
      <c r="AT80" s="29">
        <f t="shared" si="98"/>
        <v>3156.4116153991331</v>
      </c>
      <c r="AU80" s="29">
        <f t="shared" si="99"/>
        <v>0</v>
      </c>
      <c r="AV80" s="34">
        <f t="shared" si="100"/>
        <v>-263421.54536603019</v>
      </c>
      <c r="AW80" s="34">
        <f t="shared" si="101"/>
        <v>24299.932931938791</v>
      </c>
      <c r="AX80" s="29">
        <f t="shared" si="102"/>
        <v>24294.552968770069</v>
      </c>
      <c r="AY80" s="34">
        <f t="shared" si="103"/>
        <v>5.3799631652690039</v>
      </c>
      <c r="AZ80" s="37">
        <f t="shared" si="104"/>
        <v>1.4208203809234629E-13</v>
      </c>
      <c r="BA80" s="37">
        <f t="shared" si="105"/>
        <v>-2.2617846979715156E-16</v>
      </c>
      <c r="BB80" s="35">
        <f t="shared" si="106"/>
        <v>8.2706077978311754E-4</v>
      </c>
      <c r="BC80" s="31">
        <f t="shared" si="107"/>
        <v>0.93910250618634938</v>
      </c>
      <c r="BD80" s="34">
        <f t="shared" si="108"/>
        <v>22820.127916543923</v>
      </c>
    </row>
    <row r="81" spans="1:56" x14ac:dyDescent="0.2">
      <c r="A81" s="27">
        <f t="shared" si="109"/>
        <v>77</v>
      </c>
      <c r="B81" s="28">
        <f t="shared" si="56"/>
        <v>77</v>
      </c>
      <c r="C81" s="27">
        <f t="shared" si="57"/>
        <v>6</v>
      </c>
      <c r="D81" s="28">
        <f t="shared" si="58"/>
        <v>26</v>
      </c>
      <c r="E81" s="29">
        <f t="shared" si="59"/>
        <v>0</v>
      </c>
      <c r="F81" s="30">
        <f t="shared" si="60"/>
        <v>4.4546527732059691E-4</v>
      </c>
      <c r="G81" s="31">
        <f t="shared" si="61"/>
        <v>3.7129687880499418E-5</v>
      </c>
      <c r="H81" s="32">
        <f t="shared" si="62"/>
        <v>0.02</v>
      </c>
      <c r="I81" s="32">
        <f t="shared" si="63"/>
        <v>0</v>
      </c>
      <c r="J81" s="33">
        <f t="shared" si="110"/>
        <v>71.004992861875863</v>
      </c>
      <c r="K81" s="30">
        <f t="shared" si="64"/>
        <v>0</v>
      </c>
      <c r="L81" s="33">
        <f t="shared" si="65"/>
        <v>71.004992861875863</v>
      </c>
      <c r="M81" s="30">
        <f t="shared" si="66"/>
        <v>0</v>
      </c>
      <c r="N81" s="33">
        <f t="shared" si="67"/>
        <v>71.004992861875863</v>
      </c>
      <c r="O81" s="31">
        <f t="shared" si="68"/>
        <v>2.6363932229185399E-3</v>
      </c>
      <c r="P81" s="33">
        <f t="shared" si="69"/>
        <v>0.11943608516070507</v>
      </c>
      <c r="Q81" s="34">
        <f t="shared" si="111"/>
        <v>460217.43878214521</v>
      </c>
      <c r="R81" s="29">
        <f t="shared" si="70"/>
        <v>0</v>
      </c>
      <c r="S81" s="34">
        <f t="shared" si="71"/>
        <v>460217.43878214521</v>
      </c>
      <c r="T81" s="29">
        <f t="shared" si="72"/>
        <v>383.51453231845437</v>
      </c>
      <c r="U81" s="29">
        <f t="shared" si="73"/>
        <v>39782.561217854789</v>
      </c>
      <c r="V81" s="35">
        <f t="shared" si="74"/>
        <v>4.0842656668549364E-5</v>
      </c>
      <c r="W81" s="34">
        <f t="shared" si="75"/>
        <v>1.6248254892163903</v>
      </c>
      <c r="X81" s="34">
        <f t="shared" si="76"/>
        <v>459832.29942433751</v>
      </c>
      <c r="Y81" s="36">
        <f t="shared" si="77"/>
        <v>-2.5136234991229855E-3</v>
      </c>
      <c r="Z81" s="34">
        <f t="shared" si="78"/>
        <v>-1155.8452734887717</v>
      </c>
      <c r="AA81" s="34">
        <f t="shared" si="79"/>
        <v>459254.37678759312</v>
      </c>
      <c r="AB81" s="34">
        <f t="shared" si="80"/>
        <v>32677735.955637012</v>
      </c>
      <c r="AC81" s="34">
        <f t="shared" si="81"/>
        <v>32677735.955637012</v>
      </c>
      <c r="AD81" s="34">
        <f t="shared" si="82"/>
        <v>32677735.955637012</v>
      </c>
      <c r="AE81" s="34">
        <f t="shared" si="83"/>
        <v>0</v>
      </c>
      <c r="AF81" s="34">
        <f t="shared" si="84"/>
        <v>0</v>
      </c>
      <c r="AG81" s="29">
        <f t="shared" si="85"/>
        <v>500000</v>
      </c>
      <c r="AH81" s="34">
        <f t="shared" si="86"/>
        <v>1318.1966114592699</v>
      </c>
      <c r="AI81" s="34">
        <f t="shared" si="87"/>
        <v>1210.7751265584882</v>
      </c>
      <c r="AJ81" s="34">
        <f t="shared" si="88"/>
        <v>54851.544856429507</v>
      </c>
      <c r="AK81" s="34">
        <f t="shared" si="89"/>
        <v>0</v>
      </c>
      <c r="AL81" s="34">
        <f t="shared" si="90"/>
        <v>54851.544856429507</v>
      </c>
      <c r="AM81" s="34">
        <f t="shared" si="91"/>
        <v>0</v>
      </c>
      <c r="AN81" s="34">
        <f t="shared" si="92"/>
        <v>56169.74146788878</v>
      </c>
      <c r="AO81" s="34">
        <f t="shared" si="93"/>
        <v>107.42148490078183</v>
      </c>
      <c r="AP81" s="34">
        <f t="shared" si="94"/>
        <v>115.37072226360375</v>
      </c>
      <c r="AQ81" s="34">
        <f t="shared" si="95"/>
        <v>27231.446629697512</v>
      </c>
      <c r="AR81" s="34">
        <f t="shared" si="96"/>
        <v>-82000.236944921809</v>
      </c>
      <c r="AS81" s="30">
        <f t="shared" si="97"/>
        <v>1.0659303184589577</v>
      </c>
      <c r="AT81" s="29">
        <f t="shared" si="98"/>
        <v>3153.5989438931397</v>
      </c>
      <c r="AU81" s="29">
        <f t="shared" si="99"/>
        <v>0</v>
      </c>
      <c r="AV81" s="34">
        <f t="shared" si="100"/>
        <v>-165409.37427986786</v>
      </c>
      <c r="AW81" s="34">
        <f t="shared" si="101"/>
        <v>24085.796923164133</v>
      </c>
      <c r="AX81" s="29">
        <f t="shared" si="102"/>
        <v>24077.847685804372</v>
      </c>
      <c r="AY81" s="34">
        <f t="shared" si="103"/>
        <v>7.9492373628219184</v>
      </c>
      <c r="AZ81" s="37">
        <f t="shared" si="104"/>
        <v>-1.2710697772516197E-13</v>
      </c>
      <c r="BA81" s="37">
        <f t="shared" si="105"/>
        <v>1.1400086907854735E-16</v>
      </c>
      <c r="BB81" s="35">
        <f t="shared" si="106"/>
        <v>8.2706077978311754E-4</v>
      </c>
      <c r="BC81" s="31">
        <f t="shared" si="107"/>
        <v>0.93832645317829255</v>
      </c>
      <c r="BD81" s="34">
        <f t="shared" si="108"/>
        <v>22600.340398885233</v>
      </c>
    </row>
    <row r="82" spans="1:56" x14ac:dyDescent="0.2">
      <c r="A82" s="27">
        <f t="shared" si="109"/>
        <v>78</v>
      </c>
      <c r="B82" s="28">
        <f t="shared" si="56"/>
        <v>78</v>
      </c>
      <c r="C82" s="27">
        <f t="shared" si="57"/>
        <v>6</v>
      </c>
      <c r="D82" s="28">
        <f t="shared" si="58"/>
        <v>26</v>
      </c>
      <c r="E82" s="29">
        <f t="shared" si="59"/>
        <v>0</v>
      </c>
      <c r="F82" s="30">
        <f t="shared" si="60"/>
        <v>4.4546527732059691E-4</v>
      </c>
      <c r="G82" s="31">
        <f t="shared" si="61"/>
        <v>3.7129687880499418E-5</v>
      </c>
      <c r="H82" s="32">
        <f t="shared" si="62"/>
        <v>0.02</v>
      </c>
      <c r="I82" s="32">
        <f t="shared" si="63"/>
        <v>0</v>
      </c>
      <c r="J82" s="33">
        <f t="shared" si="110"/>
        <v>70.882920383492248</v>
      </c>
      <c r="K82" s="30">
        <f t="shared" si="64"/>
        <v>0</v>
      </c>
      <c r="L82" s="33">
        <f t="shared" si="65"/>
        <v>70.882920383492248</v>
      </c>
      <c r="M82" s="30">
        <f t="shared" si="66"/>
        <v>0</v>
      </c>
      <c r="N82" s="33">
        <f t="shared" si="67"/>
        <v>70.882920383492248</v>
      </c>
      <c r="O82" s="31">
        <f t="shared" si="68"/>
        <v>2.6318607098973572E-3</v>
      </c>
      <c r="P82" s="33">
        <f t="shared" si="69"/>
        <v>0.11923074947463062</v>
      </c>
      <c r="Q82" s="34">
        <f t="shared" si="111"/>
        <v>458676.45415084873</v>
      </c>
      <c r="R82" s="29">
        <f t="shared" si="70"/>
        <v>0</v>
      </c>
      <c r="S82" s="34">
        <f t="shared" si="71"/>
        <v>458676.45415084873</v>
      </c>
      <c r="T82" s="29">
        <f t="shared" si="72"/>
        <v>382.23037845904065</v>
      </c>
      <c r="U82" s="29">
        <f t="shared" si="73"/>
        <v>41323.545849151269</v>
      </c>
      <c r="V82" s="35">
        <f t="shared" si="74"/>
        <v>4.0842656668549364E-5</v>
      </c>
      <c r="W82" s="34">
        <f t="shared" si="75"/>
        <v>1.6877633954439435</v>
      </c>
      <c r="X82" s="34">
        <f t="shared" si="76"/>
        <v>458292.53600899427</v>
      </c>
      <c r="Y82" s="36">
        <f t="shared" si="77"/>
        <v>5.1474104293935952E-4</v>
      </c>
      <c r="Z82" s="34">
        <f t="shared" si="78"/>
        <v>235.9019779565937</v>
      </c>
      <c r="AA82" s="34">
        <f t="shared" si="79"/>
        <v>458410.48699797259</v>
      </c>
      <c r="AB82" s="34">
        <f t="shared" si="80"/>
        <v>32512326.581357144</v>
      </c>
      <c r="AC82" s="34">
        <f t="shared" si="81"/>
        <v>32512326.581357144</v>
      </c>
      <c r="AD82" s="34">
        <f t="shared" si="82"/>
        <v>32512326.581357144</v>
      </c>
      <c r="AE82" s="34">
        <f t="shared" si="83"/>
        <v>0</v>
      </c>
      <c r="AF82" s="34">
        <f t="shared" si="84"/>
        <v>0</v>
      </c>
      <c r="AG82" s="29">
        <f t="shared" si="85"/>
        <v>500000</v>
      </c>
      <c r="AH82" s="34">
        <f t="shared" si="86"/>
        <v>1315.9303549486785</v>
      </c>
      <c r="AI82" s="34">
        <f t="shared" si="87"/>
        <v>1206.4725497348775</v>
      </c>
      <c r="AJ82" s="34">
        <f t="shared" si="88"/>
        <v>54656.625931798691</v>
      </c>
      <c r="AK82" s="34">
        <f t="shared" si="89"/>
        <v>0</v>
      </c>
      <c r="AL82" s="34">
        <f t="shared" si="90"/>
        <v>54656.625931798691</v>
      </c>
      <c r="AM82" s="34">
        <f t="shared" si="91"/>
        <v>0</v>
      </c>
      <c r="AN82" s="34">
        <f t="shared" si="92"/>
        <v>55972.556286747371</v>
      </c>
      <c r="AO82" s="34">
        <f t="shared" si="93"/>
        <v>109.45780521380122</v>
      </c>
      <c r="AP82" s="34">
        <f t="shared" si="94"/>
        <v>119.63359838542559</v>
      </c>
      <c r="AQ82" s="34">
        <f t="shared" si="95"/>
        <v>27093.605484464289</v>
      </c>
      <c r="AR82" s="34">
        <f t="shared" si="96"/>
        <v>16707.047306414835</v>
      </c>
      <c r="AS82" s="30">
        <f t="shared" si="97"/>
        <v>1.0668145482853566</v>
      </c>
      <c r="AT82" s="29">
        <f t="shared" si="98"/>
        <v>3150.7887787525906</v>
      </c>
      <c r="AU82" s="29">
        <f t="shared" si="99"/>
        <v>0</v>
      </c>
      <c r="AV82" s="34">
        <f t="shared" si="100"/>
        <v>-66369.290257964283</v>
      </c>
      <c r="AW82" s="34">
        <f t="shared" si="101"/>
        <v>23952.992498879154</v>
      </c>
      <c r="AX82" s="29">
        <f t="shared" si="102"/>
        <v>23942.816705711699</v>
      </c>
      <c r="AY82" s="34">
        <f t="shared" si="103"/>
        <v>10.175793171624363</v>
      </c>
      <c r="AZ82" s="37">
        <f t="shared" si="104"/>
        <v>-1.7407753692805231E-13</v>
      </c>
      <c r="BA82" s="37">
        <f t="shared" si="105"/>
        <v>2.2916171742676999E-16</v>
      </c>
      <c r="BB82" s="35">
        <f t="shared" si="106"/>
        <v>8.2706077978311754E-4</v>
      </c>
      <c r="BC82" s="31">
        <f t="shared" si="107"/>
        <v>0.9375510414828373</v>
      </c>
      <c r="BD82" s="34">
        <f t="shared" si="108"/>
        <v>22457.153063954738</v>
      </c>
    </row>
    <row r="83" spans="1:56" x14ac:dyDescent="0.2">
      <c r="A83" s="27">
        <f t="shared" si="109"/>
        <v>79</v>
      </c>
      <c r="B83" s="28">
        <f t="shared" si="56"/>
        <v>79</v>
      </c>
      <c r="C83" s="27">
        <f t="shared" si="57"/>
        <v>6</v>
      </c>
      <c r="D83" s="28">
        <f t="shared" si="58"/>
        <v>26</v>
      </c>
      <c r="E83" s="29">
        <f t="shared" si="59"/>
        <v>0</v>
      </c>
      <c r="F83" s="30">
        <f t="shared" si="60"/>
        <v>4.4546527732059691E-4</v>
      </c>
      <c r="G83" s="31">
        <f t="shared" si="61"/>
        <v>3.7129687880499418E-5</v>
      </c>
      <c r="H83" s="32">
        <f t="shared" si="62"/>
        <v>0.02</v>
      </c>
      <c r="I83" s="32">
        <f t="shared" si="63"/>
        <v>0</v>
      </c>
      <c r="J83" s="33">
        <f t="shared" si="110"/>
        <v>70.761057773307726</v>
      </c>
      <c r="K83" s="30">
        <f t="shared" si="64"/>
        <v>0</v>
      </c>
      <c r="L83" s="33">
        <f t="shared" si="65"/>
        <v>70.761057773307726</v>
      </c>
      <c r="M83" s="30">
        <f t="shared" si="66"/>
        <v>0</v>
      </c>
      <c r="N83" s="33">
        <f t="shared" si="67"/>
        <v>70.761057773307726</v>
      </c>
      <c r="O83" s="31">
        <f t="shared" si="68"/>
        <v>2.627335989216903E-3</v>
      </c>
      <c r="P83" s="33">
        <f t="shared" si="69"/>
        <v>0.11902576680367652</v>
      </c>
      <c r="Q83" s="34">
        <f t="shared" si="111"/>
        <v>458528.43798695086</v>
      </c>
      <c r="R83" s="29">
        <f t="shared" si="70"/>
        <v>0</v>
      </c>
      <c r="S83" s="34">
        <f t="shared" si="71"/>
        <v>458528.43798695086</v>
      </c>
      <c r="T83" s="29">
        <f t="shared" si="72"/>
        <v>382.10703165579241</v>
      </c>
      <c r="U83" s="29">
        <f t="shared" si="73"/>
        <v>41471.562013049144</v>
      </c>
      <c r="V83" s="35">
        <f t="shared" si="74"/>
        <v>4.0842656668549364E-5</v>
      </c>
      <c r="W83" s="34">
        <f t="shared" si="75"/>
        <v>1.6938087688074202</v>
      </c>
      <c r="X83" s="34">
        <f t="shared" si="76"/>
        <v>458144.63714652625</v>
      </c>
      <c r="Y83" s="36">
        <f t="shared" si="77"/>
        <v>-1.3701030918048085E-2</v>
      </c>
      <c r="Z83" s="34">
        <f t="shared" si="78"/>
        <v>-6277.0538384824777</v>
      </c>
      <c r="AA83" s="34">
        <f t="shared" si="79"/>
        <v>455006.11022728501</v>
      </c>
      <c r="AB83" s="34">
        <f t="shared" si="80"/>
        <v>32445957.29109918</v>
      </c>
      <c r="AC83" s="34">
        <f t="shared" si="81"/>
        <v>32445957.29109918</v>
      </c>
      <c r="AD83" s="34">
        <f t="shared" si="82"/>
        <v>32445957.29109918</v>
      </c>
      <c r="AE83" s="34">
        <f t="shared" si="83"/>
        <v>0</v>
      </c>
      <c r="AF83" s="34">
        <f t="shared" si="84"/>
        <v>0</v>
      </c>
      <c r="AG83" s="29">
        <f t="shared" si="85"/>
        <v>500000</v>
      </c>
      <c r="AH83" s="34">
        <f t="shared" si="86"/>
        <v>1313.6679946084514</v>
      </c>
      <c r="AI83" s="34">
        <f t="shared" si="87"/>
        <v>1195.4539287137391</v>
      </c>
      <c r="AJ83" s="34">
        <f t="shared" si="88"/>
        <v>54157.451170160763</v>
      </c>
      <c r="AK83" s="34">
        <f t="shared" si="89"/>
        <v>0</v>
      </c>
      <c r="AL83" s="34">
        <f t="shared" si="90"/>
        <v>54157.451170160763</v>
      </c>
      <c r="AM83" s="34">
        <f t="shared" si="91"/>
        <v>0</v>
      </c>
      <c r="AN83" s="34">
        <f t="shared" si="92"/>
        <v>55471.119164769218</v>
      </c>
      <c r="AO83" s="34">
        <f t="shared" si="93"/>
        <v>118.21406589471243</v>
      </c>
      <c r="AP83" s="34">
        <f t="shared" si="94"/>
        <v>119.85570014651709</v>
      </c>
      <c r="AQ83" s="34">
        <f t="shared" si="95"/>
        <v>27038.29774258265</v>
      </c>
      <c r="AR83" s="34">
        <f t="shared" si="96"/>
        <v>-443789.15777309693</v>
      </c>
      <c r="AS83" s="30">
        <f t="shared" si="97"/>
        <v>1.0676995116140984</v>
      </c>
      <c r="AT83" s="29">
        <f t="shared" si="98"/>
        <v>3147.9811177440688</v>
      </c>
      <c r="AU83" s="29">
        <f t="shared" si="99"/>
        <v>0</v>
      </c>
      <c r="AV83" s="34">
        <f t="shared" si="100"/>
        <v>-526300.2163146995</v>
      </c>
      <c r="AW83" s="34">
        <f t="shared" si="101"/>
        <v>23891.958259089326</v>
      </c>
      <c r="AX83" s="29">
        <f t="shared" si="102"/>
        <v>23890.316624838582</v>
      </c>
      <c r="AY83" s="34">
        <f t="shared" si="103"/>
        <v>1.6416342518046605</v>
      </c>
      <c r="AZ83" s="37">
        <f t="shared" si="104"/>
        <v>-4.4408106375627748E-14</v>
      </c>
      <c r="BA83" s="37">
        <f t="shared" si="105"/>
        <v>0</v>
      </c>
      <c r="BB83" s="35">
        <f t="shared" si="106"/>
        <v>8.2706077978311754E-4</v>
      </c>
      <c r="BC83" s="31">
        <f t="shared" si="107"/>
        <v>0.93677627057001744</v>
      </c>
      <c r="BD83" s="34">
        <f t="shared" si="108"/>
        <v>22381.419554564225</v>
      </c>
    </row>
    <row r="84" spans="1:56" x14ac:dyDescent="0.2">
      <c r="A84" s="27">
        <f t="shared" si="109"/>
        <v>80</v>
      </c>
      <c r="B84" s="28">
        <f t="shared" si="56"/>
        <v>80</v>
      </c>
      <c r="C84" s="27">
        <f t="shared" si="57"/>
        <v>6</v>
      </c>
      <c r="D84" s="28">
        <f t="shared" si="58"/>
        <v>26</v>
      </c>
      <c r="E84" s="29">
        <f t="shared" si="59"/>
        <v>0</v>
      </c>
      <c r="F84" s="30">
        <f t="shared" si="60"/>
        <v>4.4546527732059691E-4</v>
      </c>
      <c r="G84" s="31">
        <f t="shared" si="61"/>
        <v>3.7129687880499418E-5</v>
      </c>
      <c r="H84" s="32">
        <f t="shared" si="62"/>
        <v>0.02</v>
      </c>
      <c r="I84" s="32">
        <f t="shared" si="63"/>
        <v>0</v>
      </c>
      <c r="J84" s="33">
        <f t="shared" si="110"/>
        <v>70.639404670514836</v>
      </c>
      <c r="K84" s="30">
        <f t="shared" si="64"/>
        <v>0</v>
      </c>
      <c r="L84" s="33">
        <f t="shared" si="65"/>
        <v>70.639404670514836</v>
      </c>
      <c r="M84" s="30">
        <f t="shared" si="66"/>
        <v>0</v>
      </c>
      <c r="N84" s="33">
        <f t="shared" si="67"/>
        <v>70.639404670514836</v>
      </c>
      <c r="O84" s="31">
        <f t="shared" si="68"/>
        <v>2.6228190474805089E-3</v>
      </c>
      <c r="P84" s="33">
        <f t="shared" si="69"/>
        <v>0.11882113654093572</v>
      </c>
      <c r="Q84" s="34">
        <f t="shared" si="111"/>
        <v>451867.58330804377</v>
      </c>
      <c r="R84" s="29">
        <f t="shared" si="70"/>
        <v>0</v>
      </c>
      <c r="S84" s="34">
        <f t="shared" si="71"/>
        <v>451867.58330804377</v>
      </c>
      <c r="T84" s="29">
        <f t="shared" si="72"/>
        <v>376.55631942336981</v>
      </c>
      <c r="U84" s="29">
        <f t="shared" si="73"/>
        <v>48132.416691956227</v>
      </c>
      <c r="V84" s="35">
        <f t="shared" si="74"/>
        <v>4.0842656668549364E-5</v>
      </c>
      <c r="W84" s="34">
        <f t="shared" si="75"/>
        <v>1.9658557695771226</v>
      </c>
      <c r="X84" s="34">
        <f t="shared" si="76"/>
        <v>451489.06113285082</v>
      </c>
      <c r="Y84" s="36">
        <f t="shared" si="77"/>
        <v>-3.4334641688098522E-3</v>
      </c>
      <c r="Z84" s="34">
        <f t="shared" si="78"/>
        <v>-1550.1715140092442</v>
      </c>
      <c r="AA84" s="34">
        <f t="shared" si="79"/>
        <v>450713.9753758462</v>
      </c>
      <c r="AB84" s="34">
        <f t="shared" si="80"/>
        <v>31919657.07478448</v>
      </c>
      <c r="AC84" s="34">
        <f t="shared" si="81"/>
        <v>31919657.07478448</v>
      </c>
      <c r="AD84" s="34">
        <f t="shared" si="82"/>
        <v>31919657.07478448</v>
      </c>
      <c r="AE84" s="34">
        <f t="shared" si="83"/>
        <v>0</v>
      </c>
      <c r="AF84" s="34">
        <f t="shared" si="84"/>
        <v>0</v>
      </c>
      <c r="AG84" s="29">
        <f t="shared" si="85"/>
        <v>500000</v>
      </c>
      <c r="AH84" s="34">
        <f t="shared" si="86"/>
        <v>1311.4095237402544</v>
      </c>
      <c r="AI84" s="34">
        <f t="shared" si="87"/>
        <v>1182.1411995814306</v>
      </c>
      <c r="AJ84" s="34">
        <f t="shared" si="88"/>
        <v>53554.346809041359</v>
      </c>
      <c r="AK84" s="34">
        <f t="shared" si="89"/>
        <v>0</v>
      </c>
      <c r="AL84" s="34">
        <f t="shared" si="90"/>
        <v>53554.346809041359</v>
      </c>
      <c r="AM84" s="34">
        <f t="shared" si="91"/>
        <v>0</v>
      </c>
      <c r="AN84" s="34">
        <f t="shared" si="92"/>
        <v>54865.756332781617</v>
      </c>
      <c r="AO84" s="34">
        <f t="shared" si="93"/>
        <v>129.26832415882396</v>
      </c>
      <c r="AP84" s="34">
        <f t="shared" si="94"/>
        <v>138.86688123102473</v>
      </c>
      <c r="AQ84" s="34">
        <f t="shared" si="95"/>
        <v>26599.714228987064</v>
      </c>
      <c r="AR84" s="34">
        <f t="shared" si="96"/>
        <v>-109409.06340655278</v>
      </c>
      <c r="AS84" s="30">
        <f t="shared" si="97"/>
        <v>1.0685852090536512</v>
      </c>
      <c r="AT84" s="29">
        <f t="shared" si="98"/>
        <v>3145.1759586361482</v>
      </c>
      <c r="AU84" s="29">
        <f t="shared" si="99"/>
        <v>0</v>
      </c>
      <c r="AV84" s="34">
        <f t="shared" si="100"/>
        <v>-190884.13252538815</v>
      </c>
      <c r="AW84" s="34">
        <f t="shared" si="101"/>
        <v>23464.136827417591</v>
      </c>
      <c r="AX84" s="29">
        <f t="shared" si="102"/>
        <v>23454.538270350917</v>
      </c>
      <c r="AY84" s="34">
        <f t="shared" si="103"/>
        <v>9.5985570722007765</v>
      </c>
      <c r="AZ84" s="37">
        <f t="shared" si="104"/>
        <v>-2.3552428396211479E-13</v>
      </c>
      <c r="BA84" s="37">
        <f t="shared" si="105"/>
        <v>2.334166867603835E-16</v>
      </c>
      <c r="BB84" s="35">
        <f t="shared" si="106"/>
        <v>8.2706077978311754E-4</v>
      </c>
      <c r="BC84" s="31">
        <f t="shared" si="107"/>
        <v>0.93600213991030434</v>
      </c>
      <c r="BD84" s="34">
        <f t="shared" si="108"/>
        <v>21962.482281611046</v>
      </c>
    </row>
    <row r="85" spans="1:56" x14ac:dyDescent="0.2">
      <c r="A85" s="27">
        <f t="shared" si="109"/>
        <v>81</v>
      </c>
      <c r="B85" s="28">
        <f t="shared" si="56"/>
        <v>81</v>
      </c>
      <c r="C85" s="27">
        <f t="shared" si="57"/>
        <v>6</v>
      </c>
      <c r="D85" s="28">
        <f t="shared" si="58"/>
        <v>26</v>
      </c>
      <c r="E85" s="29">
        <f t="shared" si="59"/>
        <v>0</v>
      </c>
      <c r="F85" s="30">
        <f t="shared" si="60"/>
        <v>4.4546527732059691E-4</v>
      </c>
      <c r="G85" s="31">
        <f t="shared" si="61"/>
        <v>3.7129687880499418E-5</v>
      </c>
      <c r="H85" s="32">
        <f t="shared" si="62"/>
        <v>0.02</v>
      </c>
      <c r="I85" s="32">
        <f t="shared" si="63"/>
        <v>0</v>
      </c>
      <c r="J85" s="33">
        <f t="shared" si="110"/>
        <v>70.517960714926431</v>
      </c>
      <c r="K85" s="30">
        <f t="shared" si="64"/>
        <v>0</v>
      </c>
      <c r="L85" s="33">
        <f t="shared" si="65"/>
        <v>70.517960714926431</v>
      </c>
      <c r="M85" s="30">
        <f t="shared" si="66"/>
        <v>0</v>
      </c>
      <c r="N85" s="33">
        <f t="shared" si="67"/>
        <v>70.517960714926431</v>
      </c>
      <c r="O85" s="31">
        <f t="shared" si="68"/>
        <v>2.618309871314538E-3</v>
      </c>
      <c r="P85" s="33">
        <f t="shared" si="69"/>
        <v>0.11861685808054455</v>
      </c>
      <c r="Q85" s="34">
        <f t="shared" si="111"/>
        <v>449938.88961884158</v>
      </c>
      <c r="R85" s="29">
        <f t="shared" si="70"/>
        <v>0</v>
      </c>
      <c r="S85" s="34">
        <f t="shared" si="71"/>
        <v>449938.88961884158</v>
      </c>
      <c r="T85" s="29">
        <f t="shared" si="72"/>
        <v>374.94907468236801</v>
      </c>
      <c r="U85" s="29">
        <f t="shared" si="73"/>
        <v>50061.110381158418</v>
      </c>
      <c r="V85" s="35">
        <f t="shared" si="74"/>
        <v>4.0842656668549364E-5</v>
      </c>
      <c r="W85" s="34">
        <f t="shared" si="75"/>
        <v>2.0446287437440058</v>
      </c>
      <c r="X85" s="34">
        <f t="shared" si="76"/>
        <v>449561.89591541549</v>
      </c>
      <c r="Y85" s="36">
        <f t="shared" si="77"/>
        <v>6.7725002566145776E-3</v>
      </c>
      <c r="Z85" s="34">
        <f t="shared" si="78"/>
        <v>3044.6580554512875</v>
      </c>
      <c r="AA85" s="34">
        <f t="shared" si="79"/>
        <v>451084.2249431411</v>
      </c>
      <c r="AB85" s="34">
        <f t="shared" si="80"/>
        <v>31728772.942259092</v>
      </c>
      <c r="AC85" s="34">
        <f t="shared" si="81"/>
        <v>31728772.942259092</v>
      </c>
      <c r="AD85" s="34">
        <f t="shared" si="82"/>
        <v>31728772.942259092</v>
      </c>
      <c r="AE85" s="34">
        <f t="shared" si="83"/>
        <v>0</v>
      </c>
      <c r="AF85" s="34">
        <f t="shared" si="84"/>
        <v>0</v>
      </c>
      <c r="AG85" s="29">
        <f t="shared" si="85"/>
        <v>500000</v>
      </c>
      <c r="AH85" s="34">
        <f t="shared" si="86"/>
        <v>1309.1549356572689</v>
      </c>
      <c r="AI85" s="34">
        <f t="shared" si="87"/>
        <v>1181.0782789628938</v>
      </c>
      <c r="AJ85" s="34">
        <f t="shared" si="88"/>
        <v>53506.193492453</v>
      </c>
      <c r="AK85" s="34">
        <f t="shared" si="89"/>
        <v>0</v>
      </c>
      <c r="AL85" s="34">
        <f t="shared" si="90"/>
        <v>53506.193492453</v>
      </c>
      <c r="AM85" s="34">
        <f t="shared" si="91"/>
        <v>0</v>
      </c>
      <c r="AN85" s="34">
        <f t="shared" si="92"/>
        <v>54815.348428110272</v>
      </c>
      <c r="AO85" s="34">
        <f t="shared" si="93"/>
        <v>128.07665669437509</v>
      </c>
      <c r="AP85" s="34">
        <f t="shared" si="94"/>
        <v>144.18304942794919</v>
      </c>
      <c r="AQ85" s="34">
        <f t="shared" si="95"/>
        <v>26440.644118549244</v>
      </c>
      <c r="AR85" s="34">
        <f t="shared" si="96"/>
        <v>214518.51732934389</v>
      </c>
      <c r="AS85" s="30">
        <f t="shared" si="97"/>
        <v>1.0694716412129879</v>
      </c>
      <c r="AT85" s="29">
        <f t="shared" si="98"/>
        <v>3142.3732991993907</v>
      </c>
      <c r="AU85" s="29">
        <f t="shared" si="99"/>
        <v>0</v>
      </c>
      <c r="AV85" s="34">
        <f t="shared" si="100"/>
        <v>133246.41838995367</v>
      </c>
      <c r="AW85" s="34">
        <f t="shared" si="101"/>
        <v>23314.377212080552</v>
      </c>
      <c r="AX85" s="29">
        <f t="shared" si="102"/>
        <v>23298.270819349855</v>
      </c>
      <c r="AY85" s="34">
        <f t="shared" si="103"/>
        <v>16.106392733574097</v>
      </c>
      <c r="AZ85" s="37">
        <f t="shared" si="104"/>
        <v>-1.2341190708264194E-13</v>
      </c>
      <c r="BA85" s="37">
        <f t="shared" si="105"/>
        <v>1.1691946628664743E-16</v>
      </c>
      <c r="BB85" s="35">
        <f t="shared" si="106"/>
        <v>8.2706077978311754E-4</v>
      </c>
      <c r="BC85" s="31">
        <f t="shared" si="107"/>
        <v>0.93522864897460811</v>
      </c>
      <c r="BD85" s="34">
        <f t="shared" si="108"/>
        <v>21804.273501738484</v>
      </c>
    </row>
    <row r="86" spans="1:56" x14ac:dyDescent="0.2">
      <c r="A86" s="27">
        <f t="shared" si="109"/>
        <v>82</v>
      </c>
      <c r="B86" s="28">
        <f t="shared" si="56"/>
        <v>82</v>
      </c>
      <c r="C86" s="27">
        <f t="shared" si="57"/>
        <v>6</v>
      </c>
      <c r="D86" s="28">
        <f t="shared" si="58"/>
        <v>26</v>
      </c>
      <c r="E86" s="29">
        <f t="shared" si="59"/>
        <v>0</v>
      </c>
      <c r="F86" s="30">
        <f t="shared" si="60"/>
        <v>4.4546527732059691E-4</v>
      </c>
      <c r="G86" s="31">
        <f t="shared" si="61"/>
        <v>3.7129687880499418E-5</v>
      </c>
      <c r="H86" s="32">
        <f t="shared" si="62"/>
        <v>0.02</v>
      </c>
      <c r="I86" s="32">
        <f t="shared" si="63"/>
        <v>0</v>
      </c>
      <c r="J86" s="33">
        <f t="shared" si="110"/>
        <v>70.396725546974579</v>
      </c>
      <c r="K86" s="30">
        <f t="shared" si="64"/>
        <v>0</v>
      </c>
      <c r="L86" s="33">
        <f t="shared" si="65"/>
        <v>70.396725546974579</v>
      </c>
      <c r="M86" s="30">
        <f t="shared" si="66"/>
        <v>0</v>
      </c>
      <c r="N86" s="33">
        <f t="shared" si="67"/>
        <v>70.396725546974579</v>
      </c>
      <c r="O86" s="31">
        <f t="shared" si="68"/>
        <v>2.6138084473683459E-3</v>
      </c>
      <c r="P86" s="33">
        <f t="shared" si="69"/>
        <v>0.11841293081768098</v>
      </c>
      <c r="Q86" s="34">
        <f t="shared" si="111"/>
        <v>452606.55397086678</v>
      </c>
      <c r="R86" s="29">
        <f t="shared" si="70"/>
        <v>0</v>
      </c>
      <c r="S86" s="34">
        <f t="shared" si="71"/>
        <v>452606.55397086678</v>
      </c>
      <c r="T86" s="29">
        <f t="shared" si="72"/>
        <v>377.17212830905567</v>
      </c>
      <c r="U86" s="29">
        <f t="shared" si="73"/>
        <v>47393.446029133222</v>
      </c>
      <c r="V86" s="35">
        <f t="shared" si="74"/>
        <v>4.0842656668549364E-5</v>
      </c>
      <c r="W86" s="34">
        <f t="shared" si="75"/>
        <v>1.9356742445073123</v>
      </c>
      <c r="X86" s="34">
        <f t="shared" si="76"/>
        <v>452227.44616831327</v>
      </c>
      <c r="Y86" s="36">
        <f t="shared" si="77"/>
        <v>3.9376979833096737E-3</v>
      </c>
      <c r="Z86" s="34">
        <f t="shared" si="78"/>
        <v>1780.7351027742511</v>
      </c>
      <c r="AA86" s="34">
        <f t="shared" si="79"/>
        <v>453117.81371970038</v>
      </c>
      <c r="AB86" s="34">
        <f t="shared" si="80"/>
        <v>31862019.360649046</v>
      </c>
      <c r="AC86" s="34">
        <f t="shared" si="81"/>
        <v>31862019.360649046</v>
      </c>
      <c r="AD86" s="34">
        <f t="shared" si="82"/>
        <v>31862019.360649046</v>
      </c>
      <c r="AE86" s="34">
        <f t="shared" si="83"/>
        <v>0</v>
      </c>
      <c r="AF86" s="34">
        <f t="shared" si="84"/>
        <v>0</v>
      </c>
      <c r="AG86" s="29">
        <f t="shared" si="85"/>
        <v>500000</v>
      </c>
      <c r="AH86" s="34">
        <f t="shared" si="86"/>
        <v>1306.9042236841731</v>
      </c>
      <c r="AI86" s="34">
        <f t="shared" si="87"/>
        <v>1184.3631691536295</v>
      </c>
      <c r="AJ86" s="34">
        <f t="shared" si="88"/>
        <v>53655.008328249736</v>
      </c>
      <c r="AK86" s="34">
        <f t="shared" si="89"/>
        <v>0</v>
      </c>
      <c r="AL86" s="34">
        <f t="shared" si="90"/>
        <v>53655.008328249736</v>
      </c>
      <c r="AM86" s="34">
        <f t="shared" si="91"/>
        <v>0</v>
      </c>
      <c r="AN86" s="34">
        <f t="shared" si="92"/>
        <v>54961.912551933907</v>
      </c>
      <c r="AO86" s="34">
        <f t="shared" si="93"/>
        <v>122.54105453054352</v>
      </c>
      <c r="AP86" s="34">
        <f t="shared" si="94"/>
        <v>136.26512853892862</v>
      </c>
      <c r="AQ86" s="34">
        <f t="shared" si="95"/>
        <v>26551.682800540872</v>
      </c>
      <c r="AR86" s="34">
        <f t="shared" si="96"/>
        <v>125250.16202037073</v>
      </c>
      <c r="AS86" s="30">
        <f t="shared" si="97"/>
        <v>1.0703588087015865</v>
      </c>
      <c r="AT86" s="29">
        <f t="shared" si="98"/>
        <v>3139.5731372063433</v>
      </c>
      <c r="AU86" s="29">
        <f t="shared" si="99"/>
        <v>0</v>
      </c>
      <c r="AV86" s="34">
        <f t="shared" si="100"/>
        <v>43722.842593889683</v>
      </c>
      <c r="AW86" s="34">
        <f t="shared" si="101"/>
        <v>23425.833737340785</v>
      </c>
      <c r="AX86" s="29">
        <f t="shared" si="102"/>
        <v>23412.10966333453</v>
      </c>
      <c r="AY86" s="34">
        <f t="shared" si="103"/>
        <v>13.724074008385102</v>
      </c>
      <c r="AZ86" s="37">
        <f t="shared" si="104"/>
        <v>-9.0918934810243954E-14</v>
      </c>
      <c r="BA86" s="37">
        <f t="shared" si="105"/>
        <v>1.1675924273227757E-16</v>
      </c>
      <c r="BB86" s="35">
        <f t="shared" si="106"/>
        <v>8.2706077978311754E-4</v>
      </c>
      <c r="BC86" s="31">
        <f t="shared" si="107"/>
        <v>0.93445579723427452</v>
      </c>
      <c r="BD86" s="34">
        <f t="shared" si="108"/>
        <v>21890.406140904346</v>
      </c>
    </row>
    <row r="87" spans="1:56" x14ac:dyDescent="0.2">
      <c r="A87" s="27">
        <f t="shared" si="109"/>
        <v>83</v>
      </c>
      <c r="B87" s="28">
        <f t="shared" si="56"/>
        <v>83</v>
      </c>
      <c r="C87" s="27">
        <f t="shared" si="57"/>
        <v>6</v>
      </c>
      <c r="D87" s="28">
        <f t="shared" si="58"/>
        <v>26</v>
      </c>
      <c r="E87" s="29">
        <f t="shared" si="59"/>
        <v>0</v>
      </c>
      <c r="F87" s="30">
        <f t="shared" si="60"/>
        <v>4.4546527732059691E-4</v>
      </c>
      <c r="G87" s="31">
        <f t="shared" si="61"/>
        <v>3.7129687880499418E-5</v>
      </c>
      <c r="H87" s="32">
        <f t="shared" si="62"/>
        <v>0.02</v>
      </c>
      <c r="I87" s="32">
        <f t="shared" si="63"/>
        <v>0</v>
      </c>
      <c r="J87" s="33">
        <f t="shared" si="110"/>
        <v>70.275698807709531</v>
      </c>
      <c r="K87" s="30">
        <f t="shared" si="64"/>
        <v>0</v>
      </c>
      <c r="L87" s="33">
        <f t="shared" si="65"/>
        <v>70.275698807709531</v>
      </c>
      <c r="M87" s="30">
        <f t="shared" si="66"/>
        <v>0</v>
      </c>
      <c r="N87" s="33">
        <f t="shared" si="67"/>
        <v>70.275698807709531</v>
      </c>
      <c r="O87" s="31">
        <f t="shared" si="68"/>
        <v>2.6093147623142401E-3</v>
      </c>
      <c r="P87" s="33">
        <f t="shared" si="69"/>
        <v>0.11820935414856278</v>
      </c>
      <c r="Q87" s="34">
        <f t="shared" si="111"/>
        <v>454008.18127108749</v>
      </c>
      <c r="R87" s="29">
        <f t="shared" si="70"/>
        <v>0</v>
      </c>
      <c r="S87" s="34">
        <f t="shared" si="71"/>
        <v>454008.18127108749</v>
      </c>
      <c r="T87" s="29">
        <f t="shared" si="72"/>
        <v>378.34015105923959</v>
      </c>
      <c r="U87" s="29">
        <f t="shared" si="73"/>
        <v>45991.818728912505</v>
      </c>
      <c r="V87" s="35">
        <f t="shared" si="74"/>
        <v>4.0842656668549364E-5</v>
      </c>
      <c r="W87" s="34">
        <f t="shared" si="75"/>
        <v>1.8784280619071319</v>
      </c>
      <c r="X87" s="34">
        <f t="shared" si="76"/>
        <v>453627.96269196633</v>
      </c>
      <c r="Y87" s="36">
        <f t="shared" si="77"/>
        <v>9.4429559625557324E-3</v>
      </c>
      <c r="Z87" s="34">
        <f t="shared" si="78"/>
        <v>4283.5888750841132</v>
      </c>
      <c r="AA87" s="34">
        <f t="shared" si="79"/>
        <v>455769.75712950836</v>
      </c>
      <c r="AB87" s="34">
        <f t="shared" si="80"/>
        <v>31905742.203242935</v>
      </c>
      <c r="AC87" s="34">
        <f t="shared" si="81"/>
        <v>31905742.203242935</v>
      </c>
      <c r="AD87" s="34">
        <f t="shared" si="82"/>
        <v>31905742.203242935</v>
      </c>
      <c r="AE87" s="34">
        <f t="shared" si="83"/>
        <v>0</v>
      </c>
      <c r="AF87" s="34">
        <f t="shared" si="84"/>
        <v>0</v>
      </c>
      <c r="AG87" s="29">
        <f t="shared" si="85"/>
        <v>500000</v>
      </c>
      <c r="AH87" s="34">
        <f t="shared" si="86"/>
        <v>1304.65738115712</v>
      </c>
      <c r="AI87" s="34">
        <f t="shared" si="87"/>
        <v>1189.2467554944021</v>
      </c>
      <c r="AJ87" s="34">
        <f t="shared" si="88"/>
        <v>53876.248630726499</v>
      </c>
      <c r="AK87" s="34">
        <f t="shared" si="89"/>
        <v>0</v>
      </c>
      <c r="AL87" s="34">
        <f t="shared" si="90"/>
        <v>53876.248630726499</v>
      </c>
      <c r="AM87" s="34">
        <f t="shared" si="91"/>
        <v>0</v>
      </c>
      <c r="AN87" s="34">
        <f t="shared" si="92"/>
        <v>55180.906011883621</v>
      </c>
      <c r="AO87" s="34">
        <f t="shared" si="93"/>
        <v>115.410625662718</v>
      </c>
      <c r="AP87" s="34">
        <f t="shared" si="94"/>
        <v>132.00784471053515</v>
      </c>
      <c r="AQ87" s="34">
        <f t="shared" si="95"/>
        <v>26588.118502702448</v>
      </c>
      <c r="AR87" s="34">
        <f t="shared" si="96"/>
        <v>300773.43284844194</v>
      </c>
      <c r="AS87" s="30">
        <f t="shared" si="97"/>
        <v>1.0712467121294307</v>
      </c>
      <c r="AT87" s="29">
        <f t="shared" si="98"/>
        <v>3136.7754704315407</v>
      </c>
      <c r="AU87" s="29">
        <f t="shared" si="99"/>
        <v>0</v>
      </c>
      <c r="AV87" s="34">
        <f t="shared" si="100"/>
        <v>218987.81111481041</v>
      </c>
      <c r="AW87" s="34">
        <f t="shared" si="101"/>
        <v>23467.940251316351</v>
      </c>
      <c r="AX87" s="29">
        <f t="shared" si="102"/>
        <v>23451.343032270906</v>
      </c>
      <c r="AY87" s="34">
        <f t="shared" si="103"/>
        <v>16.597219047817148</v>
      </c>
      <c r="AZ87" s="37">
        <f t="shared" si="104"/>
        <v>-1.0108274272689504E-13</v>
      </c>
      <c r="BA87" s="37">
        <f t="shared" si="105"/>
        <v>0</v>
      </c>
      <c r="BB87" s="35">
        <f t="shared" si="106"/>
        <v>8.2706077978311754E-4</v>
      </c>
      <c r="BC87" s="31">
        <f t="shared" si="107"/>
        <v>0.93368358416108754</v>
      </c>
      <c r="BD87" s="34">
        <f t="shared" si="108"/>
        <v>21911.630566727305</v>
      </c>
    </row>
    <row r="88" spans="1:56" x14ac:dyDescent="0.2">
      <c r="A88" s="27">
        <f t="shared" si="109"/>
        <v>84</v>
      </c>
      <c r="B88" s="28">
        <f t="shared" si="56"/>
        <v>84</v>
      </c>
      <c r="C88" s="27">
        <f t="shared" si="57"/>
        <v>7</v>
      </c>
      <c r="D88" s="28">
        <f t="shared" si="58"/>
        <v>27</v>
      </c>
      <c r="E88" s="29">
        <f t="shared" si="59"/>
        <v>0</v>
      </c>
      <c r="F88" s="30">
        <f t="shared" si="60"/>
        <v>4.5814727486192391E-4</v>
      </c>
      <c r="G88" s="31">
        <f t="shared" si="61"/>
        <v>3.8186958892016953E-5</v>
      </c>
      <c r="H88" s="32">
        <f t="shared" si="62"/>
        <v>0.02</v>
      </c>
      <c r="I88" s="32">
        <f t="shared" si="63"/>
        <v>0</v>
      </c>
      <c r="J88" s="33">
        <f t="shared" si="110"/>
        <v>70.15488013879866</v>
      </c>
      <c r="K88" s="30">
        <f t="shared" si="64"/>
        <v>0</v>
      </c>
      <c r="L88" s="33">
        <f t="shared" si="65"/>
        <v>70.15488013879866</v>
      </c>
      <c r="M88" s="30">
        <f t="shared" si="66"/>
        <v>0</v>
      </c>
      <c r="N88" s="33">
        <f t="shared" si="67"/>
        <v>70.15488013879866</v>
      </c>
      <c r="O88" s="31">
        <f t="shared" si="68"/>
        <v>2.6790015239346811E-3</v>
      </c>
      <c r="P88" s="33">
        <f t="shared" si="69"/>
        <v>0.11800600270135536</v>
      </c>
      <c r="Q88" s="34">
        <f t="shared" si="111"/>
        <v>457911.55156705045</v>
      </c>
      <c r="R88" s="29">
        <f t="shared" si="70"/>
        <v>0</v>
      </c>
      <c r="S88" s="34">
        <f t="shared" si="71"/>
        <v>457911.55156705045</v>
      </c>
      <c r="T88" s="29">
        <f t="shared" si="72"/>
        <v>381.59295963920874</v>
      </c>
      <c r="U88" s="29">
        <f t="shared" si="73"/>
        <v>42088.448432949546</v>
      </c>
      <c r="V88" s="35">
        <f t="shared" si="74"/>
        <v>4.2005654781218654E-5</v>
      </c>
      <c r="W88" s="34">
        <f t="shared" si="75"/>
        <v>1.7679528351516018</v>
      </c>
      <c r="X88" s="34">
        <f t="shared" si="76"/>
        <v>457528.19065457612</v>
      </c>
      <c r="Y88" s="36">
        <f t="shared" si="77"/>
        <v>-1.2252868393480831E-2</v>
      </c>
      <c r="Z88" s="34">
        <f t="shared" si="78"/>
        <v>-5606.0327063979275</v>
      </c>
      <c r="AA88" s="34">
        <f t="shared" si="79"/>
        <v>454725.17430137715</v>
      </c>
      <c r="AB88" s="34">
        <f t="shared" si="80"/>
        <v>32124730.014357746</v>
      </c>
      <c r="AC88" s="34">
        <f t="shared" si="81"/>
        <v>32124730.014357746</v>
      </c>
      <c r="AD88" s="34">
        <f t="shared" si="82"/>
        <v>32124730.014357746</v>
      </c>
      <c r="AE88" s="34">
        <f t="shared" si="83"/>
        <v>0</v>
      </c>
      <c r="AF88" s="34">
        <f t="shared" si="84"/>
        <v>0</v>
      </c>
      <c r="AG88" s="29">
        <f t="shared" si="85"/>
        <v>500000</v>
      </c>
      <c r="AH88" s="34">
        <f t="shared" si="86"/>
        <v>1339.5007619673406</v>
      </c>
      <c r="AI88" s="34">
        <f t="shared" si="87"/>
        <v>1218.2094349248528</v>
      </c>
      <c r="AJ88" s="34">
        <f t="shared" si="88"/>
        <v>53660.300146982598</v>
      </c>
      <c r="AK88" s="34">
        <f t="shared" si="89"/>
        <v>0</v>
      </c>
      <c r="AL88" s="34">
        <f t="shared" si="90"/>
        <v>53660.300146982598</v>
      </c>
      <c r="AM88" s="34">
        <f t="shared" si="91"/>
        <v>0</v>
      </c>
      <c r="AN88" s="34">
        <f t="shared" si="92"/>
        <v>54999.800908949939</v>
      </c>
      <c r="AO88" s="34">
        <f t="shared" si="93"/>
        <v>121.29132704248768</v>
      </c>
      <c r="AP88" s="34">
        <f t="shared" si="94"/>
        <v>124.0305192411099</v>
      </c>
      <c r="AQ88" s="34">
        <f t="shared" si="95"/>
        <v>26770.608345298126</v>
      </c>
      <c r="AR88" s="34">
        <f t="shared" si="96"/>
        <v>-392952.27053110232</v>
      </c>
      <c r="AS88" s="30">
        <f t="shared" si="97"/>
        <v>1.0721353521070098</v>
      </c>
      <c r="AT88" s="29">
        <f t="shared" si="98"/>
        <v>3133.980296651499</v>
      </c>
      <c r="AU88" s="29">
        <f t="shared" si="99"/>
        <v>0</v>
      </c>
      <c r="AV88" s="34">
        <f t="shared" si="100"/>
        <v>-474725.41897754371</v>
      </c>
      <c r="AW88" s="34">
        <f t="shared" si="101"/>
        <v>23639.367240839987</v>
      </c>
      <c r="AX88" s="29">
        <f t="shared" si="102"/>
        <v>23636.628048646628</v>
      </c>
      <c r="AY88" s="34">
        <f t="shared" si="103"/>
        <v>2.7391921986222201</v>
      </c>
      <c r="AZ88" s="37">
        <f t="shared" si="104"/>
        <v>-2.2262585097024727E-13</v>
      </c>
      <c r="BA88" s="37">
        <f t="shared" si="105"/>
        <v>2.319266370050078E-16</v>
      </c>
      <c r="BB88" s="35">
        <f t="shared" si="106"/>
        <v>8.7081709635938864E-4</v>
      </c>
      <c r="BC88" s="31">
        <f t="shared" si="107"/>
        <v>0.92949225431346516</v>
      </c>
      <c r="BD88" s="34">
        <f t="shared" si="108"/>
        <v>21972.60874723224</v>
      </c>
    </row>
    <row r="89" spans="1:56" x14ac:dyDescent="0.2">
      <c r="A89" s="27">
        <f t="shared" si="109"/>
        <v>85</v>
      </c>
      <c r="B89" s="28">
        <f t="shared" si="56"/>
        <v>85</v>
      </c>
      <c r="C89" s="27">
        <f t="shared" si="57"/>
        <v>7</v>
      </c>
      <c r="D89" s="28">
        <f t="shared" si="58"/>
        <v>27</v>
      </c>
      <c r="E89" s="29">
        <f t="shared" si="59"/>
        <v>0</v>
      </c>
      <c r="F89" s="30">
        <f t="shared" si="60"/>
        <v>4.5814727486192391E-4</v>
      </c>
      <c r="G89" s="31">
        <f t="shared" si="61"/>
        <v>3.8186958892016953E-5</v>
      </c>
      <c r="H89" s="32">
        <f t="shared" si="62"/>
        <v>0.02</v>
      </c>
      <c r="I89" s="32">
        <f t="shared" si="63"/>
        <v>0</v>
      </c>
      <c r="J89" s="33">
        <f t="shared" si="110"/>
        <v>70.03419513457338</v>
      </c>
      <c r="K89" s="30">
        <f t="shared" si="64"/>
        <v>0</v>
      </c>
      <c r="L89" s="33">
        <f t="shared" si="65"/>
        <v>70.03419513457338</v>
      </c>
      <c r="M89" s="30">
        <f t="shared" si="66"/>
        <v>0</v>
      </c>
      <c r="N89" s="33">
        <f t="shared" si="67"/>
        <v>70.03419513457338</v>
      </c>
      <c r="O89" s="31">
        <f t="shared" si="68"/>
        <v>2.6743929306394473E-3</v>
      </c>
      <c r="P89" s="33">
        <f t="shared" si="69"/>
        <v>0.11780300107258133</v>
      </c>
      <c r="Q89" s="34">
        <f t="shared" si="111"/>
        <v>451922.15794817818</v>
      </c>
      <c r="R89" s="29">
        <f t="shared" si="70"/>
        <v>0</v>
      </c>
      <c r="S89" s="34">
        <f t="shared" si="71"/>
        <v>451922.15794817818</v>
      </c>
      <c r="T89" s="29">
        <f t="shared" si="72"/>
        <v>376.60179829014851</v>
      </c>
      <c r="U89" s="29">
        <f t="shared" si="73"/>
        <v>48077.842051821819</v>
      </c>
      <c r="V89" s="35">
        <f t="shared" si="74"/>
        <v>4.2005654781218654E-5</v>
      </c>
      <c r="W89" s="34">
        <f t="shared" si="75"/>
        <v>2.0195412358547844</v>
      </c>
      <c r="X89" s="34">
        <f t="shared" si="76"/>
        <v>451543.53660865215</v>
      </c>
      <c r="Y89" s="36">
        <f t="shared" si="77"/>
        <v>-3.3158672790843946E-3</v>
      </c>
      <c r="Z89" s="34">
        <f t="shared" si="78"/>
        <v>-1497.2584381226761</v>
      </c>
      <c r="AA89" s="34">
        <f t="shared" si="79"/>
        <v>450794.90738959081</v>
      </c>
      <c r="AB89" s="34">
        <f t="shared" si="80"/>
        <v>31650004.595380202</v>
      </c>
      <c r="AC89" s="34">
        <f t="shared" si="81"/>
        <v>31650004.595380202</v>
      </c>
      <c r="AD89" s="34">
        <f t="shared" si="82"/>
        <v>31650004.595380202</v>
      </c>
      <c r="AE89" s="34">
        <f t="shared" si="83"/>
        <v>0</v>
      </c>
      <c r="AF89" s="34">
        <f t="shared" si="84"/>
        <v>0</v>
      </c>
      <c r="AG89" s="29">
        <f t="shared" si="85"/>
        <v>500000</v>
      </c>
      <c r="AH89" s="34">
        <f t="shared" si="86"/>
        <v>1337.1964653197235</v>
      </c>
      <c r="AI89" s="34">
        <f t="shared" si="87"/>
        <v>1205.6027134909859</v>
      </c>
      <c r="AJ89" s="34">
        <f t="shared" si="88"/>
        <v>53104.992958730167</v>
      </c>
      <c r="AK89" s="34">
        <f t="shared" si="89"/>
        <v>0</v>
      </c>
      <c r="AL89" s="34">
        <f t="shared" si="90"/>
        <v>53104.992958730167</v>
      </c>
      <c r="AM89" s="34">
        <f t="shared" si="91"/>
        <v>0</v>
      </c>
      <c r="AN89" s="34">
        <f t="shared" si="92"/>
        <v>54442.189424049888</v>
      </c>
      <c r="AO89" s="34">
        <f t="shared" si="93"/>
        <v>131.59375182873765</v>
      </c>
      <c r="AP89" s="34">
        <f t="shared" si="94"/>
        <v>141.43694499417145</v>
      </c>
      <c r="AQ89" s="34">
        <f t="shared" si="95"/>
        <v>26375.003829483503</v>
      </c>
      <c r="AR89" s="34">
        <f t="shared" si="96"/>
        <v>-104769.09672498287</v>
      </c>
      <c r="AS89" s="30">
        <f t="shared" si="97"/>
        <v>1.0730247292453208</v>
      </c>
      <c r="AT89" s="29">
        <f t="shared" si="98"/>
        <v>3131.184303007899</v>
      </c>
      <c r="AU89" s="29">
        <f t="shared" si="99"/>
        <v>0</v>
      </c>
      <c r="AV89" s="34">
        <f t="shared" si="100"/>
        <v>-185596.13317168877</v>
      </c>
      <c r="AW89" s="34">
        <f t="shared" si="101"/>
        <v>23253.662719648099</v>
      </c>
      <c r="AX89" s="29">
        <f t="shared" si="102"/>
        <v>23243.819526475603</v>
      </c>
      <c r="AY89" s="34">
        <f t="shared" si="103"/>
        <v>9.843193165433803</v>
      </c>
      <c r="AZ89" s="37">
        <f t="shared" si="104"/>
        <v>3.0367571530928062E-13</v>
      </c>
      <c r="BA89" s="37">
        <f t="shared" si="105"/>
        <v>-1.1770267796440309E-16</v>
      </c>
      <c r="BB89" s="35">
        <f t="shared" si="106"/>
        <v>8.7081709635938864E-4</v>
      </c>
      <c r="BC89" s="31">
        <f t="shared" si="107"/>
        <v>0.92868354080902127</v>
      </c>
      <c r="BD89" s="34">
        <f t="shared" si="108"/>
        <v>21595.29383126153</v>
      </c>
    </row>
    <row r="90" spans="1:56" x14ac:dyDescent="0.2">
      <c r="A90" s="27">
        <f t="shared" si="109"/>
        <v>86</v>
      </c>
      <c r="B90" s="28">
        <f t="shared" si="56"/>
        <v>86</v>
      </c>
      <c r="C90" s="27">
        <f t="shared" si="57"/>
        <v>7</v>
      </c>
      <c r="D90" s="28">
        <f t="shared" si="58"/>
        <v>27</v>
      </c>
      <c r="E90" s="29">
        <f t="shared" si="59"/>
        <v>0</v>
      </c>
      <c r="F90" s="30">
        <f t="shared" si="60"/>
        <v>4.5814727486192391E-4</v>
      </c>
      <c r="G90" s="31">
        <f t="shared" si="61"/>
        <v>3.8186958892016953E-5</v>
      </c>
      <c r="H90" s="32">
        <f t="shared" si="62"/>
        <v>0.02</v>
      </c>
      <c r="I90" s="32">
        <f t="shared" si="63"/>
        <v>0</v>
      </c>
      <c r="J90" s="33">
        <f t="shared" si="110"/>
        <v>69.913717740570149</v>
      </c>
      <c r="K90" s="30">
        <f t="shared" si="64"/>
        <v>0</v>
      </c>
      <c r="L90" s="33">
        <f t="shared" si="65"/>
        <v>69.913717740570149</v>
      </c>
      <c r="M90" s="30">
        <f t="shared" si="66"/>
        <v>0</v>
      </c>
      <c r="N90" s="33">
        <f t="shared" si="67"/>
        <v>69.913717740570149</v>
      </c>
      <c r="O90" s="31">
        <f t="shared" si="68"/>
        <v>2.6697922653472288E-3</v>
      </c>
      <c r="P90" s="33">
        <f t="shared" si="69"/>
        <v>0.11760034866046018</v>
      </c>
      <c r="Q90" s="34">
        <f t="shared" si="111"/>
        <v>450046.27817052946</v>
      </c>
      <c r="R90" s="29">
        <f t="shared" si="70"/>
        <v>0</v>
      </c>
      <c r="S90" s="34">
        <f t="shared" si="71"/>
        <v>450046.27817052946</v>
      </c>
      <c r="T90" s="29">
        <f t="shared" si="72"/>
        <v>375.03856514210793</v>
      </c>
      <c r="U90" s="29">
        <f t="shared" si="73"/>
        <v>49953.721829470538</v>
      </c>
      <c r="V90" s="35">
        <f t="shared" si="74"/>
        <v>4.2005654781218654E-5</v>
      </c>
      <c r="W90" s="34">
        <f t="shared" si="75"/>
        <v>2.0983387942057656</v>
      </c>
      <c r="X90" s="34">
        <f t="shared" si="76"/>
        <v>449669.14126659319</v>
      </c>
      <c r="Y90" s="36">
        <f t="shared" si="77"/>
        <v>-5.6585736056897762E-3</v>
      </c>
      <c r="Z90" s="34">
        <f t="shared" si="78"/>
        <v>-2544.4859340643316</v>
      </c>
      <c r="AA90" s="34">
        <f t="shared" si="79"/>
        <v>448396.898299561</v>
      </c>
      <c r="AB90" s="34">
        <f t="shared" si="80"/>
        <v>31464408.462208513</v>
      </c>
      <c r="AC90" s="34">
        <f t="shared" si="81"/>
        <v>31464408.462208513</v>
      </c>
      <c r="AD90" s="34">
        <f t="shared" si="82"/>
        <v>31464408.462208513</v>
      </c>
      <c r="AE90" s="34">
        <f t="shared" si="83"/>
        <v>0</v>
      </c>
      <c r="AF90" s="34">
        <f t="shared" si="84"/>
        <v>0</v>
      </c>
      <c r="AG90" s="29">
        <f t="shared" si="85"/>
        <v>500000</v>
      </c>
      <c r="AH90" s="34">
        <f t="shared" si="86"/>
        <v>1334.8961326736144</v>
      </c>
      <c r="AI90" s="34">
        <f t="shared" si="87"/>
        <v>1197.1265708858559</v>
      </c>
      <c r="AJ90" s="34">
        <f t="shared" si="88"/>
        <v>52731.631578297274</v>
      </c>
      <c r="AK90" s="34">
        <f t="shared" si="89"/>
        <v>0</v>
      </c>
      <c r="AL90" s="34">
        <f t="shared" si="90"/>
        <v>52731.631578297274</v>
      </c>
      <c r="AM90" s="34">
        <f t="shared" si="91"/>
        <v>0</v>
      </c>
      <c r="AN90" s="34">
        <f t="shared" si="92"/>
        <v>54066.527710970891</v>
      </c>
      <c r="AO90" s="34">
        <f t="shared" si="93"/>
        <v>137.76956178775848</v>
      </c>
      <c r="AP90" s="34">
        <f t="shared" si="94"/>
        <v>146.7026661821902</v>
      </c>
      <c r="AQ90" s="34">
        <f t="shared" si="95"/>
        <v>26220.340385173764</v>
      </c>
      <c r="AR90" s="34">
        <f t="shared" si="96"/>
        <v>-177741.45854808783</v>
      </c>
      <c r="AS90" s="30">
        <f t="shared" si="97"/>
        <v>1.0739148441558659</v>
      </c>
      <c r="AT90" s="29">
        <f t="shared" si="98"/>
        <v>3128.3908038217332</v>
      </c>
      <c r="AU90" s="29">
        <f t="shared" si="99"/>
        <v>0</v>
      </c>
      <c r="AV90" s="34">
        <f t="shared" si="100"/>
        <v>-258037.25974862278</v>
      </c>
      <c r="AW90" s="34">
        <f t="shared" si="101"/>
        <v>23100.882685742312</v>
      </c>
      <c r="AX90" s="29">
        <f t="shared" si="102"/>
        <v>23091.94958135203</v>
      </c>
      <c r="AY90" s="34">
        <f t="shared" si="103"/>
        <v>8.933104394431723</v>
      </c>
      <c r="AZ90" s="37">
        <f t="shared" si="104"/>
        <v>-1.796306434134209E-13</v>
      </c>
      <c r="BA90" s="37">
        <f t="shared" si="105"/>
        <v>0</v>
      </c>
      <c r="BB90" s="35">
        <f t="shared" si="106"/>
        <v>8.7081709635938864E-4</v>
      </c>
      <c r="BC90" s="31">
        <f t="shared" si="107"/>
        <v>0.9278755309333907</v>
      </c>
      <c r="BD90" s="34">
        <f t="shared" si="108"/>
        <v>21434.743787063122</v>
      </c>
    </row>
    <row r="91" spans="1:56" x14ac:dyDescent="0.2">
      <c r="A91" s="27">
        <f t="shared" si="109"/>
        <v>87</v>
      </c>
      <c r="B91" s="28">
        <f t="shared" si="56"/>
        <v>87</v>
      </c>
      <c r="C91" s="27">
        <f t="shared" si="57"/>
        <v>7</v>
      </c>
      <c r="D91" s="28">
        <f t="shared" si="58"/>
        <v>27</v>
      </c>
      <c r="E91" s="29">
        <f t="shared" si="59"/>
        <v>0</v>
      </c>
      <c r="F91" s="30">
        <f t="shared" si="60"/>
        <v>4.5814727486192391E-4</v>
      </c>
      <c r="G91" s="31">
        <f t="shared" si="61"/>
        <v>3.8186958892016953E-5</v>
      </c>
      <c r="H91" s="32">
        <f t="shared" si="62"/>
        <v>0.02</v>
      </c>
      <c r="I91" s="32">
        <f t="shared" si="63"/>
        <v>0</v>
      </c>
      <c r="J91" s="33">
        <f t="shared" si="110"/>
        <v>69.793447599644338</v>
      </c>
      <c r="K91" s="30">
        <f t="shared" si="64"/>
        <v>0</v>
      </c>
      <c r="L91" s="33">
        <f t="shared" si="65"/>
        <v>69.793447599644338</v>
      </c>
      <c r="M91" s="30">
        <f t="shared" si="66"/>
        <v>0</v>
      </c>
      <c r="N91" s="33">
        <f t="shared" si="67"/>
        <v>69.793447599644338</v>
      </c>
      <c r="O91" s="31">
        <f t="shared" si="68"/>
        <v>2.6651995144197577E-3</v>
      </c>
      <c r="P91" s="33">
        <f t="shared" si="69"/>
        <v>0.11739804486424665</v>
      </c>
      <c r="Q91" s="34">
        <f t="shared" si="111"/>
        <v>447124.65533252887</v>
      </c>
      <c r="R91" s="29">
        <f t="shared" si="70"/>
        <v>0</v>
      </c>
      <c r="S91" s="34">
        <f t="shared" si="71"/>
        <v>447124.65533252887</v>
      </c>
      <c r="T91" s="29">
        <f t="shared" si="72"/>
        <v>372.60387944377408</v>
      </c>
      <c r="U91" s="29">
        <f t="shared" si="73"/>
        <v>52875.34466747113</v>
      </c>
      <c r="V91" s="35">
        <f t="shared" si="74"/>
        <v>4.2005654781218654E-5</v>
      </c>
      <c r="W91" s="34">
        <f t="shared" si="75"/>
        <v>2.2210634745397431</v>
      </c>
      <c r="X91" s="34">
        <f t="shared" si="76"/>
        <v>446749.83038961055</v>
      </c>
      <c r="Y91" s="36">
        <f t="shared" si="77"/>
        <v>1.6975962987146875E-2</v>
      </c>
      <c r="Z91" s="34">
        <f t="shared" si="78"/>
        <v>7584.0085852081729</v>
      </c>
      <c r="AA91" s="34">
        <f t="shared" si="79"/>
        <v>450541.83468221466</v>
      </c>
      <c r="AB91" s="34">
        <f t="shared" si="80"/>
        <v>31206371.20245989</v>
      </c>
      <c r="AC91" s="34">
        <f t="shared" si="81"/>
        <v>31206371.20245989</v>
      </c>
      <c r="AD91" s="34">
        <f t="shared" si="82"/>
        <v>31206371.20245989</v>
      </c>
      <c r="AE91" s="34">
        <f t="shared" si="83"/>
        <v>0</v>
      </c>
      <c r="AF91" s="34">
        <f t="shared" si="84"/>
        <v>0</v>
      </c>
      <c r="AG91" s="29">
        <f t="shared" si="85"/>
        <v>500000</v>
      </c>
      <c r="AH91" s="34">
        <f t="shared" si="86"/>
        <v>1332.5997572098788</v>
      </c>
      <c r="AI91" s="34">
        <f t="shared" si="87"/>
        <v>1200.7838790208252</v>
      </c>
      <c r="AJ91" s="34">
        <f t="shared" si="88"/>
        <v>52892.730521242636</v>
      </c>
      <c r="AK91" s="34">
        <f t="shared" si="89"/>
        <v>0</v>
      </c>
      <c r="AL91" s="34">
        <f t="shared" si="90"/>
        <v>52892.730521242636</v>
      </c>
      <c r="AM91" s="34">
        <f t="shared" si="91"/>
        <v>0</v>
      </c>
      <c r="AN91" s="34">
        <f t="shared" si="92"/>
        <v>54225.330278452515</v>
      </c>
      <c r="AO91" s="34">
        <f t="shared" si="93"/>
        <v>131.81587818905359</v>
      </c>
      <c r="AP91" s="34">
        <f t="shared" si="94"/>
        <v>155.01567722577354</v>
      </c>
      <c r="AQ91" s="34">
        <f t="shared" si="95"/>
        <v>26005.309335383241</v>
      </c>
      <c r="AR91" s="34">
        <f t="shared" si="96"/>
        <v>528858.82544891152</v>
      </c>
      <c r="AS91" s="30">
        <f t="shared" si="97"/>
        <v>1.0748056974506555</v>
      </c>
      <c r="AT91" s="29">
        <f t="shared" si="98"/>
        <v>3125.5997968675624</v>
      </c>
      <c r="AU91" s="29">
        <f t="shared" si="99"/>
        <v>0</v>
      </c>
      <c r="AV91" s="34">
        <f t="shared" si="100"/>
        <v>448604.98603603244</v>
      </c>
      <c r="AW91" s="34">
        <f t="shared" si="101"/>
        <v>22902.909337559016</v>
      </c>
      <c r="AX91" s="29">
        <f t="shared" si="102"/>
        <v>22879.709538515679</v>
      </c>
      <c r="AY91" s="34">
        <f t="shared" si="103"/>
        <v>23.199799036719952</v>
      </c>
      <c r="AZ91" s="37">
        <f t="shared" si="104"/>
        <v>2.8893512744855851E-13</v>
      </c>
      <c r="BA91" s="37">
        <f t="shared" si="105"/>
        <v>-2.3536838418572319E-16</v>
      </c>
      <c r="BB91" s="35">
        <f t="shared" si="106"/>
        <v>8.7081709635938864E-4</v>
      </c>
      <c r="BC91" s="31">
        <f t="shared" si="107"/>
        <v>0.92706822407437539</v>
      </c>
      <c r="BD91" s="34">
        <f t="shared" si="108"/>
        <v>21232.559485707268</v>
      </c>
    </row>
    <row r="92" spans="1:56" x14ac:dyDescent="0.2">
      <c r="A92" s="27">
        <f t="shared" si="109"/>
        <v>88</v>
      </c>
      <c r="B92" s="28">
        <f t="shared" si="56"/>
        <v>88</v>
      </c>
      <c r="C92" s="27">
        <f t="shared" si="57"/>
        <v>7</v>
      </c>
      <c r="D92" s="28">
        <f t="shared" si="58"/>
        <v>27</v>
      </c>
      <c r="E92" s="29">
        <f t="shared" si="59"/>
        <v>0</v>
      </c>
      <c r="F92" s="30">
        <f t="shared" si="60"/>
        <v>4.5814727486192391E-4</v>
      </c>
      <c r="G92" s="31">
        <f t="shared" si="61"/>
        <v>3.8186958892016953E-5</v>
      </c>
      <c r="H92" s="32">
        <f t="shared" si="62"/>
        <v>0.02</v>
      </c>
      <c r="I92" s="32">
        <f t="shared" si="63"/>
        <v>0</v>
      </c>
      <c r="J92" s="33">
        <f t="shared" si="110"/>
        <v>69.673384355265668</v>
      </c>
      <c r="K92" s="30">
        <f t="shared" si="64"/>
        <v>0</v>
      </c>
      <c r="L92" s="33">
        <f t="shared" si="65"/>
        <v>69.673384355265668</v>
      </c>
      <c r="M92" s="30">
        <f t="shared" si="66"/>
        <v>0</v>
      </c>
      <c r="N92" s="33">
        <f t="shared" si="67"/>
        <v>69.673384355265668</v>
      </c>
      <c r="O92" s="31">
        <f t="shared" si="68"/>
        <v>2.6606146642422271E-3</v>
      </c>
      <c r="P92" s="33">
        <f t="shared" si="69"/>
        <v>0.11719608908422893</v>
      </c>
      <c r="Q92" s="34">
        <f t="shared" si="111"/>
        <v>454333.8389748187</v>
      </c>
      <c r="R92" s="29">
        <f t="shared" si="70"/>
        <v>0</v>
      </c>
      <c r="S92" s="34">
        <f t="shared" si="71"/>
        <v>454333.8389748187</v>
      </c>
      <c r="T92" s="29">
        <f t="shared" si="72"/>
        <v>378.61153247901564</v>
      </c>
      <c r="U92" s="29">
        <f t="shared" si="73"/>
        <v>45666.161025181296</v>
      </c>
      <c r="V92" s="35">
        <f t="shared" si="74"/>
        <v>4.2005654781218654E-5</v>
      </c>
      <c r="W92" s="34">
        <f t="shared" si="75"/>
        <v>1.9182369952073077</v>
      </c>
      <c r="X92" s="34">
        <f t="shared" si="76"/>
        <v>453953.30920534447</v>
      </c>
      <c r="Y92" s="36">
        <f t="shared" si="77"/>
        <v>-7.8121645363121717E-3</v>
      </c>
      <c r="Z92" s="34">
        <f t="shared" si="78"/>
        <v>-3546.357943315546</v>
      </c>
      <c r="AA92" s="34">
        <f t="shared" si="79"/>
        <v>452180.13023368671</v>
      </c>
      <c r="AB92" s="34">
        <f t="shared" si="80"/>
        <v>31654976.188495923</v>
      </c>
      <c r="AC92" s="34">
        <f t="shared" si="81"/>
        <v>31654976.188495923</v>
      </c>
      <c r="AD92" s="34">
        <f t="shared" si="82"/>
        <v>31654976.188495923</v>
      </c>
      <c r="AE92" s="34">
        <f t="shared" si="83"/>
        <v>0</v>
      </c>
      <c r="AF92" s="34">
        <f t="shared" si="84"/>
        <v>0</v>
      </c>
      <c r="AG92" s="29">
        <f t="shared" si="85"/>
        <v>500000</v>
      </c>
      <c r="AH92" s="34">
        <f t="shared" si="86"/>
        <v>1330.3073321211136</v>
      </c>
      <c r="AI92" s="34">
        <f t="shared" si="87"/>
        <v>1203.0770853787069</v>
      </c>
      <c r="AJ92" s="34">
        <f t="shared" si="88"/>
        <v>52993.742824985391</v>
      </c>
      <c r="AK92" s="34">
        <f t="shared" si="89"/>
        <v>0</v>
      </c>
      <c r="AL92" s="34">
        <f t="shared" si="90"/>
        <v>52993.742824985391</v>
      </c>
      <c r="AM92" s="34">
        <f t="shared" si="91"/>
        <v>0</v>
      </c>
      <c r="AN92" s="34">
        <f t="shared" si="92"/>
        <v>54324.050157106503</v>
      </c>
      <c r="AO92" s="34">
        <f t="shared" si="93"/>
        <v>127.23024674240666</v>
      </c>
      <c r="AP92" s="34">
        <f t="shared" si="94"/>
        <v>133.65006345156866</v>
      </c>
      <c r="AQ92" s="34">
        <f t="shared" si="95"/>
        <v>26379.146823746607</v>
      </c>
      <c r="AR92" s="34">
        <f t="shared" si="96"/>
        <v>-246874.23265927451</v>
      </c>
      <c r="AS92" s="30">
        <f t="shared" si="97"/>
        <v>1.0756972897422072</v>
      </c>
      <c r="AT92" s="29">
        <f t="shared" si="98"/>
        <v>3122.8112799219325</v>
      </c>
      <c r="AU92" s="29">
        <f t="shared" si="99"/>
        <v>0</v>
      </c>
      <c r="AV92" s="34">
        <f t="shared" si="100"/>
        <v>-327583.84945683181</v>
      </c>
      <c r="AW92" s="34">
        <f t="shared" si="101"/>
        <v>23262.755360528885</v>
      </c>
      <c r="AX92" s="29">
        <f t="shared" si="102"/>
        <v>23256.335543824673</v>
      </c>
      <c r="AY92" s="34">
        <f t="shared" si="103"/>
        <v>6.4198167091619922</v>
      </c>
      <c r="AZ92" s="37">
        <f t="shared" si="104"/>
        <v>-2.1277409639860912E-13</v>
      </c>
      <c r="BA92" s="37">
        <f t="shared" si="105"/>
        <v>1.176841920928616E-16</v>
      </c>
      <c r="BB92" s="35">
        <f t="shared" si="106"/>
        <v>8.7081709635938864E-4</v>
      </c>
      <c r="BC92" s="31">
        <f t="shared" si="107"/>
        <v>0.9262616196203084</v>
      </c>
      <c r="BD92" s="34">
        <f t="shared" si="108"/>
        <v>21547.397457074498</v>
      </c>
    </row>
    <row r="93" spans="1:56" x14ac:dyDescent="0.2">
      <c r="A93" s="27">
        <f t="shared" si="109"/>
        <v>89</v>
      </c>
      <c r="B93" s="28">
        <f t="shared" si="56"/>
        <v>89</v>
      </c>
      <c r="C93" s="27">
        <f t="shared" si="57"/>
        <v>7</v>
      </c>
      <c r="D93" s="28">
        <f t="shared" si="58"/>
        <v>27</v>
      </c>
      <c r="E93" s="29">
        <f t="shared" si="59"/>
        <v>0</v>
      </c>
      <c r="F93" s="30">
        <f t="shared" si="60"/>
        <v>4.5814727486192391E-4</v>
      </c>
      <c r="G93" s="31">
        <f t="shared" si="61"/>
        <v>3.8186958892016953E-5</v>
      </c>
      <c r="H93" s="32">
        <f t="shared" si="62"/>
        <v>0.02</v>
      </c>
      <c r="I93" s="32">
        <f t="shared" si="63"/>
        <v>0</v>
      </c>
      <c r="J93" s="33">
        <f t="shared" si="110"/>
        <v>69.5535276515172</v>
      </c>
      <c r="K93" s="30">
        <f t="shared" si="64"/>
        <v>0</v>
      </c>
      <c r="L93" s="33">
        <f t="shared" si="65"/>
        <v>69.5535276515172</v>
      </c>
      <c r="M93" s="30">
        <f t="shared" si="66"/>
        <v>0</v>
      </c>
      <c r="N93" s="33">
        <f t="shared" si="67"/>
        <v>69.5535276515172</v>
      </c>
      <c r="O93" s="31">
        <f t="shared" si="68"/>
        <v>2.6560377012232518E-3</v>
      </c>
      <c r="P93" s="33">
        <f t="shared" si="69"/>
        <v>0.11699448072172677</v>
      </c>
      <c r="Q93" s="34">
        <f t="shared" si="111"/>
        <v>450406.95126202895</v>
      </c>
      <c r="R93" s="29">
        <f t="shared" si="70"/>
        <v>0</v>
      </c>
      <c r="S93" s="34">
        <f t="shared" si="71"/>
        <v>450406.95126202895</v>
      </c>
      <c r="T93" s="29">
        <f t="shared" si="72"/>
        <v>375.33912605169081</v>
      </c>
      <c r="U93" s="29">
        <f t="shared" si="73"/>
        <v>49593.048737971054</v>
      </c>
      <c r="V93" s="35">
        <f t="shared" si="74"/>
        <v>4.2005654781218654E-5</v>
      </c>
      <c r="W93" s="34">
        <f t="shared" si="75"/>
        <v>2.0831884848353637</v>
      </c>
      <c r="X93" s="34">
        <f t="shared" si="76"/>
        <v>450029.52894749242</v>
      </c>
      <c r="Y93" s="36">
        <f t="shared" si="77"/>
        <v>-1.8487979164971691E-3</v>
      </c>
      <c r="Z93" s="34">
        <f t="shared" si="78"/>
        <v>-832.01365548032641</v>
      </c>
      <c r="AA93" s="34">
        <f t="shared" si="79"/>
        <v>449613.52211975225</v>
      </c>
      <c r="AB93" s="34">
        <f t="shared" si="80"/>
        <v>31327392.339039091</v>
      </c>
      <c r="AC93" s="34">
        <f t="shared" si="81"/>
        <v>31327392.339039091</v>
      </c>
      <c r="AD93" s="34">
        <f t="shared" si="82"/>
        <v>31327392.339039091</v>
      </c>
      <c r="AE93" s="34">
        <f t="shared" si="83"/>
        <v>0</v>
      </c>
      <c r="AF93" s="34">
        <f t="shared" si="84"/>
        <v>0</v>
      </c>
      <c r="AG93" s="29">
        <f t="shared" si="85"/>
        <v>500000</v>
      </c>
      <c r="AH93" s="34">
        <f t="shared" si="86"/>
        <v>1328.0188506116258</v>
      </c>
      <c r="AI93" s="34">
        <f t="shared" si="87"/>
        <v>1194.1904657298364</v>
      </c>
      <c r="AJ93" s="34">
        <f t="shared" si="88"/>
        <v>52602.30054586703</v>
      </c>
      <c r="AK93" s="34">
        <f t="shared" si="89"/>
        <v>0</v>
      </c>
      <c r="AL93" s="34">
        <f t="shared" si="90"/>
        <v>52602.30054586703</v>
      </c>
      <c r="AM93" s="34">
        <f t="shared" si="91"/>
        <v>0</v>
      </c>
      <c r="AN93" s="34">
        <f t="shared" si="92"/>
        <v>53930.319396478655</v>
      </c>
      <c r="AO93" s="34">
        <f t="shared" si="93"/>
        <v>133.82838488178948</v>
      </c>
      <c r="AP93" s="34">
        <f t="shared" si="94"/>
        <v>144.89310788331869</v>
      </c>
      <c r="AQ93" s="34">
        <f t="shared" si="95"/>
        <v>26106.160282532575</v>
      </c>
      <c r="AR93" s="34">
        <f t="shared" si="96"/>
        <v>-57819.709360284185</v>
      </c>
      <c r="AS93" s="30">
        <f t="shared" si="97"/>
        <v>1.0765896216435473</v>
      </c>
      <c r="AT93" s="29">
        <f t="shared" si="98"/>
        <v>3120.0252507633709</v>
      </c>
      <c r="AU93" s="29">
        <f t="shared" si="99"/>
        <v>0</v>
      </c>
      <c r="AV93" s="34">
        <f t="shared" si="100"/>
        <v>-137867.25376230106</v>
      </c>
      <c r="AW93" s="34">
        <f t="shared" si="101"/>
        <v>22997.199754774847</v>
      </c>
      <c r="AX93" s="29">
        <f t="shared" si="102"/>
        <v>22986.135031769205</v>
      </c>
      <c r="AY93" s="34">
        <f t="shared" si="103"/>
        <v>11.064723001529217</v>
      </c>
      <c r="AZ93" s="37">
        <f t="shared" si="104"/>
        <v>1.7883881205937319E-13</v>
      </c>
      <c r="BA93" s="37">
        <f t="shared" si="105"/>
        <v>-1.1891479054959798E-16</v>
      </c>
      <c r="BB93" s="35">
        <f t="shared" si="106"/>
        <v>8.7081709635938864E-4</v>
      </c>
      <c r="BC93" s="31">
        <f t="shared" si="107"/>
        <v>0.92545571696005624</v>
      </c>
      <c r="BD93" s="34">
        <f t="shared" si="108"/>
        <v>21282.889987128787</v>
      </c>
    </row>
    <row r="94" spans="1:56" x14ac:dyDescent="0.2">
      <c r="A94" s="27">
        <f t="shared" si="109"/>
        <v>90</v>
      </c>
      <c r="B94" s="28">
        <f t="shared" si="56"/>
        <v>90</v>
      </c>
      <c r="C94" s="27">
        <f t="shared" si="57"/>
        <v>7</v>
      </c>
      <c r="D94" s="28">
        <f t="shared" si="58"/>
        <v>27</v>
      </c>
      <c r="E94" s="29">
        <f t="shared" si="59"/>
        <v>0</v>
      </c>
      <c r="F94" s="30">
        <f t="shared" si="60"/>
        <v>4.5814727486192391E-4</v>
      </c>
      <c r="G94" s="31">
        <f t="shared" si="61"/>
        <v>3.8186958892016953E-5</v>
      </c>
      <c r="H94" s="32">
        <f t="shared" si="62"/>
        <v>0.02</v>
      </c>
      <c r="I94" s="32">
        <f t="shared" si="63"/>
        <v>0</v>
      </c>
      <c r="J94" s="33">
        <f t="shared" si="110"/>
        <v>69.433877133094242</v>
      </c>
      <c r="K94" s="30">
        <f t="shared" si="64"/>
        <v>0</v>
      </c>
      <c r="L94" s="33">
        <f t="shared" si="65"/>
        <v>69.433877133094242</v>
      </c>
      <c r="M94" s="30">
        <f t="shared" si="66"/>
        <v>0</v>
      </c>
      <c r="N94" s="33">
        <f t="shared" si="67"/>
        <v>69.433877133094242</v>
      </c>
      <c r="O94" s="31">
        <f t="shared" si="68"/>
        <v>2.6514686117948259E-3</v>
      </c>
      <c r="P94" s="33">
        <f t="shared" si="69"/>
        <v>0.11679321917908994</v>
      </c>
      <c r="Q94" s="34">
        <f t="shared" si="111"/>
        <v>449197.51529201207</v>
      </c>
      <c r="R94" s="29">
        <f t="shared" si="70"/>
        <v>0</v>
      </c>
      <c r="S94" s="34">
        <f t="shared" si="71"/>
        <v>449197.51529201207</v>
      </c>
      <c r="T94" s="29">
        <f t="shared" si="72"/>
        <v>374.33126274334342</v>
      </c>
      <c r="U94" s="29">
        <f t="shared" si="73"/>
        <v>50802.484707987926</v>
      </c>
      <c r="V94" s="35">
        <f t="shared" si="74"/>
        <v>4.2005654781218654E-5</v>
      </c>
      <c r="W94" s="34">
        <f t="shared" si="75"/>
        <v>2.1339916346718804</v>
      </c>
      <c r="X94" s="34">
        <f t="shared" si="76"/>
        <v>448821.05003763409</v>
      </c>
      <c r="Y94" s="36">
        <f t="shared" si="77"/>
        <v>1.4830298260334995E-2</v>
      </c>
      <c r="Z94" s="34">
        <f t="shared" si="78"/>
        <v>6656.150037574851</v>
      </c>
      <c r="AA94" s="34">
        <f t="shared" si="79"/>
        <v>452149.1250564215</v>
      </c>
      <c r="AB94" s="34">
        <f t="shared" si="80"/>
        <v>31189525.08527679</v>
      </c>
      <c r="AC94" s="34">
        <f t="shared" si="81"/>
        <v>31189525.08527679</v>
      </c>
      <c r="AD94" s="34">
        <f t="shared" si="82"/>
        <v>31189525.08527679</v>
      </c>
      <c r="AE94" s="34">
        <f t="shared" si="83"/>
        <v>0</v>
      </c>
      <c r="AF94" s="34">
        <f t="shared" si="84"/>
        <v>0</v>
      </c>
      <c r="AG94" s="29">
        <f t="shared" si="85"/>
        <v>500000</v>
      </c>
      <c r="AH94" s="34">
        <f t="shared" si="86"/>
        <v>1325.7343058974129</v>
      </c>
      <c r="AI94" s="34">
        <f t="shared" si="87"/>
        <v>1198.859212937595</v>
      </c>
      <c r="AJ94" s="34">
        <f t="shared" si="88"/>
        <v>52807.951864348383</v>
      </c>
      <c r="AK94" s="34">
        <f t="shared" si="89"/>
        <v>0</v>
      </c>
      <c r="AL94" s="34">
        <f t="shared" si="90"/>
        <v>52807.951864348383</v>
      </c>
      <c r="AM94" s="34">
        <f t="shared" si="91"/>
        <v>0</v>
      </c>
      <c r="AN94" s="34">
        <f t="shared" si="92"/>
        <v>54133.686170245797</v>
      </c>
      <c r="AO94" s="34">
        <f t="shared" si="93"/>
        <v>126.87509295981791</v>
      </c>
      <c r="AP94" s="34">
        <f t="shared" si="94"/>
        <v>148.17131296485829</v>
      </c>
      <c r="AQ94" s="34">
        <f t="shared" si="95"/>
        <v>25991.270904397326</v>
      </c>
      <c r="AR94" s="34">
        <f t="shared" si="96"/>
        <v>461764.78300684917</v>
      </c>
      <c r="AS94" s="30">
        <f t="shared" si="97"/>
        <v>1.0774826937682103</v>
      </c>
      <c r="AT94" s="29">
        <f t="shared" si="98"/>
        <v>3117.2417071723885</v>
      </c>
      <c r="AU94" s="29">
        <f t="shared" si="99"/>
        <v>0</v>
      </c>
      <c r="AV94" s="34">
        <f t="shared" si="100"/>
        <v>381618.52971220762</v>
      </c>
      <c r="AW94" s="34">
        <f t="shared" si="101"/>
        <v>22895.325417223386</v>
      </c>
      <c r="AX94" s="29">
        <f t="shared" si="102"/>
        <v>22874.02919722494</v>
      </c>
      <c r="AY94" s="34">
        <f t="shared" si="103"/>
        <v>21.296220005040382</v>
      </c>
      <c r="AZ94" s="37">
        <f t="shared" si="104"/>
        <v>-2.8798994139095484E-13</v>
      </c>
      <c r="BA94" s="37">
        <f t="shared" si="105"/>
        <v>1.1799668532416614E-16</v>
      </c>
      <c r="BB94" s="35">
        <f t="shared" si="106"/>
        <v>8.7081709635938864E-4</v>
      </c>
      <c r="BC94" s="31">
        <f t="shared" si="107"/>
        <v>0.92465051548301602</v>
      </c>
      <c r="BD94" s="34">
        <f t="shared" si="108"/>
        <v>21170.174449187005</v>
      </c>
    </row>
    <row r="95" spans="1:56" x14ac:dyDescent="0.2">
      <c r="A95" s="27">
        <f t="shared" si="109"/>
        <v>91</v>
      </c>
      <c r="B95" s="28">
        <f t="shared" si="56"/>
        <v>91</v>
      </c>
      <c r="C95" s="27">
        <f t="shared" si="57"/>
        <v>7</v>
      </c>
      <c r="D95" s="28">
        <f t="shared" si="58"/>
        <v>27</v>
      </c>
      <c r="E95" s="29">
        <f t="shared" si="59"/>
        <v>0</v>
      </c>
      <c r="F95" s="30">
        <f t="shared" si="60"/>
        <v>4.5814727486192391E-4</v>
      </c>
      <c r="G95" s="31">
        <f t="shared" si="61"/>
        <v>3.8186958892016953E-5</v>
      </c>
      <c r="H95" s="32">
        <f t="shared" si="62"/>
        <v>0.02</v>
      </c>
      <c r="I95" s="32">
        <f t="shared" si="63"/>
        <v>0</v>
      </c>
      <c r="J95" s="33">
        <f t="shared" si="110"/>
        <v>69.314432445303368</v>
      </c>
      <c r="K95" s="30">
        <f t="shared" si="64"/>
        <v>0</v>
      </c>
      <c r="L95" s="33">
        <f t="shared" si="65"/>
        <v>69.314432445303368</v>
      </c>
      <c r="M95" s="30">
        <f t="shared" si="66"/>
        <v>0</v>
      </c>
      <c r="N95" s="33">
        <f t="shared" si="67"/>
        <v>69.314432445303368</v>
      </c>
      <c r="O95" s="31">
        <f t="shared" si="68"/>
        <v>2.6469073824122859E-3</v>
      </c>
      <c r="P95" s="33">
        <f t="shared" si="69"/>
        <v>0.11659230385969624</v>
      </c>
      <c r="Q95" s="34">
        <f t="shared" si="111"/>
        <v>455477.20007520897</v>
      </c>
      <c r="R95" s="29">
        <f t="shared" si="70"/>
        <v>0</v>
      </c>
      <c r="S95" s="34">
        <f t="shared" si="71"/>
        <v>455477.20007520897</v>
      </c>
      <c r="T95" s="29">
        <f t="shared" si="72"/>
        <v>379.5643333960075</v>
      </c>
      <c r="U95" s="29">
        <f t="shared" si="73"/>
        <v>44522.799924791034</v>
      </c>
      <c r="V95" s="35">
        <f t="shared" si="74"/>
        <v>4.2005654781218654E-5</v>
      </c>
      <c r="W95" s="34">
        <f t="shared" si="75"/>
        <v>1.87020936353404</v>
      </c>
      <c r="X95" s="34">
        <f t="shared" si="76"/>
        <v>455095.76553244941</v>
      </c>
      <c r="Y95" s="36">
        <f t="shared" si="77"/>
        <v>3.7109150512379951E-3</v>
      </c>
      <c r="Z95" s="34">
        <f t="shared" si="78"/>
        <v>1688.8217260690442</v>
      </c>
      <c r="AA95" s="34">
        <f t="shared" si="79"/>
        <v>455940.17639548396</v>
      </c>
      <c r="AB95" s="34">
        <f t="shared" si="80"/>
        <v>31571143.614988998</v>
      </c>
      <c r="AC95" s="34">
        <f t="shared" si="81"/>
        <v>31571143.614988998</v>
      </c>
      <c r="AD95" s="34">
        <f t="shared" si="82"/>
        <v>31571143.614988998</v>
      </c>
      <c r="AE95" s="34">
        <f t="shared" si="83"/>
        <v>0</v>
      </c>
      <c r="AF95" s="34">
        <f t="shared" si="84"/>
        <v>0</v>
      </c>
      <c r="AG95" s="29">
        <f t="shared" si="85"/>
        <v>500000</v>
      </c>
      <c r="AH95" s="34">
        <f t="shared" si="86"/>
        <v>1323.4536912061428</v>
      </c>
      <c r="AI95" s="34">
        <f t="shared" si="87"/>
        <v>1206.8314188395664</v>
      </c>
      <c r="AJ95" s="34">
        <f t="shared" si="88"/>
        <v>53159.115588145767</v>
      </c>
      <c r="AK95" s="34">
        <f t="shared" si="89"/>
        <v>0</v>
      </c>
      <c r="AL95" s="34">
        <f t="shared" si="90"/>
        <v>53159.115588145767</v>
      </c>
      <c r="AM95" s="34">
        <f t="shared" si="91"/>
        <v>0</v>
      </c>
      <c r="AN95" s="34">
        <f t="shared" si="92"/>
        <v>54482.569279351912</v>
      </c>
      <c r="AO95" s="34">
        <f t="shared" si="93"/>
        <v>116.62227236657661</v>
      </c>
      <c r="AP95" s="34">
        <f t="shared" si="94"/>
        <v>129.63250058725401</v>
      </c>
      <c r="AQ95" s="34">
        <f t="shared" si="95"/>
        <v>26309.286345824166</v>
      </c>
      <c r="AR95" s="34">
        <f t="shared" si="96"/>
        <v>116959.0325585009</v>
      </c>
      <c r="AS95" s="30">
        <f t="shared" si="97"/>
        <v>1.0783765067302393</v>
      </c>
      <c r="AT95" s="29">
        <f t="shared" si="98"/>
        <v>3114.4606469314754</v>
      </c>
      <c r="AU95" s="29">
        <f t="shared" si="99"/>
        <v>0</v>
      </c>
      <c r="AV95" s="34">
        <f t="shared" si="100"/>
        <v>36154.166705105454</v>
      </c>
      <c r="AW95" s="34">
        <f t="shared" si="101"/>
        <v>23207.835927112057</v>
      </c>
      <c r="AX95" s="29">
        <f t="shared" si="102"/>
        <v>23194.825698892691</v>
      </c>
      <c r="AY95" s="34">
        <f t="shared" si="103"/>
        <v>13.010228220677405</v>
      </c>
      <c r="AZ95" s="37">
        <f t="shared" si="104"/>
        <v>-5.652112280552264E-14</v>
      </c>
      <c r="BA95" s="37">
        <f t="shared" si="105"/>
        <v>1.178617142215643E-16</v>
      </c>
      <c r="BB95" s="35">
        <f t="shared" si="106"/>
        <v>8.7081709635938864E-4</v>
      </c>
      <c r="BC95" s="31">
        <f t="shared" si="107"/>
        <v>0.92384601457911697</v>
      </c>
      <c r="BD95" s="34">
        <f t="shared" si="108"/>
        <v>21440.466728268519</v>
      </c>
    </row>
    <row r="96" spans="1:56" x14ac:dyDescent="0.2">
      <c r="A96" s="27">
        <f t="shared" si="109"/>
        <v>92</v>
      </c>
      <c r="B96" s="28">
        <f t="shared" si="56"/>
        <v>92</v>
      </c>
      <c r="C96" s="27">
        <f t="shared" si="57"/>
        <v>7</v>
      </c>
      <c r="D96" s="28">
        <f t="shared" si="58"/>
        <v>27</v>
      </c>
      <c r="E96" s="29">
        <f t="shared" si="59"/>
        <v>0</v>
      </c>
      <c r="F96" s="30">
        <f t="shared" si="60"/>
        <v>4.5814727486192391E-4</v>
      </c>
      <c r="G96" s="31">
        <f t="shared" si="61"/>
        <v>3.8186958892016953E-5</v>
      </c>
      <c r="H96" s="32">
        <f t="shared" si="62"/>
        <v>0.02</v>
      </c>
      <c r="I96" s="32">
        <f t="shared" si="63"/>
        <v>0</v>
      </c>
      <c r="J96" s="33">
        <f t="shared" si="110"/>
        <v>69.195193234061264</v>
      </c>
      <c r="K96" s="30">
        <f t="shared" si="64"/>
        <v>0</v>
      </c>
      <c r="L96" s="33">
        <f t="shared" si="65"/>
        <v>69.195193234061264</v>
      </c>
      <c r="M96" s="30">
        <f t="shared" si="66"/>
        <v>0</v>
      </c>
      <c r="N96" s="33">
        <f t="shared" si="67"/>
        <v>69.195193234061264</v>
      </c>
      <c r="O96" s="31">
        <f t="shared" si="68"/>
        <v>2.6423539995542671E-3</v>
      </c>
      <c r="P96" s="33">
        <f t="shared" si="69"/>
        <v>0.11639173416794987</v>
      </c>
      <c r="Q96" s="34">
        <f t="shared" si="111"/>
        <v>456784.58725851844</v>
      </c>
      <c r="R96" s="29">
        <f t="shared" si="70"/>
        <v>0</v>
      </c>
      <c r="S96" s="34">
        <f t="shared" si="71"/>
        <v>456784.58725851844</v>
      </c>
      <c r="T96" s="29">
        <f t="shared" si="72"/>
        <v>380.65382271543206</v>
      </c>
      <c r="U96" s="29">
        <f t="shared" si="73"/>
        <v>43215.412741481559</v>
      </c>
      <c r="V96" s="35">
        <f t="shared" si="74"/>
        <v>4.2005654781218654E-5</v>
      </c>
      <c r="W96" s="34">
        <f t="shared" si="75"/>
        <v>1.8152917088465523</v>
      </c>
      <c r="X96" s="34">
        <f t="shared" si="76"/>
        <v>456402.11814409413</v>
      </c>
      <c r="Y96" s="36">
        <f t="shared" si="77"/>
        <v>-9.5732476494636565E-5</v>
      </c>
      <c r="Z96" s="34">
        <f t="shared" si="78"/>
        <v>-43.692505047331835</v>
      </c>
      <c r="AA96" s="34">
        <f t="shared" si="79"/>
        <v>456380.27189157048</v>
      </c>
      <c r="AB96" s="34">
        <f t="shared" si="80"/>
        <v>31607297.781694103</v>
      </c>
      <c r="AC96" s="34">
        <f t="shared" si="81"/>
        <v>31607297.781694103</v>
      </c>
      <c r="AD96" s="34">
        <f t="shared" si="82"/>
        <v>31607297.781694103</v>
      </c>
      <c r="AE96" s="34">
        <f t="shared" si="83"/>
        <v>0</v>
      </c>
      <c r="AF96" s="34">
        <f t="shared" si="84"/>
        <v>0</v>
      </c>
      <c r="AG96" s="29">
        <f t="shared" si="85"/>
        <v>500000</v>
      </c>
      <c r="AH96" s="34">
        <f t="shared" si="86"/>
        <v>1321.1769997771335</v>
      </c>
      <c r="AI96" s="34">
        <f t="shared" si="87"/>
        <v>1205.9182367503552</v>
      </c>
      <c r="AJ96" s="34">
        <f t="shared" si="88"/>
        <v>53118.891285500358</v>
      </c>
      <c r="AK96" s="34">
        <f t="shared" si="89"/>
        <v>0</v>
      </c>
      <c r="AL96" s="34">
        <f t="shared" si="90"/>
        <v>53118.891285500358</v>
      </c>
      <c r="AM96" s="34">
        <f t="shared" si="91"/>
        <v>0</v>
      </c>
      <c r="AN96" s="34">
        <f t="shared" si="92"/>
        <v>54440.068285277492</v>
      </c>
      <c r="AO96" s="34">
        <f t="shared" si="93"/>
        <v>115.25876302677844</v>
      </c>
      <c r="AP96" s="34">
        <f t="shared" si="94"/>
        <v>125.60946056982647</v>
      </c>
      <c r="AQ96" s="34">
        <f t="shared" si="95"/>
        <v>26339.414818078421</v>
      </c>
      <c r="AR96" s="34">
        <f t="shared" si="96"/>
        <v>-3020.7108808812923</v>
      </c>
      <c r="AS96" s="30">
        <f t="shared" si="97"/>
        <v>1.0792710611441876</v>
      </c>
      <c r="AT96" s="29">
        <f t="shared" si="98"/>
        <v>3111.6820678251006</v>
      </c>
      <c r="AU96" s="29">
        <f t="shared" si="99"/>
        <v>0</v>
      </c>
      <c r="AV96" s="34">
        <f t="shared" si="100"/>
        <v>-83810.544681776315</v>
      </c>
      <c r="AW96" s="34">
        <f t="shared" si="101"/>
        <v>23238.083447792429</v>
      </c>
      <c r="AX96" s="29">
        <f t="shared" si="102"/>
        <v>23227.732750253323</v>
      </c>
      <c r="AY96" s="34">
        <f t="shared" si="103"/>
        <v>10.350697543048028</v>
      </c>
      <c r="AZ96" s="37">
        <f t="shared" si="104"/>
        <v>-1.6961601391840675E-13</v>
      </c>
      <c r="BA96" s="37">
        <f t="shared" si="105"/>
        <v>2.3572342844312861E-16</v>
      </c>
      <c r="BB96" s="35">
        <f t="shared" si="106"/>
        <v>8.7081709635938864E-4</v>
      </c>
      <c r="BC96" s="31">
        <f t="shared" si="107"/>
        <v>0.92304221363881889</v>
      </c>
      <c r="BD96" s="34">
        <f t="shared" si="108"/>
        <v>21449.731986373921</v>
      </c>
    </row>
    <row r="97" spans="1:56" x14ac:dyDescent="0.2">
      <c r="A97" s="27">
        <f t="shared" si="109"/>
        <v>93</v>
      </c>
      <c r="B97" s="28">
        <f t="shared" si="56"/>
        <v>93</v>
      </c>
      <c r="C97" s="27">
        <f t="shared" si="57"/>
        <v>7</v>
      </c>
      <c r="D97" s="28">
        <f t="shared" si="58"/>
        <v>27</v>
      </c>
      <c r="E97" s="29">
        <f t="shared" si="59"/>
        <v>0</v>
      </c>
      <c r="F97" s="30">
        <f t="shared" si="60"/>
        <v>4.5814727486192391E-4</v>
      </c>
      <c r="G97" s="31">
        <f t="shared" si="61"/>
        <v>3.8186958892016953E-5</v>
      </c>
      <c r="H97" s="32">
        <f t="shared" si="62"/>
        <v>0.02</v>
      </c>
      <c r="I97" s="32">
        <f t="shared" si="63"/>
        <v>0</v>
      </c>
      <c r="J97" s="33">
        <f t="shared" si="110"/>
        <v>69.076159145893769</v>
      </c>
      <c r="K97" s="30">
        <f t="shared" si="64"/>
        <v>0</v>
      </c>
      <c r="L97" s="33">
        <f t="shared" si="65"/>
        <v>69.076159145893769</v>
      </c>
      <c r="M97" s="30">
        <f t="shared" si="66"/>
        <v>0</v>
      </c>
      <c r="N97" s="33">
        <f t="shared" si="67"/>
        <v>69.076159145893769</v>
      </c>
      <c r="O97" s="31">
        <f t="shared" si="68"/>
        <v>2.6378084497226664E-3</v>
      </c>
      <c r="P97" s="33">
        <f t="shared" si="69"/>
        <v>0.11619150950927956</v>
      </c>
      <c r="Q97" s="34">
        <f t="shared" si="111"/>
        <v>456358.42563904682</v>
      </c>
      <c r="R97" s="29">
        <f t="shared" si="70"/>
        <v>0</v>
      </c>
      <c r="S97" s="34">
        <f t="shared" si="71"/>
        <v>456358.42563904682</v>
      </c>
      <c r="T97" s="29">
        <f t="shared" si="72"/>
        <v>380.29868803253902</v>
      </c>
      <c r="U97" s="29">
        <f t="shared" si="73"/>
        <v>43641.574360953178</v>
      </c>
      <c r="V97" s="35">
        <f t="shared" si="74"/>
        <v>4.2005654781218654E-5</v>
      </c>
      <c r="W97" s="34">
        <f t="shared" si="75"/>
        <v>1.8331929067150823</v>
      </c>
      <c r="X97" s="34">
        <f t="shared" si="76"/>
        <v>455976.29375810758</v>
      </c>
      <c r="Y97" s="36">
        <f t="shared" si="77"/>
        <v>1.8376399086046602E-2</v>
      </c>
      <c r="Z97" s="34">
        <f t="shared" si="78"/>
        <v>8379.2023478754054</v>
      </c>
      <c r="AA97" s="34">
        <f t="shared" si="79"/>
        <v>460165.89493204531</v>
      </c>
      <c r="AB97" s="34">
        <f t="shared" si="80"/>
        <v>31523487.237012327</v>
      </c>
      <c r="AC97" s="34">
        <f t="shared" si="81"/>
        <v>31523487.237012327</v>
      </c>
      <c r="AD97" s="34">
        <f t="shared" si="82"/>
        <v>31523487.237012327</v>
      </c>
      <c r="AE97" s="34">
        <f t="shared" si="83"/>
        <v>0</v>
      </c>
      <c r="AF97" s="34">
        <f t="shared" si="84"/>
        <v>0</v>
      </c>
      <c r="AG97" s="29">
        <f t="shared" si="85"/>
        <v>500000</v>
      </c>
      <c r="AH97" s="34">
        <f t="shared" si="86"/>
        <v>1318.9042248613332</v>
      </c>
      <c r="AI97" s="34">
        <f t="shared" si="87"/>
        <v>1213.8294859259418</v>
      </c>
      <c r="AJ97" s="34">
        <f t="shared" si="88"/>
        <v>53467.369956842886</v>
      </c>
      <c r="AK97" s="34">
        <f t="shared" si="89"/>
        <v>0</v>
      </c>
      <c r="AL97" s="34">
        <f t="shared" si="90"/>
        <v>53467.369956842886</v>
      </c>
      <c r="AM97" s="34">
        <f t="shared" si="91"/>
        <v>0</v>
      </c>
      <c r="AN97" s="34">
        <f t="shared" si="92"/>
        <v>54786.274181704219</v>
      </c>
      <c r="AO97" s="34">
        <f t="shared" si="93"/>
        <v>105.07473893539137</v>
      </c>
      <c r="AP97" s="34">
        <f t="shared" si="94"/>
        <v>126.62992496937461</v>
      </c>
      <c r="AQ97" s="34">
        <f t="shared" si="95"/>
        <v>26269.57269751027</v>
      </c>
      <c r="AR97" s="34">
        <f t="shared" si="96"/>
        <v>578305.26744746894</v>
      </c>
      <c r="AS97" s="30">
        <f t="shared" si="97"/>
        <v>1.0801663576251177</v>
      </c>
      <c r="AT97" s="29">
        <f t="shared" si="98"/>
        <v>3108.9059676397096</v>
      </c>
      <c r="AU97" s="29">
        <f t="shared" si="99"/>
        <v>0</v>
      </c>
      <c r="AV97" s="34">
        <f t="shared" si="100"/>
        <v>497227.8653822206</v>
      </c>
      <c r="AW97" s="34">
        <f t="shared" si="101"/>
        <v>23182.221915904433</v>
      </c>
      <c r="AX97" s="29">
        <f t="shared" si="102"/>
        <v>23160.666729870562</v>
      </c>
      <c r="AY97" s="34">
        <f t="shared" si="103"/>
        <v>21.555186033983247</v>
      </c>
      <c r="AZ97" s="37">
        <f t="shared" si="104"/>
        <v>-4.8421390237132168E-15</v>
      </c>
      <c r="BA97" s="37">
        <f t="shared" si="105"/>
        <v>0</v>
      </c>
      <c r="BB97" s="35">
        <f t="shared" si="106"/>
        <v>8.7081709635938864E-4</v>
      </c>
      <c r="BC97" s="31">
        <f t="shared" si="107"/>
        <v>0.92223911205311193</v>
      </c>
      <c r="BD97" s="34">
        <f t="shared" si="108"/>
        <v>21379.551755141896</v>
      </c>
    </row>
    <row r="98" spans="1:56" x14ac:dyDescent="0.2">
      <c r="A98" s="27">
        <f t="shared" si="109"/>
        <v>94</v>
      </c>
      <c r="B98" s="28">
        <f t="shared" si="56"/>
        <v>94</v>
      </c>
      <c r="C98" s="27">
        <f t="shared" si="57"/>
        <v>7</v>
      </c>
      <c r="D98" s="28">
        <f t="shared" si="58"/>
        <v>27</v>
      </c>
      <c r="E98" s="29">
        <f t="shared" si="59"/>
        <v>0</v>
      </c>
      <c r="F98" s="30">
        <f t="shared" si="60"/>
        <v>4.5814727486192391E-4</v>
      </c>
      <c r="G98" s="31">
        <f t="shared" si="61"/>
        <v>3.8186958892016953E-5</v>
      </c>
      <c r="H98" s="32">
        <f t="shared" si="62"/>
        <v>0.02</v>
      </c>
      <c r="I98" s="32">
        <f t="shared" si="63"/>
        <v>0</v>
      </c>
      <c r="J98" s="33">
        <f t="shared" si="110"/>
        <v>68.957329827934771</v>
      </c>
      <c r="K98" s="30">
        <f t="shared" si="64"/>
        <v>0</v>
      </c>
      <c r="L98" s="33">
        <f t="shared" si="65"/>
        <v>68.957329827934771</v>
      </c>
      <c r="M98" s="30">
        <f t="shared" si="66"/>
        <v>0</v>
      </c>
      <c r="N98" s="33">
        <f t="shared" si="67"/>
        <v>68.957329827934771</v>
      </c>
      <c r="O98" s="31">
        <f t="shared" si="68"/>
        <v>2.6332707194425997E-3</v>
      </c>
      <c r="P98" s="33">
        <f t="shared" si="69"/>
        <v>0.1159916292901369</v>
      </c>
      <c r="Q98" s="34">
        <f t="shared" si="111"/>
        <v>464355.49610598298</v>
      </c>
      <c r="R98" s="29">
        <f t="shared" si="70"/>
        <v>0</v>
      </c>
      <c r="S98" s="34">
        <f t="shared" si="71"/>
        <v>464355.49610598298</v>
      </c>
      <c r="T98" s="29">
        <f t="shared" si="72"/>
        <v>386.9629134216525</v>
      </c>
      <c r="U98" s="29">
        <f t="shared" si="73"/>
        <v>35644.50389401702</v>
      </c>
      <c r="V98" s="35">
        <f t="shared" si="74"/>
        <v>4.2005654781218654E-5</v>
      </c>
      <c r="W98" s="34">
        <f t="shared" si="75"/>
        <v>1.4972707254198829</v>
      </c>
      <c r="X98" s="34">
        <f t="shared" si="76"/>
        <v>463967.03592183586</v>
      </c>
      <c r="Y98" s="36">
        <f t="shared" si="77"/>
        <v>-4.1010746833870515E-3</v>
      </c>
      <c r="Z98" s="34">
        <f t="shared" si="78"/>
        <v>-1902.7634649451718</v>
      </c>
      <c r="AA98" s="34">
        <f t="shared" si="79"/>
        <v>463015.6541893633</v>
      </c>
      <c r="AB98" s="34">
        <f t="shared" si="80"/>
        <v>32020715.102394547</v>
      </c>
      <c r="AC98" s="34">
        <f t="shared" si="81"/>
        <v>32020715.102394547</v>
      </c>
      <c r="AD98" s="34">
        <f t="shared" si="82"/>
        <v>32020715.102394547</v>
      </c>
      <c r="AE98" s="34">
        <f t="shared" si="83"/>
        <v>0</v>
      </c>
      <c r="AF98" s="34">
        <f t="shared" si="84"/>
        <v>0</v>
      </c>
      <c r="AG98" s="29">
        <f t="shared" si="85"/>
        <v>500000</v>
      </c>
      <c r="AH98" s="34">
        <f t="shared" si="86"/>
        <v>1316.6353597212999</v>
      </c>
      <c r="AI98" s="34">
        <f t="shared" si="87"/>
        <v>1219.2455648204107</v>
      </c>
      <c r="AJ98" s="34">
        <f t="shared" si="88"/>
        <v>53705.940116262849</v>
      </c>
      <c r="AK98" s="34">
        <f t="shared" si="89"/>
        <v>0</v>
      </c>
      <c r="AL98" s="34">
        <f t="shared" si="90"/>
        <v>53705.940116262849</v>
      </c>
      <c r="AM98" s="34">
        <f t="shared" si="91"/>
        <v>0</v>
      </c>
      <c r="AN98" s="34">
        <f t="shared" si="92"/>
        <v>55022.575475984151</v>
      </c>
      <c r="AO98" s="34">
        <f t="shared" si="93"/>
        <v>97.389794900889214</v>
      </c>
      <c r="AP98" s="34">
        <f t="shared" si="94"/>
        <v>103.24779125449002</v>
      </c>
      <c r="AQ98" s="34">
        <f t="shared" si="95"/>
        <v>26683.929251995458</v>
      </c>
      <c r="AR98" s="34">
        <f t="shared" si="96"/>
        <v>-131096.63027388271</v>
      </c>
      <c r="AS98" s="30">
        <f t="shared" si="97"/>
        <v>1.0810623967886024</v>
      </c>
      <c r="AT98" s="29">
        <f t="shared" si="98"/>
        <v>3106.1323441637228</v>
      </c>
      <c r="AU98" s="29">
        <f t="shared" si="99"/>
        <v>0</v>
      </c>
      <c r="AV98" s="34">
        <f t="shared" si="100"/>
        <v>-212808.99299822003</v>
      </c>
      <c r="AW98" s="34">
        <f t="shared" si="101"/>
        <v>23583.654904189461</v>
      </c>
      <c r="AX98" s="29">
        <f t="shared" si="102"/>
        <v>23577.796907831736</v>
      </c>
      <c r="AY98" s="34">
        <f t="shared" si="103"/>
        <v>5.8579963536008108</v>
      </c>
      <c r="AZ98" s="37">
        <f t="shared" si="104"/>
        <v>1.7487127173221683E-13</v>
      </c>
      <c r="BA98" s="37">
        <f t="shared" si="105"/>
        <v>-1.1634000947665696E-16</v>
      </c>
      <c r="BB98" s="35">
        <f t="shared" si="106"/>
        <v>8.7081709635938864E-4</v>
      </c>
      <c r="BC98" s="31">
        <f t="shared" si="107"/>
        <v>0.9214367092135155</v>
      </c>
      <c r="BD98" s="34">
        <f t="shared" si="108"/>
        <v>21730.845366143523</v>
      </c>
    </row>
    <row r="99" spans="1:56" x14ac:dyDescent="0.2">
      <c r="A99" s="27">
        <f t="shared" si="109"/>
        <v>95</v>
      </c>
      <c r="B99" s="28">
        <f t="shared" si="56"/>
        <v>95</v>
      </c>
      <c r="C99" s="27">
        <f t="shared" si="57"/>
        <v>7</v>
      </c>
      <c r="D99" s="28">
        <f t="shared" si="58"/>
        <v>27</v>
      </c>
      <c r="E99" s="29">
        <f t="shared" si="59"/>
        <v>0</v>
      </c>
      <c r="F99" s="30">
        <f t="shared" si="60"/>
        <v>4.5814727486192391E-4</v>
      </c>
      <c r="G99" s="31">
        <f t="shared" si="61"/>
        <v>3.8186958892016953E-5</v>
      </c>
      <c r="H99" s="32">
        <f t="shared" si="62"/>
        <v>0.02</v>
      </c>
      <c r="I99" s="32">
        <f t="shared" si="63"/>
        <v>0</v>
      </c>
      <c r="J99" s="33">
        <f t="shared" si="110"/>
        <v>68.838704927925193</v>
      </c>
      <c r="K99" s="30">
        <f t="shared" si="64"/>
        <v>0</v>
      </c>
      <c r="L99" s="33">
        <f t="shared" si="65"/>
        <v>68.838704927925193</v>
      </c>
      <c r="M99" s="30">
        <f t="shared" si="66"/>
        <v>0</v>
      </c>
      <c r="N99" s="33">
        <f t="shared" si="67"/>
        <v>68.838704927925193</v>
      </c>
      <c r="O99" s="31">
        <f t="shared" si="68"/>
        <v>2.6287407952623643E-3</v>
      </c>
      <c r="P99" s="33">
        <f t="shared" si="69"/>
        <v>0.11579209291799454</v>
      </c>
      <c r="Q99" s="34">
        <f t="shared" si="111"/>
        <v>462064.27245689067</v>
      </c>
      <c r="R99" s="29">
        <f t="shared" si="70"/>
        <v>0</v>
      </c>
      <c r="S99" s="34">
        <f t="shared" si="71"/>
        <v>462064.27245689067</v>
      </c>
      <c r="T99" s="29">
        <f t="shared" si="72"/>
        <v>385.05356038074223</v>
      </c>
      <c r="U99" s="29">
        <f t="shared" si="73"/>
        <v>37935.727543109329</v>
      </c>
      <c r="V99" s="35">
        <f t="shared" si="74"/>
        <v>4.2005654781218654E-5</v>
      </c>
      <c r="W99" s="34">
        <f t="shared" si="75"/>
        <v>1.5935150750502185</v>
      </c>
      <c r="X99" s="34">
        <f t="shared" si="76"/>
        <v>461677.62538143486</v>
      </c>
      <c r="Y99" s="36">
        <f t="shared" si="77"/>
        <v>-9.6376549867650541E-3</v>
      </c>
      <c r="Z99" s="34">
        <f t="shared" si="78"/>
        <v>-4449.4896685352342</v>
      </c>
      <c r="AA99" s="34">
        <f t="shared" si="79"/>
        <v>459452.88054716727</v>
      </c>
      <c r="AB99" s="34">
        <f t="shared" si="80"/>
        <v>31807906.109396327</v>
      </c>
      <c r="AC99" s="34">
        <f t="shared" si="81"/>
        <v>31807906.109396327</v>
      </c>
      <c r="AD99" s="34">
        <f t="shared" si="82"/>
        <v>31807906.109396327</v>
      </c>
      <c r="AE99" s="34">
        <f t="shared" si="83"/>
        <v>0</v>
      </c>
      <c r="AF99" s="34">
        <f t="shared" si="84"/>
        <v>0</v>
      </c>
      <c r="AG99" s="29">
        <f t="shared" si="85"/>
        <v>500000</v>
      </c>
      <c r="AH99" s="34">
        <f t="shared" si="86"/>
        <v>1314.3703976311822</v>
      </c>
      <c r="AI99" s="34">
        <f t="shared" si="87"/>
        <v>1207.7825305951446</v>
      </c>
      <c r="AJ99" s="34">
        <f t="shared" si="88"/>
        <v>53201.010635757841</v>
      </c>
      <c r="AK99" s="34">
        <f t="shared" si="89"/>
        <v>0</v>
      </c>
      <c r="AL99" s="34">
        <f t="shared" si="90"/>
        <v>53201.010635757841</v>
      </c>
      <c r="AM99" s="34">
        <f t="shared" si="91"/>
        <v>0</v>
      </c>
      <c r="AN99" s="34">
        <f t="shared" si="92"/>
        <v>54515.381033389021</v>
      </c>
      <c r="AO99" s="34">
        <f t="shared" si="93"/>
        <v>106.58786703603759</v>
      </c>
      <c r="AP99" s="34">
        <f t="shared" si="94"/>
        <v>109.69551404958256</v>
      </c>
      <c r="AQ99" s="34">
        <f t="shared" si="95"/>
        <v>26506.588424496942</v>
      </c>
      <c r="AR99" s="34">
        <f t="shared" si="96"/>
        <v>-306033.65023407544</v>
      </c>
      <c r="AS99" s="30">
        <f t="shared" si="97"/>
        <v>1.0819591792507248</v>
      </c>
      <c r="AT99" s="29">
        <f t="shared" si="98"/>
        <v>3103.3611951875323</v>
      </c>
      <c r="AU99" s="29">
        <f t="shared" si="99"/>
        <v>0</v>
      </c>
      <c r="AV99" s="34">
        <f t="shared" si="100"/>
        <v>-387058.72733897716</v>
      </c>
      <c r="AW99" s="34">
        <f t="shared" si="101"/>
        <v>23406.334876325156</v>
      </c>
      <c r="AX99" s="29">
        <f t="shared" si="102"/>
        <v>23403.22722930941</v>
      </c>
      <c r="AY99" s="34">
        <f t="shared" si="103"/>
        <v>3.1076470135449625</v>
      </c>
      <c r="AZ99" s="37">
        <f t="shared" si="104"/>
        <v>9.4031575526697415E-14</v>
      </c>
      <c r="BA99" s="37">
        <f t="shared" si="105"/>
        <v>0</v>
      </c>
      <c r="BB99" s="35">
        <f t="shared" si="106"/>
        <v>8.7081709635938864E-4</v>
      </c>
      <c r="BC99" s="31">
        <f t="shared" si="107"/>
        <v>0.92063500451207969</v>
      </c>
      <c r="BD99" s="34">
        <f t="shared" si="108"/>
        <v>21548.691214476858</v>
      </c>
    </row>
    <row r="100" spans="1:56" x14ac:dyDescent="0.2">
      <c r="A100" s="27">
        <f t="shared" si="109"/>
        <v>96</v>
      </c>
      <c r="B100" s="28">
        <f t="shared" si="56"/>
        <v>96</v>
      </c>
      <c r="C100" s="27">
        <f t="shared" si="57"/>
        <v>8</v>
      </c>
      <c r="D100" s="28">
        <f t="shared" si="58"/>
        <v>28</v>
      </c>
      <c r="E100" s="29">
        <f t="shared" si="59"/>
        <v>0</v>
      </c>
      <c r="F100" s="30">
        <f t="shared" si="60"/>
        <v>4.717918819946564E-4</v>
      </c>
      <c r="G100" s="31">
        <f t="shared" si="61"/>
        <v>3.9324494338632832E-5</v>
      </c>
      <c r="H100" s="32">
        <f t="shared" si="62"/>
        <v>0.02</v>
      </c>
      <c r="I100" s="32">
        <f t="shared" si="63"/>
        <v>0</v>
      </c>
      <c r="J100" s="33">
        <f t="shared" si="110"/>
        <v>68.720284094211934</v>
      </c>
      <c r="K100" s="30">
        <f t="shared" si="64"/>
        <v>0</v>
      </c>
      <c r="L100" s="33">
        <f t="shared" si="65"/>
        <v>68.720284094211934</v>
      </c>
      <c r="M100" s="30">
        <f t="shared" si="66"/>
        <v>0</v>
      </c>
      <c r="N100" s="33">
        <f t="shared" si="67"/>
        <v>68.720284094211934</v>
      </c>
      <c r="O100" s="31">
        <f t="shared" si="68"/>
        <v>2.7023904228120768E-3</v>
      </c>
      <c r="P100" s="33">
        <f t="shared" si="69"/>
        <v>0.11559276830530207</v>
      </c>
      <c r="Q100" s="34">
        <f t="shared" si="111"/>
        <v>457228.13571289962</v>
      </c>
      <c r="R100" s="29">
        <f t="shared" si="70"/>
        <v>0</v>
      </c>
      <c r="S100" s="34">
        <f t="shared" si="71"/>
        <v>457228.13571289962</v>
      </c>
      <c r="T100" s="29">
        <f t="shared" si="72"/>
        <v>381.02344642741639</v>
      </c>
      <c r="U100" s="29">
        <f t="shared" si="73"/>
        <v>42771.864287100383</v>
      </c>
      <c r="V100" s="35">
        <f t="shared" si="74"/>
        <v>4.3256943772496122E-5</v>
      </c>
      <c r="W100" s="34">
        <f t="shared" si="75"/>
        <v>1.8501801285119361</v>
      </c>
      <c r="X100" s="34">
        <f t="shared" si="76"/>
        <v>456845.26208634366</v>
      </c>
      <c r="Y100" s="36">
        <f t="shared" si="77"/>
        <v>5.6216413672860455E-4</v>
      </c>
      <c r="Z100" s="34">
        <f t="shared" si="78"/>
        <v>256.8220223793225</v>
      </c>
      <c r="AA100" s="34">
        <f t="shared" si="79"/>
        <v>456973.67309753335</v>
      </c>
      <c r="AB100" s="34">
        <f t="shared" si="80"/>
        <v>31420847.38205735</v>
      </c>
      <c r="AC100" s="34">
        <f t="shared" si="81"/>
        <v>31420847.38205735</v>
      </c>
      <c r="AD100" s="34">
        <f t="shared" si="82"/>
        <v>31420847.38205735</v>
      </c>
      <c r="AE100" s="34">
        <f t="shared" si="83"/>
        <v>0</v>
      </c>
      <c r="AF100" s="34">
        <f t="shared" si="84"/>
        <v>0</v>
      </c>
      <c r="AG100" s="29">
        <f t="shared" si="85"/>
        <v>500000</v>
      </c>
      <c r="AH100" s="34">
        <f t="shared" si="86"/>
        <v>1351.1952114060384</v>
      </c>
      <c r="AI100" s="34">
        <f t="shared" si="87"/>
        <v>1234.921277656031</v>
      </c>
      <c r="AJ100" s="34">
        <f t="shared" si="88"/>
        <v>52822.851915986023</v>
      </c>
      <c r="AK100" s="34">
        <f t="shared" si="89"/>
        <v>0</v>
      </c>
      <c r="AL100" s="34">
        <f t="shared" si="90"/>
        <v>52822.851915986023</v>
      </c>
      <c r="AM100" s="34">
        <f t="shared" si="91"/>
        <v>0</v>
      </c>
      <c r="AN100" s="34">
        <f t="shared" si="92"/>
        <v>54174.047127392063</v>
      </c>
      <c r="AO100" s="34">
        <f t="shared" si="93"/>
        <v>116.27393375000749</v>
      </c>
      <c r="AP100" s="34">
        <f t="shared" si="94"/>
        <v>127.1449040568058</v>
      </c>
      <c r="AQ100" s="34">
        <f t="shared" si="95"/>
        <v>26184.039485047797</v>
      </c>
      <c r="AR100" s="34">
        <f t="shared" si="96"/>
        <v>17633.691938605978</v>
      </c>
      <c r="AS100" s="30">
        <f t="shared" si="97"/>
        <v>1.0828567056280802</v>
      </c>
      <c r="AT100" s="29">
        <f t="shared" si="98"/>
        <v>3100.5925185035039</v>
      </c>
      <c r="AU100" s="29">
        <f t="shared" si="99"/>
        <v>0</v>
      </c>
      <c r="AV100" s="34">
        <f t="shared" si="100"/>
        <v>-62735.265644144267</v>
      </c>
      <c r="AW100" s="34">
        <f t="shared" si="101"/>
        <v>23094.317936854684</v>
      </c>
      <c r="AX100" s="29">
        <f t="shared" si="102"/>
        <v>23083.446966544292</v>
      </c>
      <c r="AY100" s="34">
        <f t="shared" si="103"/>
        <v>10.870970306798313</v>
      </c>
      <c r="AZ100" s="37">
        <f t="shared" si="104"/>
        <v>1.5562191577686955E-13</v>
      </c>
      <c r="BA100" s="37">
        <f t="shared" si="105"/>
        <v>0</v>
      </c>
      <c r="BB100" s="35">
        <f t="shared" si="106"/>
        <v>9.1042730831847329E-4</v>
      </c>
      <c r="BC100" s="31">
        <f t="shared" si="107"/>
        <v>0.91634599704952102</v>
      </c>
      <c r="BD100" s="34">
        <f t="shared" si="108"/>
        <v>21162.385796025745</v>
      </c>
    </row>
    <row r="101" spans="1:56" x14ac:dyDescent="0.2">
      <c r="A101" s="27">
        <f t="shared" si="109"/>
        <v>97</v>
      </c>
      <c r="B101" s="28">
        <f t="shared" si="56"/>
        <v>97</v>
      </c>
      <c r="C101" s="27">
        <f t="shared" si="57"/>
        <v>8</v>
      </c>
      <c r="D101" s="28">
        <f t="shared" si="58"/>
        <v>28</v>
      </c>
      <c r="E101" s="29">
        <f t="shared" si="59"/>
        <v>0</v>
      </c>
      <c r="F101" s="30">
        <f t="shared" si="60"/>
        <v>4.717918819946564E-4</v>
      </c>
      <c r="G101" s="31">
        <f t="shared" si="61"/>
        <v>3.9324494338632832E-5</v>
      </c>
      <c r="H101" s="32">
        <f t="shared" si="62"/>
        <v>0.02</v>
      </c>
      <c r="I101" s="32">
        <f t="shared" si="63"/>
        <v>0</v>
      </c>
      <c r="J101" s="33">
        <f t="shared" si="110"/>
        <v>68.601988935483817</v>
      </c>
      <c r="K101" s="30">
        <f t="shared" si="64"/>
        <v>0</v>
      </c>
      <c r="L101" s="33">
        <f t="shared" si="65"/>
        <v>68.601988935483817</v>
      </c>
      <c r="M101" s="30">
        <f t="shared" si="66"/>
        <v>0</v>
      </c>
      <c r="N101" s="33">
        <f t="shared" si="67"/>
        <v>68.601988935483817</v>
      </c>
      <c r="O101" s="31">
        <f t="shared" si="68"/>
        <v>2.6977385255123856E-3</v>
      </c>
      <c r="P101" s="33">
        <f t="shared" si="69"/>
        <v>0.11539378681017683</v>
      </c>
      <c r="Q101" s="34">
        <f t="shared" si="111"/>
        <v>457102.08410872298</v>
      </c>
      <c r="R101" s="29">
        <f t="shared" si="70"/>
        <v>0</v>
      </c>
      <c r="S101" s="34">
        <f t="shared" si="71"/>
        <v>457102.08410872298</v>
      </c>
      <c r="T101" s="29">
        <f t="shared" si="72"/>
        <v>380.91840342393584</v>
      </c>
      <c r="U101" s="29">
        <f t="shared" si="73"/>
        <v>42897.915891277022</v>
      </c>
      <c r="V101" s="35">
        <f t="shared" si="74"/>
        <v>4.3256943772496122E-5</v>
      </c>
      <c r="W101" s="34">
        <f t="shared" si="75"/>
        <v>1.8556327356662379</v>
      </c>
      <c r="X101" s="34">
        <f t="shared" si="76"/>
        <v>456719.31007256341</v>
      </c>
      <c r="Y101" s="36">
        <f t="shared" si="77"/>
        <v>2.8257046938839903E-3</v>
      </c>
      <c r="Z101" s="34">
        <f t="shared" si="78"/>
        <v>1290.5538982595001</v>
      </c>
      <c r="AA101" s="34">
        <f t="shared" si="79"/>
        <v>457364.58702169318</v>
      </c>
      <c r="AB101" s="34">
        <f t="shared" si="80"/>
        <v>31358112.116413206</v>
      </c>
      <c r="AC101" s="34">
        <f t="shared" si="81"/>
        <v>31358112.116413206</v>
      </c>
      <c r="AD101" s="34">
        <f t="shared" si="82"/>
        <v>31358112.116413206</v>
      </c>
      <c r="AE101" s="34">
        <f t="shared" si="83"/>
        <v>0</v>
      </c>
      <c r="AF101" s="34">
        <f t="shared" si="84"/>
        <v>0</v>
      </c>
      <c r="AG101" s="29">
        <f t="shared" si="85"/>
        <v>500000</v>
      </c>
      <c r="AH101" s="34">
        <f t="shared" si="86"/>
        <v>1348.8692627561929</v>
      </c>
      <c r="AI101" s="34">
        <f t="shared" si="87"/>
        <v>1233.8500666134837</v>
      </c>
      <c r="AJ101" s="34">
        <f t="shared" si="88"/>
        <v>52777.031649305827</v>
      </c>
      <c r="AK101" s="34">
        <f t="shared" si="89"/>
        <v>0</v>
      </c>
      <c r="AL101" s="34">
        <f t="shared" si="90"/>
        <v>52777.031649305827</v>
      </c>
      <c r="AM101" s="34">
        <f t="shared" si="91"/>
        <v>0</v>
      </c>
      <c r="AN101" s="34">
        <f t="shared" si="92"/>
        <v>54125.900912062018</v>
      </c>
      <c r="AO101" s="34">
        <f t="shared" si="93"/>
        <v>115.01919614270908</v>
      </c>
      <c r="AP101" s="34">
        <f t="shared" si="94"/>
        <v>127.30009640049681</v>
      </c>
      <c r="AQ101" s="34">
        <f t="shared" si="95"/>
        <v>26131.760097011007</v>
      </c>
      <c r="AR101" s="34">
        <f t="shared" si="96"/>
        <v>88458.362509857048</v>
      </c>
      <c r="AS101" s="30">
        <f t="shared" si="97"/>
        <v>1.0837549765377741</v>
      </c>
      <c r="AT101" s="29">
        <f t="shared" si="98"/>
        <v>3097.8227878841626</v>
      </c>
      <c r="AU101" s="29">
        <f t="shared" si="99"/>
        <v>0</v>
      </c>
      <c r="AV101" s="34">
        <f t="shared" si="100"/>
        <v>8188.4206005297601</v>
      </c>
      <c r="AW101" s="34">
        <f t="shared" si="101"/>
        <v>23046.218209381106</v>
      </c>
      <c r="AX101" s="29">
        <f t="shared" si="102"/>
        <v>23033.937309126843</v>
      </c>
      <c r="AY101" s="34">
        <f t="shared" si="103"/>
        <v>12.280900257787735</v>
      </c>
      <c r="AZ101" s="37">
        <f t="shared" si="104"/>
        <v>-1.5291847284308651E-13</v>
      </c>
      <c r="BA101" s="37">
        <f t="shared" si="105"/>
        <v>1.1876728318871691E-16</v>
      </c>
      <c r="BB101" s="35">
        <f t="shared" si="106"/>
        <v>9.1042730831847329E-4</v>
      </c>
      <c r="BC101" s="31">
        <f t="shared" si="107"/>
        <v>0.91551248947799357</v>
      </c>
      <c r="BD101" s="34">
        <f t="shared" si="108"/>
        <v>21099.100605923562</v>
      </c>
    </row>
    <row r="102" spans="1:56" x14ac:dyDescent="0.2">
      <c r="A102" s="27">
        <f t="shared" si="109"/>
        <v>98</v>
      </c>
      <c r="B102" s="28">
        <f t="shared" si="56"/>
        <v>98</v>
      </c>
      <c r="C102" s="27">
        <f t="shared" si="57"/>
        <v>8</v>
      </c>
      <c r="D102" s="28">
        <f t="shared" si="58"/>
        <v>28</v>
      </c>
      <c r="E102" s="29">
        <f t="shared" si="59"/>
        <v>0</v>
      </c>
      <c r="F102" s="30">
        <f t="shared" si="60"/>
        <v>4.717918819946564E-4</v>
      </c>
      <c r="G102" s="31">
        <f t="shared" si="61"/>
        <v>3.9324494338632832E-5</v>
      </c>
      <c r="H102" s="32">
        <f t="shared" si="62"/>
        <v>0.02</v>
      </c>
      <c r="I102" s="32">
        <f t="shared" si="63"/>
        <v>0</v>
      </c>
      <c r="J102" s="33">
        <f t="shared" si="110"/>
        <v>68.483897410148131</v>
      </c>
      <c r="K102" s="30">
        <f t="shared" si="64"/>
        <v>0</v>
      </c>
      <c r="L102" s="33">
        <f t="shared" si="65"/>
        <v>68.483897410148131</v>
      </c>
      <c r="M102" s="30">
        <f t="shared" si="66"/>
        <v>0</v>
      </c>
      <c r="N102" s="33">
        <f t="shared" si="67"/>
        <v>68.483897410148131</v>
      </c>
      <c r="O102" s="31">
        <f t="shared" si="68"/>
        <v>2.6930946359928817E-3</v>
      </c>
      <c r="P102" s="33">
        <f t="shared" si="69"/>
        <v>0.11519514784197592</v>
      </c>
      <c r="Q102" s="34">
        <f t="shared" si="111"/>
        <v>458009.86397082289</v>
      </c>
      <c r="R102" s="29">
        <f t="shared" si="70"/>
        <v>0</v>
      </c>
      <c r="S102" s="34">
        <f t="shared" si="71"/>
        <v>458009.86397082289</v>
      </c>
      <c r="T102" s="29">
        <f t="shared" si="72"/>
        <v>381.67488664235242</v>
      </c>
      <c r="U102" s="29">
        <f t="shared" si="73"/>
        <v>41990.136029177113</v>
      </c>
      <c r="V102" s="35">
        <f t="shared" si="74"/>
        <v>4.3256943772496122E-5</v>
      </c>
      <c r="W102" s="34">
        <f t="shared" si="75"/>
        <v>1.8163649532135779</v>
      </c>
      <c r="X102" s="34">
        <f t="shared" si="76"/>
        <v>457626.37271922728</v>
      </c>
      <c r="Y102" s="36">
        <f t="shared" si="77"/>
        <v>3.9994211571074967E-3</v>
      </c>
      <c r="Z102" s="34">
        <f t="shared" si="78"/>
        <v>1830.2405971036385</v>
      </c>
      <c r="AA102" s="34">
        <f t="shared" si="79"/>
        <v>458541.49301777908</v>
      </c>
      <c r="AB102" s="34">
        <f t="shared" si="80"/>
        <v>31366300.537013736</v>
      </c>
      <c r="AC102" s="34">
        <f t="shared" si="81"/>
        <v>31366300.537013736</v>
      </c>
      <c r="AD102" s="34">
        <f t="shared" si="82"/>
        <v>31366300.537013736</v>
      </c>
      <c r="AE102" s="34">
        <f t="shared" si="83"/>
        <v>0</v>
      </c>
      <c r="AF102" s="34">
        <f t="shared" si="84"/>
        <v>0</v>
      </c>
      <c r="AG102" s="29">
        <f t="shared" si="85"/>
        <v>500000</v>
      </c>
      <c r="AH102" s="34">
        <f t="shared" si="86"/>
        <v>1346.5473179964408</v>
      </c>
      <c r="AI102" s="34">
        <f t="shared" si="87"/>
        <v>1234.8956352263483</v>
      </c>
      <c r="AJ102" s="34">
        <f t="shared" si="88"/>
        <v>52821.755079863426</v>
      </c>
      <c r="AK102" s="34">
        <f t="shared" si="89"/>
        <v>0</v>
      </c>
      <c r="AL102" s="34">
        <f t="shared" si="90"/>
        <v>52821.755079863426</v>
      </c>
      <c r="AM102" s="34">
        <f t="shared" si="91"/>
        <v>0</v>
      </c>
      <c r="AN102" s="34">
        <f t="shared" si="92"/>
        <v>54168.302397859865</v>
      </c>
      <c r="AO102" s="34">
        <f t="shared" si="93"/>
        <v>111.65168277009259</v>
      </c>
      <c r="AP102" s="34">
        <f t="shared" si="94"/>
        <v>124.39175111526718</v>
      </c>
      <c r="AQ102" s="34">
        <f t="shared" si="95"/>
        <v>26138.58378084478</v>
      </c>
      <c r="AR102" s="34">
        <f t="shared" si="96"/>
        <v>125234.12736428165</v>
      </c>
      <c r="AS102" s="30">
        <f t="shared" si="97"/>
        <v>1.0846539925974246</v>
      </c>
      <c r="AT102" s="29">
        <f t="shared" si="98"/>
        <v>3095.0555314395665</v>
      </c>
      <c r="AU102" s="29">
        <f t="shared" si="99"/>
        <v>0</v>
      </c>
      <c r="AV102" s="34">
        <f t="shared" si="100"/>
        <v>44914.501117233187</v>
      </c>
      <c r="AW102" s="34">
        <f t="shared" si="101"/>
        <v>23056.26831774904</v>
      </c>
      <c r="AX102" s="29">
        <f t="shared" si="102"/>
        <v>23043.528249405212</v>
      </c>
      <c r="AY102" s="34">
        <f t="shared" si="103"/>
        <v>12.740068345174592</v>
      </c>
      <c r="AZ102" s="37">
        <f t="shared" si="104"/>
        <v>-5.839720557944907E-14</v>
      </c>
      <c r="BA102" s="37">
        <f t="shared" si="105"/>
        <v>-1.1859745934500394E-16</v>
      </c>
      <c r="BB102" s="35">
        <f t="shared" si="106"/>
        <v>9.1042730831847329E-4</v>
      </c>
      <c r="BC102" s="31">
        <f t="shared" si="107"/>
        <v>0.91467974006427355</v>
      </c>
      <c r="BD102" s="34">
        <f t="shared" si="108"/>
        <v>21089.101511730838</v>
      </c>
    </row>
    <row r="103" spans="1:56" x14ac:dyDescent="0.2">
      <c r="A103" s="27">
        <f t="shared" si="109"/>
        <v>99</v>
      </c>
      <c r="B103" s="28">
        <f t="shared" si="56"/>
        <v>99</v>
      </c>
      <c r="C103" s="27">
        <f t="shared" si="57"/>
        <v>8</v>
      </c>
      <c r="D103" s="28">
        <f t="shared" si="58"/>
        <v>28</v>
      </c>
      <c r="E103" s="29">
        <f t="shared" si="59"/>
        <v>0</v>
      </c>
      <c r="F103" s="30">
        <f t="shared" si="60"/>
        <v>4.717918819946564E-4</v>
      </c>
      <c r="G103" s="31">
        <f t="shared" si="61"/>
        <v>3.9324494338632832E-5</v>
      </c>
      <c r="H103" s="32">
        <f t="shared" si="62"/>
        <v>0.02</v>
      </c>
      <c r="I103" s="32">
        <f t="shared" si="63"/>
        <v>0</v>
      </c>
      <c r="J103" s="33">
        <f t="shared" si="110"/>
        <v>68.366009167670171</v>
      </c>
      <c r="K103" s="30">
        <f t="shared" si="64"/>
        <v>0</v>
      </c>
      <c r="L103" s="33">
        <f t="shared" si="65"/>
        <v>68.366009167670171</v>
      </c>
      <c r="M103" s="30">
        <f t="shared" si="66"/>
        <v>0</v>
      </c>
      <c r="N103" s="33">
        <f t="shared" si="67"/>
        <v>68.366009167670171</v>
      </c>
      <c r="O103" s="31">
        <f t="shared" si="68"/>
        <v>2.688458740468966E-3</v>
      </c>
      <c r="P103" s="33">
        <f t="shared" si="69"/>
        <v>0.11499685081107319</v>
      </c>
      <c r="Q103" s="34">
        <f t="shared" si="111"/>
        <v>459456.61331633094</v>
      </c>
      <c r="R103" s="29">
        <f t="shared" si="70"/>
        <v>0</v>
      </c>
      <c r="S103" s="34">
        <f t="shared" si="71"/>
        <v>459456.61331633094</v>
      </c>
      <c r="T103" s="29">
        <f t="shared" si="72"/>
        <v>382.88051109694248</v>
      </c>
      <c r="U103" s="29">
        <f t="shared" si="73"/>
        <v>40543.386683669058</v>
      </c>
      <c r="V103" s="35">
        <f t="shared" si="74"/>
        <v>4.3256943772496122E-5</v>
      </c>
      <c r="W103" s="34">
        <f t="shared" si="75"/>
        <v>1.7537829981220405</v>
      </c>
      <c r="X103" s="34">
        <f t="shared" si="76"/>
        <v>459071.97902223584</v>
      </c>
      <c r="Y103" s="36">
        <f t="shared" si="77"/>
        <v>-5.5196695276904517E-3</v>
      </c>
      <c r="Z103" s="34">
        <f t="shared" si="78"/>
        <v>-2533.9256136255854</v>
      </c>
      <c r="AA103" s="34">
        <f t="shared" si="79"/>
        <v>457805.01621542306</v>
      </c>
      <c r="AB103" s="34">
        <f t="shared" si="80"/>
        <v>31411215.038130969</v>
      </c>
      <c r="AC103" s="34">
        <f t="shared" si="81"/>
        <v>31411215.038130969</v>
      </c>
      <c r="AD103" s="34">
        <f t="shared" si="82"/>
        <v>31411215.038130969</v>
      </c>
      <c r="AE103" s="34">
        <f t="shared" si="83"/>
        <v>0</v>
      </c>
      <c r="AF103" s="34">
        <f t="shared" si="84"/>
        <v>0</v>
      </c>
      <c r="AG103" s="29">
        <f t="shared" si="85"/>
        <v>500000</v>
      </c>
      <c r="AH103" s="34">
        <f t="shared" si="86"/>
        <v>1344.229370234483</v>
      </c>
      <c r="AI103" s="34">
        <f t="shared" si="87"/>
        <v>1230.7898972748908</v>
      </c>
      <c r="AJ103" s="34">
        <f t="shared" si="88"/>
        <v>52646.135150285947</v>
      </c>
      <c r="AK103" s="34">
        <f t="shared" si="89"/>
        <v>0</v>
      </c>
      <c r="AL103" s="34">
        <f t="shared" si="90"/>
        <v>52646.135150285947</v>
      </c>
      <c r="AM103" s="34">
        <f t="shared" si="91"/>
        <v>0</v>
      </c>
      <c r="AN103" s="34">
        <f t="shared" si="92"/>
        <v>53990.36452052043</v>
      </c>
      <c r="AO103" s="34">
        <f t="shared" si="93"/>
        <v>113.43947295959215</v>
      </c>
      <c r="AP103" s="34">
        <f t="shared" si="94"/>
        <v>119.89914452771551</v>
      </c>
      <c r="AQ103" s="34">
        <f t="shared" si="95"/>
        <v>26176.01253177581</v>
      </c>
      <c r="AR103" s="34">
        <f t="shared" si="96"/>
        <v>-173085.27882121102</v>
      </c>
      <c r="AS103" s="30">
        <f t="shared" si="97"/>
        <v>1.0855537544251619</v>
      </c>
      <c r="AT103" s="29">
        <f t="shared" si="98"/>
        <v>3092.290746959558</v>
      </c>
      <c r="AU103" s="29">
        <f t="shared" si="99"/>
        <v>0</v>
      </c>
      <c r="AV103" s="34">
        <f t="shared" si="100"/>
        <v>-253258.11554507166</v>
      </c>
      <c r="AW103" s="34">
        <f t="shared" si="101"/>
        <v>23090.18145638064</v>
      </c>
      <c r="AX103" s="29">
        <f t="shared" si="102"/>
        <v>23083.721784816251</v>
      </c>
      <c r="AY103" s="34">
        <f t="shared" si="103"/>
        <v>6.4596715681233547</v>
      </c>
      <c r="AZ103" s="37">
        <f t="shared" si="104"/>
        <v>-1.6171690178052073E-13</v>
      </c>
      <c r="BA103" s="37">
        <f t="shared" si="105"/>
        <v>1.1859745934500394E-16</v>
      </c>
      <c r="BB103" s="35">
        <f t="shared" si="106"/>
        <v>9.1042730831847329E-4</v>
      </c>
      <c r="BC103" s="31">
        <f t="shared" si="107"/>
        <v>0.91384774811874081</v>
      </c>
      <c r="BD103" s="34">
        <f t="shared" si="108"/>
        <v>21100.910327566555</v>
      </c>
    </row>
    <row r="104" spans="1:56" x14ac:dyDescent="0.2">
      <c r="A104" s="27">
        <f t="shared" si="109"/>
        <v>100</v>
      </c>
      <c r="B104" s="28">
        <f t="shared" si="56"/>
        <v>100</v>
      </c>
      <c r="C104" s="27">
        <f t="shared" si="57"/>
        <v>8</v>
      </c>
      <c r="D104" s="28">
        <f t="shared" si="58"/>
        <v>28</v>
      </c>
      <c r="E104" s="29">
        <f t="shared" si="59"/>
        <v>0</v>
      </c>
      <c r="F104" s="30">
        <f t="shared" si="60"/>
        <v>4.717918819946564E-4</v>
      </c>
      <c r="G104" s="31">
        <f t="shared" si="61"/>
        <v>3.9324494338632832E-5</v>
      </c>
      <c r="H104" s="32">
        <f t="shared" si="62"/>
        <v>0.02</v>
      </c>
      <c r="I104" s="32">
        <f t="shared" si="63"/>
        <v>0</v>
      </c>
      <c r="J104" s="33">
        <f t="shared" si="110"/>
        <v>68.248323858118638</v>
      </c>
      <c r="K104" s="30">
        <f t="shared" si="64"/>
        <v>0</v>
      </c>
      <c r="L104" s="33">
        <f t="shared" si="65"/>
        <v>68.248323858118638</v>
      </c>
      <c r="M104" s="30">
        <f t="shared" si="66"/>
        <v>0</v>
      </c>
      <c r="N104" s="33">
        <f t="shared" si="67"/>
        <v>68.248323858118638</v>
      </c>
      <c r="O104" s="31">
        <f t="shared" si="68"/>
        <v>2.6838308251797664E-3</v>
      </c>
      <c r="P104" s="33">
        <f t="shared" si="69"/>
        <v>0.11479889512885746</v>
      </c>
      <c r="Q104" s="34">
        <f t="shared" si="111"/>
        <v>456538.05340861029</v>
      </c>
      <c r="R104" s="29">
        <f t="shared" si="70"/>
        <v>0</v>
      </c>
      <c r="S104" s="34">
        <f t="shared" si="71"/>
        <v>456538.05340861029</v>
      </c>
      <c r="T104" s="29">
        <f t="shared" si="72"/>
        <v>380.44837784050861</v>
      </c>
      <c r="U104" s="29">
        <f t="shared" si="73"/>
        <v>43461.946591389715</v>
      </c>
      <c r="V104" s="35">
        <f t="shared" si="74"/>
        <v>4.3256943772496122E-5</v>
      </c>
      <c r="W104" s="34">
        <f t="shared" si="75"/>
        <v>1.8800309799469743</v>
      </c>
      <c r="X104" s="34">
        <f t="shared" si="76"/>
        <v>456155.72499978985</v>
      </c>
      <c r="Y104" s="36">
        <f t="shared" si="77"/>
        <v>2.1672485833323929E-3</v>
      </c>
      <c r="Z104" s="34">
        <f t="shared" si="78"/>
        <v>988.60284878475511</v>
      </c>
      <c r="AA104" s="34">
        <f t="shared" si="79"/>
        <v>456650.02642418223</v>
      </c>
      <c r="AB104" s="34">
        <f t="shared" si="80"/>
        <v>31157956.922585897</v>
      </c>
      <c r="AC104" s="34">
        <f t="shared" si="81"/>
        <v>31157956.922585897</v>
      </c>
      <c r="AD104" s="34">
        <f t="shared" si="82"/>
        <v>31157956.922585897</v>
      </c>
      <c r="AE104" s="34">
        <f t="shared" si="83"/>
        <v>0</v>
      </c>
      <c r="AF104" s="34">
        <f t="shared" si="84"/>
        <v>0</v>
      </c>
      <c r="AG104" s="29">
        <f t="shared" si="85"/>
        <v>500000</v>
      </c>
      <c r="AH104" s="34">
        <f t="shared" si="86"/>
        <v>1341.9154125898833</v>
      </c>
      <c r="AI104" s="34">
        <f t="shared" si="87"/>
        <v>1225.5714172363751</v>
      </c>
      <c r="AJ104" s="34">
        <f t="shared" si="88"/>
        <v>52422.918494059682</v>
      </c>
      <c r="AK104" s="34">
        <f t="shared" si="89"/>
        <v>0</v>
      </c>
      <c r="AL104" s="34">
        <f t="shared" si="90"/>
        <v>52422.918494059682</v>
      </c>
      <c r="AM104" s="34">
        <f t="shared" si="91"/>
        <v>0</v>
      </c>
      <c r="AN104" s="34">
        <f t="shared" si="92"/>
        <v>53764.833906649568</v>
      </c>
      <c r="AO104" s="34">
        <f t="shared" si="93"/>
        <v>116.34399535350808</v>
      </c>
      <c r="AP104" s="34">
        <f t="shared" si="94"/>
        <v>128.30896318271726</v>
      </c>
      <c r="AQ104" s="34">
        <f t="shared" si="95"/>
        <v>25964.964102154918</v>
      </c>
      <c r="AR104" s="34">
        <f t="shared" si="96"/>
        <v>67412.415512140084</v>
      </c>
      <c r="AS104" s="30">
        <f t="shared" si="97"/>
        <v>1.0864542626396292</v>
      </c>
      <c r="AT104" s="29">
        <f t="shared" si="98"/>
        <v>3089.5284322359544</v>
      </c>
      <c r="AU104" s="29">
        <f t="shared" si="99"/>
        <v>0</v>
      </c>
      <c r="AV104" s="34">
        <f t="shared" si="100"/>
        <v>-12329.347464486957</v>
      </c>
      <c r="AW104" s="34">
        <f t="shared" si="101"/>
        <v>22887.400637741517</v>
      </c>
      <c r="AX104" s="29">
        <f t="shared" si="102"/>
        <v>22875.435669918963</v>
      </c>
      <c r="AY104" s="34">
        <f t="shared" si="103"/>
        <v>11.964967829209186</v>
      </c>
      <c r="AZ104" s="37">
        <f t="shared" si="104"/>
        <v>-2.9077195889289845E-13</v>
      </c>
      <c r="BA104" s="37">
        <f t="shared" si="105"/>
        <v>2.391228865048922E-16</v>
      </c>
      <c r="BB104" s="35">
        <f t="shared" si="106"/>
        <v>9.1042730831847329E-4</v>
      </c>
      <c r="BC104" s="31">
        <f t="shared" si="107"/>
        <v>0.91301651295240338</v>
      </c>
      <c r="BD104" s="34">
        <f t="shared" si="108"/>
        <v>20896.574720815373</v>
      </c>
    </row>
    <row r="105" spans="1:56" x14ac:dyDescent="0.2">
      <c r="A105" s="27">
        <f t="shared" si="109"/>
        <v>101</v>
      </c>
      <c r="B105" s="28">
        <f t="shared" si="56"/>
        <v>101</v>
      </c>
      <c r="C105" s="27">
        <f t="shared" si="57"/>
        <v>8</v>
      </c>
      <c r="D105" s="28">
        <f t="shared" si="58"/>
        <v>28</v>
      </c>
      <c r="E105" s="29">
        <f t="shared" si="59"/>
        <v>0</v>
      </c>
      <c r="F105" s="30">
        <f t="shared" si="60"/>
        <v>4.717918819946564E-4</v>
      </c>
      <c r="G105" s="31">
        <f t="shared" si="61"/>
        <v>3.9324494338632832E-5</v>
      </c>
      <c r="H105" s="32">
        <f t="shared" si="62"/>
        <v>0.02</v>
      </c>
      <c r="I105" s="32">
        <f t="shared" si="63"/>
        <v>0</v>
      </c>
      <c r="J105" s="33">
        <f t="shared" si="110"/>
        <v>68.130841132164605</v>
      </c>
      <c r="K105" s="30">
        <f t="shared" si="64"/>
        <v>0</v>
      </c>
      <c r="L105" s="33">
        <f t="shared" si="65"/>
        <v>68.130841132164605</v>
      </c>
      <c r="M105" s="30">
        <f t="shared" si="66"/>
        <v>0</v>
      </c>
      <c r="N105" s="33">
        <f t="shared" si="67"/>
        <v>68.130841132164605</v>
      </c>
      <c r="O105" s="31">
        <f t="shared" si="68"/>
        <v>2.6792108763880997E-3</v>
      </c>
      <c r="P105" s="33">
        <f t="shared" si="69"/>
        <v>0.11460128020773079</v>
      </c>
      <c r="Q105" s="34">
        <f t="shared" si="111"/>
        <v>457144.32784857461</v>
      </c>
      <c r="R105" s="29">
        <f t="shared" si="70"/>
        <v>0</v>
      </c>
      <c r="S105" s="34">
        <f t="shared" si="71"/>
        <v>457144.32784857461</v>
      </c>
      <c r="T105" s="29">
        <f t="shared" si="72"/>
        <v>380.95360654047886</v>
      </c>
      <c r="U105" s="29">
        <f t="shared" si="73"/>
        <v>42855.672151425388</v>
      </c>
      <c r="V105" s="35">
        <f t="shared" si="74"/>
        <v>4.3256943772496122E-5</v>
      </c>
      <c r="W105" s="34">
        <f t="shared" si="75"/>
        <v>1.8538054005867359</v>
      </c>
      <c r="X105" s="34">
        <f t="shared" si="76"/>
        <v>456761.52043663355</v>
      </c>
      <c r="Y105" s="36">
        <f t="shared" si="77"/>
        <v>6.5527076667195594E-3</v>
      </c>
      <c r="Z105" s="34">
        <f t="shared" si="78"/>
        <v>2993.0247168276114</v>
      </c>
      <c r="AA105" s="34">
        <f t="shared" si="79"/>
        <v>458258.03279504739</v>
      </c>
      <c r="AB105" s="34">
        <f t="shared" si="80"/>
        <v>31145627.57512141</v>
      </c>
      <c r="AC105" s="34">
        <f t="shared" si="81"/>
        <v>31145627.57512141</v>
      </c>
      <c r="AD105" s="34">
        <f t="shared" si="82"/>
        <v>31145627.57512141</v>
      </c>
      <c r="AE105" s="34">
        <f t="shared" si="83"/>
        <v>0</v>
      </c>
      <c r="AF105" s="34">
        <f t="shared" si="84"/>
        <v>0</v>
      </c>
      <c r="AG105" s="29">
        <f t="shared" si="85"/>
        <v>500000</v>
      </c>
      <c r="AH105" s="34">
        <f t="shared" si="86"/>
        <v>1339.6054381940498</v>
      </c>
      <c r="AI105" s="34">
        <f t="shared" si="87"/>
        <v>1227.7699056567055</v>
      </c>
      <c r="AJ105" s="34">
        <f t="shared" si="88"/>
        <v>52516.957223788711</v>
      </c>
      <c r="AK105" s="34">
        <f t="shared" si="89"/>
        <v>0</v>
      </c>
      <c r="AL105" s="34">
        <f t="shared" si="90"/>
        <v>52516.957223788711</v>
      </c>
      <c r="AM105" s="34">
        <f t="shared" si="91"/>
        <v>0</v>
      </c>
      <c r="AN105" s="34">
        <f t="shared" si="92"/>
        <v>53856.56266198276</v>
      </c>
      <c r="AO105" s="34">
        <f t="shared" si="93"/>
        <v>111.83553253734441</v>
      </c>
      <c r="AP105" s="34">
        <f t="shared" si="94"/>
        <v>126.30132123732368</v>
      </c>
      <c r="AQ105" s="34">
        <f t="shared" si="95"/>
        <v>25954.689645934508</v>
      </c>
      <c r="AR105" s="34">
        <f t="shared" si="96"/>
        <v>203741.77978251569</v>
      </c>
      <c r="AS105" s="30">
        <f t="shared" si="97"/>
        <v>1.0873555178599827</v>
      </c>
      <c r="AT105" s="29">
        <f t="shared" si="98"/>
        <v>3086.7685850625439</v>
      </c>
      <c r="AU105" s="29">
        <f t="shared" si="99"/>
        <v>0</v>
      </c>
      <c r="AV105" s="34">
        <f t="shared" si="100"/>
        <v>123916.06168588996</v>
      </c>
      <c r="AW105" s="34">
        <f t="shared" si="101"/>
        <v>22882.38684958042</v>
      </c>
      <c r="AX105" s="29">
        <f t="shared" si="102"/>
        <v>22867.921060871966</v>
      </c>
      <c r="AY105" s="34">
        <f t="shared" si="103"/>
        <v>14.465788699979271</v>
      </c>
      <c r="AZ105" s="37">
        <f t="shared" si="104"/>
        <v>3.7036281982590743E-13</v>
      </c>
      <c r="BA105" s="37">
        <f t="shared" si="105"/>
        <v>-2.3826956617792686E-16</v>
      </c>
      <c r="BB105" s="35">
        <f t="shared" si="106"/>
        <v>9.1042730831847329E-4</v>
      </c>
      <c r="BC105" s="31">
        <f t="shared" si="107"/>
        <v>0.91218603387689501</v>
      </c>
      <c r="BD105" s="34">
        <f t="shared" si="108"/>
        <v>20872.993705955581</v>
      </c>
    </row>
    <row r="106" spans="1:56" x14ac:dyDescent="0.2">
      <c r="A106" s="27">
        <f t="shared" si="109"/>
        <v>102</v>
      </c>
      <c r="B106" s="28">
        <f t="shared" si="56"/>
        <v>102</v>
      </c>
      <c r="C106" s="27">
        <f t="shared" si="57"/>
        <v>8</v>
      </c>
      <c r="D106" s="28">
        <f t="shared" si="58"/>
        <v>28</v>
      </c>
      <c r="E106" s="29">
        <f t="shared" si="59"/>
        <v>0</v>
      </c>
      <c r="F106" s="30">
        <f t="shared" si="60"/>
        <v>4.717918819946564E-4</v>
      </c>
      <c r="G106" s="31">
        <f t="shared" si="61"/>
        <v>3.9324494338632832E-5</v>
      </c>
      <c r="H106" s="32">
        <f t="shared" si="62"/>
        <v>0.02</v>
      </c>
      <c r="I106" s="32">
        <f t="shared" si="63"/>
        <v>0</v>
      </c>
      <c r="J106" s="33">
        <f t="shared" si="110"/>
        <v>68.013560641080474</v>
      </c>
      <c r="K106" s="30">
        <f t="shared" si="64"/>
        <v>0</v>
      </c>
      <c r="L106" s="33">
        <f t="shared" si="65"/>
        <v>68.013560641080474</v>
      </c>
      <c r="M106" s="30">
        <f t="shared" si="66"/>
        <v>0</v>
      </c>
      <c r="N106" s="33">
        <f t="shared" si="67"/>
        <v>68.013560641080474</v>
      </c>
      <c r="O106" s="31">
        <f t="shared" si="68"/>
        <v>2.6745988803804298E-3</v>
      </c>
      <c r="P106" s="33">
        <f t="shared" si="69"/>
        <v>0.11440400546110673</v>
      </c>
      <c r="Q106" s="34">
        <f t="shared" si="111"/>
        <v>459754.54515346116</v>
      </c>
      <c r="R106" s="29">
        <f t="shared" si="70"/>
        <v>0</v>
      </c>
      <c r="S106" s="34">
        <f t="shared" si="71"/>
        <v>459754.54515346116</v>
      </c>
      <c r="T106" s="29">
        <f t="shared" si="72"/>
        <v>383.12878762788432</v>
      </c>
      <c r="U106" s="29">
        <f t="shared" si="73"/>
        <v>40245.454846538836</v>
      </c>
      <c r="V106" s="35">
        <f t="shared" si="74"/>
        <v>4.3256943772496122E-5</v>
      </c>
      <c r="W106" s="34">
        <f t="shared" si="75"/>
        <v>1.740895377395262</v>
      </c>
      <c r="X106" s="34">
        <f t="shared" si="76"/>
        <v>459369.67547045584</v>
      </c>
      <c r="Y106" s="36">
        <f t="shared" si="77"/>
        <v>1.2988877184872738E-2</v>
      </c>
      <c r="Z106" s="34">
        <f t="shared" si="78"/>
        <v>5966.6962971405974</v>
      </c>
      <c r="AA106" s="34">
        <f t="shared" si="79"/>
        <v>462353.02361902612</v>
      </c>
      <c r="AB106" s="34">
        <f t="shared" si="80"/>
        <v>31269543.6368073</v>
      </c>
      <c r="AC106" s="34">
        <f t="shared" si="81"/>
        <v>31269543.6368073</v>
      </c>
      <c r="AD106" s="34">
        <f t="shared" si="82"/>
        <v>31269543.6368073</v>
      </c>
      <c r="AE106" s="34">
        <f t="shared" si="83"/>
        <v>0</v>
      </c>
      <c r="AF106" s="34">
        <f t="shared" si="84"/>
        <v>0</v>
      </c>
      <c r="AG106" s="29">
        <f t="shared" si="85"/>
        <v>500000</v>
      </c>
      <c r="AH106" s="34">
        <f t="shared" si="86"/>
        <v>1337.2994401902149</v>
      </c>
      <c r="AI106" s="34">
        <f t="shared" si="87"/>
        <v>1236.6088793119536</v>
      </c>
      <c r="AJ106" s="34">
        <f t="shared" si="88"/>
        <v>52895.037839070268</v>
      </c>
      <c r="AK106" s="34">
        <f t="shared" si="89"/>
        <v>0</v>
      </c>
      <c r="AL106" s="34">
        <f t="shared" si="90"/>
        <v>52895.037839070268</v>
      </c>
      <c r="AM106" s="34">
        <f t="shared" si="91"/>
        <v>0</v>
      </c>
      <c r="AN106" s="34">
        <f t="shared" si="92"/>
        <v>54232.337279260486</v>
      </c>
      <c r="AO106" s="34">
        <f t="shared" si="93"/>
        <v>100.69056087826122</v>
      </c>
      <c r="AP106" s="34">
        <f t="shared" si="94"/>
        <v>118.40449332024933</v>
      </c>
      <c r="AQ106" s="34">
        <f t="shared" si="95"/>
        <v>26057.953030672754</v>
      </c>
      <c r="AR106" s="34">
        <f t="shared" si="96"/>
        <v>405466.97419498296</v>
      </c>
      <c r="AS106" s="30">
        <f t="shared" si="97"/>
        <v>1.0882575207058924</v>
      </c>
      <c r="AT106" s="29">
        <f t="shared" si="98"/>
        <v>3084.0112032350876</v>
      </c>
      <c r="AU106" s="29">
        <f t="shared" si="99"/>
        <v>0</v>
      </c>
      <c r="AV106" s="34">
        <f t="shared" si="100"/>
        <v>325158.96995260939</v>
      </c>
      <c r="AW106" s="34">
        <f t="shared" si="101"/>
        <v>22991.655759877991</v>
      </c>
      <c r="AX106" s="29">
        <f t="shared" si="102"/>
        <v>22973.941827437666</v>
      </c>
      <c r="AY106" s="34">
        <f t="shared" si="103"/>
        <v>17.713932441988106</v>
      </c>
      <c r="AZ106" s="37">
        <f t="shared" si="104"/>
        <v>-7.2328597650409644E-14</v>
      </c>
      <c r="BA106" s="37">
        <f t="shared" si="105"/>
        <v>1.1790869959525627E-16</v>
      </c>
      <c r="BB106" s="35">
        <f t="shared" si="106"/>
        <v>9.1042730831847329E-4</v>
      </c>
      <c r="BC106" s="31">
        <f t="shared" si="107"/>
        <v>0.91135631020447683</v>
      </c>
      <c r="BD106" s="34">
        <f t="shared" si="108"/>
        <v>20953.590558813914</v>
      </c>
    </row>
    <row r="107" spans="1:56" x14ac:dyDescent="0.2">
      <c r="A107" s="27">
        <f t="shared" si="109"/>
        <v>103</v>
      </c>
      <c r="B107" s="28">
        <f t="shared" si="56"/>
        <v>103</v>
      </c>
      <c r="C107" s="27">
        <f t="shared" si="57"/>
        <v>8</v>
      </c>
      <c r="D107" s="28">
        <f t="shared" si="58"/>
        <v>28</v>
      </c>
      <c r="E107" s="29">
        <f t="shared" si="59"/>
        <v>0</v>
      </c>
      <c r="F107" s="30">
        <f t="shared" si="60"/>
        <v>4.717918819946564E-4</v>
      </c>
      <c r="G107" s="31">
        <f t="shared" si="61"/>
        <v>3.9324494338632832E-5</v>
      </c>
      <c r="H107" s="32">
        <f t="shared" si="62"/>
        <v>0.02</v>
      </c>
      <c r="I107" s="32">
        <f t="shared" si="63"/>
        <v>0</v>
      </c>
      <c r="J107" s="33">
        <f t="shared" si="110"/>
        <v>67.896482036738988</v>
      </c>
      <c r="K107" s="30">
        <f t="shared" si="64"/>
        <v>0</v>
      </c>
      <c r="L107" s="33">
        <f t="shared" si="65"/>
        <v>67.896482036738988</v>
      </c>
      <c r="M107" s="30">
        <f t="shared" si="66"/>
        <v>0</v>
      </c>
      <c r="N107" s="33">
        <f t="shared" si="67"/>
        <v>67.896482036738988</v>
      </c>
      <c r="O107" s="31">
        <f t="shared" si="68"/>
        <v>2.6699948234668279E-3</v>
      </c>
      <c r="P107" s="33">
        <f t="shared" si="69"/>
        <v>0.1142070703034086</v>
      </c>
      <c r="Q107" s="34">
        <f t="shared" si="111"/>
        <v>465336.37176759646</v>
      </c>
      <c r="R107" s="29">
        <f t="shared" si="70"/>
        <v>0</v>
      </c>
      <c r="S107" s="34">
        <f t="shared" si="71"/>
        <v>465336.37176759646</v>
      </c>
      <c r="T107" s="29">
        <f t="shared" si="72"/>
        <v>387.78030980633042</v>
      </c>
      <c r="U107" s="29">
        <f t="shared" si="73"/>
        <v>34663.628232403542</v>
      </c>
      <c r="V107" s="35">
        <f t="shared" si="74"/>
        <v>4.3256943772496122E-5</v>
      </c>
      <c r="W107" s="34">
        <f t="shared" si="75"/>
        <v>1.4994426173997892</v>
      </c>
      <c r="X107" s="34">
        <f t="shared" si="76"/>
        <v>464947.0920151727</v>
      </c>
      <c r="Y107" s="36">
        <f t="shared" si="77"/>
        <v>3.0843508764277772E-3</v>
      </c>
      <c r="Z107" s="34">
        <f t="shared" si="78"/>
        <v>1434.0599707495444</v>
      </c>
      <c r="AA107" s="34">
        <f t="shared" si="79"/>
        <v>465664.12200054748</v>
      </c>
      <c r="AB107" s="34">
        <f t="shared" si="80"/>
        <v>31594702.60675991</v>
      </c>
      <c r="AC107" s="34">
        <f t="shared" si="81"/>
        <v>31594702.60675991</v>
      </c>
      <c r="AD107" s="34">
        <f t="shared" si="82"/>
        <v>31594702.60675991</v>
      </c>
      <c r="AE107" s="34">
        <f t="shared" si="83"/>
        <v>0</v>
      </c>
      <c r="AF107" s="34">
        <f t="shared" si="84"/>
        <v>0</v>
      </c>
      <c r="AG107" s="29">
        <f t="shared" si="85"/>
        <v>500000</v>
      </c>
      <c r="AH107" s="34">
        <f t="shared" si="86"/>
        <v>1334.9974117334139</v>
      </c>
      <c r="AI107" s="34">
        <f t="shared" si="87"/>
        <v>1243.3207952156872</v>
      </c>
      <c r="AJ107" s="34">
        <f t="shared" si="88"/>
        <v>53182.135119091567</v>
      </c>
      <c r="AK107" s="34">
        <f t="shared" si="89"/>
        <v>0</v>
      </c>
      <c r="AL107" s="34">
        <f t="shared" si="90"/>
        <v>53182.135119091567</v>
      </c>
      <c r="AM107" s="34">
        <f t="shared" si="91"/>
        <v>0</v>
      </c>
      <c r="AN107" s="34">
        <f t="shared" si="92"/>
        <v>54517.13253082498</v>
      </c>
      <c r="AO107" s="34">
        <f t="shared" si="93"/>
        <v>91.676616517726785</v>
      </c>
      <c r="AP107" s="34">
        <f t="shared" si="94"/>
        <v>101.80687873740568</v>
      </c>
      <c r="AQ107" s="34">
        <f t="shared" si="95"/>
        <v>26328.918838966594</v>
      </c>
      <c r="AR107" s="34">
        <f t="shared" si="96"/>
        <v>97283.822683304315</v>
      </c>
      <c r="AS107" s="30">
        <f t="shared" si="97"/>
        <v>1.0891602717975417</v>
      </c>
      <c r="AT107" s="29">
        <f t="shared" si="98"/>
        <v>3081.2562845513148</v>
      </c>
      <c r="AU107" s="29">
        <f t="shared" si="99"/>
        <v>0</v>
      </c>
      <c r="AV107" s="34">
        <f t="shared" si="100"/>
        <v>16427.641051292419</v>
      </c>
      <c r="AW107" s="34">
        <f t="shared" si="101"/>
        <v>23257.7928166356</v>
      </c>
      <c r="AX107" s="29">
        <f t="shared" si="102"/>
        <v>23247.662554415278</v>
      </c>
      <c r="AY107" s="34">
        <f t="shared" si="103"/>
        <v>10.130262219678897</v>
      </c>
      <c r="AZ107" s="37">
        <f t="shared" si="104"/>
        <v>2.7652695030711508E-14</v>
      </c>
      <c r="BA107" s="37">
        <f t="shared" si="105"/>
        <v>0</v>
      </c>
      <c r="BB107" s="35">
        <f t="shared" si="106"/>
        <v>9.1042730831847329E-4</v>
      </c>
      <c r="BC107" s="31">
        <f t="shared" si="107"/>
        <v>0.91052734124803392</v>
      </c>
      <c r="BD107" s="34">
        <f t="shared" si="108"/>
        <v>21176.856256628835</v>
      </c>
    </row>
    <row r="108" spans="1:56" x14ac:dyDescent="0.2">
      <c r="A108" s="27">
        <f t="shared" si="109"/>
        <v>104</v>
      </c>
      <c r="B108" s="28">
        <f t="shared" si="56"/>
        <v>104</v>
      </c>
      <c r="C108" s="27">
        <f t="shared" si="57"/>
        <v>8</v>
      </c>
      <c r="D108" s="28">
        <f t="shared" si="58"/>
        <v>28</v>
      </c>
      <c r="E108" s="29">
        <f t="shared" si="59"/>
        <v>0</v>
      </c>
      <c r="F108" s="30">
        <f t="shared" si="60"/>
        <v>4.717918819946564E-4</v>
      </c>
      <c r="G108" s="31">
        <f t="shared" si="61"/>
        <v>3.9324494338632832E-5</v>
      </c>
      <c r="H108" s="32">
        <f t="shared" si="62"/>
        <v>0.02</v>
      </c>
      <c r="I108" s="32">
        <f t="shared" si="63"/>
        <v>0</v>
      </c>
      <c r="J108" s="33">
        <f t="shared" si="110"/>
        <v>67.779604971612116</v>
      </c>
      <c r="K108" s="30">
        <f t="shared" si="64"/>
        <v>0</v>
      </c>
      <c r="L108" s="33">
        <f t="shared" si="65"/>
        <v>67.779604971612116</v>
      </c>
      <c r="M108" s="30">
        <f t="shared" si="66"/>
        <v>0</v>
      </c>
      <c r="N108" s="33">
        <f t="shared" si="67"/>
        <v>67.779604971612116</v>
      </c>
      <c r="O108" s="31">
        <f t="shared" si="68"/>
        <v>2.6653986919809303E-3</v>
      </c>
      <c r="P108" s="33">
        <f t="shared" si="69"/>
        <v>0.11401047415006774</v>
      </c>
      <c r="Q108" s="34">
        <f t="shared" si="111"/>
        <v>466381.15198592225</v>
      </c>
      <c r="R108" s="29">
        <f t="shared" si="70"/>
        <v>0</v>
      </c>
      <c r="S108" s="34">
        <f t="shared" si="71"/>
        <v>466381.15198592225</v>
      </c>
      <c r="T108" s="29">
        <f t="shared" si="72"/>
        <v>388.65095998826854</v>
      </c>
      <c r="U108" s="29">
        <f t="shared" si="73"/>
        <v>33618.848014077754</v>
      </c>
      <c r="V108" s="35">
        <f t="shared" si="74"/>
        <v>4.3256943772496122E-5</v>
      </c>
      <c r="W108" s="34">
        <f t="shared" si="75"/>
        <v>1.4542486182410543</v>
      </c>
      <c r="X108" s="34">
        <f t="shared" si="76"/>
        <v>465991.04677731579</v>
      </c>
      <c r="Y108" s="36">
        <f t="shared" si="77"/>
        <v>4.706282476835133E-3</v>
      </c>
      <c r="Z108" s="34">
        <f t="shared" si="78"/>
        <v>2193.085497810142</v>
      </c>
      <c r="AA108" s="34">
        <f t="shared" si="79"/>
        <v>467087.58952622087</v>
      </c>
      <c r="AB108" s="34">
        <f t="shared" si="80"/>
        <v>31611130.247811202</v>
      </c>
      <c r="AC108" s="34">
        <f t="shared" si="81"/>
        <v>31611130.247811202</v>
      </c>
      <c r="AD108" s="34">
        <f t="shared" si="82"/>
        <v>31611130.247811202</v>
      </c>
      <c r="AE108" s="34">
        <f t="shared" si="83"/>
        <v>0</v>
      </c>
      <c r="AF108" s="34">
        <f t="shared" si="84"/>
        <v>0</v>
      </c>
      <c r="AG108" s="29">
        <f t="shared" si="85"/>
        <v>500000</v>
      </c>
      <c r="AH108" s="34">
        <f t="shared" si="86"/>
        <v>1332.6993459904652</v>
      </c>
      <c r="AI108" s="34">
        <f t="shared" si="87"/>
        <v>1244.9746501637148</v>
      </c>
      <c r="AJ108" s="34">
        <f t="shared" si="88"/>
        <v>53252.877551496655</v>
      </c>
      <c r="AK108" s="34">
        <f t="shared" si="89"/>
        <v>0</v>
      </c>
      <c r="AL108" s="34">
        <f t="shared" si="90"/>
        <v>53252.877551496655</v>
      </c>
      <c r="AM108" s="34">
        <f t="shared" si="91"/>
        <v>0</v>
      </c>
      <c r="AN108" s="34">
        <f t="shared" si="92"/>
        <v>54585.576897487117</v>
      </c>
      <c r="AO108" s="34">
        <f t="shared" si="93"/>
        <v>87.724695826750377</v>
      </c>
      <c r="AP108" s="34">
        <f t="shared" si="94"/>
        <v>98.56839687489142</v>
      </c>
      <c r="AQ108" s="34">
        <f t="shared" si="95"/>
        <v>26342.608539842669</v>
      </c>
      <c r="AR108" s="34">
        <f t="shared" si="96"/>
        <v>148518.52862820565</v>
      </c>
      <c r="AS108" s="30">
        <f t="shared" si="97"/>
        <v>1.0900637717556296</v>
      </c>
      <c r="AT108" s="29">
        <f t="shared" si="98"/>
        <v>3078.5038268109224</v>
      </c>
      <c r="AU108" s="29">
        <f t="shared" si="99"/>
        <v>0</v>
      </c>
      <c r="AV108" s="34">
        <f t="shared" si="100"/>
        <v>67579.499489836395</v>
      </c>
      <c r="AW108" s="34">
        <f t="shared" si="101"/>
        <v>23274.948414071216</v>
      </c>
      <c r="AX108" s="29">
        <f t="shared" si="102"/>
        <v>23264.104713031746</v>
      </c>
      <c r="AY108" s="34">
        <f t="shared" si="103"/>
        <v>10.843701048141043</v>
      </c>
      <c r="AZ108" s="37">
        <f t="shared" si="104"/>
        <v>-3.7254685362151821E-13</v>
      </c>
      <c r="BA108" s="37">
        <f t="shared" si="105"/>
        <v>2.3519204716216707E-16</v>
      </c>
      <c r="BB108" s="35">
        <f t="shared" si="106"/>
        <v>9.1042730831847329E-4</v>
      </c>
      <c r="BC108" s="31">
        <f t="shared" si="107"/>
        <v>0.90969912632107774</v>
      </c>
      <c r="BD108" s="34">
        <f t="shared" si="108"/>
        <v>21173.200237448738</v>
      </c>
    </row>
    <row r="109" spans="1:56" x14ac:dyDescent="0.2">
      <c r="A109" s="27">
        <f t="shared" si="109"/>
        <v>105</v>
      </c>
      <c r="B109" s="28">
        <f t="shared" si="56"/>
        <v>105</v>
      </c>
      <c r="C109" s="27">
        <f t="shared" si="57"/>
        <v>8</v>
      </c>
      <c r="D109" s="28">
        <f t="shared" si="58"/>
        <v>28</v>
      </c>
      <c r="E109" s="29">
        <f t="shared" si="59"/>
        <v>0</v>
      </c>
      <c r="F109" s="30">
        <f t="shared" si="60"/>
        <v>4.717918819946564E-4</v>
      </c>
      <c r="G109" s="31">
        <f t="shared" si="61"/>
        <v>3.9324494338632832E-5</v>
      </c>
      <c r="H109" s="32">
        <f t="shared" si="62"/>
        <v>0.02</v>
      </c>
      <c r="I109" s="32">
        <f t="shared" si="63"/>
        <v>0</v>
      </c>
      <c r="J109" s="33">
        <f t="shared" si="110"/>
        <v>67.662929098770078</v>
      </c>
      <c r="K109" s="30">
        <f t="shared" si="64"/>
        <v>0</v>
      </c>
      <c r="L109" s="33">
        <f t="shared" si="65"/>
        <v>67.662929098770078</v>
      </c>
      <c r="M109" s="30">
        <f t="shared" si="66"/>
        <v>0</v>
      </c>
      <c r="N109" s="33">
        <f t="shared" si="67"/>
        <v>67.662929098770078</v>
      </c>
      <c r="O109" s="31">
        <f t="shared" si="68"/>
        <v>2.6608104722798988E-3</v>
      </c>
      <c r="P109" s="33">
        <f t="shared" si="69"/>
        <v>0.11381421641752171</v>
      </c>
      <c r="Q109" s="34">
        <f t="shared" si="111"/>
        <v>468184.13227512594</v>
      </c>
      <c r="R109" s="29">
        <f t="shared" si="70"/>
        <v>0</v>
      </c>
      <c r="S109" s="34">
        <f t="shared" si="71"/>
        <v>468184.13227512594</v>
      </c>
      <c r="T109" s="29">
        <f t="shared" si="72"/>
        <v>390.15344356260499</v>
      </c>
      <c r="U109" s="29">
        <f t="shared" si="73"/>
        <v>31815.867724874057</v>
      </c>
      <c r="V109" s="35">
        <f t="shared" si="74"/>
        <v>4.3256943772496122E-5</v>
      </c>
      <c r="W109" s="34">
        <f t="shared" si="75"/>
        <v>1.3762572012480512</v>
      </c>
      <c r="X109" s="34">
        <f t="shared" si="76"/>
        <v>467792.60257436207</v>
      </c>
      <c r="Y109" s="36">
        <f t="shared" si="77"/>
        <v>5.4425860865767728E-3</v>
      </c>
      <c r="Z109" s="34">
        <f t="shared" si="78"/>
        <v>2546.0015101747608</v>
      </c>
      <c r="AA109" s="34">
        <f t="shared" si="79"/>
        <v>469065.60332944943</v>
      </c>
      <c r="AB109" s="34">
        <f t="shared" si="80"/>
        <v>31678709.747301038</v>
      </c>
      <c r="AC109" s="34">
        <f t="shared" si="81"/>
        <v>31678709.747301038</v>
      </c>
      <c r="AD109" s="34">
        <f t="shared" si="82"/>
        <v>31678709.747301038</v>
      </c>
      <c r="AE109" s="34">
        <f t="shared" si="83"/>
        <v>0</v>
      </c>
      <c r="AF109" s="34">
        <f t="shared" si="84"/>
        <v>0</v>
      </c>
      <c r="AG109" s="29">
        <f t="shared" si="85"/>
        <v>500000</v>
      </c>
      <c r="AH109" s="34">
        <f t="shared" si="86"/>
        <v>1330.4052361399495</v>
      </c>
      <c r="AI109" s="34">
        <f t="shared" si="87"/>
        <v>1248.0946695252881</v>
      </c>
      <c r="AJ109" s="34">
        <f t="shared" si="88"/>
        <v>53386.334091353347</v>
      </c>
      <c r="AK109" s="34">
        <f t="shared" si="89"/>
        <v>0</v>
      </c>
      <c r="AL109" s="34">
        <f t="shared" si="90"/>
        <v>53386.334091353347</v>
      </c>
      <c r="AM109" s="34">
        <f t="shared" si="91"/>
        <v>0</v>
      </c>
      <c r="AN109" s="34">
        <f t="shared" si="92"/>
        <v>54716.739327493298</v>
      </c>
      <c r="AO109" s="34">
        <f t="shared" si="93"/>
        <v>82.310566614661397</v>
      </c>
      <c r="AP109" s="34">
        <f t="shared" si="94"/>
        <v>93.121593429718629</v>
      </c>
      <c r="AQ109" s="34">
        <f t="shared" si="95"/>
        <v>26398.924789417535</v>
      </c>
      <c r="AR109" s="34">
        <f t="shared" si="96"/>
        <v>172121.64687113685</v>
      </c>
      <c r="AS109" s="30">
        <f t="shared" si="97"/>
        <v>1.0909680212013688</v>
      </c>
      <c r="AT109" s="29">
        <f t="shared" si="98"/>
        <v>3075.7538278155712</v>
      </c>
      <c r="AU109" s="29">
        <f t="shared" si="99"/>
        <v>0</v>
      </c>
      <c r="AV109" s="34">
        <f t="shared" si="100"/>
        <v>90995.171727411449</v>
      </c>
      <c r="AW109" s="34">
        <f t="shared" si="101"/>
        <v>23333.981988416534</v>
      </c>
      <c r="AX109" s="29">
        <f t="shared" si="102"/>
        <v>23323.170961601965</v>
      </c>
      <c r="AY109" s="34">
        <f t="shared" si="103"/>
        <v>10.811026815057232</v>
      </c>
      <c r="AZ109" s="37">
        <f t="shared" si="104"/>
        <v>-2.0952713765893658E-14</v>
      </c>
      <c r="BA109" s="37">
        <f t="shared" si="105"/>
        <v>0</v>
      </c>
      <c r="BB109" s="35">
        <f t="shared" si="106"/>
        <v>9.1042730831847329E-4</v>
      </c>
      <c r="BC109" s="31">
        <f t="shared" si="107"/>
        <v>0.90887166473774361</v>
      </c>
      <c r="BD109" s="34">
        <f t="shared" si="108"/>
        <v>21207.595054772661</v>
      </c>
    </row>
    <row r="110" spans="1:56" x14ac:dyDescent="0.2">
      <c r="A110" s="27">
        <f t="shared" si="109"/>
        <v>106</v>
      </c>
      <c r="B110" s="28">
        <f t="shared" si="56"/>
        <v>106</v>
      </c>
      <c r="C110" s="27">
        <f t="shared" si="57"/>
        <v>8</v>
      </c>
      <c r="D110" s="28">
        <f t="shared" si="58"/>
        <v>28</v>
      </c>
      <c r="E110" s="29">
        <f t="shared" si="59"/>
        <v>0</v>
      </c>
      <c r="F110" s="30">
        <f t="shared" si="60"/>
        <v>4.717918819946564E-4</v>
      </c>
      <c r="G110" s="31">
        <f t="shared" si="61"/>
        <v>3.9324494338632832E-5</v>
      </c>
      <c r="H110" s="32">
        <f t="shared" si="62"/>
        <v>0.02</v>
      </c>
      <c r="I110" s="32">
        <f t="shared" si="63"/>
        <v>0</v>
      </c>
      <c r="J110" s="33">
        <f t="shared" si="110"/>
        <v>67.546454071880277</v>
      </c>
      <c r="K110" s="30">
        <f t="shared" si="64"/>
        <v>0</v>
      </c>
      <c r="L110" s="33">
        <f t="shared" si="65"/>
        <v>67.546454071880277</v>
      </c>
      <c r="M110" s="30">
        <f t="shared" si="66"/>
        <v>0</v>
      </c>
      <c r="N110" s="33">
        <f t="shared" si="67"/>
        <v>67.546454071880277</v>
      </c>
      <c r="O110" s="31">
        <f t="shared" si="68"/>
        <v>2.6562301507443787E-3</v>
      </c>
      <c r="P110" s="33">
        <f t="shared" si="69"/>
        <v>0.11361829652321263</v>
      </c>
      <c r="Q110" s="34">
        <f t="shared" si="111"/>
        <v>470338.60408453684</v>
      </c>
      <c r="R110" s="29">
        <f t="shared" si="70"/>
        <v>0</v>
      </c>
      <c r="S110" s="34">
        <f t="shared" si="71"/>
        <v>470338.60408453684</v>
      </c>
      <c r="T110" s="29">
        <f t="shared" si="72"/>
        <v>391.94883673711405</v>
      </c>
      <c r="U110" s="29">
        <f t="shared" si="73"/>
        <v>29661.395915463159</v>
      </c>
      <c r="V110" s="35">
        <f t="shared" si="74"/>
        <v>4.3256943772496122E-5</v>
      </c>
      <c r="W110" s="34">
        <f t="shared" si="75"/>
        <v>1.283061335328936</v>
      </c>
      <c r="X110" s="34">
        <f t="shared" si="76"/>
        <v>469945.37218646437</v>
      </c>
      <c r="Y110" s="36">
        <f t="shared" si="77"/>
        <v>-2.8800298007209957E-3</v>
      </c>
      <c r="Z110" s="34">
        <f t="shared" si="78"/>
        <v>-1353.4566766079372</v>
      </c>
      <c r="AA110" s="34">
        <f t="shared" si="79"/>
        <v>469268.6438481604</v>
      </c>
      <c r="AB110" s="34">
        <f t="shared" si="80"/>
        <v>31769704.91902845</v>
      </c>
      <c r="AC110" s="34">
        <f t="shared" si="81"/>
        <v>31769704.91902845</v>
      </c>
      <c r="AD110" s="34">
        <f t="shared" si="82"/>
        <v>31769704.91902845</v>
      </c>
      <c r="AE110" s="34">
        <f t="shared" si="83"/>
        <v>0</v>
      </c>
      <c r="AF110" s="34">
        <f t="shared" si="84"/>
        <v>0</v>
      </c>
      <c r="AG110" s="29">
        <f t="shared" si="85"/>
        <v>500000</v>
      </c>
      <c r="AH110" s="34">
        <f t="shared" si="86"/>
        <v>1328.1150753721893</v>
      </c>
      <c r="AI110" s="34">
        <f t="shared" si="87"/>
        <v>1246.4855205884091</v>
      </c>
      <c r="AJ110" s="34">
        <f t="shared" si="88"/>
        <v>53317.50392578615</v>
      </c>
      <c r="AK110" s="34">
        <f t="shared" si="89"/>
        <v>0</v>
      </c>
      <c r="AL110" s="34">
        <f t="shared" si="90"/>
        <v>53317.50392578615</v>
      </c>
      <c r="AM110" s="34">
        <f t="shared" si="91"/>
        <v>0</v>
      </c>
      <c r="AN110" s="34">
        <f t="shared" si="92"/>
        <v>54645.619001158339</v>
      </c>
      <c r="AO110" s="34">
        <f t="shared" si="93"/>
        <v>81.629554783780094</v>
      </c>
      <c r="AP110" s="34">
        <f t="shared" si="94"/>
        <v>86.666243558201344</v>
      </c>
      <c r="AQ110" s="34">
        <f t="shared" si="95"/>
        <v>26474.754099190373</v>
      </c>
      <c r="AR110" s="34">
        <f t="shared" si="96"/>
        <v>-91342.512977554594</v>
      </c>
      <c r="AS110" s="30">
        <f t="shared" si="97"/>
        <v>1.0918730207564884</v>
      </c>
      <c r="AT110" s="29">
        <f t="shared" si="98"/>
        <v>3073.0062853688887</v>
      </c>
      <c r="AU110" s="29">
        <f t="shared" si="99"/>
        <v>0</v>
      </c>
      <c r="AV110" s="34">
        <f t="shared" si="100"/>
        <v>-172467.92276668549</v>
      </c>
      <c r="AW110" s="34">
        <f t="shared" si="101"/>
        <v>23406.784502603667</v>
      </c>
      <c r="AX110" s="29">
        <f t="shared" si="102"/>
        <v>23401.747813821486</v>
      </c>
      <c r="AY110" s="34">
        <f t="shared" si="103"/>
        <v>5.0366887744212505</v>
      </c>
      <c r="AZ110" s="37">
        <f t="shared" si="104"/>
        <v>3.3148017785642754E-13</v>
      </c>
      <c r="BA110" s="37">
        <f t="shared" si="105"/>
        <v>-2.3451840726607775E-16</v>
      </c>
      <c r="BB110" s="35">
        <f t="shared" si="106"/>
        <v>9.1042730831847329E-4</v>
      </c>
      <c r="BC110" s="31">
        <f t="shared" si="107"/>
        <v>0.90804495581279099</v>
      </c>
      <c r="BD110" s="34">
        <f t="shared" si="108"/>
        <v>21254.412599386269</v>
      </c>
    </row>
    <row r="111" spans="1:56" x14ac:dyDescent="0.2">
      <c r="A111" s="27">
        <f t="shared" si="109"/>
        <v>107</v>
      </c>
      <c r="B111" s="28">
        <f t="shared" si="56"/>
        <v>107</v>
      </c>
      <c r="C111" s="27">
        <f t="shared" si="57"/>
        <v>8</v>
      </c>
      <c r="D111" s="28">
        <f t="shared" si="58"/>
        <v>28</v>
      </c>
      <c r="E111" s="29">
        <f t="shared" si="59"/>
        <v>0</v>
      </c>
      <c r="F111" s="30">
        <f t="shared" si="60"/>
        <v>4.717918819946564E-4</v>
      </c>
      <c r="G111" s="31">
        <f t="shared" si="61"/>
        <v>3.9324494338632832E-5</v>
      </c>
      <c r="H111" s="32">
        <f t="shared" si="62"/>
        <v>0.02</v>
      </c>
      <c r="I111" s="32">
        <f t="shared" si="63"/>
        <v>0</v>
      </c>
      <c r="J111" s="33">
        <f t="shared" si="110"/>
        <v>67.430179545206315</v>
      </c>
      <c r="K111" s="30">
        <f t="shared" si="64"/>
        <v>0</v>
      </c>
      <c r="L111" s="33">
        <f t="shared" si="65"/>
        <v>67.430179545206315</v>
      </c>
      <c r="M111" s="30">
        <f t="shared" si="66"/>
        <v>0</v>
      </c>
      <c r="N111" s="33">
        <f t="shared" si="67"/>
        <v>67.430179545206315</v>
      </c>
      <c r="O111" s="31">
        <f t="shared" si="68"/>
        <v>2.6516577137784612E-3</v>
      </c>
      <c r="P111" s="33">
        <f t="shared" si="69"/>
        <v>0.11342271388558549</v>
      </c>
      <c r="Q111" s="34">
        <f t="shared" si="111"/>
        <v>468591.91550985642</v>
      </c>
      <c r="R111" s="29">
        <f t="shared" si="70"/>
        <v>0</v>
      </c>
      <c r="S111" s="34">
        <f t="shared" si="71"/>
        <v>468591.91550985642</v>
      </c>
      <c r="T111" s="29">
        <f t="shared" si="72"/>
        <v>390.49326292488036</v>
      </c>
      <c r="U111" s="29">
        <f t="shared" si="73"/>
        <v>31408.084490143578</v>
      </c>
      <c r="V111" s="35">
        <f t="shared" si="74"/>
        <v>4.3256943772496122E-5</v>
      </c>
      <c r="W111" s="34">
        <f t="shared" si="75"/>
        <v>1.3586177447919483</v>
      </c>
      <c r="X111" s="34">
        <f t="shared" si="76"/>
        <v>468200.06362918671</v>
      </c>
      <c r="Y111" s="36">
        <f t="shared" si="77"/>
        <v>2.8232009845388095E-3</v>
      </c>
      <c r="Z111" s="34">
        <f t="shared" si="78"/>
        <v>1321.8228805990532</v>
      </c>
      <c r="AA111" s="34">
        <f t="shared" si="79"/>
        <v>468860.97506948625</v>
      </c>
      <c r="AB111" s="34">
        <f t="shared" si="80"/>
        <v>31597236.996261764</v>
      </c>
      <c r="AC111" s="34">
        <f t="shared" si="81"/>
        <v>31597236.996261764</v>
      </c>
      <c r="AD111" s="34">
        <f t="shared" si="82"/>
        <v>31597236.996261764</v>
      </c>
      <c r="AE111" s="34">
        <f t="shared" si="83"/>
        <v>0</v>
      </c>
      <c r="AF111" s="34">
        <f t="shared" si="84"/>
        <v>0</v>
      </c>
      <c r="AG111" s="29">
        <f t="shared" si="85"/>
        <v>500000</v>
      </c>
      <c r="AH111" s="34">
        <f t="shared" si="86"/>
        <v>1325.8288568892306</v>
      </c>
      <c r="AI111" s="34">
        <f t="shared" si="87"/>
        <v>1243.2588212326939</v>
      </c>
      <c r="AJ111" s="34">
        <f t="shared" si="88"/>
        <v>53179.484227422967</v>
      </c>
      <c r="AK111" s="34">
        <f t="shared" si="89"/>
        <v>0</v>
      </c>
      <c r="AL111" s="34">
        <f t="shared" si="90"/>
        <v>53179.484227422967</v>
      </c>
      <c r="AM111" s="34">
        <f t="shared" si="91"/>
        <v>0</v>
      </c>
      <c r="AN111" s="34">
        <f t="shared" si="92"/>
        <v>54505.313084312198</v>
      </c>
      <c r="AO111" s="34">
        <f t="shared" si="93"/>
        <v>82.570035656536618</v>
      </c>
      <c r="AP111" s="34">
        <f t="shared" si="94"/>
        <v>91.61183846462437</v>
      </c>
      <c r="AQ111" s="34">
        <f t="shared" si="95"/>
        <v>26331.03083021814</v>
      </c>
      <c r="AR111" s="34">
        <f t="shared" si="96"/>
        <v>89054.039285640363</v>
      </c>
      <c r="AS111" s="30">
        <f t="shared" si="97"/>
        <v>1.0927787710432322</v>
      </c>
      <c r="AT111" s="29">
        <f t="shared" si="98"/>
        <v>3070.2611972764603</v>
      </c>
      <c r="AU111" s="29">
        <f t="shared" si="99"/>
        <v>0</v>
      </c>
      <c r="AV111" s="34">
        <f t="shared" si="100"/>
        <v>8208.6535683013499</v>
      </c>
      <c r="AW111" s="34">
        <f t="shared" si="101"/>
        <v>23269.811435750355</v>
      </c>
      <c r="AX111" s="29">
        <f t="shared" si="102"/>
        <v>23260.769632941679</v>
      </c>
      <c r="AY111" s="34">
        <f t="shared" si="103"/>
        <v>9.0418028080877519</v>
      </c>
      <c r="AZ111" s="37">
        <f t="shared" si="104"/>
        <v>2.5242029122807284E-14</v>
      </c>
      <c r="BA111" s="37">
        <f t="shared" si="105"/>
        <v>0</v>
      </c>
      <c r="BB111" s="35">
        <f t="shared" si="106"/>
        <v>9.1042730831847329E-4</v>
      </c>
      <c r="BC111" s="31">
        <f t="shared" si="107"/>
        <v>0.90721899886160196</v>
      </c>
      <c r="BD111" s="34">
        <f t="shared" si="108"/>
        <v>21110.815034439693</v>
      </c>
    </row>
    <row r="112" spans="1:56" x14ac:dyDescent="0.2">
      <c r="A112" s="27">
        <f t="shared" si="109"/>
        <v>108</v>
      </c>
      <c r="B112" s="28">
        <f t="shared" si="56"/>
        <v>108</v>
      </c>
      <c r="C112" s="27">
        <f t="shared" si="57"/>
        <v>9</v>
      </c>
      <c r="D112" s="28">
        <f t="shared" si="58"/>
        <v>29</v>
      </c>
      <c r="E112" s="29">
        <f t="shared" si="59"/>
        <v>0</v>
      </c>
      <c r="F112" s="30">
        <f t="shared" si="60"/>
        <v>4.8646765771511661E-4</v>
      </c>
      <c r="G112" s="31">
        <f t="shared" si="61"/>
        <v>4.0548013031660446E-5</v>
      </c>
      <c r="H112" s="32">
        <f t="shared" si="62"/>
        <v>0.02</v>
      </c>
      <c r="I112" s="32">
        <f t="shared" si="63"/>
        <v>0</v>
      </c>
      <c r="J112" s="33">
        <f t="shared" si="110"/>
        <v>67.314105173606947</v>
      </c>
      <c r="K112" s="30">
        <f t="shared" si="64"/>
        <v>0</v>
      </c>
      <c r="L112" s="33">
        <f t="shared" si="65"/>
        <v>67.314105173606947</v>
      </c>
      <c r="M112" s="30">
        <f t="shared" si="66"/>
        <v>0</v>
      </c>
      <c r="N112" s="33">
        <f t="shared" si="67"/>
        <v>67.314105173606947</v>
      </c>
      <c r="O112" s="31">
        <f t="shared" si="68"/>
        <v>2.7294532137939762E-3</v>
      </c>
      <c r="P112" s="33">
        <f t="shared" si="69"/>
        <v>0.11322732938271472</v>
      </c>
      <c r="Q112" s="34">
        <f t="shared" si="111"/>
        <v>469521.88650978578</v>
      </c>
      <c r="R112" s="29">
        <f t="shared" si="70"/>
        <v>0</v>
      </c>
      <c r="S112" s="34">
        <f t="shared" si="71"/>
        <v>469521.88650978578</v>
      </c>
      <c r="T112" s="29">
        <f t="shared" si="72"/>
        <v>391.26823875815484</v>
      </c>
      <c r="U112" s="29">
        <f t="shared" si="73"/>
        <v>30478.113490214222</v>
      </c>
      <c r="V112" s="35">
        <f t="shared" si="74"/>
        <v>4.4602814334826497E-5</v>
      </c>
      <c r="W112" s="34">
        <f t="shared" si="75"/>
        <v>1.3594096372797957</v>
      </c>
      <c r="X112" s="34">
        <f t="shared" si="76"/>
        <v>469129.25886139035</v>
      </c>
      <c r="Y112" s="36">
        <f t="shared" si="77"/>
        <v>2.1505669107586556E-2</v>
      </c>
      <c r="Z112" s="34">
        <f t="shared" si="78"/>
        <v>10088.938609760378</v>
      </c>
      <c r="AA112" s="34">
        <f t="shared" si="79"/>
        <v>474173.72816627054</v>
      </c>
      <c r="AB112" s="34">
        <f t="shared" si="80"/>
        <v>31605445.649830066</v>
      </c>
      <c r="AC112" s="34">
        <f t="shared" si="81"/>
        <v>31605445.649830066</v>
      </c>
      <c r="AD112" s="34">
        <f t="shared" si="82"/>
        <v>31605445.649830066</v>
      </c>
      <c r="AE112" s="34">
        <f t="shared" si="83"/>
        <v>0</v>
      </c>
      <c r="AF112" s="34">
        <f t="shared" si="84"/>
        <v>0</v>
      </c>
      <c r="AG112" s="29">
        <f t="shared" si="85"/>
        <v>500000</v>
      </c>
      <c r="AH112" s="34">
        <f t="shared" si="86"/>
        <v>1364.7266068969882</v>
      </c>
      <c r="AI112" s="34">
        <f t="shared" si="87"/>
        <v>1294.2350062400983</v>
      </c>
      <c r="AJ112" s="34">
        <f t="shared" si="88"/>
        <v>53689.424903712148</v>
      </c>
      <c r="AK112" s="34">
        <f t="shared" si="89"/>
        <v>0</v>
      </c>
      <c r="AL112" s="34">
        <f t="shared" si="90"/>
        <v>53689.424903712148</v>
      </c>
      <c r="AM112" s="34">
        <f t="shared" si="91"/>
        <v>0</v>
      </c>
      <c r="AN112" s="34">
        <f t="shared" si="92"/>
        <v>55054.151510609139</v>
      </c>
      <c r="AO112" s="34">
        <f t="shared" si="93"/>
        <v>70.49160065688973</v>
      </c>
      <c r="AP112" s="34">
        <f t="shared" si="94"/>
        <v>91.507443297867042</v>
      </c>
      <c r="AQ112" s="34">
        <f t="shared" si="95"/>
        <v>26337.87137485839</v>
      </c>
      <c r="AR112" s="34">
        <f t="shared" si="96"/>
        <v>678542.93423697329</v>
      </c>
      <c r="AS112" s="30">
        <f t="shared" si="97"/>
        <v>1.0936852726843611</v>
      </c>
      <c r="AT112" s="29">
        <f t="shared" si="98"/>
        <v>3067.5185613458366</v>
      </c>
      <c r="AU112" s="29">
        <f t="shared" si="99"/>
        <v>0</v>
      </c>
      <c r="AV112" s="34">
        <f t="shared" si="100"/>
        <v>597129.89550886676</v>
      </c>
      <c r="AW112" s="34">
        <f t="shared" si="101"/>
        <v>23291.368656151579</v>
      </c>
      <c r="AX112" s="29">
        <f t="shared" si="102"/>
        <v>23270.352813512553</v>
      </c>
      <c r="AY112" s="34">
        <f t="shared" si="103"/>
        <v>21.015842640977311</v>
      </c>
      <c r="AZ112" s="37">
        <f t="shared" si="104"/>
        <v>-8.376834040658025E-14</v>
      </c>
      <c r="BA112" s="37">
        <f t="shared" si="105"/>
        <v>0</v>
      </c>
      <c r="BB112" s="35">
        <f t="shared" si="106"/>
        <v>9.4837092137245449E-4</v>
      </c>
      <c r="BC112" s="31">
        <f t="shared" si="107"/>
        <v>0.90269050769404913</v>
      </c>
      <c r="BD112" s="34">
        <f t="shared" si="108"/>
        <v>21024.89739711073</v>
      </c>
    </row>
    <row r="113" spans="1:56" x14ac:dyDescent="0.2">
      <c r="A113" s="27">
        <f t="shared" si="109"/>
        <v>109</v>
      </c>
      <c r="B113" s="28">
        <f t="shared" si="56"/>
        <v>109</v>
      </c>
      <c r="C113" s="27">
        <f t="shared" si="57"/>
        <v>9</v>
      </c>
      <c r="D113" s="28">
        <f t="shared" si="58"/>
        <v>29</v>
      </c>
      <c r="E113" s="29">
        <f t="shared" si="59"/>
        <v>0</v>
      </c>
      <c r="F113" s="30">
        <f t="shared" si="60"/>
        <v>4.8646765771511661E-4</v>
      </c>
      <c r="G113" s="31">
        <f t="shared" si="61"/>
        <v>4.0548013031660446E-5</v>
      </c>
      <c r="H113" s="32">
        <f t="shared" si="62"/>
        <v>0.02</v>
      </c>
      <c r="I113" s="32">
        <f t="shared" si="63"/>
        <v>0</v>
      </c>
      <c r="J113" s="33">
        <f t="shared" si="110"/>
        <v>67.198148391010449</v>
      </c>
      <c r="K113" s="30">
        <f t="shared" si="64"/>
        <v>0</v>
      </c>
      <c r="L113" s="33">
        <f t="shared" si="65"/>
        <v>67.198148391010449</v>
      </c>
      <c r="M113" s="30">
        <f t="shared" si="66"/>
        <v>0</v>
      </c>
      <c r="N113" s="33">
        <f t="shared" si="67"/>
        <v>67.198148391010449</v>
      </c>
      <c r="O113" s="31">
        <f t="shared" si="68"/>
        <v>2.7247513966621442E-3</v>
      </c>
      <c r="P113" s="33">
        <f t="shared" si="69"/>
        <v>0.11303228145355705</v>
      </c>
      <c r="Q113" s="34">
        <f t="shared" si="111"/>
        <v>479218.19747115072</v>
      </c>
      <c r="R113" s="29">
        <f t="shared" si="70"/>
        <v>0</v>
      </c>
      <c r="S113" s="34">
        <f t="shared" si="71"/>
        <v>479218.19747115072</v>
      </c>
      <c r="T113" s="29">
        <f t="shared" si="72"/>
        <v>399.34849789262563</v>
      </c>
      <c r="U113" s="29">
        <f t="shared" si="73"/>
        <v>20781.802528849279</v>
      </c>
      <c r="V113" s="35">
        <f t="shared" si="74"/>
        <v>4.4602814334826497E-5</v>
      </c>
      <c r="W113" s="34">
        <f t="shared" si="75"/>
        <v>0.92692687973729215</v>
      </c>
      <c r="X113" s="34">
        <f t="shared" si="76"/>
        <v>478817.92204637837</v>
      </c>
      <c r="Y113" s="36">
        <f t="shared" si="77"/>
        <v>6.4965429641739014E-3</v>
      </c>
      <c r="Z113" s="34">
        <f t="shared" si="78"/>
        <v>3110.6612025907671</v>
      </c>
      <c r="AA113" s="34">
        <f t="shared" si="79"/>
        <v>480373.25264767377</v>
      </c>
      <c r="AB113" s="34">
        <f t="shared" si="80"/>
        <v>32202575.545338932</v>
      </c>
      <c r="AC113" s="34">
        <f t="shared" si="81"/>
        <v>32202575.545338932</v>
      </c>
      <c r="AD113" s="34">
        <f t="shared" si="82"/>
        <v>32202575.545338932</v>
      </c>
      <c r="AE113" s="34">
        <f t="shared" si="83"/>
        <v>0</v>
      </c>
      <c r="AF113" s="34">
        <f t="shared" si="84"/>
        <v>0</v>
      </c>
      <c r="AG113" s="29">
        <f t="shared" si="85"/>
        <v>500000</v>
      </c>
      <c r="AH113" s="34">
        <f t="shared" si="86"/>
        <v>1362.375698331072</v>
      </c>
      <c r="AI113" s="34">
        <f t="shared" si="87"/>
        <v>1308.8976910708861</v>
      </c>
      <c r="AJ113" s="34">
        <f t="shared" si="88"/>
        <v>54297.684696032535</v>
      </c>
      <c r="AK113" s="34">
        <f t="shared" si="89"/>
        <v>0</v>
      </c>
      <c r="AL113" s="34">
        <f t="shared" si="90"/>
        <v>54297.684696032535</v>
      </c>
      <c r="AM113" s="34">
        <f t="shared" si="91"/>
        <v>0</v>
      </c>
      <c r="AN113" s="34">
        <f t="shared" si="92"/>
        <v>55660.060394363609</v>
      </c>
      <c r="AO113" s="34">
        <f t="shared" si="93"/>
        <v>53.47800726018594</v>
      </c>
      <c r="AP113" s="34">
        <f t="shared" si="94"/>
        <v>62.287770012202856</v>
      </c>
      <c r="AQ113" s="34">
        <f t="shared" si="95"/>
        <v>26835.479621115781</v>
      </c>
      <c r="AR113" s="34">
        <f t="shared" si="96"/>
        <v>208850.63263034631</v>
      </c>
      <c r="AS113" s="30">
        <f t="shared" si="97"/>
        <v>1.0945925263031517</v>
      </c>
      <c r="AT113" s="29">
        <f t="shared" si="98"/>
        <v>3064.7746254254243</v>
      </c>
      <c r="AU113" s="29">
        <f t="shared" si="99"/>
        <v>0</v>
      </c>
      <c r="AV113" s="34">
        <f t="shared" si="100"/>
        <v>126346.28285212442</v>
      </c>
      <c r="AW113" s="34">
        <f t="shared" si="101"/>
        <v>23779.514758432837</v>
      </c>
      <c r="AX113" s="29">
        <f t="shared" si="102"/>
        <v>23770.704995690357</v>
      </c>
      <c r="AY113" s="34">
        <f t="shared" si="103"/>
        <v>8.8097627520169155</v>
      </c>
      <c r="AZ113" s="37">
        <f t="shared" si="104"/>
        <v>-4.0107669065586125E-13</v>
      </c>
      <c r="BA113" s="37">
        <f t="shared" si="105"/>
        <v>3.456926573295216E-16</v>
      </c>
      <c r="BB113" s="35">
        <f t="shared" si="106"/>
        <v>9.4837092137245449E-4</v>
      </c>
      <c r="BC113" s="31">
        <f t="shared" si="107"/>
        <v>0.90183523338283977</v>
      </c>
      <c r="BD113" s="34">
        <f t="shared" si="108"/>
        <v>21445.20424190196</v>
      </c>
    </row>
    <row r="114" spans="1:56" x14ac:dyDescent="0.2">
      <c r="A114" s="27">
        <f t="shared" si="109"/>
        <v>110</v>
      </c>
      <c r="B114" s="28">
        <f t="shared" si="56"/>
        <v>110</v>
      </c>
      <c r="C114" s="27">
        <f t="shared" si="57"/>
        <v>9</v>
      </c>
      <c r="D114" s="28">
        <f t="shared" si="58"/>
        <v>29</v>
      </c>
      <c r="E114" s="29">
        <f t="shared" si="59"/>
        <v>0</v>
      </c>
      <c r="F114" s="30">
        <f t="shared" si="60"/>
        <v>4.8646765771511661E-4</v>
      </c>
      <c r="G114" s="31">
        <f t="shared" si="61"/>
        <v>4.0548013031660446E-5</v>
      </c>
      <c r="H114" s="32">
        <f t="shared" si="62"/>
        <v>0.02</v>
      </c>
      <c r="I114" s="32">
        <f t="shared" si="63"/>
        <v>0</v>
      </c>
      <c r="J114" s="33">
        <f t="shared" si="110"/>
        <v>67.082391358160237</v>
      </c>
      <c r="K114" s="30">
        <f t="shared" si="64"/>
        <v>0</v>
      </c>
      <c r="L114" s="33">
        <f t="shared" si="65"/>
        <v>67.082391358160237</v>
      </c>
      <c r="M114" s="30">
        <f t="shared" si="66"/>
        <v>0</v>
      </c>
      <c r="N114" s="33">
        <f t="shared" si="67"/>
        <v>67.082391358160237</v>
      </c>
      <c r="O114" s="31">
        <f t="shared" si="68"/>
        <v>2.7200576789856274E-3</v>
      </c>
      <c r="P114" s="33">
        <f t="shared" si="69"/>
        <v>0.11283756951832306</v>
      </c>
      <c r="Q114" s="34">
        <f t="shared" si="111"/>
        <v>481928.58324896917</v>
      </c>
      <c r="R114" s="29">
        <f t="shared" si="70"/>
        <v>0</v>
      </c>
      <c r="S114" s="34">
        <f t="shared" si="71"/>
        <v>481928.58324896917</v>
      </c>
      <c r="T114" s="29">
        <f t="shared" si="72"/>
        <v>401.60715270747431</v>
      </c>
      <c r="U114" s="29">
        <f t="shared" si="73"/>
        <v>18071.416751030833</v>
      </c>
      <c r="V114" s="35">
        <f t="shared" si="74"/>
        <v>4.4602814334826497E-5</v>
      </c>
      <c r="W114" s="34">
        <f t="shared" si="75"/>
        <v>0.80603604611350166</v>
      </c>
      <c r="X114" s="34">
        <f t="shared" si="76"/>
        <v>481526.17006021558</v>
      </c>
      <c r="Y114" s="36">
        <f t="shared" si="77"/>
        <v>5.727025344804737E-3</v>
      </c>
      <c r="Z114" s="34">
        <f t="shared" si="78"/>
        <v>2757.7125801216107</v>
      </c>
      <c r="AA114" s="34">
        <f t="shared" si="79"/>
        <v>482905.02635027637</v>
      </c>
      <c r="AB114" s="34">
        <f t="shared" si="80"/>
        <v>32328921.828191057</v>
      </c>
      <c r="AC114" s="34">
        <f t="shared" si="81"/>
        <v>32328921.828191057</v>
      </c>
      <c r="AD114" s="34">
        <f t="shared" si="82"/>
        <v>32328921.828191057</v>
      </c>
      <c r="AE114" s="34">
        <f t="shared" si="83"/>
        <v>0</v>
      </c>
      <c r="AF114" s="34">
        <f t="shared" si="84"/>
        <v>0</v>
      </c>
      <c r="AG114" s="29">
        <f t="shared" si="85"/>
        <v>500000</v>
      </c>
      <c r="AH114" s="34">
        <f t="shared" si="86"/>
        <v>1360.0288394928136</v>
      </c>
      <c r="AI114" s="34">
        <f t="shared" si="87"/>
        <v>1313.529525144826</v>
      </c>
      <c r="AJ114" s="34">
        <f t="shared" si="88"/>
        <v>54489.829481546942</v>
      </c>
      <c r="AK114" s="34">
        <f t="shared" si="89"/>
        <v>0</v>
      </c>
      <c r="AL114" s="34">
        <f t="shared" si="90"/>
        <v>54489.829481546942</v>
      </c>
      <c r="AM114" s="34">
        <f t="shared" si="91"/>
        <v>0</v>
      </c>
      <c r="AN114" s="34">
        <f t="shared" si="92"/>
        <v>55849.858321039756</v>
      </c>
      <c r="AO114" s="34">
        <f t="shared" si="93"/>
        <v>46.499314347987713</v>
      </c>
      <c r="AP114" s="34">
        <f t="shared" si="94"/>
        <v>54.070825494170009</v>
      </c>
      <c r="AQ114" s="34">
        <f t="shared" si="95"/>
        <v>26940.768190159215</v>
      </c>
      <c r="AR114" s="34">
        <f t="shared" si="96"/>
        <v>184834.61719191421</v>
      </c>
      <c r="AS114" s="30">
        <f t="shared" si="97"/>
        <v>1.0955005325233989</v>
      </c>
      <c r="AT114" s="29">
        <f t="shared" si="98"/>
        <v>3062.0331439919828</v>
      </c>
      <c r="AU114" s="29">
        <f t="shared" si="99"/>
        <v>0</v>
      </c>
      <c r="AV114" s="34">
        <f t="shared" si="100"/>
        <v>102036.41916956753</v>
      </c>
      <c r="AW114" s="34">
        <f t="shared" si="101"/>
        <v>23886.306557314936</v>
      </c>
      <c r="AX114" s="29">
        <f t="shared" si="102"/>
        <v>23878.735046167232</v>
      </c>
      <c r="AY114" s="34">
        <f t="shared" si="103"/>
        <v>7.5715111461822957</v>
      </c>
      <c r="AZ114" s="37">
        <f t="shared" si="104"/>
        <v>6.3700234112505479E-14</v>
      </c>
      <c r="BA114" s="37">
        <f t="shared" si="105"/>
        <v>0</v>
      </c>
      <c r="BB114" s="35">
        <f t="shared" si="106"/>
        <v>9.4837092137245449E-4</v>
      </c>
      <c r="BC114" s="31">
        <f t="shared" si="107"/>
        <v>0.90098076942040584</v>
      </c>
      <c r="BD114" s="34">
        <f t="shared" si="108"/>
        <v>21521.102860621297</v>
      </c>
    </row>
    <row r="115" spans="1:56" x14ac:dyDescent="0.2">
      <c r="A115" s="27">
        <f t="shared" si="109"/>
        <v>111</v>
      </c>
      <c r="B115" s="28">
        <f t="shared" si="56"/>
        <v>111</v>
      </c>
      <c r="C115" s="27">
        <f t="shared" si="57"/>
        <v>9</v>
      </c>
      <c r="D115" s="28">
        <f t="shared" si="58"/>
        <v>29</v>
      </c>
      <c r="E115" s="29">
        <f t="shared" si="59"/>
        <v>0</v>
      </c>
      <c r="F115" s="30">
        <f t="shared" si="60"/>
        <v>4.8646765771511661E-4</v>
      </c>
      <c r="G115" s="31">
        <f t="shared" si="61"/>
        <v>4.0548013031660446E-5</v>
      </c>
      <c r="H115" s="32">
        <f t="shared" si="62"/>
        <v>0.02</v>
      </c>
      <c r="I115" s="32">
        <f t="shared" si="63"/>
        <v>0</v>
      </c>
      <c r="J115" s="33">
        <f t="shared" si="110"/>
        <v>66.966833730962932</v>
      </c>
      <c r="K115" s="30">
        <f t="shared" si="64"/>
        <v>0</v>
      </c>
      <c r="L115" s="33">
        <f t="shared" si="65"/>
        <v>66.966833730962932</v>
      </c>
      <c r="M115" s="30">
        <f t="shared" si="66"/>
        <v>0</v>
      </c>
      <c r="N115" s="33">
        <f t="shared" si="67"/>
        <v>66.966833730962932</v>
      </c>
      <c r="O115" s="31">
        <f t="shared" si="68"/>
        <v>2.7153720468121234E-3</v>
      </c>
      <c r="P115" s="33">
        <f t="shared" si="69"/>
        <v>0.11264319299822213</v>
      </c>
      <c r="Q115" s="34">
        <f t="shared" si="111"/>
        <v>484283.88264033716</v>
      </c>
      <c r="R115" s="29">
        <f t="shared" si="70"/>
        <v>0</v>
      </c>
      <c r="S115" s="34">
        <f t="shared" si="71"/>
        <v>484283.88264033716</v>
      </c>
      <c r="T115" s="29">
        <f t="shared" si="72"/>
        <v>403.56990220028098</v>
      </c>
      <c r="U115" s="29">
        <f t="shared" si="73"/>
        <v>15716.117359662836</v>
      </c>
      <c r="V115" s="35">
        <f t="shared" si="74"/>
        <v>4.4602814334826497E-5</v>
      </c>
      <c r="W115" s="34">
        <f t="shared" si="75"/>
        <v>0.70098306465738514</v>
      </c>
      <c r="X115" s="34">
        <f t="shared" si="76"/>
        <v>483879.6117550722</v>
      </c>
      <c r="Y115" s="36">
        <f t="shared" si="77"/>
        <v>-3.9230250830840641E-3</v>
      </c>
      <c r="Z115" s="34">
        <f t="shared" si="78"/>
        <v>-1898.2718541081267</v>
      </c>
      <c r="AA115" s="34">
        <f t="shared" si="79"/>
        <v>482930.47582801816</v>
      </c>
      <c r="AB115" s="34">
        <f t="shared" si="80"/>
        <v>32430958.247360624</v>
      </c>
      <c r="AC115" s="34">
        <f t="shared" si="81"/>
        <v>32430958.247360624</v>
      </c>
      <c r="AD115" s="34">
        <f t="shared" si="82"/>
        <v>32430958.247360624</v>
      </c>
      <c r="AE115" s="34">
        <f t="shared" si="83"/>
        <v>0</v>
      </c>
      <c r="AF115" s="34">
        <f t="shared" si="84"/>
        <v>0</v>
      </c>
      <c r="AG115" s="29">
        <f t="shared" si="85"/>
        <v>500000</v>
      </c>
      <c r="AH115" s="34">
        <f t="shared" si="86"/>
        <v>1357.6860234060616</v>
      </c>
      <c r="AI115" s="34">
        <f t="shared" si="87"/>
        <v>1311.3359146170783</v>
      </c>
      <c r="AJ115" s="34">
        <f t="shared" si="88"/>
        <v>54398.830793418696</v>
      </c>
      <c r="AK115" s="34">
        <f t="shared" si="89"/>
        <v>0</v>
      </c>
      <c r="AL115" s="34">
        <f t="shared" si="90"/>
        <v>54398.830793418696</v>
      </c>
      <c r="AM115" s="34">
        <f t="shared" si="91"/>
        <v>0</v>
      </c>
      <c r="AN115" s="34">
        <f t="shared" si="92"/>
        <v>55756.516816824755</v>
      </c>
      <c r="AO115" s="34">
        <f t="shared" si="93"/>
        <v>46.350108788983356</v>
      </c>
      <c r="AP115" s="34">
        <f t="shared" si="94"/>
        <v>46.942616339131952</v>
      </c>
      <c r="AQ115" s="34">
        <f t="shared" si="95"/>
        <v>27025.798539467189</v>
      </c>
      <c r="AR115" s="34">
        <f t="shared" si="96"/>
        <v>-127011.76467164801</v>
      </c>
      <c r="AS115" s="30">
        <f t="shared" si="97"/>
        <v>1.0964092919694135</v>
      </c>
      <c r="AT115" s="29">
        <f t="shared" si="98"/>
        <v>3059.2941148499376</v>
      </c>
      <c r="AU115" s="29">
        <f t="shared" si="99"/>
        <v>0</v>
      </c>
      <c r="AV115" s="34">
        <f t="shared" si="100"/>
        <v>-209794.67253549024</v>
      </c>
      <c r="AW115" s="34">
        <f t="shared" si="101"/>
        <v>23967.096932167537</v>
      </c>
      <c r="AX115" s="29">
        <f t="shared" si="102"/>
        <v>23966.504424617251</v>
      </c>
      <c r="AY115" s="34">
        <f t="shared" si="103"/>
        <v>0.59250755014859635</v>
      </c>
      <c r="AZ115" s="37">
        <f t="shared" si="104"/>
        <v>5.7128982107633339E-15</v>
      </c>
      <c r="BA115" s="37">
        <f t="shared" si="105"/>
        <v>0</v>
      </c>
      <c r="BB115" s="35">
        <f t="shared" si="106"/>
        <v>9.4837092137245449E-4</v>
      </c>
      <c r="BC115" s="31">
        <f t="shared" si="107"/>
        <v>0.90012711503896381</v>
      </c>
      <c r="BD115" s="34">
        <f t="shared" si="108"/>
        <v>21573.433817411165</v>
      </c>
    </row>
    <row r="116" spans="1:56" x14ac:dyDescent="0.2">
      <c r="A116" s="27">
        <f t="shared" si="109"/>
        <v>112</v>
      </c>
      <c r="B116" s="28">
        <f t="shared" si="56"/>
        <v>112</v>
      </c>
      <c r="C116" s="27">
        <f t="shared" si="57"/>
        <v>9</v>
      </c>
      <c r="D116" s="28">
        <f t="shared" si="58"/>
        <v>29</v>
      </c>
      <c r="E116" s="29">
        <f t="shared" si="59"/>
        <v>0</v>
      </c>
      <c r="F116" s="30">
        <f t="shared" si="60"/>
        <v>4.8646765771511661E-4</v>
      </c>
      <c r="G116" s="31">
        <f t="shared" si="61"/>
        <v>4.0548013031660446E-5</v>
      </c>
      <c r="H116" s="32">
        <f t="shared" si="62"/>
        <v>0.02</v>
      </c>
      <c r="I116" s="32">
        <f t="shared" si="63"/>
        <v>0</v>
      </c>
      <c r="J116" s="33">
        <f t="shared" si="110"/>
        <v>66.851475165917904</v>
      </c>
      <c r="K116" s="30">
        <f t="shared" si="64"/>
        <v>0</v>
      </c>
      <c r="L116" s="33">
        <f t="shared" si="65"/>
        <v>66.851475165917904</v>
      </c>
      <c r="M116" s="30">
        <f t="shared" si="66"/>
        <v>0</v>
      </c>
      <c r="N116" s="33">
        <f t="shared" si="67"/>
        <v>66.851475165917904</v>
      </c>
      <c r="O116" s="31">
        <f t="shared" si="68"/>
        <v>2.7106944862133639E-3</v>
      </c>
      <c r="P116" s="33">
        <f t="shared" si="69"/>
        <v>0.11244915131546064</v>
      </c>
      <c r="Q116" s="34">
        <f t="shared" si="111"/>
        <v>481981.33990096406</v>
      </c>
      <c r="R116" s="29">
        <f t="shared" si="70"/>
        <v>0</v>
      </c>
      <c r="S116" s="34">
        <f t="shared" si="71"/>
        <v>481981.33990096406</v>
      </c>
      <c r="T116" s="29">
        <f t="shared" si="72"/>
        <v>401.65111658413673</v>
      </c>
      <c r="U116" s="29">
        <f t="shared" si="73"/>
        <v>18018.660099035944</v>
      </c>
      <c r="V116" s="35">
        <f t="shared" si="74"/>
        <v>4.4602814334826497E-5</v>
      </c>
      <c r="W116" s="34">
        <f t="shared" si="75"/>
        <v>0.80368295095964659</v>
      </c>
      <c r="X116" s="34">
        <f t="shared" si="76"/>
        <v>481578.88510142895</v>
      </c>
      <c r="Y116" s="36">
        <f t="shared" si="77"/>
        <v>1.4612235004018981E-3</v>
      </c>
      <c r="Z116" s="34">
        <f t="shared" si="78"/>
        <v>703.69438420755353</v>
      </c>
      <c r="AA116" s="34">
        <f t="shared" si="79"/>
        <v>481930.73229353275</v>
      </c>
      <c r="AB116" s="34">
        <f t="shared" si="80"/>
        <v>32221163.574825134</v>
      </c>
      <c r="AC116" s="34">
        <f t="shared" si="81"/>
        <v>32221163.574825134</v>
      </c>
      <c r="AD116" s="34">
        <f t="shared" si="82"/>
        <v>32221163.574825134</v>
      </c>
      <c r="AE116" s="34">
        <f t="shared" si="83"/>
        <v>0</v>
      </c>
      <c r="AF116" s="34">
        <f t="shared" si="84"/>
        <v>0</v>
      </c>
      <c r="AG116" s="29">
        <f t="shared" si="85"/>
        <v>500000</v>
      </c>
      <c r="AH116" s="34">
        <f t="shared" si="86"/>
        <v>1355.3472431066818</v>
      </c>
      <c r="AI116" s="34">
        <f t="shared" si="87"/>
        <v>1306.366978764848</v>
      </c>
      <c r="AJ116" s="34">
        <f t="shared" si="88"/>
        <v>54192.70183924622</v>
      </c>
      <c r="AK116" s="34">
        <f t="shared" si="89"/>
        <v>0</v>
      </c>
      <c r="AL116" s="34">
        <f t="shared" si="90"/>
        <v>54192.70183924622</v>
      </c>
      <c r="AM116" s="34">
        <f t="shared" si="91"/>
        <v>0</v>
      </c>
      <c r="AN116" s="34">
        <f t="shared" si="92"/>
        <v>55548.049082352903</v>
      </c>
      <c r="AO116" s="34">
        <f t="shared" si="93"/>
        <v>48.980264341833958</v>
      </c>
      <c r="AP116" s="34">
        <f t="shared" si="94"/>
        <v>53.727390837350434</v>
      </c>
      <c r="AQ116" s="34">
        <f t="shared" si="95"/>
        <v>26850.969645687612</v>
      </c>
      <c r="AR116" s="34">
        <f t="shared" si="96"/>
        <v>47002.48898185874</v>
      </c>
      <c r="AS116" s="30">
        <f t="shared" si="97"/>
        <v>1.0973188052660257</v>
      </c>
      <c r="AT116" s="29">
        <f t="shared" si="98"/>
        <v>3056.557535805684</v>
      </c>
      <c r="AU116" s="29">
        <f t="shared" si="99"/>
        <v>0</v>
      </c>
      <c r="AV116" s="34">
        <f t="shared" si="100"/>
        <v>-35401.276872675866</v>
      </c>
      <c r="AW116" s="34">
        <f t="shared" si="101"/>
        <v>23799.159236376017</v>
      </c>
      <c r="AX116" s="29">
        <f t="shared" si="102"/>
        <v>23794.412109881927</v>
      </c>
      <c r="AY116" s="34">
        <f t="shared" si="103"/>
        <v>4.7471264955164756</v>
      </c>
      <c r="AZ116" s="37">
        <f t="shared" si="104"/>
        <v>-5.9917886495953545E-14</v>
      </c>
      <c r="BA116" s="37">
        <f t="shared" si="105"/>
        <v>0</v>
      </c>
      <c r="BB116" s="35">
        <f t="shared" si="106"/>
        <v>9.4837092137245449E-4</v>
      </c>
      <c r="BC116" s="31">
        <f t="shared" si="107"/>
        <v>0.89927426947145861</v>
      </c>
      <c r="BD116" s="34">
        <f t="shared" si="108"/>
        <v>21401.971536326961</v>
      </c>
    </row>
    <row r="117" spans="1:56" x14ac:dyDescent="0.2">
      <c r="A117" s="27">
        <f t="shared" si="109"/>
        <v>113</v>
      </c>
      <c r="B117" s="28">
        <f t="shared" si="56"/>
        <v>113</v>
      </c>
      <c r="C117" s="27">
        <f t="shared" si="57"/>
        <v>9</v>
      </c>
      <c r="D117" s="28">
        <f t="shared" si="58"/>
        <v>29</v>
      </c>
      <c r="E117" s="29">
        <f t="shared" si="59"/>
        <v>0</v>
      </c>
      <c r="F117" s="30">
        <f t="shared" si="60"/>
        <v>4.8646765771511661E-4</v>
      </c>
      <c r="G117" s="31">
        <f t="shared" si="61"/>
        <v>4.0548013031660446E-5</v>
      </c>
      <c r="H117" s="32">
        <f t="shared" si="62"/>
        <v>0.02</v>
      </c>
      <c r="I117" s="32">
        <f t="shared" si="63"/>
        <v>0</v>
      </c>
      <c r="J117" s="33">
        <f t="shared" si="110"/>
        <v>66.736315320116233</v>
      </c>
      <c r="K117" s="30">
        <f t="shared" si="64"/>
        <v>0</v>
      </c>
      <c r="L117" s="33">
        <f t="shared" si="65"/>
        <v>66.736315320116233</v>
      </c>
      <c r="M117" s="30">
        <f t="shared" si="66"/>
        <v>0</v>
      </c>
      <c r="N117" s="33">
        <f t="shared" si="67"/>
        <v>66.736315320116233</v>
      </c>
      <c r="O117" s="31">
        <f t="shared" si="68"/>
        <v>2.7060249832850736E-3</v>
      </c>
      <c r="P117" s="33">
        <f t="shared" si="69"/>
        <v>0.1122554438932403</v>
      </c>
      <c r="Q117" s="34">
        <f t="shared" si="111"/>
        <v>482282.5794856365</v>
      </c>
      <c r="R117" s="29">
        <f t="shared" si="70"/>
        <v>0</v>
      </c>
      <c r="S117" s="34">
        <f t="shared" si="71"/>
        <v>482282.5794856365</v>
      </c>
      <c r="T117" s="29">
        <f t="shared" si="72"/>
        <v>401.90214957136379</v>
      </c>
      <c r="U117" s="29">
        <f t="shared" si="73"/>
        <v>17717.420514363504</v>
      </c>
      <c r="V117" s="35">
        <f t="shared" si="74"/>
        <v>4.4602814334826497E-5</v>
      </c>
      <c r="W117" s="34">
        <f t="shared" si="75"/>
        <v>0.79024681769420158</v>
      </c>
      <c r="X117" s="34">
        <f t="shared" si="76"/>
        <v>481879.88708924747</v>
      </c>
      <c r="Y117" s="36">
        <f t="shared" si="77"/>
        <v>2.2045344017171953E-3</v>
      </c>
      <c r="Z117" s="34">
        <f t="shared" si="78"/>
        <v>1062.3207885838438</v>
      </c>
      <c r="AA117" s="34">
        <f t="shared" si="79"/>
        <v>482411.04748353938</v>
      </c>
      <c r="AB117" s="34">
        <f t="shared" si="80"/>
        <v>32185762.297952458</v>
      </c>
      <c r="AC117" s="34">
        <f t="shared" si="81"/>
        <v>32185762.297952458</v>
      </c>
      <c r="AD117" s="34">
        <f t="shared" si="82"/>
        <v>32185762.297952458</v>
      </c>
      <c r="AE117" s="34">
        <f t="shared" si="83"/>
        <v>0</v>
      </c>
      <c r="AF117" s="34">
        <f t="shared" si="84"/>
        <v>0</v>
      </c>
      <c r="AG117" s="29">
        <f t="shared" si="85"/>
        <v>500000</v>
      </c>
      <c r="AH117" s="34">
        <f t="shared" si="86"/>
        <v>1353.0124916425368</v>
      </c>
      <c r="AI117" s="34">
        <f t="shared" si="87"/>
        <v>1305.4163467031794</v>
      </c>
      <c r="AJ117" s="34">
        <f t="shared" si="88"/>
        <v>54153.266274267735</v>
      </c>
      <c r="AK117" s="34">
        <f t="shared" si="89"/>
        <v>0</v>
      </c>
      <c r="AL117" s="34">
        <f t="shared" si="90"/>
        <v>54153.266274267735</v>
      </c>
      <c r="AM117" s="34">
        <f t="shared" si="91"/>
        <v>0</v>
      </c>
      <c r="AN117" s="34">
        <f t="shared" si="92"/>
        <v>55506.278765910269</v>
      </c>
      <c r="AO117" s="34">
        <f t="shared" si="93"/>
        <v>47.596144939357295</v>
      </c>
      <c r="AP117" s="34">
        <f t="shared" si="94"/>
        <v>52.738160806358643</v>
      </c>
      <c r="AQ117" s="34">
        <f t="shared" si="95"/>
        <v>26821.46858162705</v>
      </c>
      <c r="AR117" s="34">
        <f t="shared" si="96"/>
        <v>70834.312138909081</v>
      </c>
      <c r="AS117" s="30">
        <f t="shared" si="97"/>
        <v>1.0982290730385826</v>
      </c>
      <c r="AT117" s="29">
        <f t="shared" si="98"/>
        <v>3053.8234046675757</v>
      </c>
      <c r="AU117" s="29">
        <f t="shared" si="99"/>
        <v>0</v>
      </c>
      <c r="AV117" s="34">
        <f t="shared" si="100"/>
        <v>-11498.577224496752</v>
      </c>
      <c r="AW117" s="34">
        <f t="shared" si="101"/>
        <v>23772.787192827989</v>
      </c>
      <c r="AX117" s="29">
        <f t="shared" si="102"/>
        <v>23767.645176959475</v>
      </c>
      <c r="AY117" s="34">
        <f t="shared" si="103"/>
        <v>5.1420158670013478</v>
      </c>
      <c r="AZ117" s="37">
        <f t="shared" si="104"/>
        <v>6.3635286208837631E-14</v>
      </c>
      <c r="BA117" s="37">
        <f t="shared" si="105"/>
        <v>0</v>
      </c>
      <c r="BB117" s="35">
        <f t="shared" si="106"/>
        <v>9.4837092137245449E-4</v>
      </c>
      <c r="BC117" s="31">
        <f t="shared" si="107"/>
        <v>0.89842223195156101</v>
      </c>
      <c r="BD117" s="34">
        <f t="shared" si="108"/>
        <v>21358.000529490007</v>
      </c>
    </row>
    <row r="118" spans="1:56" x14ac:dyDescent="0.2">
      <c r="A118" s="27">
        <f t="shared" si="109"/>
        <v>114</v>
      </c>
      <c r="B118" s="28">
        <f t="shared" si="56"/>
        <v>114</v>
      </c>
      <c r="C118" s="27">
        <f t="shared" si="57"/>
        <v>9</v>
      </c>
      <c r="D118" s="28">
        <f t="shared" si="58"/>
        <v>29</v>
      </c>
      <c r="E118" s="29">
        <f t="shared" si="59"/>
        <v>0</v>
      </c>
      <c r="F118" s="30">
        <f t="shared" si="60"/>
        <v>4.8646765771511661E-4</v>
      </c>
      <c r="G118" s="31">
        <f t="shared" si="61"/>
        <v>4.0548013031660446E-5</v>
      </c>
      <c r="H118" s="32">
        <f t="shared" si="62"/>
        <v>0.02</v>
      </c>
      <c r="I118" s="32">
        <f t="shared" si="63"/>
        <v>0</v>
      </c>
      <c r="J118" s="33">
        <f t="shared" si="110"/>
        <v>66.621353851239704</v>
      </c>
      <c r="K118" s="30">
        <f t="shared" si="64"/>
        <v>0</v>
      </c>
      <c r="L118" s="33">
        <f t="shared" si="65"/>
        <v>66.621353851239704</v>
      </c>
      <c r="M118" s="30">
        <f t="shared" si="66"/>
        <v>0</v>
      </c>
      <c r="N118" s="33">
        <f t="shared" si="67"/>
        <v>66.621353851239704</v>
      </c>
      <c r="O118" s="31">
        <f t="shared" si="68"/>
        <v>2.7013635241469294E-3</v>
      </c>
      <c r="P118" s="33">
        <f t="shared" si="69"/>
        <v>0.11206207015575641</v>
      </c>
      <c r="Q118" s="34">
        <f t="shared" si="111"/>
        <v>482942.2078778313</v>
      </c>
      <c r="R118" s="29">
        <f t="shared" si="70"/>
        <v>0</v>
      </c>
      <c r="S118" s="34">
        <f t="shared" si="71"/>
        <v>482942.2078778313</v>
      </c>
      <c r="T118" s="29">
        <f t="shared" si="72"/>
        <v>402.45183989819276</v>
      </c>
      <c r="U118" s="29">
        <f t="shared" si="73"/>
        <v>17057.792122168699</v>
      </c>
      <c r="V118" s="35">
        <f t="shared" si="74"/>
        <v>4.4602814334826497E-5</v>
      </c>
      <c r="W118" s="34">
        <f t="shared" si="75"/>
        <v>0.76082553498715655</v>
      </c>
      <c r="X118" s="34">
        <f t="shared" si="76"/>
        <v>482538.99521239812</v>
      </c>
      <c r="Y118" s="36">
        <f t="shared" si="77"/>
        <v>-9.816046820179114E-4</v>
      </c>
      <c r="Z118" s="34">
        <f t="shared" si="78"/>
        <v>-473.66253695670855</v>
      </c>
      <c r="AA118" s="34">
        <f t="shared" si="79"/>
        <v>482302.16394391976</v>
      </c>
      <c r="AB118" s="34">
        <f t="shared" si="80"/>
        <v>32174263.720727962</v>
      </c>
      <c r="AC118" s="34">
        <f t="shared" si="81"/>
        <v>32174263.720727962</v>
      </c>
      <c r="AD118" s="34">
        <f t="shared" si="82"/>
        <v>32174263.720727962</v>
      </c>
      <c r="AE118" s="34">
        <f t="shared" si="83"/>
        <v>0</v>
      </c>
      <c r="AF118" s="34">
        <f t="shared" si="84"/>
        <v>0</v>
      </c>
      <c r="AG118" s="29">
        <f t="shared" si="85"/>
        <v>500000</v>
      </c>
      <c r="AH118" s="34">
        <f t="shared" si="86"/>
        <v>1350.6817620734648</v>
      </c>
      <c r="AI118" s="34">
        <f t="shared" si="87"/>
        <v>1302.8734732952373</v>
      </c>
      <c r="AJ118" s="34">
        <f t="shared" si="88"/>
        <v>54047.778932156667</v>
      </c>
      <c r="AK118" s="34">
        <f t="shared" si="89"/>
        <v>0</v>
      </c>
      <c r="AL118" s="34">
        <f t="shared" si="90"/>
        <v>54047.778932156667</v>
      </c>
      <c r="AM118" s="34">
        <f t="shared" si="91"/>
        <v>0</v>
      </c>
      <c r="AN118" s="34">
        <f t="shared" si="92"/>
        <v>55398.460694230133</v>
      </c>
      <c r="AO118" s="34">
        <f t="shared" si="93"/>
        <v>47.808288778227514</v>
      </c>
      <c r="AP118" s="34">
        <f t="shared" si="94"/>
        <v>50.687227185438111</v>
      </c>
      <c r="AQ118" s="34">
        <f t="shared" si="95"/>
        <v>26811.88643393997</v>
      </c>
      <c r="AR118" s="34">
        <f t="shared" si="96"/>
        <v>-31528.859911095435</v>
      </c>
      <c r="AS118" s="30">
        <f t="shared" si="97"/>
        <v>1.0991400959129514</v>
      </c>
      <c r="AT118" s="29">
        <f t="shared" si="98"/>
        <v>3051.0917192459283</v>
      </c>
      <c r="AU118" s="29">
        <f t="shared" si="99"/>
        <v>0</v>
      </c>
      <c r="AV118" s="34">
        <f t="shared" si="100"/>
        <v>-113742.08597767726</v>
      </c>
      <c r="AW118" s="34">
        <f t="shared" si="101"/>
        <v>23763.673653105754</v>
      </c>
      <c r="AX118" s="29">
        <f t="shared" si="102"/>
        <v>23760.794714694042</v>
      </c>
      <c r="AY118" s="34">
        <f t="shared" si="103"/>
        <v>2.8789384072105975</v>
      </c>
      <c r="AZ118" s="37">
        <f t="shared" si="104"/>
        <v>1.8941169477789837E-13</v>
      </c>
      <c r="BA118" s="37">
        <f t="shared" si="105"/>
        <v>-1.1578478782909744E-16</v>
      </c>
      <c r="BB118" s="35">
        <f t="shared" si="106"/>
        <v>9.4837092137245449E-4</v>
      </c>
      <c r="BC118" s="31">
        <f t="shared" si="107"/>
        <v>0.89757100171366866</v>
      </c>
      <c r="BD118" s="34">
        <f t="shared" si="108"/>
        <v>21329.584365214847</v>
      </c>
    </row>
    <row r="119" spans="1:56" x14ac:dyDescent="0.2">
      <c r="A119" s="27">
        <f t="shared" si="109"/>
        <v>115</v>
      </c>
      <c r="B119" s="28">
        <f t="shared" si="56"/>
        <v>115</v>
      </c>
      <c r="C119" s="27">
        <f t="shared" si="57"/>
        <v>9</v>
      </c>
      <c r="D119" s="28">
        <f t="shared" si="58"/>
        <v>29</v>
      </c>
      <c r="E119" s="29">
        <f t="shared" si="59"/>
        <v>0</v>
      </c>
      <c r="F119" s="30">
        <f t="shared" si="60"/>
        <v>4.8646765771511661E-4</v>
      </c>
      <c r="G119" s="31">
        <f t="shared" si="61"/>
        <v>4.0548013031660446E-5</v>
      </c>
      <c r="H119" s="32">
        <f t="shared" si="62"/>
        <v>0.02</v>
      </c>
      <c r="I119" s="32">
        <f t="shared" si="63"/>
        <v>0</v>
      </c>
      <c r="J119" s="33">
        <f t="shared" si="110"/>
        <v>66.506590417559792</v>
      </c>
      <c r="K119" s="30">
        <f t="shared" si="64"/>
        <v>0</v>
      </c>
      <c r="L119" s="33">
        <f t="shared" si="65"/>
        <v>66.506590417559792</v>
      </c>
      <c r="M119" s="30">
        <f t="shared" si="66"/>
        <v>0</v>
      </c>
      <c r="N119" s="33">
        <f t="shared" si="67"/>
        <v>66.506590417559792</v>
      </c>
      <c r="O119" s="31">
        <f t="shared" si="68"/>
        <v>2.696710094942518E-3</v>
      </c>
      <c r="P119" s="33">
        <f t="shared" si="69"/>
        <v>0.11186902952819622</v>
      </c>
      <c r="Q119" s="34">
        <f t="shared" si="111"/>
        <v>482065.3326754414</v>
      </c>
      <c r="R119" s="29">
        <f t="shared" si="70"/>
        <v>0</v>
      </c>
      <c r="S119" s="34">
        <f t="shared" si="71"/>
        <v>482065.3326754414</v>
      </c>
      <c r="T119" s="29">
        <f t="shared" si="72"/>
        <v>401.72111056286786</v>
      </c>
      <c r="U119" s="29">
        <f t="shared" si="73"/>
        <v>17934.667324558599</v>
      </c>
      <c r="V119" s="35">
        <f t="shared" si="74"/>
        <v>4.4602814334826497E-5</v>
      </c>
      <c r="W119" s="34">
        <f t="shared" si="75"/>
        <v>0.79993663683416671</v>
      </c>
      <c r="X119" s="34">
        <f t="shared" si="76"/>
        <v>481662.81162824173</v>
      </c>
      <c r="Y119" s="36">
        <f t="shared" si="77"/>
        <v>-1.6168426161797811E-3</v>
      </c>
      <c r="Z119" s="34">
        <f t="shared" si="78"/>
        <v>-778.7729604695154</v>
      </c>
      <c r="AA119" s="34">
        <f t="shared" si="79"/>
        <v>481273.42514800699</v>
      </c>
      <c r="AB119" s="34">
        <f t="shared" si="80"/>
        <v>32060521.634750284</v>
      </c>
      <c r="AC119" s="34">
        <f t="shared" si="81"/>
        <v>32060521.634750284</v>
      </c>
      <c r="AD119" s="34">
        <f t="shared" si="82"/>
        <v>32060521.634750284</v>
      </c>
      <c r="AE119" s="34">
        <f t="shared" si="83"/>
        <v>0</v>
      </c>
      <c r="AF119" s="34">
        <f t="shared" si="84"/>
        <v>0</v>
      </c>
      <c r="AG119" s="29">
        <f t="shared" si="85"/>
        <v>500000</v>
      </c>
      <c r="AH119" s="34">
        <f t="shared" si="86"/>
        <v>1348.355047471259</v>
      </c>
      <c r="AI119" s="34">
        <f t="shared" si="87"/>
        <v>1297.8549040241928</v>
      </c>
      <c r="AJ119" s="34">
        <f t="shared" si="88"/>
        <v>53839.591009018528</v>
      </c>
      <c r="AK119" s="34">
        <f t="shared" si="89"/>
        <v>0</v>
      </c>
      <c r="AL119" s="34">
        <f t="shared" si="90"/>
        <v>53839.591009018528</v>
      </c>
      <c r="AM119" s="34">
        <f t="shared" si="91"/>
        <v>0</v>
      </c>
      <c r="AN119" s="34">
        <f t="shared" si="92"/>
        <v>55187.946056489789</v>
      </c>
      <c r="AO119" s="34">
        <f t="shared" si="93"/>
        <v>50.500143447066229</v>
      </c>
      <c r="AP119" s="34">
        <f t="shared" si="94"/>
        <v>53.2010582659302</v>
      </c>
      <c r="AQ119" s="34">
        <f t="shared" si="95"/>
        <v>26717.101362291905</v>
      </c>
      <c r="AR119" s="34">
        <f t="shared" si="96"/>
        <v>-51748.923960109205</v>
      </c>
      <c r="AS119" s="30">
        <f t="shared" si="97"/>
        <v>1.1000518745155172</v>
      </c>
      <c r="AT119" s="29">
        <f t="shared" si="98"/>
        <v>3048.3624773530164</v>
      </c>
      <c r="AU119" s="29">
        <f t="shared" si="99"/>
        <v>0</v>
      </c>
      <c r="AV119" s="34">
        <f t="shared" si="100"/>
        <v>-133656.672293704</v>
      </c>
      <c r="AW119" s="34">
        <f t="shared" si="101"/>
        <v>23671.439799751999</v>
      </c>
      <c r="AX119" s="29">
        <f t="shared" si="102"/>
        <v>23668.738884938888</v>
      </c>
      <c r="AY119" s="34">
        <f t="shared" si="103"/>
        <v>2.7009148188639713</v>
      </c>
      <c r="AZ119" s="37">
        <f t="shared" si="104"/>
        <v>-2.4303375910971951E-13</v>
      </c>
      <c r="BA119" s="37">
        <f t="shared" si="105"/>
        <v>1.1619556103616496E-16</v>
      </c>
      <c r="BB119" s="35">
        <f t="shared" si="106"/>
        <v>9.4837092137245449E-4</v>
      </c>
      <c r="BC119" s="31">
        <f t="shared" si="107"/>
        <v>0.89672057799290406</v>
      </c>
      <c r="BD119" s="34">
        <f t="shared" si="108"/>
        <v>21226.667179157845</v>
      </c>
    </row>
    <row r="120" spans="1:56" x14ac:dyDescent="0.2">
      <c r="A120" s="27">
        <f t="shared" si="109"/>
        <v>116</v>
      </c>
      <c r="B120" s="28">
        <f t="shared" si="56"/>
        <v>116</v>
      </c>
      <c r="C120" s="27">
        <f t="shared" si="57"/>
        <v>9</v>
      </c>
      <c r="D120" s="28">
        <f t="shared" si="58"/>
        <v>29</v>
      </c>
      <c r="E120" s="29">
        <f t="shared" si="59"/>
        <v>0</v>
      </c>
      <c r="F120" s="30">
        <f t="shared" si="60"/>
        <v>4.8646765771511661E-4</v>
      </c>
      <c r="G120" s="31">
        <f t="shared" si="61"/>
        <v>4.0548013031660446E-5</v>
      </c>
      <c r="H120" s="32">
        <f t="shared" si="62"/>
        <v>0.02</v>
      </c>
      <c r="I120" s="32">
        <f t="shared" si="63"/>
        <v>0</v>
      </c>
      <c r="J120" s="33">
        <f t="shared" si="110"/>
        <v>66.392024677936661</v>
      </c>
      <c r="K120" s="30">
        <f t="shared" si="64"/>
        <v>0</v>
      </c>
      <c r="L120" s="33">
        <f t="shared" si="65"/>
        <v>66.392024677936661</v>
      </c>
      <c r="M120" s="30">
        <f t="shared" si="66"/>
        <v>0</v>
      </c>
      <c r="N120" s="33">
        <f t="shared" si="67"/>
        <v>66.392024677936661</v>
      </c>
      <c r="O120" s="31">
        <f t="shared" si="68"/>
        <v>2.6920646818392978E-3</v>
      </c>
      <c r="P120" s="33">
        <f t="shared" si="69"/>
        <v>0.11167632143673711</v>
      </c>
      <c r="Q120" s="34">
        <f t="shared" si="111"/>
        <v>480884.0386677722</v>
      </c>
      <c r="R120" s="29">
        <f t="shared" si="70"/>
        <v>0</v>
      </c>
      <c r="S120" s="34">
        <f t="shared" si="71"/>
        <v>480884.0386677722</v>
      </c>
      <c r="T120" s="29">
        <f t="shared" si="72"/>
        <v>400.73669888981021</v>
      </c>
      <c r="U120" s="29">
        <f t="shared" si="73"/>
        <v>19115.961332227802</v>
      </c>
      <c r="V120" s="35">
        <f t="shared" si="74"/>
        <v>4.4602814334826497E-5</v>
      </c>
      <c r="W120" s="34">
        <f t="shared" si="75"/>
        <v>0.85262567413307921</v>
      </c>
      <c r="X120" s="34">
        <f t="shared" si="76"/>
        <v>480482.44934320822</v>
      </c>
      <c r="Y120" s="36">
        <f t="shared" si="77"/>
        <v>3.4165080366890255E-3</v>
      </c>
      <c r="Z120" s="34">
        <f t="shared" si="78"/>
        <v>1641.5721496690985</v>
      </c>
      <c r="AA120" s="34">
        <f t="shared" si="79"/>
        <v>481303.23541804275</v>
      </c>
      <c r="AB120" s="34">
        <f t="shared" si="80"/>
        <v>31926864.96245658</v>
      </c>
      <c r="AC120" s="34">
        <f t="shared" si="81"/>
        <v>31926864.96245658</v>
      </c>
      <c r="AD120" s="34">
        <f t="shared" si="82"/>
        <v>31926864.96245658</v>
      </c>
      <c r="AE120" s="34">
        <f t="shared" si="83"/>
        <v>0</v>
      </c>
      <c r="AF120" s="34">
        <f t="shared" si="84"/>
        <v>0</v>
      </c>
      <c r="AG120" s="29">
        <f t="shared" si="85"/>
        <v>500000</v>
      </c>
      <c r="AH120" s="34">
        <f t="shared" si="86"/>
        <v>1346.032340919649</v>
      </c>
      <c r="AI120" s="34">
        <f t="shared" si="87"/>
        <v>1295.6994413238979</v>
      </c>
      <c r="AJ120" s="34">
        <f t="shared" si="88"/>
        <v>53750.174827086899</v>
      </c>
      <c r="AK120" s="34">
        <f t="shared" si="89"/>
        <v>0</v>
      </c>
      <c r="AL120" s="34">
        <f t="shared" si="90"/>
        <v>53750.174827086899</v>
      </c>
      <c r="AM120" s="34">
        <f t="shared" si="91"/>
        <v>0</v>
      </c>
      <c r="AN120" s="34">
        <f t="shared" si="92"/>
        <v>55096.207168006549</v>
      </c>
      <c r="AO120" s="34">
        <f t="shared" si="93"/>
        <v>50.332899595750995</v>
      </c>
      <c r="AP120" s="34">
        <f t="shared" si="94"/>
        <v>56.607544798085776</v>
      </c>
      <c r="AQ120" s="34">
        <f t="shared" si="95"/>
        <v>26605.720802047152</v>
      </c>
      <c r="AR120" s="34">
        <f t="shared" si="96"/>
        <v>108893.42669271691</v>
      </c>
      <c r="AS120" s="30">
        <f t="shared" si="97"/>
        <v>1.1009644094731859</v>
      </c>
      <c r="AT120" s="29">
        <f t="shared" si="98"/>
        <v>3045.6356768030714</v>
      </c>
      <c r="AU120" s="29">
        <f t="shared" si="99"/>
        <v>0</v>
      </c>
      <c r="AV120" s="34">
        <f t="shared" si="100"/>
        <v>27185.22407746315</v>
      </c>
      <c r="AW120" s="34">
        <f t="shared" si="101"/>
        <v>23566.359770444134</v>
      </c>
      <c r="AX120" s="29">
        <f t="shared" si="102"/>
        <v>23560.085125244081</v>
      </c>
      <c r="AY120" s="34">
        <f t="shared" si="103"/>
        <v>6.2746452023347814</v>
      </c>
      <c r="AZ120" s="37">
        <f t="shared" si="104"/>
        <v>-9.6790447205703545E-14</v>
      </c>
      <c r="BA120" s="37">
        <f t="shared" si="105"/>
        <v>1.1658272665641028E-16</v>
      </c>
      <c r="BB120" s="35">
        <f t="shared" si="106"/>
        <v>9.4837092137245449E-4</v>
      </c>
      <c r="BC120" s="31">
        <f t="shared" si="107"/>
        <v>0.8958709600251139</v>
      </c>
      <c r="BD120" s="34">
        <f t="shared" si="108"/>
        <v>21112.417351845008</v>
      </c>
    </row>
    <row r="121" spans="1:56" x14ac:dyDescent="0.2">
      <c r="A121" s="27">
        <f t="shared" si="109"/>
        <v>117</v>
      </c>
      <c r="B121" s="28">
        <f t="shared" si="56"/>
        <v>117</v>
      </c>
      <c r="C121" s="27">
        <f t="shared" si="57"/>
        <v>9</v>
      </c>
      <c r="D121" s="28">
        <f t="shared" si="58"/>
        <v>29</v>
      </c>
      <c r="E121" s="29">
        <f t="shared" si="59"/>
        <v>0</v>
      </c>
      <c r="F121" s="30">
        <f t="shared" si="60"/>
        <v>4.8646765771511661E-4</v>
      </c>
      <c r="G121" s="31">
        <f t="shared" si="61"/>
        <v>4.0548013031660446E-5</v>
      </c>
      <c r="H121" s="32">
        <f t="shared" si="62"/>
        <v>0.02</v>
      </c>
      <c r="I121" s="32">
        <f t="shared" si="63"/>
        <v>0</v>
      </c>
      <c r="J121" s="33">
        <f t="shared" si="110"/>
        <v>66.27765629181809</v>
      </c>
      <c r="K121" s="30">
        <f t="shared" si="64"/>
        <v>0</v>
      </c>
      <c r="L121" s="33">
        <f t="shared" si="65"/>
        <v>66.27765629181809</v>
      </c>
      <c r="M121" s="30">
        <f t="shared" si="66"/>
        <v>0</v>
      </c>
      <c r="N121" s="33">
        <f t="shared" si="67"/>
        <v>66.27765629181809</v>
      </c>
      <c r="O121" s="31">
        <f t="shared" si="68"/>
        <v>2.6874272710285521E-3</v>
      </c>
      <c r="P121" s="33">
        <f t="shared" si="69"/>
        <v>0.11148394530854498</v>
      </c>
      <c r="Q121" s="34">
        <f t="shared" si="111"/>
        <v>482124.02149287733</v>
      </c>
      <c r="R121" s="29">
        <f t="shared" si="70"/>
        <v>0</v>
      </c>
      <c r="S121" s="34">
        <f t="shared" si="71"/>
        <v>482124.02149287733</v>
      </c>
      <c r="T121" s="29">
        <f t="shared" si="72"/>
        <v>401.77001791073116</v>
      </c>
      <c r="U121" s="29">
        <f t="shared" si="73"/>
        <v>17875.978507122665</v>
      </c>
      <c r="V121" s="35">
        <f t="shared" si="74"/>
        <v>4.4602814334826497E-5</v>
      </c>
      <c r="W121" s="34">
        <f t="shared" si="75"/>
        <v>0.79731895040654122</v>
      </c>
      <c r="X121" s="34">
        <f t="shared" si="76"/>
        <v>481721.45415601617</v>
      </c>
      <c r="Y121" s="36">
        <f t="shared" si="77"/>
        <v>-6.6180542495747341E-3</v>
      </c>
      <c r="Z121" s="34">
        <f t="shared" si="78"/>
        <v>-3188.0587167885433</v>
      </c>
      <c r="AA121" s="34">
        <f t="shared" si="79"/>
        <v>480127.4247976219</v>
      </c>
      <c r="AB121" s="34">
        <f t="shared" si="80"/>
        <v>31954050.186534043</v>
      </c>
      <c r="AC121" s="34">
        <f t="shared" si="81"/>
        <v>31954050.186534043</v>
      </c>
      <c r="AD121" s="34">
        <f t="shared" si="82"/>
        <v>31954050.186534043</v>
      </c>
      <c r="AE121" s="34">
        <f t="shared" si="83"/>
        <v>0</v>
      </c>
      <c r="AF121" s="34">
        <f t="shared" si="84"/>
        <v>0</v>
      </c>
      <c r="AG121" s="29">
        <f t="shared" si="85"/>
        <v>500000</v>
      </c>
      <c r="AH121" s="34">
        <f t="shared" si="86"/>
        <v>1343.7136355142761</v>
      </c>
      <c r="AI121" s="34">
        <f t="shared" si="87"/>
        <v>1290.3075349698395</v>
      </c>
      <c r="AJ121" s="34">
        <f t="shared" si="88"/>
        <v>53526.499567270621</v>
      </c>
      <c r="AK121" s="34">
        <f t="shared" si="89"/>
        <v>0</v>
      </c>
      <c r="AL121" s="34">
        <f t="shared" si="90"/>
        <v>53526.499567270621</v>
      </c>
      <c r="AM121" s="34">
        <f t="shared" si="91"/>
        <v>0</v>
      </c>
      <c r="AN121" s="34">
        <f t="shared" si="92"/>
        <v>54870.2132027849</v>
      </c>
      <c r="AO121" s="34">
        <f t="shared" si="93"/>
        <v>53.40610054443664</v>
      </c>
      <c r="AP121" s="34">
        <f t="shared" si="94"/>
        <v>52.84443134999789</v>
      </c>
      <c r="AQ121" s="34">
        <f t="shared" si="95"/>
        <v>26628.375155445039</v>
      </c>
      <c r="AR121" s="34">
        <f t="shared" si="96"/>
        <v>-211115.06734966568</v>
      </c>
      <c r="AS121" s="30">
        <f t="shared" si="97"/>
        <v>1.1018777014133825</v>
      </c>
      <c r="AT121" s="29">
        <f t="shared" si="98"/>
        <v>3042.9113154122801</v>
      </c>
      <c r="AU121" s="29">
        <f t="shared" si="99"/>
        <v>0</v>
      </c>
      <c r="AV121" s="34">
        <f t="shared" si="100"/>
        <v>-292613.09403870627</v>
      </c>
      <c r="AW121" s="34">
        <f t="shared" si="101"/>
        <v>23584.902170843445</v>
      </c>
      <c r="AX121" s="29">
        <f t="shared" si="102"/>
        <v>23585.46384003276</v>
      </c>
      <c r="AY121" s="34">
        <f t="shared" si="103"/>
        <v>-0.56166919443874974</v>
      </c>
      <c r="AZ121" s="37">
        <f t="shared" si="104"/>
        <v>2.1721724359460693E-13</v>
      </c>
      <c r="BA121" s="37">
        <f t="shared" si="105"/>
        <v>-2.3316545331282056E-16</v>
      </c>
      <c r="BB121" s="35">
        <f t="shared" si="106"/>
        <v>9.4837092137245449E-4</v>
      </c>
      <c r="BC121" s="31">
        <f t="shared" si="107"/>
        <v>0.89502214704687022</v>
      </c>
      <c r="BD121" s="34">
        <f t="shared" si="108"/>
        <v>21109.009778838692</v>
      </c>
    </row>
    <row r="122" spans="1:56" x14ac:dyDescent="0.2">
      <c r="A122" s="27">
        <f t="shared" si="109"/>
        <v>118</v>
      </c>
      <c r="B122" s="28">
        <f t="shared" si="56"/>
        <v>118</v>
      </c>
      <c r="C122" s="27">
        <f t="shared" si="57"/>
        <v>9</v>
      </c>
      <c r="D122" s="28">
        <f t="shared" si="58"/>
        <v>29</v>
      </c>
      <c r="E122" s="29">
        <f t="shared" si="59"/>
        <v>0</v>
      </c>
      <c r="F122" s="30">
        <f t="shared" si="60"/>
        <v>4.8646765771511661E-4</v>
      </c>
      <c r="G122" s="31">
        <f t="shared" si="61"/>
        <v>4.0548013031660446E-5</v>
      </c>
      <c r="H122" s="32">
        <f t="shared" si="62"/>
        <v>0.02</v>
      </c>
      <c r="I122" s="32">
        <f t="shared" si="63"/>
        <v>0</v>
      </c>
      <c r="J122" s="33">
        <f t="shared" si="110"/>
        <v>66.163484919238513</v>
      </c>
      <c r="K122" s="30">
        <f t="shared" si="64"/>
        <v>0</v>
      </c>
      <c r="L122" s="33">
        <f t="shared" si="65"/>
        <v>66.163484919238513</v>
      </c>
      <c r="M122" s="30">
        <f t="shared" si="66"/>
        <v>0</v>
      </c>
      <c r="N122" s="33">
        <f t="shared" si="67"/>
        <v>66.163484919238513</v>
      </c>
      <c r="O122" s="31">
        <f t="shared" si="68"/>
        <v>2.6827978487253528E-3</v>
      </c>
      <c r="P122" s="33">
        <f t="shared" si="69"/>
        <v>0.11129190057177245</v>
      </c>
      <c r="Q122" s="34">
        <f t="shared" si="111"/>
        <v>478533.39543922764</v>
      </c>
      <c r="R122" s="29">
        <f t="shared" si="70"/>
        <v>0</v>
      </c>
      <c r="S122" s="34">
        <f t="shared" si="71"/>
        <v>478533.39543922764</v>
      </c>
      <c r="T122" s="29">
        <f t="shared" si="72"/>
        <v>398.77782953268974</v>
      </c>
      <c r="U122" s="29">
        <f t="shared" si="73"/>
        <v>21466.604560772364</v>
      </c>
      <c r="V122" s="35">
        <f t="shared" si="74"/>
        <v>4.4602814334826497E-5</v>
      </c>
      <c r="W122" s="34">
        <f t="shared" si="75"/>
        <v>0.95747097762326949</v>
      </c>
      <c r="X122" s="34">
        <f t="shared" si="76"/>
        <v>478133.66013871733</v>
      </c>
      <c r="Y122" s="36">
        <f t="shared" si="77"/>
        <v>1.5440168342652605E-2</v>
      </c>
      <c r="Z122" s="34">
        <f t="shared" si="78"/>
        <v>7382.4642028304434</v>
      </c>
      <c r="AA122" s="34">
        <f t="shared" si="79"/>
        <v>481824.89224013255</v>
      </c>
      <c r="AB122" s="34">
        <f t="shared" si="80"/>
        <v>31661437.092495337</v>
      </c>
      <c r="AC122" s="34">
        <f t="shared" si="81"/>
        <v>31661437.092495337</v>
      </c>
      <c r="AD122" s="34">
        <f t="shared" si="82"/>
        <v>31661437.092495337</v>
      </c>
      <c r="AE122" s="34">
        <f t="shared" si="83"/>
        <v>0</v>
      </c>
      <c r="AF122" s="34">
        <f t="shared" si="84"/>
        <v>0</v>
      </c>
      <c r="AG122" s="29">
        <f t="shared" si="85"/>
        <v>500000</v>
      </c>
      <c r="AH122" s="34">
        <f t="shared" si="86"/>
        <v>1341.3989243626763</v>
      </c>
      <c r="AI122" s="34">
        <f t="shared" si="87"/>
        <v>1292.6387843641526</v>
      </c>
      <c r="AJ122" s="34">
        <f t="shared" si="88"/>
        <v>53623.208000193808</v>
      </c>
      <c r="AK122" s="34">
        <f t="shared" si="89"/>
        <v>0</v>
      </c>
      <c r="AL122" s="34">
        <f t="shared" si="90"/>
        <v>53623.208000193808</v>
      </c>
      <c r="AM122" s="34">
        <f t="shared" si="91"/>
        <v>0</v>
      </c>
      <c r="AN122" s="34">
        <f t="shared" si="92"/>
        <v>54964.606924556487</v>
      </c>
      <c r="AO122" s="34">
        <f t="shared" si="93"/>
        <v>48.760139998523847</v>
      </c>
      <c r="AP122" s="34">
        <f t="shared" si="94"/>
        <v>63.349616588585747</v>
      </c>
      <c r="AQ122" s="34">
        <f t="shared" si="95"/>
        <v>26384.530910412785</v>
      </c>
      <c r="AR122" s="34">
        <f t="shared" si="96"/>
        <v>488028.85188523139</v>
      </c>
      <c r="AS122" s="30">
        <f t="shared" si="97"/>
        <v>1.1027917509640532</v>
      </c>
      <c r="AT122" s="29">
        <f t="shared" si="98"/>
        <v>3040.1893909987821</v>
      </c>
      <c r="AU122" s="29">
        <f t="shared" si="99"/>
        <v>0</v>
      </c>
      <c r="AV122" s="34">
        <f t="shared" si="100"/>
        <v>406665.12457367778</v>
      </c>
      <c r="AW122" s="34">
        <f t="shared" si="101"/>
        <v>23358.930995998322</v>
      </c>
      <c r="AX122" s="29">
        <f t="shared" si="102"/>
        <v>23344.341519414003</v>
      </c>
      <c r="AY122" s="34">
        <f t="shared" si="103"/>
        <v>14.589476590061899</v>
      </c>
      <c r="AZ122" s="37">
        <f t="shared" si="104"/>
        <v>-2.4587090081288383E-13</v>
      </c>
      <c r="BA122" s="37">
        <f t="shared" si="105"/>
        <v>1.1616809355431827E-16</v>
      </c>
      <c r="BB122" s="35">
        <f t="shared" si="106"/>
        <v>9.4837092137245449E-4</v>
      </c>
      <c r="BC122" s="31">
        <f t="shared" si="107"/>
        <v>0.89417413829546766</v>
      </c>
      <c r="BD122" s="34">
        <f t="shared" si="108"/>
        <v>20886.951994850089</v>
      </c>
    </row>
    <row r="123" spans="1:56" x14ac:dyDescent="0.2">
      <c r="A123" s="27">
        <f t="shared" si="109"/>
        <v>119</v>
      </c>
      <c r="B123" s="28">
        <f t="shared" si="56"/>
        <v>119</v>
      </c>
      <c r="C123" s="27">
        <f t="shared" si="57"/>
        <v>9</v>
      </c>
      <c r="D123" s="28">
        <f t="shared" si="58"/>
        <v>29</v>
      </c>
      <c r="E123" s="29">
        <f t="shared" si="59"/>
        <v>0</v>
      </c>
      <c r="F123" s="30">
        <f t="shared" si="60"/>
        <v>4.8646765771511661E-4</v>
      </c>
      <c r="G123" s="31">
        <f t="shared" si="61"/>
        <v>4.0548013031660446E-5</v>
      </c>
      <c r="H123" s="32">
        <f t="shared" si="62"/>
        <v>0.02</v>
      </c>
      <c r="I123" s="32">
        <f t="shared" si="63"/>
        <v>0</v>
      </c>
      <c r="J123" s="33">
        <f t="shared" si="110"/>
        <v>66.049510220818021</v>
      </c>
      <c r="K123" s="30">
        <f t="shared" si="64"/>
        <v>0</v>
      </c>
      <c r="L123" s="33">
        <f t="shared" si="65"/>
        <v>66.049510220818021</v>
      </c>
      <c r="M123" s="30">
        <f t="shared" si="66"/>
        <v>0</v>
      </c>
      <c r="N123" s="33">
        <f t="shared" si="67"/>
        <v>66.049510220818021</v>
      </c>
      <c r="O123" s="31">
        <f t="shared" si="68"/>
        <v>2.678176401168519E-3</v>
      </c>
      <c r="P123" s="33">
        <f t="shared" si="69"/>
        <v>0.11110018665555726</v>
      </c>
      <c r="Q123" s="34">
        <f t="shared" si="111"/>
        <v>485516.12434154778</v>
      </c>
      <c r="R123" s="29">
        <f t="shared" si="70"/>
        <v>0</v>
      </c>
      <c r="S123" s="34">
        <f t="shared" si="71"/>
        <v>485516.12434154778</v>
      </c>
      <c r="T123" s="29">
        <f t="shared" si="72"/>
        <v>404.59677028462318</v>
      </c>
      <c r="U123" s="29">
        <f t="shared" si="73"/>
        <v>14483.87565845222</v>
      </c>
      <c r="V123" s="35">
        <f t="shared" si="74"/>
        <v>4.4602814334826497E-5</v>
      </c>
      <c r="W123" s="34">
        <f t="shared" si="75"/>
        <v>0.64602161684265724</v>
      </c>
      <c r="X123" s="34">
        <f t="shared" si="76"/>
        <v>485110.88154964632</v>
      </c>
      <c r="Y123" s="36">
        <f t="shared" si="77"/>
        <v>1.5620833831683889E-2</v>
      </c>
      <c r="Z123" s="34">
        <f t="shared" si="78"/>
        <v>7577.8364706287111</v>
      </c>
      <c r="AA123" s="34">
        <f t="shared" si="79"/>
        <v>488899.79978496069</v>
      </c>
      <c r="AB123" s="34">
        <f t="shared" si="80"/>
        <v>32068102.217069015</v>
      </c>
      <c r="AC123" s="34">
        <f t="shared" si="81"/>
        <v>32068102.217069015</v>
      </c>
      <c r="AD123" s="34">
        <f t="shared" si="82"/>
        <v>32068102.217069015</v>
      </c>
      <c r="AE123" s="34">
        <f t="shared" si="83"/>
        <v>0</v>
      </c>
      <c r="AF123" s="34">
        <f t="shared" si="84"/>
        <v>0</v>
      </c>
      <c r="AG123" s="29">
        <f t="shared" si="85"/>
        <v>500000</v>
      </c>
      <c r="AH123" s="34">
        <f t="shared" si="86"/>
        <v>1339.0882005842595</v>
      </c>
      <c r="AI123" s="34">
        <f t="shared" si="87"/>
        <v>1309.3599063200954</v>
      </c>
      <c r="AJ123" s="34">
        <f t="shared" si="88"/>
        <v>54316.859011973705</v>
      </c>
      <c r="AK123" s="34">
        <f t="shared" si="89"/>
        <v>0</v>
      </c>
      <c r="AL123" s="34">
        <f t="shared" si="90"/>
        <v>54316.859011973705</v>
      </c>
      <c r="AM123" s="34">
        <f t="shared" si="91"/>
        <v>0</v>
      </c>
      <c r="AN123" s="34">
        <f t="shared" si="92"/>
        <v>55655.947212557963</v>
      </c>
      <c r="AO123" s="34">
        <f t="shared" si="93"/>
        <v>29.728294264163996</v>
      </c>
      <c r="AP123" s="34">
        <f t="shared" si="94"/>
        <v>42.669411384518476</v>
      </c>
      <c r="AQ123" s="34">
        <f t="shared" si="95"/>
        <v>26723.41851422418</v>
      </c>
      <c r="AR123" s="34">
        <f t="shared" si="96"/>
        <v>500081.29050390876</v>
      </c>
      <c r="AS123" s="30">
        <f t="shared" si="97"/>
        <v>1.1037065587536645</v>
      </c>
      <c r="AT123" s="29">
        <f t="shared" si="98"/>
        <v>3037.4699013826689</v>
      </c>
      <c r="AU123" s="29">
        <f t="shared" si="99"/>
        <v>0</v>
      </c>
      <c r="AV123" s="34">
        <f t="shared" si="100"/>
        <v>417688.98366000876</v>
      </c>
      <c r="AW123" s="34">
        <f t="shared" si="101"/>
        <v>23698.889729959366</v>
      </c>
      <c r="AX123" s="29">
        <f t="shared" si="102"/>
        <v>23685.948612841512</v>
      </c>
      <c r="AY123" s="34">
        <f t="shared" si="103"/>
        <v>12.94111712035448</v>
      </c>
      <c r="AZ123" s="37">
        <f t="shared" si="104"/>
        <v>-1.0549160682706644E-13</v>
      </c>
      <c r="BA123" s="37">
        <f t="shared" si="105"/>
        <v>0</v>
      </c>
      <c r="BB123" s="35">
        <f t="shared" si="106"/>
        <v>9.4837092137245449E-4</v>
      </c>
      <c r="BC123" s="31">
        <f t="shared" si="107"/>
        <v>0.89332693300892319</v>
      </c>
      <c r="BD123" s="34">
        <f t="shared" si="108"/>
        <v>21170.856478181267</v>
      </c>
    </row>
    <row r="124" spans="1:56" x14ac:dyDescent="0.2">
      <c r="A124" s="27">
        <f t="shared" si="109"/>
        <v>120</v>
      </c>
      <c r="B124" s="28">
        <f t="shared" si="56"/>
        <v>120</v>
      </c>
      <c r="C124" s="27">
        <f t="shared" si="57"/>
        <v>10</v>
      </c>
      <c r="D124" s="28">
        <f t="shared" si="58"/>
        <v>30</v>
      </c>
      <c r="E124" s="29">
        <f t="shared" si="59"/>
        <v>0</v>
      </c>
      <c r="F124" s="30">
        <f t="shared" si="60"/>
        <v>5.0224955861659186E-4</v>
      </c>
      <c r="G124" s="31">
        <f t="shared" si="61"/>
        <v>4.1863767702432497E-5</v>
      </c>
      <c r="H124" s="32">
        <f t="shared" si="62"/>
        <v>0.02</v>
      </c>
      <c r="I124" s="32">
        <f t="shared" si="63"/>
        <v>0</v>
      </c>
      <c r="J124" s="33">
        <f t="shared" si="110"/>
        <v>65.935731857761297</v>
      </c>
      <c r="K124" s="30">
        <f t="shared" si="64"/>
        <v>65.935731857761297</v>
      </c>
      <c r="L124" s="33">
        <f t="shared" si="65"/>
        <v>0</v>
      </c>
      <c r="M124" s="30">
        <f t="shared" si="66"/>
        <v>0</v>
      </c>
      <c r="N124" s="33">
        <f t="shared" si="67"/>
        <v>0</v>
      </c>
      <c r="O124" s="31">
        <f t="shared" si="68"/>
        <v>0</v>
      </c>
      <c r="P124" s="33">
        <f t="shared" si="69"/>
        <v>0</v>
      </c>
      <c r="Q124" s="34">
        <f t="shared" si="111"/>
        <v>492688.71802027506</v>
      </c>
      <c r="R124" s="29">
        <f t="shared" si="70"/>
        <v>0</v>
      </c>
      <c r="S124" s="34">
        <f t="shared" si="71"/>
        <v>492688.71802027506</v>
      </c>
      <c r="T124" s="29">
        <f t="shared" si="72"/>
        <v>410.57393168356259</v>
      </c>
      <c r="U124" s="29">
        <f t="shared" si="73"/>
        <v>7311.2819797249394</v>
      </c>
      <c r="V124" s="35">
        <f t="shared" si="74"/>
        <v>4.6050144472675754E-5</v>
      </c>
      <c r="W124" s="34">
        <f t="shared" si="75"/>
        <v>0.33668559144680427</v>
      </c>
      <c r="X124" s="34">
        <f t="shared" si="76"/>
        <v>492277.80740300007</v>
      </c>
      <c r="Y124" s="36">
        <f t="shared" si="77"/>
        <v>1.0344026529530037E-2</v>
      </c>
      <c r="Z124" s="34">
        <f t="shared" si="78"/>
        <v>5092.134699675511</v>
      </c>
      <c r="AA124" s="34">
        <f t="shared" si="79"/>
        <v>494823.87475283782</v>
      </c>
      <c r="AB124" s="34">
        <f t="shared" si="80"/>
        <v>32485791.200729024</v>
      </c>
      <c r="AC124" s="34">
        <f t="shared" si="81"/>
        <v>0</v>
      </c>
      <c r="AD124" s="34">
        <f t="shared" si="82"/>
        <v>0</v>
      </c>
      <c r="AE124" s="34">
        <f t="shared" si="83"/>
        <v>0</v>
      </c>
      <c r="AF124" s="34">
        <f t="shared" si="84"/>
        <v>0</v>
      </c>
      <c r="AG124" s="29">
        <f t="shared" si="85"/>
        <v>500000</v>
      </c>
      <c r="AH124" s="34">
        <f t="shared" si="86"/>
        <v>0</v>
      </c>
      <c r="AI124" s="34">
        <f t="shared" si="87"/>
        <v>0</v>
      </c>
      <c r="AJ124" s="34">
        <f t="shared" si="88"/>
        <v>0</v>
      </c>
      <c r="AK124" s="34">
        <f t="shared" si="89"/>
        <v>0</v>
      </c>
      <c r="AL124" s="34">
        <f t="shared" si="90"/>
        <v>0</v>
      </c>
      <c r="AM124" s="34">
        <f t="shared" si="91"/>
        <v>32485791.200729024</v>
      </c>
      <c r="AN124" s="34">
        <f t="shared" si="92"/>
        <v>32485791.200729024</v>
      </c>
      <c r="AO124" s="34">
        <f t="shared" si="93"/>
        <v>0</v>
      </c>
      <c r="AP124" s="34">
        <f t="shared" si="94"/>
        <v>0</v>
      </c>
      <c r="AQ124" s="34">
        <f t="shared" si="95"/>
        <v>0</v>
      </c>
      <c r="AR124" s="34">
        <f t="shared" si="96"/>
        <v>0</v>
      </c>
      <c r="AS124" s="30">
        <f t="shared" si="97"/>
        <v>1.1046221254112047</v>
      </c>
      <c r="AT124" s="29">
        <f t="shared" si="98"/>
        <v>0</v>
      </c>
      <c r="AU124" s="29">
        <f t="shared" si="99"/>
        <v>0</v>
      </c>
      <c r="AV124" s="34">
        <f t="shared" si="100"/>
        <v>-32485791.200729024</v>
      </c>
      <c r="AW124" s="34">
        <f t="shared" si="101"/>
        <v>0</v>
      </c>
      <c r="AX124" s="29">
        <f t="shared" si="102"/>
        <v>0</v>
      </c>
      <c r="AY124" s="34">
        <f t="shared" si="103"/>
        <v>0</v>
      </c>
      <c r="AZ124" s="37">
        <f t="shared" si="104"/>
        <v>0</v>
      </c>
      <c r="BA124" s="37">
        <f t="shared" si="105"/>
        <v>0</v>
      </c>
      <c r="BB124" s="35">
        <f t="shared" si="106"/>
        <v>9.8465001312098011E-4</v>
      </c>
      <c r="BC124" s="31">
        <f t="shared" si="107"/>
        <v>0.88860730510999886</v>
      </c>
      <c r="BD124" s="34">
        <f t="shared" si="108"/>
        <v>0</v>
      </c>
    </row>
    <row r="125" spans="1:56" x14ac:dyDescent="0.2">
      <c r="A125" s="27">
        <f t="shared" si="109"/>
        <v>121</v>
      </c>
      <c r="B125" s="28">
        <f t="shared" si="56"/>
        <v>121</v>
      </c>
      <c r="C125" s="27">
        <f t="shared" si="57"/>
        <v>10</v>
      </c>
      <c r="D125" s="28">
        <f t="shared" si="58"/>
        <v>30</v>
      </c>
      <c r="E125" s="29">
        <f t="shared" si="59"/>
        <v>0</v>
      </c>
      <c r="F125" s="30">
        <f t="shared" si="60"/>
        <v>5.0224955861659186E-4</v>
      </c>
      <c r="G125" s="31">
        <f t="shared" si="61"/>
        <v>4.1863767702432497E-5</v>
      </c>
      <c r="H125" s="32">
        <f t="shared" si="62"/>
        <v>0.02</v>
      </c>
      <c r="I125" s="32">
        <f t="shared" si="63"/>
        <v>0</v>
      </c>
      <c r="J125" s="33">
        <f t="shared" si="110"/>
        <v>0</v>
      </c>
      <c r="K125" s="30">
        <f t="shared" si="64"/>
        <v>0</v>
      </c>
      <c r="L125" s="33">
        <f t="shared" si="65"/>
        <v>0</v>
      </c>
      <c r="M125" s="30">
        <f t="shared" si="66"/>
        <v>0</v>
      </c>
      <c r="N125" s="33">
        <f t="shared" si="67"/>
        <v>0</v>
      </c>
      <c r="O125" s="31">
        <f t="shared" si="68"/>
        <v>0</v>
      </c>
      <c r="P125" s="33">
        <f t="shared" si="69"/>
        <v>0</v>
      </c>
      <c r="Q125" s="34">
        <f t="shared" si="111"/>
        <v>497369.94210267556</v>
      </c>
      <c r="R125" s="29">
        <f t="shared" si="70"/>
        <v>0</v>
      </c>
      <c r="S125" s="34">
        <f t="shared" si="71"/>
        <v>497369.94210267556</v>
      </c>
      <c r="T125" s="29">
        <f t="shared" si="72"/>
        <v>414.47495175222969</v>
      </c>
      <c r="U125" s="29">
        <f t="shared" si="73"/>
        <v>2630.057897324441</v>
      </c>
      <c r="V125" s="35">
        <f t="shared" si="74"/>
        <v>4.6050144472675754E-5</v>
      </c>
      <c r="W125" s="34">
        <f t="shared" si="75"/>
        <v>0.12111454614329233</v>
      </c>
      <c r="X125" s="34">
        <f t="shared" si="76"/>
        <v>496955.34603637719</v>
      </c>
      <c r="Y125" s="36">
        <f t="shared" si="77"/>
        <v>2.6524688516378347E-3</v>
      </c>
      <c r="Z125" s="34">
        <f t="shared" si="78"/>
        <v>1318.1585760163921</v>
      </c>
      <c r="AA125" s="34">
        <f t="shared" si="79"/>
        <v>497614.4253243854</v>
      </c>
      <c r="AB125" s="34">
        <f t="shared" si="80"/>
        <v>0</v>
      </c>
      <c r="AC125" s="34">
        <f t="shared" si="81"/>
        <v>0</v>
      </c>
      <c r="AD125" s="34">
        <f t="shared" si="82"/>
        <v>0</v>
      </c>
      <c r="AE125" s="34">
        <f t="shared" si="83"/>
        <v>0</v>
      </c>
      <c r="AF125" s="34">
        <f t="shared" si="84"/>
        <v>0</v>
      </c>
      <c r="AG125" s="29">
        <f t="shared" si="85"/>
        <v>500000</v>
      </c>
      <c r="AH125" s="34">
        <f t="shared" si="86"/>
        <v>0</v>
      </c>
      <c r="AI125" s="34">
        <f t="shared" si="87"/>
        <v>0</v>
      </c>
      <c r="AJ125" s="34">
        <f t="shared" si="88"/>
        <v>0</v>
      </c>
      <c r="AK125" s="34">
        <f t="shared" si="89"/>
        <v>0</v>
      </c>
      <c r="AL125" s="34">
        <f t="shared" si="90"/>
        <v>0</v>
      </c>
      <c r="AM125" s="34">
        <f t="shared" si="91"/>
        <v>0</v>
      </c>
      <c r="AN125" s="34">
        <f t="shared" si="92"/>
        <v>0</v>
      </c>
      <c r="AO125" s="34">
        <f t="shared" si="93"/>
        <v>0</v>
      </c>
      <c r="AP125" s="34">
        <f t="shared" si="94"/>
        <v>0</v>
      </c>
      <c r="AQ125" s="34">
        <f t="shared" si="95"/>
        <v>0</v>
      </c>
      <c r="AR125" s="34">
        <f t="shared" si="96"/>
        <v>0</v>
      </c>
      <c r="AS125" s="30">
        <f t="shared" si="97"/>
        <v>1.1055384515661832</v>
      </c>
      <c r="AT125" s="29">
        <f t="shared" si="98"/>
        <v>0</v>
      </c>
      <c r="AU125" s="29">
        <f t="shared" si="99"/>
        <v>0</v>
      </c>
      <c r="AV125" s="34">
        <f t="shared" si="100"/>
        <v>0</v>
      </c>
      <c r="AW125" s="34">
        <f t="shared" si="101"/>
        <v>0</v>
      </c>
      <c r="AX125" s="29">
        <f t="shared" si="102"/>
        <v>0</v>
      </c>
      <c r="AY125" s="34">
        <f t="shared" si="103"/>
        <v>0</v>
      </c>
      <c r="AZ125" s="37">
        <f t="shared" si="104"/>
        <v>0</v>
      </c>
      <c r="BA125" s="37">
        <f t="shared" si="105"/>
        <v>0</v>
      </c>
      <c r="BB125" s="35">
        <f t="shared" si="106"/>
        <v>9.8465001312098011E-4</v>
      </c>
      <c r="BC125" s="31">
        <f t="shared" si="107"/>
        <v>0.88773319860434519</v>
      </c>
      <c r="BD125" s="34">
        <f t="shared" si="108"/>
        <v>0</v>
      </c>
    </row>
    <row r="126" spans="1:56" x14ac:dyDescent="0.2">
      <c r="A126" s="27">
        <f t="shared" si="109"/>
        <v>122</v>
      </c>
      <c r="B126" s="28">
        <f t="shared" si="56"/>
        <v>122</v>
      </c>
      <c r="C126" s="27">
        <f t="shared" si="57"/>
        <v>10</v>
      </c>
      <c r="D126" s="28">
        <f t="shared" si="58"/>
        <v>30</v>
      </c>
      <c r="E126" s="29">
        <f t="shared" si="59"/>
        <v>0</v>
      </c>
      <c r="F126" s="30">
        <f t="shared" si="60"/>
        <v>5.0224955861659186E-4</v>
      </c>
      <c r="G126" s="31">
        <f t="shared" si="61"/>
        <v>4.1863767702432497E-5</v>
      </c>
      <c r="H126" s="32">
        <f t="shared" si="62"/>
        <v>0.02</v>
      </c>
      <c r="I126" s="32">
        <f t="shared" si="63"/>
        <v>0</v>
      </c>
      <c r="J126" s="33">
        <f t="shared" si="110"/>
        <v>0</v>
      </c>
      <c r="K126" s="30">
        <f t="shared" si="64"/>
        <v>0</v>
      </c>
      <c r="L126" s="33">
        <f t="shared" si="65"/>
        <v>0</v>
      </c>
      <c r="M126" s="30">
        <f t="shared" si="66"/>
        <v>0</v>
      </c>
      <c r="N126" s="33">
        <f t="shared" si="67"/>
        <v>0</v>
      </c>
      <c r="O126" s="31">
        <f t="shared" si="68"/>
        <v>0</v>
      </c>
      <c r="P126" s="33">
        <f t="shared" si="69"/>
        <v>0</v>
      </c>
      <c r="Q126" s="34">
        <f t="shared" si="111"/>
        <v>498273.50461239356</v>
      </c>
      <c r="R126" s="29">
        <f t="shared" si="70"/>
        <v>0</v>
      </c>
      <c r="S126" s="34">
        <f t="shared" si="71"/>
        <v>498273.50461239356</v>
      </c>
      <c r="T126" s="29">
        <f t="shared" si="72"/>
        <v>415.22792051032798</v>
      </c>
      <c r="U126" s="29">
        <f t="shared" si="73"/>
        <v>1726.4953876064392</v>
      </c>
      <c r="V126" s="35">
        <f t="shared" si="74"/>
        <v>4.6050144472675754E-5</v>
      </c>
      <c r="W126" s="34">
        <f t="shared" si="75"/>
        <v>7.9505362030684854E-2</v>
      </c>
      <c r="X126" s="34">
        <f t="shared" si="76"/>
        <v>497858.1971865212</v>
      </c>
      <c r="Y126" s="36">
        <f t="shared" si="77"/>
        <v>2.0231596001212271E-3</v>
      </c>
      <c r="Z126" s="34">
        <f t="shared" si="78"/>
        <v>1007.2465911369572</v>
      </c>
      <c r="AA126" s="34">
        <f t="shared" si="79"/>
        <v>498361.82048208965</v>
      </c>
      <c r="AB126" s="34">
        <f t="shared" si="80"/>
        <v>0</v>
      </c>
      <c r="AC126" s="34">
        <f t="shared" si="81"/>
        <v>0</v>
      </c>
      <c r="AD126" s="34">
        <f t="shared" si="82"/>
        <v>0</v>
      </c>
      <c r="AE126" s="34">
        <f t="shared" si="83"/>
        <v>0</v>
      </c>
      <c r="AF126" s="34">
        <f t="shared" si="84"/>
        <v>0</v>
      </c>
      <c r="AG126" s="29">
        <f t="shared" si="85"/>
        <v>500000</v>
      </c>
      <c r="AH126" s="34">
        <f t="shared" si="86"/>
        <v>0</v>
      </c>
      <c r="AI126" s="34">
        <f t="shared" si="87"/>
        <v>0</v>
      </c>
      <c r="AJ126" s="34">
        <f t="shared" si="88"/>
        <v>0</v>
      </c>
      <c r="AK126" s="34">
        <f t="shared" si="89"/>
        <v>0</v>
      </c>
      <c r="AL126" s="34">
        <f t="shared" si="90"/>
        <v>0</v>
      </c>
      <c r="AM126" s="34">
        <f t="shared" si="91"/>
        <v>0</v>
      </c>
      <c r="AN126" s="34">
        <f t="shared" si="92"/>
        <v>0</v>
      </c>
      <c r="AO126" s="34">
        <f t="shared" si="93"/>
        <v>0</v>
      </c>
      <c r="AP126" s="34">
        <f t="shared" si="94"/>
        <v>0</v>
      </c>
      <c r="AQ126" s="34">
        <f t="shared" si="95"/>
        <v>0</v>
      </c>
      <c r="AR126" s="34">
        <f t="shared" si="96"/>
        <v>0</v>
      </c>
      <c r="AS126" s="30">
        <f t="shared" si="97"/>
        <v>1.1064555378486327</v>
      </c>
      <c r="AT126" s="29">
        <f t="shared" si="98"/>
        <v>0</v>
      </c>
      <c r="AU126" s="29">
        <f t="shared" si="99"/>
        <v>0</v>
      </c>
      <c r="AV126" s="34">
        <f t="shared" si="100"/>
        <v>0</v>
      </c>
      <c r="AW126" s="34">
        <f t="shared" si="101"/>
        <v>0</v>
      </c>
      <c r="AX126" s="29">
        <f t="shared" si="102"/>
        <v>0</v>
      </c>
      <c r="AY126" s="34">
        <f t="shared" si="103"/>
        <v>0</v>
      </c>
      <c r="AZ126" s="37">
        <f t="shared" si="104"/>
        <v>0</v>
      </c>
      <c r="BA126" s="37">
        <f t="shared" si="105"/>
        <v>0</v>
      </c>
      <c r="BB126" s="35">
        <f t="shared" si="106"/>
        <v>9.8465001312098011E-4</v>
      </c>
      <c r="BC126" s="31">
        <f t="shared" si="107"/>
        <v>0.88685995194102973</v>
      </c>
      <c r="BD126" s="34">
        <f t="shared" si="108"/>
        <v>0</v>
      </c>
    </row>
    <row r="127" spans="1:56" x14ac:dyDescent="0.2">
      <c r="A127" s="27">
        <f t="shared" si="109"/>
        <v>123</v>
      </c>
      <c r="B127" s="28">
        <f t="shared" si="56"/>
        <v>123</v>
      </c>
      <c r="C127" s="27">
        <f t="shared" si="57"/>
        <v>10</v>
      </c>
      <c r="D127" s="28">
        <f t="shared" si="58"/>
        <v>30</v>
      </c>
      <c r="E127" s="29">
        <f t="shared" si="59"/>
        <v>0</v>
      </c>
      <c r="F127" s="30">
        <f t="shared" si="60"/>
        <v>5.0224955861659186E-4</v>
      </c>
      <c r="G127" s="31">
        <f t="shared" si="61"/>
        <v>4.1863767702432497E-5</v>
      </c>
      <c r="H127" s="32">
        <f t="shared" si="62"/>
        <v>0.02</v>
      </c>
      <c r="I127" s="32">
        <f t="shared" si="63"/>
        <v>0</v>
      </c>
      <c r="J127" s="33">
        <f t="shared" si="110"/>
        <v>0</v>
      </c>
      <c r="K127" s="30">
        <f t="shared" si="64"/>
        <v>0</v>
      </c>
      <c r="L127" s="33">
        <f t="shared" si="65"/>
        <v>0</v>
      </c>
      <c r="M127" s="30">
        <f t="shared" si="66"/>
        <v>0</v>
      </c>
      <c r="N127" s="33">
        <f t="shared" si="67"/>
        <v>0</v>
      </c>
      <c r="O127" s="31">
        <f t="shared" si="68"/>
        <v>0</v>
      </c>
      <c r="P127" s="33">
        <f t="shared" si="69"/>
        <v>0</v>
      </c>
      <c r="Q127" s="34">
        <f t="shared" si="111"/>
        <v>498865.44377765816</v>
      </c>
      <c r="R127" s="29">
        <f t="shared" si="70"/>
        <v>0</v>
      </c>
      <c r="S127" s="34">
        <f t="shared" si="71"/>
        <v>498865.44377765816</v>
      </c>
      <c r="T127" s="29">
        <f t="shared" si="72"/>
        <v>415.72120314804852</v>
      </c>
      <c r="U127" s="29">
        <f t="shared" si="73"/>
        <v>1134.5562223418383</v>
      </c>
      <c r="V127" s="35">
        <f t="shared" si="74"/>
        <v>4.6050144472675754E-5</v>
      </c>
      <c r="W127" s="34">
        <f t="shared" si="75"/>
        <v>5.2246477951214891E-2</v>
      </c>
      <c r="X127" s="34">
        <f t="shared" si="76"/>
        <v>498449.67032803211</v>
      </c>
      <c r="Y127" s="36">
        <f t="shared" si="77"/>
        <v>4.6250693253888642E-3</v>
      </c>
      <c r="Z127" s="34">
        <f t="shared" si="78"/>
        <v>2305.364280484373</v>
      </c>
      <c r="AA127" s="34">
        <f t="shared" si="79"/>
        <v>499602.3524682743</v>
      </c>
      <c r="AB127" s="34">
        <f t="shared" si="80"/>
        <v>0</v>
      </c>
      <c r="AC127" s="34">
        <f t="shared" si="81"/>
        <v>0</v>
      </c>
      <c r="AD127" s="34">
        <f t="shared" si="82"/>
        <v>0</v>
      </c>
      <c r="AE127" s="34">
        <f t="shared" si="83"/>
        <v>0</v>
      </c>
      <c r="AF127" s="34">
        <f t="shared" si="84"/>
        <v>0</v>
      </c>
      <c r="AG127" s="29">
        <f t="shared" si="85"/>
        <v>500000</v>
      </c>
      <c r="AH127" s="34">
        <f t="shared" si="86"/>
        <v>0</v>
      </c>
      <c r="AI127" s="34">
        <f t="shared" si="87"/>
        <v>0</v>
      </c>
      <c r="AJ127" s="34">
        <f t="shared" si="88"/>
        <v>0</v>
      </c>
      <c r="AK127" s="34">
        <f t="shared" si="89"/>
        <v>0</v>
      </c>
      <c r="AL127" s="34">
        <f t="shared" si="90"/>
        <v>0</v>
      </c>
      <c r="AM127" s="34">
        <f t="shared" si="91"/>
        <v>0</v>
      </c>
      <c r="AN127" s="34">
        <f t="shared" si="92"/>
        <v>0</v>
      </c>
      <c r="AO127" s="34">
        <f t="shared" si="93"/>
        <v>0</v>
      </c>
      <c r="AP127" s="34">
        <f t="shared" si="94"/>
        <v>0</v>
      </c>
      <c r="AQ127" s="34">
        <f t="shared" si="95"/>
        <v>0</v>
      </c>
      <c r="AR127" s="34">
        <f t="shared" si="96"/>
        <v>0</v>
      </c>
      <c r="AS127" s="30">
        <f t="shared" si="97"/>
        <v>1.1073733848891076</v>
      </c>
      <c r="AT127" s="29">
        <f t="shared" si="98"/>
        <v>0</v>
      </c>
      <c r="AU127" s="29">
        <f t="shared" si="99"/>
        <v>0</v>
      </c>
      <c r="AV127" s="34">
        <f t="shared" si="100"/>
        <v>0</v>
      </c>
      <c r="AW127" s="34">
        <f t="shared" si="101"/>
        <v>0</v>
      </c>
      <c r="AX127" s="29">
        <f t="shared" si="102"/>
        <v>0</v>
      </c>
      <c r="AY127" s="34">
        <f t="shared" si="103"/>
        <v>0</v>
      </c>
      <c r="AZ127" s="37">
        <f t="shared" si="104"/>
        <v>0</v>
      </c>
      <c r="BA127" s="37">
        <f t="shared" si="105"/>
        <v>0</v>
      </c>
      <c r="BB127" s="35">
        <f t="shared" si="106"/>
        <v>9.8465001312098011E-4</v>
      </c>
      <c r="BC127" s="31">
        <f t="shared" si="107"/>
        <v>0.88598756427424219</v>
      </c>
      <c r="BD127" s="34">
        <f t="shared" si="108"/>
        <v>0</v>
      </c>
    </row>
    <row r="128" spans="1:56" x14ac:dyDescent="0.2">
      <c r="A128" s="27">
        <f t="shared" si="109"/>
        <v>124</v>
      </c>
      <c r="B128" s="28">
        <f t="shared" si="56"/>
        <v>124</v>
      </c>
      <c r="C128" s="27">
        <f t="shared" si="57"/>
        <v>10</v>
      </c>
      <c r="D128" s="28">
        <f t="shared" si="58"/>
        <v>30</v>
      </c>
      <c r="E128" s="29">
        <f t="shared" si="59"/>
        <v>0</v>
      </c>
      <c r="F128" s="30">
        <f t="shared" si="60"/>
        <v>5.0224955861659186E-4</v>
      </c>
      <c r="G128" s="31">
        <f t="shared" si="61"/>
        <v>4.1863767702432497E-5</v>
      </c>
      <c r="H128" s="32">
        <f t="shared" si="62"/>
        <v>0.02</v>
      </c>
      <c r="I128" s="32">
        <f t="shared" si="63"/>
        <v>0</v>
      </c>
      <c r="J128" s="33">
        <f t="shared" si="110"/>
        <v>0</v>
      </c>
      <c r="K128" s="30">
        <f t="shared" si="64"/>
        <v>0</v>
      </c>
      <c r="L128" s="33">
        <f t="shared" si="65"/>
        <v>0</v>
      </c>
      <c r="M128" s="30">
        <f t="shared" si="66"/>
        <v>0</v>
      </c>
      <c r="N128" s="33">
        <f t="shared" si="67"/>
        <v>0</v>
      </c>
      <c r="O128" s="31">
        <f t="shared" si="68"/>
        <v>0</v>
      </c>
      <c r="P128" s="33">
        <f t="shared" si="69"/>
        <v>0</v>
      </c>
      <c r="Q128" s="34">
        <f t="shared" si="111"/>
        <v>500755.03460851649</v>
      </c>
      <c r="R128" s="29">
        <f t="shared" si="70"/>
        <v>0</v>
      </c>
      <c r="S128" s="34">
        <f t="shared" si="71"/>
        <v>500755.03460851649</v>
      </c>
      <c r="T128" s="29">
        <f t="shared" si="72"/>
        <v>417.29586217376379</v>
      </c>
      <c r="U128" s="29">
        <f t="shared" si="73"/>
        <v>0</v>
      </c>
      <c r="V128" s="35">
        <f t="shared" si="74"/>
        <v>4.6050144472675754E-5</v>
      </c>
      <c r="W128" s="34">
        <f t="shared" si="75"/>
        <v>0</v>
      </c>
      <c r="X128" s="34">
        <f t="shared" si="76"/>
        <v>500337.73874634271</v>
      </c>
      <c r="Y128" s="36">
        <f t="shared" si="77"/>
        <v>3.0626359724084118E-3</v>
      </c>
      <c r="Z128" s="34">
        <f t="shared" si="78"/>
        <v>1532.3523570380312</v>
      </c>
      <c r="AA128" s="34">
        <f t="shared" si="79"/>
        <v>501103.91492486175</v>
      </c>
      <c r="AB128" s="34">
        <f t="shared" si="80"/>
        <v>0</v>
      </c>
      <c r="AC128" s="34">
        <f t="shared" si="81"/>
        <v>0</v>
      </c>
      <c r="AD128" s="34">
        <f t="shared" si="82"/>
        <v>0</v>
      </c>
      <c r="AE128" s="34">
        <f t="shared" si="83"/>
        <v>0</v>
      </c>
      <c r="AF128" s="34">
        <f t="shared" si="84"/>
        <v>0</v>
      </c>
      <c r="AG128" s="29">
        <f t="shared" si="85"/>
        <v>501103.91492486175</v>
      </c>
      <c r="AH128" s="34">
        <f t="shared" si="86"/>
        <v>0</v>
      </c>
      <c r="AI128" s="34">
        <f t="shared" si="87"/>
        <v>0</v>
      </c>
      <c r="AJ128" s="34">
        <f t="shared" si="88"/>
        <v>0</v>
      </c>
      <c r="AK128" s="34">
        <f t="shared" si="89"/>
        <v>0</v>
      </c>
      <c r="AL128" s="34">
        <f t="shared" si="90"/>
        <v>0</v>
      </c>
      <c r="AM128" s="34">
        <f t="shared" si="91"/>
        <v>0</v>
      </c>
      <c r="AN128" s="34">
        <f t="shared" si="92"/>
        <v>0</v>
      </c>
      <c r="AO128" s="34">
        <f t="shared" si="93"/>
        <v>0</v>
      </c>
      <c r="AP128" s="34">
        <f t="shared" si="94"/>
        <v>0</v>
      </c>
      <c r="AQ128" s="34">
        <f t="shared" si="95"/>
        <v>0</v>
      </c>
      <c r="AR128" s="34">
        <f t="shared" si="96"/>
        <v>0</v>
      </c>
      <c r="AS128" s="30">
        <f t="shared" si="97"/>
        <v>1.1082919933186859</v>
      </c>
      <c r="AT128" s="29">
        <f t="shared" si="98"/>
        <v>0</v>
      </c>
      <c r="AU128" s="29">
        <f t="shared" si="99"/>
        <v>0</v>
      </c>
      <c r="AV128" s="34">
        <f t="shared" si="100"/>
        <v>0</v>
      </c>
      <c r="AW128" s="34">
        <f t="shared" si="101"/>
        <v>0</v>
      </c>
      <c r="AX128" s="29">
        <f t="shared" si="102"/>
        <v>0</v>
      </c>
      <c r="AY128" s="34">
        <f t="shared" si="103"/>
        <v>0</v>
      </c>
      <c r="AZ128" s="37">
        <f t="shared" si="104"/>
        <v>0</v>
      </c>
      <c r="BA128" s="37">
        <f t="shared" si="105"/>
        <v>0</v>
      </c>
      <c r="BB128" s="35">
        <f t="shared" si="106"/>
        <v>9.8465001312098011E-4</v>
      </c>
      <c r="BC128" s="31">
        <f t="shared" si="107"/>
        <v>0.88511603475900313</v>
      </c>
      <c r="BD128" s="34">
        <f t="shared" si="108"/>
        <v>0</v>
      </c>
    </row>
    <row r="129" spans="1:56" x14ac:dyDescent="0.2">
      <c r="A129" s="27">
        <f t="shared" si="109"/>
        <v>125</v>
      </c>
      <c r="B129" s="28">
        <f t="shared" si="56"/>
        <v>125</v>
      </c>
      <c r="C129" s="27">
        <f t="shared" si="57"/>
        <v>10</v>
      </c>
      <c r="D129" s="28">
        <f t="shared" si="58"/>
        <v>30</v>
      </c>
      <c r="E129" s="29">
        <f t="shared" si="59"/>
        <v>0</v>
      </c>
      <c r="F129" s="30">
        <f t="shared" si="60"/>
        <v>5.0224955861659186E-4</v>
      </c>
      <c r="G129" s="31">
        <f t="shared" si="61"/>
        <v>4.1863767702432497E-5</v>
      </c>
      <c r="H129" s="32">
        <f t="shared" si="62"/>
        <v>0.02</v>
      </c>
      <c r="I129" s="32">
        <f t="shared" si="63"/>
        <v>0</v>
      </c>
      <c r="J129" s="33">
        <f t="shared" si="110"/>
        <v>0</v>
      </c>
      <c r="K129" s="30">
        <f t="shared" si="64"/>
        <v>0</v>
      </c>
      <c r="L129" s="33">
        <f t="shared" si="65"/>
        <v>0</v>
      </c>
      <c r="M129" s="30">
        <f t="shared" si="66"/>
        <v>0</v>
      </c>
      <c r="N129" s="33">
        <f t="shared" si="67"/>
        <v>0</v>
      </c>
      <c r="O129" s="31">
        <f t="shared" si="68"/>
        <v>0</v>
      </c>
      <c r="P129" s="33">
        <f t="shared" si="69"/>
        <v>0</v>
      </c>
      <c r="Q129" s="34">
        <f t="shared" si="111"/>
        <v>501870.09110338072</v>
      </c>
      <c r="R129" s="29">
        <f t="shared" si="70"/>
        <v>0</v>
      </c>
      <c r="S129" s="34">
        <f t="shared" si="71"/>
        <v>501870.09110338072</v>
      </c>
      <c r="T129" s="29">
        <f t="shared" si="72"/>
        <v>418.22507591948397</v>
      </c>
      <c r="U129" s="29">
        <f t="shared" si="73"/>
        <v>0</v>
      </c>
      <c r="V129" s="35">
        <f t="shared" si="74"/>
        <v>4.6050144472675754E-5</v>
      </c>
      <c r="W129" s="34">
        <f t="shared" si="75"/>
        <v>0</v>
      </c>
      <c r="X129" s="34">
        <f t="shared" si="76"/>
        <v>501451.86602746125</v>
      </c>
      <c r="Y129" s="36">
        <f t="shared" si="77"/>
        <v>1.0019487850355446E-2</v>
      </c>
      <c r="Z129" s="34">
        <f t="shared" si="78"/>
        <v>5024.2908792002154</v>
      </c>
      <c r="AA129" s="34">
        <f t="shared" si="79"/>
        <v>503964.01146706135</v>
      </c>
      <c r="AB129" s="34">
        <f t="shared" si="80"/>
        <v>0</v>
      </c>
      <c r="AC129" s="34">
        <f t="shared" si="81"/>
        <v>0</v>
      </c>
      <c r="AD129" s="34">
        <f t="shared" si="82"/>
        <v>0</v>
      </c>
      <c r="AE129" s="34">
        <f t="shared" si="83"/>
        <v>0</v>
      </c>
      <c r="AF129" s="34">
        <f t="shared" si="84"/>
        <v>0</v>
      </c>
      <c r="AG129" s="29">
        <f t="shared" si="85"/>
        <v>503964.01146706135</v>
      </c>
      <c r="AH129" s="34">
        <f t="shared" si="86"/>
        <v>0</v>
      </c>
      <c r="AI129" s="34">
        <f t="shared" si="87"/>
        <v>0</v>
      </c>
      <c r="AJ129" s="34">
        <f t="shared" si="88"/>
        <v>0</v>
      </c>
      <c r="AK129" s="34">
        <f t="shared" si="89"/>
        <v>0</v>
      </c>
      <c r="AL129" s="34">
        <f t="shared" si="90"/>
        <v>0</v>
      </c>
      <c r="AM129" s="34">
        <f t="shared" si="91"/>
        <v>0</v>
      </c>
      <c r="AN129" s="34">
        <f t="shared" si="92"/>
        <v>0</v>
      </c>
      <c r="AO129" s="34">
        <f t="shared" si="93"/>
        <v>0</v>
      </c>
      <c r="AP129" s="34">
        <f t="shared" si="94"/>
        <v>0</v>
      </c>
      <c r="AQ129" s="34">
        <f t="shared" si="95"/>
        <v>0</v>
      </c>
      <c r="AR129" s="34">
        <f t="shared" si="96"/>
        <v>0</v>
      </c>
      <c r="AS129" s="30">
        <f t="shared" si="97"/>
        <v>1.1092113637689685</v>
      </c>
      <c r="AT129" s="29">
        <f t="shared" si="98"/>
        <v>0</v>
      </c>
      <c r="AU129" s="29">
        <f t="shared" si="99"/>
        <v>0</v>
      </c>
      <c r="AV129" s="34">
        <f t="shared" si="100"/>
        <v>0</v>
      </c>
      <c r="AW129" s="34">
        <f t="shared" si="101"/>
        <v>0</v>
      </c>
      <c r="AX129" s="29">
        <f t="shared" si="102"/>
        <v>0</v>
      </c>
      <c r="AY129" s="34">
        <f t="shared" si="103"/>
        <v>0</v>
      </c>
      <c r="AZ129" s="37">
        <f t="shared" si="104"/>
        <v>0</v>
      </c>
      <c r="BA129" s="37">
        <f t="shared" si="105"/>
        <v>0</v>
      </c>
      <c r="BB129" s="35">
        <f t="shared" si="106"/>
        <v>9.8465001312098011E-4</v>
      </c>
      <c r="BC129" s="31">
        <f t="shared" si="107"/>
        <v>0.88424536255116504</v>
      </c>
      <c r="BD129" s="34">
        <f t="shared" si="108"/>
        <v>0</v>
      </c>
    </row>
    <row r="130" spans="1:56" x14ac:dyDescent="0.2">
      <c r="A130" s="27">
        <f t="shared" si="109"/>
        <v>126</v>
      </c>
      <c r="B130" s="28">
        <f t="shared" si="56"/>
        <v>126</v>
      </c>
      <c r="C130" s="27">
        <f t="shared" si="57"/>
        <v>10</v>
      </c>
      <c r="D130" s="28">
        <f t="shared" si="58"/>
        <v>30</v>
      </c>
      <c r="E130" s="29">
        <f t="shared" si="59"/>
        <v>0</v>
      </c>
      <c r="F130" s="30">
        <f t="shared" si="60"/>
        <v>5.0224955861659186E-4</v>
      </c>
      <c r="G130" s="31">
        <f t="shared" si="61"/>
        <v>4.1863767702432497E-5</v>
      </c>
      <c r="H130" s="32">
        <f t="shared" si="62"/>
        <v>0.02</v>
      </c>
      <c r="I130" s="32">
        <f t="shared" si="63"/>
        <v>0</v>
      </c>
      <c r="J130" s="33">
        <f t="shared" si="110"/>
        <v>0</v>
      </c>
      <c r="K130" s="30">
        <f t="shared" si="64"/>
        <v>0</v>
      </c>
      <c r="L130" s="33">
        <f t="shared" si="65"/>
        <v>0</v>
      </c>
      <c r="M130" s="30">
        <f t="shared" si="66"/>
        <v>0</v>
      </c>
      <c r="N130" s="33">
        <f t="shared" si="67"/>
        <v>0</v>
      </c>
      <c r="O130" s="31">
        <f t="shared" si="68"/>
        <v>0</v>
      </c>
      <c r="P130" s="33">
        <f t="shared" si="69"/>
        <v>0</v>
      </c>
      <c r="Q130" s="34">
        <f t="shared" si="111"/>
        <v>506476.15690666146</v>
      </c>
      <c r="R130" s="29">
        <f t="shared" si="70"/>
        <v>0</v>
      </c>
      <c r="S130" s="34">
        <f t="shared" si="71"/>
        <v>506476.15690666146</v>
      </c>
      <c r="T130" s="29">
        <f t="shared" si="72"/>
        <v>422.06346408888459</v>
      </c>
      <c r="U130" s="29">
        <f t="shared" si="73"/>
        <v>0</v>
      </c>
      <c r="V130" s="35">
        <f t="shared" si="74"/>
        <v>4.6050144472675754E-5</v>
      </c>
      <c r="W130" s="34">
        <f t="shared" si="75"/>
        <v>0</v>
      </c>
      <c r="X130" s="34">
        <f t="shared" si="76"/>
        <v>506054.09344257257</v>
      </c>
      <c r="Y130" s="36">
        <f t="shared" si="77"/>
        <v>-5.5886469964648855E-3</v>
      </c>
      <c r="Z130" s="34">
        <f t="shared" si="78"/>
        <v>-2828.1576893665938</v>
      </c>
      <c r="AA130" s="34">
        <f t="shared" si="79"/>
        <v>504640.01459788927</v>
      </c>
      <c r="AB130" s="34">
        <f t="shared" si="80"/>
        <v>0</v>
      </c>
      <c r="AC130" s="34">
        <f t="shared" si="81"/>
        <v>0</v>
      </c>
      <c r="AD130" s="34">
        <f t="shared" si="82"/>
        <v>0</v>
      </c>
      <c r="AE130" s="34">
        <f t="shared" si="83"/>
        <v>0</v>
      </c>
      <c r="AF130" s="34">
        <f t="shared" si="84"/>
        <v>0</v>
      </c>
      <c r="AG130" s="29">
        <f t="shared" si="85"/>
        <v>504640.01459788927</v>
      </c>
      <c r="AH130" s="34">
        <f t="shared" si="86"/>
        <v>0</v>
      </c>
      <c r="AI130" s="34">
        <f t="shared" si="87"/>
        <v>0</v>
      </c>
      <c r="AJ130" s="34">
        <f t="shared" si="88"/>
        <v>0</v>
      </c>
      <c r="AK130" s="34">
        <f t="shared" si="89"/>
        <v>0</v>
      </c>
      <c r="AL130" s="34">
        <f t="shared" si="90"/>
        <v>0</v>
      </c>
      <c r="AM130" s="34">
        <f t="shared" si="91"/>
        <v>0</v>
      </c>
      <c r="AN130" s="34">
        <f t="shared" si="92"/>
        <v>0</v>
      </c>
      <c r="AO130" s="34">
        <f t="shared" si="93"/>
        <v>0</v>
      </c>
      <c r="AP130" s="34">
        <f t="shared" si="94"/>
        <v>0</v>
      </c>
      <c r="AQ130" s="34">
        <f t="shared" si="95"/>
        <v>0</v>
      </c>
      <c r="AR130" s="34">
        <f t="shared" si="96"/>
        <v>0</v>
      </c>
      <c r="AS130" s="30">
        <f t="shared" si="97"/>
        <v>1.1101314968720808</v>
      </c>
      <c r="AT130" s="29">
        <f t="shared" si="98"/>
        <v>0</v>
      </c>
      <c r="AU130" s="29">
        <f t="shared" si="99"/>
        <v>0</v>
      </c>
      <c r="AV130" s="34">
        <f t="shared" si="100"/>
        <v>0</v>
      </c>
      <c r="AW130" s="34">
        <f t="shared" si="101"/>
        <v>0</v>
      </c>
      <c r="AX130" s="29">
        <f t="shared" si="102"/>
        <v>0</v>
      </c>
      <c r="AY130" s="34">
        <f t="shared" si="103"/>
        <v>0</v>
      </c>
      <c r="AZ130" s="37">
        <f t="shared" si="104"/>
        <v>0</v>
      </c>
      <c r="BA130" s="37">
        <f t="shared" si="105"/>
        <v>0</v>
      </c>
      <c r="BB130" s="35">
        <f t="shared" si="106"/>
        <v>9.8465001312098011E-4</v>
      </c>
      <c r="BC130" s="31">
        <f t="shared" si="107"/>
        <v>0.88337554680741026</v>
      </c>
      <c r="BD130" s="34">
        <f t="shared" si="108"/>
        <v>0</v>
      </c>
    </row>
    <row r="131" spans="1:56" x14ac:dyDescent="0.2">
      <c r="A131" s="27">
        <f t="shared" si="109"/>
        <v>127</v>
      </c>
      <c r="B131" s="28">
        <f t="shared" si="56"/>
        <v>127</v>
      </c>
      <c r="C131" s="27">
        <f t="shared" si="57"/>
        <v>10</v>
      </c>
      <c r="D131" s="28">
        <f t="shared" si="58"/>
        <v>30</v>
      </c>
      <c r="E131" s="29">
        <f t="shared" si="59"/>
        <v>0</v>
      </c>
      <c r="F131" s="30">
        <f t="shared" si="60"/>
        <v>5.0224955861659186E-4</v>
      </c>
      <c r="G131" s="31">
        <f t="shared" si="61"/>
        <v>4.1863767702432497E-5</v>
      </c>
      <c r="H131" s="32">
        <f t="shared" si="62"/>
        <v>0.02</v>
      </c>
      <c r="I131" s="32">
        <f t="shared" si="63"/>
        <v>0</v>
      </c>
      <c r="J131" s="33">
        <f t="shared" si="110"/>
        <v>0</v>
      </c>
      <c r="K131" s="30">
        <f t="shared" si="64"/>
        <v>0</v>
      </c>
      <c r="L131" s="33">
        <f t="shared" si="65"/>
        <v>0</v>
      </c>
      <c r="M131" s="30">
        <f t="shared" si="66"/>
        <v>0</v>
      </c>
      <c r="N131" s="33">
        <f t="shared" si="67"/>
        <v>0</v>
      </c>
      <c r="O131" s="31">
        <f t="shared" si="68"/>
        <v>0</v>
      </c>
      <c r="P131" s="33">
        <f t="shared" si="69"/>
        <v>0</v>
      </c>
      <c r="Q131" s="34">
        <f t="shared" si="111"/>
        <v>503225.93575320597</v>
      </c>
      <c r="R131" s="29">
        <f t="shared" si="70"/>
        <v>0</v>
      </c>
      <c r="S131" s="34">
        <f t="shared" si="71"/>
        <v>503225.93575320597</v>
      </c>
      <c r="T131" s="29">
        <f t="shared" si="72"/>
        <v>419.354946461005</v>
      </c>
      <c r="U131" s="29">
        <f t="shared" si="73"/>
        <v>0</v>
      </c>
      <c r="V131" s="35">
        <f t="shared" si="74"/>
        <v>4.6050144472675754E-5</v>
      </c>
      <c r="W131" s="34">
        <f t="shared" si="75"/>
        <v>0</v>
      </c>
      <c r="X131" s="34">
        <f t="shared" si="76"/>
        <v>502806.58080674498</v>
      </c>
      <c r="Y131" s="36">
        <f t="shared" si="77"/>
        <v>7.8603465546507323E-3</v>
      </c>
      <c r="Z131" s="34">
        <f t="shared" si="78"/>
        <v>3952.2339751000131</v>
      </c>
      <c r="AA131" s="34">
        <f t="shared" si="79"/>
        <v>504782.69779429497</v>
      </c>
      <c r="AB131" s="34">
        <f t="shared" si="80"/>
        <v>0</v>
      </c>
      <c r="AC131" s="34">
        <f t="shared" si="81"/>
        <v>0</v>
      </c>
      <c r="AD131" s="34">
        <f t="shared" si="82"/>
        <v>0</v>
      </c>
      <c r="AE131" s="34">
        <f t="shared" si="83"/>
        <v>0</v>
      </c>
      <c r="AF131" s="34">
        <f t="shared" si="84"/>
        <v>0</v>
      </c>
      <c r="AG131" s="29">
        <f t="shared" si="85"/>
        <v>504782.69779429497</v>
      </c>
      <c r="AH131" s="34">
        <f t="shared" si="86"/>
        <v>0</v>
      </c>
      <c r="AI131" s="34">
        <f t="shared" si="87"/>
        <v>0</v>
      </c>
      <c r="AJ131" s="34">
        <f t="shared" si="88"/>
        <v>0</v>
      </c>
      <c r="AK131" s="34">
        <f t="shared" si="89"/>
        <v>0</v>
      </c>
      <c r="AL131" s="34">
        <f t="shared" si="90"/>
        <v>0</v>
      </c>
      <c r="AM131" s="34">
        <f t="shared" si="91"/>
        <v>0</v>
      </c>
      <c r="AN131" s="34">
        <f t="shared" si="92"/>
        <v>0</v>
      </c>
      <c r="AO131" s="34">
        <f t="shared" si="93"/>
        <v>0</v>
      </c>
      <c r="AP131" s="34">
        <f t="shared" si="94"/>
        <v>0</v>
      </c>
      <c r="AQ131" s="34">
        <f t="shared" si="95"/>
        <v>0</v>
      </c>
      <c r="AR131" s="34">
        <f t="shared" si="96"/>
        <v>0</v>
      </c>
      <c r="AS131" s="30">
        <f t="shared" si="97"/>
        <v>1.1110523932606724</v>
      </c>
      <c r="AT131" s="29">
        <f t="shared" si="98"/>
        <v>0</v>
      </c>
      <c r="AU131" s="29">
        <f t="shared" si="99"/>
        <v>0</v>
      </c>
      <c r="AV131" s="34">
        <f t="shared" si="100"/>
        <v>0</v>
      </c>
      <c r="AW131" s="34">
        <f t="shared" si="101"/>
        <v>0</v>
      </c>
      <c r="AX131" s="29">
        <f t="shared" si="102"/>
        <v>0</v>
      </c>
      <c r="AY131" s="34">
        <f t="shared" si="103"/>
        <v>0</v>
      </c>
      <c r="AZ131" s="37">
        <f t="shared" si="104"/>
        <v>0</v>
      </c>
      <c r="BA131" s="37">
        <f t="shared" si="105"/>
        <v>0</v>
      </c>
      <c r="BB131" s="35">
        <f t="shared" si="106"/>
        <v>9.8465001312098011E-4</v>
      </c>
      <c r="BC131" s="31">
        <f t="shared" si="107"/>
        <v>0.8825065866852515</v>
      </c>
      <c r="BD131" s="34">
        <f t="shared" si="108"/>
        <v>0</v>
      </c>
    </row>
    <row r="132" spans="1:56" x14ac:dyDescent="0.2">
      <c r="A132" s="27">
        <f t="shared" si="109"/>
        <v>128</v>
      </c>
      <c r="B132" s="28">
        <f t="shared" ref="B132:B195" si="112">Duration0+A132</f>
        <v>128</v>
      </c>
      <c r="C132" s="27">
        <f t="shared" ref="C132:C195" si="113">INT(B132/12)</f>
        <v>10</v>
      </c>
      <c r="D132" s="28">
        <f t="shared" ref="D132:D195" si="114">AgeAtEntry+C132</f>
        <v>30</v>
      </c>
      <c r="E132" s="29">
        <f t="shared" ref="E132:E195" si="115">IF(PremiumType="SINGLE",IF(B132=0,PremiumPPInput,0),IF(B132&lt;12*PolicyTerm,PremiumPPInput,0))</f>
        <v>0</v>
      </c>
      <c r="F132" s="30">
        <f t="shared" ref="F132:F195" si="116">INDEX(MortRates,MATCH(MIN(D132,120),MortAges,0),MAX(MIN(C132,5),0)+1)</f>
        <v>5.0224955861659186E-4</v>
      </c>
      <c r="G132" s="31">
        <f t="shared" ref="G132:G195" si="117">1-(1-F132)^(1/12)</f>
        <v>4.1863767702432497E-5</v>
      </c>
      <c r="H132" s="32">
        <f t="shared" ref="H132:H195" si="118">MAX(LapseBase-LapseStep*C132,LapseFloor)</f>
        <v>0.02</v>
      </c>
      <c r="I132" s="32">
        <f t="shared" ref="I132:I195" si="119">IF(HasSurrCharge,INDEX(SurrRates,MIN(C132,SurrDurMax)+1,MATCH(SurrChargeID,SurrTypes,0)),0)</f>
        <v>0</v>
      </c>
      <c r="J132" s="33">
        <f t="shared" si="110"/>
        <v>0</v>
      </c>
      <c r="K132" s="30">
        <f t="shared" ref="K132:K195" si="120">IF(B132=12*PolicyTerm,J132,0)</f>
        <v>0</v>
      </c>
      <c r="L132" s="33">
        <f t="shared" ref="L132:L195" si="121">J132-K132</f>
        <v>0</v>
      </c>
      <c r="M132" s="30">
        <f t="shared" ref="M132:M195" si="122">IF(B132=0,PolicyCount,0)</f>
        <v>0</v>
      </c>
      <c r="N132" s="33">
        <f t="shared" ref="N132:N195" si="123">L132+M132</f>
        <v>0</v>
      </c>
      <c r="O132" s="31">
        <f t="shared" ref="O132:O195" si="124">N132*G132</f>
        <v>0</v>
      </c>
      <c r="P132" s="33">
        <f t="shared" ref="P132:P195" si="125">(N132-O132)*(1-(1-H132)^(1/12))</f>
        <v>0</v>
      </c>
      <c r="Q132" s="34">
        <f t="shared" si="111"/>
        <v>506758.81478184502</v>
      </c>
      <c r="R132" s="29">
        <f t="shared" ref="R132:R195" si="126">(1-LoadPremRate)*E132</f>
        <v>0</v>
      </c>
      <c r="S132" s="34">
        <f t="shared" ref="S132:S195" si="127">Q132+R132</f>
        <v>506758.81478184502</v>
      </c>
      <c r="T132" s="29">
        <f t="shared" ref="T132:T195" si="128">MaintFeeRateAnn/12*S132</f>
        <v>422.29901231820423</v>
      </c>
      <c r="U132" s="29">
        <f t="shared" ref="U132:U195" si="129">MAX(SumAssured-S132,0)</f>
        <v>0</v>
      </c>
      <c r="V132" s="35">
        <f t="shared" ref="V132:V195" si="130">CoiMultiple*G132</f>
        <v>4.6050144472675754E-5</v>
      </c>
      <c r="W132" s="34">
        <f t="shared" ref="W132:W195" si="131">V132*U132</f>
        <v>0</v>
      </c>
      <c r="X132" s="34">
        <f t="shared" ref="X132:X195" si="132">S132-T132-W132</f>
        <v>506336.51576952683</v>
      </c>
      <c r="Y132" s="36">
        <f t="shared" ref="Y132:Y195" si="133">EXP((Mu-0.5*Sigma^2)/12+Sigma*SQRT(1/12)*INDEX(NormRand,ScenID,A132+1))-1</f>
        <v>-4.7880071093581167E-3</v>
      </c>
      <c r="Z132" s="34">
        <f t="shared" ref="Z132:Z195" si="134">Y132*X132</f>
        <v>-2424.3428372321127</v>
      </c>
      <c r="AA132" s="34">
        <f t="shared" ref="AA132:AA195" si="135">X132+0.5*Z132</f>
        <v>505124.34435091075</v>
      </c>
      <c r="AB132" s="34">
        <f t="shared" ref="AB132:AB195" si="136">Q132*J132</f>
        <v>0</v>
      </c>
      <c r="AC132" s="34">
        <f t="shared" ref="AC132:AC195" si="137">Q132*L132</f>
        <v>0</v>
      </c>
      <c r="AD132" s="34">
        <f t="shared" ref="AD132:AD195" si="138">S132*N132</f>
        <v>0</v>
      </c>
      <c r="AE132" s="34">
        <f t="shared" ref="AE132:AE195" si="139">E132*N132</f>
        <v>0</v>
      </c>
      <c r="AF132" s="34">
        <f t="shared" ref="AF132:AF195" si="140">R132*N132</f>
        <v>0</v>
      </c>
      <c r="AG132" s="29">
        <f t="shared" ref="AG132:AG195" si="141">MAX(SumAssured,AA132)</f>
        <v>505124.34435091075</v>
      </c>
      <c r="AH132" s="34">
        <f t="shared" ref="AH132:AH195" si="142">AG132*O132</f>
        <v>0</v>
      </c>
      <c r="AI132" s="34">
        <f t="shared" ref="AI132:AI195" si="143">AA132*O132</f>
        <v>0</v>
      </c>
      <c r="AJ132" s="34">
        <f t="shared" ref="AJ132:AJ195" si="144">AA132*P132</f>
        <v>0</v>
      </c>
      <c r="AK132" s="34">
        <f t="shared" ref="AK132:AK195" si="145">I132*AA132*P132</f>
        <v>0</v>
      </c>
      <c r="AL132" s="34">
        <f t="shared" ref="AL132:AL195" si="146">AJ132-AK132</f>
        <v>0</v>
      </c>
      <c r="AM132" s="34">
        <f t="shared" ref="AM132:AM195" si="147">Q132*K132</f>
        <v>0</v>
      </c>
      <c r="AN132" s="34">
        <f t="shared" ref="AN132:AN195" si="148">AH132+AL132+AM132</f>
        <v>0</v>
      </c>
      <c r="AO132" s="34">
        <f t="shared" ref="AO132:AO195" si="149">(AG132-AA132)*O132</f>
        <v>0</v>
      </c>
      <c r="AP132" s="34">
        <f t="shared" ref="AP132:AP195" si="150">W132*N132</f>
        <v>0</v>
      </c>
      <c r="AQ132" s="34">
        <f t="shared" ref="AQ132:AQ195" si="151">T132*N132</f>
        <v>0</v>
      </c>
      <c r="AR132" s="34">
        <f t="shared" ref="AR132:AR195" si="152">Z132*J133+0.5*Z132*(O132+P132)</f>
        <v>0</v>
      </c>
      <c r="AS132" s="30">
        <f t="shared" ref="AS132:AS195" si="153">(1+InflationRate)^(A132/12)</f>
        <v>1.1119740535679177</v>
      </c>
      <c r="AT132" s="29">
        <f t="shared" ref="AT132:AT195" si="154">ExpenseAcq*M132+N132*ExpenseMaint/12*AS132</f>
        <v>0</v>
      </c>
      <c r="AU132" s="29">
        <f t="shared" ref="AU132:AU195" si="155">CommissionRate*AE132</f>
        <v>0</v>
      </c>
      <c r="AV132" s="34">
        <f t="shared" ref="AV132:AV195" si="156">AB133-AB132</f>
        <v>0</v>
      </c>
      <c r="AW132" s="34">
        <f t="shared" ref="AW132:AW195" si="157">AE132+AR132-AN132-AT132-AU132-AV132</f>
        <v>0</v>
      </c>
      <c r="AX132" s="29">
        <f t="shared" ref="AX132:AX195" si="158">LoadPremRate*E132*N132+AK132+AQ132-AU132-AT132</f>
        <v>0</v>
      </c>
      <c r="AY132" s="34">
        <f t="shared" ref="AY132:AY195" si="159">AP132-AO132</f>
        <v>0</v>
      </c>
      <c r="AZ132" s="37">
        <f t="shared" ref="AZ132:AZ195" si="160">(AW132-AX132-AY132)/MAX(1,ABS(AW132),ABS(AX132),ABS(AY132))</f>
        <v>0</v>
      </c>
      <c r="BA132" s="37">
        <f t="shared" ref="BA132:BA195" si="161">IF(OR(K132&gt;0,K133&gt;0),0,(AC133-(AC132+AF132-AQ132-AP132+AR132-AI132-AJ132-AM132))/MAX(1,ABS(AC132),ABS(AC133)))</f>
        <v>0</v>
      </c>
      <c r="BB132" s="35">
        <f t="shared" ref="BB132:BB195" si="162">(1+INDEX(DiscRateAnn,INT(A132/12)+1))^(1/12)-1</f>
        <v>9.8465001312098011E-4</v>
      </c>
      <c r="BC132" s="31">
        <f t="shared" ref="BC132:BC195" si="163">(1+BB132)^-A132</f>
        <v>0.8816384813430288</v>
      </c>
      <c r="BD132" s="34">
        <f t="shared" ref="BD132:BD195" si="164">AW132*BC132</f>
        <v>0</v>
      </c>
    </row>
    <row r="133" spans="1:56" x14ac:dyDescent="0.2">
      <c r="A133" s="27">
        <f t="shared" ref="A133:A196" si="165">A132+1</f>
        <v>129</v>
      </c>
      <c r="B133" s="28">
        <f t="shared" si="112"/>
        <v>129</v>
      </c>
      <c r="C133" s="27">
        <f t="shared" si="113"/>
        <v>10</v>
      </c>
      <c r="D133" s="28">
        <f t="shared" si="114"/>
        <v>30</v>
      </c>
      <c r="E133" s="29">
        <f t="shared" si="115"/>
        <v>0</v>
      </c>
      <c r="F133" s="30">
        <f t="shared" si="116"/>
        <v>5.0224955861659186E-4</v>
      </c>
      <c r="G133" s="31">
        <f t="shared" si="117"/>
        <v>4.1863767702432497E-5</v>
      </c>
      <c r="H133" s="32">
        <f t="shared" si="118"/>
        <v>0.02</v>
      </c>
      <c r="I133" s="32">
        <f t="shared" si="119"/>
        <v>0</v>
      </c>
      <c r="J133" s="33">
        <f t="shared" ref="J133:J196" si="166">N132-P132-O132</f>
        <v>0</v>
      </c>
      <c r="K133" s="30">
        <f t="shared" si="120"/>
        <v>0</v>
      </c>
      <c r="L133" s="33">
        <f t="shared" si="121"/>
        <v>0</v>
      </c>
      <c r="M133" s="30">
        <f t="shared" si="122"/>
        <v>0</v>
      </c>
      <c r="N133" s="33">
        <f t="shared" si="123"/>
        <v>0</v>
      </c>
      <c r="O133" s="31">
        <f t="shared" si="124"/>
        <v>0</v>
      </c>
      <c r="P133" s="33">
        <f t="shared" si="125"/>
        <v>0</v>
      </c>
      <c r="Q133" s="34">
        <f t="shared" ref="Q133:Q196" si="167">X132+Z132</f>
        <v>503912.17293229472</v>
      </c>
      <c r="R133" s="29">
        <f t="shared" si="126"/>
        <v>0</v>
      </c>
      <c r="S133" s="34">
        <f t="shared" si="127"/>
        <v>503912.17293229472</v>
      </c>
      <c r="T133" s="29">
        <f t="shared" si="128"/>
        <v>419.9268107769123</v>
      </c>
      <c r="U133" s="29">
        <f t="shared" si="129"/>
        <v>0</v>
      </c>
      <c r="V133" s="35">
        <f t="shared" si="130"/>
        <v>4.6050144472675754E-5</v>
      </c>
      <c r="W133" s="34">
        <f t="shared" si="131"/>
        <v>0</v>
      </c>
      <c r="X133" s="34">
        <f t="shared" si="132"/>
        <v>503492.24612151779</v>
      </c>
      <c r="Y133" s="36">
        <f t="shared" si="133"/>
        <v>1.6703155953834425E-4</v>
      </c>
      <c r="Z133" s="34">
        <f t="shared" si="134"/>
        <v>84.099095085140974</v>
      </c>
      <c r="AA133" s="34">
        <f t="shared" si="135"/>
        <v>503534.29566906038</v>
      </c>
      <c r="AB133" s="34">
        <f t="shared" si="136"/>
        <v>0</v>
      </c>
      <c r="AC133" s="34">
        <f t="shared" si="137"/>
        <v>0</v>
      </c>
      <c r="AD133" s="34">
        <f t="shared" si="138"/>
        <v>0</v>
      </c>
      <c r="AE133" s="34">
        <f t="shared" si="139"/>
        <v>0</v>
      </c>
      <c r="AF133" s="34">
        <f t="shared" si="140"/>
        <v>0</v>
      </c>
      <c r="AG133" s="29">
        <f t="shared" si="141"/>
        <v>503534.29566906038</v>
      </c>
      <c r="AH133" s="34">
        <f t="shared" si="142"/>
        <v>0</v>
      </c>
      <c r="AI133" s="34">
        <f t="shared" si="143"/>
        <v>0</v>
      </c>
      <c r="AJ133" s="34">
        <f t="shared" si="144"/>
        <v>0</v>
      </c>
      <c r="AK133" s="34">
        <f t="shared" si="145"/>
        <v>0</v>
      </c>
      <c r="AL133" s="34">
        <f t="shared" si="146"/>
        <v>0</v>
      </c>
      <c r="AM133" s="34">
        <f t="shared" si="147"/>
        <v>0</v>
      </c>
      <c r="AN133" s="34">
        <f t="shared" si="148"/>
        <v>0</v>
      </c>
      <c r="AO133" s="34">
        <f t="shared" si="149"/>
        <v>0</v>
      </c>
      <c r="AP133" s="34">
        <f t="shared" si="150"/>
        <v>0</v>
      </c>
      <c r="AQ133" s="34">
        <f t="shared" si="151"/>
        <v>0</v>
      </c>
      <c r="AR133" s="34">
        <f t="shared" si="152"/>
        <v>0</v>
      </c>
      <c r="AS133" s="30">
        <f t="shared" si="153"/>
        <v>1.1128964784275164</v>
      </c>
      <c r="AT133" s="29">
        <f t="shared" si="154"/>
        <v>0</v>
      </c>
      <c r="AU133" s="29">
        <f t="shared" si="155"/>
        <v>0</v>
      </c>
      <c r="AV133" s="34">
        <f t="shared" si="156"/>
        <v>0</v>
      </c>
      <c r="AW133" s="34">
        <f t="shared" si="157"/>
        <v>0</v>
      </c>
      <c r="AX133" s="29">
        <f t="shared" si="158"/>
        <v>0</v>
      </c>
      <c r="AY133" s="34">
        <f t="shared" si="159"/>
        <v>0</v>
      </c>
      <c r="AZ133" s="37">
        <f t="shared" si="160"/>
        <v>0</v>
      </c>
      <c r="BA133" s="37">
        <f t="shared" si="161"/>
        <v>0</v>
      </c>
      <c r="BB133" s="35">
        <f t="shared" si="162"/>
        <v>9.8465001312098011E-4</v>
      </c>
      <c r="BC133" s="31">
        <f t="shared" si="163"/>
        <v>0.88077122993991186</v>
      </c>
      <c r="BD133" s="34">
        <f t="shared" si="164"/>
        <v>0</v>
      </c>
    </row>
    <row r="134" spans="1:56" x14ac:dyDescent="0.2">
      <c r="A134" s="27">
        <f t="shared" si="165"/>
        <v>130</v>
      </c>
      <c r="B134" s="28">
        <f t="shared" si="112"/>
        <v>130</v>
      </c>
      <c r="C134" s="27">
        <f t="shared" si="113"/>
        <v>10</v>
      </c>
      <c r="D134" s="28">
        <f t="shared" si="114"/>
        <v>30</v>
      </c>
      <c r="E134" s="29">
        <f t="shared" si="115"/>
        <v>0</v>
      </c>
      <c r="F134" s="30">
        <f t="shared" si="116"/>
        <v>5.0224955861659186E-4</v>
      </c>
      <c r="G134" s="31">
        <f t="shared" si="117"/>
        <v>4.1863767702432497E-5</v>
      </c>
      <c r="H134" s="32">
        <f t="shared" si="118"/>
        <v>0.02</v>
      </c>
      <c r="I134" s="32">
        <f t="shared" si="119"/>
        <v>0</v>
      </c>
      <c r="J134" s="33">
        <f t="shared" si="166"/>
        <v>0</v>
      </c>
      <c r="K134" s="30">
        <f t="shared" si="120"/>
        <v>0</v>
      </c>
      <c r="L134" s="33">
        <f t="shared" si="121"/>
        <v>0</v>
      </c>
      <c r="M134" s="30">
        <f t="shared" si="122"/>
        <v>0</v>
      </c>
      <c r="N134" s="33">
        <f t="shared" si="123"/>
        <v>0</v>
      </c>
      <c r="O134" s="31">
        <f t="shared" si="124"/>
        <v>0</v>
      </c>
      <c r="P134" s="33">
        <f t="shared" si="125"/>
        <v>0</v>
      </c>
      <c r="Q134" s="34">
        <f t="shared" si="167"/>
        <v>503576.3452166029</v>
      </c>
      <c r="R134" s="29">
        <f t="shared" si="126"/>
        <v>0</v>
      </c>
      <c r="S134" s="34">
        <f t="shared" si="127"/>
        <v>503576.3452166029</v>
      </c>
      <c r="T134" s="29">
        <f t="shared" si="128"/>
        <v>419.64695434716913</v>
      </c>
      <c r="U134" s="29">
        <f t="shared" si="129"/>
        <v>0</v>
      </c>
      <c r="V134" s="35">
        <f t="shared" si="130"/>
        <v>4.6050144472675754E-5</v>
      </c>
      <c r="W134" s="34">
        <f t="shared" si="131"/>
        <v>0</v>
      </c>
      <c r="X134" s="34">
        <f t="shared" si="132"/>
        <v>503156.69826225576</v>
      </c>
      <c r="Y134" s="36">
        <f t="shared" si="133"/>
        <v>3.4052624484393057E-3</v>
      </c>
      <c r="Z134" s="34">
        <f t="shared" si="134"/>
        <v>1713.380610273166</v>
      </c>
      <c r="AA134" s="34">
        <f t="shared" si="135"/>
        <v>504013.38856739237</v>
      </c>
      <c r="AB134" s="34">
        <f t="shared" si="136"/>
        <v>0</v>
      </c>
      <c r="AC134" s="34">
        <f t="shared" si="137"/>
        <v>0</v>
      </c>
      <c r="AD134" s="34">
        <f t="shared" si="138"/>
        <v>0</v>
      </c>
      <c r="AE134" s="34">
        <f t="shared" si="139"/>
        <v>0</v>
      </c>
      <c r="AF134" s="34">
        <f t="shared" si="140"/>
        <v>0</v>
      </c>
      <c r="AG134" s="29">
        <f t="shared" si="141"/>
        <v>504013.38856739237</v>
      </c>
      <c r="AH134" s="34">
        <f t="shared" si="142"/>
        <v>0</v>
      </c>
      <c r="AI134" s="34">
        <f t="shared" si="143"/>
        <v>0</v>
      </c>
      <c r="AJ134" s="34">
        <f t="shared" si="144"/>
        <v>0</v>
      </c>
      <c r="AK134" s="34">
        <f t="shared" si="145"/>
        <v>0</v>
      </c>
      <c r="AL134" s="34">
        <f t="shared" si="146"/>
        <v>0</v>
      </c>
      <c r="AM134" s="34">
        <f t="shared" si="147"/>
        <v>0</v>
      </c>
      <c r="AN134" s="34">
        <f t="shared" si="148"/>
        <v>0</v>
      </c>
      <c r="AO134" s="34">
        <f t="shared" si="149"/>
        <v>0</v>
      </c>
      <c r="AP134" s="34">
        <f t="shared" si="150"/>
        <v>0</v>
      </c>
      <c r="AQ134" s="34">
        <f t="shared" si="151"/>
        <v>0</v>
      </c>
      <c r="AR134" s="34">
        <f t="shared" si="152"/>
        <v>0</v>
      </c>
      <c r="AS134" s="30">
        <f t="shared" si="153"/>
        <v>1.1138196684736938</v>
      </c>
      <c r="AT134" s="29">
        <f t="shared" si="154"/>
        <v>0</v>
      </c>
      <c r="AU134" s="29">
        <f t="shared" si="155"/>
        <v>0</v>
      </c>
      <c r="AV134" s="34">
        <f t="shared" si="156"/>
        <v>0</v>
      </c>
      <c r="AW134" s="34">
        <f t="shared" si="157"/>
        <v>0</v>
      </c>
      <c r="AX134" s="29">
        <f t="shared" si="158"/>
        <v>0</v>
      </c>
      <c r="AY134" s="34">
        <f t="shared" si="159"/>
        <v>0</v>
      </c>
      <c r="AZ134" s="37">
        <f t="shared" si="160"/>
        <v>0</v>
      </c>
      <c r="BA134" s="37">
        <f t="shared" si="161"/>
        <v>0</v>
      </c>
      <c r="BB134" s="35">
        <f t="shared" si="162"/>
        <v>9.8465001312098011E-4</v>
      </c>
      <c r="BC134" s="31">
        <f t="shared" si="163"/>
        <v>0.87990483163589639</v>
      </c>
      <c r="BD134" s="34">
        <f t="shared" si="164"/>
        <v>0</v>
      </c>
    </row>
    <row r="135" spans="1:56" x14ac:dyDescent="0.2">
      <c r="A135" s="27">
        <f t="shared" si="165"/>
        <v>131</v>
      </c>
      <c r="B135" s="28">
        <f t="shared" si="112"/>
        <v>131</v>
      </c>
      <c r="C135" s="27">
        <f t="shared" si="113"/>
        <v>10</v>
      </c>
      <c r="D135" s="28">
        <f t="shared" si="114"/>
        <v>30</v>
      </c>
      <c r="E135" s="29">
        <f t="shared" si="115"/>
        <v>0</v>
      </c>
      <c r="F135" s="30">
        <f t="shared" si="116"/>
        <v>5.0224955861659186E-4</v>
      </c>
      <c r="G135" s="31">
        <f t="shared" si="117"/>
        <v>4.1863767702432497E-5</v>
      </c>
      <c r="H135" s="32">
        <f t="shared" si="118"/>
        <v>0.02</v>
      </c>
      <c r="I135" s="32">
        <f t="shared" si="119"/>
        <v>0</v>
      </c>
      <c r="J135" s="33">
        <f t="shared" si="166"/>
        <v>0</v>
      </c>
      <c r="K135" s="30">
        <f t="shared" si="120"/>
        <v>0</v>
      </c>
      <c r="L135" s="33">
        <f t="shared" si="121"/>
        <v>0</v>
      </c>
      <c r="M135" s="30">
        <f t="shared" si="122"/>
        <v>0</v>
      </c>
      <c r="N135" s="33">
        <f t="shared" si="123"/>
        <v>0</v>
      </c>
      <c r="O135" s="31">
        <f t="shared" si="124"/>
        <v>0</v>
      </c>
      <c r="P135" s="33">
        <f t="shared" si="125"/>
        <v>0</v>
      </c>
      <c r="Q135" s="34">
        <f t="shared" si="167"/>
        <v>504870.07887252892</v>
      </c>
      <c r="R135" s="29">
        <f t="shared" si="126"/>
        <v>0</v>
      </c>
      <c r="S135" s="34">
        <f t="shared" si="127"/>
        <v>504870.07887252892</v>
      </c>
      <c r="T135" s="29">
        <f t="shared" si="128"/>
        <v>420.72506572710745</v>
      </c>
      <c r="U135" s="29">
        <f t="shared" si="129"/>
        <v>0</v>
      </c>
      <c r="V135" s="35">
        <f t="shared" si="130"/>
        <v>4.6050144472675754E-5</v>
      </c>
      <c r="W135" s="34">
        <f t="shared" si="131"/>
        <v>0</v>
      </c>
      <c r="X135" s="34">
        <f t="shared" si="132"/>
        <v>504449.35380680178</v>
      </c>
      <c r="Y135" s="36">
        <f t="shared" si="133"/>
        <v>6.1521452945858535E-3</v>
      </c>
      <c r="Z135" s="34">
        <f t="shared" si="134"/>
        <v>3103.4457183793897</v>
      </c>
      <c r="AA135" s="34">
        <f t="shared" si="135"/>
        <v>506001.07666599145</v>
      </c>
      <c r="AB135" s="34">
        <f t="shared" si="136"/>
        <v>0</v>
      </c>
      <c r="AC135" s="34">
        <f t="shared" si="137"/>
        <v>0</v>
      </c>
      <c r="AD135" s="34">
        <f t="shared" si="138"/>
        <v>0</v>
      </c>
      <c r="AE135" s="34">
        <f t="shared" si="139"/>
        <v>0</v>
      </c>
      <c r="AF135" s="34">
        <f t="shared" si="140"/>
        <v>0</v>
      </c>
      <c r="AG135" s="29">
        <f t="shared" si="141"/>
        <v>506001.07666599145</v>
      </c>
      <c r="AH135" s="34">
        <f t="shared" si="142"/>
        <v>0</v>
      </c>
      <c r="AI135" s="34">
        <f t="shared" si="143"/>
        <v>0</v>
      </c>
      <c r="AJ135" s="34">
        <f t="shared" si="144"/>
        <v>0</v>
      </c>
      <c r="AK135" s="34">
        <f t="shared" si="145"/>
        <v>0</v>
      </c>
      <c r="AL135" s="34">
        <f t="shared" si="146"/>
        <v>0</v>
      </c>
      <c r="AM135" s="34">
        <f t="shared" si="147"/>
        <v>0</v>
      </c>
      <c r="AN135" s="34">
        <f t="shared" si="148"/>
        <v>0</v>
      </c>
      <c r="AO135" s="34">
        <f t="shared" si="149"/>
        <v>0</v>
      </c>
      <c r="AP135" s="34">
        <f t="shared" si="150"/>
        <v>0</v>
      </c>
      <c r="AQ135" s="34">
        <f t="shared" si="151"/>
        <v>0</v>
      </c>
      <c r="AR135" s="34">
        <f t="shared" si="152"/>
        <v>0</v>
      </c>
      <c r="AS135" s="30">
        <f t="shared" si="153"/>
        <v>1.1147436243412012</v>
      </c>
      <c r="AT135" s="29">
        <f t="shared" si="154"/>
        <v>0</v>
      </c>
      <c r="AU135" s="29">
        <f t="shared" si="155"/>
        <v>0</v>
      </c>
      <c r="AV135" s="34">
        <f t="shared" si="156"/>
        <v>0</v>
      </c>
      <c r="AW135" s="34">
        <f t="shared" si="157"/>
        <v>0</v>
      </c>
      <c r="AX135" s="29">
        <f t="shared" si="158"/>
        <v>0</v>
      </c>
      <c r="AY135" s="34">
        <f t="shared" si="159"/>
        <v>0</v>
      </c>
      <c r="AZ135" s="37">
        <f t="shared" si="160"/>
        <v>0</v>
      </c>
      <c r="BA135" s="37">
        <f t="shared" si="161"/>
        <v>0</v>
      </c>
      <c r="BB135" s="35">
        <f t="shared" si="162"/>
        <v>9.8465001312098011E-4</v>
      </c>
      <c r="BC135" s="31">
        <f t="shared" si="163"/>
        <v>0.87903928559180466</v>
      </c>
      <c r="BD135" s="34">
        <f t="shared" si="164"/>
        <v>0</v>
      </c>
    </row>
    <row r="136" spans="1:56" x14ac:dyDescent="0.2">
      <c r="A136" s="27">
        <f t="shared" si="165"/>
        <v>132</v>
      </c>
      <c r="B136" s="28">
        <f t="shared" si="112"/>
        <v>132</v>
      </c>
      <c r="C136" s="27">
        <f t="shared" si="113"/>
        <v>11</v>
      </c>
      <c r="D136" s="28">
        <f t="shared" si="114"/>
        <v>31</v>
      </c>
      <c r="E136" s="29">
        <f t="shared" si="115"/>
        <v>0</v>
      </c>
      <c r="F136" s="30">
        <f t="shared" si="116"/>
        <v>5.1921958276982102E-4</v>
      </c>
      <c r="G136" s="31">
        <f t="shared" si="117"/>
        <v>4.3278598782281463E-5</v>
      </c>
      <c r="H136" s="32">
        <f t="shared" si="118"/>
        <v>0.02</v>
      </c>
      <c r="I136" s="32">
        <f t="shared" si="119"/>
        <v>0</v>
      </c>
      <c r="J136" s="33">
        <f t="shared" si="166"/>
        <v>0</v>
      </c>
      <c r="K136" s="30">
        <f t="shared" si="120"/>
        <v>0</v>
      </c>
      <c r="L136" s="33">
        <f t="shared" si="121"/>
        <v>0</v>
      </c>
      <c r="M136" s="30">
        <f t="shared" si="122"/>
        <v>0</v>
      </c>
      <c r="N136" s="33">
        <f t="shared" si="123"/>
        <v>0</v>
      </c>
      <c r="O136" s="31">
        <f t="shared" si="124"/>
        <v>0</v>
      </c>
      <c r="P136" s="33">
        <f t="shared" si="125"/>
        <v>0</v>
      </c>
      <c r="Q136" s="34">
        <f t="shared" si="167"/>
        <v>507552.79952518118</v>
      </c>
      <c r="R136" s="29">
        <f t="shared" si="126"/>
        <v>0</v>
      </c>
      <c r="S136" s="34">
        <f t="shared" si="127"/>
        <v>507552.79952518118</v>
      </c>
      <c r="T136" s="29">
        <f t="shared" si="128"/>
        <v>422.96066627098435</v>
      </c>
      <c r="U136" s="29">
        <f t="shared" si="129"/>
        <v>0</v>
      </c>
      <c r="V136" s="35">
        <f t="shared" si="130"/>
        <v>4.7606458660509615E-5</v>
      </c>
      <c r="W136" s="34">
        <f t="shared" si="131"/>
        <v>0</v>
      </c>
      <c r="X136" s="34">
        <f t="shared" si="132"/>
        <v>507129.8388589102</v>
      </c>
      <c r="Y136" s="36">
        <f t="shared" si="133"/>
        <v>-3.8347607201421052E-3</v>
      </c>
      <c r="Z136" s="34">
        <f t="shared" si="134"/>
        <v>-1944.7215860681442</v>
      </c>
      <c r="AA136" s="34">
        <f t="shared" si="135"/>
        <v>506157.47806587612</v>
      </c>
      <c r="AB136" s="34">
        <f t="shared" si="136"/>
        <v>0</v>
      </c>
      <c r="AC136" s="34">
        <f t="shared" si="137"/>
        <v>0</v>
      </c>
      <c r="AD136" s="34">
        <f t="shared" si="138"/>
        <v>0</v>
      </c>
      <c r="AE136" s="34">
        <f t="shared" si="139"/>
        <v>0</v>
      </c>
      <c r="AF136" s="34">
        <f t="shared" si="140"/>
        <v>0</v>
      </c>
      <c r="AG136" s="29">
        <f t="shared" si="141"/>
        <v>506157.47806587612</v>
      </c>
      <c r="AH136" s="34">
        <f t="shared" si="142"/>
        <v>0</v>
      </c>
      <c r="AI136" s="34">
        <f t="shared" si="143"/>
        <v>0</v>
      </c>
      <c r="AJ136" s="34">
        <f t="shared" si="144"/>
        <v>0</v>
      </c>
      <c r="AK136" s="34">
        <f t="shared" si="145"/>
        <v>0</v>
      </c>
      <c r="AL136" s="34">
        <f t="shared" si="146"/>
        <v>0</v>
      </c>
      <c r="AM136" s="34">
        <f t="shared" si="147"/>
        <v>0</v>
      </c>
      <c r="AN136" s="34">
        <f t="shared" si="148"/>
        <v>0</v>
      </c>
      <c r="AO136" s="34">
        <f t="shared" si="149"/>
        <v>0</v>
      </c>
      <c r="AP136" s="34">
        <f t="shared" si="150"/>
        <v>0</v>
      </c>
      <c r="AQ136" s="34">
        <f t="shared" si="151"/>
        <v>0</v>
      </c>
      <c r="AR136" s="34">
        <f t="shared" si="152"/>
        <v>0</v>
      </c>
      <c r="AS136" s="30">
        <f t="shared" si="153"/>
        <v>1.1156683466653166</v>
      </c>
      <c r="AT136" s="29">
        <f t="shared" si="154"/>
        <v>0</v>
      </c>
      <c r="AU136" s="29">
        <f t="shared" si="155"/>
        <v>0</v>
      </c>
      <c r="AV136" s="34">
        <f t="shared" si="156"/>
        <v>0</v>
      </c>
      <c r="AW136" s="34">
        <f t="shared" si="157"/>
        <v>0</v>
      </c>
      <c r="AX136" s="29">
        <f t="shared" si="158"/>
        <v>0</v>
      </c>
      <c r="AY136" s="34">
        <f t="shared" si="159"/>
        <v>0</v>
      </c>
      <c r="AZ136" s="37">
        <f t="shared" si="160"/>
        <v>0</v>
      </c>
      <c r="BA136" s="37">
        <f t="shared" si="161"/>
        <v>0</v>
      </c>
      <c r="BB136" s="35">
        <f t="shared" si="162"/>
        <v>1.0159703205356863E-3</v>
      </c>
      <c r="BC136" s="31">
        <f t="shared" si="163"/>
        <v>0.87455507863787374</v>
      </c>
      <c r="BD136" s="34">
        <f t="shared" si="164"/>
        <v>0</v>
      </c>
    </row>
    <row r="137" spans="1:56" x14ac:dyDescent="0.2">
      <c r="A137" s="27">
        <f t="shared" si="165"/>
        <v>133</v>
      </c>
      <c r="B137" s="28">
        <f t="shared" si="112"/>
        <v>133</v>
      </c>
      <c r="C137" s="27">
        <f t="shared" si="113"/>
        <v>11</v>
      </c>
      <c r="D137" s="28">
        <f t="shared" si="114"/>
        <v>31</v>
      </c>
      <c r="E137" s="29">
        <f t="shared" si="115"/>
        <v>0</v>
      </c>
      <c r="F137" s="30">
        <f t="shared" si="116"/>
        <v>5.1921958276982102E-4</v>
      </c>
      <c r="G137" s="31">
        <f t="shared" si="117"/>
        <v>4.3278598782281463E-5</v>
      </c>
      <c r="H137" s="32">
        <f t="shared" si="118"/>
        <v>0.02</v>
      </c>
      <c r="I137" s="32">
        <f t="shared" si="119"/>
        <v>0</v>
      </c>
      <c r="J137" s="33">
        <f t="shared" si="166"/>
        <v>0</v>
      </c>
      <c r="K137" s="30">
        <f t="shared" si="120"/>
        <v>0</v>
      </c>
      <c r="L137" s="33">
        <f t="shared" si="121"/>
        <v>0</v>
      </c>
      <c r="M137" s="30">
        <f t="shared" si="122"/>
        <v>0</v>
      </c>
      <c r="N137" s="33">
        <f t="shared" si="123"/>
        <v>0</v>
      </c>
      <c r="O137" s="31">
        <f t="shared" si="124"/>
        <v>0</v>
      </c>
      <c r="P137" s="33">
        <f t="shared" si="125"/>
        <v>0</v>
      </c>
      <c r="Q137" s="34">
        <f t="shared" si="167"/>
        <v>505185.11727284204</v>
      </c>
      <c r="R137" s="29">
        <f t="shared" si="126"/>
        <v>0</v>
      </c>
      <c r="S137" s="34">
        <f t="shared" si="127"/>
        <v>505185.11727284204</v>
      </c>
      <c r="T137" s="29">
        <f t="shared" si="128"/>
        <v>420.98759772736838</v>
      </c>
      <c r="U137" s="29">
        <f t="shared" si="129"/>
        <v>0</v>
      </c>
      <c r="V137" s="35">
        <f t="shared" si="130"/>
        <v>4.7606458660509615E-5</v>
      </c>
      <c r="W137" s="34">
        <f t="shared" si="131"/>
        <v>0</v>
      </c>
      <c r="X137" s="34">
        <f t="shared" si="132"/>
        <v>504764.12967511464</v>
      </c>
      <c r="Y137" s="36">
        <f t="shared" si="133"/>
        <v>2.6164519862581503E-3</v>
      </c>
      <c r="Z137" s="34">
        <f t="shared" si="134"/>
        <v>1320.6911096803203</v>
      </c>
      <c r="AA137" s="34">
        <f t="shared" si="135"/>
        <v>505424.47522995481</v>
      </c>
      <c r="AB137" s="34">
        <f t="shared" si="136"/>
        <v>0</v>
      </c>
      <c r="AC137" s="34">
        <f t="shared" si="137"/>
        <v>0</v>
      </c>
      <c r="AD137" s="34">
        <f t="shared" si="138"/>
        <v>0</v>
      </c>
      <c r="AE137" s="34">
        <f t="shared" si="139"/>
        <v>0</v>
      </c>
      <c r="AF137" s="34">
        <f t="shared" si="140"/>
        <v>0</v>
      </c>
      <c r="AG137" s="29">
        <f t="shared" si="141"/>
        <v>505424.47522995481</v>
      </c>
      <c r="AH137" s="34">
        <f t="shared" si="142"/>
        <v>0</v>
      </c>
      <c r="AI137" s="34">
        <f t="shared" si="143"/>
        <v>0</v>
      </c>
      <c r="AJ137" s="34">
        <f t="shared" si="144"/>
        <v>0</v>
      </c>
      <c r="AK137" s="34">
        <f t="shared" si="145"/>
        <v>0</v>
      </c>
      <c r="AL137" s="34">
        <f t="shared" si="146"/>
        <v>0</v>
      </c>
      <c r="AM137" s="34">
        <f t="shared" si="147"/>
        <v>0</v>
      </c>
      <c r="AN137" s="34">
        <f t="shared" si="148"/>
        <v>0</v>
      </c>
      <c r="AO137" s="34">
        <f t="shared" si="149"/>
        <v>0</v>
      </c>
      <c r="AP137" s="34">
        <f t="shared" si="150"/>
        <v>0</v>
      </c>
      <c r="AQ137" s="34">
        <f t="shared" si="151"/>
        <v>0</v>
      </c>
      <c r="AR137" s="34">
        <f t="shared" si="152"/>
        <v>0</v>
      </c>
      <c r="AS137" s="30">
        <f t="shared" si="153"/>
        <v>1.1165938360818453</v>
      </c>
      <c r="AT137" s="29">
        <f t="shared" si="154"/>
        <v>0</v>
      </c>
      <c r="AU137" s="29">
        <f t="shared" si="155"/>
        <v>0</v>
      </c>
      <c r="AV137" s="34">
        <f t="shared" si="156"/>
        <v>0</v>
      </c>
      <c r="AW137" s="34">
        <f t="shared" si="157"/>
        <v>0</v>
      </c>
      <c r="AX137" s="29">
        <f t="shared" si="158"/>
        <v>0</v>
      </c>
      <c r="AY137" s="34">
        <f t="shared" si="159"/>
        <v>0</v>
      </c>
      <c r="AZ137" s="37">
        <f t="shared" si="160"/>
        <v>0</v>
      </c>
      <c r="BA137" s="37">
        <f t="shared" si="161"/>
        <v>0</v>
      </c>
      <c r="BB137" s="35">
        <f t="shared" si="162"/>
        <v>1.0159703205356863E-3</v>
      </c>
      <c r="BC137" s="31">
        <f t="shared" si="163"/>
        <v>0.87366745843009108</v>
      </c>
      <c r="BD137" s="34">
        <f t="shared" si="164"/>
        <v>0</v>
      </c>
    </row>
    <row r="138" spans="1:56" x14ac:dyDescent="0.2">
      <c r="A138" s="27">
        <f t="shared" si="165"/>
        <v>134</v>
      </c>
      <c r="B138" s="28">
        <f t="shared" si="112"/>
        <v>134</v>
      </c>
      <c r="C138" s="27">
        <f t="shared" si="113"/>
        <v>11</v>
      </c>
      <c r="D138" s="28">
        <f t="shared" si="114"/>
        <v>31</v>
      </c>
      <c r="E138" s="29">
        <f t="shared" si="115"/>
        <v>0</v>
      </c>
      <c r="F138" s="30">
        <f t="shared" si="116"/>
        <v>5.1921958276982102E-4</v>
      </c>
      <c r="G138" s="31">
        <f t="shared" si="117"/>
        <v>4.3278598782281463E-5</v>
      </c>
      <c r="H138" s="32">
        <f t="shared" si="118"/>
        <v>0.02</v>
      </c>
      <c r="I138" s="32">
        <f t="shared" si="119"/>
        <v>0</v>
      </c>
      <c r="J138" s="33">
        <f t="shared" si="166"/>
        <v>0</v>
      </c>
      <c r="K138" s="30">
        <f t="shared" si="120"/>
        <v>0</v>
      </c>
      <c r="L138" s="33">
        <f t="shared" si="121"/>
        <v>0</v>
      </c>
      <c r="M138" s="30">
        <f t="shared" si="122"/>
        <v>0</v>
      </c>
      <c r="N138" s="33">
        <f t="shared" si="123"/>
        <v>0</v>
      </c>
      <c r="O138" s="31">
        <f t="shared" si="124"/>
        <v>0</v>
      </c>
      <c r="P138" s="33">
        <f t="shared" si="125"/>
        <v>0</v>
      </c>
      <c r="Q138" s="34">
        <f t="shared" si="167"/>
        <v>506084.82078479498</v>
      </c>
      <c r="R138" s="29">
        <f t="shared" si="126"/>
        <v>0</v>
      </c>
      <c r="S138" s="34">
        <f t="shared" si="127"/>
        <v>506084.82078479498</v>
      </c>
      <c r="T138" s="29">
        <f t="shared" si="128"/>
        <v>421.73735065399586</v>
      </c>
      <c r="U138" s="29">
        <f t="shared" si="129"/>
        <v>0</v>
      </c>
      <c r="V138" s="35">
        <f t="shared" si="130"/>
        <v>4.7606458660509615E-5</v>
      </c>
      <c r="W138" s="34">
        <f t="shared" si="131"/>
        <v>0</v>
      </c>
      <c r="X138" s="34">
        <f t="shared" si="132"/>
        <v>505663.08343414101</v>
      </c>
      <c r="Y138" s="36">
        <f t="shared" si="133"/>
        <v>-4.3569821828278732E-3</v>
      </c>
      <c r="Z138" s="34">
        <f t="shared" si="134"/>
        <v>-2203.1650450363568</v>
      </c>
      <c r="AA138" s="34">
        <f t="shared" si="135"/>
        <v>504561.50091162283</v>
      </c>
      <c r="AB138" s="34">
        <f t="shared" si="136"/>
        <v>0</v>
      </c>
      <c r="AC138" s="34">
        <f t="shared" si="137"/>
        <v>0</v>
      </c>
      <c r="AD138" s="34">
        <f t="shared" si="138"/>
        <v>0</v>
      </c>
      <c r="AE138" s="34">
        <f t="shared" si="139"/>
        <v>0</v>
      </c>
      <c r="AF138" s="34">
        <f t="shared" si="140"/>
        <v>0</v>
      </c>
      <c r="AG138" s="29">
        <f t="shared" si="141"/>
        <v>504561.50091162283</v>
      </c>
      <c r="AH138" s="34">
        <f t="shared" si="142"/>
        <v>0</v>
      </c>
      <c r="AI138" s="34">
        <f t="shared" si="143"/>
        <v>0</v>
      </c>
      <c r="AJ138" s="34">
        <f t="shared" si="144"/>
        <v>0</v>
      </c>
      <c r="AK138" s="34">
        <f t="shared" si="145"/>
        <v>0</v>
      </c>
      <c r="AL138" s="34">
        <f t="shared" si="146"/>
        <v>0</v>
      </c>
      <c r="AM138" s="34">
        <f t="shared" si="147"/>
        <v>0</v>
      </c>
      <c r="AN138" s="34">
        <f t="shared" si="148"/>
        <v>0</v>
      </c>
      <c r="AO138" s="34">
        <f t="shared" si="149"/>
        <v>0</v>
      </c>
      <c r="AP138" s="34">
        <f t="shared" si="150"/>
        <v>0</v>
      </c>
      <c r="AQ138" s="34">
        <f t="shared" si="151"/>
        <v>0</v>
      </c>
      <c r="AR138" s="34">
        <f t="shared" si="152"/>
        <v>0</v>
      </c>
      <c r="AS138" s="30">
        <f t="shared" si="153"/>
        <v>1.1175200932271192</v>
      </c>
      <c r="AT138" s="29">
        <f t="shared" si="154"/>
        <v>0</v>
      </c>
      <c r="AU138" s="29">
        <f t="shared" si="155"/>
        <v>0</v>
      </c>
      <c r="AV138" s="34">
        <f t="shared" si="156"/>
        <v>0</v>
      </c>
      <c r="AW138" s="34">
        <f t="shared" si="157"/>
        <v>0</v>
      </c>
      <c r="AX138" s="29">
        <f t="shared" si="158"/>
        <v>0</v>
      </c>
      <c r="AY138" s="34">
        <f t="shared" si="159"/>
        <v>0</v>
      </c>
      <c r="AZ138" s="37">
        <f t="shared" si="160"/>
        <v>0</v>
      </c>
      <c r="BA138" s="37">
        <f t="shared" si="161"/>
        <v>0</v>
      </c>
      <c r="BB138" s="35">
        <f t="shared" si="162"/>
        <v>1.0159703205356863E-3</v>
      </c>
      <c r="BC138" s="31">
        <f t="shared" si="163"/>
        <v>0.87278073910282727</v>
      </c>
      <c r="BD138" s="34">
        <f t="shared" si="164"/>
        <v>0</v>
      </c>
    </row>
    <row r="139" spans="1:56" x14ac:dyDescent="0.2">
      <c r="A139" s="27">
        <f t="shared" si="165"/>
        <v>135</v>
      </c>
      <c r="B139" s="28">
        <f t="shared" si="112"/>
        <v>135</v>
      </c>
      <c r="C139" s="27">
        <f t="shared" si="113"/>
        <v>11</v>
      </c>
      <c r="D139" s="28">
        <f t="shared" si="114"/>
        <v>31</v>
      </c>
      <c r="E139" s="29">
        <f t="shared" si="115"/>
        <v>0</v>
      </c>
      <c r="F139" s="30">
        <f t="shared" si="116"/>
        <v>5.1921958276982102E-4</v>
      </c>
      <c r="G139" s="31">
        <f t="shared" si="117"/>
        <v>4.3278598782281463E-5</v>
      </c>
      <c r="H139" s="32">
        <f t="shared" si="118"/>
        <v>0.02</v>
      </c>
      <c r="I139" s="32">
        <f t="shared" si="119"/>
        <v>0</v>
      </c>
      <c r="J139" s="33">
        <f t="shared" si="166"/>
        <v>0</v>
      </c>
      <c r="K139" s="30">
        <f t="shared" si="120"/>
        <v>0</v>
      </c>
      <c r="L139" s="33">
        <f t="shared" si="121"/>
        <v>0</v>
      </c>
      <c r="M139" s="30">
        <f t="shared" si="122"/>
        <v>0</v>
      </c>
      <c r="N139" s="33">
        <f t="shared" si="123"/>
        <v>0</v>
      </c>
      <c r="O139" s="31">
        <f t="shared" si="124"/>
        <v>0</v>
      </c>
      <c r="P139" s="33">
        <f t="shared" si="125"/>
        <v>0</v>
      </c>
      <c r="Q139" s="34">
        <f t="shared" si="167"/>
        <v>503459.91838910466</v>
      </c>
      <c r="R139" s="29">
        <f t="shared" si="126"/>
        <v>0</v>
      </c>
      <c r="S139" s="34">
        <f t="shared" si="127"/>
        <v>503459.91838910466</v>
      </c>
      <c r="T139" s="29">
        <f t="shared" si="128"/>
        <v>419.54993199092058</v>
      </c>
      <c r="U139" s="29">
        <f t="shared" si="129"/>
        <v>0</v>
      </c>
      <c r="V139" s="35">
        <f t="shared" si="130"/>
        <v>4.7606458660509615E-5</v>
      </c>
      <c r="W139" s="34">
        <f t="shared" si="131"/>
        <v>0</v>
      </c>
      <c r="X139" s="34">
        <f t="shared" si="132"/>
        <v>503040.36845711374</v>
      </c>
      <c r="Y139" s="36">
        <f t="shared" si="133"/>
        <v>4.4035904034045448E-3</v>
      </c>
      <c r="Z139" s="34">
        <f t="shared" si="134"/>
        <v>2215.1837390628325</v>
      </c>
      <c r="AA139" s="34">
        <f t="shared" si="135"/>
        <v>504147.96032664517</v>
      </c>
      <c r="AB139" s="34">
        <f t="shared" si="136"/>
        <v>0</v>
      </c>
      <c r="AC139" s="34">
        <f t="shared" si="137"/>
        <v>0</v>
      </c>
      <c r="AD139" s="34">
        <f t="shared" si="138"/>
        <v>0</v>
      </c>
      <c r="AE139" s="34">
        <f t="shared" si="139"/>
        <v>0</v>
      </c>
      <c r="AF139" s="34">
        <f t="shared" si="140"/>
        <v>0</v>
      </c>
      <c r="AG139" s="29">
        <f t="shared" si="141"/>
        <v>504147.96032664517</v>
      </c>
      <c r="AH139" s="34">
        <f t="shared" si="142"/>
        <v>0</v>
      </c>
      <c r="AI139" s="34">
        <f t="shared" si="143"/>
        <v>0</v>
      </c>
      <c r="AJ139" s="34">
        <f t="shared" si="144"/>
        <v>0</v>
      </c>
      <c r="AK139" s="34">
        <f t="shared" si="145"/>
        <v>0</v>
      </c>
      <c r="AL139" s="34">
        <f t="shared" si="146"/>
        <v>0</v>
      </c>
      <c r="AM139" s="34">
        <f t="shared" si="147"/>
        <v>0</v>
      </c>
      <c r="AN139" s="34">
        <f t="shared" si="148"/>
        <v>0</v>
      </c>
      <c r="AO139" s="34">
        <f t="shared" si="149"/>
        <v>0</v>
      </c>
      <c r="AP139" s="34">
        <f t="shared" si="150"/>
        <v>0</v>
      </c>
      <c r="AQ139" s="34">
        <f t="shared" si="151"/>
        <v>0</v>
      </c>
      <c r="AR139" s="34">
        <f t="shared" si="152"/>
        <v>0</v>
      </c>
      <c r="AS139" s="30">
        <f t="shared" si="153"/>
        <v>1.1184471187379987</v>
      </c>
      <c r="AT139" s="29">
        <f t="shared" si="154"/>
        <v>0</v>
      </c>
      <c r="AU139" s="29">
        <f t="shared" si="155"/>
        <v>0</v>
      </c>
      <c r="AV139" s="34">
        <f t="shared" si="156"/>
        <v>0</v>
      </c>
      <c r="AW139" s="34">
        <f t="shared" si="157"/>
        <v>0</v>
      </c>
      <c r="AX139" s="29">
        <f t="shared" si="158"/>
        <v>0</v>
      </c>
      <c r="AY139" s="34">
        <f t="shared" si="159"/>
        <v>0</v>
      </c>
      <c r="AZ139" s="37">
        <f t="shared" si="160"/>
        <v>0</v>
      </c>
      <c r="BA139" s="37">
        <f t="shared" si="161"/>
        <v>0</v>
      </c>
      <c r="BB139" s="35">
        <f t="shared" si="162"/>
        <v>1.0159703205356863E-3</v>
      </c>
      <c r="BC139" s="31">
        <f t="shared" si="163"/>
        <v>0.87189491974174393</v>
      </c>
      <c r="BD139" s="34">
        <f t="shared" si="164"/>
        <v>0</v>
      </c>
    </row>
    <row r="140" spans="1:56" x14ac:dyDescent="0.2">
      <c r="A140" s="27">
        <f t="shared" si="165"/>
        <v>136</v>
      </c>
      <c r="B140" s="28">
        <f t="shared" si="112"/>
        <v>136</v>
      </c>
      <c r="C140" s="27">
        <f t="shared" si="113"/>
        <v>11</v>
      </c>
      <c r="D140" s="28">
        <f t="shared" si="114"/>
        <v>31</v>
      </c>
      <c r="E140" s="29">
        <f t="shared" si="115"/>
        <v>0</v>
      </c>
      <c r="F140" s="30">
        <f t="shared" si="116"/>
        <v>5.1921958276982102E-4</v>
      </c>
      <c r="G140" s="31">
        <f t="shared" si="117"/>
        <v>4.3278598782281463E-5</v>
      </c>
      <c r="H140" s="32">
        <f t="shared" si="118"/>
        <v>0.02</v>
      </c>
      <c r="I140" s="32">
        <f t="shared" si="119"/>
        <v>0</v>
      </c>
      <c r="J140" s="33">
        <f t="shared" si="166"/>
        <v>0</v>
      </c>
      <c r="K140" s="30">
        <f t="shared" si="120"/>
        <v>0</v>
      </c>
      <c r="L140" s="33">
        <f t="shared" si="121"/>
        <v>0</v>
      </c>
      <c r="M140" s="30">
        <f t="shared" si="122"/>
        <v>0</v>
      </c>
      <c r="N140" s="33">
        <f t="shared" si="123"/>
        <v>0</v>
      </c>
      <c r="O140" s="31">
        <f t="shared" si="124"/>
        <v>0</v>
      </c>
      <c r="P140" s="33">
        <f t="shared" si="125"/>
        <v>0</v>
      </c>
      <c r="Q140" s="34">
        <f t="shared" si="167"/>
        <v>505255.55219617655</v>
      </c>
      <c r="R140" s="29">
        <f t="shared" si="126"/>
        <v>0</v>
      </c>
      <c r="S140" s="34">
        <f t="shared" si="127"/>
        <v>505255.55219617655</v>
      </c>
      <c r="T140" s="29">
        <f t="shared" si="128"/>
        <v>421.0462934968138</v>
      </c>
      <c r="U140" s="29">
        <f t="shared" si="129"/>
        <v>0</v>
      </c>
      <c r="V140" s="35">
        <f t="shared" si="130"/>
        <v>4.7606458660509615E-5</v>
      </c>
      <c r="W140" s="34">
        <f t="shared" si="131"/>
        <v>0</v>
      </c>
      <c r="X140" s="34">
        <f t="shared" si="132"/>
        <v>504834.50590267975</v>
      </c>
      <c r="Y140" s="36">
        <f t="shared" si="133"/>
        <v>1.9135196381598885E-2</v>
      </c>
      <c r="Z140" s="34">
        <f t="shared" si="134"/>
        <v>9660.1074106552187</v>
      </c>
      <c r="AA140" s="34">
        <f t="shared" si="135"/>
        <v>509664.55960800737</v>
      </c>
      <c r="AB140" s="34">
        <f t="shared" si="136"/>
        <v>0</v>
      </c>
      <c r="AC140" s="34">
        <f t="shared" si="137"/>
        <v>0</v>
      </c>
      <c r="AD140" s="34">
        <f t="shared" si="138"/>
        <v>0</v>
      </c>
      <c r="AE140" s="34">
        <f t="shared" si="139"/>
        <v>0</v>
      </c>
      <c r="AF140" s="34">
        <f t="shared" si="140"/>
        <v>0</v>
      </c>
      <c r="AG140" s="29">
        <f t="shared" si="141"/>
        <v>509664.55960800737</v>
      </c>
      <c r="AH140" s="34">
        <f t="shared" si="142"/>
        <v>0</v>
      </c>
      <c r="AI140" s="34">
        <f t="shared" si="143"/>
        <v>0</v>
      </c>
      <c r="AJ140" s="34">
        <f t="shared" si="144"/>
        <v>0</v>
      </c>
      <c r="AK140" s="34">
        <f t="shared" si="145"/>
        <v>0</v>
      </c>
      <c r="AL140" s="34">
        <f t="shared" si="146"/>
        <v>0</v>
      </c>
      <c r="AM140" s="34">
        <f t="shared" si="147"/>
        <v>0</v>
      </c>
      <c r="AN140" s="34">
        <f t="shared" si="148"/>
        <v>0</v>
      </c>
      <c r="AO140" s="34">
        <f t="shared" si="149"/>
        <v>0</v>
      </c>
      <c r="AP140" s="34">
        <f t="shared" si="150"/>
        <v>0</v>
      </c>
      <c r="AQ140" s="34">
        <f t="shared" si="151"/>
        <v>0</v>
      </c>
      <c r="AR140" s="34">
        <f t="shared" si="152"/>
        <v>0</v>
      </c>
      <c r="AS140" s="30">
        <f t="shared" si="153"/>
        <v>1.1193749132518727</v>
      </c>
      <c r="AT140" s="29">
        <f t="shared" si="154"/>
        <v>0</v>
      </c>
      <c r="AU140" s="29">
        <f t="shared" si="155"/>
        <v>0</v>
      </c>
      <c r="AV140" s="34">
        <f t="shared" si="156"/>
        <v>0</v>
      </c>
      <c r="AW140" s="34">
        <f t="shared" si="157"/>
        <v>0</v>
      </c>
      <c r="AX140" s="29">
        <f t="shared" si="158"/>
        <v>0</v>
      </c>
      <c r="AY140" s="34">
        <f t="shared" si="159"/>
        <v>0</v>
      </c>
      <c r="AZ140" s="37">
        <f t="shared" si="160"/>
        <v>0</v>
      </c>
      <c r="BA140" s="37">
        <f t="shared" si="161"/>
        <v>0</v>
      </c>
      <c r="BB140" s="35">
        <f t="shared" si="162"/>
        <v>1.0159703205356863E-3</v>
      </c>
      <c r="BC140" s="31">
        <f t="shared" si="163"/>
        <v>0.8710099994334296</v>
      </c>
      <c r="BD140" s="34">
        <f t="shared" si="164"/>
        <v>0</v>
      </c>
    </row>
    <row r="141" spans="1:56" x14ac:dyDescent="0.2">
      <c r="A141" s="27">
        <f t="shared" si="165"/>
        <v>137</v>
      </c>
      <c r="B141" s="28">
        <f t="shared" si="112"/>
        <v>137</v>
      </c>
      <c r="C141" s="27">
        <f t="shared" si="113"/>
        <v>11</v>
      </c>
      <c r="D141" s="28">
        <f t="shared" si="114"/>
        <v>31</v>
      </c>
      <c r="E141" s="29">
        <f t="shared" si="115"/>
        <v>0</v>
      </c>
      <c r="F141" s="30">
        <f t="shared" si="116"/>
        <v>5.1921958276982102E-4</v>
      </c>
      <c r="G141" s="31">
        <f t="shared" si="117"/>
        <v>4.3278598782281463E-5</v>
      </c>
      <c r="H141" s="32">
        <f t="shared" si="118"/>
        <v>0.02</v>
      </c>
      <c r="I141" s="32">
        <f t="shared" si="119"/>
        <v>0</v>
      </c>
      <c r="J141" s="33">
        <f t="shared" si="166"/>
        <v>0</v>
      </c>
      <c r="K141" s="30">
        <f t="shared" si="120"/>
        <v>0</v>
      </c>
      <c r="L141" s="33">
        <f t="shared" si="121"/>
        <v>0</v>
      </c>
      <c r="M141" s="30">
        <f t="shared" si="122"/>
        <v>0</v>
      </c>
      <c r="N141" s="33">
        <f t="shared" si="123"/>
        <v>0</v>
      </c>
      <c r="O141" s="31">
        <f t="shared" si="124"/>
        <v>0</v>
      </c>
      <c r="P141" s="33">
        <f t="shared" si="125"/>
        <v>0</v>
      </c>
      <c r="Q141" s="34">
        <f t="shared" si="167"/>
        <v>514494.61331333499</v>
      </c>
      <c r="R141" s="29">
        <f t="shared" si="126"/>
        <v>0</v>
      </c>
      <c r="S141" s="34">
        <f t="shared" si="127"/>
        <v>514494.61331333499</v>
      </c>
      <c r="T141" s="29">
        <f t="shared" si="128"/>
        <v>428.74551109444587</v>
      </c>
      <c r="U141" s="29">
        <f t="shared" si="129"/>
        <v>0</v>
      </c>
      <c r="V141" s="35">
        <f t="shared" si="130"/>
        <v>4.7606458660509615E-5</v>
      </c>
      <c r="W141" s="34">
        <f t="shared" si="131"/>
        <v>0</v>
      </c>
      <c r="X141" s="34">
        <f t="shared" si="132"/>
        <v>514065.86780224054</v>
      </c>
      <c r="Y141" s="36">
        <f t="shared" si="133"/>
        <v>-3.7308352063634143E-3</v>
      </c>
      <c r="Z141" s="34">
        <f t="shared" si="134"/>
        <v>-1917.8950379863597</v>
      </c>
      <c r="AA141" s="34">
        <f t="shared" si="135"/>
        <v>513106.92028324737</v>
      </c>
      <c r="AB141" s="34">
        <f t="shared" si="136"/>
        <v>0</v>
      </c>
      <c r="AC141" s="34">
        <f t="shared" si="137"/>
        <v>0</v>
      </c>
      <c r="AD141" s="34">
        <f t="shared" si="138"/>
        <v>0</v>
      </c>
      <c r="AE141" s="34">
        <f t="shared" si="139"/>
        <v>0</v>
      </c>
      <c r="AF141" s="34">
        <f t="shared" si="140"/>
        <v>0</v>
      </c>
      <c r="AG141" s="29">
        <f t="shared" si="141"/>
        <v>513106.92028324737</v>
      </c>
      <c r="AH141" s="34">
        <f t="shared" si="142"/>
        <v>0</v>
      </c>
      <c r="AI141" s="34">
        <f t="shared" si="143"/>
        <v>0</v>
      </c>
      <c r="AJ141" s="34">
        <f t="shared" si="144"/>
        <v>0</v>
      </c>
      <c r="AK141" s="34">
        <f t="shared" si="145"/>
        <v>0</v>
      </c>
      <c r="AL141" s="34">
        <f t="shared" si="146"/>
        <v>0</v>
      </c>
      <c r="AM141" s="34">
        <f t="shared" si="147"/>
        <v>0</v>
      </c>
      <c r="AN141" s="34">
        <f t="shared" si="148"/>
        <v>0</v>
      </c>
      <c r="AO141" s="34">
        <f t="shared" si="149"/>
        <v>0</v>
      </c>
      <c r="AP141" s="34">
        <f t="shared" si="150"/>
        <v>0</v>
      </c>
      <c r="AQ141" s="34">
        <f t="shared" si="151"/>
        <v>0</v>
      </c>
      <c r="AR141" s="34">
        <f t="shared" si="152"/>
        <v>0</v>
      </c>
      <c r="AS141" s="30">
        <f t="shared" si="153"/>
        <v>1.1203034774066583</v>
      </c>
      <c r="AT141" s="29">
        <f t="shared" si="154"/>
        <v>0</v>
      </c>
      <c r="AU141" s="29">
        <f t="shared" si="155"/>
        <v>0</v>
      </c>
      <c r="AV141" s="34">
        <f t="shared" si="156"/>
        <v>0</v>
      </c>
      <c r="AW141" s="34">
        <f t="shared" si="157"/>
        <v>0</v>
      </c>
      <c r="AX141" s="29">
        <f t="shared" si="158"/>
        <v>0</v>
      </c>
      <c r="AY141" s="34">
        <f t="shared" si="159"/>
        <v>0</v>
      </c>
      <c r="AZ141" s="37">
        <f t="shared" si="160"/>
        <v>0</v>
      </c>
      <c r="BA141" s="37">
        <f t="shared" si="161"/>
        <v>0</v>
      </c>
      <c r="BB141" s="35">
        <f t="shared" si="162"/>
        <v>1.0159703205356863E-3</v>
      </c>
      <c r="BC141" s="31">
        <f t="shared" si="163"/>
        <v>0.87012597726540086</v>
      </c>
      <c r="BD141" s="34">
        <f t="shared" si="164"/>
        <v>0</v>
      </c>
    </row>
    <row r="142" spans="1:56" x14ac:dyDescent="0.2">
      <c r="A142" s="27">
        <f t="shared" si="165"/>
        <v>138</v>
      </c>
      <c r="B142" s="28">
        <f t="shared" si="112"/>
        <v>138</v>
      </c>
      <c r="C142" s="27">
        <f t="shared" si="113"/>
        <v>11</v>
      </c>
      <c r="D142" s="28">
        <f t="shared" si="114"/>
        <v>31</v>
      </c>
      <c r="E142" s="29">
        <f t="shared" si="115"/>
        <v>0</v>
      </c>
      <c r="F142" s="30">
        <f t="shared" si="116"/>
        <v>5.1921958276982102E-4</v>
      </c>
      <c r="G142" s="31">
        <f t="shared" si="117"/>
        <v>4.3278598782281463E-5</v>
      </c>
      <c r="H142" s="32">
        <f t="shared" si="118"/>
        <v>0.02</v>
      </c>
      <c r="I142" s="32">
        <f t="shared" si="119"/>
        <v>0</v>
      </c>
      <c r="J142" s="33">
        <f t="shared" si="166"/>
        <v>0</v>
      </c>
      <c r="K142" s="30">
        <f t="shared" si="120"/>
        <v>0</v>
      </c>
      <c r="L142" s="33">
        <f t="shared" si="121"/>
        <v>0</v>
      </c>
      <c r="M142" s="30">
        <f t="shared" si="122"/>
        <v>0</v>
      </c>
      <c r="N142" s="33">
        <f t="shared" si="123"/>
        <v>0</v>
      </c>
      <c r="O142" s="31">
        <f t="shared" si="124"/>
        <v>0</v>
      </c>
      <c r="P142" s="33">
        <f t="shared" si="125"/>
        <v>0</v>
      </c>
      <c r="Q142" s="34">
        <f t="shared" si="167"/>
        <v>512147.9727642542</v>
      </c>
      <c r="R142" s="29">
        <f t="shared" si="126"/>
        <v>0</v>
      </c>
      <c r="S142" s="34">
        <f t="shared" si="127"/>
        <v>512147.9727642542</v>
      </c>
      <c r="T142" s="29">
        <f t="shared" si="128"/>
        <v>426.78997730354519</v>
      </c>
      <c r="U142" s="29">
        <f t="shared" si="129"/>
        <v>0</v>
      </c>
      <c r="V142" s="35">
        <f t="shared" si="130"/>
        <v>4.7606458660509615E-5</v>
      </c>
      <c r="W142" s="34">
        <f t="shared" si="131"/>
        <v>0</v>
      </c>
      <c r="X142" s="34">
        <f t="shared" si="132"/>
        <v>511721.18278695067</v>
      </c>
      <c r="Y142" s="36">
        <f t="shared" si="133"/>
        <v>9.5430986412223806E-3</v>
      </c>
      <c r="Z142" s="34">
        <f t="shared" si="134"/>
        <v>4883.4057241388582</v>
      </c>
      <c r="AA142" s="34">
        <f t="shared" si="135"/>
        <v>514162.88564902009</v>
      </c>
      <c r="AB142" s="34">
        <f t="shared" si="136"/>
        <v>0</v>
      </c>
      <c r="AC142" s="34">
        <f t="shared" si="137"/>
        <v>0</v>
      </c>
      <c r="AD142" s="34">
        <f t="shared" si="138"/>
        <v>0</v>
      </c>
      <c r="AE142" s="34">
        <f t="shared" si="139"/>
        <v>0</v>
      </c>
      <c r="AF142" s="34">
        <f t="shared" si="140"/>
        <v>0</v>
      </c>
      <c r="AG142" s="29">
        <f t="shared" si="141"/>
        <v>514162.88564902009</v>
      </c>
      <c r="AH142" s="34">
        <f t="shared" si="142"/>
        <v>0</v>
      </c>
      <c r="AI142" s="34">
        <f t="shared" si="143"/>
        <v>0</v>
      </c>
      <c r="AJ142" s="34">
        <f t="shared" si="144"/>
        <v>0</v>
      </c>
      <c r="AK142" s="34">
        <f t="shared" si="145"/>
        <v>0</v>
      </c>
      <c r="AL142" s="34">
        <f t="shared" si="146"/>
        <v>0</v>
      </c>
      <c r="AM142" s="34">
        <f t="shared" si="147"/>
        <v>0</v>
      </c>
      <c r="AN142" s="34">
        <f t="shared" si="148"/>
        <v>0</v>
      </c>
      <c r="AO142" s="34">
        <f t="shared" si="149"/>
        <v>0</v>
      </c>
      <c r="AP142" s="34">
        <f t="shared" si="150"/>
        <v>0</v>
      </c>
      <c r="AQ142" s="34">
        <f t="shared" si="151"/>
        <v>0</v>
      </c>
      <c r="AR142" s="34">
        <f t="shared" si="152"/>
        <v>0</v>
      </c>
      <c r="AS142" s="30">
        <f t="shared" si="153"/>
        <v>1.1212328118408017</v>
      </c>
      <c r="AT142" s="29">
        <f t="shared" si="154"/>
        <v>0</v>
      </c>
      <c r="AU142" s="29">
        <f t="shared" si="155"/>
        <v>0</v>
      </c>
      <c r="AV142" s="34">
        <f t="shared" si="156"/>
        <v>0</v>
      </c>
      <c r="AW142" s="34">
        <f t="shared" si="157"/>
        <v>0</v>
      </c>
      <c r="AX142" s="29">
        <f t="shared" si="158"/>
        <v>0</v>
      </c>
      <c r="AY142" s="34">
        <f t="shared" si="159"/>
        <v>0</v>
      </c>
      <c r="AZ142" s="37">
        <f t="shared" si="160"/>
        <v>0</v>
      </c>
      <c r="BA142" s="37">
        <f t="shared" si="161"/>
        <v>0</v>
      </c>
      <c r="BB142" s="35">
        <f t="shared" si="162"/>
        <v>1.0159703205356863E-3</v>
      </c>
      <c r="BC142" s="31">
        <f t="shared" si="163"/>
        <v>0.86924285232609977</v>
      </c>
      <c r="BD142" s="34">
        <f t="shared" si="164"/>
        <v>0</v>
      </c>
    </row>
    <row r="143" spans="1:56" x14ac:dyDescent="0.2">
      <c r="A143" s="27">
        <f t="shared" si="165"/>
        <v>139</v>
      </c>
      <c r="B143" s="28">
        <f t="shared" si="112"/>
        <v>139</v>
      </c>
      <c r="C143" s="27">
        <f t="shared" si="113"/>
        <v>11</v>
      </c>
      <c r="D143" s="28">
        <f t="shared" si="114"/>
        <v>31</v>
      </c>
      <c r="E143" s="29">
        <f t="shared" si="115"/>
        <v>0</v>
      </c>
      <c r="F143" s="30">
        <f t="shared" si="116"/>
        <v>5.1921958276982102E-4</v>
      </c>
      <c r="G143" s="31">
        <f t="shared" si="117"/>
        <v>4.3278598782281463E-5</v>
      </c>
      <c r="H143" s="32">
        <f t="shared" si="118"/>
        <v>0.02</v>
      </c>
      <c r="I143" s="32">
        <f t="shared" si="119"/>
        <v>0</v>
      </c>
      <c r="J143" s="33">
        <f t="shared" si="166"/>
        <v>0</v>
      </c>
      <c r="K143" s="30">
        <f t="shared" si="120"/>
        <v>0</v>
      </c>
      <c r="L143" s="33">
        <f t="shared" si="121"/>
        <v>0</v>
      </c>
      <c r="M143" s="30">
        <f t="shared" si="122"/>
        <v>0</v>
      </c>
      <c r="N143" s="33">
        <f t="shared" si="123"/>
        <v>0</v>
      </c>
      <c r="O143" s="31">
        <f t="shared" si="124"/>
        <v>0</v>
      </c>
      <c r="P143" s="33">
        <f t="shared" si="125"/>
        <v>0</v>
      </c>
      <c r="Q143" s="34">
        <f t="shared" si="167"/>
        <v>516604.5885110895</v>
      </c>
      <c r="R143" s="29">
        <f t="shared" si="126"/>
        <v>0</v>
      </c>
      <c r="S143" s="34">
        <f t="shared" si="127"/>
        <v>516604.5885110895</v>
      </c>
      <c r="T143" s="29">
        <f t="shared" si="128"/>
        <v>430.5038237592413</v>
      </c>
      <c r="U143" s="29">
        <f t="shared" si="129"/>
        <v>0</v>
      </c>
      <c r="V143" s="35">
        <f t="shared" si="130"/>
        <v>4.7606458660509615E-5</v>
      </c>
      <c r="W143" s="34">
        <f t="shared" si="131"/>
        <v>0</v>
      </c>
      <c r="X143" s="34">
        <f t="shared" si="132"/>
        <v>516174.08468733024</v>
      </c>
      <c r="Y143" s="36">
        <f t="shared" si="133"/>
        <v>1.2626185416508617E-2</v>
      </c>
      <c r="Z143" s="34">
        <f t="shared" si="134"/>
        <v>6517.3097004588526</v>
      </c>
      <c r="AA143" s="34">
        <f t="shared" si="135"/>
        <v>519432.73953755968</v>
      </c>
      <c r="AB143" s="34">
        <f t="shared" si="136"/>
        <v>0</v>
      </c>
      <c r="AC143" s="34">
        <f t="shared" si="137"/>
        <v>0</v>
      </c>
      <c r="AD143" s="34">
        <f t="shared" si="138"/>
        <v>0</v>
      </c>
      <c r="AE143" s="34">
        <f t="shared" si="139"/>
        <v>0</v>
      </c>
      <c r="AF143" s="34">
        <f t="shared" si="140"/>
        <v>0</v>
      </c>
      <c r="AG143" s="29">
        <f t="shared" si="141"/>
        <v>519432.73953755968</v>
      </c>
      <c r="AH143" s="34">
        <f t="shared" si="142"/>
        <v>0</v>
      </c>
      <c r="AI143" s="34">
        <f t="shared" si="143"/>
        <v>0</v>
      </c>
      <c r="AJ143" s="34">
        <f t="shared" si="144"/>
        <v>0</v>
      </c>
      <c r="AK143" s="34">
        <f t="shared" si="145"/>
        <v>0</v>
      </c>
      <c r="AL143" s="34">
        <f t="shared" si="146"/>
        <v>0</v>
      </c>
      <c r="AM143" s="34">
        <f t="shared" si="147"/>
        <v>0</v>
      </c>
      <c r="AN143" s="34">
        <f t="shared" si="148"/>
        <v>0</v>
      </c>
      <c r="AO143" s="34">
        <f t="shared" si="149"/>
        <v>0</v>
      </c>
      <c r="AP143" s="34">
        <f t="shared" si="150"/>
        <v>0</v>
      </c>
      <c r="AQ143" s="34">
        <f t="shared" si="151"/>
        <v>0</v>
      </c>
      <c r="AR143" s="34">
        <f t="shared" si="152"/>
        <v>0</v>
      </c>
      <c r="AS143" s="30">
        <f t="shared" si="153"/>
        <v>1.1221629171932792</v>
      </c>
      <c r="AT143" s="29">
        <f t="shared" si="154"/>
        <v>0</v>
      </c>
      <c r="AU143" s="29">
        <f t="shared" si="155"/>
        <v>0</v>
      </c>
      <c r="AV143" s="34">
        <f t="shared" si="156"/>
        <v>0</v>
      </c>
      <c r="AW143" s="34">
        <f t="shared" si="157"/>
        <v>0</v>
      </c>
      <c r="AX143" s="29">
        <f t="shared" si="158"/>
        <v>0</v>
      </c>
      <c r="AY143" s="34">
        <f t="shared" si="159"/>
        <v>0</v>
      </c>
      <c r="AZ143" s="37">
        <f t="shared" si="160"/>
        <v>0</v>
      </c>
      <c r="BA143" s="37">
        <f t="shared" si="161"/>
        <v>0</v>
      </c>
      <c r="BB143" s="35">
        <f t="shared" si="162"/>
        <v>1.0159703205356863E-3</v>
      </c>
      <c r="BC143" s="31">
        <f t="shared" si="163"/>
        <v>0.86836062370489375</v>
      </c>
      <c r="BD143" s="34">
        <f t="shared" si="164"/>
        <v>0</v>
      </c>
    </row>
    <row r="144" spans="1:56" x14ac:dyDescent="0.2">
      <c r="A144" s="27">
        <f t="shared" si="165"/>
        <v>140</v>
      </c>
      <c r="B144" s="28">
        <f t="shared" si="112"/>
        <v>140</v>
      </c>
      <c r="C144" s="27">
        <f t="shared" si="113"/>
        <v>11</v>
      </c>
      <c r="D144" s="28">
        <f t="shared" si="114"/>
        <v>31</v>
      </c>
      <c r="E144" s="29">
        <f t="shared" si="115"/>
        <v>0</v>
      </c>
      <c r="F144" s="30">
        <f t="shared" si="116"/>
        <v>5.1921958276982102E-4</v>
      </c>
      <c r="G144" s="31">
        <f t="shared" si="117"/>
        <v>4.3278598782281463E-5</v>
      </c>
      <c r="H144" s="32">
        <f t="shared" si="118"/>
        <v>0.02</v>
      </c>
      <c r="I144" s="32">
        <f t="shared" si="119"/>
        <v>0</v>
      </c>
      <c r="J144" s="33">
        <f t="shared" si="166"/>
        <v>0</v>
      </c>
      <c r="K144" s="30">
        <f t="shared" si="120"/>
        <v>0</v>
      </c>
      <c r="L144" s="33">
        <f t="shared" si="121"/>
        <v>0</v>
      </c>
      <c r="M144" s="30">
        <f t="shared" si="122"/>
        <v>0</v>
      </c>
      <c r="N144" s="33">
        <f t="shared" si="123"/>
        <v>0</v>
      </c>
      <c r="O144" s="31">
        <f t="shared" si="124"/>
        <v>0</v>
      </c>
      <c r="P144" s="33">
        <f t="shared" si="125"/>
        <v>0</v>
      </c>
      <c r="Q144" s="34">
        <f t="shared" si="167"/>
        <v>522691.39438778907</v>
      </c>
      <c r="R144" s="29">
        <f t="shared" si="126"/>
        <v>0</v>
      </c>
      <c r="S144" s="34">
        <f t="shared" si="127"/>
        <v>522691.39438778907</v>
      </c>
      <c r="T144" s="29">
        <f t="shared" si="128"/>
        <v>435.57616198982424</v>
      </c>
      <c r="U144" s="29">
        <f t="shared" si="129"/>
        <v>0</v>
      </c>
      <c r="V144" s="35">
        <f t="shared" si="130"/>
        <v>4.7606458660509615E-5</v>
      </c>
      <c r="W144" s="34">
        <f t="shared" si="131"/>
        <v>0</v>
      </c>
      <c r="X144" s="34">
        <f t="shared" si="132"/>
        <v>522255.81822579924</v>
      </c>
      <c r="Y144" s="36">
        <f t="shared" si="133"/>
        <v>2.8289814600146457E-3</v>
      </c>
      <c r="Z144" s="34">
        <f t="shared" si="134"/>
        <v>1477.4520271455649</v>
      </c>
      <c r="AA144" s="34">
        <f t="shared" si="135"/>
        <v>522994.54423937201</v>
      </c>
      <c r="AB144" s="34">
        <f t="shared" si="136"/>
        <v>0</v>
      </c>
      <c r="AC144" s="34">
        <f t="shared" si="137"/>
        <v>0</v>
      </c>
      <c r="AD144" s="34">
        <f t="shared" si="138"/>
        <v>0</v>
      </c>
      <c r="AE144" s="34">
        <f t="shared" si="139"/>
        <v>0</v>
      </c>
      <c r="AF144" s="34">
        <f t="shared" si="140"/>
        <v>0</v>
      </c>
      <c r="AG144" s="29">
        <f t="shared" si="141"/>
        <v>522994.54423937201</v>
      </c>
      <c r="AH144" s="34">
        <f t="shared" si="142"/>
        <v>0</v>
      </c>
      <c r="AI144" s="34">
        <f t="shared" si="143"/>
        <v>0</v>
      </c>
      <c r="AJ144" s="34">
        <f t="shared" si="144"/>
        <v>0</v>
      </c>
      <c r="AK144" s="34">
        <f t="shared" si="145"/>
        <v>0</v>
      </c>
      <c r="AL144" s="34">
        <f t="shared" si="146"/>
        <v>0</v>
      </c>
      <c r="AM144" s="34">
        <f t="shared" si="147"/>
        <v>0</v>
      </c>
      <c r="AN144" s="34">
        <f t="shared" si="148"/>
        <v>0</v>
      </c>
      <c r="AO144" s="34">
        <f t="shared" si="149"/>
        <v>0</v>
      </c>
      <c r="AP144" s="34">
        <f t="shared" si="150"/>
        <v>0</v>
      </c>
      <c r="AQ144" s="34">
        <f t="shared" si="151"/>
        <v>0</v>
      </c>
      <c r="AR144" s="34">
        <f t="shared" si="152"/>
        <v>0</v>
      </c>
      <c r="AS144" s="30">
        <f t="shared" si="153"/>
        <v>1.123093794103597</v>
      </c>
      <c r="AT144" s="29">
        <f t="shared" si="154"/>
        <v>0</v>
      </c>
      <c r="AU144" s="29">
        <f t="shared" si="155"/>
        <v>0</v>
      </c>
      <c r="AV144" s="34">
        <f t="shared" si="156"/>
        <v>0</v>
      </c>
      <c r="AW144" s="34">
        <f t="shared" si="157"/>
        <v>0</v>
      </c>
      <c r="AX144" s="29">
        <f t="shared" si="158"/>
        <v>0</v>
      </c>
      <c r="AY144" s="34">
        <f t="shared" si="159"/>
        <v>0</v>
      </c>
      <c r="AZ144" s="37">
        <f t="shared" si="160"/>
        <v>0</v>
      </c>
      <c r="BA144" s="37">
        <f t="shared" si="161"/>
        <v>0</v>
      </c>
      <c r="BB144" s="35">
        <f t="shared" si="162"/>
        <v>1.0159703205356863E-3</v>
      </c>
      <c r="BC144" s="31">
        <f t="shared" si="163"/>
        <v>0.8674792904920744</v>
      </c>
      <c r="BD144" s="34">
        <f t="shared" si="164"/>
        <v>0</v>
      </c>
    </row>
    <row r="145" spans="1:56" x14ac:dyDescent="0.2">
      <c r="A145" s="27">
        <f t="shared" si="165"/>
        <v>141</v>
      </c>
      <c r="B145" s="28">
        <f t="shared" si="112"/>
        <v>141</v>
      </c>
      <c r="C145" s="27">
        <f t="shared" si="113"/>
        <v>11</v>
      </c>
      <c r="D145" s="28">
        <f t="shared" si="114"/>
        <v>31</v>
      </c>
      <c r="E145" s="29">
        <f t="shared" si="115"/>
        <v>0</v>
      </c>
      <c r="F145" s="30">
        <f t="shared" si="116"/>
        <v>5.1921958276982102E-4</v>
      </c>
      <c r="G145" s="31">
        <f t="shared" si="117"/>
        <v>4.3278598782281463E-5</v>
      </c>
      <c r="H145" s="32">
        <f t="shared" si="118"/>
        <v>0.02</v>
      </c>
      <c r="I145" s="32">
        <f t="shared" si="119"/>
        <v>0</v>
      </c>
      <c r="J145" s="33">
        <f t="shared" si="166"/>
        <v>0</v>
      </c>
      <c r="K145" s="30">
        <f t="shared" si="120"/>
        <v>0</v>
      </c>
      <c r="L145" s="33">
        <f t="shared" si="121"/>
        <v>0</v>
      </c>
      <c r="M145" s="30">
        <f t="shared" si="122"/>
        <v>0</v>
      </c>
      <c r="N145" s="33">
        <f t="shared" si="123"/>
        <v>0</v>
      </c>
      <c r="O145" s="31">
        <f t="shared" si="124"/>
        <v>0</v>
      </c>
      <c r="P145" s="33">
        <f t="shared" si="125"/>
        <v>0</v>
      </c>
      <c r="Q145" s="34">
        <f t="shared" si="167"/>
        <v>523733.27025294479</v>
      </c>
      <c r="R145" s="29">
        <f t="shared" si="126"/>
        <v>0</v>
      </c>
      <c r="S145" s="34">
        <f t="shared" si="127"/>
        <v>523733.27025294479</v>
      </c>
      <c r="T145" s="29">
        <f t="shared" si="128"/>
        <v>436.444391877454</v>
      </c>
      <c r="U145" s="29">
        <f t="shared" si="129"/>
        <v>0</v>
      </c>
      <c r="V145" s="35">
        <f t="shared" si="130"/>
        <v>4.7606458660509615E-5</v>
      </c>
      <c r="W145" s="34">
        <f t="shared" si="131"/>
        <v>0</v>
      </c>
      <c r="X145" s="34">
        <f t="shared" si="132"/>
        <v>523296.82586106734</v>
      </c>
      <c r="Y145" s="36">
        <f t="shared" si="133"/>
        <v>-5.6646093406542697E-3</v>
      </c>
      <c r="Z145" s="34">
        <f t="shared" si="134"/>
        <v>-2964.272087707333</v>
      </c>
      <c r="AA145" s="34">
        <f t="shared" si="135"/>
        <v>521814.68981721369</v>
      </c>
      <c r="AB145" s="34">
        <f t="shared" si="136"/>
        <v>0</v>
      </c>
      <c r="AC145" s="34">
        <f t="shared" si="137"/>
        <v>0</v>
      </c>
      <c r="AD145" s="34">
        <f t="shared" si="138"/>
        <v>0</v>
      </c>
      <c r="AE145" s="34">
        <f t="shared" si="139"/>
        <v>0</v>
      </c>
      <c r="AF145" s="34">
        <f t="shared" si="140"/>
        <v>0</v>
      </c>
      <c r="AG145" s="29">
        <f t="shared" si="141"/>
        <v>521814.68981721369</v>
      </c>
      <c r="AH145" s="34">
        <f t="shared" si="142"/>
        <v>0</v>
      </c>
      <c r="AI145" s="34">
        <f t="shared" si="143"/>
        <v>0</v>
      </c>
      <c r="AJ145" s="34">
        <f t="shared" si="144"/>
        <v>0</v>
      </c>
      <c r="AK145" s="34">
        <f t="shared" si="145"/>
        <v>0</v>
      </c>
      <c r="AL145" s="34">
        <f t="shared" si="146"/>
        <v>0</v>
      </c>
      <c r="AM145" s="34">
        <f t="shared" si="147"/>
        <v>0</v>
      </c>
      <c r="AN145" s="34">
        <f t="shared" si="148"/>
        <v>0</v>
      </c>
      <c r="AO145" s="34">
        <f t="shared" si="149"/>
        <v>0</v>
      </c>
      <c r="AP145" s="34">
        <f t="shared" si="150"/>
        <v>0</v>
      </c>
      <c r="AQ145" s="34">
        <f t="shared" si="151"/>
        <v>0</v>
      </c>
      <c r="AR145" s="34">
        <f t="shared" si="152"/>
        <v>0</v>
      </c>
      <c r="AS145" s="30">
        <f t="shared" si="153"/>
        <v>1.1240254432117915</v>
      </c>
      <c r="AT145" s="29">
        <f t="shared" si="154"/>
        <v>0</v>
      </c>
      <c r="AU145" s="29">
        <f t="shared" si="155"/>
        <v>0</v>
      </c>
      <c r="AV145" s="34">
        <f t="shared" si="156"/>
        <v>0</v>
      </c>
      <c r="AW145" s="34">
        <f t="shared" si="157"/>
        <v>0</v>
      </c>
      <c r="AX145" s="29">
        <f t="shared" si="158"/>
        <v>0</v>
      </c>
      <c r="AY145" s="34">
        <f t="shared" si="159"/>
        <v>0</v>
      </c>
      <c r="AZ145" s="37">
        <f t="shared" si="160"/>
        <v>0</v>
      </c>
      <c r="BA145" s="37">
        <f t="shared" si="161"/>
        <v>0</v>
      </c>
      <c r="BB145" s="35">
        <f t="shared" si="162"/>
        <v>1.0159703205356863E-3</v>
      </c>
      <c r="BC145" s="31">
        <f t="shared" si="163"/>
        <v>0.86659885177885687</v>
      </c>
      <c r="BD145" s="34">
        <f t="shared" si="164"/>
        <v>0</v>
      </c>
    </row>
    <row r="146" spans="1:56" x14ac:dyDescent="0.2">
      <c r="A146" s="27">
        <f t="shared" si="165"/>
        <v>142</v>
      </c>
      <c r="B146" s="28">
        <f t="shared" si="112"/>
        <v>142</v>
      </c>
      <c r="C146" s="27">
        <f t="shared" si="113"/>
        <v>11</v>
      </c>
      <c r="D146" s="28">
        <f t="shared" si="114"/>
        <v>31</v>
      </c>
      <c r="E146" s="29">
        <f t="shared" si="115"/>
        <v>0</v>
      </c>
      <c r="F146" s="30">
        <f t="shared" si="116"/>
        <v>5.1921958276982102E-4</v>
      </c>
      <c r="G146" s="31">
        <f t="shared" si="117"/>
        <v>4.3278598782281463E-5</v>
      </c>
      <c r="H146" s="32">
        <f t="shared" si="118"/>
        <v>0.02</v>
      </c>
      <c r="I146" s="32">
        <f t="shared" si="119"/>
        <v>0</v>
      </c>
      <c r="J146" s="33">
        <f t="shared" si="166"/>
        <v>0</v>
      </c>
      <c r="K146" s="30">
        <f t="shared" si="120"/>
        <v>0</v>
      </c>
      <c r="L146" s="33">
        <f t="shared" si="121"/>
        <v>0</v>
      </c>
      <c r="M146" s="30">
        <f t="shared" si="122"/>
        <v>0</v>
      </c>
      <c r="N146" s="33">
        <f t="shared" si="123"/>
        <v>0</v>
      </c>
      <c r="O146" s="31">
        <f t="shared" si="124"/>
        <v>0</v>
      </c>
      <c r="P146" s="33">
        <f t="shared" si="125"/>
        <v>0</v>
      </c>
      <c r="Q146" s="34">
        <f t="shared" si="167"/>
        <v>520332.55377335998</v>
      </c>
      <c r="R146" s="29">
        <f t="shared" si="126"/>
        <v>0</v>
      </c>
      <c r="S146" s="34">
        <f t="shared" si="127"/>
        <v>520332.55377335998</v>
      </c>
      <c r="T146" s="29">
        <f t="shared" si="128"/>
        <v>433.61046147780002</v>
      </c>
      <c r="U146" s="29">
        <f t="shared" si="129"/>
        <v>0</v>
      </c>
      <c r="V146" s="35">
        <f t="shared" si="130"/>
        <v>4.7606458660509615E-5</v>
      </c>
      <c r="W146" s="34">
        <f t="shared" si="131"/>
        <v>0</v>
      </c>
      <c r="X146" s="34">
        <f t="shared" si="132"/>
        <v>519898.94331188221</v>
      </c>
      <c r="Y146" s="36">
        <f t="shared" si="133"/>
        <v>-8.3407554104816262E-3</v>
      </c>
      <c r="Z146" s="34">
        <f t="shared" si="134"/>
        <v>-4336.3499243322622</v>
      </c>
      <c r="AA146" s="34">
        <f t="shared" si="135"/>
        <v>517730.76834971609</v>
      </c>
      <c r="AB146" s="34">
        <f t="shared" si="136"/>
        <v>0</v>
      </c>
      <c r="AC146" s="34">
        <f t="shared" si="137"/>
        <v>0</v>
      </c>
      <c r="AD146" s="34">
        <f t="shared" si="138"/>
        <v>0</v>
      </c>
      <c r="AE146" s="34">
        <f t="shared" si="139"/>
        <v>0</v>
      </c>
      <c r="AF146" s="34">
        <f t="shared" si="140"/>
        <v>0</v>
      </c>
      <c r="AG146" s="29">
        <f t="shared" si="141"/>
        <v>517730.76834971609</v>
      </c>
      <c r="AH146" s="34">
        <f t="shared" si="142"/>
        <v>0</v>
      </c>
      <c r="AI146" s="34">
        <f t="shared" si="143"/>
        <v>0</v>
      </c>
      <c r="AJ146" s="34">
        <f t="shared" si="144"/>
        <v>0</v>
      </c>
      <c r="AK146" s="34">
        <f t="shared" si="145"/>
        <v>0</v>
      </c>
      <c r="AL146" s="34">
        <f t="shared" si="146"/>
        <v>0</v>
      </c>
      <c r="AM146" s="34">
        <f t="shared" si="147"/>
        <v>0</v>
      </c>
      <c r="AN146" s="34">
        <f t="shared" si="148"/>
        <v>0</v>
      </c>
      <c r="AO146" s="34">
        <f t="shared" si="149"/>
        <v>0</v>
      </c>
      <c r="AP146" s="34">
        <f t="shared" si="150"/>
        <v>0</v>
      </c>
      <c r="AQ146" s="34">
        <f t="shared" si="151"/>
        <v>0</v>
      </c>
      <c r="AR146" s="34">
        <f t="shared" si="152"/>
        <v>0</v>
      </c>
      <c r="AS146" s="30">
        <f t="shared" si="153"/>
        <v>1.1249578651584307</v>
      </c>
      <c r="AT146" s="29">
        <f t="shared" si="154"/>
        <v>0</v>
      </c>
      <c r="AU146" s="29">
        <f t="shared" si="155"/>
        <v>0</v>
      </c>
      <c r="AV146" s="34">
        <f t="shared" si="156"/>
        <v>0</v>
      </c>
      <c r="AW146" s="34">
        <f t="shared" si="157"/>
        <v>0</v>
      </c>
      <c r="AX146" s="29">
        <f t="shared" si="158"/>
        <v>0</v>
      </c>
      <c r="AY146" s="34">
        <f t="shared" si="159"/>
        <v>0</v>
      </c>
      <c r="AZ146" s="37">
        <f t="shared" si="160"/>
        <v>0</v>
      </c>
      <c r="BA146" s="37">
        <f t="shared" si="161"/>
        <v>0</v>
      </c>
      <c r="BB146" s="35">
        <f t="shared" si="162"/>
        <v>1.0159703205356863E-3</v>
      </c>
      <c r="BC146" s="31">
        <f t="shared" si="163"/>
        <v>0.86571930665737795</v>
      </c>
      <c r="BD146" s="34">
        <f t="shared" si="164"/>
        <v>0</v>
      </c>
    </row>
    <row r="147" spans="1:56" x14ac:dyDescent="0.2">
      <c r="A147" s="27">
        <f t="shared" si="165"/>
        <v>143</v>
      </c>
      <c r="B147" s="28">
        <f t="shared" si="112"/>
        <v>143</v>
      </c>
      <c r="C147" s="27">
        <f t="shared" si="113"/>
        <v>11</v>
      </c>
      <c r="D147" s="28">
        <f t="shared" si="114"/>
        <v>31</v>
      </c>
      <c r="E147" s="29">
        <f t="shared" si="115"/>
        <v>0</v>
      </c>
      <c r="F147" s="30">
        <f t="shared" si="116"/>
        <v>5.1921958276982102E-4</v>
      </c>
      <c r="G147" s="31">
        <f t="shared" si="117"/>
        <v>4.3278598782281463E-5</v>
      </c>
      <c r="H147" s="32">
        <f t="shared" si="118"/>
        <v>0.02</v>
      </c>
      <c r="I147" s="32">
        <f t="shared" si="119"/>
        <v>0</v>
      </c>
      <c r="J147" s="33">
        <f t="shared" si="166"/>
        <v>0</v>
      </c>
      <c r="K147" s="30">
        <f t="shared" si="120"/>
        <v>0</v>
      </c>
      <c r="L147" s="33">
        <f t="shared" si="121"/>
        <v>0</v>
      </c>
      <c r="M147" s="30">
        <f t="shared" si="122"/>
        <v>0</v>
      </c>
      <c r="N147" s="33">
        <f t="shared" si="123"/>
        <v>0</v>
      </c>
      <c r="O147" s="31">
        <f t="shared" si="124"/>
        <v>0</v>
      </c>
      <c r="P147" s="33">
        <f t="shared" si="125"/>
        <v>0</v>
      </c>
      <c r="Q147" s="34">
        <f t="shared" si="167"/>
        <v>515562.59338754992</v>
      </c>
      <c r="R147" s="29">
        <f t="shared" si="126"/>
        <v>0</v>
      </c>
      <c r="S147" s="34">
        <f t="shared" si="127"/>
        <v>515562.59338754992</v>
      </c>
      <c r="T147" s="29">
        <f t="shared" si="128"/>
        <v>429.63549448962493</v>
      </c>
      <c r="U147" s="29">
        <f t="shared" si="129"/>
        <v>0</v>
      </c>
      <c r="V147" s="35">
        <f t="shared" si="130"/>
        <v>4.7606458660509615E-5</v>
      </c>
      <c r="W147" s="34">
        <f t="shared" si="131"/>
        <v>0</v>
      </c>
      <c r="X147" s="34">
        <f t="shared" si="132"/>
        <v>515132.95789306029</v>
      </c>
      <c r="Y147" s="36">
        <f t="shared" si="133"/>
        <v>1.4141359990093028E-2</v>
      </c>
      <c r="Z147" s="34">
        <f t="shared" si="134"/>
        <v>7284.6806003271986</v>
      </c>
      <c r="AA147" s="34">
        <f t="shared" si="135"/>
        <v>518775.29819322389</v>
      </c>
      <c r="AB147" s="34">
        <f t="shared" si="136"/>
        <v>0</v>
      </c>
      <c r="AC147" s="34">
        <f t="shared" si="137"/>
        <v>0</v>
      </c>
      <c r="AD147" s="34">
        <f t="shared" si="138"/>
        <v>0</v>
      </c>
      <c r="AE147" s="34">
        <f t="shared" si="139"/>
        <v>0</v>
      </c>
      <c r="AF147" s="34">
        <f t="shared" si="140"/>
        <v>0</v>
      </c>
      <c r="AG147" s="29">
        <f t="shared" si="141"/>
        <v>518775.29819322389</v>
      </c>
      <c r="AH147" s="34">
        <f t="shared" si="142"/>
        <v>0</v>
      </c>
      <c r="AI147" s="34">
        <f t="shared" si="143"/>
        <v>0</v>
      </c>
      <c r="AJ147" s="34">
        <f t="shared" si="144"/>
        <v>0</v>
      </c>
      <c r="AK147" s="34">
        <f t="shared" si="145"/>
        <v>0</v>
      </c>
      <c r="AL147" s="34">
        <f t="shared" si="146"/>
        <v>0</v>
      </c>
      <c r="AM147" s="34">
        <f t="shared" si="147"/>
        <v>0</v>
      </c>
      <c r="AN147" s="34">
        <f t="shared" si="148"/>
        <v>0</v>
      </c>
      <c r="AO147" s="34">
        <f t="shared" si="149"/>
        <v>0</v>
      </c>
      <c r="AP147" s="34">
        <f t="shared" si="150"/>
        <v>0</v>
      </c>
      <c r="AQ147" s="34">
        <f t="shared" si="151"/>
        <v>0</v>
      </c>
      <c r="AR147" s="34">
        <f t="shared" si="152"/>
        <v>0</v>
      </c>
      <c r="AS147" s="30">
        <f t="shared" si="153"/>
        <v>1.1258910605846133</v>
      </c>
      <c r="AT147" s="29">
        <f t="shared" si="154"/>
        <v>0</v>
      </c>
      <c r="AU147" s="29">
        <f t="shared" si="155"/>
        <v>0</v>
      </c>
      <c r="AV147" s="34">
        <f t="shared" si="156"/>
        <v>0</v>
      </c>
      <c r="AW147" s="34">
        <f t="shared" si="157"/>
        <v>0</v>
      </c>
      <c r="AX147" s="29">
        <f t="shared" si="158"/>
        <v>0</v>
      </c>
      <c r="AY147" s="34">
        <f t="shared" si="159"/>
        <v>0</v>
      </c>
      <c r="AZ147" s="37">
        <f t="shared" si="160"/>
        <v>0</v>
      </c>
      <c r="BA147" s="37">
        <f t="shared" si="161"/>
        <v>0</v>
      </c>
      <c r="BB147" s="35">
        <f t="shared" si="162"/>
        <v>1.0159703205356863E-3</v>
      </c>
      <c r="BC147" s="31">
        <f t="shared" si="163"/>
        <v>0.86484065422069734</v>
      </c>
      <c r="BD147" s="34">
        <f t="shared" si="164"/>
        <v>0</v>
      </c>
    </row>
    <row r="148" spans="1:56" x14ac:dyDescent="0.2">
      <c r="A148" s="27">
        <f t="shared" si="165"/>
        <v>144</v>
      </c>
      <c r="B148" s="28">
        <f t="shared" si="112"/>
        <v>144</v>
      </c>
      <c r="C148" s="27">
        <f t="shared" si="113"/>
        <v>12</v>
      </c>
      <c r="D148" s="28">
        <f t="shared" si="114"/>
        <v>32</v>
      </c>
      <c r="E148" s="29">
        <f t="shared" si="115"/>
        <v>0</v>
      </c>
      <c r="F148" s="30">
        <f t="shared" si="116"/>
        <v>5.3746748522620754E-4</v>
      </c>
      <c r="G148" s="31">
        <f t="shared" si="117"/>
        <v>4.4799994171063062E-5</v>
      </c>
      <c r="H148" s="32">
        <f t="shared" si="118"/>
        <v>0.02</v>
      </c>
      <c r="I148" s="32">
        <f t="shared" si="119"/>
        <v>0</v>
      </c>
      <c r="J148" s="33">
        <f t="shared" si="166"/>
        <v>0</v>
      </c>
      <c r="K148" s="30">
        <f t="shared" si="120"/>
        <v>0</v>
      </c>
      <c r="L148" s="33">
        <f t="shared" si="121"/>
        <v>0</v>
      </c>
      <c r="M148" s="30">
        <f t="shared" si="122"/>
        <v>0</v>
      </c>
      <c r="N148" s="33">
        <f t="shared" si="123"/>
        <v>0</v>
      </c>
      <c r="O148" s="31">
        <f t="shared" si="124"/>
        <v>0</v>
      </c>
      <c r="P148" s="33">
        <f t="shared" si="125"/>
        <v>0</v>
      </c>
      <c r="Q148" s="34">
        <f t="shared" si="167"/>
        <v>522417.63849338749</v>
      </c>
      <c r="R148" s="29">
        <f t="shared" si="126"/>
        <v>0</v>
      </c>
      <c r="S148" s="34">
        <f t="shared" si="127"/>
        <v>522417.63849338749</v>
      </c>
      <c r="T148" s="29">
        <f t="shared" si="128"/>
        <v>435.34803207782295</v>
      </c>
      <c r="U148" s="29">
        <f t="shared" si="129"/>
        <v>0</v>
      </c>
      <c r="V148" s="35">
        <f t="shared" si="130"/>
        <v>4.9279993588169375E-5</v>
      </c>
      <c r="W148" s="34">
        <f t="shared" si="131"/>
        <v>0</v>
      </c>
      <c r="X148" s="34">
        <f t="shared" si="132"/>
        <v>521982.29046130966</v>
      </c>
      <c r="Y148" s="36">
        <f t="shared" si="133"/>
        <v>-1.0660757785798891E-2</v>
      </c>
      <c r="Z148" s="34">
        <f t="shared" si="134"/>
        <v>-5564.7267670845449</v>
      </c>
      <c r="AA148" s="34">
        <f t="shared" si="135"/>
        <v>519199.92707776738</v>
      </c>
      <c r="AB148" s="34">
        <f t="shared" si="136"/>
        <v>0</v>
      </c>
      <c r="AC148" s="34">
        <f t="shared" si="137"/>
        <v>0</v>
      </c>
      <c r="AD148" s="34">
        <f t="shared" si="138"/>
        <v>0</v>
      </c>
      <c r="AE148" s="34">
        <f t="shared" si="139"/>
        <v>0</v>
      </c>
      <c r="AF148" s="34">
        <f t="shared" si="140"/>
        <v>0</v>
      </c>
      <c r="AG148" s="29">
        <f t="shared" si="141"/>
        <v>519199.92707776738</v>
      </c>
      <c r="AH148" s="34">
        <f t="shared" si="142"/>
        <v>0</v>
      </c>
      <c r="AI148" s="34">
        <f t="shared" si="143"/>
        <v>0</v>
      </c>
      <c r="AJ148" s="34">
        <f t="shared" si="144"/>
        <v>0</v>
      </c>
      <c r="AK148" s="34">
        <f t="shared" si="145"/>
        <v>0</v>
      </c>
      <c r="AL148" s="34">
        <f t="shared" si="146"/>
        <v>0</v>
      </c>
      <c r="AM148" s="34">
        <f t="shared" si="147"/>
        <v>0</v>
      </c>
      <c r="AN148" s="34">
        <f t="shared" si="148"/>
        <v>0</v>
      </c>
      <c r="AO148" s="34">
        <f t="shared" si="149"/>
        <v>0</v>
      </c>
      <c r="AP148" s="34">
        <f t="shared" si="150"/>
        <v>0</v>
      </c>
      <c r="AQ148" s="34">
        <f t="shared" si="151"/>
        <v>0</v>
      </c>
      <c r="AR148" s="34">
        <f t="shared" si="152"/>
        <v>0</v>
      </c>
      <c r="AS148" s="30">
        <f t="shared" si="153"/>
        <v>1.1268250301319698</v>
      </c>
      <c r="AT148" s="29">
        <f t="shared" si="154"/>
        <v>0</v>
      </c>
      <c r="AU148" s="29">
        <f t="shared" si="155"/>
        <v>0</v>
      </c>
      <c r="AV148" s="34">
        <f t="shared" si="156"/>
        <v>0</v>
      </c>
      <c r="AW148" s="34">
        <f t="shared" si="157"/>
        <v>0</v>
      </c>
      <c r="AX148" s="29">
        <f t="shared" si="158"/>
        <v>0</v>
      </c>
      <c r="AY148" s="34">
        <f t="shared" si="159"/>
        <v>0</v>
      </c>
      <c r="AZ148" s="37">
        <f t="shared" si="160"/>
        <v>0</v>
      </c>
      <c r="BA148" s="37">
        <f t="shared" si="161"/>
        <v>0</v>
      </c>
      <c r="BB148" s="35">
        <f t="shared" si="162"/>
        <v>1.0431607922198882E-3</v>
      </c>
      <c r="BC148" s="31">
        <f t="shared" si="163"/>
        <v>0.8605901886418017</v>
      </c>
      <c r="BD148" s="34">
        <f t="shared" si="164"/>
        <v>0</v>
      </c>
    </row>
    <row r="149" spans="1:56" x14ac:dyDescent="0.2">
      <c r="A149" s="27">
        <f t="shared" si="165"/>
        <v>145</v>
      </c>
      <c r="B149" s="28">
        <f t="shared" si="112"/>
        <v>145</v>
      </c>
      <c r="C149" s="27">
        <f t="shared" si="113"/>
        <v>12</v>
      </c>
      <c r="D149" s="28">
        <f t="shared" si="114"/>
        <v>32</v>
      </c>
      <c r="E149" s="29">
        <f t="shared" si="115"/>
        <v>0</v>
      </c>
      <c r="F149" s="30">
        <f t="shared" si="116"/>
        <v>5.3746748522620754E-4</v>
      </c>
      <c r="G149" s="31">
        <f t="shared" si="117"/>
        <v>4.4799994171063062E-5</v>
      </c>
      <c r="H149" s="32">
        <f t="shared" si="118"/>
        <v>0.02</v>
      </c>
      <c r="I149" s="32">
        <f t="shared" si="119"/>
        <v>0</v>
      </c>
      <c r="J149" s="33">
        <f t="shared" si="166"/>
        <v>0</v>
      </c>
      <c r="K149" s="30">
        <f t="shared" si="120"/>
        <v>0</v>
      </c>
      <c r="L149" s="33">
        <f t="shared" si="121"/>
        <v>0</v>
      </c>
      <c r="M149" s="30">
        <f t="shared" si="122"/>
        <v>0</v>
      </c>
      <c r="N149" s="33">
        <f t="shared" si="123"/>
        <v>0</v>
      </c>
      <c r="O149" s="31">
        <f t="shared" si="124"/>
        <v>0</v>
      </c>
      <c r="P149" s="33">
        <f t="shared" si="125"/>
        <v>0</v>
      </c>
      <c r="Q149" s="34">
        <f t="shared" si="167"/>
        <v>516417.5636942251</v>
      </c>
      <c r="R149" s="29">
        <f t="shared" si="126"/>
        <v>0</v>
      </c>
      <c r="S149" s="34">
        <f t="shared" si="127"/>
        <v>516417.5636942251</v>
      </c>
      <c r="T149" s="29">
        <f t="shared" si="128"/>
        <v>430.34796974518758</v>
      </c>
      <c r="U149" s="29">
        <f t="shared" si="129"/>
        <v>0</v>
      </c>
      <c r="V149" s="35">
        <f t="shared" si="130"/>
        <v>4.9279993588169375E-5</v>
      </c>
      <c r="W149" s="34">
        <f t="shared" si="131"/>
        <v>0</v>
      </c>
      <c r="X149" s="34">
        <f t="shared" si="132"/>
        <v>515987.21572447993</v>
      </c>
      <c r="Y149" s="36">
        <f t="shared" si="133"/>
        <v>-3.0653434411733738E-3</v>
      </c>
      <c r="Z149" s="34">
        <f t="shared" si="134"/>
        <v>-1581.6780274503453</v>
      </c>
      <c r="AA149" s="34">
        <f t="shared" si="135"/>
        <v>515196.37671075476</v>
      </c>
      <c r="AB149" s="34">
        <f t="shared" si="136"/>
        <v>0</v>
      </c>
      <c r="AC149" s="34">
        <f t="shared" si="137"/>
        <v>0</v>
      </c>
      <c r="AD149" s="34">
        <f t="shared" si="138"/>
        <v>0</v>
      </c>
      <c r="AE149" s="34">
        <f t="shared" si="139"/>
        <v>0</v>
      </c>
      <c r="AF149" s="34">
        <f t="shared" si="140"/>
        <v>0</v>
      </c>
      <c r="AG149" s="29">
        <f t="shared" si="141"/>
        <v>515196.37671075476</v>
      </c>
      <c r="AH149" s="34">
        <f t="shared" si="142"/>
        <v>0</v>
      </c>
      <c r="AI149" s="34">
        <f t="shared" si="143"/>
        <v>0</v>
      </c>
      <c r="AJ149" s="34">
        <f t="shared" si="144"/>
        <v>0</v>
      </c>
      <c r="AK149" s="34">
        <f t="shared" si="145"/>
        <v>0</v>
      </c>
      <c r="AL149" s="34">
        <f t="shared" si="146"/>
        <v>0</v>
      </c>
      <c r="AM149" s="34">
        <f t="shared" si="147"/>
        <v>0</v>
      </c>
      <c r="AN149" s="34">
        <f t="shared" si="148"/>
        <v>0</v>
      </c>
      <c r="AO149" s="34">
        <f t="shared" si="149"/>
        <v>0</v>
      </c>
      <c r="AP149" s="34">
        <f t="shared" si="150"/>
        <v>0</v>
      </c>
      <c r="AQ149" s="34">
        <f t="shared" si="151"/>
        <v>0</v>
      </c>
      <c r="AR149" s="34">
        <f t="shared" si="152"/>
        <v>0</v>
      </c>
      <c r="AS149" s="30">
        <f t="shared" si="153"/>
        <v>1.1277597744426637</v>
      </c>
      <c r="AT149" s="29">
        <f t="shared" si="154"/>
        <v>0</v>
      </c>
      <c r="AU149" s="29">
        <f t="shared" si="155"/>
        <v>0</v>
      </c>
      <c r="AV149" s="34">
        <f t="shared" si="156"/>
        <v>0</v>
      </c>
      <c r="AW149" s="34">
        <f t="shared" si="157"/>
        <v>0</v>
      </c>
      <c r="AX149" s="29">
        <f t="shared" si="158"/>
        <v>0</v>
      </c>
      <c r="AY149" s="34">
        <f t="shared" si="159"/>
        <v>0</v>
      </c>
      <c r="AZ149" s="37">
        <f t="shared" si="160"/>
        <v>0</v>
      </c>
      <c r="BA149" s="37">
        <f t="shared" si="161"/>
        <v>0</v>
      </c>
      <c r="BB149" s="35">
        <f t="shared" si="162"/>
        <v>1.0431607922198882E-3</v>
      </c>
      <c r="BC149" s="31">
        <f t="shared" si="163"/>
        <v>0.85969339020381053</v>
      </c>
      <c r="BD149" s="34">
        <f t="shared" si="164"/>
        <v>0</v>
      </c>
    </row>
    <row r="150" spans="1:56" x14ac:dyDescent="0.2">
      <c r="A150" s="27">
        <f t="shared" si="165"/>
        <v>146</v>
      </c>
      <c r="B150" s="28">
        <f t="shared" si="112"/>
        <v>146</v>
      </c>
      <c r="C150" s="27">
        <f t="shared" si="113"/>
        <v>12</v>
      </c>
      <c r="D150" s="28">
        <f t="shared" si="114"/>
        <v>32</v>
      </c>
      <c r="E150" s="29">
        <f t="shared" si="115"/>
        <v>0</v>
      </c>
      <c r="F150" s="30">
        <f t="shared" si="116"/>
        <v>5.3746748522620754E-4</v>
      </c>
      <c r="G150" s="31">
        <f t="shared" si="117"/>
        <v>4.4799994171063062E-5</v>
      </c>
      <c r="H150" s="32">
        <f t="shared" si="118"/>
        <v>0.02</v>
      </c>
      <c r="I150" s="32">
        <f t="shared" si="119"/>
        <v>0</v>
      </c>
      <c r="J150" s="33">
        <f t="shared" si="166"/>
        <v>0</v>
      </c>
      <c r="K150" s="30">
        <f t="shared" si="120"/>
        <v>0</v>
      </c>
      <c r="L150" s="33">
        <f t="shared" si="121"/>
        <v>0</v>
      </c>
      <c r="M150" s="30">
        <f t="shared" si="122"/>
        <v>0</v>
      </c>
      <c r="N150" s="33">
        <f t="shared" si="123"/>
        <v>0</v>
      </c>
      <c r="O150" s="31">
        <f t="shared" si="124"/>
        <v>0</v>
      </c>
      <c r="P150" s="33">
        <f t="shared" si="125"/>
        <v>0</v>
      </c>
      <c r="Q150" s="34">
        <f t="shared" si="167"/>
        <v>514405.53769702959</v>
      </c>
      <c r="R150" s="29">
        <f t="shared" si="126"/>
        <v>0</v>
      </c>
      <c r="S150" s="34">
        <f t="shared" si="127"/>
        <v>514405.53769702959</v>
      </c>
      <c r="T150" s="29">
        <f t="shared" si="128"/>
        <v>428.67128141419136</v>
      </c>
      <c r="U150" s="29">
        <f t="shared" si="129"/>
        <v>0</v>
      </c>
      <c r="V150" s="35">
        <f t="shared" si="130"/>
        <v>4.9279993588169375E-5</v>
      </c>
      <c r="W150" s="34">
        <f t="shared" si="131"/>
        <v>0</v>
      </c>
      <c r="X150" s="34">
        <f t="shared" si="132"/>
        <v>513976.86641561543</v>
      </c>
      <c r="Y150" s="36">
        <f t="shared" si="133"/>
        <v>1.9487890675840003E-3</v>
      </c>
      <c r="Z150" s="34">
        <f t="shared" si="134"/>
        <v>1001.6324982618335</v>
      </c>
      <c r="AA150" s="34">
        <f t="shared" si="135"/>
        <v>514477.68266474636</v>
      </c>
      <c r="AB150" s="34">
        <f t="shared" si="136"/>
        <v>0</v>
      </c>
      <c r="AC150" s="34">
        <f t="shared" si="137"/>
        <v>0</v>
      </c>
      <c r="AD150" s="34">
        <f t="shared" si="138"/>
        <v>0</v>
      </c>
      <c r="AE150" s="34">
        <f t="shared" si="139"/>
        <v>0</v>
      </c>
      <c r="AF150" s="34">
        <f t="shared" si="140"/>
        <v>0</v>
      </c>
      <c r="AG150" s="29">
        <f t="shared" si="141"/>
        <v>514477.68266474636</v>
      </c>
      <c r="AH150" s="34">
        <f t="shared" si="142"/>
        <v>0</v>
      </c>
      <c r="AI150" s="34">
        <f t="shared" si="143"/>
        <v>0</v>
      </c>
      <c r="AJ150" s="34">
        <f t="shared" si="144"/>
        <v>0</v>
      </c>
      <c r="AK150" s="34">
        <f t="shared" si="145"/>
        <v>0</v>
      </c>
      <c r="AL150" s="34">
        <f t="shared" si="146"/>
        <v>0</v>
      </c>
      <c r="AM150" s="34">
        <f t="shared" si="147"/>
        <v>0</v>
      </c>
      <c r="AN150" s="34">
        <f t="shared" si="148"/>
        <v>0</v>
      </c>
      <c r="AO150" s="34">
        <f t="shared" si="149"/>
        <v>0</v>
      </c>
      <c r="AP150" s="34">
        <f t="shared" si="150"/>
        <v>0</v>
      </c>
      <c r="AQ150" s="34">
        <f t="shared" si="151"/>
        <v>0</v>
      </c>
      <c r="AR150" s="34">
        <f t="shared" si="152"/>
        <v>0</v>
      </c>
      <c r="AS150" s="30">
        <f t="shared" si="153"/>
        <v>1.1286952941593904</v>
      </c>
      <c r="AT150" s="29">
        <f t="shared" si="154"/>
        <v>0</v>
      </c>
      <c r="AU150" s="29">
        <f t="shared" si="155"/>
        <v>0</v>
      </c>
      <c r="AV150" s="34">
        <f t="shared" si="156"/>
        <v>0</v>
      </c>
      <c r="AW150" s="34">
        <f t="shared" si="157"/>
        <v>0</v>
      </c>
      <c r="AX150" s="29">
        <f t="shared" si="158"/>
        <v>0</v>
      </c>
      <c r="AY150" s="34">
        <f t="shared" si="159"/>
        <v>0</v>
      </c>
      <c r="AZ150" s="37">
        <f t="shared" si="160"/>
        <v>0</v>
      </c>
      <c r="BA150" s="37">
        <f t="shared" si="161"/>
        <v>0</v>
      </c>
      <c r="BB150" s="35">
        <f t="shared" si="162"/>
        <v>1.0431607922198882E-3</v>
      </c>
      <c r="BC150" s="31">
        <f t="shared" si="163"/>
        <v>0.85879752629592321</v>
      </c>
      <c r="BD150" s="34">
        <f t="shared" si="164"/>
        <v>0</v>
      </c>
    </row>
    <row r="151" spans="1:56" x14ac:dyDescent="0.2">
      <c r="A151" s="27">
        <f t="shared" si="165"/>
        <v>147</v>
      </c>
      <c r="B151" s="28">
        <f t="shared" si="112"/>
        <v>147</v>
      </c>
      <c r="C151" s="27">
        <f t="shared" si="113"/>
        <v>12</v>
      </c>
      <c r="D151" s="28">
        <f t="shared" si="114"/>
        <v>32</v>
      </c>
      <c r="E151" s="29">
        <f t="shared" si="115"/>
        <v>0</v>
      </c>
      <c r="F151" s="30">
        <f t="shared" si="116"/>
        <v>5.3746748522620754E-4</v>
      </c>
      <c r="G151" s="31">
        <f t="shared" si="117"/>
        <v>4.4799994171063062E-5</v>
      </c>
      <c r="H151" s="32">
        <f t="shared" si="118"/>
        <v>0.02</v>
      </c>
      <c r="I151" s="32">
        <f t="shared" si="119"/>
        <v>0</v>
      </c>
      <c r="J151" s="33">
        <f t="shared" si="166"/>
        <v>0</v>
      </c>
      <c r="K151" s="30">
        <f t="shared" si="120"/>
        <v>0</v>
      </c>
      <c r="L151" s="33">
        <f t="shared" si="121"/>
        <v>0</v>
      </c>
      <c r="M151" s="30">
        <f t="shared" si="122"/>
        <v>0</v>
      </c>
      <c r="N151" s="33">
        <f t="shared" si="123"/>
        <v>0</v>
      </c>
      <c r="O151" s="31">
        <f t="shared" si="124"/>
        <v>0</v>
      </c>
      <c r="P151" s="33">
        <f t="shared" si="125"/>
        <v>0</v>
      </c>
      <c r="Q151" s="34">
        <f t="shared" si="167"/>
        <v>514978.49891387724</v>
      </c>
      <c r="R151" s="29">
        <f t="shared" si="126"/>
        <v>0</v>
      </c>
      <c r="S151" s="34">
        <f t="shared" si="127"/>
        <v>514978.49891387724</v>
      </c>
      <c r="T151" s="29">
        <f t="shared" si="128"/>
        <v>429.14874909489771</v>
      </c>
      <c r="U151" s="29">
        <f t="shared" si="129"/>
        <v>0</v>
      </c>
      <c r="V151" s="35">
        <f t="shared" si="130"/>
        <v>4.9279993588169375E-5</v>
      </c>
      <c r="W151" s="34">
        <f t="shared" si="131"/>
        <v>0</v>
      </c>
      <c r="X151" s="34">
        <f t="shared" si="132"/>
        <v>514549.35016478231</v>
      </c>
      <c r="Y151" s="36">
        <f t="shared" si="133"/>
        <v>4.8335094981919458E-3</v>
      </c>
      <c r="Z151" s="34">
        <f t="shared" si="134"/>
        <v>2487.0791713099688</v>
      </c>
      <c r="AA151" s="34">
        <f t="shared" si="135"/>
        <v>515792.88975043729</v>
      </c>
      <c r="AB151" s="34">
        <f t="shared" si="136"/>
        <v>0</v>
      </c>
      <c r="AC151" s="34">
        <f t="shared" si="137"/>
        <v>0</v>
      </c>
      <c r="AD151" s="34">
        <f t="shared" si="138"/>
        <v>0</v>
      </c>
      <c r="AE151" s="34">
        <f t="shared" si="139"/>
        <v>0</v>
      </c>
      <c r="AF151" s="34">
        <f t="shared" si="140"/>
        <v>0</v>
      </c>
      <c r="AG151" s="29">
        <f t="shared" si="141"/>
        <v>515792.88975043729</v>
      </c>
      <c r="AH151" s="34">
        <f t="shared" si="142"/>
        <v>0</v>
      </c>
      <c r="AI151" s="34">
        <f t="shared" si="143"/>
        <v>0</v>
      </c>
      <c r="AJ151" s="34">
        <f t="shared" si="144"/>
        <v>0</v>
      </c>
      <c r="AK151" s="34">
        <f t="shared" si="145"/>
        <v>0</v>
      </c>
      <c r="AL151" s="34">
        <f t="shared" si="146"/>
        <v>0</v>
      </c>
      <c r="AM151" s="34">
        <f t="shared" si="147"/>
        <v>0</v>
      </c>
      <c r="AN151" s="34">
        <f t="shared" si="148"/>
        <v>0</v>
      </c>
      <c r="AO151" s="34">
        <f t="shared" si="149"/>
        <v>0</v>
      </c>
      <c r="AP151" s="34">
        <f t="shared" si="150"/>
        <v>0</v>
      </c>
      <c r="AQ151" s="34">
        <f t="shared" si="151"/>
        <v>0</v>
      </c>
      <c r="AR151" s="34">
        <f t="shared" si="152"/>
        <v>0</v>
      </c>
      <c r="AS151" s="30">
        <f t="shared" si="153"/>
        <v>1.1296315899253788</v>
      </c>
      <c r="AT151" s="29">
        <f t="shared" si="154"/>
        <v>0</v>
      </c>
      <c r="AU151" s="29">
        <f t="shared" si="155"/>
        <v>0</v>
      </c>
      <c r="AV151" s="34">
        <f t="shared" si="156"/>
        <v>0</v>
      </c>
      <c r="AW151" s="34">
        <f t="shared" si="157"/>
        <v>0</v>
      </c>
      <c r="AX151" s="29">
        <f t="shared" si="158"/>
        <v>0</v>
      </c>
      <c r="AY151" s="34">
        <f t="shared" si="159"/>
        <v>0</v>
      </c>
      <c r="AZ151" s="37">
        <f t="shared" si="160"/>
        <v>0</v>
      </c>
      <c r="BA151" s="37">
        <f t="shared" si="161"/>
        <v>0</v>
      </c>
      <c r="BB151" s="35">
        <f t="shared" si="162"/>
        <v>1.0431607922198882E-3</v>
      </c>
      <c r="BC151" s="31">
        <f t="shared" si="163"/>
        <v>0.85790259594429041</v>
      </c>
      <c r="BD151" s="34">
        <f t="shared" si="164"/>
        <v>0</v>
      </c>
    </row>
    <row r="152" spans="1:56" x14ac:dyDescent="0.2">
      <c r="A152" s="27">
        <f t="shared" si="165"/>
        <v>148</v>
      </c>
      <c r="B152" s="28">
        <f t="shared" si="112"/>
        <v>148</v>
      </c>
      <c r="C152" s="27">
        <f t="shared" si="113"/>
        <v>12</v>
      </c>
      <c r="D152" s="28">
        <f t="shared" si="114"/>
        <v>32</v>
      </c>
      <c r="E152" s="29">
        <f t="shared" si="115"/>
        <v>0</v>
      </c>
      <c r="F152" s="30">
        <f t="shared" si="116"/>
        <v>5.3746748522620754E-4</v>
      </c>
      <c r="G152" s="31">
        <f t="shared" si="117"/>
        <v>4.4799994171063062E-5</v>
      </c>
      <c r="H152" s="32">
        <f t="shared" si="118"/>
        <v>0.02</v>
      </c>
      <c r="I152" s="32">
        <f t="shared" si="119"/>
        <v>0</v>
      </c>
      <c r="J152" s="33">
        <f t="shared" si="166"/>
        <v>0</v>
      </c>
      <c r="K152" s="30">
        <f t="shared" si="120"/>
        <v>0</v>
      </c>
      <c r="L152" s="33">
        <f t="shared" si="121"/>
        <v>0</v>
      </c>
      <c r="M152" s="30">
        <f t="shared" si="122"/>
        <v>0</v>
      </c>
      <c r="N152" s="33">
        <f t="shared" si="123"/>
        <v>0</v>
      </c>
      <c r="O152" s="31">
        <f t="shared" si="124"/>
        <v>0</v>
      </c>
      <c r="P152" s="33">
        <f t="shared" si="125"/>
        <v>0</v>
      </c>
      <c r="Q152" s="34">
        <f t="shared" si="167"/>
        <v>517036.42933609226</v>
      </c>
      <c r="R152" s="29">
        <f t="shared" si="126"/>
        <v>0</v>
      </c>
      <c r="S152" s="34">
        <f t="shared" si="127"/>
        <v>517036.42933609226</v>
      </c>
      <c r="T152" s="29">
        <f t="shared" si="128"/>
        <v>430.86369111341025</v>
      </c>
      <c r="U152" s="29">
        <f t="shared" si="129"/>
        <v>0</v>
      </c>
      <c r="V152" s="35">
        <f t="shared" si="130"/>
        <v>4.9279993588169375E-5</v>
      </c>
      <c r="W152" s="34">
        <f t="shared" si="131"/>
        <v>0</v>
      </c>
      <c r="X152" s="34">
        <f t="shared" si="132"/>
        <v>516605.56564497884</v>
      </c>
      <c r="Y152" s="36">
        <f t="shared" si="133"/>
        <v>1.2549777442403265E-2</v>
      </c>
      <c r="Z152" s="34">
        <f t="shared" si="134"/>
        <v>6483.2848743513341</v>
      </c>
      <c r="AA152" s="34">
        <f t="shared" si="135"/>
        <v>519847.20808215451</v>
      </c>
      <c r="AB152" s="34">
        <f t="shared" si="136"/>
        <v>0</v>
      </c>
      <c r="AC152" s="34">
        <f t="shared" si="137"/>
        <v>0</v>
      </c>
      <c r="AD152" s="34">
        <f t="shared" si="138"/>
        <v>0</v>
      </c>
      <c r="AE152" s="34">
        <f t="shared" si="139"/>
        <v>0</v>
      </c>
      <c r="AF152" s="34">
        <f t="shared" si="140"/>
        <v>0</v>
      </c>
      <c r="AG152" s="29">
        <f t="shared" si="141"/>
        <v>519847.20808215451</v>
      </c>
      <c r="AH152" s="34">
        <f t="shared" si="142"/>
        <v>0</v>
      </c>
      <c r="AI152" s="34">
        <f t="shared" si="143"/>
        <v>0</v>
      </c>
      <c r="AJ152" s="34">
        <f t="shared" si="144"/>
        <v>0</v>
      </c>
      <c r="AK152" s="34">
        <f t="shared" si="145"/>
        <v>0</v>
      </c>
      <c r="AL152" s="34">
        <f t="shared" si="146"/>
        <v>0</v>
      </c>
      <c r="AM152" s="34">
        <f t="shared" si="147"/>
        <v>0</v>
      </c>
      <c r="AN152" s="34">
        <f t="shared" si="148"/>
        <v>0</v>
      </c>
      <c r="AO152" s="34">
        <f t="shared" si="149"/>
        <v>0</v>
      </c>
      <c r="AP152" s="34">
        <f t="shared" si="150"/>
        <v>0</v>
      </c>
      <c r="AQ152" s="34">
        <f t="shared" si="151"/>
        <v>0</v>
      </c>
      <c r="AR152" s="34">
        <f t="shared" si="152"/>
        <v>0</v>
      </c>
      <c r="AS152" s="30">
        <f t="shared" si="153"/>
        <v>1.1305686623843914</v>
      </c>
      <c r="AT152" s="29">
        <f t="shared" si="154"/>
        <v>0</v>
      </c>
      <c r="AU152" s="29">
        <f t="shared" si="155"/>
        <v>0</v>
      </c>
      <c r="AV152" s="34">
        <f t="shared" si="156"/>
        <v>0</v>
      </c>
      <c r="AW152" s="34">
        <f t="shared" si="157"/>
        <v>0</v>
      </c>
      <c r="AX152" s="29">
        <f t="shared" si="158"/>
        <v>0</v>
      </c>
      <c r="AY152" s="34">
        <f t="shared" si="159"/>
        <v>0</v>
      </c>
      <c r="AZ152" s="37">
        <f t="shared" si="160"/>
        <v>0</v>
      </c>
      <c r="BA152" s="37">
        <f t="shared" si="161"/>
        <v>0</v>
      </c>
      <c r="BB152" s="35">
        <f t="shared" si="162"/>
        <v>1.0431607922198882E-3</v>
      </c>
      <c r="BC152" s="31">
        <f t="shared" si="163"/>
        <v>0.857008598176078</v>
      </c>
      <c r="BD152" s="34">
        <f t="shared" si="164"/>
        <v>0</v>
      </c>
    </row>
    <row r="153" spans="1:56" x14ac:dyDescent="0.2">
      <c r="A153" s="27">
        <f t="shared" si="165"/>
        <v>149</v>
      </c>
      <c r="B153" s="28">
        <f t="shared" si="112"/>
        <v>149</v>
      </c>
      <c r="C153" s="27">
        <f t="shared" si="113"/>
        <v>12</v>
      </c>
      <c r="D153" s="28">
        <f t="shared" si="114"/>
        <v>32</v>
      </c>
      <c r="E153" s="29">
        <f t="shared" si="115"/>
        <v>0</v>
      </c>
      <c r="F153" s="30">
        <f t="shared" si="116"/>
        <v>5.3746748522620754E-4</v>
      </c>
      <c r="G153" s="31">
        <f t="shared" si="117"/>
        <v>4.4799994171063062E-5</v>
      </c>
      <c r="H153" s="32">
        <f t="shared" si="118"/>
        <v>0.02</v>
      </c>
      <c r="I153" s="32">
        <f t="shared" si="119"/>
        <v>0</v>
      </c>
      <c r="J153" s="33">
        <f t="shared" si="166"/>
        <v>0</v>
      </c>
      <c r="K153" s="30">
        <f t="shared" si="120"/>
        <v>0</v>
      </c>
      <c r="L153" s="33">
        <f t="shared" si="121"/>
        <v>0</v>
      </c>
      <c r="M153" s="30">
        <f t="shared" si="122"/>
        <v>0</v>
      </c>
      <c r="N153" s="33">
        <f t="shared" si="123"/>
        <v>0</v>
      </c>
      <c r="O153" s="31">
        <f t="shared" si="124"/>
        <v>0</v>
      </c>
      <c r="P153" s="33">
        <f t="shared" si="125"/>
        <v>0</v>
      </c>
      <c r="Q153" s="34">
        <f t="shared" si="167"/>
        <v>523088.85051933018</v>
      </c>
      <c r="R153" s="29">
        <f t="shared" si="126"/>
        <v>0</v>
      </c>
      <c r="S153" s="34">
        <f t="shared" si="127"/>
        <v>523088.85051933018</v>
      </c>
      <c r="T153" s="29">
        <f t="shared" si="128"/>
        <v>435.90737543277515</v>
      </c>
      <c r="U153" s="29">
        <f t="shared" si="129"/>
        <v>0</v>
      </c>
      <c r="V153" s="35">
        <f t="shared" si="130"/>
        <v>4.9279993588169375E-5</v>
      </c>
      <c r="W153" s="34">
        <f t="shared" si="131"/>
        <v>0</v>
      </c>
      <c r="X153" s="34">
        <f t="shared" si="132"/>
        <v>522652.9431438974</v>
      </c>
      <c r="Y153" s="36">
        <f t="shared" si="133"/>
        <v>6.6076995001629335E-3</v>
      </c>
      <c r="Z153" s="34">
        <f t="shared" si="134"/>
        <v>3453.533591170617</v>
      </c>
      <c r="AA153" s="34">
        <f t="shared" si="135"/>
        <v>524379.70993948274</v>
      </c>
      <c r="AB153" s="34">
        <f t="shared" si="136"/>
        <v>0</v>
      </c>
      <c r="AC153" s="34">
        <f t="shared" si="137"/>
        <v>0</v>
      </c>
      <c r="AD153" s="34">
        <f t="shared" si="138"/>
        <v>0</v>
      </c>
      <c r="AE153" s="34">
        <f t="shared" si="139"/>
        <v>0</v>
      </c>
      <c r="AF153" s="34">
        <f t="shared" si="140"/>
        <v>0</v>
      </c>
      <c r="AG153" s="29">
        <f t="shared" si="141"/>
        <v>524379.70993948274</v>
      </c>
      <c r="AH153" s="34">
        <f t="shared" si="142"/>
        <v>0</v>
      </c>
      <c r="AI153" s="34">
        <f t="shared" si="143"/>
        <v>0</v>
      </c>
      <c r="AJ153" s="34">
        <f t="shared" si="144"/>
        <v>0</v>
      </c>
      <c r="AK153" s="34">
        <f t="shared" si="145"/>
        <v>0</v>
      </c>
      <c r="AL153" s="34">
        <f t="shared" si="146"/>
        <v>0</v>
      </c>
      <c r="AM153" s="34">
        <f t="shared" si="147"/>
        <v>0</v>
      </c>
      <c r="AN153" s="34">
        <f t="shared" si="148"/>
        <v>0</v>
      </c>
      <c r="AO153" s="34">
        <f t="shared" si="149"/>
        <v>0</v>
      </c>
      <c r="AP153" s="34">
        <f t="shared" si="150"/>
        <v>0</v>
      </c>
      <c r="AQ153" s="34">
        <f t="shared" si="151"/>
        <v>0</v>
      </c>
      <c r="AR153" s="34">
        <f t="shared" si="152"/>
        <v>0</v>
      </c>
      <c r="AS153" s="30">
        <f t="shared" si="153"/>
        <v>1.1315065121807248</v>
      </c>
      <c r="AT153" s="29">
        <f t="shared" si="154"/>
        <v>0</v>
      </c>
      <c r="AU153" s="29">
        <f t="shared" si="155"/>
        <v>0</v>
      </c>
      <c r="AV153" s="34">
        <f t="shared" si="156"/>
        <v>0</v>
      </c>
      <c r="AW153" s="34">
        <f t="shared" si="157"/>
        <v>0</v>
      </c>
      <c r="AX153" s="29">
        <f t="shared" si="158"/>
        <v>0</v>
      </c>
      <c r="AY153" s="34">
        <f t="shared" si="159"/>
        <v>0</v>
      </c>
      <c r="AZ153" s="37">
        <f t="shared" si="160"/>
        <v>0</v>
      </c>
      <c r="BA153" s="37">
        <f t="shared" si="161"/>
        <v>0</v>
      </c>
      <c r="BB153" s="35">
        <f t="shared" si="162"/>
        <v>1.0431607922198882E-3</v>
      </c>
      <c r="BC153" s="31">
        <f t="shared" si="163"/>
        <v>0.85611553201946478</v>
      </c>
      <c r="BD153" s="34">
        <f t="shared" si="164"/>
        <v>0</v>
      </c>
    </row>
    <row r="154" spans="1:56" x14ac:dyDescent="0.2">
      <c r="A154" s="27">
        <f t="shared" si="165"/>
        <v>150</v>
      </c>
      <c r="B154" s="28">
        <f t="shared" si="112"/>
        <v>150</v>
      </c>
      <c r="C154" s="27">
        <f t="shared" si="113"/>
        <v>12</v>
      </c>
      <c r="D154" s="28">
        <f t="shared" si="114"/>
        <v>32</v>
      </c>
      <c r="E154" s="29">
        <f t="shared" si="115"/>
        <v>0</v>
      </c>
      <c r="F154" s="30">
        <f t="shared" si="116"/>
        <v>5.3746748522620754E-4</v>
      </c>
      <c r="G154" s="31">
        <f t="shared" si="117"/>
        <v>4.4799994171063062E-5</v>
      </c>
      <c r="H154" s="32">
        <f t="shared" si="118"/>
        <v>0.02</v>
      </c>
      <c r="I154" s="32">
        <f t="shared" si="119"/>
        <v>0</v>
      </c>
      <c r="J154" s="33">
        <f t="shared" si="166"/>
        <v>0</v>
      </c>
      <c r="K154" s="30">
        <f t="shared" si="120"/>
        <v>0</v>
      </c>
      <c r="L154" s="33">
        <f t="shared" si="121"/>
        <v>0</v>
      </c>
      <c r="M154" s="30">
        <f t="shared" si="122"/>
        <v>0</v>
      </c>
      <c r="N154" s="33">
        <f t="shared" si="123"/>
        <v>0</v>
      </c>
      <c r="O154" s="31">
        <f t="shared" si="124"/>
        <v>0</v>
      </c>
      <c r="P154" s="33">
        <f t="shared" si="125"/>
        <v>0</v>
      </c>
      <c r="Q154" s="34">
        <f t="shared" si="167"/>
        <v>526106.47673506802</v>
      </c>
      <c r="R154" s="29">
        <f t="shared" si="126"/>
        <v>0</v>
      </c>
      <c r="S154" s="34">
        <f t="shared" si="127"/>
        <v>526106.47673506802</v>
      </c>
      <c r="T154" s="29">
        <f t="shared" si="128"/>
        <v>438.42206394589005</v>
      </c>
      <c r="U154" s="29">
        <f t="shared" si="129"/>
        <v>0</v>
      </c>
      <c r="V154" s="35">
        <f t="shared" si="130"/>
        <v>4.9279993588169375E-5</v>
      </c>
      <c r="W154" s="34">
        <f t="shared" si="131"/>
        <v>0</v>
      </c>
      <c r="X154" s="34">
        <f t="shared" si="132"/>
        <v>525668.05467112211</v>
      </c>
      <c r="Y154" s="36">
        <f t="shared" si="133"/>
        <v>-3.1595342835610829E-4</v>
      </c>
      <c r="Z154" s="34">
        <f t="shared" si="134"/>
        <v>-166.08662405062719</v>
      </c>
      <c r="AA154" s="34">
        <f t="shared" si="135"/>
        <v>525585.01135909685</v>
      </c>
      <c r="AB154" s="34">
        <f t="shared" si="136"/>
        <v>0</v>
      </c>
      <c r="AC154" s="34">
        <f t="shared" si="137"/>
        <v>0</v>
      </c>
      <c r="AD154" s="34">
        <f t="shared" si="138"/>
        <v>0</v>
      </c>
      <c r="AE154" s="34">
        <f t="shared" si="139"/>
        <v>0</v>
      </c>
      <c r="AF154" s="34">
        <f t="shared" si="140"/>
        <v>0</v>
      </c>
      <c r="AG154" s="29">
        <f t="shared" si="141"/>
        <v>525585.01135909685</v>
      </c>
      <c r="AH154" s="34">
        <f t="shared" si="142"/>
        <v>0</v>
      </c>
      <c r="AI154" s="34">
        <f t="shared" si="143"/>
        <v>0</v>
      </c>
      <c r="AJ154" s="34">
        <f t="shared" si="144"/>
        <v>0</v>
      </c>
      <c r="AK154" s="34">
        <f t="shared" si="145"/>
        <v>0</v>
      </c>
      <c r="AL154" s="34">
        <f t="shared" si="146"/>
        <v>0</v>
      </c>
      <c r="AM154" s="34">
        <f t="shared" si="147"/>
        <v>0</v>
      </c>
      <c r="AN154" s="34">
        <f t="shared" si="148"/>
        <v>0</v>
      </c>
      <c r="AO154" s="34">
        <f t="shared" si="149"/>
        <v>0</v>
      </c>
      <c r="AP154" s="34">
        <f t="shared" si="150"/>
        <v>0</v>
      </c>
      <c r="AQ154" s="34">
        <f t="shared" si="151"/>
        <v>0</v>
      </c>
      <c r="AR154" s="34">
        <f t="shared" si="152"/>
        <v>0</v>
      </c>
      <c r="AS154" s="30">
        <f t="shared" si="153"/>
        <v>1.1324451399592097</v>
      </c>
      <c r="AT154" s="29">
        <f t="shared" si="154"/>
        <v>0</v>
      </c>
      <c r="AU154" s="29">
        <f t="shared" si="155"/>
        <v>0</v>
      </c>
      <c r="AV154" s="34">
        <f t="shared" si="156"/>
        <v>0</v>
      </c>
      <c r="AW154" s="34">
        <f t="shared" si="157"/>
        <v>0</v>
      </c>
      <c r="AX154" s="29">
        <f t="shared" si="158"/>
        <v>0</v>
      </c>
      <c r="AY154" s="34">
        <f t="shared" si="159"/>
        <v>0</v>
      </c>
      <c r="AZ154" s="37">
        <f t="shared" si="160"/>
        <v>0</v>
      </c>
      <c r="BA154" s="37">
        <f t="shared" si="161"/>
        <v>0</v>
      </c>
      <c r="BB154" s="35">
        <f t="shared" si="162"/>
        <v>1.0431607922198882E-3</v>
      </c>
      <c r="BC154" s="31">
        <f t="shared" si="163"/>
        <v>0.85522339650364321</v>
      </c>
      <c r="BD154" s="34">
        <f t="shared" si="164"/>
        <v>0</v>
      </c>
    </row>
    <row r="155" spans="1:56" x14ac:dyDescent="0.2">
      <c r="A155" s="27">
        <f t="shared" si="165"/>
        <v>151</v>
      </c>
      <c r="B155" s="28">
        <f t="shared" si="112"/>
        <v>151</v>
      </c>
      <c r="C155" s="27">
        <f t="shared" si="113"/>
        <v>12</v>
      </c>
      <c r="D155" s="28">
        <f t="shared" si="114"/>
        <v>32</v>
      </c>
      <c r="E155" s="29">
        <f t="shared" si="115"/>
        <v>0</v>
      </c>
      <c r="F155" s="30">
        <f t="shared" si="116"/>
        <v>5.3746748522620754E-4</v>
      </c>
      <c r="G155" s="31">
        <f t="shared" si="117"/>
        <v>4.4799994171063062E-5</v>
      </c>
      <c r="H155" s="32">
        <f t="shared" si="118"/>
        <v>0.02</v>
      </c>
      <c r="I155" s="32">
        <f t="shared" si="119"/>
        <v>0</v>
      </c>
      <c r="J155" s="33">
        <f t="shared" si="166"/>
        <v>0</v>
      </c>
      <c r="K155" s="30">
        <f t="shared" si="120"/>
        <v>0</v>
      </c>
      <c r="L155" s="33">
        <f t="shared" si="121"/>
        <v>0</v>
      </c>
      <c r="M155" s="30">
        <f t="shared" si="122"/>
        <v>0</v>
      </c>
      <c r="N155" s="33">
        <f t="shared" si="123"/>
        <v>0</v>
      </c>
      <c r="O155" s="31">
        <f t="shared" si="124"/>
        <v>0</v>
      </c>
      <c r="P155" s="33">
        <f t="shared" si="125"/>
        <v>0</v>
      </c>
      <c r="Q155" s="34">
        <f t="shared" si="167"/>
        <v>525501.96804707148</v>
      </c>
      <c r="R155" s="29">
        <f t="shared" si="126"/>
        <v>0</v>
      </c>
      <c r="S155" s="34">
        <f t="shared" si="127"/>
        <v>525501.96804707148</v>
      </c>
      <c r="T155" s="29">
        <f t="shared" si="128"/>
        <v>437.91830670589292</v>
      </c>
      <c r="U155" s="29">
        <f t="shared" si="129"/>
        <v>0</v>
      </c>
      <c r="V155" s="35">
        <f t="shared" si="130"/>
        <v>4.9279993588169375E-5</v>
      </c>
      <c r="W155" s="34">
        <f t="shared" si="131"/>
        <v>0</v>
      </c>
      <c r="X155" s="34">
        <f t="shared" si="132"/>
        <v>525064.04974036559</v>
      </c>
      <c r="Y155" s="36">
        <f t="shared" si="133"/>
        <v>1.4470418566652876E-2</v>
      </c>
      <c r="Z155" s="34">
        <f t="shared" si="134"/>
        <v>7597.8965740449357</v>
      </c>
      <c r="AA155" s="34">
        <f t="shared" si="135"/>
        <v>528862.99802738801</v>
      </c>
      <c r="AB155" s="34">
        <f t="shared" si="136"/>
        <v>0</v>
      </c>
      <c r="AC155" s="34">
        <f t="shared" si="137"/>
        <v>0</v>
      </c>
      <c r="AD155" s="34">
        <f t="shared" si="138"/>
        <v>0</v>
      </c>
      <c r="AE155" s="34">
        <f t="shared" si="139"/>
        <v>0</v>
      </c>
      <c r="AF155" s="34">
        <f t="shared" si="140"/>
        <v>0</v>
      </c>
      <c r="AG155" s="29">
        <f t="shared" si="141"/>
        <v>528862.99802738801</v>
      </c>
      <c r="AH155" s="34">
        <f t="shared" si="142"/>
        <v>0</v>
      </c>
      <c r="AI155" s="34">
        <f t="shared" si="143"/>
        <v>0</v>
      </c>
      <c r="AJ155" s="34">
        <f t="shared" si="144"/>
        <v>0</v>
      </c>
      <c r="AK155" s="34">
        <f t="shared" si="145"/>
        <v>0</v>
      </c>
      <c r="AL155" s="34">
        <f t="shared" si="146"/>
        <v>0</v>
      </c>
      <c r="AM155" s="34">
        <f t="shared" si="147"/>
        <v>0</v>
      </c>
      <c r="AN155" s="34">
        <f t="shared" si="148"/>
        <v>0</v>
      </c>
      <c r="AO155" s="34">
        <f t="shared" si="149"/>
        <v>0</v>
      </c>
      <c r="AP155" s="34">
        <f t="shared" si="150"/>
        <v>0</v>
      </c>
      <c r="AQ155" s="34">
        <f t="shared" si="151"/>
        <v>0</v>
      </c>
      <c r="AR155" s="34">
        <f t="shared" si="152"/>
        <v>0</v>
      </c>
      <c r="AS155" s="30">
        <f t="shared" si="153"/>
        <v>1.1333845463652119</v>
      </c>
      <c r="AT155" s="29">
        <f t="shared" si="154"/>
        <v>0</v>
      </c>
      <c r="AU155" s="29">
        <f t="shared" si="155"/>
        <v>0</v>
      </c>
      <c r="AV155" s="34">
        <f t="shared" si="156"/>
        <v>0</v>
      </c>
      <c r="AW155" s="34">
        <f t="shared" si="157"/>
        <v>0</v>
      </c>
      <c r="AX155" s="29">
        <f t="shared" si="158"/>
        <v>0</v>
      </c>
      <c r="AY155" s="34">
        <f t="shared" si="159"/>
        <v>0</v>
      </c>
      <c r="AZ155" s="37">
        <f t="shared" si="160"/>
        <v>0</v>
      </c>
      <c r="BA155" s="37">
        <f t="shared" si="161"/>
        <v>0</v>
      </c>
      <c r="BB155" s="35">
        <f t="shared" si="162"/>
        <v>1.0431607922198882E-3</v>
      </c>
      <c r="BC155" s="31">
        <f t="shared" si="163"/>
        <v>0.8543321906588166</v>
      </c>
      <c r="BD155" s="34">
        <f t="shared" si="164"/>
        <v>0</v>
      </c>
    </row>
    <row r="156" spans="1:56" x14ac:dyDescent="0.2">
      <c r="A156" s="27">
        <f t="shared" si="165"/>
        <v>152</v>
      </c>
      <c r="B156" s="28">
        <f t="shared" si="112"/>
        <v>152</v>
      </c>
      <c r="C156" s="27">
        <f t="shared" si="113"/>
        <v>12</v>
      </c>
      <c r="D156" s="28">
        <f t="shared" si="114"/>
        <v>32</v>
      </c>
      <c r="E156" s="29">
        <f t="shared" si="115"/>
        <v>0</v>
      </c>
      <c r="F156" s="30">
        <f t="shared" si="116"/>
        <v>5.3746748522620754E-4</v>
      </c>
      <c r="G156" s="31">
        <f t="shared" si="117"/>
        <v>4.4799994171063062E-5</v>
      </c>
      <c r="H156" s="32">
        <f t="shared" si="118"/>
        <v>0.02</v>
      </c>
      <c r="I156" s="32">
        <f t="shared" si="119"/>
        <v>0</v>
      </c>
      <c r="J156" s="33">
        <f t="shared" si="166"/>
        <v>0</v>
      </c>
      <c r="K156" s="30">
        <f t="shared" si="120"/>
        <v>0</v>
      </c>
      <c r="L156" s="33">
        <f t="shared" si="121"/>
        <v>0</v>
      </c>
      <c r="M156" s="30">
        <f t="shared" si="122"/>
        <v>0</v>
      </c>
      <c r="N156" s="33">
        <f t="shared" si="123"/>
        <v>0</v>
      </c>
      <c r="O156" s="31">
        <f t="shared" si="124"/>
        <v>0</v>
      </c>
      <c r="P156" s="33">
        <f t="shared" si="125"/>
        <v>0</v>
      </c>
      <c r="Q156" s="34">
        <f t="shared" si="167"/>
        <v>532661.94631441054</v>
      </c>
      <c r="R156" s="29">
        <f t="shared" si="126"/>
        <v>0</v>
      </c>
      <c r="S156" s="34">
        <f t="shared" si="127"/>
        <v>532661.94631441054</v>
      </c>
      <c r="T156" s="29">
        <f t="shared" si="128"/>
        <v>443.88495526200882</v>
      </c>
      <c r="U156" s="29">
        <f t="shared" si="129"/>
        <v>0</v>
      </c>
      <c r="V156" s="35">
        <f t="shared" si="130"/>
        <v>4.9279993588169375E-5</v>
      </c>
      <c r="W156" s="34">
        <f t="shared" si="131"/>
        <v>0</v>
      </c>
      <c r="X156" s="34">
        <f t="shared" si="132"/>
        <v>532218.06135914847</v>
      </c>
      <c r="Y156" s="36">
        <f t="shared" si="133"/>
        <v>5.5672247353519833E-3</v>
      </c>
      <c r="Z156" s="34">
        <f t="shared" si="134"/>
        <v>2962.9775557997309</v>
      </c>
      <c r="AA156" s="34">
        <f t="shared" si="135"/>
        <v>533699.55013704835</v>
      </c>
      <c r="AB156" s="34">
        <f t="shared" si="136"/>
        <v>0</v>
      </c>
      <c r="AC156" s="34">
        <f t="shared" si="137"/>
        <v>0</v>
      </c>
      <c r="AD156" s="34">
        <f t="shared" si="138"/>
        <v>0</v>
      </c>
      <c r="AE156" s="34">
        <f t="shared" si="139"/>
        <v>0</v>
      </c>
      <c r="AF156" s="34">
        <f t="shared" si="140"/>
        <v>0</v>
      </c>
      <c r="AG156" s="29">
        <f t="shared" si="141"/>
        <v>533699.55013704835</v>
      </c>
      <c r="AH156" s="34">
        <f t="shared" si="142"/>
        <v>0</v>
      </c>
      <c r="AI156" s="34">
        <f t="shared" si="143"/>
        <v>0</v>
      </c>
      <c r="AJ156" s="34">
        <f t="shared" si="144"/>
        <v>0</v>
      </c>
      <c r="AK156" s="34">
        <f t="shared" si="145"/>
        <v>0</v>
      </c>
      <c r="AL156" s="34">
        <f t="shared" si="146"/>
        <v>0</v>
      </c>
      <c r="AM156" s="34">
        <f t="shared" si="147"/>
        <v>0</v>
      </c>
      <c r="AN156" s="34">
        <f t="shared" si="148"/>
        <v>0</v>
      </c>
      <c r="AO156" s="34">
        <f t="shared" si="149"/>
        <v>0</v>
      </c>
      <c r="AP156" s="34">
        <f t="shared" si="150"/>
        <v>0</v>
      </c>
      <c r="AQ156" s="34">
        <f t="shared" si="151"/>
        <v>0</v>
      </c>
      <c r="AR156" s="34">
        <f t="shared" si="152"/>
        <v>0</v>
      </c>
      <c r="AS156" s="30">
        <f t="shared" si="153"/>
        <v>1.134324732044633</v>
      </c>
      <c r="AT156" s="29">
        <f t="shared" si="154"/>
        <v>0</v>
      </c>
      <c r="AU156" s="29">
        <f t="shared" si="155"/>
        <v>0</v>
      </c>
      <c r="AV156" s="34">
        <f t="shared" si="156"/>
        <v>0</v>
      </c>
      <c r="AW156" s="34">
        <f t="shared" si="157"/>
        <v>0</v>
      </c>
      <c r="AX156" s="29">
        <f t="shared" si="158"/>
        <v>0</v>
      </c>
      <c r="AY156" s="34">
        <f t="shared" si="159"/>
        <v>0</v>
      </c>
      <c r="AZ156" s="37">
        <f t="shared" si="160"/>
        <v>0</v>
      </c>
      <c r="BA156" s="37">
        <f t="shared" si="161"/>
        <v>0</v>
      </c>
      <c r="BB156" s="35">
        <f t="shared" si="162"/>
        <v>1.0431607922198882E-3</v>
      </c>
      <c r="BC156" s="31">
        <f t="shared" si="163"/>
        <v>0.85344191351619958</v>
      </c>
      <c r="BD156" s="34">
        <f t="shared" si="164"/>
        <v>0</v>
      </c>
    </row>
    <row r="157" spans="1:56" x14ac:dyDescent="0.2">
      <c r="A157" s="27">
        <f t="shared" si="165"/>
        <v>153</v>
      </c>
      <c r="B157" s="28">
        <f t="shared" si="112"/>
        <v>153</v>
      </c>
      <c r="C157" s="27">
        <f t="shared" si="113"/>
        <v>12</v>
      </c>
      <c r="D157" s="28">
        <f t="shared" si="114"/>
        <v>32</v>
      </c>
      <c r="E157" s="29">
        <f t="shared" si="115"/>
        <v>0</v>
      </c>
      <c r="F157" s="30">
        <f t="shared" si="116"/>
        <v>5.3746748522620754E-4</v>
      </c>
      <c r="G157" s="31">
        <f t="shared" si="117"/>
        <v>4.4799994171063062E-5</v>
      </c>
      <c r="H157" s="32">
        <f t="shared" si="118"/>
        <v>0.02</v>
      </c>
      <c r="I157" s="32">
        <f t="shared" si="119"/>
        <v>0</v>
      </c>
      <c r="J157" s="33">
        <f t="shared" si="166"/>
        <v>0</v>
      </c>
      <c r="K157" s="30">
        <f t="shared" si="120"/>
        <v>0</v>
      </c>
      <c r="L157" s="33">
        <f t="shared" si="121"/>
        <v>0</v>
      </c>
      <c r="M157" s="30">
        <f t="shared" si="122"/>
        <v>0</v>
      </c>
      <c r="N157" s="33">
        <f t="shared" si="123"/>
        <v>0</v>
      </c>
      <c r="O157" s="31">
        <f t="shared" si="124"/>
        <v>0</v>
      </c>
      <c r="P157" s="33">
        <f t="shared" si="125"/>
        <v>0</v>
      </c>
      <c r="Q157" s="34">
        <f t="shared" si="167"/>
        <v>535181.03891494824</v>
      </c>
      <c r="R157" s="29">
        <f t="shared" si="126"/>
        <v>0</v>
      </c>
      <c r="S157" s="34">
        <f t="shared" si="127"/>
        <v>535181.03891494824</v>
      </c>
      <c r="T157" s="29">
        <f t="shared" si="128"/>
        <v>445.98419909579025</v>
      </c>
      <c r="U157" s="29">
        <f t="shared" si="129"/>
        <v>0</v>
      </c>
      <c r="V157" s="35">
        <f t="shared" si="130"/>
        <v>4.9279993588169375E-5</v>
      </c>
      <c r="W157" s="34">
        <f t="shared" si="131"/>
        <v>0</v>
      </c>
      <c r="X157" s="34">
        <f t="shared" si="132"/>
        <v>534735.05471585249</v>
      </c>
      <c r="Y157" s="36">
        <f t="shared" si="133"/>
        <v>5.1822024179992709E-3</v>
      </c>
      <c r="Z157" s="34">
        <f t="shared" si="134"/>
        <v>2771.1052935374632</v>
      </c>
      <c r="AA157" s="34">
        <f t="shared" si="135"/>
        <v>536120.60736262123</v>
      </c>
      <c r="AB157" s="34">
        <f t="shared" si="136"/>
        <v>0</v>
      </c>
      <c r="AC157" s="34">
        <f t="shared" si="137"/>
        <v>0</v>
      </c>
      <c r="AD157" s="34">
        <f t="shared" si="138"/>
        <v>0</v>
      </c>
      <c r="AE157" s="34">
        <f t="shared" si="139"/>
        <v>0</v>
      </c>
      <c r="AF157" s="34">
        <f t="shared" si="140"/>
        <v>0</v>
      </c>
      <c r="AG157" s="29">
        <f t="shared" si="141"/>
        <v>536120.60736262123</v>
      </c>
      <c r="AH157" s="34">
        <f t="shared" si="142"/>
        <v>0</v>
      </c>
      <c r="AI157" s="34">
        <f t="shared" si="143"/>
        <v>0</v>
      </c>
      <c r="AJ157" s="34">
        <f t="shared" si="144"/>
        <v>0</v>
      </c>
      <c r="AK157" s="34">
        <f t="shared" si="145"/>
        <v>0</v>
      </c>
      <c r="AL157" s="34">
        <f t="shared" si="146"/>
        <v>0</v>
      </c>
      <c r="AM157" s="34">
        <f t="shared" si="147"/>
        <v>0</v>
      </c>
      <c r="AN157" s="34">
        <f t="shared" si="148"/>
        <v>0</v>
      </c>
      <c r="AO157" s="34">
        <f t="shared" si="149"/>
        <v>0</v>
      </c>
      <c r="AP157" s="34">
        <f t="shared" si="150"/>
        <v>0</v>
      </c>
      <c r="AQ157" s="34">
        <f t="shared" si="151"/>
        <v>0</v>
      </c>
      <c r="AR157" s="34">
        <f t="shared" si="152"/>
        <v>0</v>
      </c>
      <c r="AS157" s="30">
        <f t="shared" si="153"/>
        <v>1.1352656976439095</v>
      </c>
      <c r="AT157" s="29">
        <f t="shared" si="154"/>
        <v>0</v>
      </c>
      <c r="AU157" s="29">
        <f t="shared" si="155"/>
        <v>0</v>
      </c>
      <c r="AV157" s="34">
        <f t="shared" si="156"/>
        <v>0</v>
      </c>
      <c r="AW157" s="34">
        <f t="shared" si="157"/>
        <v>0</v>
      </c>
      <c r="AX157" s="29">
        <f t="shared" si="158"/>
        <v>0</v>
      </c>
      <c r="AY157" s="34">
        <f t="shared" si="159"/>
        <v>0</v>
      </c>
      <c r="AZ157" s="37">
        <f t="shared" si="160"/>
        <v>0</v>
      </c>
      <c r="BA157" s="37">
        <f t="shared" si="161"/>
        <v>0</v>
      </c>
      <c r="BB157" s="35">
        <f t="shared" si="162"/>
        <v>1.0431607922198882E-3</v>
      </c>
      <c r="BC157" s="31">
        <f t="shared" si="163"/>
        <v>0.85255256410801539</v>
      </c>
      <c r="BD157" s="34">
        <f t="shared" si="164"/>
        <v>0</v>
      </c>
    </row>
    <row r="158" spans="1:56" x14ac:dyDescent="0.2">
      <c r="A158" s="27">
        <f t="shared" si="165"/>
        <v>154</v>
      </c>
      <c r="B158" s="28">
        <f t="shared" si="112"/>
        <v>154</v>
      </c>
      <c r="C158" s="27">
        <f t="shared" si="113"/>
        <v>12</v>
      </c>
      <c r="D158" s="28">
        <f t="shared" si="114"/>
        <v>32</v>
      </c>
      <c r="E158" s="29">
        <f t="shared" si="115"/>
        <v>0</v>
      </c>
      <c r="F158" s="30">
        <f t="shared" si="116"/>
        <v>5.3746748522620754E-4</v>
      </c>
      <c r="G158" s="31">
        <f t="shared" si="117"/>
        <v>4.4799994171063062E-5</v>
      </c>
      <c r="H158" s="32">
        <f t="shared" si="118"/>
        <v>0.02</v>
      </c>
      <c r="I158" s="32">
        <f t="shared" si="119"/>
        <v>0</v>
      </c>
      <c r="J158" s="33">
        <f t="shared" si="166"/>
        <v>0</v>
      </c>
      <c r="K158" s="30">
        <f t="shared" si="120"/>
        <v>0</v>
      </c>
      <c r="L158" s="33">
        <f t="shared" si="121"/>
        <v>0</v>
      </c>
      <c r="M158" s="30">
        <f t="shared" si="122"/>
        <v>0</v>
      </c>
      <c r="N158" s="33">
        <f t="shared" si="123"/>
        <v>0</v>
      </c>
      <c r="O158" s="31">
        <f t="shared" si="124"/>
        <v>0</v>
      </c>
      <c r="P158" s="33">
        <f t="shared" si="125"/>
        <v>0</v>
      </c>
      <c r="Q158" s="34">
        <f t="shared" si="167"/>
        <v>537506.16000938998</v>
      </c>
      <c r="R158" s="29">
        <f t="shared" si="126"/>
        <v>0</v>
      </c>
      <c r="S158" s="34">
        <f t="shared" si="127"/>
        <v>537506.16000938998</v>
      </c>
      <c r="T158" s="29">
        <f t="shared" si="128"/>
        <v>447.92180000782503</v>
      </c>
      <c r="U158" s="29">
        <f t="shared" si="129"/>
        <v>0</v>
      </c>
      <c r="V158" s="35">
        <f t="shared" si="130"/>
        <v>4.9279993588169375E-5</v>
      </c>
      <c r="W158" s="34">
        <f t="shared" si="131"/>
        <v>0</v>
      </c>
      <c r="X158" s="34">
        <f t="shared" si="132"/>
        <v>537058.23820938217</v>
      </c>
      <c r="Y158" s="36">
        <f t="shared" si="133"/>
        <v>9.3422818254640383E-3</v>
      </c>
      <c r="Z158" s="34">
        <f t="shared" si="134"/>
        <v>5017.3494180392472</v>
      </c>
      <c r="AA158" s="34">
        <f t="shared" si="135"/>
        <v>539566.91291840177</v>
      </c>
      <c r="AB158" s="34">
        <f t="shared" si="136"/>
        <v>0</v>
      </c>
      <c r="AC158" s="34">
        <f t="shared" si="137"/>
        <v>0</v>
      </c>
      <c r="AD158" s="34">
        <f t="shared" si="138"/>
        <v>0</v>
      </c>
      <c r="AE158" s="34">
        <f t="shared" si="139"/>
        <v>0</v>
      </c>
      <c r="AF158" s="34">
        <f t="shared" si="140"/>
        <v>0</v>
      </c>
      <c r="AG158" s="29">
        <f t="shared" si="141"/>
        <v>539566.91291840177</v>
      </c>
      <c r="AH158" s="34">
        <f t="shared" si="142"/>
        <v>0</v>
      </c>
      <c r="AI158" s="34">
        <f t="shared" si="143"/>
        <v>0</v>
      </c>
      <c r="AJ158" s="34">
        <f t="shared" si="144"/>
        <v>0</v>
      </c>
      <c r="AK158" s="34">
        <f t="shared" si="145"/>
        <v>0</v>
      </c>
      <c r="AL158" s="34">
        <f t="shared" si="146"/>
        <v>0</v>
      </c>
      <c r="AM158" s="34">
        <f t="shared" si="147"/>
        <v>0</v>
      </c>
      <c r="AN158" s="34">
        <f t="shared" si="148"/>
        <v>0</v>
      </c>
      <c r="AO158" s="34">
        <f t="shared" si="149"/>
        <v>0</v>
      </c>
      <c r="AP158" s="34">
        <f t="shared" si="150"/>
        <v>0</v>
      </c>
      <c r="AQ158" s="34">
        <f t="shared" si="151"/>
        <v>0</v>
      </c>
      <c r="AR158" s="34">
        <f t="shared" si="152"/>
        <v>0</v>
      </c>
      <c r="AS158" s="30">
        <f t="shared" si="153"/>
        <v>1.1362074438100149</v>
      </c>
      <c r="AT158" s="29">
        <f t="shared" si="154"/>
        <v>0</v>
      </c>
      <c r="AU158" s="29">
        <f t="shared" si="155"/>
        <v>0</v>
      </c>
      <c r="AV158" s="34">
        <f t="shared" si="156"/>
        <v>0</v>
      </c>
      <c r="AW158" s="34">
        <f t="shared" si="157"/>
        <v>0</v>
      </c>
      <c r="AX158" s="29">
        <f t="shared" si="158"/>
        <v>0</v>
      </c>
      <c r="AY158" s="34">
        <f t="shared" si="159"/>
        <v>0</v>
      </c>
      <c r="AZ158" s="37">
        <f t="shared" si="160"/>
        <v>0</v>
      </c>
      <c r="BA158" s="37">
        <f t="shared" si="161"/>
        <v>0</v>
      </c>
      <c r="BB158" s="35">
        <f t="shared" si="162"/>
        <v>1.0431607922198882E-3</v>
      </c>
      <c r="BC158" s="31">
        <f t="shared" si="163"/>
        <v>0.85166414146749703</v>
      </c>
      <c r="BD158" s="34">
        <f t="shared" si="164"/>
        <v>0</v>
      </c>
    </row>
    <row r="159" spans="1:56" x14ac:dyDescent="0.2">
      <c r="A159" s="27">
        <f t="shared" si="165"/>
        <v>155</v>
      </c>
      <c r="B159" s="28">
        <f t="shared" si="112"/>
        <v>155</v>
      </c>
      <c r="C159" s="27">
        <f t="shared" si="113"/>
        <v>12</v>
      </c>
      <c r="D159" s="28">
        <f t="shared" si="114"/>
        <v>32</v>
      </c>
      <c r="E159" s="29">
        <f t="shared" si="115"/>
        <v>0</v>
      </c>
      <c r="F159" s="30">
        <f t="shared" si="116"/>
        <v>5.3746748522620754E-4</v>
      </c>
      <c r="G159" s="31">
        <f t="shared" si="117"/>
        <v>4.4799994171063062E-5</v>
      </c>
      <c r="H159" s="32">
        <f t="shared" si="118"/>
        <v>0.02</v>
      </c>
      <c r="I159" s="32">
        <f t="shared" si="119"/>
        <v>0</v>
      </c>
      <c r="J159" s="33">
        <f t="shared" si="166"/>
        <v>0</v>
      </c>
      <c r="K159" s="30">
        <f t="shared" si="120"/>
        <v>0</v>
      </c>
      <c r="L159" s="33">
        <f t="shared" si="121"/>
        <v>0</v>
      </c>
      <c r="M159" s="30">
        <f t="shared" si="122"/>
        <v>0</v>
      </c>
      <c r="N159" s="33">
        <f t="shared" si="123"/>
        <v>0</v>
      </c>
      <c r="O159" s="31">
        <f t="shared" si="124"/>
        <v>0</v>
      </c>
      <c r="P159" s="33">
        <f t="shared" si="125"/>
        <v>0</v>
      </c>
      <c r="Q159" s="34">
        <f t="shared" si="167"/>
        <v>542075.58762742137</v>
      </c>
      <c r="R159" s="29">
        <f t="shared" si="126"/>
        <v>0</v>
      </c>
      <c r="S159" s="34">
        <f t="shared" si="127"/>
        <v>542075.58762742137</v>
      </c>
      <c r="T159" s="29">
        <f t="shared" si="128"/>
        <v>451.72965635618448</v>
      </c>
      <c r="U159" s="29">
        <f t="shared" si="129"/>
        <v>0</v>
      </c>
      <c r="V159" s="35">
        <f t="shared" si="130"/>
        <v>4.9279993588169375E-5</v>
      </c>
      <c r="W159" s="34">
        <f t="shared" si="131"/>
        <v>0</v>
      </c>
      <c r="X159" s="34">
        <f t="shared" si="132"/>
        <v>541623.85797106521</v>
      </c>
      <c r="Y159" s="36">
        <f t="shared" si="133"/>
        <v>9.2227041934127563E-3</v>
      </c>
      <c r="Z159" s="34">
        <f t="shared" si="134"/>
        <v>4995.2366261621382</v>
      </c>
      <c r="AA159" s="34">
        <f t="shared" si="135"/>
        <v>544121.47628414631</v>
      </c>
      <c r="AB159" s="34">
        <f t="shared" si="136"/>
        <v>0</v>
      </c>
      <c r="AC159" s="34">
        <f t="shared" si="137"/>
        <v>0</v>
      </c>
      <c r="AD159" s="34">
        <f t="shared" si="138"/>
        <v>0</v>
      </c>
      <c r="AE159" s="34">
        <f t="shared" si="139"/>
        <v>0</v>
      </c>
      <c r="AF159" s="34">
        <f t="shared" si="140"/>
        <v>0</v>
      </c>
      <c r="AG159" s="29">
        <f t="shared" si="141"/>
        <v>544121.47628414631</v>
      </c>
      <c r="AH159" s="34">
        <f t="shared" si="142"/>
        <v>0</v>
      </c>
      <c r="AI159" s="34">
        <f t="shared" si="143"/>
        <v>0</v>
      </c>
      <c r="AJ159" s="34">
        <f t="shared" si="144"/>
        <v>0</v>
      </c>
      <c r="AK159" s="34">
        <f t="shared" si="145"/>
        <v>0</v>
      </c>
      <c r="AL159" s="34">
        <f t="shared" si="146"/>
        <v>0</v>
      </c>
      <c r="AM159" s="34">
        <f t="shared" si="147"/>
        <v>0</v>
      </c>
      <c r="AN159" s="34">
        <f t="shared" si="148"/>
        <v>0</v>
      </c>
      <c r="AO159" s="34">
        <f t="shared" si="149"/>
        <v>0</v>
      </c>
      <c r="AP159" s="34">
        <f t="shared" si="150"/>
        <v>0</v>
      </c>
      <c r="AQ159" s="34">
        <f t="shared" si="151"/>
        <v>0</v>
      </c>
      <c r="AR159" s="34">
        <f t="shared" si="152"/>
        <v>0</v>
      </c>
      <c r="AS159" s="30">
        <f t="shared" si="153"/>
        <v>1.1371499711904594</v>
      </c>
      <c r="AT159" s="29">
        <f t="shared" si="154"/>
        <v>0</v>
      </c>
      <c r="AU159" s="29">
        <f t="shared" si="155"/>
        <v>0</v>
      </c>
      <c r="AV159" s="34">
        <f t="shared" si="156"/>
        <v>0</v>
      </c>
      <c r="AW159" s="34">
        <f t="shared" si="157"/>
        <v>0</v>
      </c>
      <c r="AX159" s="29">
        <f t="shared" si="158"/>
        <v>0</v>
      </c>
      <c r="AY159" s="34">
        <f t="shared" si="159"/>
        <v>0</v>
      </c>
      <c r="AZ159" s="37">
        <f t="shared" si="160"/>
        <v>0</v>
      </c>
      <c r="BA159" s="37">
        <f t="shared" si="161"/>
        <v>0</v>
      </c>
      <c r="BB159" s="35">
        <f t="shared" si="162"/>
        <v>1.0431607922198882E-3</v>
      </c>
      <c r="BC159" s="31">
        <f t="shared" si="163"/>
        <v>0.85077664462888369</v>
      </c>
      <c r="BD159" s="34">
        <f t="shared" si="164"/>
        <v>0</v>
      </c>
    </row>
    <row r="160" spans="1:56" x14ac:dyDescent="0.2">
      <c r="A160" s="27">
        <f t="shared" si="165"/>
        <v>156</v>
      </c>
      <c r="B160" s="28">
        <f t="shared" si="112"/>
        <v>156</v>
      </c>
      <c r="C160" s="27">
        <f t="shared" si="113"/>
        <v>13</v>
      </c>
      <c r="D160" s="28">
        <f t="shared" si="114"/>
        <v>33</v>
      </c>
      <c r="E160" s="29">
        <f t="shared" si="115"/>
        <v>0</v>
      </c>
      <c r="F160" s="30">
        <f t="shared" si="116"/>
        <v>5.5709157395097692E-4</v>
      </c>
      <c r="G160" s="31">
        <f t="shared" si="117"/>
        <v>4.6436155734741469E-5</v>
      </c>
      <c r="H160" s="32">
        <f t="shared" si="118"/>
        <v>0.02</v>
      </c>
      <c r="I160" s="32">
        <f t="shared" si="119"/>
        <v>0</v>
      </c>
      <c r="J160" s="33">
        <f t="shared" si="166"/>
        <v>0</v>
      </c>
      <c r="K160" s="30">
        <f t="shared" si="120"/>
        <v>0</v>
      </c>
      <c r="L160" s="33">
        <f t="shared" si="121"/>
        <v>0</v>
      </c>
      <c r="M160" s="30">
        <f t="shared" si="122"/>
        <v>0</v>
      </c>
      <c r="N160" s="33">
        <f t="shared" si="123"/>
        <v>0</v>
      </c>
      <c r="O160" s="31">
        <f t="shared" si="124"/>
        <v>0</v>
      </c>
      <c r="P160" s="33">
        <f t="shared" si="125"/>
        <v>0</v>
      </c>
      <c r="Q160" s="34">
        <f t="shared" si="167"/>
        <v>546619.09459722741</v>
      </c>
      <c r="R160" s="29">
        <f t="shared" si="126"/>
        <v>0</v>
      </c>
      <c r="S160" s="34">
        <f t="shared" si="127"/>
        <v>546619.09459722741</v>
      </c>
      <c r="T160" s="29">
        <f t="shared" si="128"/>
        <v>455.51591216435622</v>
      </c>
      <c r="U160" s="29">
        <f t="shared" si="129"/>
        <v>0</v>
      </c>
      <c r="V160" s="35">
        <f t="shared" si="130"/>
        <v>5.1079771308215617E-5</v>
      </c>
      <c r="W160" s="34">
        <f t="shared" si="131"/>
        <v>0</v>
      </c>
      <c r="X160" s="34">
        <f t="shared" si="132"/>
        <v>546163.57868506305</v>
      </c>
      <c r="Y160" s="36">
        <f t="shared" si="133"/>
        <v>-6.2759515928733078E-3</v>
      </c>
      <c r="Z160" s="34">
        <f t="shared" si="134"/>
        <v>-3427.6961816179078</v>
      </c>
      <c r="AA160" s="34">
        <f t="shared" si="135"/>
        <v>544449.7305942541</v>
      </c>
      <c r="AB160" s="34">
        <f t="shared" si="136"/>
        <v>0</v>
      </c>
      <c r="AC160" s="34">
        <f t="shared" si="137"/>
        <v>0</v>
      </c>
      <c r="AD160" s="34">
        <f t="shared" si="138"/>
        <v>0</v>
      </c>
      <c r="AE160" s="34">
        <f t="shared" si="139"/>
        <v>0</v>
      </c>
      <c r="AF160" s="34">
        <f t="shared" si="140"/>
        <v>0</v>
      </c>
      <c r="AG160" s="29">
        <f t="shared" si="141"/>
        <v>544449.7305942541</v>
      </c>
      <c r="AH160" s="34">
        <f t="shared" si="142"/>
        <v>0</v>
      </c>
      <c r="AI160" s="34">
        <f t="shared" si="143"/>
        <v>0</v>
      </c>
      <c r="AJ160" s="34">
        <f t="shared" si="144"/>
        <v>0</v>
      </c>
      <c r="AK160" s="34">
        <f t="shared" si="145"/>
        <v>0</v>
      </c>
      <c r="AL160" s="34">
        <f t="shared" si="146"/>
        <v>0</v>
      </c>
      <c r="AM160" s="34">
        <f t="shared" si="147"/>
        <v>0</v>
      </c>
      <c r="AN160" s="34">
        <f t="shared" si="148"/>
        <v>0</v>
      </c>
      <c r="AO160" s="34">
        <f t="shared" si="149"/>
        <v>0</v>
      </c>
      <c r="AP160" s="34">
        <f t="shared" si="150"/>
        <v>0</v>
      </c>
      <c r="AQ160" s="34">
        <f t="shared" si="151"/>
        <v>0</v>
      </c>
      <c r="AR160" s="34">
        <f t="shared" si="152"/>
        <v>0</v>
      </c>
      <c r="AS160" s="30">
        <f t="shared" si="153"/>
        <v>1.1380932804332895</v>
      </c>
      <c r="AT160" s="29">
        <f t="shared" si="154"/>
        <v>0</v>
      </c>
      <c r="AU160" s="29">
        <f t="shared" si="155"/>
        <v>0</v>
      </c>
      <c r="AV160" s="34">
        <f t="shared" si="156"/>
        <v>0</v>
      </c>
      <c r="AW160" s="34">
        <f t="shared" si="157"/>
        <v>0</v>
      </c>
      <c r="AX160" s="29">
        <f t="shared" si="158"/>
        <v>0</v>
      </c>
      <c r="AY160" s="34">
        <f t="shared" si="159"/>
        <v>0</v>
      </c>
      <c r="AZ160" s="37">
        <f t="shared" si="160"/>
        <v>0</v>
      </c>
      <c r="BA160" s="37">
        <f t="shared" si="161"/>
        <v>0</v>
      </c>
      <c r="BB160" s="35">
        <f t="shared" si="162"/>
        <v>1.0645778676408035E-3</v>
      </c>
      <c r="BC160" s="31">
        <f t="shared" si="163"/>
        <v>0.84705825334419305</v>
      </c>
      <c r="BD160" s="34">
        <f t="shared" si="164"/>
        <v>0</v>
      </c>
    </row>
    <row r="161" spans="1:56" x14ac:dyDescent="0.2">
      <c r="A161" s="27">
        <f t="shared" si="165"/>
        <v>157</v>
      </c>
      <c r="B161" s="28">
        <f t="shared" si="112"/>
        <v>157</v>
      </c>
      <c r="C161" s="27">
        <f t="shared" si="113"/>
        <v>13</v>
      </c>
      <c r="D161" s="28">
        <f t="shared" si="114"/>
        <v>33</v>
      </c>
      <c r="E161" s="29">
        <f t="shared" si="115"/>
        <v>0</v>
      </c>
      <c r="F161" s="30">
        <f t="shared" si="116"/>
        <v>5.5709157395097692E-4</v>
      </c>
      <c r="G161" s="31">
        <f t="shared" si="117"/>
        <v>4.6436155734741469E-5</v>
      </c>
      <c r="H161" s="32">
        <f t="shared" si="118"/>
        <v>0.02</v>
      </c>
      <c r="I161" s="32">
        <f t="shared" si="119"/>
        <v>0</v>
      </c>
      <c r="J161" s="33">
        <f t="shared" si="166"/>
        <v>0</v>
      </c>
      <c r="K161" s="30">
        <f t="shared" si="120"/>
        <v>0</v>
      </c>
      <c r="L161" s="33">
        <f t="shared" si="121"/>
        <v>0</v>
      </c>
      <c r="M161" s="30">
        <f t="shared" si="122"/>
        <v>0</v>
      </c>
      <c r="N161" s="33">
        <f t="shared" si="123"/>
        <v>0</v>
      </c>
      <c r="O161" s="31">
        <f t="shared" si="124"/>
        <v>0</v>
      </c>
      <c r="P161" s="33">
        <f t="shared" si="125"/>
        <v>0</v>
      </c>
      <c r="Q161" s="34">
        <f t="shared" si="167"/>
        <v>542735.88250344514</v>
      </c>
      <c r="R161" s="29">
        <f t="shared" si="126"/>
        <v>0</v>
      </c>
      <c r="S161" s="34">
        <f t="shared" si="127"/>
        <v>542735.88250344514</v>
      </c>
      <c r="T161" s="29">
        <f t="shared" si="128"/>
        <v>452.27990208620429</v>
      </c>
      <c r="U161" s="29">
        <f t="shared" si="129"/>
        <v>0</v>
      </c>
      <c r="V161" s="35">
        <f t="shared" si="130"/>
        <v>5.1079771308215617E-5</v>
      </c>
      <c r="W161" s="34">
        <f t="shared" si="131"/>
        <v>0</v>
      </c>
      <c r="X161" s="34">
        <f t="shared" si="132"/>
        <v>542283.6026013589</v>
      </c>
      <c r="Y161" s="36">
        <f t="shared" si="133"/>
        <v>7.7551100983861421E-3</v>
      </c>
      <c r="Z161" s="34">
        <f t="shared" si="134"/>
        <v>4205.4690427230162</v>
      </c>
      <c r="AA161" s="34">
        <f t="shared" si="135"/>
        <v>544386.33712272043</v>
      </c>
      <c r="AB161" s="34">
        <f t="shared" si="136"/>
        <v>0</v>
      </c>
      <c r="AC161" s="34">
        <f t="shared" si="137"/>
        <v>0</v>
      </c>
      <c r="AD161" s="34">
        <f t="shared" si="138"/>
        <v>0</v>
      </c>
      <c r="AE161" s="34">
        <f t="shared" si="139"/>
        <v>0</v>
      </c>
      <c r="AF161" s="34">
        <f t="shared" si="140"/>
        <v>0</v>
      </c>
      <c r="AG161" s="29">
        <f t="shared" si="141"/>
        <v>544386.33712272043</v>
      </c>
      <c r="AH161" s="34">
        <f t="shared" si="142"/>
        <v>0</v>
      </c>
      <c r="AI161" s="34">
        <f t="shared" si="143"/>
        <v>0</v>
      </c>
      <c r="AJ161" s="34">
        <f t="shared" si="144"/>
        <v>0</v>
      </c>
      <c r="AK161" s="34">
        <f t="shared" si="145"/>
        <v>0</v>
      </c>
      <c r="AL161" s="34">
        <f t="shared" si="146"/>
        <v>0</v>
      </c>
      <c r="AM161" s="34">
        <f t="shared" si="147"/>
        <v>0</v>
      </c>
      <c r="AN161" s="34">
        <f t="shared" si="148"/>
        <v>0</v>
      </c>
      <c r="AO161" s="34">
        <f t="shared" si="149"/>
        <v>0</v>
      </c>
      <c r="AP161" s="34">
        <f t="shared" si="150"/>
        <v>0</v>
      </c>
      <c r="AQ161" s="34">
        <f t="shared" si="151"/>
        <v>0</v>
      </c>
      <c r="AR161" s="34">
        <f t="shared" si="152"/>
        <v>0</v>
      </c>
      <c r="AS161" s="30">
        <f t="shared" si="153"/>
        <v>1.1390373721870903</v>
      </c>
      <c r="AT161" s="29">
        <f t="shared" si="154"/>
        <v>0</v>
      </c>
      <c r="AU161" s="29">
        <f t="shared" si="155"/>
        <v>0</v>
      </c>
      <c r="AV161" s="34">
        <f t="shared" si="156"/>
        <v>0</v>
      </c>
      <c r="AW161" s="34">
        <f t="shared" si="157"/>
        <v>0</v>
      </c>
      <c r="AX161" s="29">
        <f t="shared" si="158"/>
        <v>0</v>
      </c>
      <c r="AY161" s="34">
        <f t="shared" si="159"/>
        <v>0</v>
      </c>
      <c r="AZ161" s="37">
        <f t="shared" si="160"/>
        <v>0</v>
      </c>
      <c r="BA161" s="37">
        <f t="shared" si="161"/>
        <v>0</v>
      </c>
      <c r="BB161" s="35">
        <f t="shared" si="162"/>
        <v>1.0645778676408035E-3</v>
      </c>
      <c r="BC161" s="31">
        <f t="shared" si="163"/>
        <v>0.84615745284735255</v>
      </c>
      <c r="BD161" s="34">
        <f t="shared" si="164"/>
        <v>0</v>
      </c>
    </row>
    <row r="162" spans="1:56" x14ac:dyDescent="0.2">
      <c r="A162" s="27">
        <f t="shared" si="165"/>
        <v>158</v>
      </c>
      <c r="B162" s="28">
        <f t="shared" si="112"/>
        <v>158</v>
      </c>
      <c r="C162" s="27">
        <f t="shared" si="113"/>
        <v>13</v>
      </c>
      <c r="D162" s="28">
        <f t="shared" si="114"/>
        <v>33</v>
      </c>
      <c r="E162" s="29">
        <f t="shared" si="115"/>
        <v>0</v>
      </c>
      <c r="F162" s="30">
        <f t="shared" si="116"/>
        <v>5.5709157395097692E-4</v>
      </c>
      <c r="G162" s="31">
        <f t="shared" si="117"/>
        <v>4.6436155734741469E-5</v>
      </c>
      <c r="H162" s="32">
        <f t="shared" si="118"/>
        <v>0.02</v>
      </c>
      <c r="I162" s="32">
        <f t="shared" si="119"/>
        <v>0</v>
      </c>
      <c r="J162" s="33">
        <f t="shared" si="166"/>
        <v>0</v>
      </c>
      <c r="K162" s="30">
        <f t="shared" si="120"/>
        <v>0</v>
      </c>
      <c r="L162" s="33">
        <f t="shared" si="121"/>
        <v>0</v>
      </c>
      <c r="M162" s="30">
        <f t="shared" si="122"/>
        <v>0</v>
      </c>
      <c r="N162" s="33">
        <f t="shared" si="123"/>
        <v>0</v>
      </c>
      <c r="O162" s="31">
        <f t="shared" si="124"/>
        <v>0</v>
      </c>
      <c r="P162" s="33">
        <f t="shared" si="125"/>
        <v>0</v>
      </c>
      <c r="Q162" s="34">
        <f t="shared" si="167"/>
        <v>546489.07164408197</v>
      </c>
      <c r="R162" s="29">
        <f t="shared" si="126"/>
        <v>0</v>
      </c>
      <c r="S162" s="34">
        <f t="shared" si="127"/>
        <v>546489.07164408197</v>
      </c>
      <c r="T162" s="29">
        <f t="shared" si="128"/>
        <v>455.40755970340166</v>
      </c>
      <c r="U162" s="29">
        <f t="shared" si="129"/>
        <v>0</v>
      </c>
      <c r="V162" s="35">
        <f t="shared" si="130"/>
        <v>5.1079771308215617E-5</v>
      </c>
      <c r="W162" s="34">
        <f t="shared" si="131"/>
        <v>0</v>
      </c>
      <c r="X162" s="34">
        <f t="shared" si="132"/>
        <v>546033.66408437851</v>
      </c>
      <c r="Y162" s="36">
        <f t="shared" si="133"/>
        <v>-3.9474812489064259E-3</v>
      </c>
      <c r="Z162" s="34">
        <f t="shared" si="134"/>
        <v>-2155.4576502447544</v>
      </c>
      <c r="AA162" s="34">
        <f t="shared" si="135"/>
        <v>544955.93525925616</v>
      </c>
      <c r="AB162" s="34">
        <f t="shared" si="136"/>
        <v>0</v>
      </c>
      <c r="AC162" s="34">
        <f t="shared" si="137"/>
        <v>0</v>
      </c>
      <c r="AD162" s="34">
        <f t="shared" si="138"/>
        <v>0</v>
      </c>
      <c r="AE162" s="34">
        <f t="shared" si="139"/>
        <v>0</v>
      </c>
      <c r="AF162" s="34">
        <f t="shared" si="140"/>
        <v>0</v>
      </c>
      <c r="AG162" s="29">
        <f t="shared" si="141"/>
        <v>544955.93525925616</v>
      </c>
      <c r="AH162" s="34">
        <f t="shared" si="142"/>
        <v>0</v>
      </c>
      <c r="AI162" s="34">
        <f t="shared" si="143"/>
        <v>0</v>
      </c>
      <c r="AJ162" s="34">
        <f t="shared" si="144"/>
        <v>0</v>
      </c>
      <c r="AK162" s="34">
        <f t="shared" si="145"/>
        <v>0</v>
      </c>
      <c r="AL162" s="34">
        <f t="shared" si="146"/>
        <v>0</v>
      </c>
      <c r="AM162" s="34">
        <f t="shared" si="147"/>
        <v>0</v>
      </c>
      <c r="AN162" s="34">
        <f t="shared" si="148"/>
        <v>0</v>
      </c>
      <c r="AO162" s="34">
        <f t="shared" si="149"/>
        <v>0</v>
      </c>
      <c r="AP162" s="34">
        <f t="shared" si="150"/>
        <v>0</v>
      </c>
      <c r="AQ162" s="34">
        <f t="shared" si="151"/>
        <v>0</v>
      </c>
      <c r="AR162" s="34">
        <f t="shared" si="152"/>
        <v>0</v>
      </c>
      <c r="AS162" s="30">
        <f t="shared" si="153"/>
        <v>1.1399822471009842</v>
      </c>
      <c r="AT162" s="29">
        <f t="shared" si="154"/>
        <v>0</v>
      </c>
      <c r="AU162" s="29">
        <f t="shared" si="155"/>
        <v>0</v>
      </c>
      <c r="AV162" s="34">
        <f t="shared" si="156"/>
        <v>0</v>
      </c>
      <c r="AW162" s="34">
        <f t="shared" si="157"/>
        <v>0</v>
      </c>
      <c r="AX162" s="29">
        <f t="shared" si="158"/>
        <v>0</v>
      </c>
      <c r="AY162" s="34">
        <f t="shared" si="159"/>
        <v>0</v>
      </c>
      <c r="AZ162" s="37">
        <f t="shared" si="160"/>
        <v>0</v>
      </c>
      <c r="BA162" s="37">
        <f t="shared" si="161"/>
        <v>0</v>
      </c>
      <c r="BB162" s="35">
        <f t="shared" si="162"/>
        <v>1.0645778676408035E-3</v>
      </c>
      <c r="BC162" s="31">
        <f t="shared" si="163"/>
        <v>0.84525761030296898</v>
      </c>
      <c r="BD162" s="34">
        <f t="shared" si="164"/>
        <v>0</v>
      </c>
    </row>
    <row r="163" spans="1:56" x14ac:dyDescent="0.2">
      <c r="A163" s="27">
        <f t="shared" si="165"/>
        <v>159</v>
      </c>
      <c r="B163" s="28">
        <f t="shared" si="112"/>
        <v>159</v>
      </c>
      <c r="C163" s="27">
        <f t="shared" si="113"/>
        <v>13</v>
      </c>
      <c r="D163" s="28">
        <f t="shared" si="114"/>
        <v>33</v>
      </c>
      <c r="E163" s="29">
        <f t="shared" si="115"/>
        <v>0</v>
      </c>
      <c r="F163" s="30">
        <f t="shared" si="116"/>
        <v>5.5709157395097692E-4</v>
      </c>
      <c r="G163" s="31">
        <f t="shared" si="117"/>
        <v>4.6436155734741469E-5</v>
      </c>
      <c r="H163" s="32">
        <f t="shared" si="118"/>
        <v>0.02</v>
      </c>
      <c r="I163" s="32">
        <f t="shared" si="119"/>
        <v>0</v>
      </c>
      <c r="J163" s="33">
        <f t="shared" si="166"/>
        <v>0</v>
      </c>
      <c r="K163" s="30">
        <f t="shared" si="120"/>
        <v>0</v>
      </c>
      <c r="L163" s="33">
        <f t="shared" si="121"/>
        <v>0</v>
      </c>
      <c r="M163" s="30">
        <f t="shared" si="122"/>
        <v>0</v>
      </c>
      <c r="N163" s="33">
        <f t="shared" si="123"/>
        <v>0</v>
      </c>
      <c r="O163" s="31">
        <f t="shared" si="124"/>
        <v>0</v>
      </c>
      <c r="P163" s="33">
        <f t="shared" si="125"/>
        <v>0</v>
      </c>
      <c r="Q163" s="34">
        <f t="shared" si="167"/>
        <v>543878.20643413381</v>
      </c>
      <c r="R163" s="29">
        <f t="shared" si="126"/>
        <v>0</v>
      </c>
      <c r="S163" s="34">
        <f t="shared" si="127"/>
        <v>543878.20643413381</v>
      </c>
      <c r="T163" s="29">
        <f t="shared" si="128"/>
        <v>453.23183869511155</v>
      </c>
      <c r="U163" s="29">
        <f t="shared" si="129"/>
        <v>0</v>
      </c>
      <c r="V163" s="35">
        <f t="shared" si="130"/>
        <v>5.1079771308215617E-5</v>
      </c>
      <c r="W163" s="34">
        <f t="shared" si="131"/>
        <v>0</v>
      </c>
      <c r="X163" s="34">
        <f t="shared" si="132"/>
        <v>543424.97459543869</v>
      </c>
      <c r="Y163" s="36">
        <f t="shared" si="133"/>
        <v>-5.581299974157794E-4</v>
      </c>
      <c r="Z163" s="34">
        <f t="shared" si="134"/>
        <v>-303.30177966662217</v>
      </c>
      <c r="AA163" s="34">
        <f t="shared" si="135"/>
        <v>543273.32370560535</v>
      </c>
      <c r="AB163" s="34">
        <f t="shared" si="136"/>
        <v>0</v>
      </c>
      <c r="AC163" s="34">
        <f t="shared" si="137"/>
        <v>0</v>
      </c>
      <c r="AD163" s="34">
        <f t="shared" si="138"/>
        <v>0</v>
      </c>
      <c r="AE163" s="34">
        <f t="shared" si="139"/>
        <v>0</v>
      </c>
      <c r="AF163" s="34">
        <f t="shared" si="140"/>
        <v>0</v>
      </c>
      <c r="AG163" s="29">
        <f t="shared" si="141"/>
        <v>543273.32370560535</v>
      </c>
      <c r="AH163" s="34">
        <f t="shared" si="142"/>
        <v>0</v>
      </c>
      <c r="AI163" s="34">
        <f t="shared" si="143"/>
        <v>0</v>
      </c>
      <c r="AJ163" s="34">
        <f t="shared" si="144"/>
        <v>0</v>
      </c>
      <c r="AK163" s="34">
        <f t="shared" si="145"/>
        <v>0</v>
      </c>
      <c r="AL163" s="34">
        <f t="shared" si="146"/>
        <v>0</v>
      </c>
      <c r="AM163" s="34">
        <f t="shared" si="147"/>
        <v>0</v>
      </c>
      <c r="AN163" s="34">
        <f t="shared" si="148"/>
        <v>0</v>
      </c>
      <c r="AO163" s="34">
        <f t="shared" si="149"/>
        <v>0</v>
      </c>
      <c r="AP163" s="34">
        <f t="shared" si="150"/>
        <v>0</v>
      </c>
      <c r="AQ163" s="34">
        <f t="shared" si="151"/>
        <v>0</v>
      </c>
      <c r="AR163" s="34">
        <f t="shared" si="152"/>
        <v>0</v>
      </c>
      <c r="AS163" s="30">
        <f t="shared" si="153"/>
        <v>1.1409279058246327</v>
      </c>
      <c r="AT163" s="29">
        <f t="shared" si="154"/>
        <v>0</v>
      </c>
      <c r="AU163" s="29">
        <f t="shared" si="155"/>
        <v>0</v>
      </c>
      <c r="AV163" s="34">
        <f t="shared" si="156"/>
        <v>0</v>
      </c>
      <c r="AW163" s="34">
        <f t="shared" si="157"/>
        <v>0</v>
      </c>
      <c r="AX163" s="29">
        <f t="shared" si="158"/>
        <v>0</v>
      </c>
      <c r="AY163" s="34">
        <f t="shared" si="159"/>
        <v>0</v>
      </c>
      <c r="AZ163" s="37">
        <f t="shared" si="160"/>
        <v>0</v>
      </c>
      <c r="BA163" s="37">
        <f t="shared" si="161"/>
        <v>0</v>
      </c>
      <c r="BB163" s="35">
        <f t="shared" si="162"/>
        <v>1.0645778676408035E-3</v>
      </c>
      <c r="BC163" s="31">
        <f t="shared" si="163"/>
        <v>0.8443587246923121</v>
      </c>
      <c r="BD163" s="34">
        <f t="shared" si="164"/>
        <v>0</v>
      </c>
    </row>
    <row r="164" spans="1:56" x14ac:dyDescent="0.2">
      <c r="A164" s="27">
        <f t="shared" si="165"/>
        <v>160</v>
      </c>
      <c r="B164" s="28">
        <f t="shared" si="112"/>
        <v>160</v>
      </c>
      <c r="C164" s="27">
        <f t="shared" si="113"/>
        <v>13</v>
      </c>
      <c r="D164" s="28">
        <f t="shared" si="114"/>
        <v>33</v>
      </c>
      <c r="E164" s="29">
        <f t="shared" si="115"/>
        <v>0</v>
      </c>
      <c r="F164" s="30">
        <f t="shared" si="116"/>
        <v>5.5709157395097692E-4</v>
      </c>
      <c r="G164" s="31">
        <f t="shared" si="117"/>
        <v>4.6436155734741469E-5</v>
      </c>
      <c r="H164" s="32">
        <f t="shared" si="118"/>
        <v>0.02</v>
      </c>
      <c r="I164" s="32">
        <f t="shared" si="119"/>
        <v>0</v>
      </c>
      <c r="J164" s="33">
        <f t="shared" si="166"/>
        <v>0</v>
      </c>
      <c r="K164" s="30">
        <f t="shared" si="120"/>
        <v>0</v>
      </c>
      <c r="L164" s="33">
        <f t="shared" si="121"/>
        <v>0</v>
      </c>
      <c r="M164" s="30">
        <f t="shared" si="122"/>
        <v>0</v>
      </c>
      <c r="N164" s="33">
        <f t="shared" si="123"/>
        <v>0</v>
      </c>
      <c r="O164" s="31">
        <f t="shared" si="124"/>
        <v>0</v>
      </c>
      <c r="P164" s="33">
        <f t="shared" si="125"/>
        <v>0</v>
      </c>
      <c r="Q164" s="34">
        <f t="shared" si="167"/>
        <v>543121.67281577212</v>
      </c>
      <c r="R164" s="29">
        <f t="shared" si="126"/>
        <v>0</v>
      </c>
      <c r="S164" s="34">
        <f t="shared" si="127"/>
        <v>543121.67281577212</v>
      </c>
      <c r="T164" s="29">
        <f t="shared" si="128"/>
        <v>452.60139401314348</v>
      </c>
      <c r="U164" s="29">
        <f t="shared" si="129"/>
        <v>0</v>
      </c>
      <c r="V164" s="35">
        <f t="shared" si="130"/>
        <v>5.1079771308215617E-5</v>
      </c>
      <c r="W164" s="34">
        <f t="shared" si="131"/>
        <v>0</v>
      </c>
      <c r="X164" s="34">
        <f t="shared" si="132"/>
        <v>542669.07142175897</v>
      </c>
      <c r="Y164" s="36">
        <f t="shared" si="133"/>
        <v>-5.3937422522302159E-3</v>
      </c>
      <c r="Z164" s="34">
        <f t="shared" si="134"/>
        <v>-2927.017099506078</v>
      </c>
      <c r="AA164" s="34">
        <f t="shared" si="135"/>
        <v>541205.56287200598</v>
      </c>
      <c r="AB164" s="34">
        <f t="shared" si="136"/>
        <v>0</v>
      </c>
      <c r="AC164" s="34">
        <f t="shared" si="137"/>
        <v>0</v>
      </c>
      <c r="AD164" s="34">
        <f t="shared" si="138"/>
        <v>0</v>
      </c>
      <c r="AE164" s="34">
        <f t="shared" si="139"/>
        <v>0</v>
      </c>
      <c r="AF164" s="34">
        <f t="shared" si="140"/>
        <v>0</v>
      </c>
      <c r="AG164" s="29">
        <f t="shared" si="141"/>
        <v>541205.56287200598</v>
      </c>
      <c r="AH164" s="34">
        <f t="shared" si="142"/>
        <v>0</v>
      </c>
      <c r="AI164" s="34">
        <f t="shared" si="143"/>
        <v>0</v>
      </c>
      <c r="AJ164" s="34">
        <f t="shared" si="144"/>
        <v>0</v>
      </c>
      <c r="AK164" s="34">
        <f t="shared" si="145"/>
        <v>0</v>
      </c>
      <c r="AL164" s="34">
        <f t="shared" si="146"/>
        <v>0</v>
      </c>
      <c r="AM164" s="34">
        <f t="shared" si="147"/>
        <v>0</v>
      </c>
      <c r="AN164" s="34">
        <f t="shared" si="148"/>
        <v>0</v>
      </c>
      <c r="AO164" s="34">
        <f t="shared" si="149"/>
        <v>0</v>
      </c>
      <c r="AP164" s="34">
        <f t="shared" si="150"/>
        <v>0</v>
      </c>
      <c r="AQ164" s="34">
        <f t="shared" si="151"/>
        <v>0</v>
      </c>
      <c r="AR164" s="34">
        <f t="shared" si="152"/>
        <v>0</v>
      </c>
      <c r="AS164" s="30">
        <f t="shared" si="153"/>
        <v>1.1418743490082355</v>
      </c>
      <c r="AT164" s="29">
        <f t="shared" si="154"/>
        <v>0</v>
      </c>
      <c r="AU164" s="29">
        <f t="shared" si="155"/>
        <v>0</v>
      </c>
      <c r="AV164" s="34">
        <f t="shared" si="156"/>
        <v>0</v>
      </c>
      <c r="AW164" s="34">
        <f t="shared" si="157"/>
        <v>0</v>
      </c>
      <c r="AX164" s="29">
        <f t="shared" si="158"/>
        <v>0</v>
      </c>
      <c r="AY164" s="34">
        <f t="shared" si="159"/>
        <v>0</v>
      </c>
      <c r="AZ164" s="37">
        <f t="shared" si="160"/>
        <v>0</v>
      </c>
      <c r="BA164" s="37">
        <f t="shared" si="161"/>
        <v>0</v>
      </c>
      <c r="BB164" s="35">
        <f t="shared" si="162"/>
        <v>1.0645778676408035E-3</v>
      </c>
      <c r="BC164" s="31">
        <f t="shared" si="163"/>
        <v>0.84346079499773441</v>
      </c>
      <c r="BD164" s="34">
        <f t="shared" si="164"/>
        <v>0</v>
      </c>
    </row>
    <row r="165" spans="1:56" x14ac:dyDescent="0.2">
      <c r="A165" s="27">
        <f t="shared" si="165"/>
        <v>161</v>
      </c>
      <c r="B165" s="28">
        <f t="shared" si="112"/>
        <v>161</v>
      </c>
      <c r="C165" s="27">
        <f t="shared" si="113"/>
        <v>13</v>
      </c>
      <c r="D165" s="28">
        <f t="shared" si="114"/>
        <v>33</v>
      </c>
      <c r="E165" s="29">
        <f t="shared" si="115"/>
        <v>0</v>
      </c>
      <c r="F165" s="30">
        <f t="shared" si="116"/>
        <v>5.5709157395097692E-4</v>
      </c>
      <c r="G165" s="31">
        <f t="shared" si="117"/>
        <v>4.6436155734741469E-5</v>
      </c>
      <c r="H165" s="32">
        <f t="shared" si="118"/>
        <v>0.02</v>
      </c>
      <c r="I165" s="32">
        <f t="shared" si="119"/>
        <v>0</v>
      </c>
      <c r="J165" s="33">
        <f t="shared" si="166"/>
        <v>0</v>
      </c>
      <c r="K165" s="30">
        <f t="shared" si="120"/>
        <v>0</v>
      </c>
      <c r="L165" s="33">
        <f t="shared" si="121"/>
        <v>0</v>
      </c>
      <c r="M165" s="30">
        <f t="shared" si="122"/>
        <v>0</v>
      </c>
      <c r="N165" s="33">
        <f t="shared" si="123"/>
        <v>0</v>
      </c>
      <c r="O165" s="31">
        <f t="shared" si="124"/>
        <v>0</v>
      </c>
      <c r="P165" s="33">
        <f t="shared" si="125"/>
        <v>0</v>
      </c>
      <c r="Q165" s="34">
        <f t="shared" si="167"/>
        <v>539742.05432225286</v>
      </c>
      <c r="R165" s="29">
        <f t="shared" si="126"/>
        <v>0</v>
      </c>
      <c r="S165" s="34">
        <f t="shared" si="127"/>
        <v>539742.05432225286</v>
      </c>
      <c r="T165" s="29">
        <f t="shared" si="128"/>
        <v>449.78504526854408</v>
      </c>
      <c r="U165" s="29">
        <f t="shared" si="129"/>
        <v>0</v>
      </c>
      <c r="V165" s="35">
        <f t="shared" si="130"/>
        <v>5.1079771308215617E-5</v>
      </c>
      <c r="W165" s="34">
        <f t="shared" si="131"/>
        <v>0</v>
      </c>
      <c r="X165" s="34">
        <f t="shared" si="132"/>
        <v>539292.26927698427</v>
      </c>
      <c r="Y165" s="36">
        <f t="shared" si="133"/>
        <v>9.1720593029331887E-3</v>
      </c>
      <c r="Z165" s="34">
        <f t="shared" si="134"/>
        <v>4946.420675421914</v>
      </c>
      <c r="AA165" s="34">
        <f t="shared" si="135"/>
        <v>541765.47961469518</v>
      </c>
      <c r="AB165" s="34">
        <f t="shared" si="136"/>
        <v>0</v>
      </c>
      <c r="AC165" s="34">
        <f t="shared" si="137"/>
        <v>0</v>
      </c>
      <c r="AD165" s="34">
        <f t="shared" si="138"/>
        <v>0</v>
      </c>
      <c r="AE165" s="34">
        <f t="shared" si="139"/>
        <v>0</v>
      </c>
      <c r="AF165" s="34">
        <f t="shared" si="140"/>
        <v>0</v>
      </c>
      <c r="AG165" s="29">
        <f t="shared" si="141"/>
        <v>541765.47961469518</v>
      </c>
      <c r="AH165" s="34">
        <f t="shared" si="142"/>
        <v>0</v>
      </c>
      <c r="AI165" s="34">
        <f t="shared" si="143"/>
        <v>0</v>
      </c>
      <c r="AJ165" s="34">
        <f t="shared" si="144"/>
        <v>0</v>
      </c>
      <c r="AK165" s="34">
        <f t="shared" si="145"/>
        <v>0</v>
      </c>
      <c r="AL165" s="34">
        <f t="shared" si="146"/>
        <v>0</v>
      </c>
      <c r="AM165" s="34">
        <f t="shared" si="147"/>
        <v>0</v>
      </c>
      <c r="AN165" s="34">
        <f t="shared" si="148"/>
        <v>0</v>
      </c>
      <c r="AO165" s="34">
        <f t="shared" si="149"/>
        <v>0</v>
      </c>
      <c r="AP165" s="34">
        <f t="shared" si="150"/>
        <v>0</v>
      </c>
      <c r="AQ165" s="34">
        <f t="shared" si="151"/>
        <v>0</v>
      </c>
      <c r="AR165" s="34">
        <f t="shared" si="152"/>
        <v>0</v>
      </c>
      <c r="AS165" s="30">
        <f t="shared" si="153"/>
        <v>1.1428215773025321</v>
      </c>
      <c r="AT165" s="29">
        <f t="shared" si="154"/>
        <v>0</v>
      </c>
      <c r="AU165" s="29">
        <f t="shared" si="155"/>
        <v>0</v>
      </c>
      <c r="AV165" s="34">
        <f t="shared" si="156"/>
        <v>0</v>
      </c>
      <c r="AW165" s="34">
        <f t="shared" si="157"/>
        <v>0</v>
      </c>
      <c r="AX165" s="29">
        <f t="shared" si="158"/>
        <v>0</v>
      </c>
      <c r="AY165" s="34">
        <f t="shared" si="159"/>
        <v>0</v>
      </c>
      <c r="AZ165" s="37">
        <f t="shared" si="160"/>
        <v>0</v>
      </c>
      <c r="BA165" s="37">
        <f t="shared" si="161"/>
        <v>0</v>
      </c>
      <c r="BB165" s="35">
        <f t="shared" si="162"/>
        <v>1.0645778676408035E-3</v>
      </c>
      <c r="BC165" s="31">
        <f t="shared" si="163"/>
        <v>0.84256382020267173</v>
      </c>
      <c r="BD165" s="34">
        <f t="shared" si="164"/>
        <v>0</v>
      </c>
    </row>
    <row r="166" spans="1:56" x14ac:dyDescent="0.2">
      <c r="A166" s="27">
        <f t="shared" si="165"/>
        <v>162</v>
      </c>
      <c r="B166" s="28">
        <f t="shared" si="112"/>
        <v>162</v>
      </c>
      <c r="C166" s="27">
        <f t="shared" si="113"/>
        <v>13</v>
      </c>
      <c r="D166" s="28">
        <f t="shared" si="114"/>
        <v>33</v>
      </c>
      <c r="E166" s="29">
        <f t="shared" si="115"/>
        <v>0</v>
      </c>
      <c r="F166" s="30">
        <f t="shared" si="116"/>
        <v>5.5709157395097692E-4</v>
      </c>
      <c r="G166" s="31">
        <f t="shared" si="117"/>
        <v>4.6436155734741469E-5</v>
      </c>
      <c r="H166" s="32">
        <f t="shared" si="118"/>
        <v>0.02</v>
      </c>
      <c r="I166" s="32">
        <f t="shared" si="119"/>
        <v>0</v>
      </c>
      <c r="J166" s="33">
        <f t="shared" si="166"/>
        <v>0</v>
      </c>
      <c r="K166" s="30">
        <f t="shared" si="120"/>
        <v>0</v>
      </c>
      <c r="L166" s="33">
        <f t="shared" si="121"/>
        <v>0</v>
      </c>
      <c r="M166" s="30">
        <f t="shared" si="122"/>
        <v>0</v>
      </c>
      <c r="N166" s="33">
        <f t="shared" si="123"/>
        <v>0</v>
      </c>
      <c r="O166" s="31">
        <f t="shared" si="124"/>
        <v>0</v>
      </c>
      <c r="P166" s="33">
        <f t="shared" si="125"/>
        <v>0</v>
      </c>
      <c r="Q166" s="34">
        <f t="shared" si="167"/>
        <v>544238.68995240622</v>
      </c>
      <c r="R166" s="29">
        <f t="shared" si="126"/>
        <v>0</v>
      </c>
      <c r="S166" s="34">
        <f t="shared" si="127"/>
        <v>544238.68995240622</v>
      </c>
      <c r="T166" s="29">
        <f t="shared" si="128"/>
        <v>453.53224162700519</v>
      </c>
      <c r="U166" s="29">
        <f t="shared" si="129"/>
        <v>0</v>
      </c>
      <c r="V166" s="35">
        <f t="shared" si="130"/>
        <v>5.1079771308215617E-5</v>
      </c>
      <c r="W166" s="34">
        <f t="shared" si="131"/>
        <v>0</v>
      </c>
      <c r="X166" s="34">
        <f t="shared" si="132"/>
        <v>543785.15771077923</v>
      </c>
      <c r="Y166" s="36">
        <f t="shared" si="133"/>
        <v>3.1964115633149603E-3</v>
      </c>
      <c r="Z166" s="34">
        <f t="shared" si="134"/>
        <v>1738.1611660657841</v>
      </c>
      <c r="AA166" s="34">
        <f t="shared" si="135"/>
        <v>544654.23829381214</v>
      </c>
      <c r="AB166" s="34">
        <f t="shared" si="136"/>
        <v>0</v>
      </c>
      <c r="AC166" s="34">
        <f t="shared" si="137"/>
        <v>0</v>
      </c>
      <c r="AD166" s="34">
        <f t="shared" si="138"/>
        <v>0</v>
      </c>
      <c r="AE166" s="34">
        <f t="shared" si="139"/>
        <v>0</v>
      </c>
      <c r="AF166" s="34">
        <f t="shared" si="140"/>
        <v>0</v>
      </c>
      <c r="AG166" s="29">
        <f t="shared" si="141"/>
        <v>544654.23829381214</v>
      </c>
      <c r="AH166" s="34">
        <f t="shared" si="142"/>
        <v>0</v>
      </c>
      <c r="AI166" s="34">
        <f t="shared" si="143"/>
        <v>0</v>
      </c>
      <c r="AJ166" s="34">
        <f t="shared" si="144"/>
        <v>0</v>
      </c>
      <c r="AK166" s="34">
        <f t="shared" si="145"/>
        <v>0</v>
      </c>
      <c r="AL166" s="34">
        <f t="shared" si="146"/>
        <v>0</v>
      </c>
      <c r="AM166" s="34">
        <f t="shared" si="147"/>
        <v>0</v>
      </c>
      <c r="AN166" s="34">
        <f t="shared" si="148"/>
        <v>0</v>
      </c>
      <c r="AO166" s="34">
        <f t="shared" si="149"/>
        <v>0</v>
      </c>
      <c r="AP166" s="34">
        <f t="shared" si="150"/>
        <v>0</v>
      </c>
      <c r="AQ166" s="34">
        <f t="shared" si="151"/>
        <v>0</v>
      </c>
      <c r="AR166" s="34">
        <f t="shared" si="152"/>
        <v>0</v>
      </c>
      <c r="AS166" s="30">
        <f t="shared" si="153"/>
        <v>1.1437695913588017</v>
      </c>
      <c r="AT166" s="29">
        <f t="shared" si="154"/>
        <v>0</v>
      </c>
      <c r="AU166" s="29">
        <f t="shared" si="155"/>
        <v>0</v>
      </c>
      <c r="AV166" s="34">
        <f t="shared" si="156"/>
        <v>0</v>
      </c>
      <c r="AW166" s="34">
        <f t="shared" si="157"/>
        <v>0</v>
      </c>
      <c r="AX166" s="29">
        <f t="shared" si="158"/>
        <v>0</v>
      </c>
      <c r="AY166" s="34">
        <f t="shared" si="159"/>
        <v>0</v>
      </c>
      <c r="AZ166" s="37">
        <f t="shared" si="160"/>
        <v>0</v>
      </c>
      <c r="BA166" s="37">
        <f t="shared" si="161"/>
        <v>0</v>
      </c>
      <c r="BB166" s="35">
        <f t="shared" si="162"/>
        <v>1.0645778676408035E-3</v>
      </c>
      <c r="BC166" s="31">
        <f t="shared" si="163"/>
        <v>0.84166779929163982</v>
      </c>
      <c r="BD166" s="34">
        <f t="shared" si="164"/>
        <v>0</v>
      </c>
    </row>
    <row r="167" spans="1:56" x14ac:dyDescent="0.2">
      <c r="A167" s="27">
        <f t="shared" si="165"/>
        <v>163</v>
      </c>
      <c r="B167" s="28">
        <f t="shared" si="112"/>
        <v>163</v>
      </c>
      <c r="C167" s="27">
        <f t="shared" si="113"/>
        <v>13</v>
      </c>
      <c r="D167" s="28">
        <f t="shared" si="114"/>
        <v>33</v>
      </c>
      <c r="E167" s="29">
        <f t="shared" si="115"/>
        <v>0</v>
      </c>
      <c r="F167" s="30">
        <f t="shared" si="116"/>
        <v>5.5709157395097692E-4</v>
      </c>
      <c r="G167" s="31">
        <f t="shared" si="117"/>
        <v>4.6436155734741469E-5</v>
      </c>
      <c r="H167" s="32">
        <f t="shared" si="118"/>
        <v>0.02</v>
      </c>
      <c r="I167" s="32">
        <f t="shared" si="119"/>
        <v>0</v>
      </c>
      <c r="J167" s="33">
        <f t="shared" si="166"/>
        <v>0</v>
      </c>
      <c r="K167" s="30">
        <f t="shared" si="120"/>
        <v>0</v>
      </c>
      <c r="L167" s="33">
        <f t="shared" si="121"/>
        <v>0</v>
      </c>
      <c r="M167" s="30">
        <f t="shared" si="122"/>
        <v>0</v>
      </c>
      <c r="N167" s="33">
        <f t="shared" si="123"/>
        <v>0</v>
      </c>
      <c r="O167" s="31">
        <f t="shared" si="124"/>
        <v>0</v>
      </c>
      <c r="P167" s="33">
        <f t="shared" si="125"/>
        <v>0</v>
      </c>
      <c r="Q167" s="34">
        <f t="shared" si="167"/>
        <v>545523.31887684506</v>
      </c>
      <c r="R167" s="29">
        <f t="shared" si="126"/>
        <v>0</v>
      </c>
      <c r="S167" s="34">
        <f t="shared" si="127"/>
        <v>545523.31887684506</v>
      </c>
      <c r="T167" s="29">
        <f t="shared" si="128"/>
        <v>454.60276573070422</v>
      </c>
      <c r="U167" s="29">
        <f t="shared" si="129"/>
        <v>0</v>
      </c>
      <c r="V167" s="35">
        <f t="shared" si="130"/>
        <v>5.1079771308215617E-5</v>
      </c>
      <c r="W167" s="34">
        <f t="shared" si="131"/>
        <v>0</v>
      </c>
      <c r="X167" s="34">
        <f t="shared" si="132"/>
        <v>545068.71611111437</v>
      </c>
      <c r="Y167" s="36">
        <f t="shared" si="133"/>
        <v>1.0815572740519031E-4</v>
      </c>
      <c r="Z167" s="34">
        <f t="shared" si="134"/>
        <v>58.952303476810748</v>
      </c>
      <c r="AA167" s="34">
        <f t="shared" si="135"/>
        <v>545098.1922628528</v>
      </c>
      <c r="AB167" s="34">
        <f t="shared" si="136"/>
        <v>0</v>
      </c>
      <c r="AC167" s="34">
        <f t="shared" si="137"/>
        <v>0</v>
      </c>
      <c r="AD167" s="34">
        <f t="shared" si="138"/>
        <v>0</v>
      </c>
      <c r="AE167" s="34">
        <f t="shared" si="139"/>
        <v>0</v>
      </c>
      <c r="AF167" s="34">
        <f t="shared" si="140"/>
        <v>0</v>
      </c>
      <c r="AG167" s="29">
        <f t="shared" si="141"/>
        <v>545098.1922628528</v>
      </c>
      <c r="AH167" s="34">
        <f t="shared" si="142"/>
        <v>0</v>
      </c>
      <c r="AI167" s="34">
        <f t="shared" si="143"/>
        <v>0</v>
      </c>
      <c r="AJ167" s="34">
        <f t="shared" si="144"/>
        <v>0</v>
      </c>
      <c r="AK167" s="34">
        <f t="shared" si="145"/>
        <v>0</v>
      </c>
      <c r="AL167" s="34">
        <f t="shared" si="146"/>
        <v>0</v>
      </c>
      <c r="AM167" s="34">
        <f t="shared" si="147"/>
        <v>0</v>
      </c>
      <c r="AN167" s="34">
        <f t="shared" si="148"/>
        <v>0</v>
      </c>
      <c r="AO167" s="34">
        <f t="shared" si="149"/>
        <v>0</v>
      </c>
      <c r="AP167" s="34">
        <f t="shared" si="150"/>
        <v>0</v>
      </c>
      <c r="AQ167" s="34">
        <f t="shared" si="151"/>
        <v>0</v>
      </c>
      <c r="AR167" s="34">
        <f t="shared" si="152"/>
        <v>0</v>
      </c>
      <c r="AS167" s="30">
        <f t="shared" si="153"/>
        <v>1.1447183918288641</v>
      </c>
      <c r="AT167" s="29">
        <f t="shared" si="154"/>
        <v>0</v>
      </c>
      <c r="AU167" s="29">
        <f t="shared" si="155"/>
        <v>0</v>
      </c>
      <c r="AV167" s="34">
        <f t="shared" si="156"/>
        <v>0</v>
      </c>
      <c r="AW167" s="34">
        <f t="shared" si="157"/>
        <v>0</v>
      </c>
      <c r="AX167" s="29">
        <f t="shared" si="158"/>
        <v>0</v>
      </c>
      <c r="AY167" s="34">
        <f t="shared" si="159"/>
        <v>0</v>
      </c>
      <c r="AZ167" s="37">
        <f t="shared" si="160"/>
        <v>0</v>
      </c>
      <c r="BA167" s="37">
        <f t="shared" si="161"/>
        <v>0</v>
      </c>
      <c r="BB167" s="35">
        <f t="shared" si="162"/>
        <v>1.0645778676408035E-3</v>
      </c>
      <c r="BC167" s="31">
        <f t="shared" si="163"/>
        <v>0.84077273125023511</v>
      </c>
      <c r="BD167" s="34">
        <f t="shared" si="164"/>
        <v>0</v>
      </c>
    </row>
    <row r="168" spans="1:56" x14ac:dyDescent="0.2">
      <c r="A168" s="27">
        <f t="shared" si="165"/>
        <v>164</v>
      </c>
      <c r="B168" s="28">
        <f t="shared" si="112"/>
        <v>164</v>
      </c>
      <c r="C168" s="27">
        <f t="shared" si="113"/>
        <v>13</v>
      </c>
      <c r="D168" s="28">
        <f t="shared" si="114"/>
        <v>33</v>
      </c>
      <c r="E168" s="29">
        <f t="shared" si="115"/>
        <v>0</v>
      </c>
      <c r="F168" s="30">
        <f t="shared" si="116"/>
        <v>5.5709157395097692E-4</v>
      </c>
      <c r="G168" s="31">
        <f t="shared" si="117"/>
        <v>4.6436155734741469E-5</v>
      </c>
      <c r="H168" s="32">
        <f t="shared" si="118"/>
        <v>0.02</v>
      </c>
      <c r="I168" s="32">
        <f t="shared" si="119"/>
        <v>0</v>
      </c>
      <c r="J168" s="33">
        <f t="shared" si="166"/>
        <v>0</v>
      </c>
      <c r="K168" s="30">
        <f t="shared" si="120"/>
        <v>0</v>
      </c>
      <c r="L168" s="33">
        <f t="shared" si="121"/>
        <v>0</v>
      </c>
      <c r="M168" s="30">
        <f t="shared" si="122"/>
        <v>0</v>
      </c>
      <c r="N168" s="33">
        <f t="shared" si="123"/>
        <v>0</v>
      </c>
      <c r="O168" s="31">
        <f t="shared" si="124"/>
        <v>0</v>
      </c>
      <c r="P168" s="33">
        <f t="shared" si="125"/>
        <v>0</v>
      </c>
      <c r="Q168" s="34">
        <f t="shared" si="167"/>
        <v>545127.66841459123</v>
      </c>
      <c r="R168" s="29">
        <f t="shared" si="126"/>
        <v>0</v>
      </c>
      <c r="S168" s="34">
        <f t="shared" si="127"/>
        <v>545127.66841459123</v>
      </c>
      <c r="T168" s="29">
        <f t="shared" si="128"/>
        <v>454.27305701215937</v>
      </c>
      <c r="U168" s="29">
        <f t="shared" si="129"/>
        <v>0</v>
      </c>
      <c r="V168" s="35">
        <f t="shared" si="130"/>
        <v>5.1079771308215617E-5</v>
      </c>
      <c r="W168" s="34">
        <f t="shared" si="131"/>
        <v>0</v>
      </c>
      <c r="X168" s="34">
        <f t="shared" si="132"/>
        <v>544673.39535757911</v>
      </c>
      <c r="Y168" s="36">
        <f t="shared" si="133"/>
        <v>-3.2208860303289955E-3</v>
      </c>
      <c r="Z168" s="34">
        <f t="shared" si="134"/>
        <v>-1754.3309301990885</v>
      </c>
      <c r="AA168" s="34">
        <f t="shared" si="135"/>
        <v>543796.22989247961</v>
      </c>
      <c r="AB168" s="34">
        <f t="shared" si="136"/>
        <v>0</v>
      </c>
      <c r="AC168" s="34">
        <f t="shared" si="137"/>
        <v>0</v>
      </c>
      <c r="AD168" s="34">
        <f t="shared" si="138"/>
        <v>0</v>
      </c>
      <c r="AE168" s="34">
        <f t="shared" si="139"/>
        <v>0</v>
      </c>
      <c r="AF168" s="34">
        <f t="shared" si="140"/>
        <v>0</v>
      </c>
      <c r="AG168" s="29">
        <f t="shared" si="141"/>
        <v>543796.22989247961</v>
      </c>
      <c r="AH168" s="34">
        <f t="shared" si="142"/>
        <v>0</v>
      </c>
      <c r="AI168" s="34">
        <f t="shared" si="143"/>
        <v>0</v>
      </c>
      <c r="AJ168" s="34">
        <f t="shared" si="144"/>
        <v>0</v>
      </c>
      <c r="AK168" s="34">
        <f t="shared" si="145"/>
        <v>0</v>
      </c>
      <c r="AL168" s="34">
        <f t="shared" si="146"/>
        <v>0</v>
      </c>
      <c r="AM168" s="34">
        <f t="shared" si="147"/>
        <v>0</v>
      </c>
      <c r="AN168" s="34">
        <f t="shared" si="148"/>
        <v>0</v>
      </c>
      <c r="AO168" s="34">
        <f t="shared" si="149"/>
        <v>0</v>
      </c>
      <c r="AP168" s="34">
        <f t="shared" si="150"/>
        <v>0</v>
      </c>
      <c r="AQ168" s="34">
        <f t="shared" si="151"/>
        <v>0</v>
      </c>
      <c r="AR168" s="34">
        <f t="shared" si="152"/>
        <v>0</v>
      </c>
      <c r="AS168" s="30">
        <f t="shared" si="153"/>
        <v>1.1456679793650792</v>
      </c>
      <c r="AT168" s="29">
        <f t="shared" si="154"/>
        <v>0</v>
      </c>
      <c r="AU168" s="29">
        <f t="shared" si="155"/>
        <v>0</v>
      </c>
      <c r="AV168" s="34">
        <f t="shared" si="156"/>
        <v>0</v>
      </c>
      <c r="AW168" s="34">
        <f t="shared" si="157"/>
        <v>0</v>
      </c>
      <c r="AX168" s="29">
        <f t="shared" si="158"/>
        <v>0</v>
      </c>
      <c r="AY168" s="34">
        <f t="shared" si="159"/>
        <v>0</v>
      </c>
      <c r="AZ168" s="37">
        <f t="shared" si="160"/>
        <v>0</v>
      </c>
      <c r="BA168" s="37">
        <f t="shared" si="161"/>
        <v>0</v>
      </c>
      <c r="BB168" s="35">
        <f t="shared" si="162"/>
        <v>1.0645778676408035E-3</v>
      </c>
      <c r="BC168" s="31">
        <f t="shared" si="163"/>
        <v>0.83987861506513162</v>
      </c>
      <c r="BD168" s="34">
        <f t="shared" si="164"/>
        <v>0</v>
      </c>
    </row>
    <row r="169" spans="1:56" x14ac:dyDescent="0.2">
      <c r="A169" s="27">
        <f t="shared" si="165"/>
        <v>165</v>
      </c>
      <c r="B169" s="28">
        <f t="shared" si="112"/>
        <v>165</v>
      </c>
      <c r="C169" s="27">
        <f t="shared" si="113"/>
        <v>13</v>
      </c>
      <c r="D169" s="28">
        <f t="shared" si="114"/>
        <v>33</v>
      </c>
      <c r="E169" s="29">
        <f t="shared" si="115"/>
        <v>0</v>
      </c>
      <c r="F169" s="30">
        <f t="shared" si="116"/>
        <v>5.5709157395097692E-4</v>
      </c>
      <c r="G169" s="31">
        <f t="shared" si="117"/>
        <v>4.6436155734741469E-5</v>
      </c>
      <c r="H169" s="32">
        <f t="shared" si="118"/>
        <v>0.02</v>
      </c>
      <c r="I169" s="32">
        <f t="shared" si="119"/>
        <v>0</v>
      </c>
      <c r="J169" s="33">
        <f t="shared" si="166"/>
        <v>0</v>
      </c>
      <c r="K169" s="30">
        <f t="shared" si="120"/>
        <v>0</v>
      </c>
      <c r="L169" s="33">
        <f t="shared" si="121"/>
        <v>0</v>
      </c>
      <c r="M169" s="30">
        <f t="shared" si="122"/>
        <v>0</v>
      </c>
      <c r="N169" s="33">
        <f t="shared" si="123"/>
        <v>0</v>
      </c>
      <c r="O169" s="31">
        <f t="shared" si="124"/>
        <v>0</v>
      </c>
      <c r="P169" s="33">
        <f t="shared" si="125"/>
        <v>0</v>
      </c>
      <c r="Q169" s="34">
        <f t="shared" si="167"/>
        <v>542919.06442737998</v>
      </c>
      <c r="R169" s="29">
        <f t="shared" si="126"/>
        <v>0</v>
      </c>
      <c r="S169" s="34">
        <f t="shared" si="127"/>
        <v>542919.06442737998</v>
      </c>
      <c r="T169" s="29">
        <f t="shared" si="128"/>
        <v>452.43255368948337</v>
      </c>
      <c r="U169" s="29">
        <f t="shared" si="129"/>
        <v>0</v>
      </c>
      <c r="V169" s="35">
        <f t="shared" si="130"/>
        <v>5.1079771308215617E-5</v>
      </c>
      <c r="W169" s="34">
        <f t="shared" si="131"/>
        <v>0</v>
      </c>
      <c r="X169" s="34">
        <f t="shared" si="132"/>
        <v>542466.63187369052</v>
      </c>
      <c r="Y169" s="36">
        <f t="shared" si="133"/>
        <v>6.9117806082896749E-3</v>
      </c>
      <c r="Z169" s="34">
        <f t="shared" si="134"/>
        <v>3749.4103468287876</v>
      </c>
      <c r="AA169" s="34">
        <f t="shared" si="135"/>
        <v>544341.33704710496</v>
      </c>
      <c r="AB169" s="34">
        <f t="shared" si="136"/>
        <v>0</v>
      </c>
      <c r="AC169" s="34">
        <f t="shared" si="137"/>
        <v>0</v>
      </c>
      <c r="AD169" s="34">
        <f t="shared" si="138"/>
        <v>0</v>
      </c>
      <c r="AE169" s="34">
        <f t="shared" si="139"/>
        <v>0</v>
      </c>
      <c r="AF169" s="34">
        <f t="shared" si="140"/>
        <v>0</v>
      </c>
      <c r="AG169" s="29">
        <f t="shared" si="141"/>
        <v>544341.33704710496</v>
      </c>
      <c r="AH169" s="34">
        <f t="shared" si="142"/>
        <v>0</v>
      </c>
      <c r="AI169" s="34">
        <f t="shared" si="143"/>
        <v>0</v>
      </c>
      <c r="AJ169" s="34">
        <f t="shared" si="144"/>
        <v>0</v>
      </c>
      <c r="AK169" s="34">
        <f t="shared" si="145"/>
        <v>0</v>
      </c>
      <c r="AL169" s="34">
        <f t="shared" si="146"/>
        <v>0</v>
      </c>
      <c r="AM169" s="34">
        <f t="shared" si="147"/>
        <v>0</v>
      </c>
      <c r="AN169" s="34">
        <f t="shared" si="148"/>
        <v>0</v>
      </c>
      <c r="AO169" s="34">
        <f t="shared" si="149"/>
        <v>0</v>
      </c>
      <c r="AP169" s="34">
        <f t="shared" si="150"/>
        <v>0</v>
      </c>
      <c r="AQ169" s="34">
        <f t="shared" si="151"/>
        <v>0</v>
      </c>
      <c r="AR169" s="34">
        <f t="shared" si="152"/>
        <v>0</v>
      </c>
      <c r="AS169" s="30">
        <f t="shared" si="153"/>
        <v>1.1466183546203486</v>
      </c>
      <c r="AT169" s="29">
        <f t="shared" si="154"/>
        <v>0</v>
      </c>
      <c r="AU169" s="29">
        <f t="shared" si="155"/>
        <v>0</v>
      </c>
      <c r="AV169" s="34">
        <f t="shared" si="156"/>
        <v>0</v>
      </c>
      <c r="AW169" s="34">
        <f t="shared" si="157"/>
        <v>0</v>
      </c>
      <c r="AX169" s="29">
        <f t="shared" si="158"/>
        <v>0</v>
      </c>
      <c r="AY169" s="34">
        <f t="shared" si="159"/>
        <v>0</v>
      </c>
      <c r="AZ169" s="37">
        <f t="shared" si="160"/>
        <v>0</v>
      </c>
      <c r="BA169" s="37">
        <f t="shared" si="161"/>
        <v>0</v>
      </c>
      <c r="BB169" s="35">
        <f t="shared" si="162"/>
        <v>1.0645778676408035E-3</v>
      </c>
      <c r="BC169" s="31">
        <f t="shared" si="163"/>
        <v>0.83898544972408273</v>
      </c>
      <c r="BD169" s="34">
        <f t="shared" si="164"/>
        <v>0</v>
      </c>
    </row>
    <row r="170" spans="1:56" x14ac:dyDescent="0.2">
      <c r="A170" s="27">
        <f t="shared" si="165"/>
        <v>166</v>
      </c>
      <c r="B170" s="28">
        <f t="shared" si="112"/>
        <v>166</v>
      </c>
      <c r="C170" s="27">
        <f t="shared" si="113"/>
        <v>13</v>
      </c>
      <c r="D170" s="28">
        <f t="shared" si="114"/>
        <v>33</v>
      </c>
      <c r="E170" s="29">
        <f t="shared" si="115"/>
        <v>0</v>
      </c>
      <c r="F170" s="30">
        <f t="shared" si="116"/>
        <v>5.5709157395097692E-4</v>
      </c>
      <c r="G170" s="31">
        <f t="shared" si="117"/>
        <v>4.6436155734741469E-5</v>
      </c>
      <c r="H170" s="32">
        <f t="shared" si="118"/>
        <v>0.02</v>
      </c>
      <c r="I170" s="32">
        <f t="shared" si="119"/>
        <v>0</v>
      </c>
      <c r="J170" s="33">
        <f t="shared" si="166"/>
        <v>0</v>
      </c>
      <c r="K170" s="30">
        <f t="shared" si="120"/>
        <v>0</v>
      </c>
      <c r="L170" s="33">
        <f t="shared" si="121"/>
        <v>0</v>
      </c>
      <c r="M170" s="30">
        <f t="shared" si="122"/>
        <v>0</v>
      </c>
      <c r="N170" s="33">
        <f t="shared" si="123"/>
        <v>0</v>
      </c>
      <c r="O170" s="31">
        <f t="shared" si="124"/>
        <v>0</v>
      </c>
      <c r="P170" s="33">
        <f t="shared" si="125"/>
        <v>0</v>
      </c>
      <c r="Q170" s="34">
        <f t="shared" si="167"/>
        <v>546216.04222051927</v>
      </c>
      <c r="R170" s="29">
        <f t="shared" si="126"/>
        <v>0</v>
      </c>
      <c r="S170" s="34">
        <f t="shared" si="127"/>
        <v>546216.04222051927</v>
      </c>
      <c r="T170" s="29">
        <f t="shared" si="128"/>
        <v>455.18003518376611</v>
      </c>
      <c r="U170" s="29">
        <f t="shared" si="129"/>
        <v>0</v>
      </c>
      <c r="V170" s="35">
        <f t="shared" si="130"/>
        <v>5.1079771308215617E-5</v>
      </c>
      <c r="W170" s="34">
        <f t="shared" si="131"/>
        <v>0</v>
      </c>
      <c r="X170" s="34">
        <f t="shared" si="132"/>
        <v>545760.86218533549</v>
      </c>
      <c r="Y170" s="36">
        <f t="shared" si="133"/>
        <v>8.6070097683950131E-3</v>
      </c>
      <c r="Z170" s="34">
        <f t="shared" si="134"/>
        <v>4697.3690720368668</v>
      </c>
      <c r="AA170" s="34">
        <f t="shared" si="135"/>
        <v>548109.54672135389</v>
      </c>
      <c r="AB170" s="34">
        <f t="shared" si="136"/>
        <v>0</v>
      </c>
      <c r="AC170" s="34">
        <f t="shared" si="137"/>
        <v>0</v>
      </c>
      <c r="AD170" s="34">
        <f t="shared" si="138"/>
        <v>0</v>
      </c>
      <c r="AE170" s="34">
        <f t="shared" si="139"/>
        <v>0</v>
      </c>
      <c r="AF170" s="34">
        <f t="shared" si="140"/>
        <v>0</v>
      </c>
      <c r="AG170" s="29">
        <f t="shared" si="141"/>
        <v>548109.54672135389</v>
      </c>
      <c r="AH170" s="34">
        <f t="shared" si="142"/>
        <v>0</v>
      </c>
      <c r="AI170" s="34">
        <f t="shared" si="143"/>
        <v>0</v>
      </c>
      <c r="AJ170" s="34">
        <f t="shared" si="144"/>
        <v>0</v>
      </c>
      <c r="AK170" s="34">
        <f t="shared" si="145"/>
        <v>0</v>
      </c>
      <c r="AL170" s="34">
        <f t="shared" si="146"/>
        <v>0</v>
      </c>
      <c r="AM170" s="34">
        <f t="shared" si="147"/>
        <v>0</v>
      </c>
      <c r="AN170" s="34">
        <f t="shared" si="148"/>
        <v>0</v>
      </c>
      <c r="AO170" s="34">
        <f t="shared" si="149"/>
        <v>0</v>
      </c>
      <c r="AP170" s="34">
        <f t="shared" si="150"/>
        <v>0</v>
      </c>
      <c r="AQ170" s="34">
        <f t="shared" si="151"/>
        <v>0</v>
      </c>
      <c r="AR170" s="34">
        <f t="shared" si="152"/>
        <v>0</v>
      </c>
      <c r="AS170" s="30">
        <f t="shared" si="153"/>
        <v>1.1475695182481152</v>
      </c>
      <c r="AT170" s="29">
        <f t="shared" si="154"/>
        <v>0</v>
      </c>
      <c r="AU170" s="29">
        <f t="shared" si="155"/>
        <v>0</v>
      </c>
      <c r="AV170" s="34">
        <f t="shared" si="156"/>
        <v>0</v>
      </c>
      <c r="AW170" s="34">
        <f t="shared" si="157"/>
        <v>0</v>
      </c>
      <c r="AX170" s="29">
        <f t="shared" si="158"/>
        <v>0</v>
      </c>
      <c r="AY170" s="34">
        <f t="shared" si="159"/>
        <v>0</v>
      </c>
      <c r="AZ170" s="37">
        <f t="shared" si="160"/>
        <v>0</v>
      </c>
      <c r="BA170" s="37">
        <f t="shared" si="161"/>
        <v>0</v>
      </c>
      <c r="BB170" s="35">
        <f t="shared" si="162"/>
        <v>1.0645778676408035E-3</v>
      </c>
      <c r="BC170" s="31">
        <f t="shared" si="163"/>
        <v>0.83809323421591697</v>
      </c>
      <c r="BD170" s="34">
        <f t="shared" si="164"/>
        <v>0</v>
      </c>
    </row>
    <row r="171" spans="1:56" x14ac:dyDescent="0.2">
      <c r="A171" s="27">
        <f t="shared" si="165"/>
        <v>167</v>
      </c>
      <c r="B171" s="28">
        <f t="shared" si="112"/>
        <v>167</v>
      </c>
      <c r="C171" s="27">
        <f t="shared" si="113"/>
        <v>13</v>
      </c>
      <c r="D171" s="28">
        <f t="shared" si="114"/>
        <v>33</v>
      </c>
      <c r="E171" s="29">
        <f t="shared" si="115"/>
        <v>0</v>
      </c>
      <c r="F171" s="30">
        <f t="shared" si="116"/>
        <v>5.5709157395097692E-4</v>
      </c>
      <c r="G171" s="31">
        <f t="shared" si="117"/>
        <v>4.6436155734741469E-5</v>
      </c>
      <c r="H171" s="32">
        <f t="shared" si="118"/>
        <v>0.02</v>
      </c>
      <c r="I171" s="32">
        <f t="shared" si="119"/>
        <v>0</v>
      </c>
      <c r="J171" s="33">
        <f t="shared" si="166"/>
        <v>0</v>
      </c>
      <c r="K171" s="30">
        <f t="shared" si="120"/>
        <v>0</v>
      </c>
      <c r="L171" s="33">
        <f t="shared" si="121"/>
        <v>0</v>
      </c>
      <c r="M171" s="30">
        <f t="shared" si="122"/>
        <v>0</v>
      </c>
      <c r="N171" s="33">
        <f t="shared" si="123"/>
        <v>0</v>
      </c>
      <c r="O171" s="31">
        <f t="shared" si="124"/>
        <v>0</v>
      </c>
      <c r="P171" s="33">
        <f t="shared" si="125"/>
        <v>0</v>
      </c>
      <c r="Q171" s="34">
        <f t="shared" si="167"/>
        <v>550458.2312573723</v>
      </c>
      <c r="R171" s="29">
        <f t="shared" si="126"/>
        <v>0</v>
      </c>
      <c r="S171" s="34">
        <f t="shared" si="127"/>
        <v>550458.2312573723</v>
      </c>
      <c r="T171" s="29">
        <f t="shared" si="128"/>
        <v>458.71519271447693</v>
      </c>
      <c r="U171" s="29">
        <f t="shared" si="129"/>
        <v>0</v>
      </c>
      <c r="V171" s="35">
        <f t="shared" si="130"/>
        <v>5.1079771308215617E-5</v>
      </c>
      <c r="W171" s="34">
        <f t="shared" si="131"/>
        <v>0</v>
      </c>
      <c r="X171" s="34">
        <f t="shared" si="132"/>
        <v>549999.51606465783</v>
      </c>
      <c r="Y171" s="36">
        <f t="shared" si="133"/>
        <v>2.5448847075722814E-2</v>
      </c>
      <c r="Z171" s="34">
        <f t="shared" si="134"/>
        <v>13996.853576051029</v>
      </c>
      <c r="AA171" s="34">
        <f t="shared" si="135"/>
        <v>556997.94285268337</v>
      </c>
      <c r="AB171" s="34">
        <f t="shared" si="136"/>
        <v>0</v>
      </c>
      <c r="AC171" s="34">
        <f t="shared" si="137"/>
        <v>0</v>
      </c>
      <c r="AD171" s="34">
        <f t="shared" si="138"/>
        <v>0</v>
      </c>
      <c r="AE171" s="34">
        <f t="shared" si="139"/>
        <v>0</v>
      </c>
      <c r="AF171" s="34">
        <f t="shared" si="140"/>
        <v>0</v>
      </c>
      <c r="AG171" s="29">
        <f t="shared" si="141"/>
        <v>556997.94285268337</v>
      </c>
      <c r="AH171" s="34">
        <f t="shared" si="142"/>
        <v>0</v>
      </c>
      <c r="AI171" s="34">
        <f t="shared" si="143"/>
        <v>0</v>
      </c>
      <c r="AJ171" s="34">
        <f t="shared" si="144"/>
        <v>0</v>
      </c>
      <c r="AK171" s="34">
        <f t="shared" si="145"/>
        <v>0</v>
      </c>
      <c r="AL171" s="34">
        <f t="shared" si="146"/>
        <v>0</v>
      </c>
      <c r="AM171" s="34">
        <f t="shared" si="147"/>
        <v>0</v>
      </c>
      <c r="AN171" s="34">
        <f t="shared" si="148"/>
        <v>0</v>
      </c>
      <c r="AO171" s="34">
        <f t="shared" si="149"/>
        <v>0</v>
      </c>
      <c r="AP171" s="34">
        <f t="shared" si="150"/>
        <v>0</v>
      </c>
      <c r="AQ171" s="34">
        <f t="shared" si="151"/>
        <v>0</v>
      </c>
      <c r="AR171" s="34">
        <f t="shared" si="152"/>
        <v>0</v>
      </c>
      <c r="AS171" s="30">
        <f t="shared" si="153"/>
        <v>1.1485214709023639</v>
      </c>
      <c r="AT171" s="29">
        <f t="shared" si="154"/>
        <v>0</v>
      </c>
      <c r="AU171" s="29">
        <f t="shared" si="155"/>
        <v>0</v>
      </c>
      <c r="AV171" s="34">
        <f t="shared" si="156"/>
        <v>0</v>
      </c>
      <c r="AW171" s="34">
        <f t="shared" si="157"/>
        <v>0</v>
      </c>
      <c r="AX171" s="29">
        <f t="shared" si="158"/>
        <v>0</v>
      </c>
      <c r="AY171" s="34">
        <f t="shared" si="159"/>
        <v>0</v>
      </c>
      <c r="AZ171" s="37">
        <f t="shared" si="160"/>
        <v>0</v>
      </c>
      <c r="BA171" s="37">
        <f t="shared" si="161"/>
        <v>0</v>
      </c>
      <c r="BB171" s="35">
        <f t="shared" si="162"/>
        <v>1.0645778676408035E-3</v>
      </c>
      <c r="BC171" s="31">
        <f t="shared" si="163"/>
        <v>0.83720196753053866</v>
      </c>
      <c r="BD171" s="34">
        <f t="shared" si="164"/>
        <v>0</v>
      </c>
    </row>
    <row r="172" spans="1:56" x14ac:dyDescent="0.2">
      <c r="A172" s="27">
        <f t="shared" si="165"/>
        <v>168</v>
      </c>
      <c r="B172" s="28">
        <f t="shared" si="112"/>
        <v>168</v>
      </c>
      <c r="C172" s="27">
        <f t="shared" si="113"/>
        <v>14</v>
      </c>
      <c r="D172" s="28">
        <f t="shared" si="114"/>
        <v>34</v>
      </c>
      <c r="E172" s="29">
        <f t="shared" si="115"/>
        <v>0</v>
      </c>
      <c r="F172" s="30">
        <f t="shared" si="116"/>
        <v>5.781995961239042E-4</v>
      </c>
      <c r="G172" s="31">
        <f t="shared" si="117"/>
        <v>4.8196073362927194E-5</v>
      </c>
      <c r="H172" s="32">
        <f t="shared" si="118"/>
        <v>0.02</v>
      </c>
      <c r="I172" s="32">
        <f t="shared" si="119"/>
        <v>0</v>
      </c>
      <c r="J172" s="33">
        <f t="shared" si="166"/>
        <v>0</v>
      </c>
      <c r="K172" s="30">
        <f t="shared" si="120"/>
        <v>0</v>
      </c>
      <c r="L172" s="33">
        <f t="shared" si="121"/>
        <v>0</v>
      </c>
      <c r="M172" s="30">
        <f t="shared" si="122"/>
        <v>0</v>
      </c>
      <c r="N172" s="33">
        <f t="shared" si="123"/>
        <v>0</v>
      </c>
      <c r="O172" s="31">
        <f t="shared" si="124"/>
        <v>0</v>
      </c>
      <c r="P172" s="33">
        <f t="shared" si="125"/>
        <v>0</v>
      </c>
      <c r="Q172" s="34">
        <f t="shared" si="167"/>
        <v>563996.3696407089</v>
      </c>
      <c r="R172" s="29">
        <f t="shared" si="126"/>
        <v>0</v>
      </c>
      <c r="S172" s="34">
        <f t="shared" si="127"/>
        <v>563996.3696407089</v>
      </c>
      <c r="T172" s="29">
        <f t="shared" si="128"/>
        <v>469.99697470059078</v>
      </c>
      <c r="U172" s="29">
        <f t="shared" si="129"/>
        <v>0</v>
      </c>
      <c r="V172" s="35">
        <f t="shared" si="130"/>
        <v>5.3015680699219918E-5</v>
      </c>
      <c r="W172" s="34">
        <f t="shared" si="131"/>
        <v>0</v>
      </c>
      <c r="X172" s="34">
        <f t="shared" si="132"/>
        <v>563526.3726660083</v>
      </c>
      <c r="Y172" s="36">
        <f t="shared" si="133"/>
        <v>-1.5661762425883574E-2</v>
      </c>
      <c r="Z172" s="34">
        <f t="shared" si="134"/>
        <v>-8825.816169414953</v>
      </c>
      <c r="AA172" s="34">
        <f t="shared" si="135"/>
        <v>559113.46458130085</v>
      </c>
      <c r="AB172" s="34">
        <f t="shared" si="136"/>
        <v>0</v>
      </c>
      <c r="AC172" s="34">
        <f t="shared" si="137"/>
        <v>0</v>
      </c>
      <c r="AD172" s="34">
        <f t="shared" si="138"/>
        <v>0</v>
      </c>
      <c r="AE172" s="34">
        <f t="shared" si="139"/>
        <v>0</v>
      </c>
      <c r="AF172" s="34">
        <f t="shared" si="140"/>
        <v>0</v>
      </c>
      <c r="AG172" s="29">
        <f t="shared" si="141"/>
        <v>559113.46458130085</v>
      </c>
      <c r="AH172" s="34">
        <f t="shared" si="142"/>
        <v>0</v>
      </c>
      <c r="AI172" s="34">
        <f t="shared" si="143"/>
        <v>0</v>
      </c>
      <c r="AJ172" s="34">
        <f t="shared" si="144"/>
        <v>0</v>
      </c>
      <c r="AK172" s="34">
        <f t="shared" si="145"/>
        <v>0</v>
      </c>
      <c r="AL172" s="34">
        <f t="shared" si="146"/>
        <v>0</v>
      </c>
      <c r="AM172" s="34">
        <f t="shared" si="147"/>
        <v>0</v>
      </c>
      <c r="AN172" s="34">
        <f t="shared" si="148"/>
        <v>0</v>
      </c>
      <c r="AO172" s="34">
        <f t="shared" si="149"/>
        <v>0</v>
      </c>
      <c r="AP172" s="34">
        <f t="shared" si="150"/>
        <v>0</v>
      </c>
      <c r="AQ172" s="34">
        <f t="shared" si="151"/>
        <v>0</v>
      </c>
      <c r="AR172" s="34">
        <f t="shared" si="152"/>
        <v>0</v>
      </c>
      <c r="AS172" s="30">
        <f t="shared" si="153"/>
        <v>1.1494742132376226</v>
      </c>
      <c r="AT172" s="29">
        <f t="shared" si="154"/>
        <v>0</v>
      </c>
      <c r="AU172" s="29">
        <f t="shared" si="155"/>
        <v>0</v>
      </c>
      <c r="AV172" s="34">
        <f t="shared" si="156"/>
        <v>0</v>
      </c>
      <c r="AW172" s="34">
        <f t="shared" si="157"/>
        <v>0</v>
      </c>
      <c r="AX172" s="29">
        <f t="shared" si="158"/>
        <v>0</v>
      </c>
      <c r="AY172" s="34">
        <f t="shared" si="159"/>
        <v>0</v>
      </c>
      <c r="AZ172" s="37">
        <f t="shared" si="160"/>
        <v>0</v>
      </c>
      <c r="BA172" s="37">
        <f t="shared" si="161"/>
        <v>0</v>
      </c>
      <c r="BB172" s="35">
        <f t="shared" si="162"/>
        <v>1.083519541521083E-3</v>
      </c>
      <c r="BC172" s="31">
        <f t="shared" si="163"/>
        <v>0.8336574128890275</v>
      </c>
      <c r="BD172" s="34">
        <f t="shared" si="164"/>
        <v>0</v>
      </c>
    </row>
    <row r="173" spans="1:56" x14ac:dyDescent="0.2">
      <c r="A173" s="27">
        <f t="shared" si="165"/>
        <v>169</v>
      </c>
      <c r="B173" s="28">
        <f t="shared" si="112"/>
        <v>169</v>
      </c>
      <c r="C173" s="27">
        <f t="shared" si="113"/>
        <v>14</v>
      </c>
      <c r="D173" s="28">
        <f t="shared" si="114"/>
        <v>34</v>
      </c>
      <c r="E173" s="29">
        <f t="shared" si="115"/>
        <v>0</v>
      </c>
      <c r="F173" s="30">
        <f t="shared" si="116"/>
        <v>5.781995961239042E-4</v>
      </c>
      <c r="G173" s="31">
        <f t="shared" si="117"/>
        <v>4.8196073362927194E-5</v>
      </c>
      <c r="H173" s="32">
        <f t="shared" si="118"/>
        <v>0.02</v>
      </c>
      <c r="I173" s="32">
        <f t="shared" si="119"/>
        <v>0</v>
      </c>
      <c r="J173" s="33">
        <f t="shared" si="166"/>
        <v>0</v>
      </c>
      <c r="K173" s="30">
        <f t="shared" si="120"/>
        <v>0</v>
      </c>
      <c r="L173" s="33">
        <f t="shared" si="121"/>
        <v>0</v>
      </c>
      <c r="M173" s="30">
        <f t="shared" si="122"/>
        <v>0</v>
      </c>
      <c r="N173" s="33">
        <f t="shared" si="123"/>
        <v>0</v>
      </c>
      <c r="O173" s="31">
        <f t="shared" si="124"/>
        <v>0</v>
      </c>
      <c r="P173" s="33">
        <f t="shared" si="125"/>
        <v>0</v>
      </c>
      <c r="Q173" s="34">
        <f t="shared" si="167"/>
        <v>554700.5564965934</v>
      </c>
      <c r="R173" s="29">
        <f t="shared" si="126"/>
        <v>0</v>
      </c>
      <c r="S173" s="34">
        <f t="shared" si="127"/>
        <v>554700.5564965934</v>
      </c>
      <c r="T173" s="29">
        <f t="shared" si="128"/>
        <v>462.25046374716118</v>
      </c>
      <c r="U173" s="29">
        <f t="shared" si="129"/>
        <v>0</v>
      </c>
      <c r="V173" s="35">
        <f t="shared" si="130"/>
        <v>5.3015680699219918E-5</v>
      </c>
      <c r="W173" s="34">
        <f t="shared" si="131"/>
        <v>0</v>
      </c>
      <c r="X173" s="34">
        <f t="shared" si="132"/>
        <v>554238.30603284622</v>
      </c>
      <c r="Y173" s="36">
        <f t="shared" si="133"/>
        <v>-1.4299148558243324E-3</v>
      </c>
      <c r="Z173" s="34">
        <f t="shared" si="134"/>
        <v>-792.51358746327958</v>
      </c>
      <c r="AA173" s="34">
        <f t="shared" si="135"/>
        <v>553842.04923911463</v>
      </c>
      <c r="AB173" s="34">
        <f t="shared" si="136"/>
        <v>0</v>
      </c>
      <c r="AC173" s="34">
        <f t="shared" si="137"/>
        <v>0</v>
      </c>
      <c r="AD173" s="34">
        <f t="shared" si="138"/>
        <v>0</v>
      </c>
      <c r="AE173" s="34">
        <f t="shared" si="139"/>
        <v>0</v>
      </c>
      <c r="AF173" s="34">
        <f t="shared" si="140"/>
        <v>0</v>
      </c>
      <c r="AG173" s="29">
        <f t="shared" si="141"/>
        <v>553842.04923911463</v>
      </c>
      <c r="AH173" s="34">
        <f t="shared" si="142"/>
        <v>0</v>
      </c>
      <c r="AI173" s="34">
        <f t="shared" si="143"/>
        <v>0</v>
      </c>
      <c r="AJ173" s="34">
        <f t="shared" si="144"/>
        <v>0</v>
      </c>
      <c r="AK173" s="34">
        <f t="shared" si="145"/>
        <v>0</v>
      </c>
      <c r="AL173" s="34">
        <f t="shared" si="146"/>
        <v>0</v>
      </c>
      <c r="AM173" s="34">
        <f t="shared" si="147"/>
        <v>0</v>
      </c>
      <c r="AN173" s="34">
        <f t="shared" si="148"/>
        <v>0</v>
      </c>
      <c r="AO173" s="34">
        <f t="shared" si="149"/>
        <v>0</v>
      </c>
      <c r="AP173" s="34">
        <f t="shared" si="150"/>
        <v>0</v>
      </c>
      <c r="AQ173" s="34">
        <f t="shared" si="151"/>
        <v>0</v>
      </c>
      <c r="AR173" s="34">
        <f t="shared" si="152"/>
        <v>0</v>
      </c>
      <c r="AS173" s="30">
        <f t="shared" si="153"/>
        <v>1.1504277459089611</v>
      </c>
      <c r="AT173" s="29">
        <f t="shared" si="154"/>
        <v>0</v>
      </c>
      <c r="AU173" s="29">
        <f t="shared" si="155"/>
        <v>0</v>
      </c>
      <c r="AV173" s="34">
        <f t="shared" si="156"/>
        <v>0</v>
      </c>
      <c r="AW173" s="34">
        <f t="shared" si="157"/>
        <v>0</v>
      </c>
      <c r="AX173" s="29">
        <f t="shared" si="158"/>
        <v>0</v>
      </c>
      <c r="AY173" s="34">
        <f t="shared" si="159"/>
        <v>0</v>
      </c>
      <c r="AZ173" s="37">
        <f t="shared" si="160"/>
        <v>0</v>
      </c>
      <c r="BA173" s="37">
        <f t="shared" si="161"/>
        <v>0</v>
      </c>
      <c r="BB173" s="35">
        <f t="shared" si="162"/>
        <v>1.083519541521083E-3</v>
      </c>
      <c r="BC173" s="31">
        <f t="shared" si="163"/>
        <v>0.83275510645787909</v>
      </c>
      <c r="BD173" s="34">
        <f t="shared" si="164"/>
        <v>0</v>
      </c>
    </row>
    <row r="174" spans="1:56" x14ac:dyDescent="0.2">
      <c r="A174" s="27">
        <f t="shared" si="165"/>
        <v>170</v>
      </c>
      <c r="B174" s="28">
        <f t="shared" si="112"/>
        <v>170</v>
      </c>
      <c r="C174" s="27">
        <f t="shared" si="113"/>
        <v>14</v>
      </c>
      <c r="D174" s="28">
        <f t="shared" si="114"/>
        <v>34</v>
      </c>
      <c r="E174" s="29">
        <f t="shared" si="115"/>
        <v>0</v>
      </c>
      <c r="F174" s="30">
        <f t="shared" si="116"/>
        <v>5.781995961239042E-4</v>
      </c>
      <c r="G174" s="31">
        <f t="shared" si="117"/>
        <v>4.8196073362927194E-5</v>
      </c>
      <c r="H174" s="32">
        <f t="shared" si="118"/>
        <v>0.02</v>
      </c>
      <c r="I174" s="32">
        <f t="shared" si="119"/>
        <v>0</v>
      </c>
      <c r="J174" s="33">
        <f t="shared" si="166"/>
        <v>0</v>
      </c>
      <c r="K174" s="30">
        <f t="shared" si="120"/>
        <v>0</v>
      </c>
      <c r="L174" s="33">
        <f t="shared" si="121"/>
        <v>0</v>
      </c>
      <c r="M174" s="30">
        <f t="shared" si="122"/>
        <v>0</v>
      </c>
      <c r="N174" s="33">
        <f t="shared" si="123"/>
        <v>0</v>
      </c>
      <c r="O174" s="31">
        <f t="shared" si="124"/>
        <v>0</v>
      </c>
      <c r="P174" s="33">
        <f t="shared" si="125"/>
        <v>0</v>
      </c>
      <c r="Q174" s="34">
        <f t="shared" si="167"/>
        <v>553445.79244538292</v>
      </c>
      <c r="R174" s="29">
        <f t="shared" si="126"/>
        <v>0</v>
      </c>
      <c r="S174" s="34">
        <f t="shared" si="127"/>
        <v>553445.79244538292</v>
      </c>
      <c r="T174" s="29">
        <f t="shared" si="128"/>
        <v>461.20482703781914</v>
      </c>
      <c r="U174" s="29">
        <f t="shared" si="129"/>
        <v>0</v>
      </c>
      <c r="V174" s="35">
        <f t="shared" si="130"/>
        <v>5.3015680699219918E-5</v>
      </c>
      <c r="W174" s="34">
        <f t="shared" si="131"/>
        <v>0</v>
      </c>
      <c r="X174" s="34">
        <f t="shared" si="132"/>
        <v>552984.58761834505</v>
      </c>
      <c r="Y174" s="36">
        <f t="shared" si="133"/>
        <v>9.5091858145961439E-3</v>
      </c>
      <c r="Z174" s="34">
        <f t="shared" si="134"/>
        <v>5258.4331962706656</v>
      </c>
      <c r="AA174" s="34">
        <f t="shared" si="135"/>
        <v>555613.80421648035</v>
      </c>
      <c r="AB174" s="34">
        <f t="shared" si="136"/>
        <v>0</v>
      </c>
      <c r="AC174" s="34">
        <f t="shared" si="137"/>
        <v>0</v>
      </c>
      <c r="AD174" s="34">
        <f t="shared" si="138"/>
        <v>0</v>
      </c>
      <c r="AE174" s="34">
        <f t="shared" si="139"/>
        <v>0</v>
      </c>
      <c r="AF174" s="34">
        <f t="shared" si="140"/>
        <v>0</v>
      </c>
      <c r="AG174" s="29">
        <f t="shared" si="141"/>
        <v>555613.80421648035</v>
      </c>
      <c r="AH174" s="34">
        <f t="shared" si="142"/>
        <v>0</v>
      </c>
      <c r="AI174" s="34">
        <f t="shared" si="143"/>
        <v>0</v>
      </c>
      <c r="AJ174" s="34">
        <f t="shared" si="144"/>
        <v>0</v>
      </c>
      <c r="AK174" s="34">
        <f t="shared" si="145"/>
        <v>0</v>
      </c>
      <c r="AL174" s="34">
        <f t="shared" si="146"/>
        <v>0</v>
      </c>
      <c r="AM174" s="34">
        <f t="shared" si="147"/>
        <v>0</v>
      </c>
      <c r="AN174" s="34">
        <f t="shared" si="148"/>
        <v>0</v>
      </c>
      <c r="AO174" s="34">
        <f t="shared" si="149"/>
        <v>0</v>
      </c>
      <c r="AP174" s="34">
        <f t="shared" si="150"/>
        <v>0</v>
      </c>
      <c r="AQ174" s="34">
        <f t="shared" si="151"/>
        <v>0</v>
      </c>
      <c r="AR174" s="34">
        <f t="shared" si="152"/>
        <v>0</v>
      </c>
      <c r="AS174" s="30">
        <f t="shared" si="153"/>
        <v>1.1513820695719941</v>
      </c>
      <c r="AT174" s="29">
        <f t="shared" si="154"/>
        <v>0</v>
      </c>
      <c r="AU174" s="29">
        <f t="shared" si="155"/>
        <v>0</v>
      </c>
      <c r="AV174" s="34">
        <f t="shared" si="156"/>
        <v>0</v>
      </c>
      <c r="AW174" s="34">
        <f t="shared" si="157"/>
        <v>0</v>
      </c>
      <c r="AX174" s="29">
        <f t="shared" si="158"/>
        <v>0</v>
      </c>
      <c r="AY174" s="34">
        <f t="shared" si="159"/>
        <v>0</v>
      </c>
      <c r="AZ174" s="37">
        <f t="shared" si="160"/>
        <v>0</v>
      </c>
      <c r="BA174" s="37">
        <f t="shared" si="161"/>
        <v>0</v>
      </c>
      <c r="BB174" s="35">
        <f t="shared" si="162"/>
        <v>1.083519541521083E-3</v>
      </c>
      <c r="BC174" s="31">
        <f t="shared" si="163"/>
        <v>0.83185377663520665</v>
      </c>
      <c r="BD174" s="34">
        <f t="shared" si="164"/>
        <v>0</v>
      </c>
    </row>
    <row r="175" spans="1:56" x14ac:dyDescent="0.2">
      <c r="A175" s="27">
        <f t="shared" si="165"/>
        <v>171</v>
      </c>
      <c r="B175" s="28">
        <f t="shared" si="112"/>
        <v>171</v>
      </c>
      <c r="C175" s="27">
        <f t="shared" si="113"/>
        <v>14</v>
      </c>
      <c r="D175" s="28">
        <f t="shared" si="114"/>
        <v>34</v>
      </c>
      <c r="E175" s="29">
        <f t="shared" si="115"/>
        <v>0</v>
      </c>
      <c r="F175" s="30">
        <f t="shared" si="116"/>
        <v>5.781995961239042E-4</v>
      </c>
      <c r="G175" s="31">
        <f t="shared" si="117"/>
        <v>4.8196073362927194E-5</v>
      </c>
      <c r="H175" s="32">
        <f t="shared" si="118"/>
        <v>0.02</v>
      </c>
      <c r="I175" s="32">
        <f t="shared" si="119"/>
        <v>0</v>
      </c>
      <c r="J175" s="33">
        <f t="shared" si="166"/>
        <v>0</v>
      </c>
      <c r="K175" s="30">
        <f t="shared" si="120"/>
        <v>0</v>
      </c>
      <c r="L175" s="33">
        <f t="shared" si="121"/>
        <v>0</v>
      </c>
      <c r="M175" s="30">
        <f t="shared" si="122"/>
        <v>0</v>
      </c>
      <c r="N175" s="33">
        <f t="shared" si="123"/>
        <v>0</v>
      </c>
      <c r="O175" s="31">
        <f t="shared" si="124"/>
        <v>0</v>
      </c>
      <c r="P175" s="33">
        <f t="shared" si="125"/>
        <v>0</v>
      </c>
      <c r="Q175" s="34">
        <f t="shared" si="167"/>
        <v>558243.02081461577</v>
      </c>
      <c r="R175" s="29">
        <f t="shared" si="126"/>
        <v>0</v>
      </c>
      <c r="S175" s="34">
        <f t="shared" si="127"/>
        <v>558243.02081461577</v>
      </c>
      <c r="T175" s="29">
        <f t="shared" si="128"/>
        <v>465.20251734551317</v>
      </c>
      <c r="U175" s="29">
        <f t="shared" si="129"/>
        <v>0</v>
      </c>
      <c r="V175" s="35">
        <f t="shared" si="130"/>
        <v>5.3015680699219918E-5</v>
      </c>
      <c r="W175" s="34">
        <f t="shared" si="131"/>
        <v>0</v>
      </c>
      <c r="X175" s="34">
        <f t="shared" si="132"/>
        <v>557777.81829727022</v>
      </c>
      <c r="Y175" s="36">
        <f t="shared" si="133"/>
        <v>9.224355146683072E-3</v>
      </c>
      <c r="Z175" s="34">
        <f t="shared" si="134"/>
        <v>5145.1406889160799</v>
      </c>
      <c r="AA175" s="34">
        <f t="shared" si="135"/>
        <v>560350.3886417282</v>
      </c>
      <c r="AB175" s="34">
        <f t="shared" si="136"/>
        <v>0</v>
      </c>
      <c r="AC175" s="34">
        <f t="shared" si="137"/>
        <v>0</v>
      </c>
      <c r="AD175" s="34">
        <f t="shared" si="138"/>
        <v>0</v>
      </c>
      <c r="AE175" s="34">
        <f t="shared" si="139"/>
        <v>0</v>
      </c>
      <c r="AF175" s="34">
        <f t="shared" si="140"/>
        <v>0</v>
      </c>
      <c r="AG175" s="29">
        <f t="shared" si="141"/>
        <v>560350.3886417282</v>
      </c>
      <c r="AH175" s="34">
        <f t="shared" si="142"/>
        <v>0</v>
      </c>
      <c r="AI175" s="34">
        <f t="shared" si="143"/>
        <v>0</v>
      </c>
      <c r="AJ175" s="34">
        <f t="shared" si="144"/>
        <v>0</v>
      </c>
      <c r="AK175" s="34">
        <f t="shared" si="145"/>
        <v>0</v>
      </c>
      <c r="AL175" s="34">
        <f t="shared" si="146"/>
        <v>0</v>
      </c>
      <c r="AM175" s="34">
        <f t="shared" si="147"/>
        <v>0</v>
      </c>
      <c r="AN175" s="34">
        <f t="shared" si="148"/>
        <v>0</v>
      </c>
      <c r="AO175" s="34">
        <f t="shared" si="149"/>
        <v>0</v>
      </c>
      <c r="AP175" s="34">
        <f t="shared" si="150"/>
        <v>0</v>
      </c>
      <c r="AQ175" s="34">
        <f t="shared" si="151"/>
        <v>0</v>
      </c>
      <c r="AR175" s="34">
        <f t="shared" si="152"/>
        <v>0</v>
      </c>
      <c r="AS175" s="30">
        <f t="shared" si="153"/>
        <v>1.152337184882879</v>
      </c>
      <c r="AT175" s="29">
        <f t="shared" si="154"/>
        <v>0</v>
      </c>
      <c r="AU175" s="29">
        <f t="shared" si="155"/>
        <v>0</v>
      </c>
      <c r="AV175" s="34">
        <f t="shared" si="156"/>
        <v>0</v>
      </c>
      <c r="AW175" s="34">
        <f t="shared" si="157"/>
        <v>0</v>
      </c>
      <c r="AX175" s="29">
        <f t="shared" si="158"/>
        <v>0</v>
      </c>
      <c r="AY175" s="34">
        <f t="shared" si="159"/>
        <v>0</v>
      </c>
      <c r="AZ175" s="37">
        <f t="shared" si="160"/>
        <v>0</v>
      </c>
      <c r="BA175" s="37">
        <f t="shared" si="161"/>
        <v>0</v>
      </c>
      <c r="BB175" s="35">
        <f t="shared" si="162"/>
        <v>1.083519541521083E-3</v>
      </c>
      <c r="BC175" s="31">
        <f t="shared" si="163"/>
        <v>0.83095342236398151</v>
      </c>
      <c r="BD175" s="34">
        <f t="shared" si="164"/>
        <v>0</v>
      </c>
    </row>
    <row r="176" spans="1:56" x14ac:dyDescent="0.2">
      <c r="A176" s="27">
        <f t="shared" si="165"/>
        <v>172</v>
      </c>
      <c r="B176" s="28">
        <f t="shared" si="112"/>
        <v>172</v>
      </c>
      <c r="C176" s="27">
        <f t="shared" si="113"/>
        <v>14</v>
      </c>
      <c r="D176" s="28">
        <f t="shared" si="114"/>
        <v>34</v>
      </c>
      <c r="E176" s="29">
        <f t="shared" si="115"/>
        <v>0</v>
      </c>
      <c r="F176" s="30">
        <f t="shared" si="116"/>
        <v>5.781995961239042E-4</v>
      </c>
      <c r="G176" s="31">
        <f t="shared" si="117"/>
        <v>4.8196073362927194E-5</v>
      </c>
      <c r="H176" s="32">
        <f t="shared" si="118"/>
        <v>0.02</v>
      </c>
      <c r="I176" s="32">
        <f t="shared" si="119"/>
        <v>0</v>
      </c>
      <c r="J176" s="33">
        <f t="shared" si="166"/>
        <v>0</v>
      </c>
      <c r="K176" s="30">
        <f t="shared" si="120"/>
        <v>0</v>
      </c>
      <c r="L176" s="33">
        <f t="shared" si="121"/>
        <v>0</v>
      </c>
      <c r="M176" s="30">
        <f t="shared" si="122"/>
        <v>0</v>
      </c>
      <c r="N176" s="33">
        <f t="shared" si="123"/>
        <v>0</v>
      </c>
      <c r="O176" s="31">
        <f t="shared" si="124"/>
        <v>0</v>
      </c>
      <c r="P176" s="33">
        <f t="shared" si="125"/>
        <v>0</v>
      </c>
      <c r="Q176" s="34">
        <f t="shared" si="167"/>
        <v>562922.95898618631</v>
      </c>
      <c r="R176" s="29">
        <f t="shared" si="126"/>
        <v>0</v>
      </c>
      <c r="S176" s="34">
        <f t="shared" si="127"/>
        <v>562922.95898618631</v>
      </c>
      <c r="T176" s="29">
        <f t="shared" si="128"/>
        <v>469.10246582182197</v>
      </c>
      <c r="U176" s="29">
        <f t="shared" si="129"/>
        <v>0</v>
      </c>
      <c r="V176" s="35">
        <f t="shared" si="130"/>
        <v>5.3015680699219918E-5</v>
      </c>
      <c r="W176" s="34">
        <f t="shared" si="131"/>
        <v>0</v>
      </c>
      <c r="X176" s="34">
        <f t="shared" si="132"/>
        <v>562453.85652036453</v>
      </c>
      <c r="Y176" s="36">
        <f t="shared" si="133"/>
        <v>-6.6555461172942421E-3</v>
      </c>
      <c r="Z176" s="34">
        <f t="shared" si="134"/>
        <v>-3743.4375809212847</v>
      </c>
      <c r="AA176" s="34">
        <f t="shared" si="135"/>
        <v>560582.13772990392</v>
      </c>
      <c r="AB176" s="34">
        <f t="shared" si="136"/>
        <v>0</v>
      </c>
      <c r="AC176" s="34">
        <f t="shared" si="137"/>
        <v>0</v>
      </c>
      <c r="AD176" s="34">
        <f t="shared" si="138"/>
        <v>0</v>
      </c>
      <c r="AE176" s="34">
        <f t="shared" si="139"/>
        <v>0</v>
      </c>
      <c r="AF176" s="34">
        <f t="shared" si="140"/>
        <v>0</v>
      </c>
      <c r="AG176" s="29">
        <f t="shared" si="141"/>
        <v>560582.13772990392</v>
      </c>
      <c r="AH176" s="34">
        <f t="shared" si="142"/>
        <v>0</v>
      </c>
      <c r="AI176" s="34">
        <f t="shared" si="143"/>
        <v>0</v>
      </c>
      <c r="AJ176" s="34">
        <f t="shared" si="144"/>
        <v>0</v>
      </c>
      <c r="AK176" s="34">
        <f t="shared" si="145"/>
        <v>0</v>
      </c>
      <c r="AL176" s="34">
        <f t="shared" si="146"/>
        <v>0</v>
      </c>
      <c r="AM176" s="34">
        <f t="shared" si="147"/>
        <v>0</v>
      </c>
      <c r="AN176" s="34">
        <f t="shared" si="148"/>
        <v>0</v>
      </c>
      <c r="AO176" s="34">
        <f t="shared" si="149"/>
        <v>0</v>
      </c>
      <c r="AP176" s="34">
        <f t="shared" si="150"/>
        <v>0</v>
      </c>
      <c r="AQ176" s="34">
        <f t="shared" si="151"/>
        <v>0</v>
      </c>
      <c r="AR176" s="34">
        <f t="shared" si="152"/>
        <v>0</v>
      </c>
      <c r="AS176" s="30">
        <f t="shared" si="153"/>
        <v>1.1532930924983178</v>
      </c>
      <c r="AT176" s="29">
        <f t="shared" si="154"/>
        <v>0</v>
      </c>
      <c r="AU176" s="29">
        <f t="shared" si="155"/>
        <v>0</v>
      </c>
      <c r="AV176" s="34">
        <f t="shared" si="156"/>
        <v>0</v>
      </c>
      <c r="AW176" s="34">
        <f t="shared" si="157"/>
        <v>0</v>
      </c>
      <c r="AX176" s="29">
        <f t="shared" si="158"/>
        <v>0</v>
      </c>
      <c r="AY176" s="34">
        <f t="shared" si="159"/>
        <v>0</v>
      </c>
      <c r="AZ176" s="37">
        <f t="shared" si="160"/>
        <v>0</v>
      </c>
      <c r="BA176" s="37">
        <f t="shared" si="161"/>
        <v>0</v>
      </c>
      <c r="BB176" s="35">
        <f t="shared" si="162"/>
        <v>1.083519541521083E-3</v>
      </c>
      <c r="BC176" s="31">
        <f t="shared" si="163"/>
        <v>0.83005404258831816</v>
      </c>
      <c r="BD176" s="34">
        <f t="shared" si="164"/>
        <v>0</v>
      </c>
    </row>
    <row r="177" spans="1:56" x14ac:dyDescent="0.2">
      <c r="A177" s="27">
        <f t="shared" si="165"/>
        <v>173</v>
      </c>
      <c r="B177" s="28">
        <f t="shared" si="112"/>
        <v>173</v>
      </c>
      <c r="C177" s="27">
        <f t="shared" si="113"/>
        <v>14</v>
      </c>
      <c r="D177" s="28">
        <f t="shared" si="114"/>
        <v>34</v>
      </c>
      <c r="E177" s="29">
        <f t="shared" si="115"/>
        <v>0</v>
      </c>
      <c r="F177" s="30">
        <f t="shared" si="116"/>
        <v>5.781995961239042E-4</v>
      </c>
      <c r="G177" s="31">
        <f t="shared" si="117"/>
        <v>4.8196073362927194E-5</v>
      </c>
      <c r="H177" s="32">
        <f t="shared" si="118"/>
        <v>0.02</v>
      </c>
      <c r="I177" s="32">
        <f t="shared" si="119"/>
        <v>0</v>
      </c>
      <c r="J177" s="33">
        <f t="shared" si="166"/>
        <v>0</v>
      </c>
      <c r="K177" s="30">
        <f t="shared" si="120"/>
        <v>0</v>
      </c>
      <c r="L177" s="33">
        <f t="shared" si="121"/>
        <v>0</v>
      </c>
      <c r="M177" s="30">
        <f t="shared" si="122"/>
        <v>0</v>
      </c>
      <c r="N177" s="33">
        <f t="shared" si="123"/>
        <v>0</v>
      </c>
      <c r="O177" s="31">
        <f t="shared" si="124"/>
        <v>0</v>
      </c>
      <c r="P177" s="33">
        <f t="shared" si="125"/>
        <v>0</v>
      </c>
      <c r="Q177" s="34">
        <f t="shared" si="167"/>
        <v>558710.41893944319</v>
      </c>
      <c r="R177" s="29">
        <f t="shared" si="126"/>
        <v>0</v>
      </c>
      <c r="S177" s="34">
        <f t="shared" si="127"/>
        <v>558710.41893944319</v>
      </c>
      <c r="T177" s="29">
        <f t="shared" si="128"/>
        <v>465.59201578286934</v>
      </c>
      <c r="U177" s="29">
        <f t="shared" si="129"/>
        <v>0</v>
      </c>
      <c r="V177" s="35">
        <f t="shared" si="130"/>
        <v>5.3015680699219918E-5</v>
      </c>
      <c r="W177" s="34">
        <f t="shared" si="131"/>
        <v>0</v>
      </c>
      <c r="X177" s="34">
        <f t="shared" si="132"/>
        <v>558244.82692366035</v>
      </c>
      <c r="Y177" s="36">
        <f t="shared" si="133"/>
        <v>3.6597494712868883E-3</v>
      </c>
      <c r="Z177" s="34">
        <f t="shared" si="134"/>
        <v>2043.0362101825065</v>
      </c>
      <c r="AA177" s="34">
        <f t="shared" si="135"/>
        <v>559266.34502875165</v>
      </c>
      <c r="AB177" s="34">
        <f t="shared" si="136"/>
        <v>0</v>
      </c>
      <c r="AC177" s="34">
        <f t="shared" si="137"/>
        <v>0</v>
      </c>
      <c r="AD177" s="34">
        <f t="shared" si="138"/>
        <v>0</v>
      </c>
      <c r="AE177" s="34">
        <f t="shared" si="139"/>
        <v>0</v>
      </c>
      <c r="AF177" s="34">
        <f t="shared" si="140"/>
        <v>0</v>
      </c>
      <c r="AG177" s="29">
        <f t="shared" si="141"/>
        <v>559266.34502875165</v>
      </c>
      <c r="AH177" s="34">
        <f t="shared" si="142"/>
        <v>0</v>
      </c>
      <c r="AI177" s="34">
        <f t="shared" si="143"/>
        <v>0</v>
      </c>
      <c r="AJ177" s="34">
        <f t="shared" si="144"/>
        <v>0</v>
      </c>
      <c r="AK177" s="34">
        <f t="shared" si="145"/>
        <v>0</v>
      </c>
      <c r="AL177" s="34">
        <f t="shared" si="146"/>
        <v>0</v>
      </c>
      <c r="AM177" s="34">
        <f t="shared" si="147"/>
        <v>0</v>
      </c>
      <c r="AN177" s="34">
        <f t="shared" si="148"/>
        <v>0</v>
      </c>
      <c r="AO177" s="34">
        <f t="shared" si="149"/>
        <v>0</v>
      </c>
      <c r="AP177" s="34">
        <f t="shared" si="150"/>
        <v>0</v>
      </c>
      <c r="AQ177" s="34">
        <f t="shared" si="151"/>
        <v>0</v>
      </c>
      <c r="AR177" s="34">
        <f t="shared" si="152"/>
        <v>0</v>
      </c>
      <c r="AS177" s="30">
        <f t="shared" si="153"/>
        <v>1.1542497930755573</v>
      </c>
      <c r="AT177" s="29">
        <f t="shared" si="154"/>
        <v>0</v>
      </c>
      <c r="AU177" s="29">
        <f t="shared" si="155"/>
        <v>0</v>
      </c>
      <c r="AV177" s="34">
        <f t="shared" si="156"/>
        <v>0</v>
      </c>
      <c r="AW177" s="34">
        <f t="shared" si="157"/>
        <v>0</v>
      </c>
      <c r="AX177" s="29">
        <f t="shared" si="158"/>
        <v>0</v>
      </c>
      <c r="AY177" s="34">
        <f t="shared" si="159"/>
        <v>0</v>
      </c>
      <c r="AZ177" s="37">
        <f t="shared" si="160"/>
        <v>0</v>
      </c>
      <c r="BA177" s="37">
        <f t="shared" si="161"/>
        <v>0</v>
      </c>
      <c r="BB177" s="35">
        <f t="shared" si="162"/>
        <v>1.083519541521083E-3</v>
      </c>
      <c r="BC177" s="31">
        <f t="shared" si="163"/>
        <v>0.82915563625347544</v>
      </c>
      <c r="BD177" s="34">
        <f t="shared" si="164"/>
        <v>0</v>
      </c>
    </row>
    <row r="178" spans="1:56" x14ac:dyDescent="0.2">
      <c r="A178" s="27">
        <f t="shared" si="165"/>
        <v>174</v>
      </c>
      <c r="B178" s="28">
        <f t="shared" si="112"/>
        <v>174</v>
      </c>
      <c r="C178" s="27">
        <f t="shared" si="113"/>
        <v>14</v>
      </c>
      <c r="D178" s="28">
        <f t="shared" si="114"/>
        <v>34</v>
      </c>
      <c r="E178" s="29">
        <f t="shared" si="115"/>
        <v>0</v>
      </c>
      <c r="F178" s="30">
        <f t="shared" si="116"/>
        <v>5.781995961239042E-4</v>
      </c>
      <c r="G178" s="31">
        <f t="shared" si="117"/>
        <v>4.8196073362927194E-5</v>
      </c>
      <c r="H178" s="32">
        <f t="shared" si="118"/>
        <v>0.02</v>
      </c>
      <c r="I178" s="32">
        <f t="shared" si="119"/>
        <v>0</v>
      </c>
      <c r="J178" s="33">
        <f t="shared" si="166"/>
        <v>0</v>
      </c>
      <c r="K178" s="30">
        <f t="shared" si="120"/>
        <v>0</v>
      </c>
      <c r="L178" s="33">
        <f t="shared" si="121"/>
        <v>0</v>
      </c>
      <c r="M178" s="30">
        <f t="shared" si="122"/>
        <v>0</v>
      </c>
      <c r="N178" s="33">
        <f t="shared" si="123"/>
        <v>0</v>
      </c>
      <c r="O178" s="31">
        <f t="shared" si="124"/>
        <v>0</v>
      </c>
      <c r="P178" s="33">
        <f t="shared" si="125"/>
        <v>0</v>
      </c>
      <c r="Q178" s="34">
        <f t="shared" si="167"/>
        <v>560287.86313384282</v>
      </c>
      <c r="R178" s="29">
        <f t="shared" si="126"/>
        <v>0</v>
      </c>
      <c r="S178" s="34">
        <f t="shared" si="127"/>
        <v>560287.86313384282</v>
      </c>
      <c r="T178" s="29">
        <f t="shared" si="128"/>
        <v>466.90655261153574</v>
      </c>
      <c r="U178" s="29">
        <f t="shared" si="129"/>
        <v>0</v>
      </c>
      <c r="V178" s="35">
        <f t="shared" si="130"/>
        <v>5.3015680699219918E-5</v>
      </c>
      <c r="W178" s="34">
        <f t="shared" si="131"/>
        <v>0</v>
      </c>
      <c r="X178" s="34">
        <f t="shared" si="132"/>
        <v>559820.95658123132</v>
      </c>
      <c r="Y178" s="36">
        <f t="shared" si="133"/>
        <v>-1.7120598738136206E-2</v>
      </c>
      <c r="Z178" s="34">
        <f t="shared" si="134"/>
        <v>-9584.4699628268318</v>
      </c>
      <c r="AA178" s="34">
        <f t="shared" si="135"/>
        <v>555028.72159981786</v>
      </c>
      <c r="AB178" s="34">
        <f t="shared" si="136"/>
        <v>0</v>
      </c>
      <c r="AC178" s="34">
        <f t="shared" si="137"/>
        <v>0</v>
      </c>
      <c r="AD178" s="34">
        <f t="shared" si="138"/>
        <v>0</v>
      </c>
      <c r="AE178" s="34">
        <f t="shared" si="139"/>
        <v>0</v>
      </c>
      <c r="AF178" s="34">
        <f t="shared" si="140"/>
        <v>0</v>
      </c>
      <c r="AG178" s="29">
        <f t="shared" si="141"/>
        <v>555028.72159981786</v>
      </c>
      <c r="AH178" s="34">
        <f t="shared" si="142"/>
        <v>0</v>
      </c>
      <c r="AI178" s="34">
        <f t="shared" si="143"/>
        <v>0</v>
      </c>
      <c r="AJ178" s="34">
        <f t="shared" si="144"/>
        <v>0</v>
      </c>
      <c r="AK178" s="34">
        <f t="shared" si="145"/>
        <v>0</v>
      </c>
      <c r="AL178" s="34">
        <f t="shared" si="146"/>
        <v>0</v>
      </c>
      <c r="AM178" s="34">
        <f t="shared" si="147"/>
        <v>0</v>
      </c>
      <c r="AN178" s="34">
        <f t="shared" si="148"/>
        <v>0</v>
      </c>
      <c r="AO178" s="34">
        <f t="shared" si="149"/>
        <v>0</v>
      </c>
      <c r="AP178" s="34">
        <f t="shared" si="150"/>
        <v>0</v>
      </c>
      <c r="AQ178" s="34">
        <f t="shared" si="151"/>
        <v>0</v>
      </c>
      <c r="AR178" s="34">
        <f t="shared" si="152"/>
        <v>0</v>
      </c>
      <c r="AS178" s="30">
        <f t="shared" si="153"/>
        <v>1.1552072872723897</v>
      </c>
      <c r="AT178" s="29">
        <f t="shared" si="154"/>
        <v>0</v>
      </c>
      <c r="AU178" s="29">
        <f t="shared" si="155"/>
        <v>0</v>
      </c>
      <c r="AV178" s="34">
        <f t="shared" si="156"/>
        <v>0</v>
      </c>
      <c r="AW178" s="34">
        <f t="shared" si="157"/>
        <v>0</v>
      </c>
      <c r="AX178" s="29">
        <f t="shared" si="158"/>
        <v>0</v>
      </c>
      <c r="AY178" s="34">
        <f t="shared" si="159"/>
        <v>0</v>
      </c>
      <c r="AZ178" s="37">
        <f t="shared" si="160"/>
        <v>0</v>
      </c>
      <c r="BA178" s="37">
        <f t="shared" si="161"/>
        <v>0</v>
      </c>
      <c r="BB178" s="35">
        <f t="shared" si="162"/>
        <v>1.083519541521083E-3</v>
      </c>
      <c r="BC178" s="31">
        <f t="shared" si="163"/>
        <v>0.8282582023058519</v>
      </c>
      <c r="BD178" s="34">
        <f t="shared" si="164"/>
        <v>0</v>
      </c>
    </row>
    <row r="179" spans="1:56" x14ac:dyDescent="0.2">
      <c r="A179" s="27">
        <f t="shared" si="165"/>
        <v>175</v>
      </c>
      <c r="B179" s="28">
        <f t="shared" si="112"/>
        <v>175</v>
      </c>
      <c r="C179" s="27">
        <f t="shared" si="113"/>
        <v>14</v>
      </c>
      <c r="D179" s="28">
        <f t="shared" si="114"/>
        <v>34</v>
      </c>
      <c r="E179" s="29">
        <f t="shared" si="115"/>
        <v>0</v>
      </c>
      <c r="F179" s="30">
        <f t="shared" si="116"/>
        <v>5.781995961239042E-4</v>
      </c>
      <c r="G179" s="31">
        <f t="shared" si="117"/>
        <v>4.8196073362927194E-5</v>
      </c>
      <c r="H179" s="32">
        <f t="shared" si="118"/>
        <v>0.02</v>
      </c>
      <c r="I179" s="32">
        <f t="shared" si="119"/>
        <v>0</v>
      </c>
      <c r="J179" s="33">
        <f t="shared" si="166"/>
        <v>0</v>
      </c>
      <c r="K179" s="30">
        <f t="shared" si="120"/>
        <v>0</v>
      </c>
      <c r="L179" s="33">
        <f t="shared" si="121"/>
        <v>0</v>
      </c>
      <c r="M179" s="30">
        <f t="shared" si="122"/>
        <v>0</v>
      </c>
      <c r="N179" s="33">
        <f t="shared" si="123"/>
        <v>0</v>
      </c>
      <c r="O179" s="31">
        <f t="shared" si="124"/>
        <v>0</v>
      </c>
      <c r="P179" s="33">
        <f t="shared" si="125"/>
        <v>0</v>
      </c>
      <c r="Q179" s="34">
        <f t="shared" si="167"/>
        <v>550236.48661840451</v>
      </c>
      <c r="R179" s="29">
        <f t="shared" si="126"/>
        <v>0</v>
      </c>
      <c r="S179" s="34">
        <f t="shared" si="127"/>
        <v>550236.48661840451</v>
      </c>
      <c r="T179" s="29">
        <f t="shared" si="128"/>
        <v>458.53040551533712</v>
      </c>
      <c r="U179" s="29">
        <f t="shared" si="129"/>
        <v>0</v>
      </c>
      <c r="V179" s="35">
        <f t="shared" si="130"/>
        <v>5.3015680699219918E-5</v>
      </c>
      <c r="W179" s="34">
        <f t="shared" si="131"/>
        <v>0</v>
      </c>
      <c r="X179" s="34">
        <f t="shared" si="132"/>
        <v>549777.95621288917</v>
      </c>
      <c r="Y179" s="36">
        <f t="shared" si="133"/>
        <v>2.147821933259797E-3</v>
      </c>
      <c r="Z179" s="34">
        <f t="shared" si="134"/>
        <v>1180.8251527767877</v>
      </c>
      <c r="AA179" s="34">
        <f t="shared" si="135"/>
        <v>550368.36878927762</v>
      </c>
      <c r="AB179" s="34">
        <f t="shared" si="136"/>
        <v>0</v>
      </c>
      <c r="AC179" s="34">
        <f t="shared" si="137"/>
        <v>0</v>
      </c>
      <c r="AD179" s="34">
        <f t="shared" si="138"/>
        <v>0</v>
      </c>
      <c r="AE179" s="34">
        <f t="shared" si="139"/>
        <v>0</v>
      </c>
      <c r="AF179" s="34">
        <f t="shared" si="140"/>
        <v>0</v>
      </c>
      <c r="AG179" s="29">
        <f t="shared" si="141"/>
        <v>550368.36878927762</v>
      </c>
      <c r="AH179" s="34">
        <f t="shared" si="142"/>
        <v>0</v>
      </c>
      <c r="AI179" s="34">
        <f t="shared" si="143"/>
        <v>0</v>
      </c>
      <c r="AJ179" s="34">
        <f t="shared" si="144"/>
        <v>0</v>
      </c>
      <c r="AK179" s="34">
        <f t="shared" si="145"/>
        <v>0</v>
      </c>
      <c r="AL179" s="34">
        <f t="shared" si="146"/>
        <v>0</v>
      </c>
      <c r="AM179" s="34">
        <f t="shared" si="147"/>
        <v>0</v>
      </c>
      <c r="AN179" s="34">
        <f t="shared" si="148"/>
        <v>0</v>
      </c>
      <c r="AO179" s="34">
        <f t="shared" si="149"/>
        <v>0</v>
      </c>
      <c r="AP179" s="34">
        <f t="shared" si="150"/>
        <v>0</v>
      </c>
      <c r="AQ179" s="34">
        <f t="shared" si="151"/>
        <v>0</v>
      </c>
      <c r="AR179" s="34">
        <f t="shared" si="152"/>
        <v>0</v>
      </c>
      <c r="AS179" s="30">
        <f t="shared" si="153"/>
        <v>1.1561655757471527</v>
      </c>
      <c r="AT179" s="29">
        <f t="shared" si="154"/>
        <v>0</v>
      </c>
      <c r="AU179" s="29">
        <f t="shared" si="155"/>
        <v>0</v>
      </c>
      <c r="AV179" s="34">
        <f t="shared" si="156"/>
        <v>0</v>
      </c>
      <c r="AW179" s="34">
        <f t="shared" si="157"/>
        <v>0</v>
      </c>
      <c r="AX179" s="29">
        <f t="shared" si="158"/>
        <v>0</v>
      </c>
      <c r="AY179" s="34">
        <f t="shared" si="159"/>
        <v>0</v>
      </c>
      <c r="AZ179" s="37">
        <f t="shared" si="160"/>
        <v>0</v>
      </c>
      <c r="BA179" s="37">
        <f t="shared" si="161"/>
        <v>0</v>
      </c>
      <c r="BB179" s="35">
        <f t="shared" si="162"/>
        <v>1.083519541521083E-3</v>
      </c>
      <c r="BC179" s="31">
        <f t="shared" si="163"/>
        <v>0.82736173969298754</v>
      </c>
      <c r="BD179" s="34">
        <f t="shared" si="164"/>
        <v>0</v>
      </c>
    </row>
    <row r="180" spans="1:56" x14ac:dyDescent="0.2">
      <c r="A180" s="27">
        <f t="shared" si="165"/>
        <v>176</v>
      </c>
      <c r="B180" s="28">
        <f t="shared" si="112"/>
        <v>176</v>
      </c>
      <c r="C180" s="27">
        <f t="shared" si="113"/>
        <v>14</v>
      </c>
      <c r="D180" s="28">
        <f t="shared" si="114"/>
        <v>34</v>
      </c>
      <c r="E180" s="29">
        <f t="shared" si="115"/>
        <v>0</v>
      </c>
      <c r="F180" s="30">
        <f t="shared" si="116"/>
        <v>5.781995961239042E-4</v>
      </c>
      <c r="G180" s="31">
        <f t="shared" si="117"/>
        <v>4.8196073362927194E-5</v>
      </c>
      <c r="H180" s="32">
        <f t="shared" si="118"/>
        <v>0.02</v>
      </c>
      <c r="I180" s="32">
        <f t="shared" si="119"/>
        <v>0</v>
      </c>
      <c r="J180" s="33">
        <f t="shared" si="166"/>
        <v>0</v>
      </c>
      <c r="K180" s="30">
        <f t="shared" si="120"/>
        <v>0</v>
      </c>
      <c r="L180" s="33">
        <f t="shared" si="121"/>
        <v>0</v>
      </c>
      <c r="M180" s="30">
        <f t="shared" si="122"/>
        <v>0</v>
      </c>
      <c r="N180" s="33">
        <f t="shared" si="123"/>
        <v>0</v>
      </c>
      <c r="O180" s="31">
        <f t="shared" si="124"/>
        <v>0</v>
      </c>
      <c r="P180" s="33">
        <f t="shared" si="125"/>
        <v>0</v>
      </c>
      <c r="Q180" s="34">
        <f t="shared" si="167"/>
        <v>550958.78136566596</v>
      </c>
      <c r="R180" s="29">
        <f t="shared" si="126"/>
        <v>0</v>
      </c>
      <c r="S180" s="34">
        <f t="shared" si="127"/>
        <v>550958.78136566596</v>
      </c>
      <c r="T180" s="29">
        <f t="shared" si="128"/>
        <v>459.13231780472165</v>
      </c>
      <c r="U180" s="29">
        <f t="shared" si="129"/>
        <v>0</v>
      </c>
      <c r="V180" s="35">
        <f t="shared" si="130"/>
        <v>5.3015680699219918E-5</v>
      </c>
      <c r="W180" s="34">
        <f t="shared" si="131"/>
        <v>0</v>
      </c>
      <c r="X180" s="34">
        <f t="shared" si="132"/>
        <v>550499.64904786122</v>
      </c>
      <c r="Y180" s="36">
        <f t="shared" si="133"/>
        <v>1.4297782534751446E-2</v>
      </c>
      <c r="Z180" s="34">
        <f t="shared" si="134"/>
        <v>7870.9242675433106</v>
      </c>
      <c r="AA180" s="34">
        <f t="shared" si="135"/>
        <v>554435.11118163285</v>
      </c>
      <c r="AB180" s="34">
        <f t="shared" si="136"/>
        <v>0</v>
      </c>
      <c r="AC180" s="34">
        <f t="shared" si="137"/>
        <v>0</v>
      </c>
      <c r="AD180" s="34">
        <f t="shared" si="138"/>
        <v>0</v>
      </c>
      <c r="AE180" s="34">
        <f t="shared" si="139"/>
        <v>0</v>
      </c>
      <c r="AF180" s="34">
        <f t="shared" si="140"/>
        <v>0</v>
      </c>
      <c r="AG180" s="29">
        <f t="shared" si="141"/>
        <v>554435.11118163285</v>
      </c>
      <c r="AH180" s="34">
        <f t="shared" si="142"/>
        <v>0</v>
      </c>
      <c r="AI180" s="34">
        <f t="shared" si="143"/>
        <v>0</v>
      </c>
      <c r="AJ180" s="34">
        <f t="shared" si="144"/>
        <v>0</v>
      </c>
      <c r="AK180" s="34">
        <f t="shared" si="145"/>
        <v>0</v>
      </c>
      <c r="AL180" s="34">
        <f t="shared" si="146"/>
        <v>0</v>
      </c>
      <c r="AM180" s="34">
        <f t="shared" si="147"/>
        <v>0</v>
      </c>
      <c r="AN180" s="34">
        <f t="shared" si="148"/>
        <v>0</v>
      </c>
      <c r="AO180" s="34">
        <f t="shared" si="149"/>
        <v>0</v>
      </c>
      <c r="AP180" s="34">
        <f t="shared" si="150"/>
        <v>0</v>
      </c>
      <c r="AQ180" s="34">
        <f t="shared" si="151"/>
        <v>0</v>
      </c>
      <c r="AR180" s="34">
        <f t="shared" si="152"/>
        <v>0</v>
      </c>
      <c r="AS180" s="30">
        <f t="shared" si="153"/>
        <v>1.1571246591587301</v>
      </c>
      <c r="AT180" s="29">
        <f t="shared" si="154"/>
        <v>0</v>
      </c>
      <c r="AU180" s="29">
        <f t="shared" si="155"/>
        <v>0</v>
      </c>
      <c r="AV180" s="34">
        <f t="shared" si="156"/>
        <v>0</v>
      </c>
      <c r="AW180" s="34">
        <f t="shared" si="157"/>
        <v>0</v>
      </c>
      <c r="AX180" s="29">
        <f t="shared" si="158"/>
        <v>0</v>
      </c>
      <c r="AY180" s="34">
        <f t="shared" si="159"/>
        <v>0</v>
      </c>
      <c r="AZ180" s="37">
        <f t="shared" si="160"/>
        <v>0</v>
      </c>
      <c r="BA180" s="37">
        <f t="shared" si="161"/>
        <v>0</v>
      </c>
      <c r="BB180" s="35">
        <f t="shared" si="162"/>
        <v>1.083519541521083E-3</v>
      </c>
      <c r="BC180" s="31">
        <f t="shared" si="163"/>
        <v>0.82646624736356156</v>
      </c>
      <c r="BD180" s="34">
        <f t="shared" si="164"/>
        <v>0</v>
      </c>
    </row>
    <row r="181" spans="1:56" x14ac:dyDescent="0.2">
      <c r="A181" s="27">
        <f t="shared" si="165"/>
        <v>177</v>
      </c>
      <c r="B181" s="28">
        <f t="shared" si="112"/>
        <v>177</v>
      </c>
      <c r="C181" s="27">
        <f t="shared" si="113"/>
        <v>14</v>
      </c>
      <c r="D181" s="28">
        <f t="shared" si="114"/>
        <v>34</v>
      </c>
      <c r="E181" s="29">
        <f t="shared" si="115"/>
        <v>0</v>
      </c>
      <c r="F181" s="30">
        <f t="shared" si="116"/>
        <v>5.781995961239042E-4</v>
      </c>
      <c r="G181" s="31">
        <f t="shared" si="117"/>
        <v>4.8196073362927194E-5</v>
      </c>
      <c r="H181" s="32">
        <f t="shared" si="118"/>
        <v>0.02</v>
      </c>
      <c r="I181" s="32">
        <f t="shared" si="119"/>
        <v>0</v>
      </c>
      <c r="J181" s="33">
        <f t="shared" si="166"/>
        <v>0</v>
      </c>
      <c r="K181" s="30">
        <f t="shared" si="120"/>
        <v>0</v>
      </c>
      <c r="L181" s="33">
        <f t="shared" si="121"/>
        <v>0</v>
      </c>
      <c r="M181" s="30">
        <f t="shared" si="122"/>
        <v>0</v>
      </c>
      <c r="N181" s="33">
        <f t="shared" si="123"/>
        <v>0</v>
      </c>
      <c r="O181" s="31">
        <f t="shared" si="124"/>
        <v>0</v>
      </c>
      <c r="P181" s="33">
        <f t="shared" si="125"/>
        <v>0</v>
      </c>
      <c r="Q181" s="34">
        <f t="shared" si="167"/>
        <v>558370.57331540459</v>
      </c>
      <c r="R181" s="29">
        <f t="shared" si="126"/>
        <v>0</v>
      </c>
      <c r="S181" s="34">
        <f t="shared" si="127"/>
        <v>558370.57331540459</v>
      </c>
      <c r="T181" s="29">
        <f t="shared" si="128"/>
        <v>465.30881109617053</v>
      </c>
      <c r="U181" s="29">
        <f t="shared" si="129"/>
        <v>0</v>
      </c>
      <c r="V181" s="35">
        <f t="shared" si="130"/>
        <v>5.3015680699219918E-5</v>
      </c>
      <c r="W181" s="34">
        <f t="shared" si="131"/>
        <v>0</v>
      </c>
      <c r="X181" s="34">
        <f t="shared" si="132"/>
        <v>557905.26450430846</v>
      </c>
      <c r="Y181" s="36">
        <f t="shared" si="133"/>
        <v>-1.3959035313081847E-2</v>
      </c>
      <c r="Z181" s="34">
        <f t="shared" si="134"/>
        <v>-7787.81928856991</v>
      </c>
      <c r="AA181" s="34">
        <f t="shared" si="135"/>
        <v>554011.35486002348</v>
      </c>
      <c r="AB181" s="34">
        <f t="shared" si="136"/>
        <v>0</v>
      </c>
      <c r="AC181" s="34">
        <f t="shared" si="137"/>
        <v>0</v>
      </c>
      <c r="AD181" s="34">
        <f t="shared" si="138"/>
        <v>0</v>
      </c>
      <c r="AE181" s="34">
        <f t="shared" si="139"/>
        <v>0</v>
      </c>
      <c r="AF181" s="34">
        <f t="shared" si="140"/>
        <v>0</v>
      </c>
      <c r="AG181" s="29">
        <f t="shared" si="141"/>
        <v>554011.35486002348</v>
      </c>
      <c r="AH181" s="34">
        <f t="shared" si="142"/>
        <v>0</v>
      </c>
      <c r="AI181" s="34">
        <f t="shared" si="143"/>
        <v>0</v>
      </c>
      <c r="AJ181" s="34">
        <f t="shared" si="144"/>
        <v>0</v>
      </c>
      <c r="AK181" s="34">
        <f t="shared" si="145"/>
        <v>0</v>
      </c>
      <c r="AL181" s="34">
        <f t="shared" si="146"/>
        <v>0</v>
      </c>
      <c r="AM181" s="34">
        <f t="shared" si="147"/>
        <v>0</v>
      </c>
      <c r="AN181" s="34">
        <f t="shared" si="148"/>
        <v>0</v>
      </c>
      <c r="AO181" s="34">
        <f t="shared" si="149"/>
        <v>0</v>
      </c>
      <c r="AP181" s="34">
        <f t="shared" si="150"/>
        <v>0</v>
      </c>
      <c r="AQ181" s="34">
        <f t="shared" si="151"/>
        <v>0</v>
      </c>
      <c r="AR181" s="34">
        <f t="shared" si="152"/>
        <v>0</v>
      </c>
      <c r="AS181" s="30">
        <f t="shared" si="153"/>
        <v>1.1580845381665521</v>
      </c>
      <c r="AT181" s="29">
        <f t="shared" si="154"/>
        <v>0</v>
      </c>
      <c r="AU181" s="29">
        <f t="shared" si="155"/>
        <v>0</v>
      </c>
      <c r="AV181" s="34">
        <f t="shared" si="156"/>
        <v>0</v>
      </c>
      <c r="AW181" s="34">
        <f t="shared" si="157"/>
        <v>0</v>
      </c>
      <c r="AX181" s="29">
        <f t="shared" si="158"/>
        <v>0</v>
      </c>
      <c r="AY181" s="34">
        <f t="shared" si="159"/>
        <v>0</v>
      </c>
      <c r="AZ181" s="37">
        <f t="shared" si="160"/>
        <v>0</v>
      </c>
      <c r="BA181" s="37">
        <f t="shared" si="161"/>
        <v>0</v>
      </c>
      <c r="BB181" s="35">
        <f t="shared" si="162"/>
        <v>1.083519541521083E-3</v>
      </c>
      <c r="BC181" s="31">
        <f t="shared" si="163"/>
        <v>0.82557172426739056</v>
      </c>
      <c r="BD181" s="34">
        <f t="shared" si="164"/>
        <v>0</v>
      </c>
    </row>
    <row r="182" spans="1:56" x14ac:dyDescent="0.2">
      <c r="A182" s="27">
        <f t="shared" si="165"/>
        <v>178</v>
      </c>
      <c r="B182" s="28">
        <f t="shared" si="112"/>
        <v>178</v>
      </c>
      <c r="C182" s="27">
        <f t="shared" si="113"/>
        <v>14</v>
      </c>
      <c r="D182" s="28">
        <f t="shared" si="114"/>
        <v>34</v>
      </c>
      <c r="E182" s="29">
        <f t="shared" si="115"/>
        <v>0</v>
      </c>
      <c r="F182" s="30">
        <f t="shared" si="116"/>
        <v>5.781995961239042E-4</v>
      </c>
      <c r="G182" s="31">
        <f t="shared" si="117"/>
        <v>4.8196073362927194E-5</v>
      </c>
      <c r="H182" s="32">
        <f t="shared" si="118"/>
        <v>0.02</v>
      </c>
      <c r="I182" s="32">
        <f t="shared" si="119"/>
        <v>0</v>
      </c>
      <c r="J182" s="33">
        <f t="shared" si="166"/>
        <v>0</v>
      </c>
      <c r="K182" s="30">
        <f t="shared" si="120"/>
        <v>0</v>
      </c>
      <c r="L182" s="33">
        <f t="shared" si="121"/>
        <v>0</v>
      </c>
      <c r="M182" s="30">
        <f t="shared" si="122"/>
        <v>0</v>
      </c>
      <c r="N182" s="33">
        <f t="shared" si="123"/>
        <v>0</v>
      </c>
      <c r="O182" s="31">
        <f t="shared" si="124"/>
        <v>0</v>
      </c>
      <c r="P182" s="33">
        <f t="shared" si="125"/>
        <v>0</v>
      </c>
      <c r="Q182" s="34">
        <f t="shared" si="167"/>
        <v>550117.44521573861</v>
      </c>
      <c r="R182" s="29">
        <f t="shared" si="126"/>
        <v>0</v>
      </c>
      <c r="S182" s="34">
        <f t="shared" si="127"/>
        <v>550117.44521573861</v>
      </c>
      <c r="T182" s="29">
        <f t="shared" si="128"/>
        <v>458.43120434644885</v>
      </c>
      <c r="U182" s="29">
        <f t="shared" si="129"/>
        <v>0</v>
      </c>
      <c r="V182" s="35">
        <f t="shared" si="130"/>
        <v>5.3015680699219918E-5</v>
      </c>
      <c r="W182" s="34">
        <f t="shared" si="131"/>
        <v>0</v>
      </c>
      <c r="X182" s="34">
        <f t="shared" si="132"/>
        <v>549659.01401139214</v>
      </c>
      <c r="Y182" s="36">
        <f t="shared" si="133"/>
        <v>-7.8598651714159029E-3</v>
      </c>
      <c r="Z182" s="34">
        <f t="shared" si="134"/>
        <v>-4320.2457403829467</v>
      </c>
      <c r="AA182" s="34">
        <f t="shared" si="135"/>
        <v>547498.89114120067</v>
      </c>
      <c r="AB182" s="34">
        <f t="shared" si="136"/>
        <v>0</v>
      </c>
      <c r="AC182" s="34">
        <f t="shared" si="137"/>
        <v>0</v>
      </c>
      <c r="AD182" s="34">
        <f t="shared" si="138"/>
        <v>0</v>
      </c>
      <c r="AE182" s="34">
        <f t="shared" si="139"/>
        <v>0</v>
      </c>
      <c r="AF182" s="34">
        <f t="shared" si="140"/>
        <v>0</v>
      </c>
      <c r="AG182" s="29">
        <f t="shared" si="141"/>
        <v>547498.89114120067</v>
      </c>
      <c r="AH182" s="34">
        <f t="shared" si="142"/>
        <v>0</v>
      </c>
      <c r="AI182" s="34">
        <f t="shared" si="143"/>
        <v>0</v>
      </c>
      <c r="AJ182" s="34">
        <f t="shared" si="144"/>
        <v>0</v>
      </c>
      <c r="AK182" s="34">
        <f t="shared" si="145"/>
        <v>0</v>
      </c>
      <c r="AL182" s="34">
        <f t="shared" si="146"/>
        <v>0</v>
      </c>
      <c r="AM182" s="34">
        <f t="shared" si="147"/>
        <v>0</v>
      </c>
      <c r="AN182" s="34">
        <f t="shared" si="148"/>
        <v>0</v>
      </c>
      <c r="AO182" s="34">
        <f t="shared" si="149"/>
        <v>0</v>
      </c>
      <c r="AP182" s="34">
        <f t="shared" si="150"/>
        <v>0</v>
      </c>
      <c r="AQ182" s="34">
        <f t="shared" si="151"/>
        <v>0</v>
      </c>
      <c r="AR182" s="34">
        <f t="shared" si="152"/>
        <v>0</v>
      </c>
      <c r="AS182" s="30">
        <f t="shared" si="153"/>
        <v>1.1590452134305964</v>
      </c>
      <c r="AT182" s="29">
        <f t="shared" si="154"/>
        <v>0</v>
      </c>
      <c r="AU182" s="29">
        <f t="shared" si="155"/>
        <v>0</v>
      </c>
      <c r="AV182" s="34">
        <f t="shared" si="156"/>
        <v>0</v>
      </c>
      <c r="AW182" s="34">
        <f t="shared" si="157"/>
        <v>0</v>
      </c>
      <c r="AX182" s="29">
        <f t="shared" si="158"/>
        <v>0</v>
      </c>
      <c r="AY182" s="34">
        <f t="shared" si="159"/>
        <v>0</v>
      </c>
      <c r="AZ182" s="37">
        <f t="shared" si="160"/>
        <v>0</v>
      </c>
      <c r="BA182" s="37">
        <f t="shared" si="161"/>
        <v>0</v>
      </c>
      <c r="BB182" s="35">
        <f t="shared" si="162"/>
        <v>1.083519541521083E-3</v>
      </c>
      <c r="BC182" s="31">
        <f t="shared" si="163"/>
        <v>0.82467816935542815</v>
      </c>
      <c r="BD182" s="34">
        <f t="shared" si="164"/>
        <v>0</v>
      </c>
    </row>
    <row r="183" spans="1:56" x14ac:dyDescent="0.2">
      <c r="A183" s="27">
        <f t="shared" si="165"/>
        <v>179</v>
      </c>
      <c r="B183" s="28">
        <f t="shared" si="112"/>
        <v>179</v>
      </c>
      <c r="C183" s="27">
        <f t="shared" si="113"/>
        <v>14</v>
      </c>
      <c r="D183" s="28">
        <f t="shared" si="114"/>
        <v>34</v>
      </c>
      <c r="E183" s="29">
        <f t="shared" si="115"/>
        <v>0</v>
      </c>
      <c r="F183" s="30">
        <f t="shared" si="116"/>
        <v>5.781995961239042E-4</v>
      </c>
      <c r="G183" s="31">
        <f t="shared" si="117"/>
        <v>4.8196073362927194E-5</v>
      </c>
      <c r="H183" s="32">
        <f t="shared" si="118"/>
        <v>0.02</v>
      </c>
      <c r="I183" s="32">
        <f t="shared" si="119"/>
        <v>0</v>
      </c>
      <c r="J183" s="33">
        <f t="shared" si="166"/>
        <v>0</v>
      </c>
      <c r="K183" s="30">
        <f t="shared" si="120"/>
        <v>0</v>
      </c>
      <c r="L183" s="33">
        <f t="shared" si="121"/>
        <v>0</v>
      </c>
      <c r="M183" s="30">
        <f t="shared" si="122"/>
        <v>0</v>
      </c>
      <c r="N183" s="33">
        <f t="shared" si="123"/>
        <v>0</v>
      </c>
      <c r="O183" s="31">
        <f t="shared" si="124"/>
        <v>0</v>
      </c>
      <c r="P183" s="33">
        <f t="shared" si="125"/>
        <v>0</v>
      </c>
      <c r="Q183" s="34">
        <f t="shared" si="167"/>
        <v>545338.7682710092</v>
      </c>
      <c r="R183" s="29">
        <f t="shared" si="126"/>
        <v>0</v>
      </c>
      <c r="S183" s="34">
        <f t="shared" si="127"/>
        <v>545338.7682710092</v>
      </c>
      <c r="T183" s="29">
        <f t="shared" si="128"/>
        <v>454.44897355917436</v>
      </c>
      <c r="U183" s="29">
        <f t="shared" si="129"/>
        <v>0</v>
      </c>
      <c r="V183" s="35">
        <f t="shared" si="130"/>
        <v>5.3015680699219918E-5</v>
      </c>
      <c r="W183" s="34">
        <f t="shared" si="131"/>
        <v>0</v>
      </c>
      <c r="X183" s="34">
        <f t="shared" si="132"/>
        <v>544884.31929745001</v>
      </c>
      <c r="Y183" s="36">
        <f t="shared" si="133"/>
        <v>7.9395424587582752E-3</v>
      </c>
      <c r="Z183" s="34">
        <f t="shared" si="134"/>
        <v>4326.1321881737058</v>
      </c>
      <c r="AA183" s="34">
        <f t="shared" si="135"/>
        <v>547047.38539153687</v>
      </c>
      <c r="AB183" s="34">
        <f t="shared" si="136"/>
        <v>0</v>
      </c>
      <c r="AC183" s="34">
        <f t="shared" si="137"/>
        <v>0</v>
      </c>
      <c r="AD183" s="34">
        <f t="shared" si="138"/>
        <v>0</v>
      </c>
      <c r="AE183" s="34">
        <f t="shared" si="139"/>
        <v>0</v>
      </c>
      <c r="AF183" s="34">
        <f t="shared" si="140"/>
        <v>0</v>
      </c>
      <c r="AG183" s="29">
        <f t="shared" si="141"/>
        <v>547047.38539153687</v>
      </c>
      <c r="AH183" s="34">
        <f t="shared" si="142"/>
        <v>0</v>
      </c>
      <c r="AI183" s="34">
        <f t="shared" si="143"/>
        <v>0</v>
      </c>
      <c r="AJ183" s="34">
        <f t="shared" si="144"/>
        <v>0</v>
      </c>
      <c r="AK183" s="34">
        <f t="shared" si="145"/>
        <v>0</v>
      </c>
      <c r="AL183" s="34">
        <f t="shared" si="146"/>
        <v>0</v>
      </c>
      <c r="AM183" s="34">
        <f t="shared" si="147"/>
        <v>0</v>
      </c>
      <c r="AN183" s="34">
        <f t="shared" si="148"/>
        <v>0</v>
      </c>
      <c r="AO183" s="34">
        <f t="shared" si="149"/>
        <v>0</v>
      </c>
      <c r="AP183" s="34">
        <f t="shared" si="150"/>
        <v>0</v>
      </c>
      <c r="AQ183" s="34">
        <f t="shared" si="151"/>
        <v>0</v>
      </c>
      <c r="AR183" s="34">
        <f t="shared" si="152"/>
        <v>0</v>
      </c>
      <c r="AS183" s="30">
        <f t="shared" si="153"/>
        <v>1.1600066856113875</v>
      </c>
      <c r="AT183" s="29">
        <f t="shared" si="154"/>
        <v>0</v>
      </c>
      <c r="AU183" s="29">
        <f t="shared" si="155"/>
        <v>0</v>
      </c>
      <c r="AV183" s="34">
        <f t="shared" si="156"/>
        <v>0</v>
      </c>
      <c r="AW183" s="34">
        <f t="shared" si="157"/>
        <v>0</v>
      </c>
      <c r="AX183" s="29">
        <f t="shared" si="158"/>
        <v>0</v>
      </c>
      <c r="AY183" s="34">
        <f t="shared" si="159"/>
        <v>0</v>
      </c>
      <c r="AZ183" s="37">
        <f t="shared" si="160"/>
        <v>0</v>
      </c>
      <c r="BA183" s="37">
        <f t="shared" si="161"/>
        <v>0</v>
      </c>
      <c r="BB183" s="35">
        <f t="shared" si="162"/>
        <v>1.083519541521083E-3</v>
      </c>
      <c r="BC183" s="31">
        <f t="shared" si="163"/>
        <v>0.82378558157976312</v>
      </c>
      <c r="BD183" s="34">
        <f t="shared" si="164"/>
        <v>0</v>
      </c>
    </row>
    <row r="184" spans="1:56" x14ac:dyDescent="0.2">
      <c r="A184" s="27">
        <f t="shared" si="165"/>
        <v>180</v>
      </c>
      <c r="B184" s="28">
        <f t="shared" si="112"/>
        <v>180</v>
      </c>
      <c r="C184" s="27">
        <f t="shared" si="113"/>
        <v>15</v>
      </c>
      <c r="D184" s="28">
        <f t="shared" si="114"/>
        <v>35</v>
      </c>
      <c r="E184" s="29">
        <f t="shared" si="115"/>
        <v>0</v>
      </c>
      <c r="F184" s="30">
        <f t="shared" si="116"/>
        <v>6.0090972603633766E-4</v>
      </c>
      <c r="G184" s="31">
        <f t="shared" si="117"/>
        <v>5.008960752761471E-5</v>
      </c>
      <c r="H184" s="32">
        <f t="shared" si="118"/>
        <v>0.02</v>
      </c>
      <c r="I184" s="32">
        <f t="shared" si="119"/>
        <v>0</v>
      </c>
      <c r="J184" s="33">
        <f t="shared" si="166"/>
        <v>0</v>
      </c>
      <c r="K184" s="30">
        <f t="shared" si="120"/>
        <v>0</v>
      </c>
      <c r="L184" s="33">
        <f t="shared" si="121"/>
        <v>0</v>
      </c>
      <c r="M184" s="30">
        <f t="shared" si="122"/>
        <v>0</v>
      </c>
      <c r="N184" s="33">
        <f t="shared" si="123"/>
        <v>0</v>
      </c>
      <c r="O184" s="31">
        <f t="shared" si="124"/>
        <v>0</v>
      </c>
      <c r="P184" s="33">
        <f t="shared" si="125"/>
        <v>0</v>
      </c>
      <c r="Q184" s="34">
        <f t="shared" si="167"/>
        <v>549210.45148562372</v>
      </c>
      <c r="R184" s="29">
        <f t="shared" si="126"/>
        <v>0</v>
      </c>
      <c r="S184" s="34">
        <f t="shared" si="127"/>
        <v>549210.45148562372</v>
      </c>
      <c r="T184" s="29">
        <f t="shared" si="128"/>
        <v>457.67537623801979</v>
      </c>
      <c r="U184" s="29">
        <f t="shared" si="129"/>
        <v>0</v>
      </c>
      <c r="V184" s="35">
        <f t="shared" si="130"/>
        <v>5.5098568280376187E-5</v>
      </c>
      <c r="W184" s="34">
        <f t="shared" si="131"/>
        <v>0</v>
      </c>
      <c r="X184" s="34">
        <f t="shared" si="132"/>
        <v>548752.77610938565</v>
      </c>
      <c r="Y184" s="36">
        <f t="shared" si="133"/>
        <v>1.2145110099708312E-3</v>
      </c>
      <c r="Z184" s="34">
        <f t="shared" si="134"/>
        <v>666.46628833690738</v>
      </c>
      <c r="AA184" s="34">
        <f t="shared" si="135"/>
        <v>549086.00925355416</v>
      </c>
      <c r="AB184" s="34">
        <f t="shared" si="136"/>
        <v>0</v>
      </c>
      <c r="AC184" s="34">
        <f t="shared" si="137"/>
        <v>0</v>
      </c>
      <c r="AD184" s="34">
        <f t="shared" si="138"/>
        <v>0</v>
      </c>
      <c r="AE184" s="34">
        <f t="shared" si="139"/>
        <v>0</v>
      </c>
      <c r="AF184" s="34">
        <f t="shared" si="140"/>
        <v>0</v>
      </c>
      <c r="AG184" s="29">
        <f t="shared" si="141"/>
        <v>549086.00925355416</v>
      </c>
      <c r="AH184" s="34">
        <f t="shared" si="142"/>
        <v>0</v>
      </c>
      <c r="AI184" s="34">
        <f t="shared" si="143"/>
        <v>0</v>
      </c>
      <c r="AJ184" s="34">
        <f t="shared" si="144"/>
        <v>0</v>
      </c>
      <c r="AK184" s="34">
        <f t="shared" si="145"/>
        <v>0</v>
      </c>
      <c r="AL184" s="34">
        <f t="shared" si="146"/>
        <v>0</v>
      </c>
      <c r="AM184" s="34">
        <f t="shared" si="147"/>
        <v>0</v>
      </c>
      <c r="AN184" s="34">
        <f t="shared" si="148"/>
        <v>0</v>
      </c>
      <c r="AO184" s="34">
        <f t="shared" si="149"/>
        <v>0</v>
      </c>
      <c r="AP184" s="34">
        <f t="shared" si="150"/>
        <v>0</v>
      </c>
      <c r="AQ184" s="34">
        <f t="shared" si="151"/>
        <v>0</v>
      </c>
      <c r="AR184" s="34">
        <f t="shared" si="152"/>
        <v>0</v>
      </c>
      <c r="AS184" s="30">
        <f t="shared" si="153"/>
        <v>1.1609689553699984</v>
      </c>
      <c r="AT184" s="29">
        <f t="shared" si="154"/>
        <v>0</v>
      </c>
      <c r="AU184" s="29">
        <f t="shared" si="155"/>
        <v>0</v>
      </c>
      <c r="AV184" s="34">
        <f t="shared" si="156"/>
        <v>0</v>
      </c>
      <c r="AW184" s="34">
        <f t="shared" si="157"/>
        <v>0</v>
      </c>
      <c r="AX184" s="29">
        <f t="shared" si="158"/>
        <v>0</v>
      </c>
      <c r="AY184" s="34">
        <f t="shared" si="159"/>
        <v>0</v>
      </c>
      <c r="AZ184" s="37">
        <f t="shared" si="160"/>
        <v>0</v>
      </c>
      <c r="BA184" s="37">
        <f t="shared" si="161"/>
        <v>0</v>
      </c>
      <c r="BB184" s="35">
        <f t="shared" si="162"/>
        <v>1.1016339761076299E-3</v>
      </c>
      <c r="BC184" s="31">
        <f t="shared" si="163"/>
        <v>0.82021812165156738</v>
      </c>
      <c r="BD184" s="34">
        <f t="shared" si="164"/>
        <v>0</v>
      </c>
    </row>
    <row r="185" spans="1:56" x14ac:dyDescent="0.2">
      <c r="A185" s="27">
        <f t="shared" si="165"/>
        <v>181</v>
      </c>
      <c r="B185" s="28">
        <f t="shared" si="112"/>
        <v>181</v>
      </c>
      <c r="C185" s="27">
        <f t="shared" si="113"/>
        <v>15</v>
      </c>
      <c r="D185" s="28">
        <f t="shared" si="114"/>
        <v>35</v>
      </c>
      <c r="E185" s="29">
        <f t="shared" si="115"/>
        <v>0</v>
      </c>
      <c r="F185" s="30">
        <f t="shared" si="116"/>
        <v>6.0090972603633766E-4</v>
      </c>
      <c r="G185" s="31">
        <f t="shared" si="117"/>
        <v>5.008960752761471E-5</v>
      </c>
      <c r="H185" s="32">
        <f t="shared" si="118"/>
        <v>0.02</v>
      </c>
      <c r="I185" s="32">
        <f t="shared" si="119"/>
        <v>0</v>
      </c>
      <c r="J185" s="33">
        <f t="shared" si="166"/>
        <v>0</v>
      </c>
      <c r="K185" s="30">
        <f t="shared" si="120"/>
        <v>0</v>
      </c>
      <c r="L185" s="33">
        <f t="shared" si="121"/>
        <v>0</v>
      </c>
      <c r="M185" s="30">
        <f t="shared" si="122"/>
        <v>0</v>
      </c>
      <c r="N185" s="33">
        <f t="shared" si="123"/>
        <v>0</v>
      </c>
      <c r="O185" s="31">
        <f t="shared" si="124"/>
        <v>0</v>
      </c>
      <c r="P185" s="33">
        <f t="shared" si="125"/>
        <v>0</v>
      </c>
      <c r="Q185" s="34">
        <f t="shared" si="167"/>
        <v>549419.24239772256</v>
      </c>
      <c r="R185" s="29">
        <f t="shared" si="126"/>
        <v>0</v>
      </c>
      <c r="S185" s="34">
        <f t="shared" si="127"/>
        <v>549419.24239772256</v>
      </c>
      <c r="T185" s="29">
        <f t="shared" si="128"/>
        <v>457.8493686647688</v>
      </c>
      <c r="U185" s="29">
        <f t="shared" si="129"/>
        <v>0</v>
      </c>
      <c r="V185" s="35">
        <f t="shared" si="130"/>
        <v>5.5098568280376187E-5</v>
      </c>
      <c r="W185" s="34">
        <f t="shared" si="131"/>
        <v>0</v>
      </c>
      <c r="X185" s="34">
        <f t="shared" si="132"/>
        <v>548961.39302905777</v>
      </c>
      <c r="Y185" s="36">
        <f t="shared" si="133"/>
        <v>-3.1551358321670886E-3</v>
      </c>
      <c r="Z185" s="34">
        <f t="shared" si="134"/>
        <v>-1732.0477616223404</v>
      </c>
      <c r="AA185" s="34">
        <f t="shared" si="135"/>
        <v>548095.36914824659</v>
      </c>
      <c r="AB185" s="34">
        <f t="shared" si="136"/>
        <v>0</v>
      </c>
      <c r="AC185" s="34">
        <f t="shared" si="137"/>
        <v>0</v>
      </c>
      <c r="AD185" s="34">
        <f t="shared" si="138"/>
        <v>0</v>
      </c>
      <c r="AE185" s="34">
        <f t="shared" si="139"/>
        <v>0</v>
      </c>
      <c r="AF185" s="34">
        <f t="shared" si="140"/>
        <v>0</v>
      </c>
      <c r="AG185" s="29">
        <f t="shared" si="141"/>
        <v>548095.36914824659</v>
      </c>
      <c r="AH185" s="34">
        <f t="shared" si="142"/>
        <v>0</v>
      </c>
      <c r="AI185" s="34">
        <f t="shared" si="143"/>
        <v>0</v>
      </c>
      <c r="AJ185" s="34">
        <f t="shared" si="144"/>
        <v>0</v>
      </c>
      <c r="AK185" s="34">
        <f t="shared" si="145"/>
        <v>0</v>
      </c>
      <c r="AL185" s="34">
        <f t="shared" si="146"/>
        <v>0</v>
      </c>
      <c r="AM185" s="34">
        <f t="shared" si="147"/>
        <v>0</v>
      </c>
      <c r="AN185" s="34">
        <f t="shared" si="148"/>
        <v>0</v>
      </c>
      <c r="AO185" s="34">
        <f t="shared" si="149"/>
        <v>0</v>
      </c>
      <c r="AP185" s="34">
        <f t="shared" si="150"/>
        <v>0</v>
      </c>
      <c r="AQ185" s="34">
        <f t="shared" si="151"/>
        <v>0</v>
      </c>
      <c r="AR185" s="34">
        <f t="shared" si="152"/>
        <v>0</v>
      </c>
      <c r="AS185" s="30">
        <f t="shared" si="153"/>
        <v>1.1619320233680508</v>
      </c>
      <c r="AT185" s="29">
        <f t="shared" si="154"/>
        <v>0</v>
      </c>
      <c r="AU185" s="29">
        <f t="shared" si="155"/>
        <v>0</v>
      </c>
      <c r="AV185" s="34">
        <f t="shared" si="156"/>
        <v>0</v>
      </c>
      <c r="AW185" s="34">
        <f t="shared" si="157"/>
        <v>0</v>
      </c>
      <c r="AX185" s="29">
        <f t="shared" si="158"/>
        <v>0</v>
      </c>
      <c r="AY185" s="34">
        <f t="shared" si="159"/>
        <v>0</v>
      </c>
      <c r="AZ185" s="37">
        <f t="shared" si="160"/>
        <v>0</v>
      </c>
      <c r="BA185" s="37">
        <f t="shared" si="161"/>
        <v>0</v>
      </c>
      <c r="BB185" s="35">
        <f t="shared" si="162"/>
        <v>1.1016339761076299E-3</v>
      </c>
      <c r="BC185" s="31">
        <f t="shared" si="163"/>
        <v>0.81931553582015515</v>
      </c>
      <c r="BD185" s="34">
        <f t="shared" si="164"/>
        <v>0</v>
      </c>
    </row>
    <row r="186" spans="1:56" x14ac:dyDescent="0.2">
      <c r="A186" s="27">
        <f t="shared" si="165"/>
        <v>182</v>
      </c>
      <c r="B186" s="28">
        <f t="shared" si="112"/>
        <v>182</v>
      </c>
      <c r="C186" s="27">
        <f t="shared" si="113"/>
        <v>15</v>
      </c>
      <c r="D186" s="28">
        <f t="shared" si="114"/>
        <v>35</v>
      </c>
      <c r="E186" s="29">
        <f t="shared" si="115"/>
        <v>0</v>
      </c>
      <c r="F186" s="30">
        <f t="shared" si="116"/>
        <v>6.0090972603633766E-4</v>
      </c>
      <c r="G186" s="31">
        <f t="shared" si="117"/>
        <v>5.008960752761471E-5</v>
      </c>
      <c r="H186" s="32">
        <f t="shared" si="118"/>
        <v>0.02</v>
      </c>
      <c r="I186" s="32">
        <f t="shared" si="119"/>
        <v>0</v>
      </c>
      <c r="J186" s="33">
        <f t="shared" si="166"/>
        <v>0</v>
      </c>
      <c r="K186" s="30">
        <f t="shared" si="120"/>
        <v>0</v>
      </c>
      <c r="L186" s="33">
        <f t="shared" si="121"/>
        <v>0</v>
      </c>
      <c r="M186" s="30">
        <f t="shared" si="122"/>
        <v>0</v>
      </c>
      <c r="N186" s="33">
        <f t="shared" si="123"/>
        <v>0</v>
      </c>
      <c r="O186" s="31">
        <f t="shared" si="124"/>
        <v>0</v>
      </c>
      <c r="P186" s="33">
        <f t="shared" si="125"/>
        <v>0</v>
      </c>
      <c r="Q186" s="34">
        <f t="shared" si="167"/>
        <v>547229.34526743542</v>
      </c>
      <c r="R186" s="29">
        <f t="shared" si="126"/>
        <v>0</v>
      </c>
      <c r="S186" s="34">
        <f t="shared" si="127"/>
        <v>547229.34526743542</v>
      </c>
      <c r="T186" s="29">
        <f t="shared" si="128"/>
        <v>456.02445438952952</v>
      </c>
      <c r="U186" s="29">
        <f t="shared" si="129"/>
        <v>0</v>
      </c>
      <c r="V186" s="35">
        <f t="shared" si="130"/>
        <v>5.5098568280376187E-5</v>
      </c>
      <c r="W186" s="34">
        <f t="shared" si="131"/>
        <v>0</v>
      </c>
      <c r="X186" s="34">
        <f t="shared" si="132"/>
        <v>546773.32081304584</v>
      </c>
      <c r="Y186" s="36">
        <f t="shared" si="133"/>
        <v>-5.7128356167752692E-3</v>
      </c>
      <c r="Z186" s="34">
        <f t="shared" si="134"/>
        <v>-3123.6261014432589</v>
      </c>
      <c r="AA186" s="34">
        <f t="shared" si="135"/>
        <v>545211.50776232418</v>
      </c>
      <c r="AB186" s="34">
        <f t="shared" si="136"/>
        <v>0</v>
      </c>
      <c r="AC186" s="34">
        <f t="shared" si="137"/>
        <v>0</v>
      </c>
      <c r="AD186" s="34">
        <f t="shared" si="138"/>
        <v>0</v>
      </c>
      <c r="AE186" s="34">
        <f t="shared" si="139"/>
        <v>0</v>
      </c>
      <c r="AF186" s="34">
        <f t="shared" si="140"/>
        <v>0</v>
      </c>
      <c r="AG186" s="29">
        <f t="shared" si="141"/>
        <v>545211.50776232418</v>
      </c>
      <c r="AH186" s="34">
        <f t="shared" si="142"/>
        <v>0</v>
      </c>
      <c r="AI186" s="34">
        <f t="shared" si="143"/>
        <v>0</v>
      </c>
      <c r="AJ186" s="34">
        <f t="shared" si="144"/>
        <v>0</v>
      </c>
      <c r="AK186" s="34">
        <f t="shared" si="145"/>
        <v>0</v>
      </c>
      <c r="AL186" s="34">
        <f t="shared" si="146"/>
        <v>0</v>
      </c>
      <c r="AM186" s="34">
        <f t="shared" si="147"/>
        <v>0</v>
      </c>
      <c r="AN186" s="34">
        <f t="shared" si="148"/>
        <v>0</v>
      </c>
      <c r="AO186" s="34">
        <f t="shared" si="149"/>
        <v>0</v>
      </c>
      <c r="AP186" s="34">
        <f t="shared" si="150"/>
        <v>0</v>
      </c>
      <c r="AQ186" s="34">
        <f t="shared" si="151"/>
        <v>0</v>
      </c>
      <c r="AR186" s="34">
        <f t="shared" si="152"/>
        <v>0</v>
      </c>
      <c r="AS186" s="30">
        <f t="shared" si="153"/>
        <v>1.162895890267714</v>
      </c>
      <c r="AT186" s="29">
        <f t="shared" si="154"/>
        <v>0</v>
      </c>
      <c r="AU186" s="29">
        <f t="shared" si="155"/>
        <v>0</v>
      </c>
      <c r="AV186" s="34">
        <f t="shared" si="156"/>
        <v>0</v>
      </c>
      <c r="AW186" s="34">
        <f t="shared" si="157"/>
        <v>0</v>
      </c>
      <c r="AX186" s="29">
        <f t="shared" si="158"/>
        <v>0</v>
      </c>
      <c r="AY186" s="34">
        <f t="shared" si="159"/>
        <v>0</v>
      </c>
      <c r="AZ186" s="37">
        <f t="shared" si="160"/>
        <v>0</v>
      </c>
      <c r="BA186" s="37">
        <f t="shared" si="161"/>
        <v>0</v>
      </c>
      <c r="BB186" s="35">
        <f t="shared" si="162"/>
        <v>1.1016339761076299E-3</v>
      </c>
      <c r="BC186" s="31">
        <f t="shared" si="163"/>
        <v>0.81841394321379068</v>
      </c>
      <c r="BD186" s="34">
        <f t="shared" si="164"/>
        <v>0</v>
      </c>
    </row>
    <row r="187" spans="1:56" x14ac:dyDescent="0.2">
      <c r="A187" s="27">
        <f t="shared" si="165"/>
        <v>183</v>
      </c>
      <c r="B187" s="28">
        <f t="shared" si="112"/>
        <v>183</v>
      </c>
      <c r="C187" s="27">
        <f t="shared" si="113"/>
        <v>15</v>
      </c>
      <c r="D187" s="28">
        <f t="shared" si="114"/>
        <v>35</v>
      </c>
      <c r="E187" s="29">
        <f t="shared" si="115"/>
        <v>0</v>
      </c>
      <c r="F187" s="30">
        <f t="shared" si="116"/>
        <v>6.0090972603633766E-4</v>
      </c>
      <c r="G187" s="31">
        <f t="shared" si="117"/>
        <v>5.008960752761471E-5</v>
      </c>
      <c r="H187" s="32">
        <f t="shared" si="118"/>
        <v>0.02</v>
      </c>
      <c r="I187" s="32">
        <f t="shared" si="119"/>
        <v>0</v>
      </c>
      <c r="J187" s="33">
        <f t="shared" si="166"/>
        <v>0</v>
      </c>
      <c r="K187" s="30">
        <f t="shared" si="120"/>
        <v>0</v>
      </c>
      <c r="L187" s="33">
        <f t="shared" si="121"/>
        <v>0</v>
      </c>
      <c r="M187" s="30">
        <f t="shared" si="122"/>
        <v>0</v>
      </c>
      <c r="N187" s="33">
        <f t="shared" si="123"/>
        <v>0</v>
      </c>
      <c r="O187" s="31">
        <f t="shared" si="124"/>
        <v>0</v>
      </c>
      <c r="P187" s="33">
        <f t="shared" si="125"/>
        <v>0</v>
      </c>
      <c r="Q187" s="34">
        <f t="shared" si="167"/>
        <v>543649.69471160253</v>
      </c>
      <c r="R187" s="29">
        <f t="shared" si="126"/>
        <v>0</v>
      </c>
      <c r="S187" s="34">
        <f t="shared" si="127"/>
        <v>543649.69471160253</v>
      </c>
      <c r="T187" s="29">
        <f t="shared" si="128"/>
        <v>453.04141225966879</v>
      </c>
      <c r="U187" s="29">
        <f t="shared" si="129"/>
        <v>0</v>
      </c>
      <c r="V187" s="35">
        <f t="shared" si="130"/>
        <v>5.5098568280376187E-5</v>
      </c>
      <c r="W187" s="34">
        <f t="shared" si="131"/>
        <v>0</v>
      </c>
      <c r="X187" s="34">
        <f t="shared" si="132"/>
        <v>543196.65329934284</v>
      </c>
      <c r="Y187" s="36">
        <f t="shared" si="133"/>
        <v>5.6638561446924474E-3</v>
      </c>
      <c r="Z187" s="34">
        <f t="shared" si="134"/>
        <v>3076.587702565856</v>
      </c>
      <c r="AA187" s="34">
        <f t="shared" si="135"/>
        <v>544734.94715062575</v>
      </c>
      <c r="AB187" s="34">
        <f t="shared" si="136"/>
        <v>0</v>
      </c>
      <c r="AC187" s="34">
        <f t="shared" si="137"/>
        <v>0</v>
      </c>
      <c r="AD187" s="34">
        <f t="shared" si="138"/>
        <v>0</v>
      </c>
      <c r="AE187" s="34">
        <f t="shared" si="139"/>
        <v>0</v>
      </c>
      <c r="AF187" s="34">
        <f t="shared" si="140"/>
        <v>0</v>
      </c>
      <c r="AG187" s="29">
        <f t="shared" si="141"/>
        <v>544734.94715062575</v>
      </c>
      <c r="AH187" s="34">
        <f t="shared" si="142"/>
        <v>0</v>
      </c>
      <c r="AI187" s="34">
        <f t="shared" si="143"/>
        <v>0</v>
      </c>
      <c r="AJ187" s="34">
        <f t="shared" si="144"/>
        <v>0</v>
      </c>
      <c r="AK187" s="34">
        <f t="shared" si="145"/>
        <v>0</v>
      </c>
      <c r="AL187" s="34">
        <f t="shared" si="146"/>
        <v>0</v>
      </c>
      <c r="AM187" s="34">
        <f t="shared" si="147"/>
        <v>0</v>
      </c>
      <c r="AN187" s="34">
        <f t="shared" si="148"/>
        <v>0</v>
      </c>
      <c r="AO187" s="34">
        <f t="shared" si="149"/>
        <v>0</v>
      </c>
      <c r="AP187" s="34">
        <f t="shared" si="150"/>
        <v>0</v>
      </c>
      <c r="AQ187" s="34">
        <f t="shared" si="151"/>
        <v>0</v>
      </c>
      <c r="AR187" s="34">
        <f t="shared" si="152"/>
        <v>0</v>
      </c>
      <c r="AS187" s="30">
        <f t="shared" si="153"/>
        <v>1.1638605567317077</v>
      </c>
      <c r="AT187" s="29">
        <f t="shared" si="154"/>
        <v>0</v>
      </c>
      <c r="AU187" s="29">
        <f t="shared" si="155"/>
        <v>0</v>
      </c>
      <c r="AV187" s="34">
        <f t="shared" si="156"/>
        <v>0</v>
      </c>
      <c r="AW187" s="34">
        <f t="shared" si="157"/>
        <v>0</v>
      </c>
      <c r="AX187" s="29">
        <f t="shared" si="158"/>
        <v>0</v>
      </c>
      <c r="AY187" s="34">
        <f t="shared" si="159"/>
        <v>0</v>
      </c>
      <c r="AZ187" s="37">
        <f t="shared" si="160"/>
        <v>0</v>
      </c>
      <c r="BA187" s="37">
        <f t="shared" si="161"/>
        <v>0</v>
      </c>
      <c r="BB187" s="35">
        <f t="shared" si="162"/>
        <v>1.1016339761076299E-3</v>
      </c>
      <c r="BC187" s="31">
        <f t="shared" si="163"/>
        <v>0.81751334273950771</v>
      </c>
      <c r="BD187" s="34">
        <f t="shared" si="164"/>
        <v>0</v>
      </c>
    </row>
    <row r="188" spans="1:56" x14ac:dyDescent="0.2">
      <c r="A188" s="27">
        <f t="shared" si="165"/>
        <v>184</v>
      </c>
      <c r="B188" s="28">
        <f t="shared" si="112"/>
        <v>184</v>
      </c>
      <c r="C188" s="27">
        <f t="shared" si="113"/>
        <v>15</v>
      </c>
      <c r="D188" s="28">
        <f t="shared" si="114"/>
        <v>35</v>
      </c>
      <c r="E188" s="29">
        <f t="shared" si="115"/>
        <v>0</v>
      </c>
      <c r="F188" s="30">
        <f t="shared" si="116"/>
        <v>6.0090972603633766E-4</v>
      </c>
      <c r="G188" s="31">
        <f t="shared" si="117"/>
        <v>5.008960752761471E-5</v>
      </c>
      <c r="H188" s="32">
        <f t="shared" si="118"/>
        <v>0.02</v>
      </c>
      <c r="I188" s="32">
        <f t="shared" si="119"/>
        <v>0</v>
      </c>
      <c r="J188" s="33">
        <f t="shared" si="166"/>
        <v>0</v>
      </c>
      <c r="K188" s="30">
        <f t="shared" si="120"/>
        <v>0</v>
      </c>
      <c r="L188" s="33">
        <f t="shared" si="121"/>
        <v>0</v>
      </c>
      <c r="M188" s="30">
        <f t="shared" si="122"/>
        <v>0</v>
      </c>
      <c r="N188" s="33">
        <f t="shared" si="123"/>
        <v>0</v>
      </c>
      <c r="O188" s="31">
        <f t="shared" si="124"/>
        <v>0</v>
      </c>
      <c r="P188" s="33">
        <f t="shared" si="125"/>
        <v>0</v>
      </c>
      <c r="Q188" s="34">
        <f t="shared" si="167"/>
        <v>546273.24100190867</v>
      </c>
      <c r="R188" s="29">
        <f t="shared" si="126"/>
        <v>0</v>
      </c>
      <c r="S188" s="34">
        <f t="shared" si="127"/>
        <v>546273.24100190867</v>
      </c>
      <c r="T188" s="29">
        <f t="shared" si="128"/>
        <v>455.22770083492389</v>
      </c>
      <c r="U188" s="29">
        <f t="shared" si="129"/>
        <v>0</v>
      </c>
      <c r="V188" s="35">
        <f t="shared" si="130"/>
        <v>5.5098568280376187E-5</v>
      </c>
      <c r="W188" s="34">
        <f t="shared" si="131"/>
        <v>0</v>
      </c>
      <c r="X188" s="34">
        <f t="shared" si="132"/>
        <v>545818.01330107369</v>
      </c>
      <c r="Y188" s="36">
        <f t="shared" si="133"/>
        <v>5.0133071129982998E-3</v>
      </c>
      <c r="Z188" s="34">
        <f t="shared" si="134"/>
        <v>2736.3533284848731</v>
      </c>
      <c r="AA188" s="34">
        <f t="shared" si="135"/>
        <v>547186.18996531609</v>
      </c>
      <c r="AB188" s="34">
        <f t="shared" si="136"/>
        <v>0</v>
      </c>
      <c r="AC188" s="34">
        <f t="shared" si="137"/>
        <v>0</v>
      </c>
      <c r="AD188" s="34">
        <f t="shared" si="138"/>
        <v>0</v>
      </c>
      <c r="AE188" s="34">
        <f t="shared" si="139"/>
        <v>0</v>
      </c>
      <c r="AF188" s="34">
        <f t="shared" si="140"/>
        <v>0</v>
      </c>
      <c r="AG188" s="29">
        <f t="shared" si="141"/>
        <v>547186.18996531609</v>
      </c>
      <c r="AH188" s="34">
        <f t="shared" si="142"/>
        <v>0</v>
      </c>
      <c r="AI188" s="34">
        <f t="shared" si="143"/>
        <v>0</v>
      </c>
      <c r="AJ188" s="34">
        <f t="shared" si="144"/>
        <v>0</v>
      </c>
      <c r="AK188" s="34">
        <f t="shared" si="145"/>
        <v>0</v>
      </c>
      <c r="AL188" s="34">
        <f t="shared" si="146"/>
        <v>0</v>
      </c>
      <c r="AM188" s="34">
        <f t="shared" si="147"/>
        <v>0</v>
      </c>
      <c r="AN188" s="34">
        <f t="shared" si="148"/>
        <v>0</v>
      </c>
      <c r="AO188" s="34">
        <f t="shared" si="149"/>
        <v>0</v>
      </c>
      <c r="AP188" s="34">
        <f t="shared" si="150"/>
        <v>0</v>
      </c>
      <c r="AQ188" s="34">
        <f t="shared" si="151"/>
        <v>0</v>
      </c>
      <c r="AR188" s="34">
        <f t="shared" si="152"/>
        <v>0</v>
      </c>
      <c r="AS188" s="30">
        <f t="shared" si="153"/>
        <v>1.164826023423301</v>
      </c>
      <c r="AT188" s="29">
        <f t="shared" si="154"/>
        <v>0</v>
      </c>
      <c r="AU188" s="29">
        <f t="shared" si="155"/>
        <v>0</v>
      </c>
      <c r="AV188" s="34">
        <f t="shared" si="156"/>
        <v>0</v>
      </c>
      <c r="AW188" s="34">
        <f t="shared" si="157"/>
        <v>0</v>
      </c>
      <c r="AX188" s="29">
        <f t="shared" si="158"/>
        <v>0</v>
      </c>
      <c r="AY188" s="34">
        <f t="shared" si="159"/>
        <v>0</v>
      </c>
      <c r="AZ188" s="37">
        <f t="shared" si="160"/>
        <v>0</v>
      </c>
      <c r="BA188" s="37">
        <f t="shared" si="161"/>
        <v>0</v>
      </c>
      <c r="BB188" s="35">
        <f t="shared" si="162"/>
        <v>1.1016339761076299E-3</v>
      </c>
      <c r="BC188" s="31">
        <f t="shared" si="163"/>
        <v>0.81661373330554199</v>
      </c>
      <c r="BD188" s="34">
        <f t="shared" si="164"/>
        <v>0</v>
      </c>
    </row>
    <row r="189" spans="1:56" x14ac:dyDescent="0.2">
      <c r="A189" s="27">
        <f t="shared" si="165"/>
        <v>185</v>
      </c>
      <c r="B189" s="28">
        <f t="shared" si="112"/>
        <v>185</v>
      </c>
      <c r="C189" s="27">
        <f t="shared" si="113"/>
        <v>15</v>
      </c>
      <c r="D189" s="28">
        <f t="shared" si="114"/>
        <v>35</v>
      </c>
      <c r="E189" s="29">
        <f t="shared" si="115"/>
        <v>0</v>
      </c>
      <c r="F189" s="30">
        <f t="shared" si="116"/>
        <v>6.0090972603633766E-4</v>
      </c>
      <c r="G189" s="31">
        <f t="shared" si="117"/>
        <v>5.008960752761471E-5</v>
      </c>
      <c r="H189" s="32">
        <f t="shared" si="118"/>
        <v>0.02</v>
      </c>
      <c r="I189" s="32">
        <f t="shared" si="119"/>
        <v>0</v>
      </c>
      <c r="J189" s="33">
        <f t="shared" si="166"/>
        <v>0</v>
      </c>
      <c r="K189" s="30">
        <f t="shared" si="120"/>
        <v>0</v>
      </c>
      <c r="L189" s="33">
        <f t="shared" si="121"/>
        <v>0</v>
      </c>
      <c r="M189" s="30">
        <f t="shared" si="122"/>
        <v>0</v>
      </c>
      <c r="N189" s="33">
        <f t="shared" si="123"/>
        <v>0</v>
      </c>
      <c r="O189" s="31">
        <f t="shared" si="124"/>
        <v>0</v>
      </c>
      <c r="P189" s="33">
        <f t="shared" si="125"/>
        <v>0</v>
      </c>
      <c r="Q189" s="34">
        <f t="shared" si="167"/>
        <v>548554.36662955862</v>
      </c>
      <c r="R189" s="29">
        <f t="shared" si="126"/>
        <v>0</v>
      </c>
      <c r="S189" s="34">
        <f t="shared" si="127"/>
        <v>548554.36662955862</v>
      </c>
      <c r="T189" s="29">
        <f t="shared" si="128"/>
        <v>457.12863885796554</v>
      </c>
      <c r="U189" s="29">
        <f t="shared" si="129"/>
        <v>0</v>
      </c>
      <c r="V189" s="35">
        <f t="shared" si="130"/>
        <v>5.5098568280376187E-5</v>
      </c>
      <c r="W189" s="34">
        <f t="shared" si="131"/>
        <v>0</v>
      </c>
      <c r="X189" s="34">
        <f t="shared" si="132"/>
        <v>548097.23799070064</v>
      </c>
      <c r="Y189" s="36">
        <f t="shared" si="133"/>
        <v>-7.4695490413532184E-3</v>
      </c>
      <c r="Z189" s="34">
        <f t="shared" si="134"/>
        <v>-4094.0391986017848</v>
      </c>
      <c r="AA189" s="34">
        <f t="shared" si="135"/>
        <v>546050.21839139971</v>
      </c>
      <c r="AB189" s="34">
        <f t="shared" si="136"/>
        <v>0</v>
      </c>
      <c r="AC189" s="34">
        <f t="shared" si="137"/>
        <v>0</v>
      </c>
      <c r="AD189" s="34">
        <f t="shared" si="138"/>
        <v>0</v>
      </c>
      <c r="AE189" s="34">
        <f t="shared" si="139"/>
        <v>0</v>
      </c>
      <c r="AF189" s="34">
        <f t="shared" si="140"/>
        <v>0</v>
      </c>
      <c r="AG189" s="29">
        <f t="shared" si="141"/>
        <v>546050.21839139971</v>
      </c>
      <c r="AH189" s="34">
        <f t="shared" si="142"/>
        <v>0</v>
      </c>
      <c r="AI189" s="34">
        <f t="shared" si="143"/>
        <v>0</v>
      </c>
      <c r="AJ189" s="34">
        <f t="shared" si="144"/>
        <v>0</v>
      </c>
      <c r="AK189" s="34">
        <f t="shared" si="145"/>
        <v>0</v>
      </c>
      <c r="AL189" s="34">
        <f t="shared" si="146"/>
        <v>0</v>
      </c>
      <c r="AM189" s="34">
        <f t="shared" si="147"/>
        <v>0</v>
      </c>
      <c r="AN189" s="34">
        <f t="shared" si="148"/>
        <v>0</v>
      </c>
      <c r="AO189" s="34">
        <f t="shared" si="149"/>
        <v>0</v>
      </c>
      <c r="AP189" s="34">
        <f t="shared" si="150"/>
        <v>0</v>
      </c>
      <c r="AQ189" s="34">
        <f t="shared" si="151"/>
        <v>0</v>
      </c>
      <c r="AR189" s="34">
        <f t="shared" si="152"/>
        <v>0</v>
      </c>
      <c r="AS189" s="30">
        <f t="shared" si="153"/>
        <v>1.165792291006313</v>
      </c>
      <c r="AT189" s="29">
        <f t="shared" si="154"/>
        <v>0</v>
      </c>
      <c r="AU189" s="29">
        <f t="shared" si="155"/>
        <v>0</v>
      </c>
      <c r="AV189" s="34">
        <f t="shared" si="156"/>
        <v>0</v>
      </c>
      <c r="AW189" s="34">
        <f t="shared" si="157"/>
        <v>0</v>
      </c>
      <c r="AX189" s="29">
        <f t="shared" si="158"/>
        <v>0</v>
      </c>
      <c r="AY189" s="34">
        <f t="shared" si="159"/>
        <v>0</v>
      </c>
      <c r="AZ189" s="37">
        <f t="shared" si="160"/>
        <v>0</v>
      </c>
      <c r="BA189" s="37">
        <f t="shared" si="161"/>
        <v>0</v>
      </c>
      <c r="BB189" s="35">
        <f t="shared" si="162"/>
        <v>1.1016339761076299E-3</v>
      </c>
      <c r="BC189" s="31">
        <f t="shared" si="163"/>
        <v>0.81571511382133199</v>
      </c>
      <c r="BD189" s="34">
        <f t="shared" si="164"/>
        <v>0</v>
      </c>
    </row>
    <row r="190" spans="1:56" x14ac:dyDescent="0.2">
      <c r="A190" s="27">
        <f t="shared" si="165"/>
        <v>186</v>
      </c>
      <c r="B190" s="28">
        <f t="shared" si="112"/>
        <v>186</v>
      </c>
      <c r="C190" s="27">
        <f t="shared" si="113"/>
        <v>15</v>
      </c>
      <c r="D190" s="28">
        <f t="shared" si="114"/>
        <v>35</v>
      </c>
      <c r="E190" s="29">
        <f t="shared" si="115"/>
        <v>0</v>
      </c>
      <c r="F190" s="30">
        <f t="shared" si="116"/>
        <v>6.0090972603633766E-4</v>
      </c>
      <c r="G190" s="31">
        <f t="shared" si="117"/>
        <v>5.008960752761471E-5</v>
      </c>
      <c r="H190" s="32">
        <f t="shared" si="118"/>
        <v>0.02</v>
      </c>
      <c r="I190" s="32">
        <f t="shared" si="119"/>
        <v>0</v>
      </c>
      <c r="J190" s="33">
        <f t="shared" si="166"/>
        <v>0</v>
      </c>
      <c r="K190" s="30">
        <f t="shared" si="120"/>
        <v>0</v>
      </c>
      <c r="L190" s="33">
        <f t="shared" si="121"/>
        <v>0</v>
      </c>
      <c r="M190" s="30">
        <f t="shared" si="122"/>
        <v>0</v>
      </c>
      <c r="N190" s="33">
        <f t="shared" si="123"/>
        <v>0</v>
      </c>
      <c r="O190" s="31">
        <f t="shared" si="124"/>
        <v>0</v>
      </c>
      <c r="P190" s="33">
        <f t="shared" si="125"/>
        <v>0</v>
      </c>
      <c r="Q190" s="34">
        <f t="shared" si="167"/>
        <v>544003.1987920989</v>
      </c>
      <c r="R190" s="29">
        <f t="shared" si="126"/>
        <v>0</v>
      </c>
      <c r="S190" s="34">
        <f t="shared" si="127"/>
        <v>544003.1987920989</v>
      </c>
      <c r="T190" s="29">
        <f t="shared" si="128"/>
        <v>453.33599899341579</v>
      </c>
      <c r="U190" s="29">
        <f t="shared" si="129"/>
        <v>0</v>
      </c>
      <c r="V190" s="35">
        <f t="shared" si="130"/>
        <v>5.5098568280376187E-5</v>
      </c>
      <c r="W190" s="34">
        <f t="shared" si="131"/>
        <v>0</v>
      </c>
      <c r="X190" s="34">
        <f t="shared" si="132"/>
        <v>543549.86279310554</v>
      </c>
      <c r="Y190" s="36">
        <f t="shared" si="133"/>
        <v>-1.2138641320507126E-3</v>
      </c>
      <c r="Z190" s="34">
        <f t="shared" si="134"/>
        <v>-659.79568242563698</v>
      </c>
      <c r="AA190" s="34">
        <f t="shared" si="135"/>
        <v>543219.96495189273</v>
      </c>
      <c r="AB190" s="34">
        <f t="shared" si="136"/>
        <v>0</v>
      </c>
      <c r="AC190" s="34">
        <f t="shared" si="137"/>
        <v>0</v>
      </c>
      <c r="AD190" s="34">
        <f t="shared" si="138"/>
        <v>0</v>
      </c>
      <c r="AE190" s="34">
        <f t="shared" si="139"/>
        <v>0</v>
      </c>
      <c r="AF190" s="34">
        <f t="shared" si="140"/>
        <v>0</v>
      </c>
      <c r="AG190" s="29">
        <f t="shared" si="141"/>
        <v>543219.96495189273</v>
      </c>
      <c r="AH190" s="34">
        <f t="shared" si="142"/>
        <v>0</v>
      </c>
      <c r="AI190" s="34">
        <f t="shared" si="143"/>
        <v>0</v>
      </c>
      <c r="AJ190" s="34">
        <f t="shared" si="144"/>
        <v>0</v>
      </c>
      <c r="AK190" s="34">
        <f t="shared" si="145"/>
        <v>0</v>
      </c>
      <c r="AL190" s="34">
        <f t="shared" si="146"/>
        <v>0</v>
      </c>
      <c r="AM190" s="34">
        <f t="shared" si="147"/>
        <v>0</v>
      </c>
      <c r="AN190" s="34">
        <f t="shared" si="148"/>
        <v>0</v>
      </c>
      <c r="AO190" s="34">
        <f t="shared" si="149"/>
        <v>0</v>
      </c>
      <c r="AP190" s="34">
        <f t="shared" si="150"/>
        <v>0</v>
      </c>
      <c r="AQ190" s="34">
        <f t="shared" si="151"/>
        <v>0</v>
      </c>
      <c r="AR190" s="34">
        <f t="shared" si="152"/>
        <v>0</v>
      </c>
      <c r="AS190" s="30">
        <f t="shared" si="153"/>
        <v>1.1667593601451136</v>
      </c>
      <c r="AT190" s="29">
        <f t="shared" si="154"/>
        <v>0</v>
      </c>
      <c r="AU190" s="29">
        <f t="shared" si="155"/>
        <v>0</v>
      </c>
      <c r="AV190" s="34">
        <f t="shared" si="156"/>
        <v>0</v>
      </c>
      <c r="AW190" s="34">
        <f t="shared" si="157"/>
        <v>0</v>
      </c>
      <c r="AX190" s="29">
        <f t="shared" si="158"/>
        <v>0</v>
      </c>
      <c r="AY190" s="34">
        <f t="shared" si="159"/>
        <v>0</v>
      </c>
      <c r="AZ190" s="37">
        <f t="shared" si="160"/>
        <v>0</v>
      </c>
      <c r="BA190" s="37">
        <f t="shared" si="161"/>
        <v>0</v>
      </c>
      <c r="BB190" s="35">
        <f t="shared" si="162"/>
        <v>1.1016339761076299E-3</v>
      </c>
      <c r="BC190" s="31">
        <f t="shared" si="163"/>
        <v>0.81481748319751524</v>
      </c>
      <c r="BD190" s="34">
        <f t="shared" si="164"/>
        <v>0</v>
      </c>
    </row>
    <row r="191" spans="1:56" x14ac:dyDescent="0.2">
      <c r="A191" s="27">
        <f t="shared" si="165"/>
        <v>187</v>
      </c>
      <c r="B191" s="28">
        <f t="shared" si="112"/>
        <v>187</v>
      </c>
      <c r="C191" s="27">
        <f t="shared" si="113"/>
        <v>15</v>
      </c>
      <c r="D191" s="28">
        <f t="shared" si="114"/>
        <v>35</v>
      </c>
      <c r="E191" s="29">
        <f t="shared" si="115"/>
        <v>0</v>
      </c>
      <c r="F191" s="30">
        <f t="shared" si="116"/>
        <v>6.0090972603633766E-4</v>
      </c>
      <c r="G191" s="31">
        <f t="shared" si="117"/>
        <v>5.008960752761471E-5</v>
      </c>
      <c r="H191" s="32">
        <f t="shared" si="118"/>
        <v>0.02</v>
      </c>
      <c r="I191" s="32">
        <f t="shared" si="119"/>
        <v>0</v>
      </c>
      <c r="J191" s="33">
        <f t="shared" si="166"/>
        <v>0</v>
      </c>
      <c r="K191" s="30">
        <f t="shared" si="120"/>
        <v>0</v>
      </c>
      <c r="L191" s="33">
        <f t="shared" si="121"/>
        <v>0</v>
      </c>
      <c r="M191" s="30">
        <f t="shared" si="122"/>
        <v>0</v>
      </c>
      <c r="N191" s="33">
        <f t="shared" si="123"/>
        <v>0</v>
      </c>
      <c r="O191" s="31">
        <f t="shared" si="124"/>
        <v>0</v>
      </c>
      <c r="P191" s="33">
        <f t="shared" si="125"/>
        <v>0</v>
      </c>
      <c r="Q191" s="34">
        <f t="shared" si="167"/>
        <v>542890.06711067993</v>
      </c>
      <c r="R191" s="29">
        <f t="shared" si="126"/>
        <v>0</v>
      </c>
      <c r="S191" s="34">
        <f t="shared" si="127"/>
        <v>542890.06711067993</v>
      </c>
      <c r="T191" s="29">
        <f t="shared" si="128"/>
        <v>452.40838925889994</v>
      </c>
      <c r="U191" s="29">
        <f t="shared" si="129"/>
        <v>0</v>
      </c>
      <c r="V191" s="35">
        <f t="shared" si="130"/>
        <v>5.5098568280376187E-5</v>
      </c>
      <c r="W191" s="34">
        <f t="shared" si="131"/>
        <v>0</v>
      </c>
      <c r="X191" s="34">
        <f t="shared" si="132"/>
        <v>542437.65872142103</v>
      </c>
      <c r="Y191" s="36">
        <f t="shared" si="133"/>
        <v>1.2873449558116423E-2</v>
      </c>
      <c r="Z191" s="34">
        <f t="shared" si="134"/>
        <v>6983.0438379729849</v>
      </c>
      <c r="AA191" s="34">
        <f t="shared" si="135"/>
        <v>545929.18064040749</v>
      </c>
      <c r="AB191" s="34">
        <f t="shared" si="136"/>
        <v>0</v>
      </c>
      <c r="AC191" s="34">
        <f t="shared" si="137"/>
        <v>0</v>
      </c>
      <c r="AD191" s="34">
        <f t="shared" si="138"/>
        <v>0</v>
      </c>
      <c r="AE191" s="34">
        <f t="shared" si="139"/>
        <v>0</v>
      </c>
      <c r="AF191" s="34">
        <f t="shared" si="140"/>
        <v>0</v>
      </c>
      <c r="AG191" s="29">
        <f t="shared" si="141"/>
        <v>545929.18064040749</v>
      </c>
      <c r="AH191" s="34">
        <f t="shared" si="142"/>
        <v>0</v>
      </c>
      <c r="AI191" s="34">
        <f t="shared" si="143"/>
        <v>0</v>
      </c>
      <c r="AJ191" s="34">
        <f t="shared" si="144"/>
        <v>0</v>
      </c>
      <c r="AK191" s="34">
        <f t="shared" si="145"/>
        <v>0</v>
      </c>
      <c r="AL191" s="34">
        <f t="shared" si="146"/>
        <v>0</v>
      </c>
      <c r="AM191" s="34">
        <f t="shared" si="147"/>
        <v>0</v>
      </c>
      <c r="AN191" s="34">
        <f t="shared" si="148"/>
        <v>0</v>
      </c>
      <c r="AO191" s="34">
        <f t="shared" si="149"/>
        <v>0</v>
      </c>
      <c r="AP191" s="34">
        <f t="shared" si="150"/>
        <v>0</v>
      </c>
      <c r="AQ191" s="34">
        <f t="shared" si="151"/>
        <v>0</v>
      </c>
      <c r="AR191" s="34">
        <f t="shared" si="152"/>
        <v>0</v>
      </c>
      <c r="AS191" s="30">
        <f t="shared" si="153"/>
        <v>1.1677272315046243</v>
      </c>
      <c r="AT191" s="29">
        <f t="shared" si="154"/>
        <v>0</v>
      </c>
      <c r="AU191" s="29">
        <f t="shared" si="155"/>
        <v>0</v>
      </c>
      <c r="AV191" s="34">
        <f t="shared" si="156"/>
        <v>0</v>
      </c>
      <c r="AW191" s="34">
        <f t="shared" si="157"/>
        <v>0</v>
      </c>
      <c r="AX191" s="29">
        <f t="shared" si="158"/>
        <v>0</v>
      </c>
      <c r="AY191" s="34">
        <f t="shared" si="159"/>
        <v>0</v>
      </c>
      <c r="AZ191" s="37">
        <f t="shared" si="160"/>
        <v>0</v>
      </c>
      <c r="BA191" s="37">
        <f t="shared" si="161"/>
        <v>0</v>
      </c>
      <c r="BB191" s="35">
        <f t="shared" si="162"/>
        <v>1.1016339761076299E-3</v>
      </c>
      <c r="BC191" s="31">
        <f t="shared" si="163"/>
        <v>0.81392084034592804</v>
      </c>
      <c r="BD191" s="34">
        <f t="shared" si="164"/>
        <v>0</v>
      </c>
    </row>
    <row r="192" spans="1:56" x14ac:dyDescent="0.2">
      <c r="A192" s="27">
        <f t="shared" si="165"/>
        <v>188</v>
      </c>
      <c r="B192" s="28">
        <f t="shared" si="112"/>
        <v>188</v>
      </c>
      <c r="C192" s="27">
        <f t="shared" si="113"/>
        <v>15</v>
      </c>
      <c r="D192" s="28">
        <f t="shared" si="114"/>
        <v>35</v>
      </c>
      <c r="E192" s="29">
        <f t="shared" si="115"/>
        <v>0</v>
      </c>
      <c r="F192" s="30">
        <f t="shared" si="116"/>
        <v>6.0090972603633766E-4</v>
      </c>
      <c r="G192" s="31">
        <f t="shared" si="117"/>
        <v>5.008960752761471E-5</v>
      </c>
      <c r="H192" s="32">
        <f t="shared" si="118"/>
        <v>0.02</v>
      </c>
      <c r="I192" s="32">
        <f t="shared" si="119"/>
        <v>0</v>
      </c>
      <c r="J192" s="33">
        <f t="shared" si="166"/>
        <v>0</v>
      </c>
      <c r="K192" s="30">
        <f t="shared" si="120"/>
        <v>0</v>
      </c>
      <c r="L192" s="33">
        <f t="shared" si="121"/>
        <v>0</v>
      </c>
      <c r="M192" s="30">
        <f t="shared" si="122"/>
        <v>0</v>
      </c>
      <c r="N192" s="33">
        <f t="shared" si="123"/>
        <v>0</v>
      </c>
      <c r="O192" s="31">
        <f t="shared" si="124"/>
        <v>0</v>
      </c>
      <c r="P192" s="33">
        <f t="shared" si="125"/>
        <v>0</v>
      </c>
      <c r="Q192" s="34">
        <f t="shared" si="167"/>
        <v>549420.70255939406</v>
      </c>
      <c r="R192" s="29">
        <f t="shared" si="126"/>
        <v>0</v>
      </c>
      <c r="S192" s="34">
        <f t="shared" si="127"/>
        <v>549420.70255939406</v>
      </c>
      <c r="T192" s="29">
        <f t="shared" si="128"/>
        <v>457.85058546616176</v>
      </c>
      <c r="U192" s="29">
        <f t="shared" si="129"/>
        <v>0</v>
      </c>
      <c r="V192" s="35">
        <f t="shared" si="130"/>
        <v>5.5098568280376187E-5</v>
      </c>
      <c r="W192" s="34">
        <f t="shared" si="131"/>
        <v>0</v>
      </c>
      <c r="X192" s="34">
        <f t="shared" si="132"/>
        <v>548962.85197392793</v>
      </c>
      <c r="Y192" s="36">
        <f t="shared" si="133"/>
        <v>4.3373356997644663E-4</v>
      </c>
      <c r="Z192" s="34">
        <f t="shared" si="134"/>
        <v>238.10361757110337</v>
      </c>
      <c r="AA192" s="34">
        <f t="shared" si="135"/>
        <v>549081.90378271346</v>
      </c>
      <c r="AB192" s="34">
        <f t="shared" si="136"/>
        <v>0</v>
      </c>
      <c r="AC192" s="34">
        <f t="shared" si="137"/>
        <v>0</v>
      </c>
      <c r="AD192" s="34">
        <f t="shared" si="138"/>
        <v>0</v>
      </c>
      <c r="AE192" s="34">
        <f t="shared" si="139"/>
        <v>0</v>
      </c>
      <c r="AF192" s="34">
        <f t="shared" si="140"/>
        <v>0</v>
      </c>
      <c r="AG192" s="29">
        <f t="shared" si="141"/>
        <v>549081.90378271346</v>
      </c>
      <c r="AH192" s="34">
        <f t="shared" si="142"/>
        <v>0</v>
      </c>
      <c r="AI192" s="34">
        <f t="shared" si="143"/>
        <v>0</v>
      </c>
      <c r="AJ192" s="34">
        <f t="shared" si="144"/>
        <v>0</v>
      </c>
      <c r="AK192" s="34">
        <f t="shared" si="145"/>
        <v>0</v>
      </c>
      <c r="AL192" s="34">
        <f t="shared" si="146"/>
        <v>0</v>
      </c>
      <c r="AM192" s="34">
        <f t="shared" si="147"/>
        <v>0</v>
      </c>
      <c r="AN192" s="34">
        <f t="shared" si="148"/>
        <v>0</v>
      </c>
      <c r="AO192" s="34">
        <f t="shared" si="149"/>
        <v>0</v>
      </c>
      <c r="AP192" s="34">
        <f t="shared" si="150"/>
        <v>0</v>
      </c>
      <c r="AQ192" s="34">
        <f t="shared" si="151"/>
        <v>0</v>
      </c>
      <c r="AR192" s="34">
        <f t="shared" si="152"/>
        <v>0</v>
      </c>
      <c r="AS192" s="30">
        <f t="shared" si="153"/>
        <v>1.1686959057503175</v>
      </c>
      <c r="AT192" s="29">
        <f t="shared" si="154"/>
        <v>0</v>
      </c>
      <c r="AU192" s="29">
        <f t="shared" si="155"/>
        <v>0</v>
      </c>
      <c r="AV192" s="34">
        <f t="shared" si="156"/>
        <v>0</v>
      </c>
      <c r="AW192" s="34">
        <f t="shared" si="157"/>
        <v>0</v>
      </c>
      <c r="AX192" s="29">
        <f t="shared" si="158"/>
        <v>0</v>
      </c>
      <c r="AY192" s="34">
        <f t="shared" si="159"/>
        <v>0</v>
      </c>
      <c r="AZ192" s="37">
        <f t="shared" si="160"/>
        <v>0</v>
      </c>
      <c r="BA192" s="37">
        <f t="shared" si="161"/>
        <v>0</v>
      </c>
      <c r="BB192" s="35">
        <f t="shared" si="162"/>
        <v>1.1016339761076299E-3</v>
      </c>
      <c r="BC192" s="31">
        <f t="shared" si="163"/>
        <v>0.8130251841796049</v>
      </c>
      <c r="BD192" s="34">
        <f t="shared" si="164"/>
        <v>0</v>
      </c>
    </row>
    <row r="193" spans="1:56" x14ac:dyDescent="0.2">
      <c r="A193" s="27">
        <f t="shared" si="165"/>
        <v>189</v>
      </c>
      <c r="B193" s="28">
        <f t="shared" si="112"/>
        <v>189</v>
      </c>
      <c r="C193" s="27">
        <f t="shared" si="113"/>
        <v>15</v>
      </c>
      <c r="D193" s="28">
        <f t="shared" si="114"/>
        <v>35</v>
      </c>
      <c r="E193" s="29">
        <f t="shared" si="115"/>
        <v>0</v>
      </c>
      <c r="F193" s="30">
        <f t="shared" si="116"/>
        <v>6.0090972603633766E-4</v>
      </c>
      <c r="G193" s="31">
        <f t="shared" si="117"/>
        <v>5.008960752761471E-5</v>
      </c>
      <c r="H193" s="32">
        <f t="shared" si="118"/>
        <v>0.02</v>
      </c>
      <c r="I193" s="32">
        <f t="shared" si="119"/>
        <v>0</v>
      </c>
      <c r="J193" s="33">
        <f t="shared" si="166"/>
        <v>0</v>
      </c>
      <c r="K193" s="30">
        <f t="shared" si="120"/>
        <v>0</v>
      </c>
      <c r="L193" s="33">
        <f t="shared" si="121"/>
        <v>0</v>
      </c>
      <c r="M193" s="30">
        <f t="shared" si="122"/>
        <v>0</v>
      </c>
      <c r="N193" s="33">
        <f t="shared" si="123"/>
        <v>0</v>
      </c>
      <c r="O193" s="31">
        <f t="shared" si="124"/>
        <v>0</v>
      </c>
      <c r="P193" s="33">
        <f t="shared" si="125"/>
        <v>0</v>
      </c>
      <c r="Q193" s="34">
        <f t="shared" si="167"/>
        <v>549200.95559149899</v>
      </c>
      <c r="R193" s="29">
        <f t="shared" si="126"/>
        <v>0</v>
      </c>
      <c r="S193" s="34">
        <f t="shared" si="127"/>
        <v>549200.95559149899</v>
      </c>
      <c r="T193" s="29">
        <f t="shared" si="128"/>
        <v>457.66746299291583</v>
      </c>
      <c r="U193" s="29">
        <f t="shared" si="129"/>
        <v>0</v>
      </c>
      <c r="V193" s="35">
        <f t="shared" si="130"/>
        <v>5.5098568280376187E-5</v>
      </c>
      <c r="W193" s="34">
        <f t="shared" si="131"/>
        <v>0</v>
      </c>
      <c r="X193" s="34">
        <f t="shared" si="132"/>
        <v>548743.28812850604</v>
      </c>
      <c r="Y193" s="36">
        <f t="shared" si="133"/>
        <v>6.1275315649975681E-3</v>
      </c>
      <c r="Z193" s="34">
        <f t="shared" si="134"/>
        <v>3362.441819087976</v>
      </c>
      <c r="AA193" s="34">
        <f t="shared" si="135"/>
        <v>550424.50903805008</v>
      </c>
      <c r="AB193" s="34">
        <f t="shared" si="136"/>
        <v>0</v>
      </c>
      <c r="AC193" s="34">
        <f t="shared" si="137"/>
        <v>0</v>
      </c>
      <c r="AD193" s="34">
        <f t="shared" si="138"/>
        <v>0</v>
      </c>
      <c r="AE193" s="34">
        <f t="shared" si="139"/>
        <v>0</v>
      </c>
      <c r="AF193" s="34">
        <f t="shared" si="140"/>
        <v>0</v>
      </c>
      <c r="AG193" s="29">
        <f t="shared" si="141"/>
        <v>550424.50903805008</v>
      </c>
      <c r="AH193" s="34">
        <f t="shared" si="142"/>
        <v>0</v>
      </c>
      <c r="AI193" s="34">
        <f t="shared" si="143"/>
        <v>0</v>
      </c>
      <c r="AJ193" s="34">
        <f t="shared" si="144"/>
        <v>0</v>
      </c>
      <c r="AK193" s="34">
        <f t="shared" si="145"/>
        <v>0</v>
      </c>
      <c r="AL193" s="34">
        <f t="shared" si="146"/>
        <v>0</v>
      </c>
      <c r="AM193" s="34">
        <f t="shared" si="147"/>
        <v>0</v>
      </c>
      <c r="AN193" s="34">
        <f t="shared" si="148"/>
        <v>0</v>
      </c>
      <c r="AO193" s="34">
        <f t="shared" si="149"/>
        <v>0</v>
      </c>
      <c r="AP193" s="34">
        <f t="shared" si="150"/>
        <v>0</v>
      </c>
      <c r="AQ193" s="34">
        <f t="shared" si="151"/>
        <v>0</v>
      </c>
      <c r="AR193" s="34">
        <f t="shared" si="152"/>
        <v>0</v>
      </c>
      <c r="AS193" s="30">
        <f t="shared" si="153"/>
        <v>1.1696653835482176</v>
      </c>
      <c r="AT193" s="29">
        <f t="shared" si="154"/>
        <v>0</v>
      </c>
      <c r="AU193" s="29">
        <f t="shared" si="155"/>
        <v>0</v>
      </c>
      <c r="AV193" s="34">
        <f t="shared" si="156"/>
        <v>0</v>
      </c>
      <c r="AW193" s="34">
        <f t="shared" si="157"/>
        <v>0</v>
      </c>
      <c r="AX193" s="29">
        <f t="shared" si="158"/>
        <v>0</v>
      </c>
      <c r="AY193" s="34">
        <f t="shared" si="159"/>
        <v>0</v>
      </c>
      <c r="AZ193" s="37">
        <f t="shared" si="160"/>
        <v>0</v>
      </c>
      <c r="BA193" s="37">
        <f t="shared" si="161"/>
        <v>0</v>
      </c>
      <c r="BB193" s="35">
        <f t="shared" si="162"/>
        <v>1.1016339761076299E-3</v>
      </c>
      <c r="BC193" s="31">
        <f t="shared" si="163"/>
        <v>0.81213051361277522</v>
      </c>
      <c r="BD193" s="34">
        <f t="shared" si="164"/>
        <v>0</v>
      </c>
    </row>
    <row r="194" spans="1:56" x14ac:dyDescent="0.2">
      <c r="A194" s="27">
        <f t="shared" si="165"/>
        <v>190</v>
      </c>
      <c r="B194" s="28">
        <f t="shared" si="112"/>
        <v>190</v>
      </c>
      <c r="C194" s="27">
        <f t="shared" si="113"/>
        <v>15</v>
      </c>
      <c r="D194" s="28">
        <f t="shared" si="114"/>
        <v>35</v>
      </c>
      <c r="E194" s="29">
        <f t="shared" si="115"/>
        <v>0</v>
      </c>
      <c r="F194" s="30">
        <f t="shared" si="116"/>
        <v>6.0090972603633766E-4</v>
      </c>
      <c r="G194" s="31">
        <f t="shared" si="117"/>
        <v>5.008960752761471E-5</v>
      </c>
      <c r="H194" s="32">
        <f t="shared" si="118"/>
        <v>0.02</v>
      </c>
      <c r="I194" s="32">
        <f t="shared" si="119"/>
        <v>0</v>
      </c>
      <c r="J194" s="33">
        <f t="shared" si="166"/>
        <v>0</v>
      </c>
      <c r="K194" s="30">
        <f t="shared" si="120"/>
        <v>0</v>
      </c>
      <c r="L194" s="33">
        <f t="shared" si="121"/>
        <v>0</v>
      </c>
      <c r="M194" s="30">
        <f t="shared" si="122"/>
        <v>0</v>
      </c>
      <c r="N194" s="33">
        <f t="shared" si="123"/>
        <v>0</v>
      </c>
      <c r="O194" s="31">
        <f t="shared" si="124"/>
        <v>0</v>
      </c>
      <c r="P194" s="33">
        <f t="shared" si="125"/>
        <v>0</v>
      </c>
      <c r="Q194" s="34">
        <f t="shared" si="167"/>
        <v>552105.72994759399</v>
      </c>
      <c r="R194" s="29">
        <f t="shared" si="126"/>
        <v>0</v>
      </c>
      <c r="S194" s="34">
        <f t="shared" si="127"/>
        <v>552105.72994759399</v>
      </c>
      <c r="T194" s="29">
        <f t="shared" si="128"/>
        <v>460.0881082896617</v>
      </c>
      <c r="U194" s="29">
        <f t="shared" si="129"/>
        <v>0</v>
      </c>
      <c r="V194" s="35">
        <f t="shared" si="130"/>
        <v>5.5098568280376187E-5</v>
      </c>
      <c r="W194" s="34">
        <f t="shared" si="131"/>
        <v>0</v>
      </c>
      <c r="X194" s="34">
        <f t="shared" si="132"/>
        <v>551645.64183930436</v>
      </c>
      <c r="Y194" s="36">
        <f t="shared" si="133"/>
        <v>6.5345986091991382E-3</v>
      </c>
      <c r="Z194" s="34">
        <f t="shared" si="134"/>
        <v>3604.7828439338841</v>
      </c>
      <c r="AA194" s="34">
        <f t="shared" si="135"/>
        <v>553448.03326127131</v>
      </c>
      <c r="AB194" s="34">
        <f t="shared" si="136"/>
        <v>0</v>
      </c>
      <c r="AC194" s="34">
        <f t="shared" si="137"/>
        <v>0</v>
      </c>
      <c r="AD194" s="34">
        <f t="shared" si="138"/>
        <v>0</v>
      </c>
      <c r="AE194" s="34">
        <f t="shared" si="139"/>
        <v>0</v>
      </c>
      <c r="AF194" s="34">
        <f t="shared" si="140"/>
        <v>0</v>
      </c>
      <c r="AG194" s="29">
        <f t="shared" si="141"/>
        <v>553448.03326127131</v>
      </c>
      <c r="AH194" s="34">
        <f t="shared" si="142"/>
        <v>0</v>
      </c>
      <c r="AI194" s="34">
        <f t="shared" si="143"/>
        <v>0</v>
      </c>
      <c r="AJ194" s="34">
        <f t="shared" si="144"/>
        <v>0</v>
      </c>
      <c r="AK194" s="34">
        <f t="shared" si="145"/>
        <v>0</v>
      </c>
      <c r="AL194" s="34">
        <f t="shared" si="146"/>
        <v>0</v>
      </c>
      <c r="AM194" s="34">
        <f t="shared" si="147"/>
        <v>0</v>
      </c>
      <c r="AN194" s="34">
        <f t="shared" si="148"/>
        <v>0</v>
      </c>
      <c r="AO194" s="34">
        <f t="shared" si="149"/>
        <v>0</v>
      </c>
      <c r="AP194" s="34">
        <f t="shared" si="150"/>
        <v>0</v>
      </c>
      <c r="AQ194" s="34">
        <f t="shared" si="151"/>
        <v>0</v>
      </c>
      <c r="AR194" s="34">
        <f t="shared" si="152"/>
        <v>0</v>
      </c>
      <c r="AS194" s="30">
        <f t="shared" si="153"/>
        <v>1.1706356655649024</v>
      </c>
      <c r="AT194" s="29">
        <f t="shared" si="154"/>
        <v>0</v>
      </c>
      <c r="AU194" s="29">
        <f t="shared" si="155"/>
        <v>0</v>
      </c>
      <c r="AV194" s="34">
        <f t="shared" si="156"/>
        <v>0</v>
      </c>
      <c r="AW194" s="34">
        <f t="shared" si="157"/>
        <v>0</v>
      </c>
      <c r="AX194" s="29">
        <f t="shared" si="158"/>
        <v>0</v>
      </c>
      <c r="AY194" s="34">
        <f t="shared" si="159"/>
        <v>0</v>
      </c>
      <c r="AZ194" s="37">
        <f t="shared" si="160"/>
        <v>0</v>
      </c>
      <c r="BA194" s="37">
        <f t="shared" si="161"/>
        <v>0</v>
      </c>
      <c r="BB194" s="35">
        <f t="shared" si="162"/>
        <v>1.1016339761076299E-3</v>
      </c>
      <c r="BC194" s="31">
        <f t="shared" si="163"/>
        <v>0.81123682756086457</v>
      </c>
      <c r="BD194" s="34">
        <f t="shared" si="164"/>
        <v>0</v>
      </c>
    </row>
    <row r="195" spans="1:56" x14ac:dyDescent="0.2">
      <c r="A195" s="27">
        <f t="shared" si="165"/>
        <v>191</v>
      </c>
      <c r="B195" s="28">
        <f t="shared" si="112"/>
        <v>191</v>
      </c>
      <c r="C195" s="27">
        <f t="shared" si="113"/>
        <v>15</v>
      </c>
      <c r="D195" s="28">
        <f t="shared" si="114"/>
        <v>35</v>
      </c>
      <c r="E195" s="29">
        <f t="shared" si="115"/>
        <v>0</v>
      </c>
      <c r="F195" s="30">
        <f t="shared" si="116"/>
        <v>6.0090972603633766E-4</v>
      </c>
      <c r="G195" s="31">
        <f t="shared" si="117"/>
        <v>5.008960752761471E-5</v>
      </c>
      <c r="H195" s="32">
        <f t="shared" si="118"/>
        <v>0.02</v>
      </c>
      <c r="I195" s="32">
        <f t="shared" si="119"/>
        <v>0</v>
      </c>
      <c r="J195" s="33">
        <f t="shared" si="166"/>
        <v>0</v>
      </c>
      <c r="K195" s="30">
        <f t="shared" si="120"/>
        <v>0</v>
      </c>
      <c r="L195" s="33">
        <f t="shared" si="121"/>
        <v>0</v>
      </c>
      <c r="M195" s="30">
        <f t="shared" si="122"/>
        <v>0</v>
      </c>
      <c r="N195" s="33">
        <f t="shared" si="123"/>
        <v>0</v>
      </c>
      <c r="O195" s="31">
        <f t="shared" si="124"/>
        <v>0</v>
      </c>
      <c r="P195" s="33">
        <f t="shared" si="125"/>
        <v>0</v>
      </c>
      <c r="Q195" s="34">
        <f t="shared" si="167"/>
        <v>555250.42468323826</v>
      </c>
      <c r="R195" s="29">
        <f t="shared" si="126"/>
        <v>0</v>
      </c>
      <c r="S195" s="34">
        <f t="shared" si="127"/>
        <v>555250.42468323826</v>
      </c>
      <c r="T195" s="29">
        <f t="shared" si="128"/>
        <v>462.70868723603189</v>
      </c>
      <c r="U195" s="29">
        <f t="shared" si="129"/>
        <v>0</v>
      </c>
      <c r="V195" s="35">
        <f t="shared" si="130"/>
        <v>5.5098568280376187E-5</v>
      </c>
      <c r="W195" s="34">
        <f t="shared" si="131"/>
        <v>0</v>
      </c>
      <c r="X195" s="34">
        <f t="shared" si="132"/>
        <v>554787.7159960022</v>
      </c>
      <c r="Y195" s="36">
        <f t="shared" si="133"/>
        <v>-4.2201362706533185E-3</v>
      </c>
      <c r="Z195" s="34">
        <f t="shared" si="134"/>
        <v>-2341.2797627876412</v>
      </c>
      <c r="AA195" s="34">
        <f t="shared" si="135"/>
        <v>553617.07611460832</v>
      </c>
      <c r="AB195" s="34">
        <f t="shared" si="136"/>
        <v>0</v>
      </c>
      <c r="AC195" s="34">
        <f t="shared" si="137"/>
        <v>0</v>
      </c>
      <c r="AD195" s="34">
        <f t="shared" si="138"/>
        <v>0</v>
      </c>
      <c r="AE195" s="34">
        <f t="shared" si="139"/>
        <v>0</v>
      </c>
      <c r="AF195" s="34">
        <f t="shared" si="140"/>
        <v>0</v>
      </c>
      <c r="AG195" s="29">
        <f t="shared" si="141"/>
        <v>553617.07611460832</v>
      </c>
      <c r="AH195" s="34">
        <f t="shared" si="142"/>
        <v>0</v>
      </c>
      <c r="AI195" s="34">
        <f t="shared" si="143"/>
        <v>0</v>
      </c>
      <c r="AJ195" s="34">
        <f t="shared" si="144"/>
        <v>0</v>
      </c>
      <c r="AK195" s="34">
        <f t="shared" si="145"/>
        <v>0</v>
      </c>
      <c r="AL195" s="34">
        <f t="shared" si="146"/>
        <v>0</v>
      </c>
      <c r="AM195" s="34">
        <f t="shared" si="147"/>
        <v>0</v>
      </c>
      <c r="AN195" s="34">
        <f t="shared" si="148"/>
        <v>0</v>
      </c>
      <c r="AO195" s="34">
        <f t="shared" si="149"/>
        <v>0</v>
      </c>
      <c r="AP195" s="34">
        <f t="shared" si="150"/>
        <v>0</v>
      </c>
      <c r="AQ195" s="34">
        <f t="shared" si="151"/>
        <v>0</v>
      </c>
      <c r="AR195" s="34">
        <f t="shared" si="152"/>
        <v>0</v>
      </c>
      <c r="AS195" s="30">
        <f t="shared" si="153"/>
        <v>1.1716067524675016</v>
      </c>
      <c r="AT195" s="29">
        <f t="shared" si="154"/>
        <v>0</v>
      </c>
      <c r="AU195" s="29">
        <f t="shared" si="155"/>
        <v>0</v>
      </c>
      <c r="AV195" s="34">
        <f t="shared" si="156"/>
        <v>0</v>
      </c>
      <c r="AW195" s="34">
        <f t="shared" si="157"/>
        <v>0</v>
      </c>
      <c r="AX195" s="29">
        <f t="shared" si="158"/>
        <v>0</v>
      </c>
      <c r="AY195" s="34">
        <f t="shared" si="159"/>
        <v>0</v>
      </c>
      <c r="AZ195" s="37">
        <f t="shared" si="160"/>
        <v>0</v>
      </c>
      <c r="BA195" s="37">
        <f t="shared" si="161"/>
        <v>0</v>
      </c>
      <c r="BB195" s="35">
        <f t="shared" si="162"/>
        <v>1.1016339761076299E-3</v>
      </c>
      <c r="BC195" s="31">
        <f t="shared" si="163"/>
        <v>0.81034412494049091</v>
      </c>
      <c r="BD195" s="34">
        <f t="shared" si="164"/>
        <v>0</v>
      </c>
    </row>
    <row r="196" spans="1:56" x14ac:dyDescent="0.2">
      <c r="A196" s="27">
        <f t="shared" si="165"/>
        <v>192</v>
      </c>
      <c r="B196" s="28">
        <f t="shared" ref="B196:B259" si="168">Duration0+A196</f>
        <v>192</v>
      </c>
      <c r="C196" s="27">
        <f t="shared" ref="C196:C259" si="169">INT(B196/12)</f>
        <v>16</v>
      </c>
      <c r="D196" s="28">
        <f t="shared" ref="D196:D259" si="170">AgeAtEntry+C196</f>
        <v>36</v>
      </c>
      <c r="E196" s="29">
        <f t="shared" ref="E196:E259" si="171">IF(PremiumType="SINGLE",IF(B196=0,PremiumPPInput,0),IF(B196&lt;12*PolicyTerm,PremiumPPInput,0))</f>
        <v>0</v>
      </c>
      <c r="F196" s="30">
        <f t="shared" ref="F196:F259" si="172">INDEX(MortRates,MATCH(MIN(D196,120),MortAges,0),MAX(MIN(C196,5),0)+1)</f>
        <v>6.2535166728813838E-4</v>
      </c>
      <c r="G196" s="31">
        <f t="shared" ref="G196:G259" si="173">1-(1-F196)^(1/12)</f>
        <v>5.2127581410266188E-5</v>
      </c>
      <c r="H196" s="32">
        <f t="shared" ref="H196:H259" si="174">MAX(LapseBase-LapseStep*C196,LapseFloor)</f>
        <v>0.02</v>
      </c>
      <c r="I196" s="32">
        <f t="shared" ref="I196:I259" si="175">IF(HasSurrCharge,INDEX(SurrRates,MIN(C196,SurrDurMax)+1,MATCH(SurrChargeID,SurrTypes,0)),0)</f>
        <v>0</v>
      </c>
      <c r="J196" s="33">
        <f t="shared" si="166"/>
        <v>0</v>
      </c>
      <c r="K196" s="30">
        <f t="shared" ref="K196:K259" si="176">IF(B196=12*PolicyTerm,J196,0)</f>
        <v>0</v>
      </c>
      <c r="L196" s="33">
        <f t="shared" ref="L196:L259" si="177">J196-K196</f>
        <v>0</v>
      </c>
      <c r="M196" s="30">
        <f t="shared" ref="M196:M259" si="178">IF(B196=0,PolicyCount,0)</f>
        <v>0</v>
      </c>
      <c r="N196" s="33">
        <f t="shared" ref="N196:N259" si="179">L196+M196</f>
        <v>0</v>
      </c>
      <c r="O196" s="31">
        <f t="shared" ref="O196:O259" si="180">N196*G196</f>
        <v>0</v>
      </c>
      <c r="P196" s="33">
        <f t="shared" ref="P196:P259" si="181">(N196-O196)*(1-(1-H196)^(1/12))</f>
        <v>0</v>
      </c>
      <c r="Q196" s="34">
        <f t="shared" si="167"/>
        <v>552446.43623321457</v>
      </c>
      <c r="R196" s="29">
        <f t="shared" ref="R196:R259" si="182">(1-LoadPremRate)*E196</f>
        <v>0</v>
      </c>
      <c r="S196" s="34">
        <f t="shared" ref="S196:S259" si="183">Q196+R196</f>
        <v>552446.43623321457</v>
      </c>
      <c r="T196" s="29">
        <f t="shared" ref="T196:T259" si="184">MaintFeeRateAnn/12*S196</f>
        <v>460.37203019434548</v>
      </c>
      <c r="U196" s="29">
        <f t="shared" ref="U196:U259" si="185">MAX(SumAssured-S196,0)</f>
        <v>0</v>
      </c>
      <c r="V196" s="35">
        <f t="shared" ref="V196:V259" si="186">CoiMultiple*G196</f>
        <v>5.7340339551292814E-5</v>
      </c>
      <c r="W196" s="34">
        <f t="shared" ref="W196:W259" si="187">V196*U196</f>
        <v>0</v>
      </c>
      <c r="X196" s="34">
        <f t="shared" ref="X196:X259" si="188">S196-T196-W196</f>
        <v>551986.06420302019</v>
      </c>
      <c r="Y196" s="36">
        <f t="shared" ref="Y196:Y259" si="189">EXP((Mu-0.5*Sigma^2)/12+Sigma*SQRT(1/12)*INDEX(NormRand,ScenID,A196+1))-1</f>
        <v>1.2006102825688814E-2</v>
      </c>
      <c r="Z196" s="34">
        <f t="shared" ref="Z196:Z259" si="190">Y196*X196</f>
        <v>6627.2014451687273</v>
      </c>
      <c r="AA196" s="34">
        <f t="shared" ref="AA196:AA259" si="191">X196+0.5*Z196</f>
        <v>555299.66492560459</v>
      </c>
      <c r="AB196" s="34">
        <f t="shared" ref="AB196:AB259" si="192">Q196*J196</f>
        <v>0</v>
      </c>
      <c r="AC196" s="34">
        <f t="shared" ref="AC196:AC259" si="193">Q196*L196</f>
        <v>0</v>
      </c>
      <c r="AD196" s="34">
        <f t="shared" ref="AD196:AD259" si="194">S196*N196</f>
        <v>0</v>
      </c>
      <c r="AE196" s="34">
        <f t="shared" ref="AE196:AE259" si="195">E196*N196</f>
        <v>0</v>
      </c>
      <c r="AF196" s="34">
        <f t="shared" ref="AF196:AF259" si="196">R196*N196</f>
        <v>0</v>
      </c>
      <c r="AG196" s="29">
        <f t="shared" ref="AG196:AG259" si="197">MAX(SumAssured,AA196)</f>
        <v>555299.66492560459</v>
      </c>
      <c r="AH196" s="34">
        <f t="shared" ref="AH196:AH259" si="198">AG196*O196</f>
        <v>0</v>
      </c>
      <c r="AI196" s="34">
        <f t="shared" ref="AI196:AI259" si="199">AA196*O196</f>
        <v>0</v>
      </c>
      <c r="AJ196" s="34">
        <f t="shared" ref="AJ196:AJ259" si="200">AA196*P196</f>
        <v>0</v>
      </c>
      <c r="AK196" s="34">
        <f t="shared" ref="AK196:AK259" si="201">I196*AA196*P196</f>
        <v>0</v>
      </c>
      <c r="AL196" s="34">
        <f t="shared" ref="AL196:AL259" si="202">AJ196-AK196</f>
        <v>0</v>
      </c>
      <c r="AM196" s="34">
        <f t="shared" ref="AM196:AM259" si="203">Q196*K196</f>
        <v>0</v>
      </c>
      <c r="AN196" s="34">
        <f t="shared" ref="AN196:AN259" si="204">AH196+AL196+AM196</f>
        <v>0</v>
      </c>
      <c r="AO196" s="34">
        <f t="shared" ref="AO196:AO259" si="205">(AG196-AA196)*O196</f>
        <v>0</v>
      </c>
      <c r="AP196" s="34">
        <f t="shared" ref="AP196:AP259" si="206">W196*N196</f>
        <v>0</v>
      </c>
      <c r="AQ196" s="34">
        <f t="shared" ref="AQ196:AQ259" si="207">T196*N196</f>
        <v>0</v>
      </c>
      <c r="AR196" s="34">
        <f t="shared" ref="AR196:AR259" si="208">Z196*J197+0.5*Z196*(O196+P196)</f>
        <v>0</v>
      </c>
      <c r="AS196" s="30">
        <f t="shared" ref="AS196:AS259" si="209">(1+InflationRate)^(A196/12)</f>
        <v>1.1725786449236988</v>
      </c>
      <c r="AT196" s="29">
        <f t="shared" ref="AT196:AT259" si="210">ExpenseAcq*M196+N196*ExpenseMaint/12*AS196</f>
        <v>0</v>
      </c>
      <c r="AU196" s="29">
        <f t="shared" ref="AU196:AU259" si="211">CommissionRate*AE196</f>
        <v>0</v>
      </c>
      <c r="AV196" s="34">
        <f t="shared" ref="AV196:AV259" si="212">AB197-AB196</f>
        <v>0</v>
      </c>
      <c r="AW196" s="34">
        <f t="shared" ref="AW196:AW259" si="213">AE196+AR196-AN196-AT196-AU196-AV196</f>
        <v>0</v>
      </c>
      <c r="AX196" s="29">
        <f t="shared" ref="AX196:AX259" si="214">LoadPremRate*E196*N196+AK196+AQ196-AU196-AT196</f>
        <v>0</v>
      </c>
      <c r="AY196" s="34">
        <f t="shared" ref="AY196:AY259" si="215">AP196-AO196</f>
        <v>0</v>
      </c>
      <c r="AZ196" s="37">
        <f t="shared" ref="AZ196:AZ259" si="216">(AW196-AX196-AY196)/MAX(1,ABS(AW196),ABS(AX196),ABS(AY196))</f>
        <v>0</v>
      </c>
      <c r="BA196" s="37">
        <f t="shared" ref="BA196:BA259" si="217">IF(OR(K196&gt;0,K197&gt;0),0,(AC197-(AC196+AF196-AQ196-AP196+AR196-AI196-AJ196-AM196))/MAX(1,ABS(AC196),ABS(AC197)))</f>
        <v>0</v>
      </c>
      <c r="BB196" s="35">
        <f t="shared" ref="BB196:BB259" si="218">(1+INDEX(DiscRateAnn,INT(A196/12)+1))^(1/12)-1</f>
        <v>1.1139826600861102E-3</v>
      </c>
      <c r="BC196" s="31">
        <f t="shared" ref="BC196:BC259" si="219">(1+BB196)^-A196</f>
        <v>0.80753762767634674</v>
      </c>
      <c r="BD196" s="34">
        <f t="shared" ref="BD196:BD259" si="220">AW196*BC196</f>
        <v>0</v>
      </c>
    </row>
    <row r="197" spans="1:56" x14ac:dyDescent="0.2">
      <c r="A197" s="27">
        <f t="shared" ref="A197:A260" si="221">A196+1</f>
        <v>193</v>
      </c>
      <c r="B197" s="28">
        <f t="shared" si="168"/>
        <v>193</v>
      </c>
      <c r="C197" s="27">
        <f t="shared" si="169"/>
        <v>16</v>
      </c>
      <c r="D197" s="28">
        <f t="shared" si="170"/>
        <v>36</v>
      </c>
      <c r="E197" s="29">
        <f t="shared" si="171"/>
        <v>0</v>
      </c>
      <c r="F197" s="30">
        <f t="shared" si="172"/>
        <v>6.2535166728813838E-4</v>
      </c>
      <c r="G197" s="31">
        <f t="shared" si="173"/>
        <v>5.2127581410266188E-5</v>
      </c>
      <c r="H197" s="32">
        <f t="shared" si="174"/>
        <v>0.02</v>
      </c>
      <c r="I197" s="32">
        <f t="shared" si="175"/>
        <v>0</v>
      </c>
      <c r="J197" s="33">
        <f t="shared" ref="J197:J260" si="222">N196-P196-O196</f>
        <v>0</v>
      </c>
      <c r="K197" s="30">
        <f t="shared" si="176"/>
        <v>0</v>
      </c>
      <c r="L197" s="33">
        <f t="shared" si="177"/>
        <v>0</v>
      </c>
      <c r="M197" s="30">
        <f t="shared" si="178"/>
        <v>0</v>
      </c>
      <c r="N197" s="33">
        <f t="shared" si="179"/>
        <v>0</v>
      </c>
      <c r="O197" s="31">
        <f t="shared" si="180"/>
        <v>0</v>
      </c>
      <c r="P197" s="33">
        <f t="shared" si="181"/>
        <v>0</v>
      </c>
      <c r="Q197" s="34">
        <f t="shared" ref="Q197:Q260" si="223">X196+Z196</f>
        <v>558613.26564818888</v>
      </c>
      <c r="R197" s="29">
        <f t="shared" si="182"/>
        <v>0</v>
      </c>
      <c r="S197" s="34">
        <f t="shared" si="183"/>
        <v>558613.26564818888</v>
      </c>
      <c r="T197" s="29">
        <f t="shared" si="184"/>
        <v>465.5110547068241</v>
      </c>
      <c r="U197" s="29">
        <f t="shared" si="185"/>
        <v>0</v>
      </c>
      <c r="V197" s="35">
        <f t="shared" si="186"/>
        <v>5.7340339551292814E-5</v>
      </c>
      <c r="W197" s="34">
        <f t="shared" si="187"/>
        <v>0</v>
      </c>
      <c r="X197" s="34">
        <f t="shared" si="188"/>
        <v>558147.75459348201</v>
      </c>
      <c r="Y197" s="36">
        <f t="shared" si="189"/>
        <v>6.2103535627631157E-3</v>
      </c>
      <c r="Z197" s="34">
        <f t="shared" si="190"/>
        <v>3466.294896287864</v>
      </c>
      <c r="AA197" s="34">
        <f t="shared" si="191"/>
        <v>559880.90204162593</v>
      </c>
      <c r="AB197" s="34">
        <f t="shared" si="192"/>
        <v>0</v>
      </c>
      <c r="AC197" s="34">
        <f t="shared" si="193"/>
        <v>0</v>
      </c>
      <c r="AD197" s="34">
        <f t="shared" si="194"/>
        <v>0</v>
      </c>
      <c r="AE197" s="34">
        <f t="shared" si="195"/>
        <v>0</v>
      </c>
      <c r="AF197" s="34">
        <f t="shared" si="196"/>
        <v>0</v>
      </c>
      <c r="AG197" s="29">
        <f t="shared" si="197"/>
        <v>559880.90204162593</v>
      </c>
      <c r="AH197" s="34">
        <f t="shared" si="198"/>
        <v>0</v>
      </c>
      <c r="AI197" s="34">
        <f t="shared" si="199"/>
        <v>0</v>
      </c>
      <c r="AJ197" s="34">
        <f t="shared" si="200"/>
        <v>0</v>
      </c>
      <c r="AK197" s="34">
        <f t="shared" si="201"/>
        <v>0</v>
      </c>
      <c r="AL197" s="34">
        <f t="shared" si="202"/>
        <v>0</v>
      </c>
      <c r="AM197" s="34">
        <f t="shared" si="203"/>
        <v>0</v>
      </c>
      <c r="AN197" s="34">
        <f t="shared" si="204"/>
        <v>0</v>
      </c>
      <c r="AO197" s="34">
        <f t="shared" si="205"/>
        <v>0</v>
      </c>
      <c r="AP197" s="34">
        <f t="shared" si="206"/>
        <v>0</v>
      </c>
      <c r="AQ197" s="34">
        <f t="shared" si="207"/>
        <v>0</v>
      </c>
      <c r="AR197" s="34">
        <f t="shared" si="208"/>
        <v>0</v>
      </c>
      <c r="AS197" s="30">
        <f t="shared" si="209"/>
        <v>1.1735513436017313</v>
      </c>
      <c r="AT197" s="29">
        <f t="shared" si="210"/>
        <v>0</v>
      </c>
      <c r="AU197" s="29">
        <f t="shared" si="211"/>
        <v>0</v>
      </c>
      <c r="AV197" s="34">
        <f t="shared" si="212"/>
        <v>0</v>
      </c>
      <c r="AW197" s="34">
        <f t="shared" si="213"/>
        <v>0</v>
      </c>
      <c r="AX197" s="29">
        <f t="shared" si="214"/>
        <v>0</v>
      </c>
      <c r="AY197" s="34">
        <f t="shared" si="215"/>
        <v>0</v>
      </c>
      <c r="AZ197" s="37">
        <f t="shared" si="216"/>
        <v>0</v>
      </c>
      <c r="BA197" s="37">
        <f t="shared" si="217"/>
        <v>0</v>
      </c>
      <c r="BB197" s="35">
        <f t="shared" si="218"/>
        <v>1.1139826600861102E-3</v>
      </c>
      <c r="BC197" s="31">
        <f t="shared" si="219"/>
        <v>0.80663904576641443</v>
      </c>
      <c r="BD197" s="34">
        <f t="shared" si="220"/>
        <v>0</v>
      </c>
    </row>
    <row r="198" spans="1:56" x14ac:dyDescent="0.2">
      <c r="A198" s="27">
        <f t="shared" si="221"/>
        <v>194</v>
      </c>
      <c r="B198" s="28">
        <f t="shared" si="168"/>
        <v>194</v>
      </c>
      <c r="C198" s="27">
        <f t="shared" si="169"/>
        <v>16</v>
      </c>
      <c r="D198" s="28">
        <f t="shared" si="170"/>
        <v>36</v>
      </c>
      <c r="E198" s="29">
        <f t="shared" si="171"/>
        <v>0</v>
      </c>
      <c r="F198" s="30">
        <f t="shared" si="172"/>
        <v>6.2535166728813838E-4</v>
      </c>
      <c r="G198" s="31">
        <f t="shared" si="173"/>
        <v>5.2127581410266188E-5</v>
      </c>
      <c r="H198" s="32">
        <f t="shared" si="174"/>
        <v>0.02</v>
      </c>
      <c r="I198" s="32">
        <f t="shared" si="175"/>
        <v>0</v>
      </c>
      <c r="J198" s="33">
        <f t="shared" si="222"/>
        <v>0</v>
      </c>
      <c r="K198" s="30">
        <f t="shared" si="176"/>
        <v>0</v>
      </c>
      <c r="L198" s="33">
        <f t="shared" si="177"/>
        <v>0</v>
      </c>
      <c r="M198" s="30">
        <f t="shared" si="178"/>
        <v>0</v>
      </c>
      <c r="N198" s="33">
        <f t="shared" si="179"/>
        <v>0</v>
      </c>
      <c r="O198" s="31">
        <f t="shared" si="180"/>
        <v>0</v>
      </c>
      <c r="P198" s="33">
        <f t="shared" si="181"/>
        <v>0</v>
      </c>
      <c r="Q198" s="34">
        <f t="shared" si="223"/>
        <v>561614.04948976985</v>
      </c>
      <c r="R198" s="29">
        <f t="shared" si="182"/>
        <v>0</v>
      </c>
      <c r="S198" s="34">
        <f t="shared" si="183"/>
        <v>561614.04948976985</v>
      </c>
      <c r="T198" s="29">
        <f t="shared" si="184"/>
        <v>468.01170790814155</v>
      </c>
      <c r="U198" s="29">
        <f t="shared" si="185"/>
        <v>0</v>
      </c>
      <c r="V198" s="35">
        <f t="shared" si="186"/>
        <v>5.7340339551292814E-5</v>
      </c>
      <c r="W198" s="34">
        <f t="shared" si="187"/>
        <v>0</v>
      </c>
      <c r="X198" s="34">
        <f t="shared" si="188"/>
        <v>561146.03778186173</v>
      </c>
      <c r="Y198" s="36">
        <f t="shared" si="189"/>
        <v>1.3303026856664513E-2</v>
      </c>
      <c r="Z198" s="34">
        <f t="shared" si="190"/>
        <v>7464.9408111229859</v>
      </c>
      <c r="AA198" s="34">
        <f t="shared" si="191"/>
        <v>564878.50818742323</v>
      </c>
      <c r="AB198" s="34">
        <f t="shared" si="192"/>
        <v>0</v>
      </c>
      <c r="AC198" s="34">
        <f t="shared" si="193"/>
        <v>0</v>
      </c>
      <c r="AD198" s="34">
        <f t="shared" si="194"/>
        <v>0</v>
      </c>
      <c r="AE198" s="34">
        <f t="shared" si="195"/>
        <v>0</v>
      </c>
      <c r="AF198" s="34">
        <f t="shared" si="196"/>
        <v>0</v>
      </c>
      <c r="AG198" s="29">
        <f t="shared" si="197"/>
        <v>564878.50818742323</v>
      </c>
      <c r="AH198" s="34">
        <f t="shared" si="198"/>
        <v>0</v>
      </c>
      <c r="AI198" s="34">
        <f t="shared" si="199"/>
        <v>0</v>
      </c>
      <c r="AJ198" s="34">
        <f t="shared" si="200"/>
        <v>0</v>
      </c>
      <c r="AK198" s="34">
        <f t="shared" si="201"/>
        <v>0</v>
      </c>
      <c r="AL198" s="34">
        <f t="shared" si="202"/>
        <v>0</v>
      </c>
      <c r="AM198" s="34">
        <f t="shared" si="203"/>
        <v>0</v>
      </c>
      <c r="AN198" s="34">
        <f t="shared" si="204"/>
        <v>0</v>
      </c>
      <c r="AO198" s="34">
        <f t="shared" si="205"/>
        <v>0</v>
      </c>
      <c r="AP198" s="34">
        <f t="shared" si="206"/>
        <v>0</v>
      </c>
      <c r="AQ198" s="34">
        <f t="shared" si="207"/>
        <v>0</v>
      </c>
      <c r="AR198" s="34">
        <f t="shared" si="208"/>
        <v>0</v>
      </c>
      <c r="AS198" s="30">
        <f t="shared" si="209"/>
        <v>1.1745248491703912</v>
      </c>
      <c r="AT198" s="29">
        <f t="shared" si="210"/>
        <v>0</v>
      </c>
      <c r="AU198" s="29">
        <f t="shared" si="211"/>
        <v>0</v>
      </c>
      <c r="AV198" s="34">
        <f t="shared" si="212"/>
        <v>0</v>
      </c>
      <c r="AW198" s="34">
        <f t="shared" si="213"/>
        <v>0</v>
      </c>
      <c r="AX198" s="29">
        <f t="shared" si="214"/>
        <v>0</v>
      </c>
      <c r="AY198" s="34">
        <f t="shared" si="215"/>
        <v>0</v>
      </c>
      <c r="AZ198" s="37">
        <f t="shared" si="216"/>
        <v>0</v>
      </c>
      <c r="BA198" s="37">
        <f t="shared" si="217"/>
        <v>0</v>
      </c>
      <c r="BB198" s="35">
        <f t="shared" si="218"/>
        <v>1.1139826600861102E-3</v>
      </c>
      <c r="BC198" s="31">
        <f t="shared" si="219"/>
        <v>0.80574146374728783</v>
      </c>
      <c r="BD198" s="34">
        <f t="shared" si="220"/>
        <v>0</v>
      </c>
    </row>
    <row r="199" spans="1:56" x14ac:dyDescent="0.2">
      <c r="A199" s="27">
        <f t="shared" si="221"/>
        <v>195</v>
      </c>
      <c r="B199" s="28">
        <f t="shared" si="168"/>
        <v>195</v>
      </c>
      <c r="C199" s="27">
        <f t="shared" si="169"/>
        <v>16</v>
      </c>
      <c r="D199" s="28">
        <f t="shared" si="170"/>
        <v>36</v>
      </c>
      <c r="E199" s="29">
        <f t="shared" si="171"/>
        <v>0</v>
      </c>
      <c r="F199" s="30">
        <f t="shared" si="172"/>
        <v>6.2535166728813838E-4</v>
      </c>
      <c r="G199" s="31">
        <f t="shared" si="173"/>
        <v>5.2127581410266188E-5</v>
      </c>
      <c r="H199" s="32">
        <f t="shared" si="174"/>
        <v>0.02</v>
      </c>
      <c r="I199" s="32">
        <f t="shared" si="175"/>
        <v>0</v>
      </c>
      <c r="J199" s="33">
        <f t="shared" si="222"/>
        <v>0</v>
      </c>
      <c r="K199" s="30">
        <f t="shared" si="176"/>
        <v>0</v>
      </c>
      <c r="L199" s="33">
        <f t="shared" si="177"/>
        <v>0</v>
      </c>
      <c r="M199" s="30">
        <f t="shared" si="178"/>
        <v>0</v>
      </c>
      <c r="N199" s="33">
        <f t="shared" si="179"/>
        <v>0</v>
      </c>
      <c r="O199" s="31">
        <f t="shared" si="180"/>
        <v>0</v>
      </c>
      <c r="P199" s="33">
        <f t="shared" si="181"/>
        <v>0</v>
      </c>
      <c r="Q199" s="34">
        <f t="shared" si="223"/>
        <v>568610.97859298473</v>
      </c>
      <c r="R199" s="29">
        <f t="shared" si="182"/>
        <v>0</v>
      </c>
      <c r="S199" s="34">
        <f t="shared" si="183"/>
        <v>568610.97859298473</v>
      </c>
      <c r="T199" s="29">
        <f t="shared" si="184"/>
        <v>473.84248216082062</v>
      </c>
      <c r="U199" s="29">
        <f t="shared" si="185"/>
        <v>0</v>
      </c>
      <c r="V199" s="35">
        <f t="shared" si="186"/>
        <v>5.7340339551292814E-5</v>
      </c>
      <c r="W199" s="34">
        <f t="shared" si="187"/>
        <v>0</v>
      </c>
      <c r="X199" s="34">
        <f t="shared" si="188"/>
        <v>568137.13611082395</v>
      </c>
      <c r="Y199" s="36">
        <f t="shared" si="189"/>
        <v>-5.4912993593008164E-3</v>
      </c>
      <c r="Z199" s="34">
        <f t="shared" si="190"/>
        <v>-3119.8110915203683</v>
      </c>
      <c r="AA199" s="34">
        <f t="shared" si="191"/>
        <v>566577.23056506377</v>
      </c>
      <c r="AB199" s="34">
        <f t="shared" si="192"/>
        <v>0</v>
      </c>
      <c r="AC199" s="34">
        <f t="shared" si="193"/>
        <v>0</v>
      </c>
      <c r="AD199" s="34">
        <f t="shared" si="194"/>
        <v>0</v>
      </c>
      <c r="AE199" s="34">
        <f t="shared" si="195"/>
        <v>0</v>
      </c>
      <c r="AF199" s="34">
        <f t="shared" si="196"/>
        <v>0</v>
      </c>
      <c r="AG199" s="29">
        <f t="shared" si="197"/>
        <v>566577.23056506377</v>
      </c>
      <c r="AH199" s="34">
        <f t="shared" si="198"/>
        <v>0</v>
      </c>
      <c r="AI199" s="34">
        <f t="shared" si="199"/>
        <v>0</v>
      </c>
      <c r="AJ199" s="34">
        <f t="shared" si="200"/>
        <v>0</v>
      </c>
      <c r="AK199" s="34">
        <f t="shared" si="201"/>
        <v>0</v>
      </c>
      <c r="AL199" s="34">
        <f t="shared" si="202"/>
        <v>0</v>
      </c>
      <c r="AM199" s="34">
        <f t="shared" si="203"/>
        <v>0</v>
      </c>
      <c r="AN199" s="34">
        <f t="shared" si="204"/>
        <v>0</v>
      </c>
      <c r="AO199" s="34">
        <f t="shared" si="205"/>
        <v>0</v>
      </c>
      <c r="AP199" s="34">
        <f t="shared" si="206"/>
        <v>0</v>
      </c>
      <c r="AQ199" s="34">
        <f t="shared" si="207"/>
        <v>0</v>
      </c>
      <c r="AR199" s="34">
        <f t="shared" si="208"/>
        <v>0</v>
      </c>
      <c r="AS199" s="30">
        <f t="shared" si="209"/>
        <v>1.1754991622990247</v>
      </c>
      <c r="AT199" s="29">
        <f t="shared" si="210"/>
        <v>0</v>
      </c>
      <c r="AU199" s="29">
        <f t="shared" si="211"/>
        <v>0</v>
      </c>
      <c r="AV199" s="34">
        <f t="shared" si="212"/>
        <v>0</v>
      </c>
      <c r="AW199" s="34">
        <f t="shared" si="213"/>
        <v>0</v>
      </c>
      <c r="AX199" s="29">
        <f t="shared" si="214"/>
        <v>0</v>
      </c>
      <c r="AY199" s="34">
        <f t="shared" si="215"/>
        <v>0</v>
      </c>
      <c r="AZ199" s="37">
        <f t="shared" si="216"/>
        <v>0</v>
      </c>
      <c r="BA199" s="37">
        <f t="shared" si="217"/>
        <v>0</v>
      </c>
      <c r="BB199" s="35">
        <f t="shared" si="218"/>
        <v>1.1139826600861102E-3</v>
      </c>
      <c r="BC199" s="31">
        <f t="shared" si="219"/>
        <v>0.80484488050634462</v>
      </c>
      <c r="BD199" s="34">
        <f t="shared" si="220"/>
        <v>0</v>
      </c>
    </row>
    <row r="200" spans="1:56" x14ac:dyDescent="0.2">
      <c r="A200" s="27">
        <f t="shared" si="221"/>
        <v>196</v>
      </c>
      <c r="B200" s="28">
        <f t="shared" si="168"/>
        <v>196</v>
      </c>
      <c r="C200" s="27">
        <f t="shared" si="169"/>
        <v>16</v>
      </c>
      <c r="D200" s="28">
        <f t="shared" si="170"/>
        <v>36</v>
      </c>
      <c r="E200" s="29">
        <f t="shared" si="171"/>
        <v>0</v>
      </c>
      <c r="F200" s="30">
        <f t="shared" si="172"/>
        <v>6.2535166728813838E-4</v>
      </c>
      <c r="G200" s="31">
        <f t="shared" si="173"/>
        <v>5.2127581410266188E-5</v>
      </c>
      <c r="H200" s="32">
        <f t="shared" si="174"/>
        <v>0.02</v>
      </c>
      <c r="I200" s="32">
        <f t="shared" si="175"/>
        <v>0</v>
      </c>
      <c r="J200" s="33">
        <f t="shared" si="222"/>
        <v>0</v>
      </c>
      <c r="K200" s="30">
        <f t="shared" si="176"/>
        <v>0</v>
      </c>
      <c r="L200" s="33">
        <f t="shared" si="177"/>
        <v>0</v>
      </c>
      <c r="M200" s="30">
        <f t="shared" si="178"/>
        <v>0</v>
      </c>
      <c r="N200" s="33">
        <f t="shared" si="179"/>
        <v>0</v>
      </c>
      <c r="O200" s="31">
        <f t="shared" si="180"/>
        <v>0</v>
      </c>
      <c r="P200" s="33">
        <f t="shared" si="181"/>
        <v>0</v>
      </c>
      <c r="Q200" s="34">
        <f t="shared" si="223"/>
        <v>565017.32501930359</v>
      </c>
      <c r="R200" s="29">
        <f t="shared" si="182"/>
        <v>0</v>
      </c>
      <c r="S200" s="34">
        <f t="shared" si="183"/>
        <v>565017.32501930359</v>
      </c>
      <c r="T200" s="29">
        <f t="shared" si="184"/>
        <v>470.8477708494197</v>
      </c>
      <c r="U200" s="29">
        <f t="shared" si="185"/>
        <v>0</v>
      </c>
      <c r="V200" s="35">
        <f t="shared" si="186"/>
        <v>5.7340339551292814E-5</v>
      </c>
      <c r="W200" s="34">
        <f t="shared" si="187"/>
        <v>0</v>
      </c>
      <c r="X200" s="34">
        <f t="shared" si="188"/>
        <v>564546.47724845412</v>
      </c>
      <c r="Y200" s="36">
        <f t="shared" si="189"/>
        <v>3.826370873385665E-3</v>
      </c>
      <c r="Z200" s="34">
        <f t="shared" si="190"/>
        <v>2160.1641972159678</v>
      </c>
      <c r="AA200" s="34">
        <f t="shared" si="191"/>
        <v>565626.55934706214</v>
      </c>
      <c r="AB200" s="34">
        <f t="shared" si="192"/>
        <v>0</v>
      </c>
      <c r="AC200" s="34">
        <f t="shared" si="193"/>
        <v>0</v>
      </c>
      <c r="AD200" s="34">
        <f t="shared" si="194"/>
        <v>0</v>
      </c>
      <c r="AE200" s="34">
        <f t="shared" si="195"/>
        <v>0</v>
      </c>
      <c r="AF200" s="34">
        <f t="shared" si="196"/>
        <v>0</v>
      </c>
      <c r="AG200" s="29">
        <f t="shared" si="197"/>
        <v>565626.55934706214</v>
      </c>
      <c r="AH200" s="34">
        <f t="shared" si="198"/>
        <v>0</v>
      </c>
      <c r="AI200" s="34">
        <f t="shared" si="199"/>
        <v>0</v>
      </c>
      <c r="AJ200" s="34">
        <f t="shared" si="200"/>
        <v>0</v>
      </c>
      <c r="AK200" s="34">
        <f t="shared" si="201"/>
        <v>0</v>
      </c>
      <c r="AL200" s="34">
        <f t="shared" si="202"/>
        <v>0</v>
      </c>
      <c r="AM200" s="34">
        <f t="shared" si="203"/>
        <v>0</v>
      </c>
      <c r="AN200" s="34">
        <f t="shared" si="204"/>
        <v>0</v>
      </c>
      <c r="AO200" s="34">
        <f t="shared" si="205"/>
        <v>0</v>
      </c>
      <c r="AP200" s="34">
        <f t="shared" si="206"/>
        <v>0</v>
      </c>
      <c r="AQ200" s="34">
        <f t="shared" si="207"/>
        <v>0</v>
      </c>
      <c r="AR200" s="34">
        <f t="shared" si="208"/>
        <v>0</v>
      </c>
      <c r="AS200" s="30">
        <f t="shared" si="209"/>
        <v>1.1764742836575339</v>
      </c>
      <c r="AT200" s="29">
        <f t="shared" si="210"/>
        <v>0</v>
      </c>
      <c r="AU200" s="29">
        <f t="shared" si="211"/>
        <v>0</v>
      </c>
      <c r="AV200" s="34">
        <f t="shared" si="212"/>
        <v>0</v>
      </c>
      <c r="AW200" s="34">
        <f t="shared" si="213"/>
        <v>0</v>
      </c>
      <c r="AX200" s="29">
        <f t="shared" si="214"/>
        <v>0</v>
      </c>
      <c r="AY200" s="34">
        <f t="shared" si="215"/>
        <v>0</v>
      </c>
      <c r="AZ200" s="37">
        <f t="shared" si="216"/>
        <v>0</v>
      </c>
      <c r="BA200" s="37">
        <f t="shared" si="217"/>
        <v>0</v>
      </c>
      <c r="BB200" s="35">
        <f t="shared" si="218"/>
        <v>1.1139826600861102E-3</v>
      </c>
      <c r="BC200" s="31">
        <f t="shared" si="219"/>
        <v>0.8039492949322018</v>
      </c>
      <c r="BD200" s="34">
        <f t="shared" si="220"/>
        <v>0</v>
      </c>
    </row>
    <row r="201" spans="1:56" x14ac:dyDescent="0.2">
      <c r="A201" s="27">
        <f t="shared" si="221"/>
        <v>197</v>
      </c>
      <c r="B201" s="28">
        <f t="shared" si="168"/>
        <v>197</v>
      </c>
      <c r="C201" s="27">
        <f t="shared" si="169"/>
        <v>16</v>
      </c>
      <c r="D201" s="28">
        <f t="shared" si="170"/>
        <v>36</v>
      </c>
      <c r="E201" s="29">
        <f t="shared" si="171"/>
        <v>0</v>
      </c>
      <c r="F201" s="30">
        <f t="shared" si="172"/>
        <v>6.2535166728813838E-4</v>
      </c>
      <c r="G201" s="31">
        <f t="shared" si="173"/>
        <v>5.2127581410266188E-5</v>
      </c>
      <c r="H201" s="32">
        <f t="shared" si="174"/>
        <v>0.02</v>
      </c>
      <c r="I201" s="32">
        <f t="shared" si="175"/>
        <v>0</v>
      </c>
      <c r="J201" s="33">
        <f t="shared" si="222"/>
        <v>0</v>
      </c>
      <c r="K201" s="30">
        <f t="shared" si="176"/>
        <v>0</v>
      </c>
      <c r="L201" s="33">
        <f t="shared" si="177"/>
        <v>0</v>
      </c>
      <c r="M201" s="30">
        <f t="shared" si="178"/>
        <v>0</v>
      </c>
      <c r="N201" s="33">
        <f t="shared" si="179"/>
        <v>0</v>
      </c>
      <c r="O201" s="31">
        <f t="shared" si="180"/>
        <v>0</v>
      </c>
      <c r="P201" s="33">
        <f t="shared" si="181"/>
        <v>0</v>
      </c>
      <c r="Q201" s="34">
        <f t="shared" si="223"/>
        <v>566706.64144567004</v>
      </c>
      <c r="R201" s="29">
        <f t="shared" si="182"/>
        <v>0</v>
      </c>
      <c r="S201" s="34">
        <f t="shared" si="183"/>
        <v>566706.64144567004</v>
      </c>
      <c r="T201" s="29">
        <f t="shared" si="184"/>
        <v>472.25553453805838</v>
      </c>
      <c r="U201" s="29">
        <f t="shared" si="185"/>
        <v>0</v>
      </c>
      <c r="V201" s="35">
        <f t="shared" si="186"/>
        <v>5.7340339551292814E-5</v>
      </c>
      <c r="W201" s="34">
        <f t="shared" si="187"/>
        <v>0</v>
      </c>
      <c r="X201" s="34">
        <f t="shared" si="188"/>
        <v>566234.38591113198</v>
      </c>
      <c r="Y201" s="36">
        <f t="shared" si="189"/>
        <v>9.6280968236761577E-3</v>
      </c>
      <c r="Z201" s="34">
        <f t="shared" si="190"/>
        <v>5451.7594924471896</v>
      </c>
      <c r="AA201" s="34">
        <f t="shared" si="191"/>
        <v>568960.26565735554</v>
      </c>
      <c r="AB201" s="34">
        <f t="shared" si="192"/>
        <v>0</v>
      </c>
      <c r="AC201" s="34">
        <f t="shared" si="193"/>
        <v>0</v>
      </c>
      <c r="AD201" s="34">
        <f t="shared" si="194"/>
        <v>0</v>
      </c>
      <c r="AE201" s="34">
        <f t="shared" si="195"/>
        <v>0</v>
      </c>
      <c r="AF201" s="34">
        <f t="shared" si="196"/>
        <v>0</v>
      </c>
      <c r="AG201" s="29">
        <f t="shared" si="197"/>
        <v>568960.26565735554</v>
      </c>
      <c r="AH201" s="34">
        <f t="shared" si="198"/>
        <v>0</v>
      </c>
      <c r="AI201" s="34">
        <f t="shared" si="199"/>
        <v>0</v>
      </c>
      <c r="AJ201" s="34">
        <f t="shared" si="200"/>
        <v>0</v>
      </c>
      <c r="AK201" s="34">
        <f t="shared" si="201"/>
        <v>0</v>
      </c>
      <c r="AL201" s="34">
        <f t="shared" si="202"/>
        <v>0</v>
      </c>
      <c r="AM201" s="34">
        <f t="shared" si="203"/>
        <v>0</v>
      </c>
      <c r="AN201" s="34">
        <f t="shared" si="204"/>
        <v>0</v>
      </c>
      <c r="AO201" s="34">
        <f t="shared" si="205"/>
        <v>0</v>
      </c>
      <c r="AP201" s="34">
        <f t="shared" si="206"/>
        <v>0</v>
      </c>
      <c r="AQ201" s="34">
        <f t="shared" si="207"/>
        <v>0</v>
      </c>
      <c r="AR201" s="34">
        <f t="shared" si="208"/>
        <v>0</v>
      </c>
      <c r="AS201" s="30">
        <f t="shared" si="209"/>
        <v>1.1774502139163761</v>
      </c>
      <c r="AT201" s="29">
        <f t="shared" si="210"/>
        <v>0</v>
      </c>
      <c r="AU201" s="29">
        <f t="shared" si="211"/>
        <v>0</v>
      </c>
      <c r="AV201" s="34">
        <f t="shared" si="212"/>
        <v>0</v>
      </c>
      <c r="AW201" s="34">
        <f t="shared" si="213"/>
        <v>0</v>
      </c>
      <c r="AX201" s="29">
        <f t="shared" si="214"/>
        <v>0</v>
      </c>
      <c r="AY201" s="34">
        <f t="shared" si="215"/>
        <v>0</v>
      </c>
      <c r="AZ201" s="37">
        <f t="shared" si="216"/>
        <v>0</v>
      </c>
      <c r="BA201" s="37">
        <f t="shared" si="217"/>
        <v>0</v>
      </c>
      <c r="BB201" s="35">
        <f t="shared" si="218"/>
        <v>1.1139826600861102E-3</v>
      </c>
      <c r="BC201" s="31">
        <f t="shared" si="219"/>
        <v>0.80305470591471217</v>
      </c>
      <c r="BD201" s="34">
        <f t="shared" si="220"/>
        <v>0</v>
      </c>
    </row>
    <row r="202" spans="1:56" x14ac:dyDescent="0.2">
      <c r="A202" s="27">
        <f t="shared" si="221"/>
        <v>198</v>
      </c>
      <c r="B202" s="28">
        <f t="shared" si="168"/>
        <v>198</v>
      </c>
      <c r="C202" s="27">
        <f t="shared" si="169"/>
        <v>16</v>
      </c>
      <c r="D202" s="28">
        <f t="shared" si="170"/>
        <v>36</v>
      </c>
      <c r="E202" s="29">
        <f t="shared" si="171"/>
        <v>0</v>
      </c>
      <c r="F202" s="30">
        <f t="shared" si="172"/>
        <v>6.2535166728813838E-4</v>
      </c>
      <c r="G202" s="31">
        <f t="shared" si="173"/>
        <v>5.2127581410266188E-5</v>
      </c>
      <c r="H202" s="32">
        <f t="shared" si="174"/>
        <v>0.02</v>
      </c>
      <c r="I202" s="32">
        <f t="shared" si="175"/>
        <v>0</v>
      </c>
      <c r="J202" s="33">
        <f t="shared" si="222"/>
        <v>0</v>
      </c>
      <c r="K202" s="30">
        <f t="shared" si="176"/>
        <v>0</v>
      </c>
      <c r="L202" s="33">
        <f t="shared" si="177"/>
        <v>0</v>
      </c>
      <c r="M202" s="30">
        <f t="shared" si="178"/>
        <v>0</v>
      </c>
      <c r="N202" s="33">
        <f t="shared" si="179"/>
        <v>0</v>
      </c>
      <c r="O202" s="31">
        <f t="shared" si="180"/>
        <v>0</v>
      </c>
      <c r="P202" s="33">
        <f t="shared" si="181"/>
        <v>0</v>
      </c>
      <c r="Q202" s="34">
        <f t="shared" si="223"/>
        <v>571686.14540357911</v>
      </c>
      <c r="R202" s="29">
        <f t="shared" si="182"/>
        <v>0</v>
      </c>
      <c r="S202" s="34">
        <f t="shared" si="183"/>
        <v>571686.14540357911</v>
      </c>
      <c r="T202" s="29">
        <f t="shared" si="184"/>
        <v>476.40512116964931</v>
      </c>
      <c r="U202" s="29">
        <f t="shared" si="185"/>
        <v>0</v>
      </c>
      <c r="V202" s="35">
        <f t="shared" si="186"/>
        <v>5.7340339551292814E-5</v>
      </c>
      <c r="W202" s="34">
        <f t="shared" si="187"/>
        <v>0</v>
      </c>
      <c r="X202" s="34">
        <f t="shared" si="188"/>
        <v>571209.74028240948</v>
      </c>
      <c r="Y202" s="36">
        <f t="shared" si="189"/>
        <v>-1.6202134076603314E-2</v>
      </c>
      <c r="Z202" s="34">
        <f t="shared" si="190"/>
        <v>-9254.8167979173559</v>
      </c>
      <c r="AA202" s="34">
        <f t="shared" si="191"/>
        <v>566582.33188345085</v>
      </c>
      <c r="AB202" s="34">
        <f t="shared" si="192"/>
        <v>0</v>
      </c>
      <c r="AC202" s="34">
        <f t="shared" si="193"/>
        <v>0</v>
      </c>
      <c r="AD202" s="34">
        <f t="shared" si="194"/>
        <v>0</v>
      </c>
      <c r="AE202" s="34">
        <f t="shared" si="195"/>
        <v>0</v>
      </c>
      <c r="AF202" s="34">
        <f t="shared" si="196"/>
        <v>0</v>
      </c>
      <c r="AG202" s="29">
        <f t="shared" si="197"/>
        <v>566582.33188345085</v>
      </c>
      <c r="AH202" s="34">
        <f t="shared" si="198"/>
        <v>0</v>
      </c>
      <c r="AI202" s="34">
        <f t="shared" si="199"/>
        <v>0</v>
      </c>
      <c r="AJ202" s="34">
        <f t="shared" si="200"/>
        <v>0</v>
      </c>
      <c r="AK202" s="34">
        <f t="shared" si="201"/>
        <v>0</v>
      </c>
      <c r="AL202" s="34">
        <f t="shared" si="202"/>
        <v>0</v>
      </c>
      <c r="AM202" s="34">
        <f t="shared" si="203"/>
        <v>0</v>
      </c>
      <c r="AN202" s="34">
        <f t="shared" si="204"/>
        <v>0</v>
      </c>
      <c r="AO202" s="34">
        <f t="shared" si="205"/>
        <v>0</v>
      </c>
      <c r="AP202" s="34">
        <f t="shared" si="206"/>
        <v>0</v>
      </c>
      <c r="AQ202" s="34">
        <f t="shared" si="207"/>
        <v>0</v>
      </c>
      <c r="AR202" s="34">
        <f t="shared" si="208"/>
        <v>0</v>
      </c>
      <c r="AS202" s="30">
        <f t="shared" si="209"/>
        <v>1.1784269537465648</v>
      </c>
      <c r="AT202" s="29">
        <f t="shared" si="210"/>
        <v>0</v>
      </c>
      <c r="AU202" s="29">
        <f t="shared" si="211"/>
        <v>0</v>
      </c>
      <c r="AV202" s="34">
        <f t="shared" si="212"/>
        <v>0</v>
      </c>
      <c r="AW202" s="34">
        <f t="shared" si="213"/>
        <v>0</v>
      </c>
      <c r="AX202" s="29">
        <f t="shared" si="214"/>
        <v>0</v>
      </c>
      <c r="AY202" s="34">
        <f t="shared" si="215"/>
        <v>0</v>
      </c>
      <c r="AZ202" s="37">
        <f t="shared" si="216"/>
        <v>0</v>
      </c>
      <c r="BA202" s="37">
        <f t="shared" si="217"/>
        <v>0</v>
      </c>
      <c r="BB202" s="35">
        <f t="shared" si="218"/>
        <v>1.1139826600861102E-3</v>
      </c>
      <c r="BC202" s="31">
        <f t="shared" si="219"/>
        <v>0.80216111234496457</v>
      </c>
      <c r="BD202" s="34">
        <f t="shared" si="220"/>
        <v>0</v>
      </c>
    </row>
    <row r="203" spans="1:56" x14ac:dyDescent="0.2">
      <c r="A203" s="27">
        <f t="shared" si="221"/>
        <v>199</v>
      </c>
      <c r="B203" s="28">
        <f t="shared" si="168"/>
        <v>199</v>
      </c>
      <c r="C203" s="27">
        <f t="shared" si="169"/>
        <v>16</v>
      </c>
      <c r="D203" s="28">
        <f t="shared" si="170"/>
        <v>36</v>
      </c>
      <c r="E203" s="29">
        <f t="shared" si="171"/>
        <v>0</v>
      </c>
      <c r="F203" s="30">
        <f t="shared" si="172"/>
        <v>6.2535166728813838E-4</v>
      </c>
      <c r="G203" s="31">
        <f t="shared" si="173"/>
        <v>5.2127581410266188E-5</v>
      </c>
      <c r="H203" s="32">
        <f t="shared" si="174"/>
        <v>0.02</v>
      </c>
      <c r="I203" s="32">
        <f t="shared" si="175"/>
        <v>0</v>
      </c>
      <c r="J203" s="33">
        <f t="shared" si="222"/>
        <v>0</v>
      </c>
      <c r="K203" s="30">
        <f t="shared" si="176"/>
        <v>0</v>
      </c>
      <c r="L203" s="33">
        <f t="shared" si="177"/>
        <v>0</v>
      </c>
      <c r="M203" s="30">
        <f t="shared" si="178"/>
        <v>0</v>
      </c>
      <c r="N203" s="33">
        <f t="shared" si="179"/>
        <v>0</v>
      </c>
      <c r="O203" s="31">
        <f t="shared" si="180"/>
        <v>0</v>
      </c>
      <c r="P203" s="33">
        <f t="shared" si="181"/>
        <v>0</v>
      </c>
      <c r="Q203" s="34">
        <f t="shared" si="223"/>
        <v>561954.92348449212</v>
      </c>
      <c r="R203" s="29">
        <f t="shared" si="182"/>
        <v>0</v>
      </c>
      <c r="S203" s="34">
        <f t="shared" si="183"/>
        <v>561954.92348449212</v>
      </c>
      <c r="T203" s="29">
        <f t="shared" si="184"/>
        <v>468.29576957041013</v>
      </c>
      <c r="U203" s="29">
        <f t="shared" si="185"/>
        <v>0</v>
      </c>
      <c r="V203" s="35">
        <f t="shared" si="186"/>
        <v>5.7340339551292814E-5</v>
      </c>
      <c r="W203" s="34">
        <f t="shared" si="187"/>
        <v>0</v>
      </c>
      <c r="X203" s="34">
        <f t="shared" si="188"/>
        <v>561486.62771492172</v>
      </c>
      <c r="Y203" s="36">
        <f t="shared" si="189"/>
        <v>4.5404033719562698E-3</v>
      </c>
      <c r="Z203" s="34">
        <f t="shared" si="190"/>
        <v>2549.3757777851852</v>
      </c>
      <c r="AA203" s="34">
        <f t="shared" si="191"/>
        <v>562761.31560381432</v>
      </c>
      <c r="AB203" s="34">
        <f t="shared" si="192"/>
        <v>0</v>
      </c>
      <c r="AC203" s="34">
        <f t="shared" si="193"/>
        <v>0</v>
      </c>
      <c r="AD203" s="34">
        <f t="shared" si="194"/>
        <v>0</v>
      </c>
      <c r="AE203" s="34">
        <f t="shared" si="195"/>
        <v>0</v>
      </c>
      <c r="AF203" s="34">
        <f t="shared" si="196"/>
        <v>0</v>
      </c>
      <c r="AG203" s="29">
        <f t="shared" si="197"/>
        <v>562761.31560381432</v>
      </c>
      <c r="AH203" s="34">
        <f t="shared" si="198"/>
        <v>0</v>
      </c>
      <c r="AI203" s="34">
        <f t="shared" si="199"/>
        <v>0</v>
      </c>
      <c r="AJ203" s="34">
        <f t="shared" si="200"/>
        <v>0</v>
      </c>
      <c r="AK203" s="34">
        <f t="shared" si="201"/>
        <v>0</v>
      </c>
      <c r="AL203" s="34">
        <f t="shared" si="202"/>
        <v>0</v>
      </c>
      <c r="AM203" s="34">
        <f t="shared" si="203"/>
        <v>0</v>
      </c>
      <c r="AN203" s="34">
        <f t="shared" si="204"/>
        <v>0</v>
      </c>
      <c r="AO203" s="34">
        <f t="shared" si="205"/>
        <v>0</v>
      </c>
      <c r="AP203" s="34">
        <f t="shared" si="206"/>
        <v>0</v>
      </c>
      <c r="AQ203" s="34">
        <f t="shared" si="207"/>
        <v>0</v>
      </c>
      <c r="AR203" s="34">
        <f t="shared" si="208"/>
        <v>0</v>
      </c>
      <c r="AS203" s="30">
        <f t="shared" si="209"/>
        <v>1.1794045038196705</v>
      </c>
      <c r="AT203" s="29">
        <f t="shared" si="210"/>
        <v>0</v>
      </c>
      <c r="AU203" s="29">
        <f t="shared" si="211"/>
        <v>0</v>
      </c>
      <c r="AV203" s="34">
        <f t="shared" si="212"/>
        <v>0</v>
      </c>
      <c r="AW203" s="34">
        <f t="shared" si="213"/>
        <v>0</v>
      </c>
      <c r="AX203" s="29">
        <f t="shared" si="214"/>
        <v>0</v>
      </c>
      <c r="AY203" s="34">
        <f t="shared" si="215"/>
        <v>0</v>
      </c>
      <c r="AZ203" s="37">
        <f t="shared" si="216"/>
        <v>0</v>
      </c>
      <c r="BA203" s="37">
        <f t="shared" si="217"/>
        <v>0</v>
      </c>
      <c r="BB203" s="35">
        <f t="shared" si="218"/>
        <v>1.1139826600861102E-3</v>
      </c>
      <c r="BC203" s="31">
        <f t="shared" si="219"/>
        <v>0.80126851311528102</v>
      </c>
      <c r="BD203" s="34">
        <f t="shared" si="220"/>
        <v>0</v>
      </c>
    </row>
    <row r="204" spans="1:56" x14ac:dyDescent="0.2">
      <c r="A204" s="27">
        <f t="shared" si="221"/>
        <v>200</v>
      </c>
      <c r="B204" s="28">
        <f t="shared" si="168"/>
        <v>200</v>
      </c>
      <c r="C204" s="27">
        <f t="shared" si="169"/>
        <v>16</v>
      </c>
      <c r="D204" s="28">
        <f t="shared" si="170"/>
        <v>36</v>
      </c>
      <c r="E204" s="29">
        <f t="shared" si="171"/>
        <v>0</v>
      </c>
      <c r="F204" s="30">
        <f t="shared" si="172"/>
        <v>6.2535166728813838E-4</v>
      </c>
      <c r="G204" s="31">
        <f t="shared" si="173"/>
        <v>5.2127581410266188E-5</v>
      </c>
      <c r="H204" s="32">
        <f t="shared" si="174"/>
        <v>0.02</v>
      </c>
      <c r="I204" s="32">
        <f t="shared" si="175"/>
        <v>0</v>
      </c>
      <c r="J204" s="33">
        <f t="shared" si="222"/>
        <v>0</v>
      </c>
      <c r="K204" s="30">
        <f t="shared" si="176"/>
        <v>0</v>
      </c>
      <c r="L204" s="33">
        <f t="shared" si="177"/>
        <v>0</v>
      </c>
      <c r="M204" s="30">
        <f t="shared" si="178"/>
        <v>0</v>
      </c>
      <c r="N204" s="33">
        <f t="shared" si="179"/>
        <v>0</v>
      </c>
      <c r="O204" s="31">
        <f t="shared" si="180"/>
        <v>0</v>
      </c>
      <c r="P204" s="33">
        <f t="shared" si="181"/>
        <v>0</v>
      </c>
      <c r="Q204" s="34">
        <f t="shared" si="223"/>
        <v>564036.00349270692</v>
      </c>
      <c r="R204" s="29">
        <f t="shared" si="182"/>
        <v>0</v>
      </c>
      <c r="S204" s="34">
        <f t="shared" si="183"/>
        <v>564036.00349270692</v>
      </c>
      <c r="T204" s="29">
        <f t="shared" si="184"/>
        <v>470.03000291058913</v>
      </c>
      <c r="U204" s="29">
        <f t="shared" si="185"/>
        <v>0</v>
      </c>
      <c r="V204" s="35">
        <f t="shared" si="186"/>
        <v>5.7340339551292814E-5</v>
      </c>
      <c r="W204" s="34">
        <f t="shared" si="187"/>
        <v>0</v>
      </c>
      <c r="X204" s="34">
        <f t="shared" si="188"/>
        <v>563565.97348979628</v>
      </c>
      <c r="Y204" s="36">
        <f t="shared" si="189"/>
        <v>-2.9531527680086711E-3</v>
      </c>
      <c r="Z204" s="34">
        <f t="shared" si="190"/>
        <v>-1664.2964145668932</v>
      </c>
      <c r="AA204" s="34">
        <f t="shared" si="191"/>
        <v>562733.82528251281</v>
      </c>
      <c r="AB204" s="34">
        <f t="shared" si="192"/>
        <v>0</v>
      </c>
      <c r="AC204" s="34">
        <f t="shared" si="193"/>
        <v>0</v>
      </c>
      <c r="AD204" s="34">
        <f t="shared" si="194"/>
        <v>0</v>
      </c>
      <c r="AE204" s="34">
        <f t="shared" si="195"/>
        <v>0</v>
      </c>
      <c r="AF204" s="34">
        <f t="shared" si="196"/>
        <v>0</v>
      </c>
      <c r="AG204" s="29">
        <f t="shared" si="197"/>
        <v>562733.82528251281</v>
      </c>
      <c r="AH204" s="34">
        <f t="shared" si="198"/>
        <v>0</v>
      </c>
      <c r="AI204" s="34">
        <f t="shared" si="199"/>
        <v>0</v>
      </c>
      <c r="AJ204" s="34">
        <f t="shared" si="200"/>
        <v>0</v>
      </c>
      <c r="AK204" s="34">
        <f t="shared" si="201"/>
        <v>0</v>
      </c>
      <c r="AL204" s="34">
        <f t="shared" si="202"/>
        <v>0</v>
      </c>
      <c r="AM204" s="34">
        <f t="shared" si="203"/>
        <v>0</v>
      </c>
      <c r="AN204" s="34">
        <f t="shared" si="204"/>
        <v>0</v>
      </c>
      <c r="AO204" s="34">
        <f t="shared" si="205"/>
        <v>0</v>
      </c>
      <c r="AP204" s="34">
        <f t="shared" si="206"/>
        <v>0</v>
      </c>
      <c r="AQ204" s="34">
        <f t="shared" si="207"/>
        <v>0</v>
      </c>
      <c r="AR204" s="34">
        <f t="shared" si="208"/>
        <v>0</v>
      </c>
      <c r="AS204" s="30">
        <f t="shared" si="209"/>
        <v>1.1803828648078205</v>
      </c>
      <c r="AT204" s="29">
        <f t="shared" si="210"/>
        <v>0</v>
      </c>
      <c r="AU204" s="29">
        <f t="shared" si="211"/>
        <v>0</v>
      </c>
      <c r="AV204" s="34">
        <f t="shared" si="212"/>
        <v>0</v>
      </c>
      <c r="AW204" s="34">
        <f t="shared" si="213"/>
        <v>0</v>
      </c>
      <c r="AX204" s="29">
        <f t="shared" si="214"/>
        <v>0</v>
      </c>
      <c r="AY204" s="34">
        <f t="shared" si="215"/>
        <v>0</v>
      </c>
      <c r="AZ204" s="37">
        <f t="shared" si="216"/>
        <v>0</v>
      </c>
      <c r="BA204" s="37">
        <f t="shared" si="217"/>
        <v>0</v>
      </c>
      <c r="BB204" s="35">
        <f t="shared" si="218"/>
        <v>1.1139826600861102E-3</v>
      </c>
      <c r="BC204" s="31">
        <f t="shared" si="219"/>
        <v>0.80037690711921705</v>
      </c>
      <c r="BD204" s="34">
        <f t="shared" si="220"/>
        <v>0</v>
      </c>
    </row>
    <row r="205" spans="1:56" x14ac:dyDescent="0.2">
      <c r="A205" s="27">
        <f t="shared" si="221"/>
        <v>201</v>
      </c>
      <c r="B205" s="28">
        <f t="shared" si="168"/>
        <v>201</v>
      </c>
      <c r="C205" s="27">
        <f t="shared" si="169"/>
        <v>16</v>
      </c>
      <c r="D205" s="28">
        <f t="shared" si="170"/>
        <v>36</v>
      </c>
      <c r="E205" s="29">
        <f t="shared" si="171"/>
        <v>0</v>
      </c>
      <c r="F205" s="30">
        <f t="shared" si="172"/>
        <v>6.2535166728813838E-4</v>
      </c>
      <c r="G205" s="31">
        <f t="shared" si="173"/>
        <v>5.2127581410266188E-5</v>
      </c>
      <c r="H205" s="32">
        <f t="shared" si="174"/>
        <v>0.02</v>
      </c>
      <c r="I205" s="32">
        <f t="shared" si="175"/>
        <v>0</v>
      </c>
      <c r="J205" s="33">
        <f t="shared" si="222"/>
        <v>0</v>
      </c>
      <c r="K205" s="30">
        <f t="shared" si="176"/>
        <v>0</v>
      </c>
      <c r="L205" s="33">
        <f t="shared" si="177"/>
        <v>0</v>
      </c>
      <c r="M205" s="30">
        <f t="shared" si="178"/>
        <v>0</v>
      </c>
      <c r="N205" s="33">
        <f t="shared" si="179"/>
        <v>0</v>
      </c>
      <c r="O205" s="31">
        <f t="shared" si="180"/>
        <v>0</v>
      </c>
      <c r="P205" s="33">
        <f t="shared" si="181"/>
        <v>0</v>
      </c>
      <c r="Q205" s="34">
        <f t="shared" si="223"/>
        <v>561901.67707522935</v>
      </c>
      <c r="R205" s="29">
        <f t="shared" si="182"/>
        <v>0</v>
      </c>
      <c r="S205" s="34">
        <f t="shared" si="183"/>
        <v>561901.67707522935</v>
      </c>
      <c r="T205" s="29">
        <f t="shared" si="184"/>
        <v>468.25139756269118</v>
      </c>
      <c r="U205" s="29">
        <f t="shared" si="185"/>
        <v>0</v>
      </c>
      <c r="V205" s="35">
        <f t="shared" si="186"/>
        <v>5.7340339551292814E-5</v>
      </c>
      <c r="W205" s="34">
        <f t="shared" si="187"/>
        <v>0</v>
      </c>
      <c r="X205" s="34">
        <f t="shared" si="188"/>
        <v>561433.42567766667</v>
      </c>
      <c r="Y205" s="36">
        <f t="shared" si="189"/>
        <v>-1.9845737136142683E-3</v>
      </c>
      <c r="Z205" s="34">
        <f t="shared" si="190"/>
        <v>-1114.2060185443072</v>
      </c>
      <c r="AA205" s="34">
        <f t="shared" si="191"/>
        <v>560876.32266839454</v>
      </c>
      <c r="AB205" s="34">
        <f t="shared" si="192"/>
        <v>0</v>
      </c>
      <c r="AC205" s="34">
        <f t="shared" si="193"/>
        <v>0</v>
      </c>
      <c r="AD205" s="34">
        <f t="shared" si="194"/>
        <v>0</v>
      </c>
      <c r="AE205" s="34">
        <f t="shared" si="195"/>
        <v>0</v>
      </c>
      <c r="AF205" s="34">
        <f t="shared" si="196"/>
        <v>0</v>
      </c>
      <c r="AG205" s="29">
        <f t="shared" si="197"/>
        <v>560876.32266839454</v>
      </c>
      <c r="AH205" s="34">
        <f t="shared" si="198"/>
        <v>0</v>
      </c>
      <c r="AI205" s="34">
        <f t="shared" si="199"/>
        <v>0</v>
      </c>
      <c r="AJ205" s="34">
        <f t="shared" si="200"/>
        <v>0</v>
      </c>
      <c r="AK205" s="34">
        <f t="shared" si="201"/>
        <v>0</v>
      </c>
      <c r="AL205" s="34">
        <f t="shared" si="202"/>
        <v>0</v>
      </c>
      <c r="AM205" s="34">
        <f t="shared" si="203"/>
        <v>0</v>
      </c>
      <c r="AN205" s="34">
        <f t="shared" si="204"/>
        <v>0</v>
      </c>
      <c r="AO205" s="34">
        <f t="shared" si="205"/>
        <v>0</v>
      </c>
      <c r="AP205" s="34">
        <f t="shared" si="206"/>
        <v>0</v>
      </c>
      <c r="AQ205" s="34">
        <f t="shared" si="207"/>
        <v>0</v>
      </c>
      <c r="AR205" s="34">
        <f t="shared" si="208"/>
        <v>0</v>
      </c>
      <c r="AS205" s="30">
        <f t="shared" si="209"/>
        <v>1.1813620373836999</v>
      </c>
      <c r="AT205" s="29">
        <f t="shared" si="210"/>
        <v>0</v>
      </c>
      <c r="AU205" s="29">
        <f t="shared" si="211"/>
        <v>0</v>
      </c>
      <c r="AV205" s="34">
        <f t="shared" si="212"/>
        <v>0</v>
      </c>
      <c r="AW205" s="34">
        <f t="shared" si="213"/>
        <v>0</v>
      </c>
      <c r="AX205" s="29">
        <f t="shared" si="214"/>
        <v>0</v>
      </c>
      <c r="AY205" s="34">
        <f t="shared" si="215"/>
        <v>0</v>
      </c>
      <c r="AZ205" s="37">
        <f t="shared" si="216"/>
        <v>0</v>
      </c>
      <c r="BA205" s="37">
        <f t="shared" si="217"/>
        <v>0</v>
      </c>
      <c r="BB205" s="35">
        <f t="shared" si="218"/>
        <v>1.1139826600861102E-3</v>
      </c>
      <c r="BC205" s="31">
        <f t="shared" si="219"/>
        <v>0.7994862932515584</v>
      </c>
      <c r="BD205" s="34">
        <f t="shared" si="220"/>
        <v>0</v>
      </c>
    </row>
    <row r="206" spans="1:56" x14ac:dyDescent="0.2">
      <c r="A206" s="27">
        <f t="shared" si="221"/>
        <v>202</v>
      </c>
      <c r="B206" s="28">
        <f t="shared" si="168"/>
        <v>202</v>
      </c>
      <c r="C206" s="27">
        <f t="shared" si="169"/>
        <v>16</v>
      </c>
      <c r="D206" s="28">
        <f t="shared" si="170"/>
        <v>36</v>
      </c>
      <c r="E206" s="29">
        <f t="shared" si="171"/>
        <v>0</v>
      </c>
      <c r="F206" s="30">
        <f t="shared" si="172"/>
        <v>6.2535166728813838E-4</v>
      </c>
      <c r="G206" s="31">
        <f t="shared" si="173"/>
        <v>5.2127581410266188E-5</v>
      </c>
      <c r="H206" s="32">
        <f t="shared" si="174"/>
        <v>0.02</v>
      </c>
      <c r="I206" s="32">
        <f t="shared" si="175"/>
        <v>0</v>
      </c>
      <c r="J206" s="33">
        <f t="shared" si="222"/>
        <v>0</v>
      </c>
      <c r="K206" s="30">
        <f t="shared" si="176"/>
        <v>0</v>
      </c>
      <c r="L206" s="33">
        <f t="shared" si="177"/>
        <v>0</v>
      </c>
      <c r="M206" s="30">
        <f t="shared" si="178"/>
        <v>0</v>
      </c>
      <c r="N206" s="33">
        <f t="shared" si="179"/>
        <v>0</v>
      </c>
      <c r="O206" s="31">
        <f t="shared" si="180"/>
        <v>0</v>
      </c>
      <c r="P206" s="33">
        <f t="shared" si="181"/>
        <v>0</v>
      </c>
      <c r="Q206" s="34">
        <f t="shared" si="223"/>
        <v>560319.21965912241</v>
      </c>
      <c r="R206" s="29">
        <f t="shared" si="182"/>
        <v>0</v>
      </c>
      <c r="S206" s="34">
        <f t="shared" si="183"/>
        <v>560319.21965912241</v>
      </c>
      <c r="T206" s="29">
        <f t="shared" si="184"/>
        <v>466.93268304926869</v>
      </c>
      <c r="U206" s="29">
        <f t="shared" si="185"/>
        <v>0</v>
      </c>
      <c r="V206" s="35">
        <f t="shared" si="186"/>
        <v>5.7340339551292814E-5</v>
      </c>
      <c r="W206" s="34">
        <f t="shared" si="187"/>
        <v>0</v>
      </c>
      <c r="X206" s="34">
        <f t="shared" si="188"/>
        <v>559852.28697607317</v>
      </c>
      <c r="Y206" s="36">
        <f t="shared" si="189"/>
        <v>-1.1069433319720101E-2</v>
      </c>
      <c r="Z206" s="34">
        <f t="shared" si="190"/>
        <v>-6197.2475595744445</v>
      </c>
      <c r="AA206" s="34">
        <f t="shared" si="191"/>
        <v>556753.66319628595</v>
      </c>
      <c r="AB206" s="34">
        <f t="shared" si="192"/>
        <v>0</v>
      </c>
      <c r="AC206" s="34">
        <f t="shared" si="193"/>
        <v>0</v>
      </c>
      <c r="AD206" s="34">
        <f t="shared" si="194"/>
        <v>0</v>
      </c>
      <c r="AE206" s="34">
        <f t="shared" si="195"/>
        <v>0</v>
      </c>
      <c r="AF206" s="34">
        <f t="shared" si="196"/>
        <v>0</v>
      </c>
      <c r="AG206" s="29">
        <f t="shared" si="197"/>
        <v>556753.66319628595</v>
      </c>
      <c r="AH206" s="34">
        <f t="shared" si="198"/>
        <v>0</v>
      </c>
      <c r="AI206" s="34">
        <f t="shared" si="199"/>
        <v>0</v>
      </c>
      <c r="AJ206" s="34">
        <f t="shared" si="200"/>
        <v>0</v>
      </c>
      <c r="AK206" s="34">
        <f t="shared" si="201"/>
        <v>0</v>
      </c>
      <c r="AL206" s="34">
        <f t="shared" si="202"/>
        <v>0</v>
      </c>
      <c r="AM206" s="34">
        <f t="shared" si="203"/>
        <v>0</v>
      </c>
      <c r="AN206" s="34">
        <f t="shared" si="204"/>
        <v>0</v>
      </c>
      <c r="AO206" s="34">
        <f t="shared" si="205"/>
        <v>0</v>
      </c>
      <c r="AP206" s="34">
        <f t="shared" si="206"/>
        <v>0</v>
      </c>
      <c r="AQ206" s="34">
        <f t="shared" si="207"/>
        <v>0</v>
      </c>
      <c r="AR206" s="34">
        <f t="shared" si="208"/>
        <v>0</v>
      </c>
      <c r="AS206" s="30">
        <f t="shared" si="209"/>
        <v>1.1823420222205514</v>
      </c>
      <c r="AT206" s="29">
        <f t="shared" si="210"/>
        <v>0</v>
      </c>
      <c r="AU206" s="29">
        <f t="shared" si="211"/>
        <v>0</v>
      </c>
      <c r="AV206" s="34">
        <f t="shared" si="212"/>
        <v>0</v>
      </c>
      <c r="AW206" s="34">
        <f t="shared" si="213"/>
        <v>0</v>
      </c>
      <c r="AX206" s="29">
        <f t="shared" si="214"/>
        <v>0</v>
      </c>
      <c r="AY206" s="34">
        <f t="shared" si="215"/>
        <v>0</v>
      </c>
      <c r="AZ206" s="37">
        <f t="shared" si="216"/>
        <v>0</v>
      </c>
      <c r="BA206" s="37">
        <f t="shared" si="217"/>
        <v>0</v>
      </c>
      <c r="BB206" s="35">
        <f t="shared" si="218"/>
        <v>1.1139826600861102E-3</v>
      </c>
      <c r="BC206" s="31">
        <f t="shared" si="219"/>
        <v>0.79859667040832116</v>
      </c>
      <c r="BD206" s="34">
        <f t="shared" si="220"/>
        <v>0</v>
      </c>
    </row>
    <row r="207" spans="1:56" x14ac:dyDescent="0.2">
      <c r="A207" s="27">
        <f t="shared" si="221"/>
        <v>203</v>
      </c>
      <c r="B207" s="28">
        <f t="shared" si="168"/>
        <v>203</v>
      </c>
      <c r="C207" s="27">
        <f t="shared" si="169"/>
        <v>16</v>
      </c>
      <c r="D207" s="28">
        <f t="shared" si="170"/>
        <v>36</v>
      </c>
      <c r="E207" s="29">
        <f t="shared" si="171"/>
        <v>0</v>
      </c>
      <c r="F207" s="30">
        <f t="shared" si="172"/>
        <v>6.2535166728813838E-4</v>
      </c>
      <c r="G207" s="31">
        <f t="shared" si="173"/>
        <v>5.2127581410266188E-5</v>
      </c>
      <c r="H207" s="32">
        <f t="shared" si="174"/>
        <v>0.02</v>
      </c>
      <c r="I207" s="32">
        <f t="shared" si="175"/>
        <v>0</v>
      </c>
      <c r="J207" s="33">
        <f t="shared" si="222"/>
        <v>0</v>
      </c>
      <c r="K207" s="30">
        <f t="shared" si="176"/>
        <v>0</v>
      </c>
      <c r="L207" s="33">
        <f t="shared" si="177"/>
        <v>0</v>
      </c>
      <c r="M207" s="30">
        <f t="shared" si="178"/>
        <v>0</v>
      </c>
      <c r="N207" s="33">
        <f t="shared" si="179"/>
        <v>0</v>
      </c>
      <c r="O207" s="31">
        <f t="shared" si="180"/>
        <v>0</v>
      </c>
      <c r="P207" s="33">
        <f t="shared" si="181"/>
        <v>0</v>
      </c>
      <c r="Q207" s="34">
        <f t="shared" si="223"/>
        <v>553655.03941649874</v>
      </c>
      <c r="R207" s="29">
        <f t="shared" si="182"/>
        <v>0</v>
      </c>
      <c r="S207" s="34">
        <f t="shared" si="183"/>
        <v>553655.03941649874</v>
      </c>
      <c r="T207" s="29">
        <f t="shared" si="184"/>
        <v>461.37919951374897</v>
      </c>
      <c r="U207" s="29">
        <f t="shared" si="185"/>
        <v>0</v>
      </c>
      <c r="V207" s="35">
        <f t="shared" si="186"/>
        <v>5.7340339551292814E-5</v>
      </c>
      <c r="W207" s="34">
        <f t="shared" si="187"/>
        <v>0</v>
      </c>
      <c r="X207" s="34">
        <f t="shared" si="188"/>
        <v>553193.66021698504</v>
      </c>
      <c r="Y207" s="36">
        <f t="shared" si="189"/>
        <v>1.2933865787352339E-3</v>
      </c>
      <c r="Z207" s="34">
        <f t="shared" si="190"/>
        <v>715.49325556606777</v>
      </c>
      <c r="AA207" s="34">
        <f t="shared" si="191"/>
        <v>553551.40684476809</v>
      </c>
      <c r="AB207" s="34">
        <f t="shared" si="192"/>
        <v>0</v>
      </c>
      <c r="AC207" s="34">
        <f t="shared" si="193"/>
        <v>0</v>
      </c>
      <c r="AD207" s="34">
        <f t="shared" si="194"/>
        <v>0</v>
      </c>
      <c r="AE207" s="34">
        <f t="shared" si="195"/>
        <v>0</v>
      </c>
      <c r="AF207" s="34">
        <f t="shared" si="196"/>
        <v>0</v>
      </c>
      <c r="AG207" s="29">
        <f t="shared" si="197"/>
        <v>553551.40684476809</v>
      </c>
      <c r="AH207" s="34">
        <f t="shared" si="198"/>
        <v>0</v>
      </c>
      <c r="AI207" s="34">
        <f t="shared" si="199"/>
        <v>0</v>
      </c>
      <c r="AJ207" s="34">
        <f t="shared" si="200"/>
        <v>0</v>
      </c>
      <c r="AK207" s="34">
        <f t="shared" si="201"/>
        <v>0</v>
      </c>
      <c r="AL207" s="34">
        <f t="shared" si="202"/>
        <v>0</v>
      </c>
      <c r="AM207" s="34">
        <f t="shared" si="203"/>
        <v>0</v>
      </c>
      <c r="AN207" s="34">
        <f t="shared" si="204"/>
        <v>0</v>
      </c>
      <c r="AO207" s="34">
        <f t="shared" si="205"/>
        <v>0</v>
      </c>
      <c r="AP207" s="34">
        <f t="shared" si="206"/>
        <v>0</v>
      </c>
      <c r="AQ207" s="34">
        <f t="shared" si="207"/>
        <v>0</v>
      </c>
      <c r="AR207" s="34">
        <f t="shared" si="208"/>
        <v>0</v>
      </c>
      <c r="AS207" s="30">
        <f t="shared" si="209"/>
        <v>1.1833228199921766</v>
      </c>
      <c r="AT207" s="29">
        <f t="shared" si="210"/>
        <v>0</v>
      </c>
      <c r="AU207" s="29">
        <f t="shared" si="211"/>
        <v>0</v>
      </c>
      <c r="AV207" s="34">
        <f t="shared" si="212"/>
        <v>0</v>
      </c>
      <c r="AW207" s="34">
        <f t="shared" si="213"/>
        <v>0</v>
      </c>
      <c r="AX207" s="29">
        <f t="shared" si="214"/>
        <v>0</v>
      </c>
      <c r="AY207" s="34">
        <f t="shared" si="215"/>
        <v>0</v>
      </c>
      <c r="AZ207" s="37">
        <f t="shared" si="216"/>
        <v>0</v>
      </c>
      <c r="BA207" s="37">
        <f t="shared" si="217"/>
        <v>0</v>
      </c>
      <c r="BB207" s="35">
        <f t="shared" si="218"/>
        <v>1.1139826600861102E-3</v>
      </c>
      <c r="BC207" s="31">
        <f t="shared" si="219"/>
        <v>0.79770803748674945</v>
      </c>
      <c r="BD207" s="34">
        <f t="shared" si="220"/>
        <v>0</v>
      </c>
    </row>
    <row r="208" spans="1:56" x14ac:dyDescent="0.2">
      <c r="A208" s="27">
        <f t="shared" si="221"/>
        <v>204</v>
      </c>
      <c r="B208" s="28">
        <f t="shared" si="168"/>
        <v>204</v>
      </c>
      <c r="C208" s="27">
        <f t="shared" si="169"/>
        <v>17</v>
      </c>
      <c r="D208" s="28">
        <f t="shared" si="170"/>
        <v>37</v>
      </c>
      <c r="E208" s="29">
        <f t="shared" si="171"/>
        <v>0</v>
      </c>
      <c r="F208" s="30">
        <f t="shared" si="172"/>
        <v>6.5166788367360053E-4</v>
      </c>
      <c r="G208" s="31">
        <f t="shared" si="173"/>
        <v>5.4321883803165605E-5</v>
      </c>
      <c r="H208" s="32">
        <f t="shared" si="174"/>
        <v>0.02</v>
      </c>
      <c r="I208" s="32">
        <f t="shared" si="175"/>
        <v>0</v>
      </c>
      <c r="J208" s="33">
        <f t="shared" si="222"/>
        <v>0</v>
      </c>
      <c r="K208" s="30">
        <f t="shared" si="176"/>
        <v>0</v>
      </c>
      <c r="L208" s="33">
        <f t="shared" si="177"/>
        <v>0</v>
      </c>
      <c r="M208" s="30">
        <f t="shared" si="178"/>
        <v>0</v>
      </c>
      <c r="N208" s="33">
        <f t="shared" si="179"/>
        <v>0</v>
      </c>
      <c r="O208" s="31">
        <f t="shared" si="180"/>
        <v>0</v>
      </c>
      <c r="P208" s="33">
        <f t="shared" si="181"/>
        <v>0</v>
      </c>
      <c r="Q208" s="34">
        <f t="shared" si="223"/>
        <v>553909.15347255114</v>
      </c>
      <c r="R208" s="29">
        <f t="shared" si="182"/>
        <v>0</v>
      </c>
      <c r="S208" s="34">
        <f t="shared" si="183"/>
        <v>553909.15347255114</v>
      </c>
      <c r="T208" s="29">
        <f t="shared" si="184"/>
        <v>461.590961227126</v>
      </c>
      <c r="U208" s="29">
        <f t="shared" si="185"/>
        <v>0</v>
      </c>
      <c r="V208" s="35">
        <f t="shared" si="186"/>
        <v>5.9754072183482171E-5</v>
      </c>
      <c r="W208" s="34">
        <f t="shared" si="187"/>
        <v>0</v>
      </c>
      <c r="X208" s="34">
        <f t="shared" si="188"/>
        <v>553447.56251132407</v>
      </c>
      <c r="Y208" s="36">
        <f t="shared" si="189"/>
        <v>9.8204108920261213E-3</v>
      </c>
      <c r="Z208" s="34">
        <f t="shared" si="190"/>
        <v>5435.0824710515144</v>
      </c>
      <c r="AA208" s="34">
        <f t="shared" si="191"/>
        <v>556165.10374684981</v>
      </c>
      <c r="AB208" s="34">
        <f t="shared" si="192"/>
        <v>0</v>
      </c>
      <c r="AC208" s="34">
        <f t="shared" si="193"/>
        <v>0</v>
      </c>
      <c r="AD208" s="34">
        <f t="shared" si="194"/>
        <v>0</v>
      </c>
      <c r="AE208" s="34">
        <f t="shared" si="195"/>
        <v>0</v>
      </c>
      <c r="AF208" s="34">
        <f t="shared" si="196"/>
        <v>0</v>
      </c>
      <c r="AG208" s="29">
        <f t="shared" si="197"/>
        <v>556165.10374684981</v>
      </c>
      <c r="AH208" s="34">
        <f t="shared" si="198"/>
        <v>0</v>
      </c>
      <c r="AI208" s="34">
        <f t="shared" si="199"/>
        <v>0</v>
      </c>
      <c r="AJ208" s="34">
        <f t="shared" si="200"/>
        <v>0</v>
      </c>
      <c r="AK208" s="34">
        <f t="shared" si="201"/>
        <v>0</v>
      </c>
      <c r="AL208" s="34">
        <f t="shared" si="202"/>
        <v>0</v>
      </c>
      <c r="AM208" s="34">
        <f t="shared" si="203"/>
        <v>0</v>
      </c>
      <c r="AN208" s="34">
        <f t="shared" si="204"/>
        <v>0</v>
      </c>
      <c r="AO208" s="34">
        <f t="shared" si="205"/>
        <v>0</v>
      </c>
      <c r="AP208" s="34">
        <f t="shared" si="206"/>
        <v>0</v>
      </c>
      <c r="AQ208" s="34">
        <f t="shared" si="207"/>
        <v>0</v>
      </c>
      <c r="AR208" s="34">
        <f t="shared" si="208"/>
        <v>0</v>
      </c>
      <c r="AS208" s="30">
        <f t="shared" si="209"/>
        <v>1.1843044313729358</v>
      </c>
      <c r="AT208" s="29">
        <f t="shared" si="210"/>
        <v>0</v>
      </c>
      <c r="AU208" s="29">
        <f t="shared" si="211"/>
        <v>0</v>
      </c>
      <c r="AV208" s="34">
        <f t="shared" si="212"/>
        <v>0</v>
      </c>
      <c r="AW208" s="34">
        <f t="shared" si="213"/>
        <v>0</v>
      </c>
      <c r="AX208" s="29">
        <f t="shared" si="214"/>
        <v>0</v>
      </c>
      <c r="AY208" s="34">
        <f t="shared" si="215"/>
        <v>0</v>
      </c>
      <c r="AZ208" s="37">
        <f t="shared" si="216"/>
        <v>0</v>
      </c>
      <c r="BA208" s="37">
        <f t="shared" si="217"/>
        <v>0</v>
      </c>
      <c r="BB208" s="35">
        <f t="shared" si="218"/>
        <v>1.1246834977218789E-3</v>
      </c>
      <c r="BC208" s="31">
        <f t="shared" si="219"/>
        <v>0.79508479545227972</v>
      </c>
      <c r="BD208" s="34">
        <f t="shared" si="220"/>
        <v>0</v>
      </c>
    </row>
    <row r="209" spans="1:56" x14ac:dyDescent="0.2">
      <c r="A209" s="27">
        <f t="shared" si="221"/>
        <v>205</v>
      </c>
      <c r="B209" s="28">
        <f t="shared" si="168"/>
        <v>205</v>
      </c>
      <c r="C209" s="27">
        <f t="shared" si="169"/>
        <v>17</v>
      </c>
      <c r="D209" s="28">
        <f t="shared" si="170"/>
        <v>37</v>
      </c>
      <c r="E209" s="29">
        <f t="shared" si="171"/>
        <v>0</v>
      </c>
      <c r="F209" s="30">
        <f t="shared" si="172"/>
        <v>6.5166788367360053E-4</v>
      </c>
      <c r="G209" s="31">
        <f t="shared" si="173"/>
        <v>5.4321883803165605E-5</v>
      </c>
      <c r="H209" s="32">
        <f t="shared" si="174"/>
        <v>0.02</v>
      </c>
      <c r="I209" s="32">
        <f t="shared" si="175"/>
        <v>0</v>
      </c>
      <c r="J209" s="33">
        <f t="shared" si="222"/>
        <v>0</v>
      </c>
      <c r="K209" s="30">
        <f t="shared" si="176"/>
        <v>0</v>
      </c>
      <c r="L209" s="33">
        <f t="shared" si="177"/>
        <v>0</v>
      </c>
      <c r="M209" s="30">
        <f t="shared" si="178"/>
        <v>0</v>
      </c>
      <c r="N209" s="33">
        <f t="shared" si="179"/>
        <v>0</v>
      </c>
      <c r="O209" s="31">
        <f t="shared" si="180"/>
        <v>0</v>
      </c>
      <c r="P209" s="33">
        <f t="shared" si="181"/>
        <v>0</v>
      </c>
      <c r="Q209" s="34">
        <f t="shared" si="223"/>
        <v>558882.64498237555</v>
      </c>
      <c r="R209" s="29">
        <f t="shared" si="182"/>
        <v>0</v>
      </c>
      <c r="S209" s="34">
        <f t="shared" si="183"/>
        <v>558882.64498237555</v>
      </c>
      <c r="T209" s="29">
        <f t="shared" si="184"/>
        <v>465.73553748531299</v>
      </c>
      <c r="U209" s="29">
        <f t="shared" si="185"/>
        <v>0</v>
      </c>
      <c r="V209" s="35">
        <f t="shared" si="186"/>
        <v>5.9754072183482171E-5</v>
      </c>
      <c r="W209" s="34">
        <f t="shared" si="187"/>
        <v>0</v>
      </c>
      <c r="X209" s="34">
        <f t="shared" si="188"/>
        <v>558416.90944489022</v>
      </c>
      <c r="Y209" s="36">
        <f t="shared" si="189"/>
        <v>-7.4556852265624807E-3</v>
      </c>
      <c r="Z209" s="34">
        <f t="shared" si="190"/>
        <v>-4163.3807020109462</v>
      </c>
      <c r="AA209" s="34">
        <f t="shared" si="191"/>
        <v>556335.21909388469</v>
      </c>
      <c r="AB209" s="34">
        <f t="shared" si="192"/>
        <v>0</v>
      </c>
      <c r="AC209" s="34">
        <f t="shared" si="193"/>
        <v>0</v>
      </c>
      <c r="AD209" s="34">
        <f t="shared" si="194"/>
        <v>0</v>
      </c>
      <c r="AE209" s="34">
        <f t="shared" si="195"/>
        <v>0</v>
      </c>
      <c r="AF209" s="34">
        <f t="shared" si="196"/>
        <v>0</v>
      </c>
      <c r="AG209" s="29">
        <f t="shared" si="197"/>
        <v>556335.21909388469</v>
      </c>
      <c r="AH209" s="34">
        <f t="shared" si="198"/>
        <v>0</v>
      </c>
      <c r="AI209" s="34">
        <f t="shared" si="199"/>
        <v>0</v>
      </c>
      <c r="AJ209" s="34">
        <f t="shared" si="200"/>
        <v>0</v>
      </c>
      <c r="AK209" s="34">
        <f t="shared" si="201"/>
        <v>0</v>
      </c>
      <c r="AL209" s="34">
        <f t="shared" si="202"/>
        <v>0</v>
      </c>
      <c r="AM209" s="34">
        <f t="shared" si="203"/>
        <v>0</v>
      </c>
      <c r="AN209" s="34">
        <f t="shared" si="204"/>
        <v>0</v>
      </c>
      <c r="AO209" s="34">
        <f t="shared" si="205"/>
        <v>0</v>
      </c>
      <c r="AP209" s="34">
        <f t="shared" si="206"/>
        <v>0</v>
      </c>
      <c r="AQ209" s="34">
        <f t="shared" si="207"/>
        <v>0</v>
      </c>
      <c r="AR209" s="34">
        <f t="shared" si="208"/>
        <v>0</v>
      </c>
      <c r="AS209" s="30">
        <f t="shared" si="209"/>
        <v>1.1852868570377486</v>
      </c>
      <c r="AT209" s="29">
        <f t="shared" si="210"/>
        <v>0</v>
      </c>
      <c r="AU209" s="29">
        <f t="shared" si="211"/>
        <v>0</v>
      </c>
      <c r="AV209" s="34">
        <f t="shared" si="212"/>
        <v>0</v>
      </c>
      <c r="AW209" s="34">
        <f t="shared" si="213"/>
        <v>0</v>
      </c>
      <c r="AX209" s="29">
        <f t="shared" si="214"/>
        <v>0</v>
      </c>
      <c r="AY209" s="34">
        <f t="shared" si="215"/>
        <v>0</v>
      </c>
      <c r="AZ209" s="37">
        <f t="shared" si="216"/>
        <v>0</v>
      </c>
      <c r="BA209" s="37">
        <f t="shared" si="217"/>
        <v>0</v>
      </c>
      <c r="BB209" s="35">
        <f t="shared" si="218"/>
        <v>1.1246834977218789E-3</v>
      </c>
      <c r="BC209" s="31">
        <f t="shared" si="219"/>
        <v>0.79419158128677692</v>
      </c>
      <c r="BD209" s="34">
        <f t="shared" si="220"/>
        <v>0</v>
      </c>
    </row>
    <row r="210" spans="1:56" x14ac:dyDescent="0.2">
      <c r="A210" s="27">
        <f t="shared" si="221"/>
        <v>206</v>
      </c>
      <c r="B210" s="28">
        <f t="shared" si="168"/>
        <v>206</v>
      </c>
      <c r="C210" s="27">
        <f t="shared" si="169"/>
        <v>17</v>
      </c>
      <c r="D210" s="28">
        <f t="shared" si="170"/>
        <v>37</v>
      </c>
      <c r="E210" s="29">
        <f t="shared" si="171"/>
        <v>0</v>
      </c>
      <c r="F210" s="30">
        <f t="shared" si="172"/>
        <v>6.5166788367360053E-4</v>
      </c>
      <c r="G210" s="31">
        <f t="shared" si="173"/>
        <v>5.4321883803165605E-5</v>
      </c>
      <c r="H210" s="32">
        <f t="shared" si="174"/>
        <v>0.02</v>
      </c>
      <c r="I210" s="32">
        <f t="shared" si="175"/>
        <v>0</v>
      </c>
      <c r="J210" s="33">
        <f t="shared" si="222"/>
        <v>0</v>
      </c>
      <c r="K210" s="30">
        <f t="shared" si="176"/>
        <v>0</v>
      </c>
      <c r="L210" s="33">
        <f t="shared" si="177"/>
        <v>0</v>
      </c>
      <c r="M210" s="30">
        <f t="shared" si="178"/>
        <v>0</v>
      </c>
      <c r="N210" s="33">
        <f t="shared" si="179"/>
        <v>0</v>
      </c>
      <c r="O210" s="31">
        <f t="shared" si="180"/>
        <v>0</v>
      </c>
      <c r="P210" s="33">
        <f t="shared" si="181"/>
        <v>0</v>
      </c>
      <c r="Q210" s="34">
        <f t="shared" si="223"/>
        <v>554253.52874287928</v>
      </c>
      <c r="R210" s="29">
        <f t="shared" si="182"/>
        <v>0</v>
      </c>
      <c r="S210" s="34">
        <f t="shared" si="183"/>
        <v>554253.52874287928</v>
      </c>
      <c r="T210" s="29">
        <f t="shared" si="184"/>
        <v>461.87794061906612</v>
      </c>
      <c r="U210" s="29">
        <f t="shared" si="185"/>
        <v>0</v>
      </c>
      <c r="V210" s="35">
        <f t="shared" si="186"/>
        <v>5.9754072183482171E-5</v>
      </c>
      <c r="W210" s="34">
        <f t="shared" si="187"/>
        <v>0</v>
      </c>
      <c r="X210" s="34">
        <f t="shared" si="188"/>
        <v>553791.65080226026</v>
      </c>
      <c r="Y210" s="36">
        <f t="shared" si="189"/>
        <v>1.3079924833228063E-2</v>
      </c>
      <c r="Z210" s="34">
        <f t="shared" si="190"/>
        <v>7243.553165762848</v>
      </c>
      <c r="AA210" s="34">
        <f t="shared" si="191"/>
        <v>557413.42738514172</v>
      </c>
      <c r="AB210" s="34">
        <f t="shared" si="192"/>
        <v>0</v>
      </c>
      <c r="AC210" s="34">
        <f t="shared" si="193"/>
        <v>0</v>
      </c>
      <c r="AD210" s="34">
        <f t="shared" si="194"/>
        <v>0</v>
      </c>
      <c r="AE210" s="34">
        <f t="shared" si="195"/>
        <v>0</v>
      </c>
      <c r="AF210" s="34">
        <f t="shared" si="196"/>
        <v>0</v>
      </c>
      <c r="AG210" s="29">
        <f t="shared" si="197"/>
        <v>557413.42738514172</v>
      </c>
      <c r="AH210" s="34">
        <f t="shared" si="198"/>
        <v>0</v>
      </c>
      <c r="AI210" s="34">
        <f t="shared" si="199"/>
        <v>0</v>
      </c>
      <c r="AJ210" s="34">
        <f t="shared" si="200"/>
        <v>0</v>
      </c>
      <c r="AK210" s="34">
        <f t="shared" si="201"/>
        <v>0</v>
      </c>
      <c r="AL210" s="34">
        <f t="shared" si="202"/>
        <v>0</v>
      </c>
      <c r="AM210" s="34">
        <f t="shared" si="203"/>
        <v>0</v>
      </c>
      <c r="AN210" s="34">
        <f t="shared" si="204"/>
        <v>0</v>
      </c>
      <c r="AO210" s="34">
        <f t="shared" si="205"/>
        <v>0</v>
      </c>
      <c r="AP210" s="34">
        <f t="shared" si="206"/>
        <v>0</v>
      </c>
      <c r="AQ210" s="34">
        <f t="shared" si="207"/>
        <v>0</v>
      </c>
      <c r="AR210" s="34">
        <f t="shared" si="208"/>
        <v>0</v>
      </c>
      <c r="AS210" s="30">
        <f t="shared" si="209"/>
        <v>1.1862700976620952</v>
      </c>
      <c r="AT210" s="29">
        <f t="shared" si="210"/>
        <v>0</v>
      </c>
      <c r="AU210" s="29">
        <f t="shared" si="211"/>
        <v>0</v>
      </c>
      <c r="AV210" s="34">
        <f t="shared" si="212"/>
        <v>0</v>
      </c>
      <c r="AW210" s="34">
        <f t="shared" si="213"/>
        <v>0</v>
      </c>
      <c r="AX210" s="29">
        <f t="shared" si="214"/>
        <v>0</v>
      </c>
      <c r="AY210" s="34">
        <f t="shared" si="215"/>
        <v>0</v>
      </c>
      <c r="AZ210" s="37">
        <f t="shared" si="216"/>
        <v>0</v>
      </c>
      <c r="BA210" s="37">
        <f t="shared" si="217"/>
        <v>0</v>
      </c>
      <c r="BB210" s="35">
        <f t="shared" si="218"/>
        <v>1.1246834977218789E-3</v>
      </c>
      <c r="BC210" s="31">
        <f t="shared" si="219"/>
        <v>0.79329937057593702</v>
      </c>
      <c r="BD210" s="34">
        <f t="shared" si="220"/>
        <v>0</v>
      </c>
    </row>
    <row r="211" spans="1:56" x14ac:dyDescent="0.2">
      <c r="A211" s="27">
        <f t="shared" si="221"/>
        <v>207</v>
      </c>
      <c r="B211" s="28">
        <f t="shared" si="168"/>
        <v>207</v>
      </c>
      <c r="C211" s="27">
        <f t="shared" si="169"/>
        <v>17</v>
      </c>
      <c r="D211" s="28">
        <f t="shared" si="170"/>
        <v>37</v>
      </c>
      <c r="E211" s="29">
        <f t="shared" si="171"/>
        <v>0</v>
      </c>
      <c r="F211" s="30">
        <f t="shared" si="172"/>
        <v>6.5166788367360053E-4</v>
      </c>
      <c r="G211" s="31">
        <f t="shared" si="173"/>
        <v>5.4321883803165605E-5</v>
      </c>
      <c r="H211" s="32">
        <f t="shared" si="174"/>
        <v>0.02</v>
      </c>
      <c r="I211" s="32">
        <f t="shared" si="175"/>
        <v>0</v>
      </c>
      <c r="J211" s="33">
        <f t="shared" si="222"/>
        <v>0</v>
      </c>
      <c r="K211" s="30">
        <f t="shared" si="176"/>
        <v>0</v>
      </c>
      <c r="L211" s="33">
        <f t="shared" si="177"/>
        <v>0</v>
      </c>
      <c r="M211" s="30">
        <f t="shared" si="178"/>
        <v>0</v>
      </c>
      <c r="N211" s="33">
        <f t="shared" si="179"/>
        <v>0</v>
      </c>
      <c r="O211" s="31">
        <f t="shared" si="180"/>
        <v>0</v>
      </c>
      <c r="P211" s="33">
        <f t="shared" si="181"/>
        <v>0</v>
      </c>
      <c r="Q211" s="34">
        <f t="shared" si="223"/>
        <v>561035.20396802307</v>
      </c>
      <c r="R211" s="29">
        <f t="shared" si="182"/>
        <v>0</v>
      </c>
      <c r="S211" s="34">
        <f t="shared" si="183"/>
        <v>561035.20396802307</v>
      </c>
      <c r="T211" s="29">
        <f t="shared" si="184"/>
        <v>467.52933664001927</v>
      </c>
      <c r="U211" s="29">
        <f t="shared" si="185"/>
        <v>0</v>
      </c>
      <c r="V211" s="35">
        <f t="shared" si="186"/>
        <v>5.9754072183482171E-5</v>
      </c>
      <c r="W211" s="34">
        <f t="shared" si="187"/>
        <v>0</v>
      </c>
      <c r="X211" s="34">
        <f t="shared" si="188"/>
        <v>560567.67463138304</v>
      </c>
      <c r="Y211" s="36">
        <f t="shared" si="189"/>
        <v>-8.7155468917456957E-3</v>
      </c>
      <c r="Z211" s="34">
        <f t="shared" si="190"/>
        <v>-4885.6538542466633</v>
      </c>
      <c r="AA211" s="34">
        <f t="shared" si="191"/>
        <v>558124.84770425968</v>
      </c>
      <c r="AB211" s="34">
        <f t="shared" si="192"/>
        <v>0</v>
      </c>
      <c r="AC211" s="34">
        <f t="shared" si="193"/>
        <v>0</v>
      </c>
      <c r="AD211" s="34">
        <f t="shared" si="194"/>
        <v>0</v>
      </c>
      <c r="AE211" s="34">
        <f t="shared" si="195"/>
        <v>0</v>
      </c>
      <c r="AF211" s="34">
        <f t="shared" si="196"/>
        <v>0</v>
      </c>
      <c r="AG211" s="29">
        <f t="shared" si="197"/>
        <v>558124.84770425968</v>
      </c>
      <c r="AH211" s="34">
        <f t="shared" si="198"/>
        <v>0</v>
      </c>
      <c r="AI211" s="34">
        <f t="shared" si="199"/>
        <v>0</v>
      </c>
      <c r="AJ211" s="34">
        <f t="shared" si="200"/>
        <v>0</v>
      </c>
      <c r="AK211" s="34">
        <f t="shared" si="201"/>
        <v>0</v>
      </c>
      <c r="AL211" s="34">
        <f t="shared" si="202"/>
        <v>0</v>
      </c>
      <c r="AM211" s="34">
        <f t="shared" si="203"/>
        <v>0</v>
      </c>
      <c r="AN211" s="34">
        <f t="shared" si="204"/>
        <v>0</v>
      </c>
      <c r="AO211" s="34">
        <f t="shared" si="205"/>
        <v>0</v>
      </c>
      <c r="AP211" s="34">
        <f t="shared" si="206"/>
        <v>0</v>
      </c>
      <c r="AQ211" s="34">
        <f t="shared" si="207"/>
        <v>0</v>
      </c>
      <c r="AR211" s="34">
        <f t="shared" si="208"/>
        <v>0</v>
      </c>
      <c r="AS211" s="30">
        <f t="shared" si="209"/>
        <v>1.1872541539220152</v>
      </c>
      <c r="AT211" s="29">
        <f t="shared" si="210"/>
        <v>0</v>
      </c>
      <c r="AU211" s="29">
        <f t="shared" si="211"/>
        <v>0</v>
      </c>
      <c r="AV211" s="34">
        <f t="shared" si="212"/>
        <v>0</v>
      </c>
      <c r="AW211" s="34">
        <f t="shared" si="213"/>
        <v>0</v>
      </c>
      <c r="AX211" s="29">
        <f t="shared" si="214"/>
        <v>0</v>
      </c>
      <c r="AY211" s="34">
        <f t="shared" si="215"/>
        <v>0</v>
      </c>
      <c r="AZ211" s="37">
        <f t="shared" si="216"/>
        <v>0</v>
      </c>
      <c r="BA211" s="37">
        <f t="shared" si="217"/>
        <v>0</v>
      </c>
      <c r="BB211" s="35">
        <f t="shared" si="218"/>
        <v>1.1246834977218789E-3</v>
      </c>
      <c r="BC211" s="31">
        <f t="shared" si="219"/>
        <v>0.79240816219245902</v>
      </c>
      <c r="BD211" s="34">
        <f t="shared" si="220"/>
        <v>0</v>
      </c>
    </row>
    <row r="212" spans="1:56" x14ac:dyDescent="0.2">
      <c r="A212" s="27">
        <f t="shared" si="221"/>
        <v>208</v>
      </c>
      <c r="B212" s="28">
        <f t="shared" si="168"/>
        <v>208</v>
      </c>
      <c r="C212" s="27">
        <f t="shared" si="169"/>
        <v>17</v>
      </c>
      <c r="D212" s="28">
        <f t="shared" si="170"/>
        <v>37</v>
      </c>
      <c r="E212" s="29">
        <f t="shared" si="171"/>
        <v>0</v>
      </c>
      <c r="F212" s="30">
        <f t="shared" si="172"/>
        <v>6.5166788367360053E-4</v>
      </c>
      <c r="G212" s="31">
        <f t="shared" si="173"/>
        <v>5.4321883803165605E-5</v>
      </c>
      <c r="H212" s="32">
        <f t="shared" si="174"/>
        <v>0.02</v>
      </c>
      <c r="I212" s="32">
        <f t="shared" si="175"/>
        <v>0</v>
      </c>
      <c r="J212" s="33">
        <f t="shared" si="222"/>
        <v>0</v>
      </c>
      <c r="K212" s="30">
        <f t="shared" si="176"/>
        <v>0</v>
      </c>
      <c r="L212" s="33">
        <f t="shared" si="177"/>
        <v>0</v>
      </c>
      <c r="M212" s="30">
        <f t="shared" si="178"/>
        <v>0</v>
      </c>
      <c r="N212" s="33">
        <f t="shared" si="179"/>
        <v>0</v>
      </c>
      <c r="O212" s="31">
        <f t="shared" si="180"/>
        <v>0</v>
      </c>
      <c r="P212" s="33">
        <f t="shared" si="181"/>
        <v>0</v>
      </c>
      <c r="Q212" s="34">
        <f t="shared" si="223"/>
        <v>555682.02077713632</v>
      </c>
      <c r="R212" s="29">
        <f t="shared" si="182"/>
        <v>0</v>
      </c>
      <c r="S212" s="34">
        <f t="shared" si="183"/>
        <v>555682.02077713632</v>
      </c>
      <c r="T212" s="29">
        <f t="shared" si="184"/>
        <v>463.06835064761361</v>
      </c>
      <c r="U212" s="29">
        <f t="shared" si="185"/>
        <v>0</v>
      </c>
      <c r="V212" s="35">
        <f t="shared" si="186"/>
        <v>5.9754072183482171E-5</v>
      </c>
      <c r="W212" s="34">
        <f t="shared" si="187"/>
        <v>0</v>
      </c>
      <c r="X212" s="34">
        <f t="shared" si="188"/>
        <v>555218.95242648874</v>
      </c>
      <c r="Y212" s="36">
        <f t="shared" si="189"/>
        <v>1.3442030229653623E-2</v>
      </c>
      <c r="Z212" s="34">
        <f t="shared" si="190"/>
        <v>7463.2699425934788</v>
      </c>
      <c r="AA212" s="34">
        <f t="shared" si="191"/>
        <v>558950.58739778551</v>
      </c>
      <c r="AB212" s="34">
        <f t="shared" si="192"/>
        <v>0</v>
      </c>
      <c r="AC212" s="34">
        <f t="shared" si="193"/>
        <v>0</v>
      </c>
      <c r="AD212" s="34">
        <f t="shared" si="194"/>
        <v>0</v>
      </c>
      <c r="AE212" s="34">
        <f t="shared" si="195"/>
        <v>0</v>
      </c>
      <c r="AF212" s="34">
        <f t="shared" si="196"/>
        <v>0</v>
      </c>
      <c r="AG212" s="29">
        <f t="shared" si="197"/>
        <v>558950.58739778551</v>
      </c>
      <c r="AH212" s="34">
        <f t="shared" si="198"/>
        <v>0</v>
      </c>
      <c r="AI212" s="34">
        <f t="shared" si="199"/>
        <v>0</v>
      </c>
      <c r="AJ212" s="34">
        <f t="shared" si="200"/>
        <v>0</v>
      </c>
      <c r="AK212" s="34">
        <f t="shared" si="201"/>
        <v>0</v>
      </c>
      <c r="AL212" s="34">
        <f t="shared" si="202"/>
        <v>0</v>
      </c>
      <c r="AM212" s="34">
        <f t="shared" si="203"/>
        <v>0</v>
      </c>
      <c r="AN212" s="34">
        <f t="shared" si="204"/>
        <v>0</v>
      </c>
      <c r="AO212" s="34">
        <f t="shared" si="205"/>
        <v>0</v>
      </c>
      <c r="AP212" s="34">
        <f t="shared" si="206"/>
        <v>0</v>
      </c>
      <c r="AQ212" s="34">
        <f t="shared" si="207"/>
        <v>0</v>
      </c>
      <c r="AR212" s="34">
        <f t="shared" si="208"/>
        <v>0</v>
      </c>
      <c r="AS212" s="30">
        <f t="shared" si="209"/>
        <v>1.1882390264941092</v>
      </c>
      <c r="AT212" s="29">
        <f t="shared" si="210"/>
        <v>0</v>
      </c>
      <c r="AU212" s="29">
        <f t="shared" si="211"/>
        <v>0</v>
      </c>
      <c r="AV212" s="34">
        <f t="shared" si="212"/>
        <v>0</v>
      </c>
      <c r="AW212" s="34">
        <f t="shared" si="213"/>
        <v>0</v>
      </c>
      <c r="AX212" s="29">
        <f t="shared" si="214"/>
        <v>0</v>
      </c>
      <c r="AY212" s="34">
        <f t="shared" si="215"/>
        <v>0</v>
      </c>
      <c r="AZ212" s="37">
        <f t="shared" si="216"/>
        <v>0</v>
      </c>
      <c r="BA212" s="37">
        <f t="shared" si="217"/>
        <v>0</v>
      </c>
      <c r="BB212" s="35">
        <f t="shared" si="218"/>
        <v>1.1246834977218789E-3</v>
      </c>
      <c r="BC212" s="31">
        <f t="shared" si="219"/>
        <v>0.79151795501030831</v>
      </c>
      <c r="BD212" s="34">
        <f t="shared" si="220"/>
        <v>0</v>
      </c>
    </row>
    <row r="213" spans="1:56" x14ac:dyDescent="0.2">
      <c r="A213" s="27">
        <f t="shared" si="221"/>
        <v>209</v>
      </c>
      <c r="B213" s="28">
        <f t="shared" si="168"/>
        <v>209</v>
      </c>
      <c r="C213" s="27">
        <f t="shared" si="169"/>
        <v>17</v>
      </c>
      <c r="D213" s="28">
        <f t="shared" si="170"/>
        <v>37</v>
      </c>
      <c r="E213" s="29">
        <f t="shared" si="171"/>
        <v>0</v>
      </c>
      <c r="F213" s="30">
        <f t="shared" si="172"/>
        <v>6.5166788367360053E-4</v>
      </c>
      <c r="G213" s="31">
        <f t="shared" si="173"/>
        <v>5.4321883803165605E-5</v>
      </c>
      <c r="H213" s="32">
        <f t="shared" si="174"/>
        <v>0.02</v>
      </c>
      <c r="I213" s="32">
        <f t="shared" si="175"/>
        <v>0</v>
      </c>
      <c r="J213" s="33">
        <f t="shared" si="222"/>
        <v>0</v>
      </c>
      <c r="K213" s="30">
        <f t="shared" si="176"/>
        <v>0</v>
      </c>
      <c r="L213" s="33">
        <f t="shared" si="177"/>
        <v>0</v>
      </c>
      <c r="M213" s="30">
        <f t="shared" si="178"/>
        <v>0</v>
      </c>
      <c r="N213" s="33">
        <f t="shared" si="179"/>
        <v>0</v>
      </c>
      <c r="O213" s="31">
        <f t="shared" si="180"/>
        <v>0</v>
      </c>
      <c r="P213" s="33">
        <f t="shared" si="181"/>
        <v>0</v>
      </c>
      <c r="Q213" s="34">
        <f t="shared" si="223"/>
        <v>562682.22236908227</v>
      </c>
      <c r="R213" s="29">
        <f t="shared" si="182"/>
        <v>0</v>
      </c>
      <c r="S213" s="34">
        <f t="shared" si="183"/>
        <v>562682.22236908227</v>
      </c>
      <c r="T213" s="29">
        <f t="shared" si="184"/>
        <v>468.90185197423529</v>
      </c>
      <c r="U213" s="29">
        <f t="shared" si="185"/>
        <v>0</v>
      </c>
      <c r="V213" s="35">
        <f t="shared" si="186"/>
        <v>5.9754072183482171E-5</v>
      </c>
      <c r="W213" s="34">
        <f t="shared" si="187"/>
        <v>0</v>
      </c>
      <c r="X213" s="34">
        <f t="shared" si="188"/>
        <v>562213.32051710808</v>
      </c>
      <c r="Y213" s="36">
        <f t="shared" si="189"/>
        <v>1.4578389887599963E-2</v>
      </c>
      <c r="Z213" s="34">
        <f t="shared" si="190"/>
        <v>8196.1649865006057</v>
      </c>
      <c r="AA213" s="34">
        <f t="shared" si="191"/>
        <v>566311.40301035834</v>
      </c>
      <c r="AB213" s="34">
        <f t="shared" si="192"/>
        <v>0</v>
      </c>
      <c r="AC213" s="34">
        <f t="shared" si="193"/>
        <v>0</v>
      </c>
      <c r="AD213" s="34">
        <f t="shared" si="194"/>
        <v>0</v>
      </c>
      <c r="AE213" s="34">
        <f t="shared" si="195"/>
        <v>0</v>
      </c>
      <c r="AF213" s="34">
        <f t="shared" si="196"/>
        <v>0</v>
      </c>
      <c r="AG213" s="29">
        <f t="shared" si="197"/>
        <v>566311.40301035834</v>
      </c>
      <c r="AH213" s="34">
        <f t="shared" si="198"/>
        <v>0</v>
      </c>
      <c r="AI213" s="34">
        <f t="shared" si="199"/>
        <v>0</v>
      </c>
      <c r="AJ213" s="34">
        <f t="shared" si="200"/>
        <v>0</v>
      </c>
      <c r="AK213" s="34">
        <f t="shared" si="201"/>
        <v>0</v>
      </c>
      <c r="AL213" s="34">
        <f t="shared" si="202"/>
        <v>0</v>
      </c>
      <c r="AM213" s="34">
        <f t="shared" si="203"/>
        <v>0</v>
      </c>
      <c r="AN213" s="34">
        <f t="shared" si="204"/>
        <v>0</v>
      </c>
      <c r="AO213" s="34">
        <f t="shared" si="205"/>
        <v>0</v>
      </c>
      <c r="AP213" s="34">
        <f t="shared" si="206"/>
        <v>0</v>
      </c>
      <c r="AQ213" s="34">
        <f t="shared" si="207"/>
        <v>0</v>
      </c>
      <c r="AR213" s="34">
        <f t="shared" si="208"/>
        <v>0</v>
      </c>
      <c r="AS213" s="30">
        <f t="shared" si="209"/>
        <v>1.1892247160555398</v>
      </c>
      <c r="AT213" s="29">
        <f t="shared" si="210"/>
        <v>0</v>
      </c>
      <c r="AU213" s="29">
        <f t="shared" si="211"/>
        <v>0</v>
      </c>
      <c r="AV213" s="34">
        <f t="shared" si="212"/>
        <v>0</v>
      </c>
      <c r="AW213" s="34">
        <f t="shared" si="213"/>
        <v>0</v>
      </c>
      <c r="AX213" s="29">
        <f t="shared" si="214"/>
        <v>0</v>
      </c>
      <c r="AY213" s="34">
        <f t="shared" si="215"/>
        <v>0</v>
      </c>
      <c r="AZ213" s="37">
        <f t="shared" si="216"/>
        <v>0</v>
      </c>
      <c r="BA213" s="37">
        <f t="shared" si="217"/>
        <v>0</v>
      </c>
      <c r="BB213" s="35">
        <f t="shared" si="218"/>
        <v>1.1246834977218789E-3</v>
      </c>
      <c r="BC213" s="31">
        <f t="shared" si="219"/>
        <v>0.79062874790471527</v>
      </c>
      <c r="BD213" s="34">
        <f t="shared" si="220"/>
        <v>0</v>
      </c>
    </row>
    <row r="214" spans="1:56" x14ac:dyDescent="0.2">
      <c r="A214" s="27">
        <f t="shared" si="221"/>
        <v>210</v>
      </c>
      <c r="B214" s="28">
        <f t="shared" si="168"/>
        <v>210</v>
      </c>
      <c r="C214" s="27">
        <f t="shared" si="169"/>
        <v>17</v>
      </c>
      <c r="D214" s="28">
        <f t="shared" si="170"/>
        <v>37</v>
      </c>
      <c r="E214" s="29">
        <f t="shared" si="171"/>
        <v>0</v>
      </c>
      <c r="F214" s="30">
        <f t="shared" si="172"/>
        <v>6.5166788367360053E-4</v>
      </c>
      <c r="G214" s="31">
        <f t="shared" si="173"/>
        <v>5.4321883803165605E-5</v>
      </c>
      <c r="H214" s="32">
        <f t="shared" si="174"/>
        <v>0.02</v>
      </c>
      <c r="I214" s="32">
        <f t="shared" si="175"/>
        <v>0</v>
      </c>
      <c r="J214" s="33">
        <f t="shared" si="222"/>
        <v>0</v>
      </c>
      <c r="K214" s="30">
        <f t="shared" si="176"/>
        <v>0</v>
      </c>
      <c r="L214" s="33">
        <f t="shared" si="177"/>
        <v>0</v>
      </c>
      <c r="M214" s="30">
        <f t="shared" si="178"/>
        <v>0</v>
      </c>
      <c r="N214" s="33">
        <f t="shared" si="179"/>
        <v>0</v>
      </c>
      <c r="O214" s="31">
        <f t="shared" si="180"/>
        <v>0</v>
      </c>
      <c r="P214" s="33">
        <f t="shared" si="181"/>
        <v>0</v>
      </c>
      <c r="Q214" s="34">
        <f t="shared" si="223"/>
        <v>570409.48550360871</v>
      </c>
      <c r="R214" s="29">
        <f t="shared" si="182"/>
        <v>0</v>
      </c>
      <c r="S214" s="34">
        <f t="shared" si="183"/>
        <v>570409.48550360871</v>
      </c>
      <c r="T214" s="29">
        <f t="shared" si="184"/>
        <v>475.34123791967397</v>
      </c>
      <c r="U214" s="29">
        <f t="shared" si="185"/>
        <v>0</v>
      </c>
      <c r="V214" s="35">
        <f t="shared" si="186"/>
        <v>5.9754072183482171E-5</v>
      </c>
      <c r="W214" s="34">
        <f t="shared" si="187"/>
        <v>0</v>
      </c>
      <c r="X214" s="34">
        <f t="shared" si="188"/>
        <v>569934.14426568907</v>
      </c>
      <c r="Y214" s="36">
        <f t="shared" si="189"/>
        <v>7.1328499625704644E-3</v>
      </c>
      <c r="Z214" s="34">
        <f t="shared" si="190"/>
        <v>4065.2547395931501</v>
      </c>
      <c r="AA214" s="34">
        <f t="shared" si="191"/>
        <v>571966.7716354857</v>
      </c>
      <c r="AB214" s="34">
        <f t="shared" si="192"/>
        <v>0</v>
      </c>
      <c r="AC214" s="34">
        <f t="shared" si="193"/>
        <v>0</v>
      </c>
      <c r="AD214" s="34">
        <f t="shared" si="194"/>
        <v>0</v>
      </c>
      <c r="AE214" s="34">
        <f t="shared" si="195"/>
        <v>0</v>
      </c>
      <c r="AF214" s="34">
        <f t="shared" si="196"/>
        <v>0</v>
      </c>
      <c r="AG214" s="29">
        <f t="shared" si="197"/>
        <v>571966.7716354857</v>
      </c>
      <c r="AH214" s="34">
        <f t="shared" si="198"/>
        <v>0</v>
      </c>
      <c r="AI214" s="34">
        <f t="shared" si="199"/>
        <v>0</v>
      </c>
      <c r="AJ214" s="34">
        <f t="shared" si="200"/>
        <v>0</v>
      </c>
      <c r="AK214" s="34">
        <f t="shared" si="201"/>
        <v>0</v>
      </c>
      <c r="AL214" s="34">
        <f t="shared" si="202"/>
        <v>0</v>
      </c>
      <c r="AM214" s="34">
        <f t="shared" si="203"/>
        <v>0</v>
      </c>
      <c r="AN214" s="34">
        <f t="shared" si="204"/>
        <v>0</v>
      </c>
      <c r="AO214" s="34">
        <f t="shared" si="205"/>
        <v>0</v>
      </c>
      <c r="AP214" s="34">
        <f t="shared" si="206"/>
        <v>0</v>
      </c>
      <c r="AQ214" s="34">
        <f t="shared" si="207"/>
        <v>0</v>
      </c>
      <c r="AR214" s="34">
        <f t="shared" si="208"/>
        <v>0</v>
      </c>
      <c r="AS214" s="30">
        <f t="shared" si="209"/>
        <v>1.1902112232840305</v>
      </c>
      <c r="AT214" s="29">
        <f t="shared" si="210"/>
        <v>0</v>
      </c>
      <c r="AU214" s="29">
        <f t="shared" si="211"/>
        <v>0</v>
      </c>
      <c r="AV214" s="34">
        <f t="shared" si="212"/>
        <v>0</v>
      </c>
      <c r="AW214" s="34">
        <f t="shared" si="213"/>
        <v>0</v>
      </c>
      <c r="AX214" s="29">
        <f t="shared" si="214"/>
        <v>0</v>
      </c>
      <c r="AY214" s="34">
        <f t="shared" si="215"/>
        <v>0</v>
      </c>
      <c r="AZ214" s="37">
        <f t="shared" si="216"/>
        <v>0</v>
      </c>
      <c r="BA214" s="37">
        <f t="shared" si="217"/>
        <v>0</v>
      </c>
      <c r="BB214" s="35">
        <f t="shared" si="218"/>
        <v>1.1246834977218789E-3</v>
      </c>
      <c r="BC214" s="31">
        <f t="shared" si="219"/>
        <v>0.78974053975217418</v>
      </c>
      <c r="BD214" s="34">
        <f t="shared" si="220"/>
        <v>0</v>
      </c>
    </row>
    <row r="215" spans="1:56" x14ac:dyDescent="0.2">
      <c r="A215" s="27">
        <f t="shared" si="221"/>
        <v>211</v>
      </c>
      <c r="B215" s="28">
        <f t="shared" si="168"/>
        <v>211</v>
      </c>
      <c r="C215" s="27">
        <f t="shared" si="169"/>
        <v>17</v>
      </c>
      <c r="D215" s="28">
        <f t="shared" si="170"/>
        <v>37</v>
      </c>
      <c r="E215" s="29">
        <f t="shared" si="171"/>
        <v>0</v>
      </c>
      <c r="F215" s="30">
        <f t="shared" si="172"/>
        <v>6.5166788367360053E-4</v>
      </c>
      <c r="G215" s="31">
        <f t="shared" si="173"/>
        <v>5.4321883803165605E-5</v>
      </c>
      <c r="H215" s="32">
        <f t="shared" si="174"/>
        <v>0.02</v>
      </c>
      <c r="I215" s="32">
        <f t="shared" si="175"/>
        <v>0</v>
      </c>
      <c r="J215" s="33">
        <f t="shared" si="222"/>
        <v>0</v>
      </c>
      <c r="K215" s="30">
        <f t="shared" si="176"/>
        <v>0</v>
      </c>
      <c r="L215" s="33">
        <f t="shared" si="177"/>
        <v>0</v>
      </c>
      <c r="M215" s="30">
        <f t="shared" si="178"/>
        <v>0</v>
      </c>
      <c r="N215" s="33">
        <f t="shared" si="179"/>
        <v>0</v>
      </c>
      <c r="O215" s="31">
        <f t="shared" si="180"/>
        <v>0</v>
      </c>
      <c r="P215" s="33">
        <f t="shared" si="181"/>
        <v>0</v>
      </c>
      <c r="Q215" s="34">
        <f t="shared" si="223"/>
        <v>573999.3990052822</v>
      </c>
      <c r="R215" s="29">
        <f t="shared" si="182"/>
        <v>0</v>
      </c>
      <c r="S215" s="34">
        <f t="shared" si="183"/>
        <v>573999.3990052822</v>
      </c>
      <c r="T215" s="29">
        <f t="shared" si="184"/>
        <v>478.33283250440189</v>
      </c>
      <c r="U215" s="29">
        <f t="shared" si="185"/>
        <v>0</v>
      </c>
      <c r="V215" s="35">
        <f t="shared" si="186"/>
        <v>5.9754072183482171E-5</v>
      </c>
      <c r="W215" s="34">
        <f t="shared" si="187"/>
        <v>0</v>
      </c>
      <c r="X215" s="34">
        <f t="shared" si="188"/>
        <v>573521.06617277779</v>
      </c>
      <c r="Y215" s="36">
        <f t="shared" si="189"/>
        <v>1.7735933709690732E-2</v>
      </c>
      <c r="Z215" s="34">
        <f t="shared" si="190"/>
        <v>10171.931610751539</v>
      </c>
      <c r="AA215" s="34">
        <f t="shared" si="191"/>
        <v>578607.03197815351</v>
      </c>
      <c r="AB215" s="34">
        <f t="shared" si="192"/>
        <v>0</v>
      </c>
      <c r="AC215" s="34">
        <f t="shared" si="193"/>
        <v>0</v>
      </c>
      <c r="AD215" s="34">
        <f t="shared" si="194"/>
        <v>0</v>
      </c>
      <c r="AE215" s="34">
        <f t="shared" si="195"/>
        <v>0</v>
      </c>
      <c r="AF215" s="34">
        <f t="shared" si="196"/>
        <v>0</v>
      </c>
      <c r="AG215" s="29">
        <f t="shared" si="197"/>
        <v>578607.03197815351</v>
      </c>
      <c r="AH215" s="34">
        <f t="shared" si="198"/>
        <v>0</v>
      </c>
      <c r="AI215" s="34">
        <f t="shared" si="199"/>
        <v>0</v>
      </c>
      <c r="AJ215" s="34">
        <f t="shared" si="200"/>
        <v>0</v>
      </c>
      <c r="AK215" s="34">
        <f t="shared" si="201"/>
        <v>0</v>
      </c>
      <c r="AL215" s="34">
        <f t="shared" si="202"/>
        <v>0</v>
      </c>
      <c r="AM215" s="34">
        <f t="shared" si="203"/>
        <v>0</v>
      </c>
      <c r="AN215" s="34">
        <f t="shared" si="204"/>
        <v>0</v>
      </c>
      <c r="AO215" s="34">
        <f t="shared" si="205"/>
        <v>0</v>
      </c>
      <c r="AP215" s="34">
        <f t="shared" si="206"/>
        <v>0</v>
      </c>
      <c r="AQ215" s="34">
        <f t="shared" si="207"/>
        <v>0</v>
      </c>
      <c r="AR215" s="34">
        <f t="shared" si="208"/>
        <v>0</v>
      </c>
      <c r="AS215" s="30">
        <f t="shared" si="209"/>
        <v>1.1911985488578671</v>
      </c>
      <c r="AT215" s="29">
        <f t="shared" si="210"/>
        <v>0</v>
      </c>
      <c r="AU215" s="29">
        <f t="shared" si="211"/>
        <v>0</v>
      </c>
      <c r="AV215" s="34">
        <f t="shared" si="212"/>
        <v>0</v>
      </c>
      <c r="AW215" s="34">
        <f t="shared" si="213"/>
        <v>0</v>
      </c>
      <c r="AX215" s="29">
        <f t="shared" si="214"/>
        <v>0</v>
      </c>
      <c r="AY215" s="34">
        <f t="shared" si="215"/>
        <v>0</v>
      </c>
      <c r="AZ215" s="37">
        <f t="shared" si="216"/>
        <v>0</v>
      </c>
      <c r="BA215" s="37">
        <f t="shared" si="217"/>
        <v>0</v>
      </c>
      <c r="BB215" s="35">
        <f t="shared" si="218"/>
        <v>1.1246834977218789E-3</v>
      </c>
      <c r="BC215" s="31">
        <f t="shared" si="219"/>
        <v>0.78885332943044084</v>
      </c>
      <c r="BD215" s="34">
        <f t="shared" si="220"/>
        <v>0</v>
      </c>
    </row>
    <row r="216" spans="1:56" x14ac:dyDescent="0.2">
      <c r="A216" s="27">
        <f t="shared" si="221"/>
        <v>212</v>
      </c>
      <c r="B216" s="28">
        <f t="shared" si="168"/>
        <v>212</v>
      </c>
      <c r="C216" s="27">
        <f t="shared" si="169"/>
        <v>17</v>
      </c>
      <c r="D216" s="28">
        <f t="shared" si="170"/>
        <v>37</v>
      </c>
      <c r="E216" s="29">
        <f t="shared" si="171"/>
        <v>0</v>
      </c>
      <c r="F216" s="30">
        <f t="shared" si="172"/>
        <v>6.5166788367360053E-4</v>
      </c>
      <c r="G216" s="31">
        <f t="shared" si="173"/>
        <v>5.4321883803165605E-5</v>
      </c>
      <c r="H216" s="32">
        <f t="shared" si="174"/>
        <v>0.02</v>
      </c>
      <c r="I216" s="32">
        <f t="shared" si="175"/>
        <v>0</v>
      </c>
      <c r="J216" s="33">
        <f t="shared" si="222"/>
        <v>0</v>
      </c>
      <c r="K216" s="30">
        <f t="shared" si="176"/>
        <v>0</v>
      </c>
      <c r="L216" s="33">
        <f t="shared" si="177"/>
        <v>0</v>
      </c>
      <c r="M216" s="30">
        <f t="shared" si="178"/>
        <v>0</v>
      </c>
      <c r="N216" s="33">
        <f t="shared" si="179"/>
        <v>0</v>
      </c>
      <c r="O216" s="31">
        <f t="shared" si="180"/>
        <v>0</v>
      </c>
      <c r="P216" s="33">
        <f t="shared" si="181"/>
        <v>0</v>
      </c>
      <c r="Q216" s="34">
        <f t="shared" si="223"/>
        <v>583692.99778352934</v>
      </c>
      <c r="R216" s="29">
        <f t="shared" si="182"/>
        <v>0</v>
      </c>
      <c r="S216" s="34">
        <f t="shared" si="183"/>
        <v>583692.99778352934</v>
      </c>
      <c r="T216" s="29">
        <f t="shared" si="184"/>
        <v>486.4108314862745</v>
      </c>
      <c r="U216" s="29">
        <f t="shared" si="185"/>
        <v>0</v>
      </c>
      <c r="V216" s="35">
        <f t="shared" si="186"/>
        <v>5.9754072183482171E-5</v>
      </c>
      <c r="W216" s="34">
        <f t="shared" si="187"/>
        <v>0</v>
      </c>
      <c r="X216" s="34">
        <f t="shared" si="188"/>
        <v>583206.58695204312</v>
      </c>
      <c r="Y216" s="36">
        <f t="shared" si="189"/>
        <v>1.1486147866976104E-2</v>
      </c>
      <c r="Z216" s="34">
        <f t="shared" si="190"/>
        <v>6698.7970947256235</v>
      </c>
      <c r="AA216" s="34">
        <f t="shared" si="191"/>
        <v>586555.98549940588</v>
      </c>
      <c r="AB216" s="34">
        <f t="shared" si="192"/>
        <v>0</v>
      </c>
      <c r="AC216" s="34">
        <f t="shared" si="193"/>
        <v>0</v>
      </c>
      <c r="AD216" s="34">
        <f t="shared" si="194"/>
        <v>0</v>
      </c>
      <c r="AE216" s="34">
        <f t="shared" si="195"/>
        <v>0</v>
      </c>
      <c r="AF216" s="34">
        <f t="shared" si="196"/>
        <v>0</v>
      </c>
      <c r="AG216" s="29">
        <f t="shared" si="197"/>
        <v>586555.98549940588</v>
      </c>
      <c r="AH216" s="34">
        <f t="shared" si="198"/>
        <v>0</v>
      </c>
      <c r="AI216" s="34">
        <f t="shared" si="199"/>
        <v>0</v>
      </c>
      <c r="AJ216" s="34">
        <f t="shared" si="200"/>
        <v>0</v>
      </c>
      <c r="AK216" s="34">
        <f t="shared" si="201"/>
        <v>0</v>
      </c>
      <c r="AL216" s="34">
        <f t="shared" si="202"/>
        <v>0</v>
      </c>
      <c r="AM216" s="34">
        <f t="shared" si="203"/>
        <v>0</v>
      </c>
      <c r="AN216" s="34">
        <f t="shared" si="204"/>
        <v>0</v>
      </c>
      <c r="AO216" s="34">
        <f t="shared" si="205"/>
        <v>0</v>
      </c>
      <c r="AP216" s="34">
        <f t="shared" si="206"/>
        <v>0</v>
      </c>
      <c r="AQ216" s="34">
        <f t="shared" si="207"/>
        <v>0</v>
      </c>
      <c r="AR216" s="34">
        <f t="shared" si="208"/>
        <v>0</v>
      </c>
      <c r="AS216" s="30">
        <f t="shared" si="209"/>
        <v>1.1921866934558989</v>
      </c>
      <c r="AT216" s="29">
        <f t="shared" si="210"/>
        <v>0</v>
      </c>
      <c r="AU216" s="29">
        <f t="shared" si="211"/>
        <v>0</v>
      </c>
      <c r="AV216" s="34">
        <f t="shared" si="212"/>
        <v>0</v>
      </c>
      <c r="AW216" s="34">
        <f t="shared" si="213"/>
        <v>0</v>
      </c>
      <c r="AX216" s="29">
        <f t="shared" si="214"/>
        <v>0</v>
      </c>
      <c r="AY216" s="34">
        <f t="shared" si="215"/>
        <v>0</v>
      </c>
      <c r="AZ216" s="37">
        <f t="shared" si="216"/>
        <v>0</v>
      </c>
      <c r="BA216" s="37">
        <f t="shared" si="217"/>
        <v>0</v>
      </c>
      <c r="BB216" s="35">
        <f t="shared" si="218"/>
        <v>1.1246834977218789E-3</v>
      </c>
      <c r="BC216" s="31">
        <f t="shared" si="219"/>
        <v>0.78796711581853207</v>
      </c>
      <c r="BD216" s="34">
        <f t="shared" si="220"/>
        <v>0</v>
      </c>
    </row>
    <row r="217" spans="1:56" x14ac:dyDescent="0.2">
      <c r="A217" s="27">
        <f t="shared" si="221"/>
        <v>213</v>
      </c>
      <c r="B217" s="28">
        <f t="shared" si="168"/>
        <v>213</v>
      </c>
      <c r="C217" s="27">
        <f t="shared" si="169"/>
        <v>17</v>
      </c>
      <c r="D217" s="28">
        <f t="shared" si="170"/>
        <v>37</v>
      </c>
      <c r="E217" s="29">
        <f t="shared" si="171"/>
        <v>0</v>
      </c>
      <c r="F217" s="30">
        <f t="shared" si="172"/>
        <v>6.5166788367360053E-4</v>
      </c>
      <c r="G217" s="31">
        <f t="shared" si="173"/>
        <v>5.4321883803165605E-5</v>
      </c>
      <c r="H217" s="32">
        <f t="shared" si="174"/>
        <v>0.02</v>
      </c>
      <c r="I217" s="32">
        <f t="shared" si="175"/>
        <v>0</v>
      </c>
      <c r="J217" s="33">
        <f t="shared" si="222"/>
        <v>0</v>
      </c>
      <c r="K217" s="30">
        <f t="shared" si="176"/>
        <v>0</v>
      </c>
      <c r="L217" s="33">
        <f t="shared" si="177"/>
        <v>0</v>
      </c>
      <c r="M217" s="30">
        <f t="shared" si="178"/>
        <v>0</v>
      </c>
      <c r="N217" s="33">
        <f t="shared" si="179"/>
        <v>0</v>
      </c>
      <c r="O217" s="31">
        <f t="shared" si="180"/>
        <v>0</v>
      </c>
      <c r="P217" s="33">
        <f t="shared" si="181"/>
        <v>0</v>
      </c>
      <c r="Q217" s="34">
        <f t="shared" si="223"/>
        <v>589905.38404676877</v>
      </c>
      <c r="R217" s="29">
        <f t="shared" si="182"/>
        <v>0</v>
      </c>
      <c r="S217" s="34">
        <f t="shared" si="183"/>
        <v>589905.38404676877</v>
      </c>
      <c r="T217" s="29">
        <f t="shared" si="184"/>
        <v>491.58782003897403</v>
      </c>
      <c r="U217" s="29">
        <f t="shared" si="185"/>
        <v>0</v>
      </c>
      <c r="V217" s="35">
        <f t="shared" si="186"/>
        <v>5.9754072183482171E-5</v>
      </c>
      <c r="W217" s="34">
        <f t="shared" si="187"/>
        <v>0</v>
      </c>
      <c r="X217" s="34">
        <f t="shared" si="188"/>
        <v>589413.79622672976</v>
      </c>
      <c r="Y217" s="36">
        <f t="shared" si="189"/>
        <v>1.8965311207135294E-3</v>
      </c>
      <c r="Z217" s="34">
        <f t="shared" si="190"/>
        <v>1117.8416075218956</v>
      </c>
      <c r="AA217" s="34">
        <f t="shared" si="191"/>
        <v>589972.71703049075</v>
      </c>
      <c r="AB217" s="34">
        <f t="shared" si="192"/>
        <v>0</v>
      </c>
      <c r="AC217" s="34">
        <f t="shared" si="193"/>
        <v>0</v>
      </c>
      <c r="AD217" s="34">
        <f t="shared" si="194"/>
        <v>0</v>
      </c>
      <c r="AE217" s="34">
        <f t="shared" si="195"/>
        <v>0</v>
      </c>
      <c r="AF217" s="34">
        <f t="shared" si="196"/>
        <v>0</v>
      </c>
      <c r="AG217" s="29">
        <f t="shared" si="197"/>
        <v>589972.71703049075</v>
      </c>
      <c r="AH217" s="34">
        <f t="shared" si="198"/>
        <v>0</v>
      </c>
      <c r="AI217" s="34">
        <f t="shared" si="199"/>
        <v>0</v>
      </c>
      <c r="AJ217" s="34">
        <f t="shared" si="200"/>
        <v>0</v>
      </c>
      <c r="AK217" s="34">
        <f t="shared" si="201"/>
        <v>0</v>
      </c>
      <c r="AL217" s="34">
        <f t="shared" si="202"/>
        <v>0</v>
      </c>
      <c r="AM217" s="34">
        <f t="shared" si="203"/>
        <v>0</v>
      </c>
      <c r="AN217" s="34">
        <f t="shared" si="204"/>
        <v>0</v>
      </c>
      <c r="AO217" s="34">
        <f t="shared" si="205"/>
        <v>0</v>
      </c>
      <c r="AP217" s="34">
        <f t="shared" si="206"/>
        <v>0</v>
      </c>
      <c r="AQ217" s="34">
        <f t="shared" si="207"/>
        <v>0</v>
      </c>
      <c r="AR217" s="34">
        <f t="shared" si="208"/>
        <v>0</v>
      </c>
      <c r="AS217" s="30">
        <f t="shared" si="209"/>
        <v>1.193175657757537</v>
      </c>
      <c r="AT217" s="29">
        <f t="shared" si="210"/>
        <v>0</v>
      </c>
      <c r="AU217" s="29">
        <f t="shared" si="211"/>
        <v>0</v>
      </c>
      <c r="AV217" s="34">
        <f t="shared" si="212"/>
        <v>0</v>
      </c>
      <c r="AW217" s="34">
        <f t="shared" si="213"/>
        <v>0</v>
      </c>
      <c r="AX217" s="29">
        <f t="shared" si="214"/>
        <v>0</v>
      </c>
      <c r="AY217" s="34">
        <f t="shared" si="215"/>
        <v>0</v>
      </c>
      <c r="AZ217" s="37">
        <f t="shared" si="216"/>
        <v>0</v>
      </c>
      <c r="BA217" s="37">
        <f t="shared" si="217"/>
        <v>0</v>
      </c>
      <c r="BB217" s="35">
        <f t="shared" si="218"/>
        <v>1.1246834977218789E-3</v>
      </c>
      <c r="BC217" s="31">
        <f t="shared" si="219"/>
        <v>0.78708189779672444</v>
      </c>
      <c r="BD217" s="34">
        <f t="shared" si="220"/>
        <v>0</v>
      </c>
    </row>
    <row r="218" spans="1:56" x14ac:dyDescent="0.2">
      <c r="A218" s="27">
        <f t="shared" si="221"/>
        <v>214</v>
      </c>
      <c r="B218" s="28">
        <f t="shared" si="168"/>
        <v>214</v>
      </c>
      <c r="C218" s="27">
        <f t="shared" si="169"/>
        <v>17</v>
      </c>
      <c r="D218" s="28">
        <f t="shared" si="170"/>
        <v>37</v>
      </c>
      <c r="E218" s="29">
        <f t="shared" si="171"/>
        <v>0</v>
      </c>
      <c r="F218" s="30">
        <f t="shared" si="172"/>
        <v>6.5166788367360053E-4</v>
      </c>
      <c r="G218" s="31">
        <f t="shared" si="173"/>
        <v>5.4321883803165605E-5</v>
      </c>
      <c r="H218" s="32">
        <f t="shared" si="174"/>
        <v>0.02</v>
      </c>
      <c r="I218" s="32">
        <f t="shared" si="175"/>
        <v>0</v>
      </c>
      <c r="J218" s="33">
        <f t="shared" si="222"/>
        <v>0</v>
      </c>
      <c r="K218" s="30">
        <f t="shared" si="176"/>
        <v>0</v>
      </c>
      <c r="L218" s="33">
        <f t="shared" si="177"/>
        <v>0</v>
      </c>
      <c r="M218" s="30">
        <f t="shared" si="178"/>
        <v>0</v>
      </c>
      <c r="N218" s="33">
        <f t="shared" si="179"/>
        <v>0</v>
      </c>
      <c r="O218" s="31">
        <f t="shared" si="180"/>
        <v>0</v>
      </c>
      <c r="P218" s="33">
        <f t="shared" si="181"/>
        <v>0</v>
      </c>
      <c r="Q218" s="34">
        <f t="shared" si="223"/>
        <v>590531.63783425163</v>
      </c>
      <c r="R218" s="29">
        <f t="shared" si="182"/>
        <v>0</v>
      </c>
      <c r="S218" s="34">
        <f t="shared" si="183"/>
        <v>590531.63783425163</v>
      </c>
      <c r="T218" s="29">
        <f t="shared" si="184"/>
        <v>492.10969819520972</v>
      </c>
      <c r="U218" s="29">
        <f t="shared" si="185"/>
        <v>0</v>
      </c>
      <c r="V218" s="35">
        <f t="shared" si="186"/>
        <v>5.9754072183482171E-5</v>
      </c>
      <c r="W218" s="34">
        <f t="shared" si="187"/>
        <v>0</v>
      </c>
      <c r="X218" s="34">
        <f t="shared" si="188"/>
        <v>590039.52813605638</v>
      </c>
      <c r="Y218" s="36">
        <f t="shared" si="189"/>
        <v>-4.7276990420830334E-4</v>
      </c>
      <c r="Z218" s="34">
        <f t="shared" si="190"/>
        <v>-278.95293119599586</v>
      </c>
      <c r="AA218" s="34">
        <f t="shared" si="191"/>
        <v>589900.0516704584</v>
      </c>
      <c r="AB218" s="34">
        <f t="shared" si="192"/>
        <v>0</v>
      </c>
      <c r="AC218" s="34">
        <f t="shared" si="193"/>
        <v>0</v>
      </c>
      <c r="AD218" s="34">
        <f t="shared" si="194"/>
        <v>0</v>
      </c>
      <c r="AE218" s="34">
        <f t="shared" si="195"/>
        <v>0</v>
      </c>
      <c r="AF218" s="34">
        <f t="shared" si="196"/>
        <v>0</v>
      </c>
      <c r="AG218" s="29">
        <f t="shared" si="197"/>
        <v>589900.0516704584</v>
      </c>
      <c r="AH218" s="34">
        <f t="shared" si="198"/>
        <v>0</v>
      </c>
      <c r="AI218" s="34">
        <f t="shared" si="199"/>
        <v>0</v>
      </c>
      <c r="AJ218" s="34">
        <f t="shared" si="200"/>
        <v>0</v>
      </c>
      <c r="AK218" s="34">
        <f t="shared" si="201"/>
        <v>0</v>
      </c>
      <c r="AL218" s="34">
        <f t="shared" si="202"/>
        <v>0</v>
      </c>
      <c r="AM218" s="34">
        <f t="shared" si="203"/>
        <v>0</v>
      </c>
      <c r="AN218" s="34">
        <f t="shared" si="204"/>
        <v>0</v>
      </c>
      <c r="AO218" s="34">
        <f t="shared" si="205"/>
        <v>0</v>
      </c>
      <c r="AP218" s="34">
        <f t="shared" si="206"/>
        <v>0</v>
      </c>
      <c r="AQ218" s="34">
        <f t="shared" si="207"/>
        <v>0</v>
      </c>
      <c r="AR218" s="34">
        <f t="shared" si="208"/>
        <v>0</v>
      </c>
      <c r="AS218" s="30">
        <f t="shared" si="209"/>
        <v>1.1941654424427568</v>
      </c>
      <c r="AT218" s="29">
        <f t="shared" si="210"/>
        <v>0</v>
      </c>
      <c r="AU218" s="29">
        <f t="shared" si="211"/>
        <v>0</v>
      </c>
      <c r="AV218" s="34">
        <f t="shared" si="212"/>
        <v>0</v>
      </c>
      <c r="AW218" s="34">
        <f t="shared" si="213"/>
        <v>0</v>
      </c>
      <c r="AX218" s="29">
        <f t="shared" si="214"/>
        <v>0</v>
      </c>
      <c r="AY218" s="34">
        <f t="shared" si="215"/>
        <v>0</v>
      </c>
      <c r="AZ218" s="37">
        <f t="shared" si="216"/>
        <v>0</v>
      </c>
      <c r="BA218" s="37">
        <f t="shared" si="217"/>
        <v>0</v>
      </c>
      <c r="BB218" s="35">
        <f t="shared" si="218"/>
        <v>1.1246834977218789E-3</v>
      </c>
      <c r="BC218" s="31">
        <f t="shared" si="219"/>
        <v>0.78619767424655207</v>
      </c>
      <c r="BD218" s="34">
        <f t="shared" si="220"/>
        <v>0</v>
      </c>
    </row>
    <row r="219" spans="1:56" x14ac:dyDescent="0.2">
      <c r="A219" s="27">
        <f t="shared" si="221"/>
        <v>215</v>
      </c>
      <c r="B219" s="28">
        <f t="shared" si="168"/>
        <v>215</v>
      </c>
      <c r="C219" s="27">
        <f t="shared" si="169"/>
        <v>17</v>
      </c>
      <c r="D219" s="28">
        <f t="shared" si="170"/>
        <v>37</v>
      </c>
      <c r="E219" s="29">
        <f t="shared" si="171"/>
        <v>0</v>
      </c>
      <c r="F219" s="30">
        <f t="shared" si="172"/>
        <v>6.5166788367360053E-4</v>
      </c>
      <c r="G219" s="31">
        <f t="shared" si="173"/>
        <v>5.4321883803165605E-5</v>
      </c>
      <c r="H219" s="32">
        <f t="shared" si="174"/>
        <v>0.02</v>
      </c>
      <c r="I219" s="32">
        <f t="shared" si="175"/>
        <v>0</v>
      </c>
      <c r="J219" s="33">
        <f t="shared" si="222"/>
        <v>0</v>
      </c>
      <c r="K219" s="30">
        <f t="shared" si="176"/>
        <v>0</v>
      </c>
      <c r="L219" s="33">
        <f t="shared" si="177"/>
        <v>0</v>
      </c>
      <c r="M219" s="30">
        <f t="shared" si="178"/>
        <v>0</v>
      </c>
      <c r="N219" s="33">
        <f t="shared" si="179"/>
        <v>0</v>
      </c>
      <c r="O219" s="31">
        <f t="shared" si="180"/>
        <v>0</v>
      </c>
      <c r="P219" s="33">
        <f t="shared" si="181"/>
        <v>0</v>
      </c>
      <c r="Q219" s="34">
        <f t="shared" si="223"/>
        <v>589760.57520486042</v>
      </c>
      <c r="R219" s="29">
        <f t="shared" si="182"/>
        <v>0</v>
      </c>
      <c r="S219" s="34">
        <f t="shared" si="183"/>
        <v>589760.57520486042</v>
      </c>
      <c r="T219" s="29">
        <f t="shared" si="184"/>
        <v>491.46714600405039</v>
      </c>
      <c r="U219" s="29">
        <f t="shared" si="185"/>
        <v>0</v>
      </c>
      <c r="V219" s="35">
        <f t="shared" si="186"/>
        <v>5.9754072183482171E-5</v>
      </c>
      <c r="W219" s="34">
        <f t="shared" si="187"/>
        <v>0</v>
      </c>
      <c r="X219" s="34">
        <f t="shared" si="188"/>
        <v>589269.10805885633</v>
      </c>
      <c r="Y219" s="36">
        <f t="shared" si="189"/>
        <v>5.0627207447997424E-3</v>
      </c>
      <c r="Z219" s="34">
        <f t="shared" si="190"/>
        <v>2983.3049376392132</v>
      </c>
      <c r="AA219" s="34">
        <f t="shared" si="191"/>
        <v>590760.76052767597</v>
      </c>
      <c r="AB219" s="34">
        <f t="shared" si="192"/>
        <v>0</v>
      </c>
      <c r="AC219" s="34">
        <f t="shared" si="193"/>
        <v>0</v>
      </c>
      <c r="AD219" s="34">
        <f t="shared" si="194"/>
        <v>0</v>
      </c>
      <c r="AE219" s="34">
        <f t="shared" si="195"/>
        <v>0</v>
      </c>
      <c r="AF219" s="34">
        <f t="shared" si="196"/>
        <v>0</v>
      </c>
      <c r="AG219" s="29">
        <f t="shared" si="197"/>
        <v>590760.76052767597</v>
      </c>
      <c r="AH219" s="34">
        <f t="shared" si="198"/>
        <v>0</v>
      </c>
      <c r="AI219" s="34">
        <f t="shared" si="199"/>
        <v>0</v>
      </c>
      <c r="AJ219" s="34">
        <f t="shared" si="200"/>
        <v>0</v>
      </c>
      <c r="AK219" s="34">
        <f t="shared" si="201"/>
        <v>0</v>
      </c>
      <c r="AL219" s="34">
        <f t="shared" si="202"/>
        <v>0</v>
      </c>
      <c r="AM219" s="34">
        <f t="shared" si="203"/>
        <v>0</v>
      </c>
      <c r="AN219" s="34">
        <f t="shared" si="204"/>
        <v>0</v>
      </c>
      <c r="AO219" s="34">
        <f t="shared" si="205"/>
        <v>0</v>
      </c>
      <c r="AP219" s="34">
        <f t="shared" si="206"/>
        <v>0</v>
      </c>
      <c r="AQ219" s="34">
        <f t="shared" si="207"/>
        <v>0</v>
      </c>
      <c r="AR219" s="34">
        <f t="shared" si="208"/>
        <v>0</v>
      </c>
      <c r="AS219" s="30">
        <f t="shared" si="209"/>
        <v>1.1951560481920982</v>
      </c>
      <c r="AT219" s="29">
        <f t="shared" si="210"/>
        <v>0</v>
      </c>
      <c r="AU219" s="29">
        <f t="shared" si="211"/>
        <v>0</v>
      </c>
      <c r="AV219" s="34">
        <f t="shared" si="212"/>
        <v>0</v>
      </c>
      <c r="AW219" s="34">
        <f t="shared" si="213"/>
        <v>0</v>
      </c>
      <c r="AX219" s="29">
        <f t="shared" si="214"/>
        <v>0</v>
      </c>
      <c r="AY219" s="34">
        <f t="shared" si="215"/>
        <v>0</v>
      </c>
      <c r="AZ219" s="37">
        <f t="shared" si="216"/>
        <v>0</v>
      </c>
      <c r="BA219" s="37">
        <f t="shared" si="217"/>
        <v>0</v>
      </c>
      <c r="BB219" s="35">
        <f t="shared" si="218"/>
        <v>1.1246834977218789E-3</v>
      </c>
      <c r="BC219" s="31">
        <f t="shared" si="219"/>
        <v>0.78531444405080542</v>
      </c>
      <c r="BD219" s="34">
        <f t="shared" si="220"/>
        <v>0</v>
      </c>
    </row>
    <row r="220" spans="1:56" x14ac:dyDescent="0.2">
      <c r="A220" s="27">
        <f t="shared" si="221"/>
        <v>216</v>
      </c>
      <c r="B220" s="28">
        <f t="shared" si="168"/>
        <v>216</v>
      </c>
      <c r="C220" s="27">
        <f t="shared" si="169"/>
        <v>18</v>
      </c>
      <c r="D220" s="28">
        <f t="shared" si="170"/>
        <v>38</v>
      </c>
      <c r="E220" s="29">
        <f t="shared" si="171"/>
        <v>0</v>
      </c>
      <c r="F220" s="30">
        <f t="shared" si="172"/>
        <v>6.8001497507251042E-4</v>
      </c>
      <c r="G220" s="31">
        <f t="shared" si="173"/>
        <v>5.6685584155502511E-5</v>
      </c>
      <c r="H220" s="32">
        <f t="shared" si="174"/>
        <v>0.02</v>
      </c>
      <c r="I220" s="32">
        <f t="shared" si="175"/>
        <v>0</v>
      </c>
      <c r="J220" s="33">
        <f t="shared" si="222"/>
        <v>0</v>
      </c>
      <c r="K220" s="30">
        <f t="shared" si="176"/>
        <v>0</v>
      </c>
      <c r="L220" s="33">
        <f t="shared" si="177"/>
        <v>0</v>
      </c>
      <c r="M220" s="30">
        <f t="shared" si="178"/>
        <v>0</v>
      </c>
      <c r="N220" s="33">
        <f t="shared" si="179"/>
        <v>0</v>
      </c>
      <c r="O220" s="31">
        <f t="shared" si="180"/>
        <v>0</v>
      </c>
      <c r="P220" s="33">
        <f t="shared" si="181"/>
        <v>0</v>
      </c>
      <c r="Q220" s="34">
        <f t="shared" si="223"/>
        <v>592252.41299649549</v>
      </c>
      <c r="R220" s="29">
        <f t="shared" si="182"/>
        <v>0</v>
      </c>
      <c r="S220" s="34">
        <f t="shared" si="183"/>
        <v>592252.41299649549</v>
      </c>
      <c r="T220" s="29">
        <f t="shared" si="184"/>
        <v>493.54367749707961</v>
      </c>
      <c r="U220" s="29">
        <f t="shared" si="185"/>
        <v>0</v>
      </c>
      <c r="V220" s="35">
        <f t="shared" si="186"/>
        <v>6.2354142571052762E-5</v>
      </c>
      <c r="W220" s="34">
        <f t="shared" si="187"/>
        <v>0</v>
      </c>
      <c r="X220" s="34">
        <f t="shared" si="188"/>
        <v>591758.86931899842</v>
      </c>
      <c r="Y220" s="36">
        <f t="shared" si="189"/>
        <v>7.6670162651821805E-3</v>
      </c>
      <c r="Z220" s="34">
        <f t="shared" si="190"/>
        <v>4537.0248761345774</v>
      </c>
      <c r="AA220" s="34">
        <f t="shared" si="191"/>
        <v>594027.38175706565</v>
      </c>
      <c r="AB220" s="34">
        <f t="shared" si="192"/>
        <v>0</v>
      </c>
      <c r="AC220" s="34">
        <f t="shared" si="193"/>
        <v>0</v>
      </c>
      <c r="AD220" s="34">
        <f t="shared" si="194"/>
        <v>0</v>
      </c>
      <c r="AE220" s="34">
        <f t="shared" si="195"/>
        <v>0</v>
      </c>
      <c r="AF220" s="34">
        <f t="shared" si="196"/>
        <v>0</v>
      </c>
      <c r="AG220" s="29">
        <f t="shared" si="197"/>
        <v>594027.38175706565</v>
      </c>
      <c r="AH220" s="34">
        <f t="shared" si="198"/>
        <v>0</v>
      </c>
      <c r="AI220" s="34">
        <f t="shared" si="199"/>
        <v>0</v>
      </c>
      <c r="AJ220" s="34">
        <f t="shared" si="200"/>
        <v>0</v>
      </c>
      <c r="AK220" s="34">
        <f t="shared" si="201"/>
        <v>0</v>
      </c>
      <c r="AL220" s="34">
        <f t="shared" si="202"/>
        <v>0</v>
      </c>
      <c r="AM220" s="34">
        <f t="shared" si="203"/>
        <v>0</v>
      </c>
      <c r="AN220" s="34">
        <f t="shared" si="204"/>
        <v>0</v>
      </c>
      <c r="AO220" s="34">
        <f t="shared" si="205"/>
        <v>0</v>
      </c>
      <c r="AP220" s="34">
        <f t="shared" si="206"/>
        <v>0</v>
      </c>
      <c r="AQ220" s="34">
        <f t="shared" si="207"/>
        <v>0</v>
      </c>
      <c r="AR220" s="34">
        <f t="shared" si="208"/>
        <v>0</v>
      </c>
      <c r="AS220" s="30">
        <f t="shared" si="209"/>
        <v>1.1961474756866652</v>
      </c>
      <c r="AT220" s="29">
        <f t="shared" si="210"/>
        <v>0</v>
      </c>
      <c r="AU220" s="29">
        <f t="shared" si="211"/>
        <v>0</v>
      </c>
      <c r="AV220" s="34">
        <f t="shared" si="212"/>
        <v>0</v>
      </c>
      <c r="AW220" s="34">
        <f t="shared" si="213"/>
        <v>0</v>
      </c>
      <c r="AX220" s="29">
        <f t="shared" si="214"/>
        <v>0</v>
      </c>
      <c r="AY220" s="34">
        <f t="shared" si="215"/>
        <v>0</v>
      </c>
      <c r="AZ220" s="37">
        <f t="shared" si="216"/>
        <v>0</v>
      </c>
      <c r="BA220" s="37">
        <f t="shared" si="217"/>
        <v>0</v>
      </c>
      <c r="BB220" s="35">
        <f t="shared" si="218"/>
        <v>1.1329140552198691E-3</v>
      </c>
      <c r="BC220" s="31">
        <f t="shared" si="219"/>
        <v>0.78304045069801298</v>
      </c>
      <c r="BD220" s="34">
        <f t="shared" si="220"/>
        <v>0</v>
      </c>
    </row>
    <row r="221" spans="1:56" x14ac:dyDescent="0.2">
      <c r="A221" s="27">
        <f t="shared" si="221"/>
        <v>217</v>
      </c>
      <c r="B221" s="28">
        <f t="shared" si="168"/>
        <v>217</v>
      </c>
      <c r="C221" s="27">
        <f t="shared" si="169"/>
        <v>18</v>
      </c>
      <c r="D221" s="28">
        <f t="shared" si="170"/>
        <v>38</v>
      </c>
      <c r="E221" s="29">
        <f t="shared" si="171"/>
        <v>0</v>
      </c>
      <c r="F221" s="30">
        <f t="shared" si="172"/>
        <v>6.8001497507251042E-4</v>
      </c>
      <c r="G221" s="31">
        <f t="shared" si="173"/>
        <v>5.6685584155502511E-5</v>
      </c>
      <c r="H221" s="32">
        <f t="shared" si="174"/>
        <v>0.02</v>
      </c>
      <c r="I221" s="32">
        <f t="shared" si="175"/>
        <v>0</v>
      </c>
      <c r="J221" s="33">
        <f t="shared" si="222"/>
        <v>0</v>
      </c>
      <c r="K221" s="30">
        <f t="shared" si="176"/>
        <v>0</v>
      </c>
      <c r="L221" s="33">
        <f t="shared" si="177"/>
        <v>0</v>
      </c>
      <c r="M221" s="30">
        <f t="shared" si="178"/>
        <v>0</v>
      </c>
      <c r="N221" s="33">
        <f t="shared" si="179"/>
        <v>0</v>
      </c>
      <c r="O221" s="31">
        <f t="shared" si="180"/>
        <v>0</v>
      </c>
      <c r="P221" s="33">
        <f t="shared" si="181"/>
        <v>0</v>
      </c>
      <c r="Q221" s="34">
        <f t="shared" si="223"/>
        <v>596295.89419513301</v>
      </c>
      <c r="R221" s="29">
        <f t="shared" si="182"/>
        <v>0</v>
      </c>
      <c r="S221" s="34">
        <f t="shared" si="183"/>
        <v>596295.89419513301</v>
      </c>
      <c r="T221" s="29">
        <f t="shared" si="184"/>
        <v>496.91324516261085</v>
      </c>
      <c r="U221" s="29">
        <f t="shared" si="185"/>
        <v>0</v>
      </c>
      <c r="V221" s="35">
        <f t="shared" si="186"/>
        <v>6.2354142571052762E-5</v>
      </c>
      <c r="W221" s="34">
        <f t="shared" si="187"/>
        <v>0</v>
      </c>
      <c r="X221" s="34">
        <f t="shared" si="188"/>
        <v>595798.98094997043</v>
      </c>
      <c r="Y221" s="36">
        <f t="shared" si="189"/>
        <v>-3.7468148685435576E-3</v>
      </c>
      <c r="Z221" s="34">
        <f t="shared" si="190"/>
        <v>-2232.3484804864488</v>
      </c>
      <c r="AA221" s="34">
        <f t="shared" si="191"/>
        <v>594682.80670972716</v>
      </c>
      <c r="AB221" s="34">
        <f t="shared" si="192"/>
        <v>0</v>
      </c>
      <c r="AC221" s="34">
        <f t="shared" si="193"/>
        <v>0</v>
      </c>
      <c r="AD221" s="34">
        <f t="shared" si="194"/>
        <v>0</v>
      </c>
      <c r="AE221" s="34">
        <f t="shared" si="195"/>
        <v>0</v>
      </c>
      <c r="AF221" s="34">
        <f t="shared" si="196"/>
        <v>0</v>
      </c>
      <c r="AG221" s="29">
        <f t="shared" si="197"/>
        <v>594682.80670972716</v>
      </c>
      <c r="AH221" s="34">
        <f t="shared" si="198"/>
        <v>0</v>
      </c>
      <c r="AI221" s="34">
        <f t="shared" si="199"/>
        <v>0</v>
      </c>
      <c r="AJ221" s="34">
        <f t="shared" si="200"/>
        <v>0</v>
      </c>
      <c r="AK221" s="34">
        <f t="shared" si="201"/>
        <v>0</v>
      </c>
      <c r="AL221" s="34">
        <f t="shared" si="202"/>
        <v>0</v>
      </c>
      <c r="AM221" s="34">
        <f t="shared" si="203"/>
        <v>0</v>
      </c>
      <c r="AN221" s="34">
        <f t="shared" si="204"/>
        <v>0</v>
      </c>
      <c r="AO221" s="34">
        <f t="shared" si="205"/>
        <v>0</v>
      </c>
      <c r="AP221" s="34">
        <f t="shared" si="206"/>
        <v>0</v>
      </c>
      <c r="AQ221" s="34">
        <f t="shared" si="207"/>
        <v>0</v>
      </c>
      <c r="AR221" s="34">
        <f t="shared" si="208"/>
        <v>0</v>
      </c>
      <c r="AS221" s="30">
        <f t="shared" si="209"/>
        <v>1.1971397256081262</v>
      </c>
      <c r="AT221" s="29">
        <f t="shared" si="210"/>
        <v>0</v>
      </c>
      <c r="AU221" s="29">
        <f t="shared" si="211"/>
        <v>0</v>
      </c>
      <c r="AV221" s="34">
        <f t="shared" si="212"/>
        <v>0</v>
      </c>
      <c r="AW221" s="34">
        <f t="shared" si="213"/>
        <v>0</v>
      </c>
      <c r="AX221" s="29">
        <f t="shared" si="214"/>
        <v>0</v>
      </c>
      <c r="AY221" s="34">
        <f t="shared" si="215"/>
        <v>0</v>
      </c>
      <c r="AZ221" s="37">
        <f t="shared" si="216"/>
        <v>0</v>
      </c>
      <c r="BA221" s="37">
        <f t="shared" si="217"/>
        <v>0</v>
      </c>
      <c r="BB221" s="35">
        <f t="shared" si="218"/>
        <v>1.1329140552198691E-3</v>
      </c>
      <c r="BC221" s="31">
        <f t="shared" si="219"/>
        <v>0.78215433705621085</v>
      </c>
      <c r="BD221" s="34">
        <f t="shared" si="220"/>
        <v>0</v>
      </c>
    </row>
    <row r="222" spans="1:56" x14ac:dyDescent="0.2">
      <c r="A222" s="27">
        <f t="shared" si="221"/>
        <v>218</v>
      </c>
      <c r="B222" s="28">
        <f t="shared" si="168"/>
        <v>218</v>
      </c>
      <c r="C222" s="27">
        <f t="shared" si="169"/>
        <v>18</v>
      </c>
      <c r="D222" s="28">
        <f t="shared" si="170"/>
        <v>38</v>
      </c>
      <c r="E222" s="29">
        <f t="shared" si="171"/>
        <v>0</v>
      </c>
      <c r="F222" s="30">
        <f t="shared" si="172"/>
        <v>6.8001497507251042E-4</v>
      </c>
      <c r="G222" s="31">
        <f t="shared" si="173"/>
        <v>5.6685584155502511E-5</v>
      </c>
      <c r="H222" s="32">
        <f t="shared" si="174"/>
        <v>0.02</v>
      </c>
      <c r="I222" s="32">
        <f t="shared" si="175"/>
        <v>0</v>
      </c>
      <c r="J222" s="33">
        <f t="shared" si="222"/>
        <v>0</v>
      </c>
      <c r="K222" s="30">
        <f t="shared" si="176"/>
        <v>0</v>
      </c>
      <c r="L222" s="33">
        <f t="shared" si="177"/>
        <v>0</v>
      </c>
      <c r="M222" s="30">
        <f t="shared" si="178"/>
        <v>0</v>
      </c>
      <c r="N222" s="33">
        <f t="shared" si="179"/>
        <v>0</v>
      </c>
      <c r="O222" s="31">
        <f t="shared" si="180"/>
        <v>0</v>
      </c>
      <c r="P222" s="33">
        <f t="shared" si="181"/>
        <v>0</v>
      </c>
      <c r="Q222" s="34">
        <f t="shared" si="223"/>
        <v>593566.632469484</v>
      </c>
      <c r="R222" s="29">
        <f t="shared" si="182"/>
        <v>0</v>
      </c>
      <c r="S222" s="34">
        <f t="shared" si="183"/>
        <v>593566.632469484</v>
      </c>
      <c r="T222" s="29">
        <f t="shared" si="184"/>
        <v>494.63886039123668</v>
      </c>
      <c r="U222" s="29">
        <f t="shared" si="185"/>
        <v>0</v>
      </c>
      <c r="V222" s="35">
        <f t="shared" si="186"/>
        <v>6.2354142571052762E-5</v>
      </c>
      <c r="W222" s="34">
        <f t="shared" si="187"/>
        <v>0</v>
      </c>
      <c r="X222" s="34">
        <f t="shared" si="188"/>
        <v>593071.99360909278</v>
      </c>
      <c r="Y222" s="36">
        <f t="shared" si="189"/>
        <v>6.7057782916946085E-3</v>
      </c>
      <c r="Z222" s="34">
        <f t="shared" si="190"/>
        <v>3977.009300155898</v>
      </c>
      <c r="AA222" s="34">
        <f t="shared" si="191"/>
        <v>595060.49825917068</v>
      </c>
      <c r="AB222" s="34">
        <f t="shared" si="192"/>
        <v>0</v>
      </c>
      <c r="AC222" s="34">
        <f t="shared" si="193"/>
        <v>0</v>
      </c>
      <c r="AD222" s="34">
        <f t="shared" si="194"/>
        <v>0</v>
      </c>
      <c r="AE222" s="34">
        <f t="shared" si="195"/>
        <v>0</v>
      </c>
      <c r="AF222" s="34">
        <f t="shared" si="196"/>
        <v>0</v>
      </c>
      <c r="AG222" s="29">
        <f t="shared" si="197"/>
        <v>595060.49825917068</v>
      </c>
      <c r="AH222" s="34">
        <f t="shared" si="198"/>
        <v>0</v>
      </c>
      <c r="AI222" s="34">
        <f t="shared" si="199"/>
        <v>0</v>
      </c>
      <c r="AJ222" s="34">
        <f t="shared" si="200"/>
        <v>0</v>
      </c>
      <c r="AK222" s="34">
        <f t="shared" si="201"/>
        <v>0</v>
      </c>
      <c r="AL222" s="34">
        <f t="shared" si="202"/>
        <v>0</v>
      </c>
      <c r="AM222" s="34">
        <f t="shared" si="203"/>
        <v>0</v>
      </c>
      <c r="AN222" s="34">
        <f t="shared" si="204"/>
        <v>0</v>
      </c>
      <c r="AO222" s="34">
        <f t="shared" si="205"/>
        <v>0</v>
      </c>
      <c r="AP222" s="34">
        <f t="shared" si="206"/>
        <v>0</v>
      </c>
      <c r="AQ222" s="34">
        <f t="shared" si="207"/>
        <v>0</v>
      </c>
      <c r="AR222" s="34">
        <f t="shared" si="208"/>
        <v>0</v>
      </c>
      <c r="AS222" s="30">
        <f t="shared" si="209"/>
        <v>1.1981327986387162</v>
      </c>
      <c r="AT222" s="29">
        <f t="shared" si="210"/>
        <v>0</v>
      </c>
      <c r="AU222" s="29">
        <f t="shared" si="211"/>
        <v>0</v>
      </c>
      <c r="AV222" s="34">
        <f t="shared" si="212"/>
        <v>0</v>
      </c>
      <c r="AW222" s="34">
        <f t="shared" si="213"/>
        <v>0</v>
      </c>
      <c r="AX222" s="29">
        <f t="shared" si="214"/>
        <v>0</v>
      </c>
      <c r="AY222" s="34">
        <f t="shared" si="215"/>
        <v>0</v>
      </c>
      <c r="AZ222" s="37">
        <f t="shared" si="216"/>
        <v>0</v>
      </c>
      <c r="BA222" s="37">
        <f t="shared" si="217"/>
        <v>0</v>
      </c>
      <c r="BB222" s="35">
        <f t="shared" si="218"/>
        <v>1.1329140552198691E-3</v>
      </c>
      <c r="BC222" s="31">
        <f t="shared" si="219"/>
        <v>0.78126922616897321</v>
      </c>
      <c r="BD222" s="34">
        <f t="shared" si="220"/>
        <v>0</v>
      </c>
    </row>
    <row r="223" spans="1:56" x14ac:dyDescent="0.2">
      <c r="A223" s="27">
        <f t="shared" si="221"/>
        <v>219</v>
      </c>
      <c r="B223" s="28">
        <f t="shared" si="168"/>
        <v>219</v>
      </c>
      <c r="C223" s="27">
        <f t="shared" si="169"/>
        <v>18</v>
      </c>
      <c r="D223" s="28">
        <f t="shared" si="170"/>
        <v>38</v>
      </c>
      <c r="E223" s="29">
        <f t="shared" si="171"/>
        <v>0</v>
      </c>
      <c r="F223" s="30">
        <f t="shared" si="172"/>
        <v>6.8001497507251042E-4</v>
      </c>
      <c r="G223" s="31">
        <f t="shared" si="173"/>
        <v>5.6685584155502511E-5</v>
      </c>
      <c r="H223" s="32">
        <f t="shared" si="174"/>
        <v>0.02</v>
      </c>
      <c r="I223" s="32">
        <f t="shared" si="175"/>
        <v>0</v>
      </c>
      <c r="J223" s="33">
        <f t="shared" si="222"/>
        <v>0</v>
      </c>
      <c r="K223" s="30">
        <f t="shared" si="176"/>
        <v>0</v>
      </c>
      <c r="L223" s="33">
        <f t="shared" si="177"/>
        <v>0</v>
      </c>
      <c r="M223" s="30">
        <f t="shared" si="178"/>
        <v>0</v>
      </c>
      <c r="N223" s="33">
        <f t="shared" si="179"/>
        <v>0</v>
      </c>
      <c r="O223" s="31">
        <f t="shared" si="180"/>
        <v>0</v>
      </c>
      <c r="P223" s="33">
        <f t="shared" si="181"/>
        <v>0</v>
      </c>
      <c r="Q223" s="34">
        <f t="shared" si="223"/>
        <v>597049.00290924869</v>
      </c>
      <c r="R223" s="29">
        <f t="shared" si="182"/>
        <v>0</v>
      </c>
      <c r="S223" s="34">
        <f t="shared" si="183"/>
        <v>597049.00290924869</v>
      </c>
      <c r="T223" s="29">
        <f t="shared" si="184"/>
        <v>497.54083575770727</v>
      </c>
      <c r="U223" s="29">
        <f t="shared" si="185"/>
        <v>0</v>
      </c>
      <c r="V223" s="35">
        <f t="shared" si="186"/>
        <v>6.2354142571052762E-5</v>
      </c>
      <c r="W223" s="34">
        <f t="shared" si="187"/>
        <v>0</v>
      </c>
      <c r="X223" s="34">
        <f t="shared" si="188"/>
        <v>596551.46207349095</v>
      </c>
      <c r="Y223" s="36">
        <f t="shared" si="189"/>
        <v>8.2798486387729575E-3</v>
      </c>
      <c r="Z223" s="34">
        <f t="shared" si="190"/>
        <v>4939.3558112072114</v>
      </c>
      <c r="AA223" s="34">
        <f t="shared" si="191"/>
        <v>599021.13997909462</v>
      </c>
      <c r="AB223" s="34">
        <f t="shared" si="192"/>
        <v>0</v>
      </c>
      <c r="AC223" s="34">
        <f t="shared" si="193"/>
        <v>0</v>
      </c>
      <c r="AD223" s="34">
        <f t="shared" si="194"/>
        <v>0</v>
      </c>
      <c r="AE223" s="34">
        <f t="shared" si="195"/>
        <v>0</v>
      </c>
      <c r="AF223" s="34">
        <f t="shared" si="196"/>
        <v>0</v>
      </c>
      <c r="AG223" s="29">
        <f t="shared" si="197"/>
        <v>599021.13997909462</v>
      </c>
      <c r="AH223" s="34">
        <f t="shared" si="198"/>
        <v>0</v>
      </c>
      <c r="AI223" s="34">
        <f t="shared" si="199"/>
        <v>0</v>
      </c>
      <c r="AJ223" s="34">
        <f t="shared" si="200"/>
        <v>0</v>
      </c>
      <c r="AK223" s="34">
        <f t="shared" si="201"/>
        <v>0</v>
      </c>
      <c r="AL223" s="34">
        <f t="shared" si="202"/>
        <v>0</v>
      </c>
      <c r="AM223" s="34">
        <f t="shared" si="203"/>
        <v>0</v>
      </c>
      <c r="AN223" s="34">
        <f t="shared" si="204"/>
        <v>0</v>
      </c>
      <c r="AO223" s="34">
        <f t="shared" si="205"/>
        <v>0</v>
      </c>
      <c r="AP223" s="34">
        <f t="shared" si="206"/>
        <v>0</v>
      </c>
      <c r="AQ223" s="34">
        <f t="shared" si="207"/>
        <v>0</v>
      </c>
      <c r="AR223" s="34">
        <f t="shared" si="208"/>
        <v>0</v>
      </c>
      <c r="AS223" s="30">
        <f t="shared" si="209"/>
        <v>1.1991266954612352</v>
      </c>
      <c r="AT223" s="29">
        <f t="shared" si="210"/>
        <v>0</v>
      </c>
      <c r="AU223" s="29">
        <f t="shared" si="211"/>
        <v>0</v>
      </c>
      <c r="AV223" s="34">
        <f t="shared" si="212"/>
        <v>0</v>
      </c>
      <c r="AW223" s="34">
        <f t="shared" si="213"/>
        <v>0</v>
      </c>
      <c r="AX223" s="29">
        <f t="shared" si="214"/>
        <v>0</v>
      </c>
      <c r="AY223" s="34">
        <f t="shared" si="215"/>
        <v>0</v>
      </c>
      <c r="AZ223" s="37">
        <f t="shared" si="216"/>
        <v>0</v>
      </c>
      <c r="BA223" s="37">
        <f t="shared" si="217"/>
        <v>0</v>
      </c>
      <c r="BB223" s="35">
        <f t="shared" si="218"/>
        <v>1.1329140552198691E-3</v>
      </c>
      <c r="BC223" s="31">
        <f t="shared" si="219"/>
        <v>0.78038511690155121</v>
      </c>
      <c r="BD223" s="34">
        <f t="shared" si="220"/>
        <v>0</v>
      </c>
    </row>
    <row r="224" spans="1:56" x14ac:dyDescent="0.2">
      <c r="A224" s="27">
        <f t="shared" si="221"/>
        <v>220</v>
      </c>
      <c r="B224" s="28">
        <f t="shared" si="168"/>
        <v>220</v>
      </c>
      <c r="C224" s="27">
        <f t="shared" si="169"/>
        <v>18</v>
      </c>
      <c r="D224" s="28">
        <f t="shared" si="170"/>
        <v>38</v>
      </c>
      <c r="E224" s="29">
        <f t="shared" si="171"/>
        <v>0</v>
      </c>
      <c r="F224" s="30">
        <f t="shared" si="172"/>
        <v>6.8001497507251042E-4</v>
      </c>
      <c r="G224" s="31">
        <f t="shared" si="173"/>
        <v>5.6685584155502511E-5</v>
      </c>
      <c r="H224" s="32">
        <f t="shared" si="174"/>
        <v>0.02</v>
      </c>
      <c r="I224" s="32">
        <f t="shared" si="175"/>
        <v>0</v>
      </c>
      <c r="J224" s="33">
        <f t="shared" si="222"/>
        <v>0</v>
      </c>
      <c r="K224" s="30">
        <f t="shared" si="176"/>
        <v>0</v>
      </c>
      <c r="L224" s="33">
        <f t="shared" si="177"/>
        <v>0</v>
      </c>
      <c r="M224" s="30">
        <f t="shared" si="178"/>
        <v>0</v>
      </c>
      <c r="N224" s="33">
        <f t="shared" si="179"/>
        <v>0</v>
      </c>
      <c r="O224" s="31">
        <f t="shared" si="180"/>
        <v>0</v>
      </c>
      <c r="P224" s="33">
        <f t="shared" si="181"/>
        <v>0</v>
      </c>
      <c r="Q224" s="34">
        <f t="shared" si="223"/>
        <v>601490.81788469816</v>
      </c>
      <c r="R224" s="29">
        <f t="shared" si="182"/>
        <v>0</v>
      </c>
      <c r="S224" s="34">
        <f t="shared" si="183"/>
        <v>601490.81788469816</v>
      </c>
      <c r="T224" s="29">
        <f t="shared" si="184"/>
        <v>501.24234823724851</v>
      </c>
      <c r="U224" s="29">
        <f t="shared" si="185"/>
        <v>0</v>
      </c>
      <c r="V224" s="35">
        <f t="shared" si="186"/>
        <v>6.2354142571052762E-5</v>
      </c>
      <c r="W224" s="34">
        <f t="shared" si="187"/>
        <v>0</v>
      </c>
      <c r="X224" s="34">
        <f t="shared" si="188"/>
        <v>600989.57553646096</v>
      </c>
      <c r="Y224" s="36">
        <f t="shared" si="189"/>
        <v>-1.1194946775011094E-2</v>
      </c>
      <c r="Z224" s="34">
        <f t="shared" si="190"/>
        <v>-6728.0463104671899</v>
      </c>
      <c r="AA224" s="34">
        <f t="shared" si="191"/>
        <v>597625.55238122738</v>
      </c>
      <c r="AB224" s="34">
        <f t="shared" si="192"/>
        <v>0</v>
      </c>
      <c r="AC224" s="34">
        <f t="shared" si="193"/>
        <v>0</v>
      </c>
      <c r="AD224" s="34">
        <f t="shared" si="194"/>
        <v>0</v>
      </c>
      <c r="AE224" s="34">
        <f t="shared" si="195"/>
        <v>0</v>
      </c>
      <c r="AF224" s="34">
        <f t="shared" si="196"/>
        <v>0</v>
      </c>
      <c r="AG224" s="29">
        <f t="shared" si="197"/>
        <v>597625.55238122738</v>
      </c>
      <c r="AH224" s="34">
        <f t="shared" si="198"/>
        <v>0</v>
      </c>
      <c r="AI224" s="34">
        <f t="shared" si="199"/>
        <v>0</v>
      </c>
      <c r="AJ224" s="34">
        <f t="shared" si="200"/>
        <v>0</v>
      </c>
      <c r="AK224" s="34">
        <f t="shared" si="201"/>
        <v>0</v>
      </c>
      <c r="AL224" s="34">
        <f t="shared" si="202"/>
        <v>0</v>
      </c>
      <c r="AM224" s="34">
        <f t="shared" si="203"/>
        <v>0</v>
      </c>
      <c r="AN224" s="34">
        <f t="shared" si="204"/>
        <v>0</v>
      </c>
      <c r="AO224" s="34">
        <f t="shared" si="205"/>
        <v>0</v>
      </c>
      <c r="AP224" s="34">
        <f t="shared" si="206"/>
        <v>0</v>
      </c>
      <c r="AQ224" s="34">
        <f t="shared" si="207"/>
        <v>0</v>
      </c>
      <c r="AR224" s="34">
        <f t="shared" si="208"/>
        <v>0</v>
      </c>
      <c r="AS224" s="30">
        <f t="shared" si="209"/>
        <v>1.2001214167590504</v>
      </c>
      <c r="AT224" s="29">
        <f t="shared" si="210"/>
        <v>0</v>
      </c>
      <c r="AU224" s="29">
        <f t="shared" si="211"/>
        <v>0</v>
      </c>
      <c r="AV224" s="34">
        <f t="shared" si="212"/>
        <v>0</v>
      </c>
      <c r="AW224" s="34">
        <f t="shared" si="213"/>
        <v>0</v>
      </c>
      <c r="AX224" s="29">
        <f t="shared" si="214"/>
        <v>0</v>
      </c>
      <c r="AY224" s="34">
        <f t="shared" si="215"/>
        <v>0</v>
      </c>
      <c r="AZ224" s="37">
        <f t="shared" si="216"/>
        <v>0</v>
      </c>
      <c r="BA224" s="37">
        <f t="shared" si="217"/>
        <v>0</v>
      </c>
      <c r="BB224" s="35">
        <f t="shared" si="218"/>
        <v>1.1329140552198691E-3</v>
      </c>
      <c r="BC224" s="31">
        <f t="shared" si="219"/>
        <v>0.77950200812047921</v>
      </c>
      <c r="BD224" s="34">
        <f t="shared" si="220"/>
        <v>0</v>
      </c>
    </row>
    <row r="225" spans="1:56" x14ac:dyDescent="0.2">
      <c r="A225" s="27">
        <f t="shared" si="221"/>
        <v>221</v>
      </c>
      <c r="B225" s="28">
        <f t="shared" si="168"/>
        <v>221</v>
      </c>
      <c r="C225" s="27">
        <f t="shared" si="169"/>
        <v>18</v>
      </c>
      <c r="D225" s="28">
        <f t="shared" si="170"/>
        <v>38</v>
      </c>
      <c r="E225" s="29">
        <f t="shared" si="171"/>
        <v>0</v>
      </c>
      <c r="F225" s="30">
        <f t="shared" si="172"/>
        <v>6.8001497507251042E-4</v>
      </c>
      <c r="G225" s="31">
        <f t="shared" si="173"/>
        <v>5.6685584155502511E-5</v>
      </c>
      <c r="H225" s="32">
        <f t="shared" si="174"/>
        <v>0.02</v>
      </c>
      <c r="I225" s="32">
        <f t="shared" si="175"/>
        <v>0</v>
      </c>
      <c r="J225" s="33">
        <f t="shared" si="222"/>
        <v>0</v>
      </c>
      <c r="K225" s="30">
        <f t="shared" si="176"/>
        <v>0</v>
      </c>
      <c r="L225" s="33">
        <f t="shared" si="177"/>
        <v>0</v>
      </c>
      <c r="M225" s="30">
        <f t="shared" si="178"/>
        <v>0</v>
      </c>
      <c r="N225" s="33">
        <f t="shared" si="179"/>
        <v>0</v>
      </c>
      <c r="O225" s="31">
        <f t="shared" si="180"/>
        <v>0</v>
      </c>
      <c r="P225" s="33">
        <f t="shared" si="181"/>
        <v>0</v>
      </c>
      <c r="Q225" s="34">
        <f t="shared" si="223"/>
        <v>594261.52922599379</v>
      </c>
      <c r="R225" s="29">
        <f t="shared" si="182"/>
        <v>0</v>
      </c>
      <c r="S225" s="34">
        <f t="shared" si="183"/>
        <v>594261.52922599379</v>
      </c>
      <c r="T225" s="29">
        <f t="shared" si="184"/>
        <v>495.21794102166155</v>
      </c>
      <c r="U225" s="29">
        <f t="shared" si="185"/>
        <v>0</v>
      </c>
      <c r="V225" s="35">
        <f t="shared" si="186"/>
        <v>6.2354142571052762E-5</v>
      </c>
      <c r="W225" s="34">
        <f t="shared" si="187"/>
        <v>0</v>
      </c>
      <c r="X225" s="34">
        <f t="shared" si="188"/>
        <v>593766.31128497212</v>
      </c>
      <c r="Y225" s="36">
        <f t="shared" si="189"/>
        <v>2.116214094096458E-3</v>
      </c>
      <c r="Z225" s="34">
        <f t="shared" si="190"/>
        <v>1256.5366365409227</v>
      </c>
      <c r="AA225" s="34">
        <f t="shared" si="191"/>
        <v>594394.57960324257</v>
      </c>
      <c r="AB225" s="34">
        <f t="shared" si="192"/>
        <v>0</v>
      </c>
      <c r="AC225" s="34">
        <f t="shared" si="193"/>
        <v>0</v>
      </c>
      <c r="AD225" s="34">
        <f t="shared" si="194"/>
        <v>0</v>
      </c>
      <c r="AE225" s="34">
        <f t="shared" si="195"/>
        <v>0</v>
      </c>
      <c r="AF225" s="34">
        <f t="shared" si="196"/>
        <v>0</v>
      </c>
      <c r="AG225" s="29">
        <f t="shared" si="197"/>
        <v>594394.57960324257</v>
      </c>
      <c r="AH225" s="34">
        <f t="shared" si="198"/>
        <v>0</v>
      </c>
      <c r="AI225" s="34">
        <f t="shared" si="199"/>
        <v>0</v>
      </c>
      <c r="AJ225" s="34">
        <f t="shared" si="200"/>
        <v>0</v>
      </c>
      <c r="AK225" s="34">
        <f t="shared" si="201"/>
        <v>0</v>
      </c>
      <c r="AL225" s="34">
        <f t="shared" si="202"/>
        <v>0</v>
      </c>
      <c r="AM225" s="34">
        <f t="shared" si="203"/>
        <v>0</v>
      </c>
      <c r="AN225" s="34">
        <f t="shared" si="204"/>
        <v>0</v>
      </c>
      <c r="AO225" s="34">
        <f t="shared" si="205"/>
        <v>0</v>
      </c>
      <c r="AP225" s="34">
        <f t="shared" si="206"/>
        <v>0</v>
      </c>
      <c r="AQ225" s="34">
        <f t="shared" si="207"/>
        <v>0</v>
      </c>
      <c r="AR225" s="34">
        <f t="shared" si="208"/>
        <v>0</v>
      </c>
      <c r="AS225" s="30">
        <f t="shared" si="209"/>
        <v>1.2011169632160952</v>
      </c>
      <c r="AT225" s="29">
        <f t="shared" si="210"/>
        <v>0</v>
      </c>
      <c r="AU225" s="29">
        <f t="shared" si="211"/>
        <v>0</v>
      </c>
      <c r="AV225" s="34">
        <f t="shared" si="212"/>
        <v>0</v>
      </c>
      <c r="AW225" s="34">
        <f t="shared" si="213"/>
        <v>0</v>
      </c>
      <c r="AX225" s="29">
        <f t="shared" si="214"/>
        <v>0</v>
      </c>
      <c r="AY225" s="34">
        <f t="shared" si="215"/>
        <v>0</v>
      </c>
      <c r="AZ225" s="37">
        <f t="shared" si="216"/>
        <v>0</v>
      </c>
      <c r="BA225" s="37">
        <f t="shared" si="217"/>
        <v>0</v>
      </c>
      <c r="BB225" s="35">
        <f t="shared" si="218"/>
        <v>1.1329140552198691E-3</v>
      </c>
      <c r="BC225" s="31">
        <f t="shared" si="219"/>
        <v>0.77861989869357551</v>
      </c>
      <c r="BD225" s="34">
        <f t="shared" si="220"/>
        <v>0</v>
      </c>
    </row>
    <row r="226" spans="1:56" x14ac:dyDescent="0.2">
      <c r="A226" s="27">
        <f t="shared" si="221"/>
        <v>222</v>
      </c>
      <c r="B226" s="28">
        <f t="shared" si="168"/>
        <v>222</v>
      </c>
      <c r="C226" s="27">
        <f t="shared" si="169"/>
        <v>18</v>
      </c>
      <c r="D226" s="28">
        <f t="shared" si="170"/>
        <v>38</v>
      </c>
      <c r="E226" s="29">
        <f t="shared" si="171"/>
        <v>0</v>
      </c>
      <c r="F226" s="30">
        <f t="shared" si="172"/>
        <v>6.8001497507251042E-4</v>
      </c>
      <c r="G226" s="31">
        <f t="shared" si="173"/>
        <v>5.6685584155502511E-5</v>
      </c>
      <c r="H226" s="32">
        <f t="shared" si="174"/>
        <v>0.02</v>
      </c>
      <c r="I226" s="32">
        <f t="shared" si="175"/>
        <v>0</v>
      </c>
      <c r="J226" s="33">
        <f t="shared" si="222"/>
        <v>0</v>
      </c>
      <c r="K226" s="30">
        <f t="shared" si="176"/>
        <v>0</v>
      </c>
      <c r="L226" s="33">
        <f t="shared" si="177"/>
        <v>0</v>
      </c>
      <c r="M226" s="30">
        <f t="shared" si="178"/>
        <v>0</v>
      </c>
      <c r="N226" s="33">
        <f t="shared" si="179"/>
        <v>0</v>
      </c>
      <c r="O226" s="31">
        <f t="shared" si="180"/>
        <v>0</v>
      </c>
      <c r="P226" s="33">
        <f t="shared" si="181"/>
        <v>0</v>
      </c>
      <c r="Q226" s="34">
        <f t="shared" si="223"/>
        <v>595022.84792151302</v>
      </c>
      <c r="R226" s="29">
        <f t="shared" si="182"/>
        <v>0</v>
      </c>
      <c r="S226" s="34">
        <f t="shared" si="183"/>
        <v>595022.84792151302</v>
      </c>
      <c r="T226" s="29">
        <f t="shared" si="184"/>
        <v>495.85237326792753</v>
      </c>
      <c r="U226" s="29">
        <f t="shared" si="185"/>
        <v>0</v>
      </c>
      <c r="V226" s="35">
        <f t="shared" si="186"/>
        <v>6.2354142571052762E-5</v>
      </c>
      <c r="W226" s="34">
        <f t="shared" si="187"/>
        <v>0</v>
      </c>
      <c r="X226" s="34">
        <f t="shared" si="188"/>
        <v>594526.99554824515</v>
      </c>
      <c r="Y226" s="36">
        <f t="shared" si="189"/>
        <v>-1.6766795549072899E-2</v>
      </c>
      <c r="Z226" s="34">
        <f t="shared" si="190"/>
        <v>-9968.3125827620006</v>
      </c>
      <c r="AA226" s="34">
        <f t="shared" si="191"/>
        <v>589542.83925686416</v>
      </c>
      <c r="AB226" s="34">
        <f t="shared" si="192"/>
        <v>0</v>
      </c>
      <c r="AC226" s="34">
        <f t="shared" si="193"/>
        <v>0</v>
      </c>
      <c r="AD226" s="34">
        <f t="shared" si="194"/>
        <v>0</v>
      </c>
      <c r="AE226" s="34">
        <f t="shared" si="195"/>
        <v>0</v>
      </c>
      <c r="AF226" s="34">
        <f t="shared" si="196"/>
        <v>0</v>
      </c>
      <c r="AG226" s="29">
        <f t="shared" si="197"/>
        <v>589542.83925686416</v>
      </c>
      <c r="AH226" s="34">
        <f t="shared" si="198"/>
        <v>0</v>
      </c>
      <c r="AI226" s="34">
        <f t="shared" si="199"/>
        <v>0</v>
      </c>
      <c r="AJ226" s="34">
        <f t="shared" si="200"/>
        <v>0</v>
      </c>
      <c r="AK226" s="34">
        <f t="shared" si="201"/>
        <v>0</v>
      </c>
      <c r="AL226" s="34">
        <f t="shared" si="202"/>
        <v>0</v>
      </c>
      <c r="AM226" s="34">
        <f t="shared" si="203"/>
        <v>0</v>
      </c>
      <c r="AN226" s="34">
        <f t="shared" si="204"/>
        <v>0</v>
      </c>
      <c r="AO226" s="34">
        <f t="shared" si="205"/>
        <v>0</v>
      </c>
      <c r="AP226" s="34">
        <f t="shared" si="206"/>
        <v>0</v>
      </c>
      <c r="AQ226" s="34">
        <f t="shared" si="207"/>
        <v>0</v>
      </c>
      <c r="AR226" s="34">
        <f t="shared" si="208"/>
        <v>0</v>
      </c>
      <c r="AS226" s="30">
        <f t="shared" si="209"/>
        <v>1.2021133355168707</v>
      </c>
      <c r="AT226" s="29">
        <f t="shared" si="210"/>
        <v>0</v>
      </c>
      <c r="AU226" s="29">
        <f t="shared" si="211"/>
        <v>0</v>
      </c>
      <c r="AV226" s="34">
        <f t="shared" si="212"/>
        <v>0</v>
      </c>
      <c r="AW226" s="34">
        <f t="shared" si="213"/>
        <v>0</v>
      </c>
      <c r="AX226" s="29">
        <f t="shared" si="214"/>
        <v>0</v>
      </c>
      <c r="AY226" s="34">
        <f t="shared" si="215"/>
        <v>0</v>
      </c>
      <c r="AZ226" s="37">
        <f t="shared" si="216"/>
        <v>0</v>
      </c>
      <c r="BA226" s="37">
        <f t="shared" si="217"/>
        <v>0</v>
      </c>
      <c r="BB226" s="35">
        <f t="shared" si="218"/>
        <v>1.1329140552198691E-3</v>
      </c>
      <c r="BC226" s="31">
        <f t="shared" si="219"/>
        <v>0.77773878748993852</v>
      </c>
      <c r="BD226" s="34">
        <f t="shared" si="220"/>
        <v>0</v>
      </c>
    </row>
    <row r="227" spans="1:56" x14ac:dyDescent="0.2">
      <c r="A227" s="27">
        <f t="shared" si="221"/>
        <v>223</v>
      </c>
      <c r="B227" s="28">
        <f t="shared" si="168"/>
        <v>223</v>
      </c>
      <c r="C227" s="27">
        <f t="shared" si="169"/>
        <v>18</v>
      </c>
      <c r="D227" s="28">
        <f t="shared" si="170"/>
        <v>38</v>
      </c>
      <c r="E227" s="29">
        <f t="shared" si="171"/>
        <v>0</v>
      </c>
      <c r="F227" s="30">
        <f t="shared" si="172"/>
        <v>6.8001497507251042E-4</v>
      </c>
      <c r="G227" s="31">
        <f t="shared" si="173"/>
        <v>5.6685584155502511E-5</v>
      </c>
      <c r="H227" s="32">
        <f t="shared" si="174"/>
        <v>0.02</v>
      </c>
      <c r="I227" s="32">
        <f t="shared" si="175"/>
        <v>0</v>
      </c>
      <c r="J227" s="33">
        <f t="shared" si="222"/>
        <v>0</v>
      </c>
      <c r="K227" s="30">
        <f t="shared" si="176"/>
        <v>0</v>
      </c>
      <c r="L227" s="33">
        <f t="shared" si="177"/>
        <v>0</v>
      </c>
      <c r="M227" s="30">
        <f t="shared" si="178"/>
        <v>0</v>
      </c>
      <c r="N227" s="33">
        <f t="shared" si="179"/>
        <v>0</v>
      </c>
      <c r="O227" s="31">
        <f t="shared" si="180"/>
        <v>0</v>
      </c>
      <c r="P227" s="33">
        <f t="shared" si="181"/>
        <v>0</v>
      </c>
      <c r="Q227" s="34">
        <f t="shared" si="223"/>
        <v>584558.68296548317</v>
      </c>
      <c r="R227" s="29">
        <f t="shared" si="182"/>
        <v>0</v>
      </c>
      <c r="S227" s="34">
        <f t="shared" si="183"/>
        <v>584558.68296548317</v>
      </c>
      <c r="T227" s="29">
        <f t="shared" si="184"/>
        <v>487.13223580456935</v>
      </c>
      <c r="U227" s="29">
        <f t="shared" si="185"/>
        <v>0</v>
      </c>
      <c r="V227" s="35">
        <f t="shared" si="186"/>
        <v>6.2354142571052762E-5</v>
      </c>
      <c r="W227" s="34">
        <f t="shared" si="187"/>
        <v>0</v>
      </c>
      <c r="X227" s="34">
        <f t="shared" si="188"/>
        <v>584071.55072967859</v>
      </c>
      <c r="Y227" s="36">
        <f t="shared" si="189"/>
        <v>-5.6445372877214073E-3</v>
      </c>
      <c r="Z227" s="34">
        <f t="shared" si="190"/>
        <v>-3296.8136467909362</v>
      </c>
      <c r="AA227" s="34">
        <f t="shared" si="191"/>
        <v>582423.14390628308</v>
      </c>
      <c r="AB227" s="34">
        <f t="shared" si="192"/>
        <v>0</v>
      </c>
      <c r="AC227" s="34">
        <f t="shared" si="193"/>
        <v>0</v>
      </c>
      <c r="AD227" s="34">
        <f t="shared" si="194"/>
        <v>0</v>
      </c>
      <c r="AE227" s="34">
        <f t="shared" si="195"/>
        <v>0</v>
      </c>
      <c r="AF227" s="34">
        <f t="shared" si="196"/>
        <v>0</v>
      </c>
      <c r="AG227" s="29">
        <f t="shared" si="197"/>
        <v>582423.14390628308</v>
      </c>
      <c r="AH227" s="34">
        <f t="shared" si="198"/>
        <v>0</v>
      </c>
      <c r="AI227" s="34">
        <f t="shared" si="199"/>
        <v>0</v>
      </c>
      <c r="AJ227" s="34">
        <f t="shared" si="200"/>
        <v>0</v>
      </c>
      <c r="AK227" s="34">
        <f t="shared" si="201"/>
        <v>0</v>
      </c>
      <c r="AL227" s="34">
        <f t="shared" si="202"/>
        <v>0</v>
      </c>
      <c r="AM227" s="34">
        <f t="shared" si="203"/>
        <v>0</v>
      </c>
      <c r="AN227" s="34">
        <f t="shared" si="204"/>
        <v>0</v>
      </c>
      <c r="AO227" s="34">
        <f t="shared" si="205"/>
        <v>0</v>
      </c>
      <c r="AP227" s="34">
        <f t="shared" si="206"/>
        <v>0</v>
      </c>
      <c r="AQ227" s="34">
        <f t="shared" si="207"/>
        <v>0</v>
      </c>
      <c r="AR227" s="34">
        <f t="shared" si="208"/>
        <v>0</v>
      </c>
      <c r="AS227" s="30">
        <f t="shared" si="209"/>
        <v>1.2031105343464459</v>
      </c>
      <c r="AT227" s="29">
        <f t="shared" si="210"/>
        <v>0</v>
      </c>
      <c r="AU227" s="29">
        <f t="shared" si="211"/>
        <v>0</v>
      </c>
      <c r="AV227" s="34">
        <f t="shared" si="212"/>
        <v>0</v>
      </c>
      <c r="AW227" s="34">
        <f t="shared" si="213"/>
        <v>0</v>
      </c>
      <c r="AX227" s="29">
        <f t="shared" si="214"/>
        <v>0</v>
      </c>
      <c r="AY227" s="34">
        <f t="shared" si="215"/>
        <v>0</v>
      </c>
      <c r="AZ227" s="37">
        <f t="shared" si="216"/>
        <v>0</v>
      </c>
      <c r="BA227" s="37">
        <f t="shared" si="217"/>
        <v>0</v>
      </c>
      <c r="BB227" s="35">
        <f t="shared" si="218"/>
        <v>1.1329140552198691E-3</v>
      </c>
      <c r="BC227" s="31">
        <f t="shared" si="219"/>
        <v>0.77685867337994707</v>
      </c>
      <c r="BD227" s="34">
        <f t="shared" si="220"/>
        <v>0</v>
      </c>
    </row>
    <row r="228" spans="1:56" x14ac:dyDescent="0.2">
      <c r="A228" s="27">
        <f t="shared" si="221"/>
        <v>224</v>
      </c>
      <c r="B228" s="28">
        <f t="shared" si="168"/>
        <v>224</v>
      </c>
      <c r="C228" s="27">
        <f t="shared" si="169"/>
        <v>18</v>
      </c>
      <c r="D228" s="28">
        <f t="shared" si="170"/>
        <v>38</v>
      </c>
      <c r="E228" s="29">
        <f t="shared" si="171"/>
        <v>0</v>
      </c>
      <c r="F228" s="30">
        <f t="shared" si="172"/>
        <v>6.8001497507251042E-4</v>
      </c>
      <c r="G228" s="31">
        <f t="shared" si="173"/>
        <v>5.6685584155502511E-5</v>
      </c>
      <c r="H228" s="32">
        <f t="shared" si="174"/>
        <v>0.02</v>
      </c>
      <c r="I228" s="32">
        <f t="shared" si="175"/>
        <v>0</v>
      </c>
      <c r="J228" s="33">
        <f t="shared" si="222"/>
        <v>0</v>
      </c>
      <c r="K228" s="30">
        <f t="shared" si="176"/>
        <v>0</v>
      </c>
      <c r="L228" s="33">
        <f t="shared" si="177"/>
        <v>0</v>
      </c>
      <c r="M228" s="30">
        <f t="shared" si="178"/>
        <v>0</v>
      </c>
      <c r="N228" s="33">
        <f t="shared" si="179"/>
        <v>0</v>
      </c>
      <c r="O228" s="31">
        <f t="shared" si="180"/>
        <v>0</v>
      </c>
      <c r="P228" s="33">
        <f t="shared" si="181"/>
        <v>0</v>
      </c>
      <c r="Q228" s="34">
        <f t="shared" si="223"/>
        <v>580774.73708288767</v>
      </c>
      <c r="R228" s="29">
        <f t="shared" si="182"/>
        <v>0</v>
      </c>
      <c r="S228" s="34">
        <f t="shared" si="183"/>
        <v>580774.73708288767</v>
      </c>
      <c r="T228" s="29">
        <f t="shared" si="184"/>
        <v>483.97894756907311</v>
      </c>
      <c r="U228" s="29">
        <f t="shared" si="185"/>
        <v>0</v>
      </c>
      <c r="V228" s="35">
        <f t="shared" si="186"/>
        <v>6.2354142571052762E-5</v>
      </c>
      <c r="W228" s="34">
        <f t="shared" si="187"/>
        <v>0</v>
      </c>
      <c r="X228" s="34">
        <f t="shared" si="188"/>
        <v>580290.75813531864</v>
      </c>
      <c r="Y228" s="36">
        <f t="shared" si="189"/>
        <v>-4.1007731467628261E-3</v>
      </c>
      <c r="Z228" s="34">
        <f t="shared" si="190"/>
        <v>-2379.6407582759566</v>
      </c>
      <c r="AA228" s="34">
        <f t="shared" si="191"/>
        <v>579100.93775618065</v>
      </c>
      <c r="AB228" s="34">
        <f t="shared" si="192"/>
        <v>0</v>
      </c>
      <c r="AC228" s="34">
        <f t="shared" si="193"/>
        <v>0</v>
      </c>
      <c r="AD228" s="34">
        <f t="shared" si="194"/>
        <v>0</v>
      </c>
      <c r="AE228" s="34">
        <f t="shared" si="195"/>
        <v>0</v>
      </c>
      <c r="AF228" s="34">
        <f t="shared" si="196"/>
        <v>0</v>
      </c>
      <c r="AG228" s="29">
        <f t="shared" si="197"/>
        <v>579100.93775618065</v>
      </c>
      <c r="AH228" s="34">
        <f t="shared" si="198"/>
        <v>0</v>
      </c>
      <c r="AI228" s="34">
        <f t="shared" si="199"/>
        <v>0</v>
      </c>
      <c r="AJ228" s="34">
        <f t="shared" si="200"/>
        <v>0</v>
      </c>
      <c r="AK228" s="34">
        <f t="shared" si="201"/>
        <v>0</v>
      </c>
      <c r="AL228" s="34">
        <f t="shared" si="202"/>
        <v>0</v>
      </c>
      <c r="AM228" s="34">
        <f t="shared" si="203"/>
        <v>0</v>
      </c>
      <c r="AN228" s="34">
        <f t="shared" si="204"/>
        <v>0</v>
      </c>
      <c r="AO228" s="34">
        <f t="shared" si="205"/>
        <v>0</v>
      </c>
      <c r="AP228" s="34">
        <f t="shared" si="206"/>
        <v>0</v>
      </c>
      <c r="AQ228" s="34">
        <f t="shared" si="207"/>
        <v>0</v>
      </c>
      <c r="AR228" s="34">
        <f t="shared" si="208"/>
        <v>0</v>
      </c>
      <c r="AS228" s="30">
        <f t="shared" si="209"/>
        <v>1.2041085603904578</v>
      </c>
      <c r="AT228" s="29">
        <f t="shared" si="210"/>
        <v>0</v>
      </c>
      <c r="AU228" s="29">
        <f t="shared" si="211"/>
        <v>0</v>
      </c>
      <c r="AV228" s="34">
        <f t="shared" si="212"/>
        <v>0</v>
      </c>
      <c r="AW228" s="34">
        <f t="shared" si="213"/>
        <v>0</v>
      </c>
      <c r="AX228" s="29">
        <f t="shared" si="214"/>
        <v>0</v>
      </c>
      <c r="AY228" s="34">
        <f t="shared" si="215"/>
        <v>0</v>
      </c>
      <c r="AZ228" s="37">
        <f t="shared" si="216"/>
        <v>0</v>
      </c>
      <c r="BA228" s="37">
        <f t="shared" si="217"/>
        <v>0</v>
      </c>
      <c r="BB228" s="35">
        <f t="shared" si="218"/>
        <v>1.1329140552198691E-3</v>
      </c>
      <c r="BC228" s="31">
        <f t="shared" si="219"/>
        <v>0.77597955523525752</v>
      </c>
      <c r="BD228" s="34">
        <f t="shared" si="220"/>
        <v>0</v>
      </c>
    </row>
    <row r="229" spans="1:56" x14ac:dyDescent="0.2">
      <c r="A229" s="27">
        <f t="shared" si="221"/>
        <v>225</v>
      </c>
      <c r="B229" s="28">
        <f t="shared" si="168"/>
        <v>225</v>
      </c>
      <c r="C229" s="27">
        <f t="shared" si="169"/>
        <v>18</v>
      </c>
      <c r="D229" s="28">
        <f t="shared" si="170"/>
        <v>38</v>
      </c>
      <c r="E229" s="29">
        <f t="shared" si="171"/>
        <v>0</v>
      </c>
      <c r="F229" s="30">
        <f t="shared" si="172"/>
        <v>6.8001497507251042E-4</v>
      </c>
      <c r="G229" s="31">
        <f t="shared" si="173"/>
        <v>5.6685584155502511E-5</v>
      </c>
      <c r="H229" s="32">
        <f t="shared" si="174"/>
        <v>0.02</v>
      </c>
      <c r="I229" s="32">
        <f t="shared" si="175"/>
        <v>0</v>
      </c>
      <c r="J229" s="33">
        <f t="shared" si="222"/>
        <v>0</v>
      </c>
      <c r="K229" s="30">
        <f t="shared" si="176"/>
        <v>0</v>
      </c>
      <c r="L229" s="33">
        <f t="shared" si="177"/>
        <v>0</v>
      </c>
      <c r="M229" s="30">
        <f t="shared" si="178"/>
        <v>0</v>
      </c>
      <c r="N229" s="33">
        <f t="shared" si="179"/>
        <v>0</v>
      </c>
      <c r="O229" s="31">
        <f t="shared" si="180"/>
        <v>0</v>
      </c>
      <c r="P229" s="33">
        <f t="shared" si="181"/>
        <v>0</v>
      </c>
      <c r="Q229" s="34">
        <f t="shared" si="223"/>
        <v>577911.11737704265</v>
      </c>
      <c r="R229" s="29">
        <f t="shared" si="182"/>
        <v>0</v>
      </c>
      <c r="S229" s="34">
        <f t="shared" si="183"/>
        <v>577911.11737704265</v>
      </c>
      <c r="T229" s="29">
        <f t="shared" si="184"/>
        <v>481.59259781420224</v>
      </c>
      <c r="U229" s="29">
        <f t="shared" si="185"/>
        <v>0</v>
      </c>
      <c r="V229" s="35">
        <f t="shared" si="186"/>
        <v>6.2354142571052762E-5</v>
      </c>
      <c r="W229" s="34">
        <f t="shared" si="187"/>
        <v>0</v>
      </c>
      <c r="X229" s="34">
        <f t="shared" si="188"/>
        <v>577429.52477922849</v>
      </c>
      <c r="Y229" s="36">
        <f t="shared" si="189"/>
        <v>2.1115855737188216E-3</v>
      </c>
      <c r="Z229" s="34">
        <f t="shared" si="190"/>
        <v>1219.2918543631338</v>
      </c>
      <c r="AA229" s="34">
        <f t="shared" si="191"/>
        <v>578039.17070641008</v>
      </c>
      <c r="AB229" s="34">
        <f t="shared" si="192"/>
        <v>0</v>
      </c>
      <c r="AC229" s="34">
        <f t="shared" si="193"/>
        <v>0</v>
      </c>
      <c r="AD229" s="34">
        <f t="shared" si="194"/>
        <v>0</v>
      </c>
      <c r="AE229" s="34">
        <f t="shared" si="195"/>
        <v>0</v>
      </c>
      <c r="AF229" s="34">
        <f t="shared" si="196"/>
        <v>0</v>
      </c>
      <c r="AG229" s="29">
        <f t="shared" si="197"/>
        <v>578039.17070641008</v>
      </c>
      <c r="AH229" s="34">
        <f t="shared" si="198"/>
        <v>0</v>
      </c>
      <c r="AI229" s="34">
        <f t="shared" si="199"/>
        <v>0</v>
      </c>
      <c r="AJ229" s="34">
        <f t="shared" si="200"/>
        <v>0</v>
      </c>
      <c r="AK229" s="34">
        <f t="shared" si="201"/>
        <v>0</v>
      </c>
      <c r="AL229" s="34">
        <f t="shared" si="202"/>
        <v>0</v>
      </c>
      <c r="AM229" s="34">
        <f t="shared" si="203"/>
        <v>0</v>
      </c>
      <c r="AN229" s="34">
        <f t="shared" si="204"/>
        <v>0</v>
      </c>
      <c r="AO229" s="34">
        <f t="shared" si="205"/>
        <v>0</v>
      </c>
      <c r="AP229" s="34">
        <f t="shared" si="206"/>
        <v>0</v>
      </c>
      <c r="AQ229" s="34">
        <f t="shared" si="207"/>
        <v>0</v>
      </c>
      <c r="AR229" s="34">
        <f t="shared" si="208"/>
        <v>0</v>
      </c>
      <c r="AS229" s="30">
        <f t="shared" si="209"/>
        <v>1.2051074143351121</v>
      </c>
      <c r="AT229" s="29">
        <f t="shared" si="210"/>
        <v>0</v>
      </c>
      <c r="AU229" s="29">
        <f t="shared" si="211"/>
        <v>0</v>
      </c>
      <c r="AV229" s="34">
        <f t="shared" si="212"/>
        <v>0</v>
      </c>
      <c r="AW229" s="34">
        <f t="shared" si="213"/>
        <v>0</v>
      </c>
      <c r="AX229" s="29">
        <f t="shared" si="214"/>
        <v>0</v>
      </c>
      <c r="AY229" s="34">
        <f t="shared" si="215"/>
        <v>0</v>
      </c>
      <c r="AZ229" s="37">
        <f t="shared" si="216"/>
        <v>0</v>
      </c>
      <c r="BA229" s="37">
        <f t="shared" si="217"/>
        <v>0</v>
      </c>
      <c r="BB229" s="35">
        <f t="shared" si="218"/>
        <v>1.1329140552198691E-3</v>
      </c>
      <c r="BC229" s="31">
        <f t="shared" si="219"/>
        <v>0.77510143192880454</v>
      </c>
      <c r="BD229" s="34">
        <f t="shared" si="220"/>
        <v>0</v>
      </c>
    </row>
    <row r="230" spans="1:56" x14ac:dyDescent="0.2">
      <c r="A230" s="27">
        <f t="shared" si="221"/>
        <v>226</v>
      </c>
      <c r="B230" s="28">
        <f t="shared" si="168"/>
        <v>226</v>
      </c>
      <c r="C230" s="27">
        <f t="shared" si="169"/>
        <v>18</v>
      </c>
      <c r="D230" s="28">
        <f t="shared" si="170"/>
        <v>38</v>
      </c>
      <c r="E230" s="29">
        <f t="shared" si="171"/>
        <v>0</v>
      </c>
      <c r="F230" s="30">
        <f t="shared" si="172"/>
        <v>6.8001497507251042E-4</v>
      </c>
      <c r="G230" s="31">
        <f t="shared" si="173"/>
        <v>5.6685584155502511E-5</v>
      </c>
      <c r="H230" s="32">
        <f t="shared" si="174"/>
        <v>0.02</v>
      </c>
      <c r="I230" s="32">
        <f t="shared" si="175"/>
        <v>0</v>
      </c>
      <c r="J230" s="33">
        <f t="shared" si="222"/>
        <v>0</v>
      </c>
      <c r="K230" s="30">
        <f t="shared" si="176"/>
        <v>0</v>
      </c>
      <c r="L230" s="33">
        <f t="shared" si="177"/>
        <v>0</v>
      </c>
      <c r="M230" s="30">
        <f t="shared" si="178"/>
        <v>0</v>
      </c>
      <c r="N230" s="33">
        <f t="shared" si="179"/>
        <v>0</v>
      </c>
      <c r="O230" s="31">
        <f t="shared" si="180"/>
        <v>0</v>
      </c>
      <c r="P230" s="33">
        <f t="shared" si="181"/>
        <v>0</v>
      </c>
      <c r="Q230" s="34">
        <f t="shared" si="223"/>
        <v>578648.81663359166</v>
      </c>
      <c r="R230" s="29">
        <f t="shared" si="182"/>
        <v>0</v>
      </c>
      <c r="S230" s="34">
        <f t="shared" si="183"/>
        <v>578648.81663359166</v>
      </c>
      <c r="T230" s="29">
        <f t="shared" si="184"/>
        <v>482.20734719465975</v>
      </c>
      <c r="U230" s="29">
        <f t="shared" si="185"/>
        <v>0</v>
      </c>
      <c r="V230" s="35">
        <f t="shared" si="186"/>
        <v>6.2354142571052762E-5</v>
      </c>
      <c r="W230" s="34">
        <f t="shared" si="187"/>
        <v>0</v>
      </c>
      <c r="X230" s="34">
        <f t="shared" si="188"/>
        <v>578166.609286397</v>
      </c>
      <c r="Y230" s="36">
        <f t="shared" si="189"/>
        <v>-1.5816277274989576E-2</v>
      </c>
      <c r="Z230" s="34">
        <f t="shared" si="190"/>
        <v>-9144.4434036142175</v>
      </c>
      <c r="AA230" s="34">
        <f t="shared" si="191"/>
        <v>573594.38758458989</v>
      </c>
      <c r="AB230" s="34">
        <f t="shared" si="192"/>
        <v>0</v>
      </c>
      <c r="AC230" s="34">
        <f t="shared" si="193"/>
        <v>0</v>
      </c>
      <c r="AD230" s="34">
        <f t="shared" si="194"/>
        <v>0</v>
      </c>
      <c r="AE230" s="34">
        <f t="shared" si="195"/>
        <v>0</v>
      </c>
      <c r="AF230" s="34">
        <f t="shared" si="196"/>
        <v>0</v>
      </c>
      <c r="AG230" s="29">
        <f t="shared" si="197"/>
        <v>573594.38758458989</v>
      </c>
      <c r="AH230" s="34">
        <f t="shared" si="198"/>
        <v>0</v>
      </c>
      <c r="AI230" s="34">
        <f t="shared" si="199"/>
        <v>0</v>
      </c>
      <c r="AJ230" s="34">
        <f t="shared" si="200"/>
        <v>0</v>
      </c>
      <c r="AK230" s="34">
        <f t="shared" si="201"/>
        <v>0</v>
      </c>
      <c r="AL230" s="34">
        <f t="shared" si="202"/>
        <v>0</v>
      </c>
      <c r="AM230" s="34">
        <f t="shared" si="203"/>
        <v>0</v>
      </c>
      <c r="AN230" s="34">
        <f t="shared" si="204"/>
        <v>0</v>
      </c>
      <c r="AO230" s="34">
        <f t="shared" si="205"/>
        <v>0</v>
      </c>
      <c r="AP230" s="34">
        <f t="shared" si="206"/>
        <v>0</v>
      </c>
      <c r="AQ230" s="34">
        <f t="shared" si="207"/>
        <v>0</v>
      </c>
      <c r="AR230" s="34">
        <f t="shared" si="208"/>
        <v>0</v>
      </c>
      <c r="AS230" s="30">
        <f t="shared" si="209"/>
        <v>1.2061070968671845</v>
      </c>
      <c r="AT230" s="29">
        <f t="shared" si="210"/>
        <v>0</v>
      </c>
      <c r="AU230" s="29">
        <f t="shared" si="211"/>
        <v>0</v>
      </c>
      <c r="AV230" s="34">
        <f t="shared" si="212"/>
        <v>0</v>
      </c>
      <c r="AW230" s="34">
        <f t="shared" si="213"/>
        <v>0</v>
      </c>
      <c r="AX230" s="29">
        <f t="shared" si="214"/>
        <v>0</v>
      </c>
      <c r="AY230" s="34">
        <f t="shared" si="215"/>
        <v>0</v>
      </c>
      <c r="AZ230" s="37">
        <f t="shared" si="216"/>
        <v>0</v>
      </c>
      <c r="BA230" s="37">
        <f t="shared" si="217"/>
        <v>0</v>
      </c>
      <c r="BB230" s="35">
        <f t="shared" si="218"/>
        <v>1.1329140552198691E-3</v>
      </c>
      <c r="BC230" s="31">
        <f t="shared" si="219"/>
        <v>0.77422430233479667</v>
      </c>
      <c r="BD230" s="34">
        <f t="shared" si="220"/>
        <v>0</v>
      </c>
    </row>
    <row r="231" spans="1:56" x14ac:dyDescent="0.2">
      <c r="A231" s="27">
        <f t="shared" si="221"/>
        <v>227</v>
      </c>
      <c r="B231" s="28">
        <f t="shared" si="168"/>
        <v>227</v>
      </c>
      <c r="C231" s="27">
        <f t="shared" si="169"/>
        <v>18</v>
      </c>
      <c r="D231" s="28">
        <f t="shared" si="170"/>
        <v>38</v>
      </c>
      <c r="E231" s="29">
        <f t="shared" si="171"/>
        <v>0</v>
      </c>
      <c r="F231" s="30">
        <f t="shared" si="172"/>
        <v>6.8001497507251042E-4</v>
      </c>
      <c r="G231" s="31">
        <f t="shared" si="173"/>
        <v>5.6685584155502511E-5</v>
      </c>
      <c r="H231" s="32">
        <f t="shared" si="174"/>
        <v>0.02</v>
      </c>
      <c r="I231" s="32">
        <f t="shared" si="175"/>
        <v>0</v>
      </c>
      <c r="J231" s="33">
        <f t="shared" si="222"/>
        <v>0</v>
      </c>
      <c r="K231" s="30">
        <f t="shared" si="176"/>
        <v>0</v>
      </c>
      <c r="L231" s="33">
        <f t="shared" si="177"/>
        <v>0</v>
      </c>
      <c r="M231" s="30">
        <f t="shared" si="178"/>
        <v>0</v>
      </c>
      <c r="N231" s="33">
        <f t="shared" si="179"/>
        <v>0</v>
      </c>
      <c r="O231" s="31">
        <f t="shared" si="180"/>
        <v>0</v>
      </c>
      <c r="P231" s="33">
        <f t="shared" si="181"/>
        <v>0</v>
      </c>
      <c r="Q231" s="34">
        <f t="shared" si="223"/>
        <v>569022.16588278278</v>
      </c>
      <c r="R231" s="29">
        <f t="shared" si="182"/>
        <v>0</v>
      </c>
      <c r="S231" s="34">
        <f t="shared" si="183"/>
        <v>569022.16588278278</v>
      </c>
      <c r="T231" s="29">
        <f t="shared" si="184"/>
        <v>474.18513823565235</v>
      </c>
      <c r="U231" s="29">
        <f t="shared" si="185"/>
        <v>0</v>
      </c>
      <c r="V231" s="35">
        <f t="shared" si="186"/>
        <v>6.2354142571052762E-5</v>
      </c>
      <c r="W231" s="34">
        <f t="shared" si="187"/>
        <v>0</v>
      </c>
      <c r="X231" s="34">
        <f t="shared" si="188"/>
        <v>568547.98074454709</v>
      </c>
      <c r="Y231" s="36">
        <f t="shared" si="189"/>
        <v>7.1666271561117156E-3</v>
      </c>
      <c r="Z231" s="34">
        <f t="shared" si="190"/>
        <v>4074.5713983563519</v>
      </c>
      <c r="AA231" s="34">
        <f t="shared" si="191"/>
        <v>570585.26644372533</v>
      </c>
      <c r="AB231" s="34">
        <f t="shared" si="192"/>
        <v>0</v>
      </c>
      <c r="AC231" s="34">
        <f t="shared" si="193"/>
        <v>0</v>
      </c>
      <c r="AD231" s="34">
        <f t="shared" si="194"/>
        <v>0</v>
      </c>
      <c r="AE231" s="34">
        <f t="shared" si="195"/>
        <v>0</v>
      </c>
      <c r="AF231" s="34">
        <f t="shared" si="196"/>
        <v>0</v>
      </c>
      <c r="AG231" s="29">
        <f t="shared" si="197"/>
        <v>570585.26644372533</v>
      </c>
      <c r="AH231" s="34">
        <f t="shared" si="198"/>
        <v>0</v>
      </c>
      <c r="AI231" s="34">
        <f t="shared" si="199"/>
        <v>0</v>
      </c>
      <c r="AJ231" s="34">
        <f t="shared" si="200"/>
        <v>0</v>
      </c>
      <c r="AK231" s="34">
        <f t="shared" si="201"/>
        <v>0</v>
      </c>
      <c r="AL231" s="34">
        <f t="shared" si="202"/>
        <v>0</v>
      </c>
      <c r="AM231" s="34">
        <f t="shared" si="203"/>
        <v>0</v>
      </c>
      <c r="AN231" s="34">
        <f t="shared" si="204"/>
        <v>0</v>
      </c>
      <c r="AO231" s="34">
        <f t="shared" si="205"/>
        <v>0</v>
      </c>
      <c r="AP231" s="34">
        <f t="shared" si="206"/>
        <v>0</v>
      </c>
      <c r="AQ231" s="34">
        <f t="shared" si="207"/>
        <v>0</v>
      </c>
      <c r="AR231" s="34">
        <f t="shared" si="208"/>
        <v>0</v>
      </c>
      <c r="AS231" s="30">
        <f t="shared" si="209"/>
        <v>1.2071076086740193</v>
      </c>
      <c r="AT231" s="29">
        <f t="shared" si="210"/>
        <v>0</v>
      </c>
      <c r="AU231" s="29">
        <f t="shared" si="211"/>
        <v>0</v>
      </c>
      <c r="AV231" s="34">
        <f t="shared" si="212"/>
        <v>0</v>
      </c>
      <c r="AW231" s="34">
        <f t="shared" si="213"/>
        <v>0</v>
      </c>
      <c r="AX231" s="29">
        <f t="shared" si="214"/>
        <v>0</v>
      </c>
      <c r="AY231" s="34">
        <f t="shared" si="215"/>
        <v>0</v>
      </c>
      <c r="AZ231" s="37">
        <f t="shared" si="216"/>
        <v>0</v>
      </c>
      <c r="BA231" s="37">
        <f t="shared" si="217"/>
        <v>0</v>
      </c>
      <c r="BB231" s="35">
        <f t="shared" si="218"/>
        <v>1.1329140552198691E-3</v>
      </c>
      <c r="BC231" s="31">
        <f t="shared" si="219"/>
        <v>0.7733481653287172</v>
      </c>
      <c r="BD231" s="34">
        <f t="shared" si="220"/>
        <v>0</v>
      </c>
    </row>
    <row r="232" spans="1:56" x14ac:dyDescent="0.2">
      <c r="A232" s="27">
        <f t="shared" si="221"/>
        <v>228</v>
      </c>
      <c r="B232" s="28">
        <f t="shared" si="168"/>
        <v>228</v>
      </c>
      <c r="C232" s="27">
        <f t="shared" si="169"/>
        <v>19</v>
      </c>
      <c r="D232" s="28">
        <f t="shared" si="170"/>
        <v>39</v>
      </c>
      <c r="E232" s="29">
        <f t="shared" si="171"/>
        <v>0</v>
      </c>
      <c r="F232" s="30">
        <f t="shared" si="172"/>
        <v>7.1056521686731157E-4</v>
      </c>
      <c r="G232" s="31">
        <f t="shared" si="173"/>
        <v>5.9233061318275659E-5</v>
      </c>
      <c r="H232" s="32">
        <f t="shared" si="174"/>
        <v>0.02</v>
      </c>
      <c r="I232" s="32">
        <f t="shared" si="175"/>
        <v>0</v>
      </c>
      <c r="J232" s="33">
        <f t="shared" si="222"/>
        <v>0</v>
      </c>
      <c r="K232" s="30">
        <f t="shared" si="176"/>
        <v>0</v>
      </c>
      <c r="L232" s="33">
        <f t="shared" si="177"/>
        <v>0</v>
      </c>
      <c r="M232" s="30">
        <f t="shared" si="178"/>
        <v>0</v>
      </c>
      <c r="N232" s="33">
        <f t="shared" si="179"/>
        <v>0</v>
      </c>
      <c r="O232" s="31">
        <f t="shared" si="180"/>
        <v>0</v>
      </c>
      <c r="P232" s="33">
        <f t="shared" si="181"/>
        <v>0</v>
      </c>
      <c r="Q232" s="34">
        <f t="shared" si="223"/>
        <v>572622.55214290344</v>
      </c>
      <c r="R232" s="29">
        <f t="shared" si="182"/>
        <v>0</v>
      </c>
      <c r="S232" s="34">
        <f t="shared" si="183"/>
        <v>572622.55214290344</v>
      </c>
      <c r="T232" s="29">
        <f t="shared" si="184"/>
        <v>477.18546011908626</v>
      </c>
      <c r="U232" s="29">
        <f t="shared" si="185"/>
        <v>0</v>
      </c>
      <c r="V232" s="35">
        <f t="shared" si="186"/>
        <v>6.5156367450103233E-5</v>
      </c>
      <c r="W232" s="34">
        <f t="shared" si="187"/>
        <v>0</v>
      </c>
      <c r="X232" s="34">
        <f t="shared" si="188"/>
        <v>572145.3666827844</v>
      </c>
      <c r="Y232" s="36">
        <f t="shared" si="189"/>
        <v>-6.8103374838227593E-3</v>
      </c>
      <c r="Z232" s="34">
        <f t="shared" si="190"/>
        <v>-3896.5030369152837</v>
      </c>
      <c r="AA232" s="34">
        <f t="shared" si="191"/>
        <v>570197.11516432674</v>
      </c>
      <c r="AB232" s="34">
        <f t="shared" si="192"/>
        <v>0</v>
      </c>
      <c r="AC232" s="34">
        <f t="shared" si="193"/>
        <v>0</v>
      </c>
      <c r="AD232" s="34">
        <f t="shared" si="194"/>
        <v>0</v>
      </c>
      <c r="AE232" s="34">
        <f t="shared" si="195"/>
        <v>0</v>
      </c>
      <c r="AF232" s="34">
        <f t="shared" si="196"/>
        <v>0</v>
      </c>
      <c r="AG232" s="29">
        <f t="shared" si="197"/>
        <v>570197.11516432674</v>
      </c>
      <c r="AH232" s="34">
        <f t="shared" si="198"/>
        <v>0</v>
      </c>
      <c r="AI232" s="34">
        <f t="shared" si="199"/>
        <v>0</v>
      </c>
      <c r="AJ232" s="34">
        <f t="shared" si="200"/>
        <v>0</v>
      </c>
      <c r="AK232" s="34">
        <f t="shared" si="201"/>
        <v>0</v>
      </c>
      <c r="AL232" s="34">
        <f t="shared" si="202"/>
        <v>0</v>
      </c>
      <c r="AM232" s="34">
        <f t="shared" si="203"/>
        <v>0</v>
      </c>
      <c r="AN232" s="34">
        <f t="shared" si="204"/>
        <v>0</v>
      </c>
      <c r="AO232" s="34">
        <f t="shared" si="205"/>
        <v>0</v>
      </c>
      <c r="AP232" s="34">
        <f t="shared" si="206"/>
        <v>0</v>
      </c>
      <c r="AQ232" s="34">
        <f t="shared" si="207"/>
        <v>0</v>
      </c>
      <c r="AR232" s="34">
        <f t="shared" si="208"/>
        <v>0</v>
      </c>
      <c r="AS232" s="30">
        <f t="shared" si="209"/>
        <v>1.2081089504435316</v>
      </c>
      <c r="AT232" s="29">
        <f t="shared" si="210"/>
        <v>0</v>
      </c>
      <c r="AU232" s="29">
        <f t="shared" si="211"/>
        <v>0</v>
      </c>
      <c r="AV232" s="34">
        <f t="shared" si="212"/>
        <v>0</v>
      </c>
      <c r="AW232" s="34">
        <f t="shared" si="213"/>
        <v>0</v>
      </c>
      <c r="AX232" s="29">
        <f t="shared" si="214"/>
        <v>0</v>
      </c>
      <c r="AY232" s="34">
        <f t="shared" si="215"/>
        <v>0</v>
      </c>
      <c r="AZ232" s="37">
        <f t="shared" si="216"/>
        <v>0</v>
      </c>
      <c r="BA232" s="37">
        <f t="shared" si="217"/>
        <v>0</v>
      </c>
      <c r="BB232" s="35">
        <f t="shared" si="218"/>
        <v>1.1386750026298742E-3</v>
      </c>
      <c r="BC232" s="31">
        <f t="shared" si="219"/>
        <v>0.77146019523493725</v>
      </c>
      <c r="BD232" s="34">
        <f t="shared" si="220"/>
        <v>0</v>
      </c>
    </row>
    <row r="233" spans="1:56" x14ac:dyDescent="0.2">
      <c r="A233" s="27">
        <f t="shared" si="221"/>
        <v>229</v>
      </c>
      <c r="B233" s="28">
        <f t="shared" si="168"/>
        <v>229</v>
      </c>
      <c r="C233" s="27">
        <f t="shared" si="169"/>
        <v>19</v>
      </c>
      <c r="D233" s="28">
        <f t="shared" si="170"/>
        <v>39</v>
      </c>
      <c r="E233" s="29">
        <f t="shared" si="171"/>
        <v>0</v>
      </c>
      <c r="F233" s="30">
        <f t="shared" si="172"/>
        <v>7.1056521686731157E-4</v>
      </c>
      <c r="G233" s="31">
        <f t="shared" si="173"/>
        <v>5.9233061318275659E-5</v>
      </c>
      <c r="H233" s="32">
        <f t="shared" si="174"/>
        <v>0.02</v>
      </c>
      <c r="I233" s="32">
        <f t="shared" si="175"/>
        <v>0</v>
      </c>
      <c r="J233" s="33">
        <f t="shared" si="222"/>
        <v>0</v>
      </c>
      <c r="K233" s="30">
        <f t="shared" si="176"/>
        <v>0</v>
      </c>
      <c r="L233" s="33">
        <f t="shared" si="177"/>
        <v>0</v>
      </c>
      <c r="M233" s="30">
        <f t="shared" si="178"/>
        <v>0</v>
      </c>
      <c r="N233" s="33">
        <f t="shared" si="179"/>
        <v>0</v>
      </c>
      <c r="O233" s="31">
        <f t="shared" si="180"/>
        <v>0</v>
      </c>
      <c r="P233" s="33">
        <f t="shared" si="181"/>
        <v>0</v>
      </c>
      <c r="Q233" s="34">
        <f t="shared" si="223"/>
        <v>568248.86364586907</v>
      </c>
      <c r="R233" s="29">
        <f t="shared" si="182"/>
        <v>0</v>
      </c>
      <c r="S233" s="34">
        <f t="shared" si="183"/>
        <v>568248.86364586907</v>
      </c>
      <c r="T233" s="29">
        <f t="shared" si="184"/>
        <v>473.54071970489093</v>
      </c>
      <c r="U233" s="29">
        <f t="shared" si="185"/>
        <v>0</v>
      </c>
      <c r="V233" s="35">
        <f t="shared" si="186"/>
        <v>6.5156367450103233E-5</v>
      </c>
      <c r="W233" s="34">
        <f t="shared" si="187"/>
        <v>0</v>
      </c>
      <c r="X233" s="34">
        <f t="shared" si="188"/>
        <v>567775.32292616414</v>
      </c>
      <c r="Y233" s="36">
        <f t="shared" si="189"/>
        <v>8.5057622669486577E-3</v>
      </c>
      <c r="Z233" s="34">
        <f t="shared" si="190"/>
        <v>4829.3619178499557</v>
      </c>
      <c r="AA233" s="34">
        <f t="shared" si="191"/>
        <v>570190.00388508907</v>
      </c>
      <c r="AB233" s="34">
        <f t="shared" si="192"/>
        <v>0</v>
      </c>
      <c r="AC233" s="34">
        <f t="shared" si="193"/>
        <v>0</v>
      </c>
      <c r="AD233" s="34">
        <f t="shared" si="194"/>
        <v>0</v>
      </c>
      <c r="AE233" s="34">
        <f t="shared" si="195"/>
        <v>0</v>
      </c>
      <c r="AF233" s="34">
        <f t="shared" si="196"/>
        <v>0</v>
      </c>
      <c r="AG233" s="29">
        <f t="shared" si="197"/>
        <v>570190.00388508907</v>
      </c>
      <c r="AH233" s="34">
        <f t="shared" si="198"/>
        <v>0</v>
      </c>
      <c r="AI233" s="34">
        <f t="shared" si="199"/>
        <v>0</v>
      </c>
      <c r="AJ233" s="34">
        <f t="shared" si="200"/>
        <v>0</v>
      </c>
      <c r="AK233" s="34">
        <f t="shared" si="201"/>
        <v>0</v>
      </c>
      <c r="AL233" s="34">
        <f t="shared" si="202"/>
        <v>0</v>
      </c>
      <c r="AM233" s="34">
        <f t="shared" si="203"/>
        <v>0</v>
      </c>
      <c r="AN233" s="34">
        <f t="shared" si="204"/>
        <v>0</v>
      </c>
      <c r="AO233" s="34">
        <f t="shared" si="205"/>
        <v>0</v>
      </c>
      <c r="AP233" s="34">
        <f t="shared" si="206"/>
        <v>0</v>
      </c>
      <c r="AQ233" s="34">
        <f t="shared" si="207"/>
        <v>0</v>
      </c>
      <c r="AR233" s="34">
        <f t="shared" si="208"/>
        <v>0</v>
      </c>
      <c r="AS233" s="30">
        <f t="shared" si="209"/>
        <v>1.2091111228642075</v>
      </c>
      <c r="AT233" s="29">
        <f t="shared" si="210"/>
        <v>0</v>
      </c>
      <c r="AU233" s="29">
        <f t="shared" si="211"/>
        <v>0</v>
      </c>
      <c r="AV233" s="34">
        <f t="shared" si="212"/>
        <v>0</v>
      </c>
      <c r="AW233" s="34">
        <f t="shared" si="213"/>
        <v>0</v>
      </c>
      <c r="AX233" s="29">
        <f t="shared" si="214"/>
        <v>0</v>
      </c>
      <c r="AY233" s="34">
        <f t="shared" si="215"/>
        <v>0</v>
      </c>
      <c r="AZ233" s="37">
        <f t="shared" si="216"/>
        <v>0</v>
      </c>
      <c r="BA233" s="37">
        <f t="shared" si="217"/>
        <v>0</v>
      </c>
      <c r="BB233" s="35">
        <f t="shared" si="218"/>
        <v>1.1386750026298742E-3</v>
      </c>
      <c r="BC233" s="31">
        <f t="shared" si="219"/>
        <v>0.77058275191787085</v>
      </c>
      <c r="BD233" s="34">
        <f t="shared" si="220"/>
        <v>0</v>
      </c>
    </row>
    <row r="234" spans="1:56" x14ac:dyDescent="0.2">
      <c r="A234" s="27">
        <f t="shared" si="221"/>
        <v>230</v>
      </c>
      <c r="B234" s="28">
        <f t="shared" si="168"/>
        <v>230</v>
      </c>
      <c r="C234" s="27">
        <f t="shared" si="169"/>
        <v>19</v>
      </c>
      <c r="D234" s="28">
        <f t="shared" si="170"/>
        <v>39</v>
      </c>
      <c r="E234" s="29">
        <f t="shared" si="171"/>
        <v>0</v>
      </c>
      <c r="F234" s="30">
        <f t="shared" si="172"/>
        <v>7.1056521686731157E-4</v>
      </c>
      <c r="G234" s="31">
        <f t="shared" si="173"/>
        <v>5.9233061318275659E-5</v>
      </c>
      <c r="H234" s="32">
        <f t="shared" si="174"/>
        <v>0.02</v>
      </c>
      <c r="I234" s="32">
        <f t="shared" si="175"/>
        <v>0</v>
      </c>
      <c r="J234" s="33">
        <f t="shared" si="222"/>
        <v>0</v>
      </c>
      <c r="K234" s="30">
        <f t="shared" si="176"/>
        <v>0</v>
      </c>
      <c r="L234" s="33">
        <f t="shared" si="177"/>
        <v>0</v>
      </c>
      <c r="M234" s="30">
        <f t="shared" si="178"/>
        <v>0</v>
      </c>
      <c r="N234" s="33">
        <f t="shared" si="179"/>
        <v>0</v>
      </c>
      <c r="O234" s="31">
        <f t="shared" si="180"/>
        <v>0</v>
      </c>
      <c r="P234" s="33">
        <f t="shared" si="181"/>
        <v>0</v>
      </c>
      <c r="Q234" s="34">
        <f t="shared" si="223"/>
        <v>572604.68484401412</v>
      </c>
      <c r="R234" s="29">
        <f t="shared" si="182"/>
        <v>0</v>
      </c>
      <c r="S234" s="34">
        <f t="shared" si="183"/>
        <v>572604.68484401412</v>
      </c>
      <c r="T234" s="29">
        <f t="shared" si="184"/>
        <v>477.17057070334511</v>
      </c>
      <c r="U234" s="29">
        <f t="shared" si="185"/>
        <v>0</v>
      </c>
      <c r="V234" s="35">
        <f t="shared" si="186"/>
        <v>6.5156367450103233E-5</v>
      </c>
      <c r="W234" s="34">
        <f t="shared" si="187"/>
        <v>0</v>
      </c>
      <c r="X234" s="34">
        <f t="shared" si="188"/>
        <v>572127.51427331078</v>
      </c>
      <c r="Y234" s="36">
        <f t="shared" si="189"/>
        <v>1.2576364847561416E-2</v>
      </c>
      <c r="Z234" s="34">
        <f t="shared" si="190"/>
        <v>7195.2843588295582</v>
      </c>
      <c r="AA234" s="34">
        <f t="shared" si="191"/>
        <v>575725.15645272553</v>
      </c>
      <c r="AB234" s="34">
        <f t="shared" si="192"/>
        <v>0</v>
      </c>
      <c r="AC234" s="34">
        <f t="shared" si="193"/>
        <v>0</v>
      </c>
      <c r="AD234" s="34">
        <f t="shared" si="194"/>
        <v>0</v>
      </c>
      <c r="AE234" s="34">
        <f t="shared" si="195"/>
        <v>0</v>
      </c>
      <c r="AF234" s="34">
        <f t="shared" si="196"/>
        <v>0</v>
      </c>
      <c r="AG234" s="29">
        <f t="shared" si="197"/>
        <v>575725.15645272553</v>
      </c>
      <c r="AH234" s="34">
        <f t="shared" si="198"/>
        <v>0</v>
      </c>
      <c r="AI234" s="34">
        <f t="shared" si="199"/>
        <v>0</v>
      </c>
      <c r="AJ234" s="34">
        <f t="shared" si="200"/>
        <v>0</v>
      </c>
      <c r="AK234" s="34">
        <f t="shared" si="201"/>
        <v>0</v>
      </c>
      <c r="AL234" s="34">
        <f t="shared" si="202"/>
        <v>0</v>
      </c>
      <c r="AM234" s="34">
        <f t="shared" si="203"/>
        <v>0</v>
      </c>
      <c r="AN234" s="34">
        <f t="shared" si="204"/>
        <v>0</v>
      </c>
      <c r="AO234" s="34">
        <f t="shared" si="205"/>
        <v>0</v>
      </c>
      <c r="AP234" s="34">
        <f t="shared" si="206"/>
        <v>0</v>
      </c>
      <c r="AQ234" s="34">
        <f t="shared" si="207"/>
        <v>0</v>
      </c>
      <c r="AR234" s="34">
        <f t="shared" si="208"/>
        <v>0</v>
      </c>
      <c r="AS234" s="30">
        <f t="shared" si="209"/>
        <v>1.2101141266251034</v>
      </c>
      <c r="AT234" s="29">
        <f t="shared" si="210"/>
        <v>0</v>
      </c>
      <c r="AU234" s="29">
        <f t="shared" si="211"/>
        <v>0</v>
      </c>
      <c r="AV234" s="34">
        <f t="shared" si="212"/>
        <v>0</v>
      </c>
      <c r="AW234" s="34">
        <f t="shared" si="213"/>
        <v>0</v>
      </c>
      <c r="AX234" s="29">
        <f t="shared" si="214"/>
        <v>0</v>
      </c>
      <c r="AY234" s="34">
        <f t="shared" si="215"/>
        <v>0</v>
      </c>
      <c r="AZ234" s="37">
        <f t="shared" si="216"/>
        <v>0</v>
      </c>
      <c r="BA234" s="37">
        <f t="shared" si="217"/>
        <v>0</v>
      </c>
      <c r="BB234" s="35">
        <f t="shared" si="218"/>
        <v>1.1386750026298742E-3</v>
      </c>
      <c r="BC234" s="31">
        <f t="shared" si="219"/>
        <v>0.76970630658719352</v>
      </c>
      <c r="BD234" s="34">
        <f t="shared" si="220"/>
        <v>0</v>
      </c>
    </row>
    <row r="235" spans="1:56" x14ac:dyDescent="0.2">
      <c r="A235" s="27">
        <f t="shared" si="221"/>
        <v>231</v>
      </c>
      <c r="B235" s="28">
        <f t="shared" si="168"/>
        <v>231</v>
      </c>
      <c r="C235" s="27">
        <f t="shared" si="169"/>
        <v>19</v>
      </c>
      <c r="D235" s="28">
        <f t="shared" si="170"/>
        <v>39</v>
      </c>
      <c r="E235" s="29">
        <f t="shared" si="171"/>
        <v>0</v>
      </c>
      <c r="F235" s="30">
        <f t="shared" si="172"/>
        <v>7.1056521686731157E-4</v>
      </c>
      <c r="G235" s="31">
        <f t="shared" si="173"/>
        <v>5.9233061318275659E-5</v>
      </c>
      <c r="H235" s="32">
        <f t="shared" si="174"/>
        <v>0.02</v>
      </c>
      <c r="I235" s="32">
        <f t="shared" si="175"/>
        <v>0</v>
      </c>
      <c r="J235" s="33">
        <f t="shared" si="222"/>
        <v>0</v>
      </c>
      <c r="K235" s="30">
        <f t="shared" si="176"/>
        <v>0</v>
      </c>
      <c r="L235" s="33">
        <f t="shared" si="177"/>
        <v>0</v>
      </c>
      <c r="M235" s="30">
        <f t="shared" si="178"/>
        <v>0</v>
      </c>
      <c r="N235" s="33">
        <f t="shared" si="179"/>
        <v>0</v>
      </c>
      <c r="O235" s="31">
        <f t="shared" si="180"/>
        <v>0</v>
      </c>
      <c r="P235" s="33">
        <f t="shared" si="181"/>
        <v>0</v>
      </c>
      <c r="Q235" s="34">
        <f t="shared" si="223"/>
        <v>579322.79863214039</v>
      </c>
      <c r="R235" s="29">
        <f t="shared" si="182"/>
        <v>0</v>
      </c>
      <c r="S235" s="34">
        <f t="shared" si="183"/>
        <v>579322.79863214039</v>
      </c>
      <c r="T235" s="29">
        <f t="shared" si="184"/>
        <v>482.76899886011699</v>
      </c>
      <c r="U235" s="29">
        <f t="shared" si="185"/>
        <v>0</v>
      </c>
      <c r="V235" s="35">
        <f t="shared" si="186"/>
        <v>6.5156367450103233E-5</v>
      </c>
      <c r="W235" s="34">
        <f t="shared" si="187"/>
        <v>0</v>
      </c>
      <c r="X235" s="34">
        <f t="shared" si="188"/>
        <v>578840.02963328024</v>
      </c>
      <c r="Y235" s="36">
        <f t="shared" si="189"/>
        <v>-6.1695823774344793E-3</v>
      </c>
      <c r="Z235" s="34">
        <f t="shared" si="190"/>
        <v>-3571.2012461791378</v>
      </c>
      <c r="AA235" s="34">
        <f t="shared" si="191"/>
        <v>577054.42901019065</v>
      </c>
      <c r="AB235" s="34">
        <f t="shared" si="192"/>
        <v>0</v>
      </c>
      <c r="AC235" s="34">
        <f t="shared" si="193"/>
        <v>0</v>
      </c>
      <c r="AD235" s="34">
        <f t="shared" si="194"/>
        <v>0</v>
      </c>
      <c r="AE235" s="34">
        <f t="shared" si="195"/>
        <v>0</v>
      </c>
      <c r="AF235" s="34">
        <f t="shared" si="196"/>
        <v>0</v>
      </c>
      <c r="AG235" s="29">
        <f t="shared" si="197"/>
        <v>577054.42901019065</v>
      </c>
      <c r="AH235" s="34">
        <f t="shared" si="198"/>
        <v>0</v>
      </c>
      <c r="AI235" s="34">
        <f t="shared" si="199"/>
        <v>0</v>
      </c>
      <c r="AJ235" s="34">
        <f t="shared" si="200"/>
        <v>0</v>
      </c>
      <c r="AK235" s="34">
        <f t="shared" si="201"/>
        <v>0</v>
      </c>
      <c r="AL235" s="34">
        <f t="shared" si="202"/>
        <v>0</v>
      </c>
      <c r="AM235" s="34">
        <f t="shared" si="203"/>
        <v>0</v>
      </c>
      <c r="AN235" s="34">
        <f t="shared" si="204"/>
        <v>0</v>
      </c>
      <c r="AO235" s="34">
        <f t="shared" si="205"/>
        <v>0</v>
      </c>
      <c r="AP235" s="34">
        <f t="shared" si="206"/>
        <v>0</v>
      </c>
      <c r="AQ235" s="34">
        <f t="shared" si="207"/>
        <v>0</v>
      </c>
      <c r="AR235" s="34">
        <f t="shared" si="208"/>
        <v>0</v>
      </c>
      <c r="AS235" s="30">
        <f t="shared" si="209"/>
        <v>1.2111179624158477</v>
      </c>
      <c r="AT235" s="29">
        <f t="shared" si="210"/>
        <v>0</v>
      </c>
      <c r="AU235" s="29">
        <f t="shared" si="211"/>
        <v>0</v>
      </c>
      <c r="AV235" s="34">
        <f t="shared" si="212"/>
        <v>0</v>
      </c>
      <c r="AW235" s="34">
        <f t="shared" si="213"/>
        <v>0</v>
      </c>
      <c r="AX235" s="29">
        <f t="shared" si="214"/>
        <v>0</v>
      </c>
      <c r="AY235" s="34">
        <f t="shared" si="215"/>
        <v>0</v>
      </c>
      <c r="AZ235" s="37">
        <f t="shared" si="216"/>
        <v>0</v>
      </c>
      <c r="BA235" s="37">
        <f t="shared" si="217"/>
        <v>0</v>
      </c>
      <c r="BB235" s="35">
        <f t="shared" si="218"/>
        <v>1.1386750026298742E-3</v>
      </c>
      <c r="BC235" s="31">
        <f t="shared" si="219"/>
        <v>0.76883085810781537</v>
      </c>
      <c r="BD235" s="34">
        <f t="shared" si="220"/>
        <v>0</v>
      </c>
    </row>
    <row r="236" spans="1:56" x14ac:dyDescent="0.2">
      <c r="A236" s="27">
        <f t="shared" si="221"/>
        <v>232</v>
      </c>
      <c r="B236" s="28">
        <f t="shared" si="168"/>
        <v>232</v>
      </c>
      <c r="C236" s="27">
        <f t="shared" si="169"/>
        <v>19</v>
      </c>
      <c r="D236" s="28">
        <f t="shared" si="170"/>
        <v>39</v>
      </c>
      <c r="E236" s="29">
        <f t="shared" si="171"/>
        <v>0</v>
      </c>
      <c r="F236" s="30">
        <f t="shared" si="172"/>
        <v>7.1056521686731157E-4</v>
      </c>
      <c r="G236" s="31">
        <f t="shared" si="173"/>
        <v>5.9233061318275659E-5</v>
      </c>
      <c r="H236" s="32">
        <f t="shared" si="174"/>
        <v>0.02</v>
      </c>
      <c r="I236" s="32">
        <f t="shared" si="175"/>
        <v>0</v>
      </c>
      <c r="J236" s="33">
        <f t="shared" si="222"/>
        <v>0</v>
      </c>
      <c r="K236" s="30">
        <f t="shared" si="176"/>
        <v>0</v>
      </c>
      <c r="L236" s="33">
        <f t="shared" si="177"/>
        <v>0</v>
      </c>
      <c r="M236" s="30">
        <f t="shared" si="178"/>
        <v>0</v>
      </c>
      <c r="N236" s="33">
        <f t="shared" si="179"/>
        <v>0</v>
      </c>
      <c r="O236" s="31">
        <f t="shared" si="180"/>
        <v>0</v>
      </c>
      <c r="P236" s="33">
        <f t="shared" si="181"/>
        <v>0</v>
      </c>
      <c r="Q236" s="34">
        <f t="shared" si="223"/>
        <v>575268.82838710106</v>
      </c>
      <c r="R236" s="29">
        <f t="shared" si="182"/>
        <v>0</v>
      </c>
      <c r="S236" s="34">
        <f t="shared" si="183"/>
        <v>575268.82838710106</v>
      </c>
      <c r="T236" s="29">
        <f t="shared" si="184"/>
        <v>479.39069032258425</v>
      </c>
      <c r="U236" s="29">
        <f t="shared" si="185"/>
        <v>0</v>
      </c>
      <c r="V236" s="35">
        <f t="shared" si="186"/>
        <v>6.5156367450103233E-5</v>
      </c>
      <c r="W236" s="34">
        <f t="shared" si="187"/>
        <v>0</v>
      </c>
      <c r="X236" s="34">
        <f t="shared" si="188"/>
        <v>574789.43769677845</v>
      </c>
      <c r="Y236" s="36">
        <f t="shared" si="189"/>
        <v>4.8519792719159405E-3</v>
      </c>
      <c r="Z236" s="34">
        <f t="shared" si="190"/>
        <v>2788.8664374209879</v>
      </c>
      <c r="AA236" s="34">
        <f t="shared" si="191"/>
        <v>576183.87091548892</v>
      </c>
      <c r="AB236" s="34">
        <f t="shared" si="192"/>
        <v>0</v>
      </c>
      <c r="AC236" s="34">
        <f t="shared" si="193"/>
        <v>0</v>
      </c>
      <c r="AD236" s="34">
        <f t="shared" si="194"/>
        <v>0</v>
      </c>
      <c r="AE236" s="34">
        <f t="shared" si="195"/>
        <v>0</v>
      </c>
      <c r="AF236" s="34">
        <f t="shared" si="196"/>
        <v>0</v>
      </c>
      <c r="AG236" s="29">
        <f t="shared" si="197"/>
        <v>576183.87091548892</v>
      </c>
      <c r="AH236" s="34">
        <f t="shared" si="198"/>
        <v>0</v>
      </c>
      <c r="AI236" s="34">
        <f t="shared" si="199"/>
        <v>0</v>
      </c>
      <c r="AJ236" s="34">
        <f t="shared" si="200"/>
        <v>0</v>
      </c>
      <c r="AK236" s="34">
        <f t="shared" si="201"/>
        <v>0</v>
      </c>
      <c r="AL236" s="34">
        <f t="shared" si="202"/>
        <v>0</v>
      </c>
      <c r="AM236" s="34">
        <f t="shared" si="203"/>
        <v>0</v>
      </c>
      <c r="AN236" s="34">
        <f t="shared" si="204"/>
        <v>0</v>
      </c>
      <c r="AO236" s="34">
        <f t="shared" si="205"/>
        <v>0</v>
      </c>
      <c r="AP236" s="34">
        <f t="shared" si="206"/>
        <v>0</v>
      </c>
      <c r="AQ236" s="34">
        <f t="shared" si="207"/>
        <v>0</v>
      </c>
      <c r="AR236" s="34">
        <f t="shared" si="208"/>
        <v>0</v>
      </c>
      <c r="AS236" s="30">
        <f t="shared" si="209"/>
        <v>1.2121226309266409</v>
      </c>
      <c r="AT236" s="29">
        <f t="shared" si="210"/>
        <v>0</v>
      </c>
      <c r="AU236" s="29">
        <f t="shared" si="211"/>
        <v>0</v>
      </c>
      <c r="AV236" s="34">
        <f t="shared" si="212"/>
        <v>0</v>
      </c>
      <c r="AW236" s="34">
        <f t="shared" si="213"/>
        <v>0</v>
      </c>
      <c r="AX236" s="29">
        <f t="shared" si="214"/>
        <v>0</v>
      </c>
      <c r="AY236" s="34">
        <f t="shared" si="215"/>
        <v>0</v>
      </c>
      <c r="AZ236" s="37">
        <f t="shared" si="216"/>
        <v>0</v>
      </c>
      <c r="BA236" s="37">
        <f t="shared" si="217"/>
        <v>0</v>
      </c>
      <c r="BB236" s="35">
        <f t="shared" si="218"/>
        <v>1.1386750026298742E-3</v>
      </c>
      <c r="BC236" s="31">
        <f t="shared" si="219"/>
        <v>0.76795640534593856</v>
      </c>
      <c r="BD236" s="34">
        <f t="shared" si="220"/>
        <v>0</v>
      </c>
    </row>
    <row r="237" spans="1:56" x14ac:dyDescent="0.2">
      <c r="A237" s="27">
        <f t="shared" si="221"/>
        <v>233</v>
      </c>
      <c r="B237" s="28">
        <f t="shared" si="168"/>
        <v>233</v>
      </c>
      <c r="C237" s="27">
        <f t="shared" si="169"/>
        <v>19</v>
      </c>
      <c r="D237" s="28">
        <f t="shared" si="170"/>
        <v>39</v>
      </c>
      <c r="E237" s="29">
        <f t="shared" si="171"/>
        <v>0</v>
      </c>
      <c r="F237" s="30">
        <f t="shared" si="172"/>
        <v>7.1056521686731157E-4</v>
      </c>
      <c r="G237" s="31">
        <f t="shared" si="173"/>
        <v>5.9233061318275659E-5</v>
      </c>
      <c r="H237" s="32">
        <f t="shared" si="174"/>
        <v>0.02</v>
      </c>
      <c r="I237" s="32">
        <f t="shared" si="175"/>
        <v>0</v>
      </c>
      <c r="J237" s="33">
        <f t="shared" si="222"/>
        <v>0</v>
      </c>
      <c r="K237" s="30">
        <f t="shared" si="176"/>
        <v>0</v>
      </c>
      <c r="L237" s="33">
        <f t="shared" si="177"/>
        <v>0</v>
      </c>
      <c r="M237" s="30">
        <f t="shared" si="178"/>
        <v>0</v>
      </c>
      <c r="N237" s="33">
        <f t="shared" si="179"/>
        <v>0</v>
      </c>
      <c r="O237" s="31">
        <f t="shared" si="180"/>
        <v>0</v>
      </c>
      <c r="P237" s="33">
        <f t="shared" si="181"/>
        <v>0</v>
      </c>
      <c r="Q237" s="34">
        <f t="shared" si="223"/>
        <v>577578.3041341994</v>
      </c>
      <c r="R237" s="29">
        <f t="shared" si="182"/>
        <v>0</v>
      </c>
      <c r="S237" s="34">
        <f t="shared" si="183"/>
        <v>577578.3041341994</v>
      </c>
      <c r="T237" s="29">
        <f t="shared" si="184"/>
        <v>481.31525344516621</v>
      </c>
      <c r="U237" s="29">
        <f t="shared" si="185"/>
        <v>0</v>
      </c>
      <c r="V237" s="35">
        <f t="shared" si="186"/>
        <v>6.5156367450103233E-5</v>
      </c>
      <c r="W237" s="34">
        <f t="shared" si="187"/>
        <v>0</v>
      </c>
      <c r="X237" s="34">
        <f t="shared" si="188"/>
        <v>577096.98888075422</v>
      </c>
      <c r="Y237" s="36">
        <f t="shared" si="189"/>
        <v>1.3825884017892198E-2</v>
      </c>
      <c r="Z237" s="34">
        <f t="shared" si="190"/>
        <v>7978.8760353401312</v>
      </c>
      <c r="AA237" s="34">
        <f t="shared" si="191"/>
        <v>581086.42689842428</v>
      </c>
      <c r="AB237" s="34">
        <f t="shared" si="192"/>
        <v>0</v>
      </c>
      <c r="AC237" s="34">
        <f t="shared" si="193"/>
        <v>0</v>
      </c>
      <c r="AD237" s="34">
        <f t="shared" si="194"/>
        <v>0</v>
      </c>
      <c r="AE237" s="34">
        <f t="shared" si="195"/>
        <v>0</v>
      </c>
      <c r="AF237" s="34">
        <f t="shared" si="196"/>
        <v>0</v>
      </c>
      <c r="AG237" s="29">
        <f t="shared" si="197"/>
        <v>581086.42689842428</v>
      </c>
      <c r="AH237" s="34">
        <f t="shared" si="198"/>
        <v>0</v>
      </c>
      <c r="AI237" s="34">
        <f t="shared" si="199"/>
        <v>0</v>
      </c>
      <c r="AJ237" s="34">
        <f t="shared" si="200"/>
        <v>0</v>
      </c>
      <c r="AK237" s="34">
        <f t="shared" si="201"/>
        <v>0</v>
      </c>
      <c r="AL237" s="34">
        <f t="shared" si="202"/>
        <v>0</v>
      </c>
      <c r="AM237" s="34">
        <f t="shared" si="203"/>
        <v>0</v>
      </c>
      <c r="AN237" s="34">
        <f t="shared" si="204"/>
        <v>0</v>
      </c>
      <c r="AO237" s="34">
        <f t="shared" si="205"/>
        <v>0</v>
      </c>
      <c r="AP237" s="34">
        <f t="shared" si="206"/>
        <v>0</v>
      </c>
      <c r="AQ237" s="34">
        <f t="shared" si="207"/>
        <v>0</v>
      </c>
      <c r="AR237" s="34">
        <f t="shared" si="208"/>
        <v>0</v>
      </c>
      <c r="AS237" s="30">
        <f t="shared" si="209"/>
        <v>1.2131281328482562</v>
      </c>
      <c r="AT237" s="29">
        <f t="shared" si="210"/>
        <v>0</v>
      </c>
      <c r="AU237" s="29">
        <f t="shared" si="211"/>
        <v>0</v>
      </c>
      <c r="AV237" s="34">
        <f t="shared" si="212"/>
        <v>0</v>
      </c>
      <c r="AW237" s="34">
        <f t="shared" si="213"/>
        <v>0</v>
      </c>
      <c r="AX237" s="29">
        <f t="shared" si="214"/>
        <v>0</v>
      </c>
      <c r="AY237" s="34">
        <f t="shared" si="215"/>
        <v>0</v>
      </c>
      <c r="AZ237" s="37">
        <f t="shared" si="216"/>
        <v>0</v>
      </c>
      <c r="BA237" s="37">
        <f t="shared" si="217"/>
        <v>0</v>
      </c>
      <c r="BB237" s="35">
        <f t="shared" si="218"/>
        <v>1.1386750026298742E-3</v>
      </c>
      <c r="BC237" s="31">
        <f t="shared" si="219"/>
        <v>0.76708294716905367</v>
      </c>
      <c r="BD237" s="34">
        <f t="shared" si="220"/>
        <v>0</v>
      </c>
    </row>
    <row r="238" spans="1:56" x14ac:dyDescent="0.2">
      <c r="A238" s="27">
        <f t="shared" si="221"/>
        <v>234</v>
      </c>
      <c r="B238" s="28">
        <f t="shared" si="168"/>
        <v>234</v>
      </c>
      <c r="C238" s="27">
        <f t="shared" si="169"/>
        <v>19</v>
      </c>
      <c r="D238" s="28">
        <f t="shared" si="170"/>
        <v>39</v>
      </c>
      <c r="E238" s="29">
        <f t="shared" si="171"/>
        <v>0</v>
      </c>
      <c r="F238" s="30">
        <f t="shared" si="172"/>
        <v>7.1056521686731157E-4</v>
      </c>
      <c r="G238" s="31">
        <f t="shared" si="173"/>
        <v>5.9233061318275659E-5</v>
      </c>
      <c r="H238" s="32">
        <f t="shared" si="174"/>
        <v>0.02</v>
      </c>
      <c r="I238" s="32">
        <f t="shared" si="175"/>
        <v>0</v>
      </c>
      <c r="J238" s="33">
        <f t="shared" si="222"/>
        <v>0</v>
      </c>
      <c r="K238" s="30">
        <f t="shared" si="176"/>
        <v>0</v>
      </c>
      <c r="L238" s="33">
        <f t="shared" si="177"/>
        <v>0</v>
      </c>
      <c r="M238" s="30">
        <f t="shared" si="178"/>
        <v>0</v>
      </c>
      <c r="N238" s="33">
        <f t="shared" si="179"/>
        <v>0</v>
      </c>
      <c r="O238" s="31">
        <f t="shared" si="180"/>
        <v>0</v>
      </c>
      <c r="P238" s="33">
        <f t="shared" si="181"/>
        <v>0</v>
      </c>
      <c r="Q238" s="34">
        <f t="shared" si="223"/>
        <v>585075.86491609435</v>
      </c>
      <c r="R238" s="29">
        <f t="shared" si="182"/>
        <v>0</v>
      </c>
      <c r="S238" s="34">
        <f t="shared" si="183"/>
        <v>585075.86491609435</v>
      </c>
      <c r="T238" s="29">
        <f t="shared" si="184"/>
        <v>487.563220763412</v>
      </c>
      <c r="U238" s="29">
        <f t="shared" si="185"/>
        <v>0</v>
      </c>
      <c r="V238" s="35">
        <f t="shared" si="186"/>
        <v>6.5156367450103233E-5</v>
      </c>
      <c r="W238" s="34">
        <f t="shared" si="187"/>
        <v>0</v>
      </c>
      <c r="X238" s="34">
        <f t="shared" si="188"/>
        <v>584588.30169533088</v>
      </c>
      <c r="Y238" s="36">
        <f t="shared" si="189"/>
        <v>-4.2510168819580585E-3</v>
      </c>
      <c r="Z238" s="34">
        <f t="shared" si="190"/>
        <v>-2485.0947395020421</v>
      </c>
      <c r="AA238" s="34">
        <f t="shared" si="191"/>
        <v>583345.75432557985</v>
      </c>
      <c r="AB238" s="34">
        <f t="shared" si="192"/>
        <v>0</v>
      </c>
      <c r="AC238" s="34">
        <f t="shared" si="193"/>
        <v>0</v>
      </c>
      <c r="AD238" s="34">
        <f t="shared" si="194"/>
        <v>0</v>
      </c>
      <c r="AE238" s="34">
        <f t="shared" si="195"/>
        <v>0</v>
      </c>
      <c r="AF238" s="34">
        <f t="shared" si="196"/>
        <v>0</v>
      </c>
      <c r="AG238" s="29">
        <f t="shared" si="197"/>
        <v>583345.75432557985</v>
      </c>
      <c r="AH238" s="34">
        <f t="shared" si="198"/>
        <v>0</v>
      </c>
      <c r="AI238" s="34">
        <f t="shared" si="199"/>
        <v>0</v>
      </c>
      <c r="AJ238" s="34">
        <f t="shared" si="200"/>
        <v>0</v>
      </c>
      <c r="AK238" s="34">
        <f t="shared" si="201"/>
        <v>0</v>
      </c>
      <c r="AL238" s="34">
        <f t="shared" si="202"/>
        <v>0</v>
      </c>
      <c r="AM238" s="34">
        <f t="shared" si="203"/>
        <v>0</v>
      </c>
      <c r="AN238" s="34">
        <f t="shared" si="204"/>
        <v>0</v>
      </c>
      <c r="AO238" s="34">
        <f t="shared" si="205"/>
        <v>0</v>
      </c>
      <c r="AP238" s="34">
        <f t="shared" si="206"/>
        <v>0</v>
      </c>
      <c r="AQ238" s="34">
        <f t="shared" si="207"/>
        <v>0</v>
      </c>
      <c r="AR238" s="34">
        <f t="shared" si="208"/>
        <v>0</v>
      </c>
      <c r="AS238" s="30">
        <f t="shared" si="209"/>
        <v>1.2141344688720395</v>
      </c>
      <c r="AT238" s="29">
        <f t="shared" si="210"/>
        <v>0</v>
      </c>
      <c r="AU238" s="29">
        <f t="shared" si="211"/>
        <v>0</v>
      </c>
      <c r="AV238" s="34">
        <f t="shared" si="212"/>
        <v>0</v>
      </c>
      <c r="AW238" s="34">
        <f t="shared" si="213"/>
        <v>0</v>
      </c>
      <c r="AX238" s="29">
        <f t="shared" si="214"/>
        <v>0</v>
      </c>
      <c r="AY238" s="34">
        <f t="shared" si="215"/>
        <v>0</v>
      </c>
      <c r="AZ238" s="37">
        <f t="shared" si="216"/>
        <v>0</v>
      </c>
      <c r="BA238" s="37">
        <f t="shared" si="217"/>
        <v>0</v>
      </c>
      <c r="BB238" s="35">
        <f t="shared" si="218"/>
        <v>1.1386750026298742E-3</v>
      </c>
      <c r="BC238" s="31">
        <f t="shared" si="219"/>
        <v>0.76621048244593937</v>
      </c>
      <c r="BD238" s="34">
        <f t="shared" si="220"/>
        <v>0</v>
      </c>
    </row>
    <row r="239" spans="1:56" x14ac:dyDescent="0.2">
      <c r="A239" s="27">
        <f t="shared" si="221"/>
        <v>235</v>
      </c>
      <c r="B239" s="28">
        <f t="shared" si="168"/>
        <v>235</v>
      </c>
      <c r="C239" s="27">
        <f t="shared" si="169"/>
        <v>19</v>
      </c>
      <c r="D239" s="28">
        <f t="shared" si="170"/>
        <v>39</v>
      </c>
      <c r="E239" s="29">
        <f t="shared" si="171"/>
        <v>0</v>
      </c>
      <c r="F239" s="30">
        <f t="shared" si="172"/>
        <v>7.1056521686731157E-4</v>
      </c>
      <c r="G239" s="31">
        <f t="shared" si="173"/>
        <v>5.9233061318275659E-5</v>
      </c>
      <c r="H239" s="32">
        <f t="shared" si="174"/>
        <v>0.02</v>
      </c>
      <c r="I239" s="32">
        <f t="shared" si="175"/>
        <v>0</v>
      </c>
      <c r="J239" s="33">
        <f t="shared" si="222"/>
        <v>0</v>
      </c>
      <c r="K239" s="30">
        <f t="shared" si="176"/>
        <v>0</v>
      </c>
      <c r="L239" s="33">
        <f t="shared" si="177"/>
        <v>0</v>
      </c>
      <c r="M239" s="30">
        <f t="shared" si="178"/>
        <v>0</v>
      </c>
      <c r="N239" s="33">
        <f t="shared" si="179"/>
        <v>0</v>
      </c>
      <c r="O239" s="31">
        <f t="shared" si="180"/>
        <v>0</v>
      </c>
      <c r="P239" s="33">
        <f t="shared" si="181"/>
        <v>0</v>
      </c>
      <c r="Q239" s="34">
        <f t="shared" si="223"/>
        <v>582103.20695582882</v>
      </c>
      <c r="R239" s="29">
        <f t="shared" si="182"/>
        <v>0</v>
      </c>
      <c r="S239" s="34">
        <f t="shared" si="183"/>
        <v>582103.20695582882</v>
      </c>
      <c r="T239" s="29">
        <f t="shared" si="184"/>
        <v>485.08600579652403</v>
      </c>
      <c r="U239" s="29">
        <f t="shared" si="185"/>
        <v>0</v>
      </c>
      <c r="V239" s="35">
        <f t="shared" si="186"/>
        <v>6.5156367450103233E-5</v>
      </c>
      <c r="W239" s="34">
        <f t="shared" si="187"/>
        <v>0</v>
      </c>
      <c r="X239" s="34">
        <f t="shared" si="188"/>
        <v>581618.12095003226</v>
      </c>
      <c r="Y239" s="36">
        <f t="shared" si="189"/>
        <v>1.7680472165147121E-2</v>
      </c>
      <c r="Z239" s="34">
        <f t="shared" si="190"/>
        <v>10283.282998202218</v>
      </c>
      <c r="AA239" s="34">
        <f t="shared" si="191"/>
        <v>586759.76244913333</v>
      </c>
      <c r="AB239" s="34">
        <f t="shared" si="192"/>
        <v>0</v>
      </c>
      <c r="AC239" s="34">
        <f t="shared" si="193"/>
        <v>0</v>
      </c>
      <c r="AD239" s="34">
        <f t="shared" si="194"/>
        <v>0</v>
      </c>
      <c r="AE239" s="34">
        <f t="shared" si="195"/>
        <v>0</v>
      </c>
      <c r="AF239" s="34">
        <f t="shared" si="196"/>
        <v>0</v>
      </c>
      <c r="AG239" s="29">
        <f t="shared" si="197"/>
        <v>586759.76244913333</v>
      </c>
      <c r="AH239" s="34">
        <f t="shared" si="198"/>
        <v>0</v>
      </c>
      <c r="AI239" s="34">
        <f t="shared" si="199"/>
        <v>0</v>
      </c>
      <c r="AJ239" s="34">
        <f t="shared" si="200"/>
        <v>0</v>
      </c>
      <c r="AK239" s="34">
        <f t="shared" si="201"/>
        <v>0</v>
      </c>
      <c r="AL239" s="34">
        <f t="shared" si="202"/>
        <v>0</v>
      </c>
      <c r="AM239" s="34">
        <f t="shared" si="203"/>
        <v>0</v>
      </c>
      <c r="AN239" s="34">
        <f t="shared" si="204"/>
        <v>0</v>
      </c>
      <c r="AO239" s="34">
        <f t="shared" si="205"/>
        <v>0</v>
      </c>
      <c r="AP239" s="34">
        <f t="shared" si="206"/>
        <v>0</v>
      </c>
      <c r="AQ239" s="34">
        <f t="shared" si="207"/>
        <v>0</v>
      </c>
      <c r="AR239" s="34">
        <f t="shared" si="208"/>
        <v>0</v>
      </c>
      <c r="AS239" s="30">
        <f t="shared" si="209"/>
        <v>1.2151416396899104</v>
      </c>
      <c r="AT239" s="29">
        <f t="shared" si="210"/>
        <v>0</v>
      </c>
      <c r="AU239" s="29">
        <f t="shared" si="211"/>
        <v>0</v>
      </c>
      <c r="AV239" s="34">
        <f t="shared" si="212"/>
        <v>0</v>
      </c>
      <c r="AW239" s="34">
        <f t="shared" si="213"/>
        <v>0</v>
      </c>
      <c r="AX239" s="29">
        <f t="shared" si="214"/>
        <v>0</v>
      </c>
      <c r="AY239" s="34">
        <f t="shared" si="215"/>
        <v>0</v>
      </c>
      <c r="AZ239" s="37">
        <f t="shared" si="216"/>
        <v>0</v>
      </c>
      <c r="BA239" s="37">
        <f t="shared" si="217"/>
        <v>0</v>
      </c>
      <c r="BB239" s="35">
        <f t="shared" si="218"/>
        <v>1.1386750026298742E-3</v>
      </c>
      <c r="BC239" s="31">
        <f t="shared" si="219"/>
        <v>0.76533901004666161</v>
      </c>
      <c r="BD239" s="34">
        <f t="shared" si="220"/>
        <v>0</v>
      </c>
    </row>
    <row r="240" spans="1:56" x14ac:dyDescent="0.2">
      <c r="A240" s="27">
        <f t="shared" si="221"/>
        <v>236</v>
      </c>
      <c r="B240" s="28">
        <f t="shared" si="168"/>
        <v>236</v>
      </c>
      <c r="C240" s="27">
        <f t="shared" si="169"/>
        <v>19</v>
      </c>
      <c r="D240" s="28">
        <f t="shared" si="170"/>
        <v>39</v>
      </c>
      <c r="E240" s="29">
        <f t="shared" si="171"/>
        <v>0</v>
      </c>
      <c r="F240" s="30">
        <f t="shared" si="172"/>
        <v>7.1056521686731157E-4</v>
      </c>
      <c r="G240" s="31">
        <f t="shared" si="173"/>
        <v>5.9233061318275659E-5</v>
      </c>
      <c r="H240" s="32">
        <f t="shared" si="174"/>
        <v>0.02</v>
      </c>
      <c r="I240" s="32">
        <f t="shared" si="175"/>
        <v>0</v>
      </c>
      <c r="J240" s="33">
        <f t="shared" si="222"/>
        <v>0</v>
      </c>
      <c r="K240" s="30">
        <f t="shared" si="176"/>
        <v>0</v>
      </c>
      <c r="L240" s="33">
        <f t="shared" si="177"/>
        <v>0</v>
      </c>
      <c r="M240" s="30">
        <f t="shared" si="178"/>
        <v>0</v>
      </c>
      <c r="N240" s="33">
        <f t="shared" si="179"/>
        <v>0</v>
      </c>
      <c r="O240" s="31">
        <f t="shared" si="180"/>
        <v>0</v>
      </c>
      <c r="P240" s="33">
        <f t="shared" si="181"/>
        <v>0</v>
      </c>
      <c r="Q240" s="34">
        <f t="shared" si="223"/>
        <v>591901.40394823451</v>
      </c>
      <c r="R240" s="29">
        <f t="shared" si="182"/>
        <v>0</v>
      </c>
      <c r="S240" s="34">
        <f t="shared" si="183"/>
        <v>591901.40394823451</v>
      </c>
      <c r="T240" s="29">
        <f t="shared" si="184"/>
        <v>493.2511699568621</v>
      </c>
      <c r="U240" s="29">
        <f t="shared" si="185"/>
        <v>0</v>
      </c>
      <c r="V240" s="35">
        <f t="shared" si="186"/>
        <v>6.5156367450103233E-5</v>
      </c>
      <c r="W240" s="34">
        <f t="shared" si="187"/>
        <v>0</v>
      </c>
      <c r="X240" s="34">
        <f t="shared" si="188"/>
        <v>591408.15277827764</v>
      </c>
      <c r="Y240" s="36">
        <f t="shared" si="189"/>
        <v>1.5924749376863945E-2</v>
      </c>
      <c r="Z240" s="34">
        <f t="shared" si="190"/>
        <v>9418.0266124281334</v>
      </c>
      <c r="AA240" s="34">
        <f t="shared" si="191"/>
        <v>596117.16608449165</v>
      </c>
      <c r="AB240" s="34">
        <f t="shared" si="192"/>
        <v>0</v>
      </c>
      <c r="AC240" s="34">
        <f t="shared" si="193"/>
        <v>0</v>
      </c>
      <c r="AD240" s="34">
        <f t="shared" si="194"/>
        <v>0</v>
      </c>
      <c r="AE240" s="34">
        <f t="shared" si="195"/>
        <v>0</v>
      </c>
      <c r="AF240" s="34">
        <f t="shared" si="196"/>
        <v>0</v>
      </c>
      <c r="AG240" s="29">
        <f t="shared" si="197"/>
        <v>596117.16608449165</v>
      </c>
      <c r="AH240" s="34">
        <f t="shared" si="198"/>
        <v>0</v>
      </c>
      <c r="AI240" s="34">
        <f t="shared" si="199"/>
        <v>0</v>
      </c>
      <c r="AJ240" s="34">
        <f t="shared" si="200"/>
        <v>0</v>
      </c>
      <c r="AK240" s="34">
        <f t="shared" si="201"/>
        <v>0</v>
      </c>
      <c r="AL240" s="34">
        <f t="shared" si="202"/>
        <v>0</v>
      </c>
      <c r="AM240" s="34">
        <f t="shared" si="203"/>
        <v>0</v>
      </c>
      <c r="AN240" s="34">
        <f t="shared" si="204"/>
        <v>0</v>
      </c>
      <c r="AO240" s="34">
        <f t="shared" si="205"/>
        <v>0</v>
      </c>
      <c r="AP240" s="34">
        <f t="shared" si="206"/>
        <v>0</v>
      </c>
      <c r="AQ240" s="34">
        <f t="shared" si="207"/>
        <v>0</v>
      </c>
      <c r="AR240" s="34">
        <f t="shared" si="208"/>
        <v>0</v>
      </c>
      <c r="AS240" s="30">
        <f t="shared" si="209"/>
        <v>1.2161496459943624</v>
      </c>
      <c r="AT240" s="29">
        <f t="shared" si="210"/>
        <v>0</v>
      </c>
      <c r="AU240" s="29">
        <f t="shared" si="211"/>
        <v>0</v>
      </c>
      <c r="AV240" s="34">
        <f t="shared" si="212"/>
        <v>0</v>
      </c>
      <c r="AW240" s="34">
        <f t="shared" si="213"/>
        <v>0</v>
      </c>
      <c r="AX240" s="29">
        <f t="shared" si="214"/>
        <v>0</v>
      </c>
      <c r="AY240" s="34">
        <f t="shared" si="215"/>
        <v>0</v>
      </c>
      <c r="AZ240" s="37">
        <f t="shared" si="216"/>
        <v>0</v>
      </c>
      <c r="BA240" s="37">
        <f t="shared" si="217"/>
        <v>0</v>
      </c>
      <c r="BB240" s="35">
        <f t="shared" si="218"/>
        <v>1.1386750026298742E-3</v>
      </c>
      <c r="BC240" s="31">
        <f t="shared" si="219"/>
        <v>0.76446852884257155</v>
      </c>
      <c r="BD240" s="34">
        <f t="shared" si="220"/>
        <v>0</v>
      </c>
    </row>
    <row r="241" spans="1:56" x14ac:dyDescent="0.2">
      <c r="A241" s="27">
        <f t="shared" si="221"/>
        <v>237</v>
      </c>
      <c r="B241" s="28">
        <f t="shared" si="168"/>
        <v>237</v>
      </c>
      <c r="C241" s="27">
        <f t="shared" si="169"/>
        <v>19</v>
      </c>
      <c r="D241" s="28">
        <f t="shared" si="170"/>
        <v>39</v>
      </c>
      <c r="E241" s="29">
        <f t="shared" si="171"/>
        <v>0</v>
      </c>
      <c r="F241" s="30">
        <f t="shared" si="172"/>
        <v>7.1056521686731157E-4</v>
      </c>
      <c r="G241" s="31">
        <f t="shared" si="173"/>
        <v>5.9233061318275659E-5</v>
      </c>
      <c r="H241" s="32">
        <f t="shared" si="174"/>
        <v>0.02</v>
      </c>
      <c r="I241" s="32">
        <f t="shared" si="175"/>
        <v>0</v>
      </c>
      <c r="J241" s="33">
        <f t="shared" si="222"/>
        <v>0</v>
      </c>
      <c r="K241" s="30">
        <f t="shared" si="176"/>
        <v>0</v>
      </c>
      <c r="L241" s="33">
        <f t="shared" si="177"/>
        <v>0</v>
      </c>
      <c r="M241" s="30">
        <f t="shared" si="178"/>
        <v>0</v>
      </c>
      <c r="N241" s="33">
        <f t="shared" si="179"/>
        <v>0</v>
      </c>
      <c r="O241" s="31">
        <f t="shared" si="180"/>
        <v>0</v>
      </c>
      <c r="P241" s="33">
        <f t="shared" si="181"/>
        <v>0</v>
      </c>
      <c r="Q241" s="34">
        <f t="shared" si="223"/>
        <v>600826.17939070577</v>
      </c>
      <c r="R241" s="29">
        <f t="shared" si="182"/>
        <v>0</v>
      </c>
      <c r="S241" s="34">
        <f t="shared" si="183"/>
        <v>600826.17939070577</v>
      </c>
      <c r="T241" s="29">
        <f t="shared" si="184"/>
        <v>500.68848282558815</v>
      </c>
      <c r="U241" s="29">
        <f t="shared" si="185"/>
        <v>0</v>
      </c>
      <c r="V241" s="35">
        <f t="shared" si="186"/>
        <v>6.5156367450103233E-5</v>
      </c>
      <c r="W241" s="34">
        <f t="shared" si="187"/>
        <v>0</v>
      </c>
      <c r="X241" s="34">
        <f t="shared" si="188"/>
        <v>600325.49090788013</v>
      </c>
      <c r="Y241" s="36">
        <f t="shared" si="189"/>
        <v>4.403052796233542E-3</v>
      </c>
      <c r="Z241" s="34">
        <f t="shared" si="190"/>
        <v>2643.2648313922155</v>
      </c>
      <c r="AA241" s="34">
        <f t="shared" si="191"/>
        <v>601647.12332357629</v>
      </c>
      <c r="AB241" s="34">
        <f t="shared" si="192"/>
        <v>0</v>
      </c>
      <c r="AC241" s="34">
        <f t="shared" si="193"/>
        <v>0</v>
      </c>
      <c r="AD241" s="34">
        <f t="shared" si="194"/>
        <v>0</v>
      </c>
      <c r="AE241" s="34">
        <f t="shared" si="195"/>
        <v>0</v>
      </c>
      <c r="AF241" s="34">
        <f t="shared" si="196"/>
        <v>0</v>
      </c>
      <c r="AG241" s="29">
        <f t="shared" si="197"/>
        <v>601647.12332357629</v>
      </c>
      <c r="AH241" s="34">
        <f t="shared" si="198"/>
        <v>0</v>
      </c>
      <c r="AI241" s="34">
        <f t="shared" si="199"/>
        <v>0</v>
      </c>
      <c r="AJ241" s="34">
        <f t="shared" si="200"/>
        <v>0</v>
      </c>
      <c r="AK241" s="34">
        <f t="shared" si="201"/>
        <v>0</v>
      </c>
      <c r="AL241" s="34">
        <f t="shared" si="202"/>
        <v>0</v>
      </c>
      <c r="AM241" s="34">
        <f t="shared" si="203"/>
        <v>0</v>
      </c>
      <c r="AN241" s="34">
        <f t="shared" si="204"/>
        <v>0</v>
      </c>
      <c r="AO241" s="34">
        <f t="shared" si="205"/>
        <v>0</v>
      </c>
      <c r="AP241" s="34">
        <f t="shared" si="206"/>
        <v>0</v>
      </c>
      <c r="AQ241" s="34">
        <f t="shared" si="207"/>
        <v>0</v>
      </c>
      <c r="AR241" s="34">
        <f t="shared" si="208"/>
        <v>0</v>
      </c>
      <c r="AS241" s="30">
        <f t="shared" si="209"/>
        <v>1.2171584884784634</v>
      </c>
      <c r="AT241" s="29">
        <f t="shared" si="210"/>
        <v>0</v>
      </c>
      <c r="AU241" s="29">
        <f t="shared" si="211"/>
        <v>0</v>
      </c>
      <c r="AV241" s="34">
        <f t="shared" si="212"/>
        <v>0</v>
      </c>
      <c r="AW241" s="34">
        <f t="shared" si="213"/>
        <v>0</v>
      </c>
      <c r="AX241" s="29">
        <f t="shared" si="214"/>
        <v>0</v>
      </c>
      <c r="AY241" s="34">
        <f t="shared" si="215"/>
        <v>0</v>
      </c>
      <c r="AZ241" s="37">
        <f t="shared" si="216"/>
        <v>0</v>
      </c>
      <c r="BA241" s="37">
        <f t="shared" si="217"/>
        <v>0</v>
      </c>
      <c r="BB241" s="35">
        <f t="shared" si="218"/>
        <v>1.1386750026298742E-3</v>
      </c>
      <c r="BC241" s="31">
        <f t="shared" si="219"/>
        <v>0.76359903770630289</v>
      </c>
      <c r="BD241" s="34">
        <f t="shared" si="220"/>
        <v>0</v>
      </c>
    </row>
    <row r="242" spans="1:56" x14ac:dyDescent="0.2">
      <c r="A242" s="27">
        <f t="shared" si="221"/>
        <v>238</v>
      </c>
      <c r="B242" s="28">
        <f t="shared" si="168"/>
        <v>238</v>
      </c>
      <c r="C242" s="27">
        <f t="shared" si="169"/>
        <v>19</v>
      </c>
      <c r="D242" s="28">
        <f t="shared" si="170"/>
        <v>39</v>
      </c>
      <c r="E242" s="29">
        <f t="shared" si="171"/>
        <v>0</v>
      </c>
      <c r="F242" s="30">
        <f t="shared" si="172"/>
        <v>7.1056521686731157E-4</v>
      </c>
      <c r="G242" s="31">
        <f t="shared" si="173"/>
        <v>5.9233061318275659E-5</v>
      </c>
      <c r="H242" s="32">
        <f t="shared" si="174"/>
        <v>0.02</v>
      </c>
      <c r="I242" s="32">
        <f t="shared" si="175"/>
        <v>0</v>
      </c>
      <c r="J242" s="33">
        <f t="shared" si="222"/>
        <v>0</v>
      </c>
      <c r="K242" s="30">
        <f t="shared" si="176"/>
        <v>0</v>
      </c>
      <c r="L242" s="33">
        <f t="shared" si="177"/>
        <v>0</v>
      </c>
      <c r="M242" s="30">
        <f t="shared" si="178"/>
        <v>0</v>
      </c>
      <c r="N242" s="33">
        <f t="shared" si="179"/>
        <v>0</v>
      </c>
      <c r="O242" s="31">
        <f t="shared" si="180"/>
        <v>0</v>
      </c>
      <c r="P242" s="33">
        <f t="shared" si="181"/>
        <v>0</v>
      </c>
      <c r="Q242" s="34">
        <f t="shared" si="223"/>
        <v>602968.75573927234</v>
      </c>
      <c r="R242" s="29">
        <f t="shared" si="182"/>
        <v>0</v>
      </c>
      <c r="S242" s="34">
        <f t="shared" si="183"/>
        <v>602968.75573927234</v>
      </c>
      <c r="T242" s="29">
        <f t="shared" si="184"/>
        <v>502.4739631160603</v>
      </c>
      <c r="U242" s="29">
        <f t="shared" si="185"/>
        <v>0</v>
      </c>
      <c r="V242" s="35">
        <f t="shared" si="186"/>
        <v>6.5156367450103233E-5</v>
      </c>
      <c r="W242" s="34">
        <f t="shared" si="187"/>
        <v>0</v>
      </c>
      <c r="X242" s="34">
        <f t="shared" si="188"/>
        <v>602466.28177615628</v>
      </c>
      <c r="Y242" s="36">
        <f t="shared" si="189"/>
        <v>1.0803035325242627E-2</v>
      </c>
      <c r="Z242" s="34">
        <f t="shared" si="190"/>
        <v>6508.4645242953948</v>
      </c>
      <c r="AA242" s="34">
        <f t="shared" si="191"/>
        <v>605720.51403830398</v>
      </c>
      <c r="AB242" s="34">
        <f t="shared" si="192"/>
        <v>0</v>
      </c>
      <c r="AC242" s="34">
        <f t="shared" si="193"/>
        <v>0</v>
      </c>
      <c r="AD242" s="34">
        <f t="shared" si="194"/>
        <v>0</v>
      </c>
      <c r="AE242" s="34">
        <f t="shared" si="195"/>
        <v>0</v>
      </c>
      <c r="AF242" s="34">
        <f t="shared" si="196"/>
        <v>0</v>
      </c>
      <c r="AG242" s="29">
        <f t="shared" si="197"/>
        <v>605720.51403830398</v>
      </c>
      <c r="AH242" s="34">
        <f t="shared" si="198"/>
        <v>0</v>
      </c>
      <c r="AI242" s="34">
        <f t="shared" si="199"/>
        <v>0</v>
      </c>
      <c r="AJ242" s="34">
        <f t="shared" si="200"/>
        <v>0</v>
      </c>
      <c r="AK242" s="34">
        <f t="shared" si="201"/>
        <v>0</v>
      </c>
      <c r="AL242" s="34">
        <f t="shared" si="202"/>
        <v>0</v>
      </c>
      <c r="AM242" s="34">
        <f t="shared" si="203"/>
        <v>0</v>
      </c>
      <c r="AN242" s="34">
        <f t="shared" si="204"/>
        <v>0</v>
      </c>
      <c r="AO242" s="34">
        <f t="shared" si="205"/>
        <v>0</v>
      </c>
      <c r="AP242" s="34">
        <f t="shared" si="206"/>
        <v>0</v>
      </c>
      <c r="AQ242" s="34">
        <f t="shared" si="207"/>
        <v>0</v>
      </c>
      <c r="AR242" s="34">
        <f t="shared" si="208"/>
        <v>0</v>
      </c>
      <c r="AS242" s="30">
        <f t="shared" si="209"/>
        <v>1.2181681678358562</v>
      </c>
      <c r="AT242" s="29">
        <f t="shared" si="210"/>
        <v>0</v>
      </c>
      <c r="AU242" s="29">
        <f t="shared" si="211"/>
        <v>0</v>
      </c>
      <c r="AV242" s="34">
        <f t="shared" si="212"/>
        <v>0</v>
      </c>
      <c r="AW242" s="34">
        <f t="shared" si="213"/>
        <v>0</v>
      </c>
      <c r="AX242" s="29">
        <f t="shared" si="214"/>
        <v>0</v>
      </c>
      <c r="AY242" s="34">
        <f t="shared" si="215"/>
        <v>0</v>
      </c>
      <c r="AZ242" s="37">
        <f t="shared" si="216"/>
        <v>0</v>
      </c>
      <c r="BA242" s="37">
        <f t="shared" si="217"/>
        <v>0</v>
      </c>
      <c r="BB242" s="35">
        <f t="shared" si="218"/>
        <v>1.1386750026298742E-3</v>
      </c>
      <c r="BC242" s="31">
        <f t="shared" si="219"/>
        <v>0.76273053551177328</v>
      </c>
      <c r="BD242" s="34">
        <f t="shared" si="220"/>
        <v>0</v>
      </c>
    </row>
    <row r="243" spans="1:56" x14ac:dyDescent="0.2">
      <c r="A243" s="27">
        <f t="shared" si="221"/>
        <v>239</v>
      </c>
      <c r="B243" s="28">
        <f t="shared" si="168"/>
        <v>239</v>
      </c>
      <c r="C243" s="27">
        <f t="shared" si="169"/>
        <v>19</v>
      </c>
      <c r="D243" s="28">
        <f t="shared" si="170"/>
        <v>39</v>
      </c>
      <c r="E243" s="29">
        <f t="shared" si="171"/>
        <v>0</v>
      </c>
      <c r="F243" s="30">
        <f t="shared" si="172"/>
        <v>7.1056521686731157E-4</v>
      </c>
      <c r="G243" s="31">
        <f t="shared" si="173"/>
        <v>5.9233061318275659E-5</v>
      </c>
      <c r="H243" s="32">
        <f t="shared" si="174"/>
        <v>0.02</v>
      </c>
      <c r="I243" s="32">
        <f t="shared" si="175"/>
        <v>0</v>
      </c>
      <c r="J243" s="33">
        <f t="shared" si="222"/>
        <v>0</v>
      </c>
      <c r="K243" s="30">
        <f t="shared" si="176"/>
        <v>0</v>
      </c>
      <c r="L243" s="33">
        <f t="shared" si="177"/>
        <v>0</v>
      </c>
      <c r="M243" s="30">
        <f t="shared" si="178"/>
        <v>0</v>
      </c>
      <c r="N243" s="33">
        <f t="shared" si="179"/>
        <v>0</v>
      </c>
      <c r="O243" s="31">
        <f t="shared" si="180"/>
        <v>0</v>
      </c>
      <c r="P243" s="33">
        <f t="shared" si="181"/>
        <v>0</v>
      </c>
      <c r="Q243" s="34">
        <f t="shared" si="223"/>
        <v>608974.74630045169</v>
      </c>
      <c r="R243" s="29">
        <f t="shared" si="182"/>
        <v>0</v>
      </c>
      <c r="S243" s="34">
        <f t="shared" si="183"/>
        <v>608974.74630045169</v>
      </c>
      <c r="T243" s="29">
        <f t="shared" si="184"/>
        <v>507.47895525037643</v>
      </c>
      <c r="U243" s="29">
        <f t="shared" si="185"/>
        <v>0</v>
      </c>
      <c r="V243" s="35">
        <f t="shared" si="186"/>
        <v>6.5156367450103233E-5</v>
      </c>
      <c r="W243" s="34">
        <f t="shared" si="187"/>
        <v>0</v>
      </c>
      <c r="X243" s="34">
        <f t="shared" si="188"/>
        <v>608467.26734520134</v>
      </c>
      <c r="Y243" s="36">
        <f t="shared" si="189"/>
        <v>-4.599147818277971E-3</v>
      </c>
      <c r="Z243" s="34">
        <f t="shared" si="190"/>
        <v>-2798.4309051042414</v>
      </c>
      <c r="AA243" s="34">
        <f t="shared" si="191"/>
        <v>607068.05189264927</v>
      </c>
      <c r="AB243" s="34">
        <f t="shared" si="192"/>
        <v>0</v>
      </c>
      <c r="AC243" s="34">
        <f t="shared" si="193"/>
        <v>0</v>
      </c>
      <c r="AD243" s="34">
        <f t="shared" si="194"/>
        <v>0</v>
      </c>
      <c r="AE243" s="34">
        <f t="shared" si="195"/>
        <v>0</v>
      </c>
      <c r="AF243" s="34">
        <f t="shared" si="196"/>
        <v>0</v>
      </c>
      <c r="AG243" s="29">
        <f t="shared" si="197"/>
        <v>607068.05189264927</v>
      </c>
      <c r="AH243" s="34">
        <f t="shared" si="198"/>
        <v>0</v>
      </c>
      <c r="AI243" s="34">
        <f t="shared" si="199"/>
        <v>0</v>
      </c>
      <c r="AJ243" s="34">
        <f t="shared" si="200"/>
        <v>0</v>
      </c>
      <c r="AK243" s="34">
        <f t="shared" si="201"/>
        <v>0</v>
      </c>
      <c r="AL243" s="34">
        <f t="shared" si="202"/>
        <v>0</v>
      </c>
      <c r="AM243" s="34">
        <f t="shared" si="203"/>
        <v>0</v>
      </c>
      <c r="AN243" s="34">
        <f t="shared" si="204"/>
        <v>0</v>
      </c>
      <c r="AO243" s="34">
        <f t="shared" si="205"/>
        <v>0</v>
      </c>
      <c r="AP243" s="34">
        <f t="shared" si="206"/>
        <v>0</v>
      </c>
      <c r="AQ243" s="34">
        <f t="shared" si="207"/>
        <v>0</v>
      </c>
      <c r="AR243" s="34">
        <f t="shared" si="208"/>
        <v>0</v>
      </c>
      <c r="AS243" s="30">
        <f t="shared" si="209"/>
        <v>1.2191786847607595</v>
      </c>
      <c r="AT243" s="29">
        <f t="shared" si="210"/>
        <v>0</v>
      </c>
      <c r="AU243" s="29">
        <f t="shared" si="211"/>
        <v>0</v>
      </c>
      <c r="AV243" s="34">
        <f t="shared" si="212"/>
        <v>0</v>
      </c>
      <c r="AW243" s="34">
        <f t="shared" si="213"/>
        <v>0</v>
      </c>
      <c r="AX243" s="29">
        <f t="shared" si="214"/>
        <v>0</v>
      </c>
      <c r="AY243" s="34">
        <f t="shared" si="215"/>
        <v>0</v>
      </c>
      <c r="AZ243" s="37">
        <f t="shared" si="216"/>
        <v>0</v>
      </c>
      <c r="BA243" s="37">
        <f t="shared" si="217"/>
        <v>0</v>
      </c>
      <c r="BB243" s="35">
        <f t="shared" si="218"/>
        <v>1.1386750026298742E-3</v>
      </c>
      <c r="BC243" s="31">
        <f t="shared" si="219"/>
        <v>0.76186302113417959</v>
      </c>
      <c r="BD243" s="34">
        <f t="shared" si="220"/>
        <v>0</v>
      </c>
    </row>
    <row r="244" spans="1:56" x14ac:dyDescent="0.2">
      <c r="A244" s="27">
        <f t="shared" si="221"/>
        <v>240</v>
      </c>
      <c r="B244" s="28">
        <f t="shared" si="168"/>
        <v>240</v>
      </c>
      <c r="C244" s="27">
        <f t="shared" si="169"/>
        <v>20</v>
      </c>
      <c r="D244" s="28">
        <f t="shared" si="170"/>
        <v>40</v>
      </c>
      <c r="E244" s="29">
        <f t="shared" si="171"/>
        <v>0</v>
      </c>
      <c r="F244" s="30">
        <f t="shared" si="172"/>
        <v>7.4350828393167584E-4</v>
      </c>
      <c r="G244" s="31">
        <f t="shared" si="173"/>
        <v>6.1980147759377324E-5</v>
      </c>
      <c r="H244" s="32">
        <f t="shared" si="174"/>
        <v>0.02</v>
      </c>
      <c r="I244" s="32">
        <f t="shared" si="175"/>
        <v>0</v>
      </c>
      <c r="J244" s="33">
        <f t="shared" si="222"/>
        <v>0</v>
      </c>
      <c r="K244" s="30">
        <f t="shared" si="176"/>
        <v>0</v>
      </c>
      <c r="L244" s="33">
        <f t="shared" si="177"/>
        <v>0</v>
      </c>
      <c r="M244" s="30">
        <f t="shared" si="178"/>
        <v>0</v>
      </c>
      <c r="N244" s="33">
        <f t="shared" si="179"/>
        <v>0</v>
      </c>
      <c r="O244" s="31">
        <f t="shared" si="180"/>
        <v>0</v>
      </c>
      <c r="P244" s="33">
        <f t="shared" si="181"/>
        <v>0</v>
      </c>
      <c r="Q244" s="34">
        <f t="shared" si="223"/>
        <v>605668.83644009707</v>
      </c>
      <c r="R244" s="29">
        <f t="shared" si="182"/>
        <v>0</v>
      </c>
      <c r="S244" s="34">
        <f t="shared" si="183"/>
        <v>605668.83644009707</v>
      </c>
      <c r="T244" s="29">
        <f t="shared" si="184"/>
        <v>504.72403036674757</v>
      </c>
      <c r="U244" s="29">
        <f t="shared" si="185"/>
        <v>0</v>
      </c>
      <c r="V244" s="35">
        <f t="shared" si="186"/>
        <v>6.8178162535315065E-5</v>
      </c>
      <c r="W244" s="34">
        <f t="shared" si="187"/>
        <v>0</v>
      </c>
      <c r="X244" s="34">
        <f t="shared" si="188"/>
        <v>605164.11240973033</v>
      </c>
      <c r="Y244" s="36">
        <f t="shared" si="189"/>
        <v>-8.8857129899727605E-3</v>
      </c>
      <c r="Z244" s="34">
        <f t="shared" si="190"/>
        <v>-5377.3146147044763</v>
      </c>
      <c r="AA244" s="34">
        <f t="shared" si="191"/>
        <v>602475.45510237804</v>
      </c>
      <c r="AB244" s="34">
        <f t="shared" si="192"/>
        <v>0</v>
      </c>
      <c r="AC244" s="34">
        <f t="shared" si="193"/>
        <v>0</v>
      </c>
      <c r="AD244" s="34">
        <f t="shared" si="194"/>
        <v>0</v>
      </c>
      <c r="AE244" s="34">
        <f t="shared" si="195"/>
        <v>0</v>
      </c>
      <c r="AF244" s="34">
        <f t="shared" si="196"/>
        <v>0</v>
      </c>
      <c r="AG244" s="29">
        <f t="shared" si="197"/>
        <v>602475.45510237804</v>
      </c>
      <c r="AH244" s="34">
        <f t="shared" si="198"/>
        <v>0</v>
      </c>
      <c r="AI244" s="34">
        <f t="shared" si="199"/>
        <v>0</v>
      </c>
      <c r="AJ244" s="34">
        <f t="shared" si="200"/>
        <v>0</v>
      </c>
      <c r="AK244" s="34">
        <f t="shared" si="201"/>
        <v>0</v>
      </c>
      <c r="AL244" s="34">
        <f t="shared" si="202"/>
        <v>0</v>
      </c>
      <c r="AM244" s="34">
        <f t="shared" si="203"/>
        <v>0</v>
      </c>
      <c r="AN244" s="34">
        <f t="shared" si="204"/>
        <v>0</v>
      </c>
      <c r="AO244" s="34">
        <f t="shared" si="205"/>
        <v>0</v>
      </c>
      <c r="AP244" s="34">
        <f t="shared" si="206"/>
        <v>0</v>
      </c>
      <c r="AQ244" s="34">
        <f t="shared" si="207"/>
        <v>0</v>
      </c>
      <c r="AR244" s="34">
        <f t="shared" si="208"/>
        <v>0</v>
      </c>
      <c r="AS244" s="30">
        <f t="shared" si="209"/>
        <v>1.220190039947967</v>
      </c>
      <c r="AT244" s="29">
        <f t="shared" si="210"/>
        <v>0</v>
      </c>
      <c r="AU244" s="29">
        <f t="shared" si="211"/>
        <v>0</v>
      </c>
      <c r="AV244" s="34">
        <f t="shared" si="212"/>
        <v>0</v>
      </c>
      <c r="AW244" s="34">
        <f t="shared" si="213"/>
        <v>0</v>
      </c>
      <c r="AX244" s="29">
        <f t="shared" si="214"/>
        <v>0</v>
      </c>
      <c r="AY244" s="34">
        <f t="shared" si="215"/>
        <v>0</v>
      </c>
      <c r="AZ244" s="37">
        <f t="shared" si="216"/>
        <v>0</v>
      </c>
      <c r="BA244" s="37">
        <f t="shared" si="217"/>
        <v>0</v>
      </c>
      <c r="BB244" s="35">
        <f t="shared" si="218"/>
        <v>1.1411438684654218E-3</v>
      </c>
      <c r="BC244" s="31">
        <f t="shared" si="219"/>
        <v>0.76054622854312348</v>
      </c>
      <c r="BD244" s="34">
        <f t="shared" si="220"/>
        <v>0</v>
      </c>
    </row>
    <row r="245" spans="1:56" x14ac:dyDescent="0.2">
      <c r="A245" s="27">
        <f t="shared" si="221"/>
        <v>241</v>
      </c>
      <c r="B245" s="28">
        <f t="shared" si="168"/>
        <v>241</v>
      </c>
      <c r="C245" s="27">
        <f t="shared" si="169"/>
        <v>20</v>
      </c>
      <c r="D245" s="28">
        <f t="shared" si="170"/>
        <v>40</v>
      </c>
      <c r="E245" s="29">
        <f t="shared" si="171"/>
        <v>0</v>
      </c>
      <c r="F245" s="30">
        <f t="shared" si="172"/>
        <v>7.4350828393167584E-4</v>
      </c>
      <c r="G245" s="31">
        <f t="shared" si="173"/>
        <v>6.1980147759377324E-5</v>
      </c>
      <c r="H245" s="32">
        <f t="shared" si="174"/>
        <v>0.02</v>
      </c>
      <c r="I245" s="32">
        <f t="shared" si="175"/>
        <v>0</v>
      </c>
      <c r="J245" s="33">
        <f t="shared" si="222"/>
        <v>0</v>
      </c>
      <c r="K245" s="30">
        <f t="shared" si="176"/>
        <v>0</v>
      </c>
      <c r="L245" s="33">
        <f t="shared" si="177"/>
        <v>0</v>
      </c>
      <c r="M245" s="30">
        <f t="shared" si="178"/>
        <v>0</v>
      </c>
      <c r="N245" s="33">
        <f t="shared" si="179"/>
        <v>0</v>
      </c>
      <c r="O245" s="31">
        <f t="shared" si="180"/>
        <v>0</v>
      </c>
      <c r="P245" s="33">
        <f t="shared" si="181"/>
        <v>0</v>
      </c>
      <c r="Q245" s="34">
        <f t="shared" si="223"/>
        <v>599786.79779502586</v>
      </c>
      <c r="R245" s="29">
        <f t="shared" si="182"/>
        <v>0</v>
      </c>
      <c r="S245" s="34">
        <f t="shared" si="183"/>
        <v>599786.79779502586</v>
      </c>
      <c r="T245" s="29">
        <f t="shared" si="184"/>
        <v>499.82233149585494</v>
      </c>
      <c r="U245" s="29">
        <f t="shared" si="185"/>
        <v>0</v>
      </c>
      <c r="V245" s="35">
        <f t="shared" si="186"/>
        <v>6.8178162535315065E-5</v>
      </c>
      <c r="W245" s="34">
        <f t="shared" si="187"/>
        <v>0</v>
      </c>
      <c r="X245" s="34">
        <f t="shared" si="188"/>
        <v>599286.97546353005</v>
      </c>
      <c r="Y245" s="36">
        <f t="shared" si="189"/>
        <v>-1.221069167429234E-2</v>
      </c>
      <c r="Z245" s="34">
        <f t="shared" si="190"/>
        <v>-7317.7084818043641</v>
      </c>
      <c r="AA245" s="34">
        <f t="shared" si="191"/>
        <v>595628.12122262781</v>
      </c>
      <c r="AB245" s="34">
        <f t="shared" si="192"/>
        <v>0</v>
      </c>
      <c r="AC245" s="34">
        <f t="shared" si="193"/>
        <v>0</v>
      </c>
      <c r="AD245" s="34">
        <f t="shared" si="194"/>
        <v>0</v>
      </c>
      <c r="AE245" s="34">
        <f t="shared" si="195"/>
        <v>0</v>
      </c>
      <c r="AF245" s="34">
        <f t="shared" si="196"/>
        <v>0</v>
      </c>
      <c r="AG245" s="29">
        <f t="shared" si="197"/>
        <v>595628.12122262781</v>
      </c>
      <c r="AH245" s="34">
        <f t="shared" si="198"/>
        <v>0</v>
      </c>
      <c r="AI245" s="34">
        <f t="shared" si="199"/>
        <v>0</v>
      </c>
      <c r="AJ245" s="34">
        <f t="shared" si="200"/>
        <v>0</v>
      </c>
      <c r="AK245" s="34">
        <f t="shared" si="201"/>
        <v>0</v>
      </c>
      <c r="AL245" s="34">
        <f t="shared" si="202"/>
        <v>0</v>
      </c>
      <c r="AM245" s="34">
        <f t="shared" si="203"/>
        <v>0</v>
      </c>
      <c r="AN245" s="34">
        <f t="shared" si="204"/>
        <v>0</v>
      </c>
      <c r="AO245" s="34">
        <f t="shared" si="205"/>
        <v>0</v>
      </c>
      <c r="AP245" s="34">
        <f t="shared" si="206"/>
        <v>0</v>
      </c>
      <c r="AQ245" s="34">
        <f t="shared" si="207"/>
        <v>0</v>
      </c>
      <c r="AR245" s="34">
        <f t="shared" si="208"/>
        <v>0</v>
      </c>
      <c r="AS245" s="30">
        <f t="shared" si="209"/>
        <v>1.2212022340928494</v>
      </c>
      <c r="AT245" s="29">
        <f t="shared" si="210"/>
        <v>0</v>
      </c>
      <c r="AU245" s="29">
        <f t="shared" si="211"/>
        <v>0</v>
      </c>
      <c r="AV245" s="34">
        <f t="shared" si="212"/>
        <v>0</v>
      </c>
      <c r="AW245" s="34">
        <f t="shared" si="213"/>
        <v>0</v>
      </c>
      <c r="AX245" s="29">
        <f t="shared" si="214"/>
        <v>0</v>
      </c>
      <c r="AY245" s="34">
        <f t="shared" si="215"/>
        <v>0</v>
      </c>
      <c r="AZ245" s="37">
        <f t="shared" si="216"/>
        <v>0</v>
      </c>
      <c r="BA245" s="37">
        <f t="shared" si="217"/>
        <v>0</v>
      </c>
      <c r="BB245" s="35">
        <f t="shared" si="218"/>
        <v>1.1411438684654218E-3</v>
      </c>
      <c r="BC245" s="31">
        <f t="shared" si="219"/>
        <v>0.75967932513924086</v>
      </c>
      <c r="BD245" s="34">
        <f t="shared" si="220"/>
        <v>0</v>
      </c>
    </row>
    <row r="246" spans="1:56" x14ac:dyDescent="0.2">
      <c r="A246" s="27">
        <f t="shared" si="221"/>
        <v>242</v>
      </c>
      <c r="B246" s="28">
        <f t="shared" si="168"/>
        <v>242</v>
      </c>
      <c r="C246" s="27">
        <f t="shared" si="169"/>
        <v>20</v>
      </c>
      <c r="D246" s="28">
        <f t="shared" si="170"/>
        <v>40</v>
      </c>
      <c r="E246" s="29">
        <f t="shared" si="171"/>
        <v>0</v>
      </c>
      <c r="F246" s="30">
        <f t="shared" si="172"/>
        <v>7.4350828393167584E-4</v>
      </c>
      <c r="G246" s="31">
        <f t="shared" si="173"/>
        <v>6.1980147759377324E-5</v>
      </c>
      <c r="H246" s="32">
        <f t="shared" si="174"/>
        <v>0.02</v>
      </c>
      <c r="I246" s="32">
        <f t="shared" si="175"/>
        <v>0</v>
      </c>
      <c r="J246" s="33">
        <f t="shared" si="222"/>
        <v>0</v>
      </c>
      <c r="K246" s="30">
        <f t="shared" si="176"/>
        <v>0</v>
      </c>
      <c r="L246" s="33">
        <f t="shared" si="177"/>
        <v>0</v>
      </c>
      <c r="M246" s="30">
        <f t="shared" si="178"/>
        <v>0</v>
      </c>
      <c r="N246" s="33">
        <f t="shared" si="179"/>
        <v>0</v>
      </c>
      <c r="O246" s="31">
        <f t="shared" si="180"/>
        <v>0</v>
      </c>
      <c r="P246" s="33">
        <f t="shared" si="181"/>
        <v>0</v>
      </c>
      <c r="Q246" s="34">
        <f t="shared" si="223"/>
        <v>591969.2669817257</v>
      </c>
      <c r="R246" s="29">
        <f t="shared" si="182"/>
        <v>0</v>
      </c>
      <c r="S246" s="34">
        <f t="shared" si="183"/>
        <v>591969.2669817257</v>
      </c>
      <c r="T246" s="29">
        <f t="shared" si="184"/>
        <v>493.30772248477143</v>
      </c>
      <c r="U246" s="29">
        <f t="shared" si="185"/>
        <v>0</v>
      </c>
      <c r="V246" s="35">
        <f t="shared" si="186"/>
        <v>6.8178162535315065E-5</v>
      </c>
      <c r="W246" s="34">
        <f t="shared" si="187"/>
        <v>0</v>
      </c>
      <c r="X246" s="34">
        <f t="shared" si="188"/>
        <v>591475.95925924089</v>
      </c>
      <c r="Y246" s="36">
        <f t="shared" si="189"/>
        <v>-1.0074055250787306E-2</v>
      </c>
      <c r="Z246" s="34">
        <f t="shared" si="190"/>
        <v>-5958.5614930900147</v>
      </c>
      <c r="AA246" s="34">
        <f t="shared" si="191"/>
        <v>588496.67851269583</v>
      </c>
      <c r="AB246" s="34">
        <f t="shared" si="192"/>
        <v>0</v>
      </c>
      <c r="AC246" s="34">
        <f t="shared" si="193"/>
        <v>0</v>
      </c>
      <c r="AD246" s="34">
        <f t="shared" si="194"/>
        <v>0</v>
      </c>
      <c r="AE246" s="34">
        <f t="shared" si="195"/>
        <v>0</v>
      </c>
      <c r="AF246" s="34">
        <f t="shared" si="196"/>
        <v>0</v>
      </c>
      <c r="AG246" s="29">
        <f t="shared" si="197"/>
        <v>588496.67851269583</v>
      </c>
      <c r="AH246" s="34">
        <f t="shared" si="198"/>
        <v>0</v>
      </c>
      <c r="AI246" s="34">
        <f t="shared" si="199"/>
        <v>0</v>
      </c>
      <c r="AJ246" s="34">
        <f t="shared" si="200"/>
        <v>0</v>
      </c>
      <c r="AK246" s="34">
        <f t="shared" si="201"/>
        <v>0</v>
      </c>
      <c r="AL246" s="34">
        <f t="shared" si="202"/>
        <v>0</v>
      </c>
      <c r="AM246" s="34">
        <f t="shared" si="203"/>
        <v>0</v>
      </c>
      <c r="AN246" s="34">
        <f t="shared" si="204"/>
        <v>0</v>
      </c>
      <c r="AO246" s="34">
        <f t="shared" si="205"/>
        <v>0</v>
      </c>
      <c r="AP246" s="34">
        <f t="shared" si="206"/>
        <v>0</v>
      </c>
      <c r="AQ246" s="34">
        <f t="shared" si="207"/>
        <v>0</v>
      </c>
      <c r="AR246" s="34">
        <f t="shared" si="208"/>
        <v>0</v>
      </c>
      <c r="AS246" s="30">
        <f t="shared" si="209"/>
        <v>1.2222152678913543</v>
      </c>
      <c r="AT246" s="29">
        <f t="shared" si="210"/>
        <v>0</v>
      </c>
      <c r="AU246" s="29">
        <f t="shared" si="211"/>
        <v>0</v>
      </c>
      <c r="AV246" s="34">
        <f t="shared" si="212"/>
        <v>0</v>
      </c>
      <c r="AW246" s="34">
        <f t="shared" si="213"/>
        <v>0</v>
      </c>
      <c r="AX246" s="29">
        <f t="shared" si="214"/>
        <v>0</v>
      </c>
      <c r="AY246" s="34">
        <f t="shared" si="215"/>
        <v>0</v>
      </c>
      <c r="AZ246" s="37">
        <f t="shared" si="216"/>
        <v>0</v>
      </c>
      <c r="BA246" s="37">
        <f t="shared" si="217"/>
        <v>0</v>
      </c>
      <c r="BB246" s="35">
        <f t="shared" si="218"/>
        <v>1.1411438684654218E-3</v>
      </c>
      <c r="BC246" s="31">
        <f t="shared" si="219"/>
        <v>0.75881340986925916</v>
      </c>
      <c r="BD246" s="34">
        <f t="shared" si="220"/>
        <v>0</v>
      </c>
    </row>
    <row r="247" spans="1:56" x14ac:dyDescent="0.2">
      <c r="A247" s="27">
        <f t="shared" si="221"/>
        <v>243</v>
      </c>
      <c r="B247" s="28">
        <f t="shared" si="168"/>
        <v>243</v>
      </c>
      <c r="C247" s="27">
        <f t="shared" si="169"/>
        <v>20</v>
      </c>
      <c r="D247" s="28">
        <f t="shared" si="170"/>
        <v>40</v>
      </c>
      <c r="E247" s="29">
        <f t="shared" si="171"/>
        <v>0</v>
      </c>
      <c r="F247" s="30">
        <f t="shared" si="172"/>
        <v>7.4350828393167584E-4</v>
      </c>
      <c r="G247" s="31">
        <f t="shared" si="173"/>
        <v>6.1980147759377324E-5</v>
      </c>
      <c r="H247" s="32">
        <f t="shared" si="174"/>
        <v>0.02</v>
      </c>
      <c r="I247" s="32">
        <f t="shared" si="175"/>
        <v>0</v>
      </c>
      <c r="J247" s="33">
        <f t="shared" si="222"/>
        <v>0</v>
      </c>
      <c r="K247" s="30">
        <f t="shared" si="176"/>
        <v>0</v>
      </c>
      <c r="L247" s="33">
        <f t="shared" si="177"/>
        <v>0</v>
      </c>
      <c r="M247" s="30">
        <f t="shared" si="178"/>
        <v>0</v>
      </c>
      <c r="N247" s="33">
        <f t="shared" si="179"/>
        <v>0</v>
      </c>
      <c r="O247" s="31">
        <f t="shared" si="180"/>
        <v>0</v>
      </c>
      <c r="P247" s="33">
        <f t="shared" si="181"/>
        <v>0</v>
      </c>
      <c r="Q247" s="34">
        <f t="shared" si="223"/>
        <v>585517.39776615088</v>
      </c>
      <c r="R247" s="29">
        <f t="shared" si="182"/>
        <v>0</v>
      </c>
      <c r="S247" s="34">
        <f t="shared" si="183"/>
        <v>585517.39776615088</v>
      </c>
      <c r="T247" s="29">
        <f t="shared" si="184"/>
        <v>487.93116480512577</v>
      </c>
      <c r="U247" s="29">
        <f t="shared" si="185"/>
        <v>0</v>
      </c>
      <c r="V247" s="35">
        <f t="shared" si="186"/>
        <v>6.8178162535315065E-5</v>
      </c>
      <c r="W247" s="34">
        <f t="shared" si="187"/>
        <v>0</v>
      </c>
      <c r="X247" s="34">
        <f t="shared" si="188"/>
        <v>585029.4666013458</v>
      </c>
      <c r="Y247" s="36">
        <f t="shared" si="189"/>
        <v>-1.0310802066563318E-2</v>
      </c>
      <c r="Z247" s="34">
        <f t="shared" si="190"/>
        <v>-6032.1230332335917</v>
      </c>
      <c r="AA247" s="34">
        <f t="shared" si="191"/>
        <v>582013.40508472896</v>
      </c>
      <c r="AB247" s="34">
        <f t="shared" si="192"/>
        <v>0</v>
      </c>
      <c r="AC247" s="34">
        <f t="shared" si="193"/>
        <v>0</v>
      </c>
      <c r="AD247" s="34">
        <f t="shared" si="194"/>
        <v>0</v>
      </c>
      <c r="AE247" s="34">
        <f t="shared" si="195"/>
        <v>0</v>
      </c>
      <c r="AF247" s="34">
        <f t="shared" si="196"/>
        <v>0</v>
      </c>
      <c r="AG247" s="29">
        <f t="shared" si="197"/>
        <v>582013.40508472896</v>
      </c>
      <c r="AH247" s="34">
        <f t="shared" si="198"/>
        <v>0</v>
      </c>
      <c r="AI247" s="34">
        <f t="shared" si="199"/>
        <v>0</v>
      </c>
      <c r="AJ247" s="34">
        <f t="shared" si="200"/>
        <v>0</v>
      </c>
      <c r="AK247" s="34">
        <f t="shared" si="201"/>
        <v>0</v>
      </c>
      <c r="AL247" s="34">
        <f t="shared" si="202"/>
        <v>0</v>
      </c>
      <c r="AM247" s="34">
        <f t="shared" si="203"/>
        <v>0</v>
      </c>
      <c r="AN247" s="34">
        <f t="shared" si="204"/>
        <v>0</v>
      </c>
      <c r="AO247" s="34">
        <f t="shared" si="205"/>
        <v>0</v>
      </c>
      <c r="AP247" s="34">
        <f t="shared" si="206"/>
        <v>0</v>
      </c>
      <c r="AQ247" s="34">
        <f t="shared" si="207"/>
        <v>0</v>
      </c>
      <c r="AR247" s="34">
        <f t="shared" si="208"/>
        <v>0</v>
      </c>
      <c r="AS247" s="30">
        <f t="shared" si="209"/>
        <v>1.2232291420400061</v>
      </c>
      <c r="AT247" s="29">
        <f t="shared" si="210"/>
        <v>0</v>
      </c>
      <c r="AU247" s="29">
        <f t="shared" si="211"/>
        <v>0</v>
      </c>
      <c r="AV247" s="34">
        <f t="shared" si="212"/>
        <v>0</v>
      </c>
      <c r="AW247" s="34">
        <f t="shared" si="213"/>
        <v>0</v>
      </c>
      <c r="AX247" s="29">
        <f t="shared" si="214"/>
        <v>0</v>
      </c>
      <c r="AY247" s="34">
        <f t="shared" si="215"/>
        <v>0</v>
      </c>
      <c r="AZ247" s="37">
        <f t="shared" si="216"/>
        <v>0</v>
      </c>
      <c r="BA247" s="37">
        <f t="shared" si="217"/>
        <v>0</v>
      </c>
      <c r="BB247" s="35">
        <f t="shared" si="218"/>
        <v>1.1411438684654218E-3</v>
      </c>
      <c r="BC247" s="31">
        <f t="shared" si="219"/>
        <v>0.7579484816068609</v>
      </c>
      <c r="BD247" s="34">
        <f t="shared" si="220"/>
        <v>0</v>
      </c>
    </row>
    <row r="248" spans="1:56" x14ac:dyDescent="0.2">
      <c r="A248" s="27">
        <f t="shared" si="221"/>
        <v>244</v>
      </c>
      <c r="B248" s="28">
        <f t="shared" si="168"/>
        <v>244</v>
      </c>
      <c r="C248" s="27">
        <f t="shared" si="169"/>
        <v>20</v>
      </c>
      <c r="D248" s="28">
        <f t="shared" si="170"/>
        <v>40</v>
      </c>
      <c r="E248" s="29">
        <f t="shared" si="171"/>
        <v>0</v>
      </c>
      <c r="F248" s="30">
        <f t="shared" si="172"/>
        <v>7.4350828393167584E-4</v>
      </c>
      <c r="G248" s="31">
        <f t="shared" si="173"/>
        <v>6.1980147759377324E-5</v>
      </c>
      <c r="H248" s="32">
        <f t="shared" si="174"/>
        <v>0.02</v>
      </c>
      <c r="I248" s="32">
        <f t="shared" si="175"/>
        <v>0</v>
      </c>
      <c r="J248" s="33">
        <f t="shared" si="222"/>
        <v>0</v>
      </c>
      <c r="K248" s="30">
        <f t="shared" si="176"/>
        <v>0</v>
      </c>
      <c r="L248" s="33">
        <f t="shared" si="177"/>
        <v>0</v>
      </c>
      <c r="M248" s="30">
        <f t="shared" si="178"/>
        <v>0</v>
      </c>
      <c r="N248" s="33">
        <f t="shared" si="179"/>
        <v>0</v>
      </c>
      <c r="O248" s="31">
        <f t="shared" si="180"/>
        <v>0</v>
      </c>
      <c r="P248" s="33">
        <f t="shared" si="181"/>
        <v>0</v>
      </c>
      <c r="Q248" s="34">
        <f t="shared" si="223"/>
        <v>578997.34356811224</v>
      </c>
      <c r="R248" s="29">
        <f t="shared" si="182"/>
        <v>0</v>
      </c>
      <c r="S248" s="34">
        <f t="shared" si="183"/>
        <v>578997.34356811224</v>
      </c>
      <c r="T248" s="29">
        <f t="shared" si="184"/>
        <v>482.49778630676025</v>
      </c>
      <c r="U248" s="29">
        <f t="shared" si="185"/>
        <v>0</v>
      </c>
      <c r="V248" s="35">
        <f t="shared" si="186"/>
        <v>6.8178162535315065E-5</v>
      </c>
      <c r="W248" s="34">
        <f t="shared" si="187"/>
        <v>0</v>
      </c>
      <c r="X248" s="34">
        <f t="shared" si="188"/>
        <v>578514.84578180546</v>
      </c>
      <c r="Y248" s="36">
        <f t="shared" si="189"/>
        <v>5.899708727797881E-3</v>
      </c>
      <c r="Z248" s="34">
        <f t="shared" si="190"/>
        <v>3413.0690848195627</v>
      </c>
      <c r="AA248" s="34">
        <f t="shared" si="191"/>
        <v>580221.38032421528</v>
      </c>
      <c r="AB248" s="34">
        <f t="shared" si="192"/>
        <v>0</v>
      </c>
      <c r="AC248" s="34">
        <f t="shared" si="193"/>
        <v>0</v>
      </c>
      <c r="AD248" s="34">
        <f t="shared" si="194"/>
        <v>0</v>
      </c>
      <c r="AE248" s="34">
        <f t="shared" si="195"/>
        <v>0</v>
      </c>
      <c r="AF248" s="34">
        <f t="shared" si="196"/>
        <v>0</v>
      </c>
      <c r="AG248" s="29">
        <f t="shared" si="197"/>
        <v>580221.38032421528</v>
      </c>
      <c r="AH248" s="34">
        <f t="shared" si="198"/>
        <v>0</v>
      </c>
      <c r="AI248" s="34">
        <f t="shared" si="199"/>
        <v>0</v>
      </c>
      <c r="AJ248" s="34">
        <f t="shared" si="200"/>
        <v>0</v>
      </c>
      <c r="AK248" s="34">
        <f t="shared" si="201"/>
        <v>0</v>
      </c>
      <c r="AL248" s="34">
        <f t="shared" si="202"/>
        <v>0</v>
      </c>
      <c r="AM248" s="34">
        <f t="shared" si="203"/>
        <v>0</v>
      </c>
      <c r="AN248" s="34">
        <f t="shared" si="204"/>
        <v>0</v>
      </c>
      <c r="AO248" s="34">
        <f t="shared" si="205"/>
        <v>0</v>
      </c>
      <c r="AP248" s="34">
        <f t="shared" si="206"/>
        <v>0</v>
      </c>
      <c r="AQ248" s="34">
        <f t="shared" si="207"/>
        <v>0</v>
      </c>
      <c r="AR248" s="34">
        <f t="shared" si="208"/>
        <v>0</v>
      </c>
      <c r="AS248" s="30">
        <f t="shared" si="209"/>
        <v>1.2242438572359073</v>
      </c>
      <c r="AT248" s="29">
        <f t="shared" si="210"/>
        <v>0</v>
      </c>
      <c r="AU248" s="29">
        <f t="shared" si="211"/>
        <v>0</v>
      </c>
      <c r="AV248" s="34">
        <f t="shared" si="212"/>
        <v>0</v>
      </c>
      <c r="AW248" s="34">
        <f t="shared" si="213"/>
        <v>0</v>
      </c>
      <c r="AX248" s="29">
        <f t="shared" si="214"/>
        <v>0</v>
      </c>
      <c r="AY248" s="34">
        <f t="shared" si="215"/>
        <v>0</v>
      </c>
      <c r="AZ248" s="37">
        <f t="shared" si="216"/>
        <v>0</v>
      </c>
      <c r="BA248" s="37">
        <f t="shared" si="217"/>
        <v>0</v>
      </c>
      <c r="BB248" s="35">
        <f t="shared" si="218"/>
        <v>1.1411438684654218E-3</v>
      </c>
      <c r="BC248" s="31">
        <f t="shared" si="219"/>
        <v>0.75708453922701202</v>
      </c>
      <c r="BD248" s="34">
        <f t="shared" si="220"/>
        <v>0</v>
      </c>
    </row>
    <row r="249" spans="1:56" x14ac:dyDescent="0.2">
      <c r="A249" s="27">
        <f t="shared" si="221"/>
        <v>245</v>
      </c>
      <c r="B249" s="28">
        <f t="shared" si="168"/>
        <v>245</v>
      </c>
      <c r="C249" s="27">
        <f t="shared" si="169"/>
        <v>20</v>
      </c>
      <c r="D249" s="28">
        <f t="shared" si="170"/>
        <v>40</v>
      </c>
      <c r="E249" s="29">
        <f t="shared" si="171"/>
        <v>0</v>
      </c>
      <c r="F249" s="30">
        <f t="shared" si="172"/>
        <v>7.4350828393167584E-4</v>
      </c>
      <c r="G249" s="31">
        <f t="shared" si="173"/>
        <v>6.1980147759377324E-5</v>
      </c>
      <c r="H249" s="32">
        <f t="shared" si="174"/>
        <v>0.02</v>
      </c>
      <c r="I249" s="32">
        <f t="shared" si="175"/>
        <v>0</v>
      </c>
      <c r="J249" s="33">
        <f t="shared" si="222"/>
        <v>0</v>
      </c>
      <c r="K249" s="30">
        <f t="shared" si="176"/>
        <v>0</v>
      </c>
      <c r="L249" s="33">
        <f t="shared" si="177"/>
        <v>0</v>
      </c>
      <c r="M249" s="30">
        <f t="shared" si="178"/>
        <v>0</v>
      </c>
      <c r="N249" s="33">
        <f t="shared" si="179"/>
        <v>0</v>
      </c>
      <c r="O249" s="31">
        <f t="shared" si="180"/>
        <v>0</v>
      </c>
      <c r="P249" s="33">
        <f t="shared" si="181"/>
        <v>0</v>
      </c>
      <c r="Q249" s="34">
        <f t="shared" si="223"/>
        <v>581927.91486662498</v>
      </c>
      <c r="R249" s="29">
        <f t="shared" si="182"/>
        <v>0</v>
      </c>
      <c r="S249" s="34">
        <f t="shared" si="183"/>
        <v>581927.91486662498</v>
      </c>
      <c r="T249" s="29">
        <f t="shared" si="184"/>
        <v>484.93992905552085</v>
      </c>
      <c r="U249" s="29">
        <f t="shared" si="185"/>
        <v>0</v>
      </c>
      <c r="V249" s="35">
        <f t="shared" si="186"/>
        <v>6.8178162535315065E-5</v>
      </c>
      <c r="W249" s="34">
        <f t="shared" si="187"/>
        <v>0</v>
      </c>
      <c r="X249" s="34">
        <f t="shared" si="188"/>
        <v>581442.97493756947</v>
      </c>
      <c r="Y249" s="36">
        <f t="shared" si="189"/>
        <v>-3.3106115226546606E-3</v>
      </c>
      <c r="Z249" s="34">
        <f t="shared" si="190"/>
        <v>-1924.9318125949226</v>
      </c>
      <c r="AA249" s="34">
        <f t="shared" si="191"/>
        <v>580480.50903127203</v>
      </c>
      <c r="AB249" s="34">
        <f t="shared" si="192"/>
        <v>0</v>
      </c>
      <c r="AC249" s="34">
        <f t="shared" si="193"/>
        <v>0</v>
      </c>
      <c r="AD249" s="34">
        <f t="shared" si="194"/>
        <v>0</v>
      </c>
      <c r="AE249" s="34">
        <f t="shared" si="195"/>
        <v>0</v>
      </c>
      <c r="AF249" s="34">
        <f t="shared" si="196"/>
        <v>0</v>
      </c>
      <c r="AG249" s="29">
        <f t="shared" si="197"/>
        <v>580480.50903127203</v>
      </c>
      <c r="AH249" s="34">
        <f t="shared" si="198"/>
        <v>0</v>
      </c>
      <c r="AI249" s="34">
        <f t="shared" si="199"/>
        <v>0</v>
      </c>
      <c r="AJ249" s="34">
        <f t="shared" si="200"/>
        <v>0</v>
      </c>
      <c r="AK249" s="34">
        <f t="shared" si="201"/>
        <v>0</v>
      </c>
      <c r="AL249" s="34">
        <f t="shared" si="202"/>
        <v>0</v>
      </c>
      <c r="AM249" s="34">
        <f t="shared" si="203"/>
        <v>0</v>
      </c>
      <c r="AN249" s="34">
        <f t="shared" si="204"/>
        <v>0</v>
      </c>
      <c r="AO249" s="34">
        <f t="shared" si="205"/>
        <v>0</v>
      </c>
      <c r="AP249" s="34">
        <f t="shared" si="206"/>
        <v>0</v>
      </c>
      <c r="AQ249" s="34">
        <f t="shared" si="207"/>
        <v>0</v>
      </c>
      <c r="AR249" s="34">
        <f t="shared" si="208"/>
        <v>0</v>
      </c>
      <c r="AS249" s="30">
        <f t="shared" si="209"/>
        <v>1.2252594141767388</v>
      </c>
      <c r="AT249" s="29">
        <f t="shared" si="210"/>
        <v>0</v>
      </c>
      <c r="AU249" s="29">
        <f t="shared" si="211"/>
        <v>0</v>
      </c>
      <c r="AV249" s="34">
        <f t="shared" si="212"/>
        <v>0</v>
      </c>
      <c r="AW249" s="34">
        <f t="shared" si="213"/>
        <v>0</v>
      </c>
      <c r="AX249" s="29">
        <f t="shared" si="214"/>
        <v>0</v>
      </c>
      <c r="AY249" s="34">
        <f t="shared" si="215"/>
        <v>0</v>
      </c>
      <c r="AZ249" s="37">
        <f t="shared" si="216"/>
        <v>0</v>
      </c>
      <c r="BA249" s="37">
        <f t="shared" si="217"/>
        <v>0</v>
      </c>
      <c r="BB249" s="35">
        <f t="shared" si="218"/>
        <v>1.1411438684654218E-3</v>
      </c>
      <c r="BC249" s="31">
        <f t="shared" si="219"/>
        <v>0.75622158160596109</v>
      </c>
      <c r="BD249" s="34">
        <f t="shared" si="220"/>
        <v>0</v>
      </c>
    </row>
    <row r="250" spans="1:56" x14ac:dyDescent="0.2">
      <c r="A250" s="27">
        <f t="shared" si="221"/>
        <v>246</v>
      </c>
      <c r="B250" s="28">
        <f t="shared" si="168"/>
        <v>246</v>
      </c>
      <c r="C250" s="27">
        <f t="shared" si="169"/>
        <v>20</v>
      </c>
      <c r="D250" s="28">
        <f t="shared" si="170"/>
        <v>40</v>
      </c>
      <c r="E250" s="29">
        <f t="shared" si="171"/>
        <v>0</v>
      </c>
      <c r="F250" s="30">
        <f t="shared" si="172"/>
        <v>7.4350828393167584E-4</v>
      </c>
      <c r="G250" s="31">
        <f t="shared" si="173"/>
        <v>6.1980147759377324E-5</v>
      </c>
      <c r="H250" s="32">
        <f t="shared" si="174"/>
        <v>0.02</v>
      </c>
      <c r="I250" s="32">
        <f t="shared" si="175"/>
        <v>0</v>
      </c>
      <c r="J250" s="33">
        <f t="shared" si="222"/>
        <v>0</v>
      </c>
      <c r="K250" s="30">
        <f t="shared" si="176"/>
        <v>0</v>
      </c>
      <c r="L250" s="33">
        <f t="shared" si="177"/>
        <v>0</v>
      </c>
      <c r="M250" s="30">
        <f t="shared" si="178"/>
        <v>0</v>
      </c>
      <c r="N250" s="33">
        <f t="shared" si="179"/>
        <v>0</v>
      </c>
      <c r="O250" s="31">
        <f t="shared" si="180"/>
        <v>0</v>
      </c>
      <c r="P250" s="33">
        <f t="shared" si="181"/>
        <v>0</v>
      </c>
      <c r="Q250" s="34">
        <f t="shared" si="223"/>
        <v>579518.04312497459</v>
      </c>
      <c r="R250" s="29">
        <f t="shared" si="182"/>
        <v>0</v>
      </c>
      <c r="S250" s="34">
        <f t="shared" si="183"/>
        <v>579518.04312497459</v>
      </c>
      <c r="T250" s="29">
        <f t="shared" si="184"/>
        <v>482.93170260414553</v>
      </c>
      <c r="U250" s="29">
        <f t="shared" si="185"/>
        <v>0</v>
      </c>
      <c r="V250" s="35">
        <f t="shared" si="186"/>
        <v>6.8178162535315065E-5</v>
      </c>
      <c r="W250" s="34">
        <f t="shared" si="187"/>
        <v>0</v>
      </c>
      <c r="X250" s="34">
        <f t="shared" si="188"/>
        <v>579035.11142237042</v>
      </c>
      <c r="Y250" s="36">
        <f t="shared" si="189"/>
        <v>1.7029983447141905E-2</v>
      </c>
      <c r="Z250" s="34">
        <f t="shared" si="190"/>
        <v>9860.9583628369364</v>
      </c>
      <c r="AA250" s="34">
        <f t="shared" si="191"/>
        <v>583965.59060378885</v>
      </c>
      <c r="AB250" s="34">
        <f t="shared" si="192"/>
        <v>0</v>
      </c>
      <c r="AC250" s="34">
        <f t="shared" si="193"/>
        <v>0</v>
      </c>
      <c r="AD250" s="34">
        <f t="shared" si="194"/>
        <v>0</v>
      </c>
      <c r="AE250" s="34">
        <f t="shared" si="195"/>
        <v>0</v>
      </c>
      <c r="AF250" s="34">
        <f t="shared" si="196"/>
        <v>0</v>
      </c>
      <c r="AG250" s="29">
        <f t="shared" si="197"/>
        <v>583965.59060378885</v>
      </c>
      <c r="AH250" s="34">
        <f t="shared" si="198"/>
        <v>0</v>
      </c>
      <c r="AI250" s="34">
        <f t="shared" si="199"/>
        <v>0</v>
      </c>
      <c r="AJ250" s="34">
        <f t="shared" si="200"/>
        <v>0</v>
      </c>
      <c r="AK250" s="34">
        <f t="shared" si="201"/>
        <v>0</v>
      </c>
      <c r="AL250" s="34">
        <f t="shared" si="202"/>
        <v>0</v>
      </c>
      <c r="AM250" s="34">
        <f t="shared" si="203"/>
        <v>0</v>
      </c>
      <c r="AN250" s="34">
        <f t="shared" si="204"/>
        <v>0</v>
      </c>
      <c r="AO250" s="34">
        <f t="shared" si="205"/>
        <v>0</v>
      </c>
      <c r="AP250" s="34">
        <f t="shared" si="206"/>
        <v>0</v>
      </c>
      <c r="AQ250" s="34">
        <f t="shared" si="207"/>
        <v>0</v>
      </c>
      <c r="AR250" s="34">
        <f t="shared" si="208"/>
        <v>0</v>
      </c>
      <c r="AS250" s="30">
        <f t="shared" si="209"/>
        <v>1.2262758135607599</v>
      </c>
      <c r="AT250" s="29">
        <f t="shared" si="210"/>
        <v>0</v>
      </c>
      <c r="AU250" s="29">
        <f t="shared" si="211"/>
        <v>0</v>
      </c>
      <c r="AV250" s="34">
        <f t="shared" si="212"/>
        <v>0</v>
      </c>
      <c r="AW250" s="34">
        <f t="shared" si="213"/>
        <v>0</v>
      </c>
      <c r="AX250" s="29">
        <f t="shared" si="214"/>
        <v>0</v>
      </c>
      <c r="AY250" s="34">
        <f t="shared" si="215"/>
        <v>0</v>
      </c>
      <c r="AZ250" s="37">
        <f t="shared" si="216"/>
        <v>0</v>
      </c>
      <c r="BA250" s="37">
        <f t="shared" si="217"/>
        <v>0</v>
      </c>
      <c r="BB250" s="35">
        <f t="shared" si="218"/>
        <v>1.1411438684654218E-3</v>
      </c>
      <c r="BC250" s="31">
        <f t="shared" si="219"/>
        <v>0.75535960762123766</v>
      </c>
      <c r="BD250" s="34">
        <f t="shared" si="220"/>
        <v>0</v>
      </c>
    </row>
    <row r="251" spans="1:56" x14ac:dyDescent="0.2">
      <c r="A251" s="27">
        <f t="shared" si="221"/>
        <v>247</v>
      </c>
      <c r="B251" s="28">
        <f t="shared" si="168"/>
        <v>247</v>
      </c>
      <c r="C251" s="27">
        <f t="shared" si="169"/>
        <v>20</v>
      </c>
      <c r="D251" s="28">
        <f t="shared" si="170"/>
        <v>40</v>
      </c>
      <c r="E251" s="29">
        <f t="shared" si="171"/>
        <v>0</v>
      </c>
      <c r="F251" s="30">
        <f t="shared" si="172"/>
        <v>7.4350828393167584E-4</v>
      </c>
      <c r="G251" s="31">
        <f t="shared" si="173"/>
        <v>6.1980147759377324E-5</v>
      </c>
      <c r="H251" s="32">
        <f t="shared" si="174"/>
        <v>0.02</v>
      </c>
      <c r="I251" s="32">
        <f t="shared" si="175"/>
        <v>0</v>
      </c>
      <c r="J251" s="33">
        <f t="shared" si="222"/>
        <v>0</v>
      </c>
      <c r="K251" s="30">
        <f t="shared" si="176"/>
        <v>0</v>
      </c>
      <c r="L251" s="33">
        <f t="shared" si="177"/>
        <v>0</v>
      </c>
      <c r="M251" s="30">
        <f t="shared" si="178"/>
        <v>0</v>
      </c>
      <c r="N251" s="33">
        <f t="shared" si="179"/>
        <v>0</v>
      </c>
      <c r="O251" s="31">
        <f t="shared" si="180"/>
        <v>0</v>
      </c>
      <c r="P251" s="33">
        <f t="shared" si="181"/>
        <v>0</v>
      </c>
      <c r="Q251" s="34">
        <f t="shared" si="223"/>
        <v>588896.06978520739</v>
      </c>
      <c r="R251" s="29">
        <f t="shared" si="182"/>
        <v>0</v>
      </c>
      <c r="S251" s="34">
        <f t="shared" si="183"/>
        <v>588896.06978520739</v>
      </c>
      <c r="T251" s="29">
        <f t="shared" si="184"/>
        <v>490.74672482100618</v>
      </c>
      <c r="U251" s="29">
        <f t="shared" si="185"/>
        <v>0</v>
      </c>
      <c r="V251" s="35">
        <f t="shared" si="186"/>
        <v>6.8178162535315065E-5</v>
      </c>
      <c r="W251" s="34">
        <f t="shared" si="187"/>
        <v>0</v>
      </c>
      <c r="X251" s="34">
        <f t="shared" si="188"/>
        <v>588405.32306038635</v>
      </c>
      <c r="Y251" s="36">
        <f t="shared" si="189"/>
        <v>1.0654399588766683E-2</v>
      </c>
      <c r="Z251" s="34">
        <f t="shared" si="190"/>
        <v>6269.1054320427074</v>
      </c>
      <c r="AA251" s="34">
        <f t="shared" si="191"/>
        <v>591539.87577640766</v>
      </c>
      <c r="AB251" s="34">
        <f t="shared" si="192"/>
        <v>0</v>
      </c>
      <c r="AC251" s="34">
        <f t="shared" si="193"/>
        <v>0</v>
      </c>
      <c r="AD251" s="34">
        <f t="shared" si="194"/>
        <v>0</v>
      </c>
      <c r="AE251" s="34">
        <f t="shared" si="195"/>
        <v>0</v>
      </c>
      <c r="AF251" s="34">
        <f t="shared" si="196"/>
        <v>0</v>
      </c>
      <c r="AG251" s="29">
        <f t="shared" si="197"/>
        <v>591539.87577640766</v>
      </c>
      <c r="AH251" s="34">
        <f t="shared" si="198"/>
        <v>0</v>
      </c>
      <c r="AI251" s="34">
        <f t="shared" si="199"/>
        <v>0</v>
      </c>
      <c r="AJ251" s="34">
        <f t="shared" si="200"/>
        <v>0</v>
      </c>
      <c r="AK251" s="34">
        <f t="shared" si="201"/>
        <v>0</v>
      </c>
      <c r="AL251" s="34">
        <f t="shared" si="202"/>
        <v>0</v>
      </c>
      <c r="AM251" s="34">
        <f t="shared" si="203"/>
        <v>0</v>
      </c>
      <c r="AN251" s="34">
        <f t="shared" si="204"/>
        <v>0</v>
      </c>
      <c r="AO251" s="34">
        <f t="shared" si="205"/>
        <v>0</v>
      </c>
      <c r="AP251" s="34">
        <f t="shared" si="206"/>
        <v>0</v>
      </c>
      <c r="AQ251" s="34">
        <f t="shared" si="207"/>
        <v>0</v>
      </c>
      <c r="AR251" s="34">
        <f t="shared" si="208"/>
        <v>0</v>
      </c>
      <c r="AS251" s="30">
        <f t="shared" si="209"/>
        <v>1.2272930560868094</v>
      </c>
      <c r="AT251" s="29">
        <f t="shared" si="210"/>
        <v>0</v>
      </c>
      <c r="AU251" s="29">
        <f t="shared" si="211"/>
        <v>0</v>
      </c>
      <c r="AV251" s="34">
        <f t="shared" si="212"/>
        <v>0</v>
      </c>
      <c r="AW251" s="34">
        <f t="shared" si="213"/>
        <v>0</v>
      </c>
      <c r="AX251" s="29">
        <f t="shared" si="214"/>
        <v>0</v>
      </c>
      <c r="AY251" s="34">
        <f t="shared" si="215"/>
        <v>0</v>
      </c>
      <c r="AZ251" s="37">
        <f t="shared" si="216"/>
        <v>0</v>
      </c>
      <c r="BA251" s="37">
        <f t="shared" si="217"/>
        <v>0</v>
      </c>
      <c r="BB251" s="35">
        <f t="shared" si="218"/>
        <v>1.1411438684654218E-3</v>
      </c>
      <c r="BC251" s="31">
        <f t="shared" si="219"/>
        <v>0.75449861615165048</v>
      </c>
      <c r="BD251" s="34">
        <f t="shared" si="220"/>
        <v>0</v>
      </c>
    </row>
    <row r="252" spans="1:56" x14ac:dyDescent="0.2">
      <c r="A252" s="27">
        <f t="shared" si="221"/>
        <v>248</v>
      </c>
      <c r="B252" s="28">
        <f t="shared" si="168"/>
        <v>248</v>
      </c>
      <c r="C252" s="27">
        <f t="shared" si="169"/>
        <v>20</v>
      </c>
      <c r="D252" s="28">
        <f t="shared" si="170"/>
        <v>40</v>
      </c>
      <c r="E252" s="29">
        <f t="shared" si="171"/>
        <v>0</v>
      </c>
      <c r="F252" s="30">
        <f t="shared" si="172"/>
        <v>7.4350828393167584E-4</v>
      </c>
      <c r="G252" s="31">
        <f t="shared" si="173"/>
        <v>6.1980147759377324E-5</v>
      </c>
      <c r="H252" s="32">
        <f t="shared" si="174"/>
        <v>0.02</v>
      </c>
      <c r="I252" s="32">
        <f t="shared" si="175"/>
        <v>0</v>
      </c>
      <c r="J252" s="33">
        <f t="shared" si="222"/>
        <v>0</v>
      </c>
      <c r="K252" s="30">
        <f t="shared" si="176"/>
        <v>0</v>
      </c>
      <c r="L252" s="33">
        <f t="shared" si="177"/>
        <v>0</v>
      </c>
      <c r="M252" s="30">
        <f t="shared" si="178"/>
        <v>0</v>
      </c>
      <c r="N252" s="33">
        <f t="shared" si="179"/>
        <v>0</v>
      </c>
      <c r="O252" s="31">
        <f t="shared" si="180"/>
        <v>0</v>
      </c>
      <c r="P252" s="33">
        <f t="shared" si="181"/>
        <v>0</v>
      </c>
      <c r="Q252" s="34">
        <f t="shared" si="223"/>
        <v>594674.42849242908</v>
      </c>
      <c r="R252" s="29">
        <f t="shared" si="182"/>
        <v>0</v>
      </c>
      <c r="S252" s="34">
        <f t="shared" si="183"/>
        <v>594674.42849242908</v>
      </c>
      <c r="T252" s="29">
        <f t="shared" si="184"/>
        <v>495.56202374369093</v>
      </c>
      <c r="U252" s="29">
        <f t="shared" si="185"/>
        <v>0</v>
      </c>
      <c r="V252" s="35">
        <f t="shared" si="186"/>
        <v>6.8178162535315065E-5</v>
      </c>
      <c r="W252" s="34">
        <f t="shared" si="187"/>
        <v>0</v>
      </c>
      <c r="X252" s="34">
        <f t="shared" si="188"/>
        <v>594178.86646868545</v>
      </c>
      <c r="Y252" s="36">
        <f t="shared" si="189"/>
        <v>2.0619766911929238E-2</v>
      </c>
      <c r="Z252" s="34">
        <f t="shared" si="190"/>
        <v>12251.829730578622</v>
      </c>
      <c r="AA252" s="34">
        <f t="shared" si="191"/>
        <v>600304.7813339748</v>
      </c>
      <c r="AB252" s="34">
        <f t="shared" si="192"/>
        <v>0</v>
      </c>
      <c r="AC252" s="34">
        <f t="shared" si="193"/>
        <v>0</v>
      </c>
      <c r="AD252" s="34">
        <f t="shared" si="194"/>
        <v>0</v>
      </c>
      <c r="AE252" s="34">
        <f t="shared" si="195"/>
        <v>0</v>
      </c>
      <c r="AF252" s="34">
        <f t="shared" si="196"/>
        <v>0</v>
      </c>
      <c r="AG252" s="29">
        <f t="shared" si="197"/>
        <v>600304.7813339748</v>
      </c>
      <c r="AH252" s="34">
        <f t="shared" si="198"/>
        <v>0</v>
      </c>
      <c r="AI252" s="34">
        <f t="shared" si="199"/>
        <v>0</v>
      </c>
      <c r="AJ252" s="34">
        <f t="shared" si="200"/>
        <v>0</v>
      </c>
      <c r="AK252" s="34">
        <f t="shared" si="201"/>
        <v>0</v>
      </c>
      <c r="AL252" s="34">
        <f t="shared" si="202"/>
        <v>0</v>
      </c>
      <c r="AM252" s="34">
        <f t="shared" si="203"/>
        <v>0</v>
      </c>
      <c r="AN252" s="34">
        <f t="shared" si="204"/>
        <v>0</v>
      </c>
      <c r="AO252" s="34">
        <f t="shared" si="205"/>
        <v>0</v>
      </c>
      <c r="AP252" s="34">
        <f t="shared" si="206"/>
        <v>0</v>
      </c>
      <c r="AQ252" s="34">
        <f t="shared" si="207"/>
        <v>0</v>
      </c>
      <c r="AR252" s="34">
        <f t="shared" si="208"/>
        <v>0</v>
      </c>
      <c r="AS252" s="30">
        <f t="shared" si="209"/>
        <v>1.2283111424543061</v>
      </c>
      <c r="AT252" s="29">
        <f t="shared" si="210"/>
        <v>0</v>
      </c>
      <c r="AU252" s="29">
        <f t="shared" si="211"/>
        <v>0</v>
      </c>
      <c r="AV252" s="34">
        <f t="shared" si="212"/>
        <v>0</v>
      </c>
      <c r="AW252" s="34">
        <f t="shared" si="213"/>
        <v>0</v>
      </c>
      <c r="AX252" s="29">
        <f t="shared" si="214"/>
        <v>0</v>
      </c>
      <c r="AY252" s="34">
        <f t="shared" si="215"/>
        <v>0</v>
      </c>
      <c r="AZ252" s="37">
        <f t="shared" si="216"/>
        <v>0</v>
      </c>
      <c r="BA252" s="37">
        <f t="shared" si="217"/>
        <v>0</v>
      </c>
      <c r="BB252" s="35">
        <f t="shared" si="218"/>
        <v>1.1411438684654218E-3</v>
      </c>
      <c r="BC252" s="31">
        <f t="shared" si="219"/>
        <v>0.75363860607728628</v>
      </c>
      <c r="BD252" s="34">
        <f t="shared" si="220"/>
        <v>0</v>
      </c>
    </row>
    <row r="253" spans="1:56" x14ac:dyDescent="0.2">
      <c r="A253" s="27">
        <f t="shared" si="221"/>
        <v>249</v>
      </c>
      <c r="B253" s="28">
        <f t="shared" si="168"/>
        <v>249</v>
      </c>
      <c r="C253" s="27">
        <f t="shared" si="169"/>
        <v>20</v>
      </c>
      <c r="D253" s="28">
        <f t="shared" si="170"/>
        <v>40</v>
      </c>
      <c r="E253" s="29">
        <f t="shared" si="171"/>
        <v>0</v>
      </c>
      <c r="F253" s="30">
        <f t="shared" si="172"/>
        <v>7.4350828393167584E-4</v>
      </c>
      <c r="G253" s="31">
        <f t="shared" si="173"/>
        <v>6.1980147759377324E-5</v>
      </c>
      <c r="H253" s="32">
        <f t="shared" si="174"/>
        <v>0.02</v>
      </c>
      <c r="I253" s="32">
        <f t="shared" si="175"/>
        <v>0</v>
      </c>
      <c r="J253" s="33">
        <f t="shared" si="222"/>
        <v>0</v>
      </c>
      <c r="K253" s="30">
        <f t="shared" si="176"/>
        <v>0</v>
      </c>
      <c r="L253" s="33">
        <f t="shared" si="177"/>
        <v>0</v>
      </c>
      <c r="M253" s="30">
        <f t="shared" si="178"/>
        <v>0</v>
      </c>
      <c r="N253" s="33">
        <f t="shared" si="179"/>
        <v>0</v>
      </c>
      <c r="O253" s="31">
        <f t="shared" si="180"/>
        <v>0</v>
      </c>
      <c r="P253" s="33">
        <f t="shared" si="181"/>
        <v>0</v>
      </c>
      <c r="Q253" s="34">
        <f t="shared" si="223"/>
        <v>606430.69619926403</v>
      </c>
      <c r="R253" s="29">
        <f t="shared" si="182"/>
        <v>0</v>
      </c>
      <c r="S253" s="34">
        <f t="shared" si="183"/>
        <v>606430.69619926403</v>
      </c>
      <c r="T253" s="29">
        <f t="shared" si="184"/>
        <v>505.35891349938674</v>
      </c>
      <c r="U253" s="29">
        <f t="shared" si="185"/>
        <v>0</v>
      </c>
      <c r="V253" s="35">
        <f t="shared" si="186"/>
        <v>6.8178162535315065E-5</v>
      </c>
      <c r="W253" s="34">
        <f t="shared" si="187"/>
        <v>0</v>
      </c>
      <c r="X253" s="34">
        <f t="shared" si="188"/>
        <v>605925.33728576463</v>
      </c>
      <c r="Y253" s="36">
        <f t="shared" si="189"/>
        <v>-3.1992526453773484E-3</v>
      </c>
      <c r="Z253" s="34">
        <f t="shared" si="190"/>
        <v>-1938.5082382126445</v>
      </c>
      <c r="AA253" s="34">
        <f t="shared" si="191"/>
        <v>604956.0831666583</v>
      </c>
      <c r="AB253" s="34">
        <f t="shared" si="192"/>
        <v>0</v>
      </c>
      <c r="AC253" s="34">
        <f t="shared" si="193"/>
        <v>0</v>
      </c>
      <c r="AD253" s="34">
        <f t="shared" si="194"/>
        <v>0</v>
      </c>
      <c r="AE253" s="34">
        <f t="shared" si="195"/>
        <v>0</v>
      </c>
      <c r="AF253" s="34">
        <f t="shared" si="196"/>
        <v>0</v>
      </c>
      <c r="AG253" s="29">
        <f t="shared" si="197"/>
        <v>604956.0831666583</v>
      </c>
      <c r="AH253" s="34">
        <f t="shared" si="198"/>
        <v>0</v>
      </c>
      <c r="AI253" s="34">
        <f t="shared" si="199"/>
        <v>0</v>
      </c>
      <c r="AJ253" s="34">
        <f t="shared" si="200"/>
        <v>0</v>
      </c>
      <c r="AK253" s="34">
        <f t="shared" si="201"/>
        <v>0</v>
      </c>
      <c r="AL253" s="34">
        <f t="shared" si="202"/>
        <v>0</v>
      </c>
      <c r="AM253" s="34">
        <f t="shared" si="203"/>
        <v>0</v>
      </c>
      <c r="AN253" s="34">
        <f t="shared" si="204"/>
        <v>0</v>
      </c>
      <c r="AO253" s="34">
        <f t="shared" si="205"/>
        <v>0</v>
      </c>
      <c r="AP253" s="34">
        <f t="shared" si="206"/>
        <v>0</v>
      </c>
      <c r="AQ253" s="34">
        <f t="shared" si="207"/>
        <v>0</v>
      </c>
      <c r="AR253" s="34">
        <f t="shared" si="208"/>
        <v>0</v>
      </c>
      <c r="AS253" s="30">
        <f t="shared" si="209"/>
        <v>1.229330073363248</v>
      </c>
      <c r="AT253" s="29">
        <f t="shared" si="210"/>
        <v>0</v>
      </c>
      <c r="AU253" s="29">
        <f t="shared" si="211"/>
        <v>0</v>
      </c>
      <c r="AV253" s="34">
        <f t="shared" si="212"/>
        <v>0</v>
      </c>
      <c r="AW253" s="34">
        <f t="shared" si="213"/>
        <v>0</v>
      </c>
      <c r="AX253" s="29">
        <f t="shared" si="214"/>
        <v>0</v>
      </c>
      <c r="AY253" s="34">
        <f t="shared" si="215"/>
        <v>0</v>
      </c>
      <c r="AZ253" s="37">
        <f t="shared" si="216"/>
        <v>0</v>
      </c>
      <c r="BA253" s="37">
        <f t="shared" si="217"/>
        <v>0</v>
      </c>
      <c r="BB253" s="35">
        <f t="shared" si="218"/>
        <v>1.1411438684654218E-3</v>
      </c>
      <c r="BC253" s="31">
        <f t="shared" si="219"/>
        <v>0.75277957627950909</v>
      </c>
      <c r="BD253" s="34">
        <f t="shared" si="220"/>
        <v>0</v>
      </c>
    </row>
    <row r="254" spans="1:56" x14ac:dyDescent="0.2">
      <c r="A254" s="27">
        <f t="shared" si="221"/>
        <v>250</v>
      </c>
      <c r="B254" s="28">
        <f t="shared" si="168"/>
        <v>250</v>
      </c>
      <c r="C254" s="27">
        <f t="shared" si="169"/>
        <v>20</v>
      </c>
      <c r="D254" s="28">
        <f t="shared" si="170"/>
        <v>40</v>
      </c>
      <c r="E254" s="29">
        <f t="shared" si="171"/>
        <v>0</v>
      </c>
      <c r="F254" s="30">
        <f t="shared" si="172"/>
        <v>7.4350828393167584E-4</v>
      </c>
      <c r="G254" s="31">
        <f t="shared" si="173"/>
        <v>6.1980147759377324E-5</v>
      </c>
      <c r="H254" s="32">
        <f t="shared" si="174"/>
        <v>0.02</v>
      </c>
      <c r="I254" s="32">
        <f t="shared" si="175"/>
        <v>0</v>
      </c>
      <c r="J254" s="33">
        <f t="shared" si="222"/>
        <v>0</v>
      </c>
      <c r="K254" s="30">
        <f t="shared" si="176"/>
        <v>0</v>
      </c>
      <c r="L254" s="33">
        <f t="shared" si="177"/>
        <v>0</v>
      </c>
      <c r="M254" s="30">
        <f t="shared" si="178"/>
        <v>0</v>
      </c>
      <c r="N254" s="33">
        <f t="shared" si="179"/>
        <v>0</v>
      </c>
      <c r="O254" s="31">
        <f t="shared" si="180"/>
        <v>0</v>
      </c>
      <c r="P254" s="33">
        <f t="shared" si="181"/>
        <v>0</v>
      </c>
      <c r="Q254" s="34">
        <f t="shared" si="223"/>
        <v>603986.82904755196</v>
      </c>
      <c r="R254" s="29">
        <f t="shared" si="182"/>
        <v>0</v>
      </c>
      <c r="S254" s="34">
        <f t="shared" si="183"/>
        <v>603986.82904755196</v>
      </c>
      <c r="T254" s="29">
        <f t="shared" si="184"/>
        <v>503.32235753962669</v>
      </c>
      <c r="U254" s="29">
        <f t="shared" si="185"/>
        <v>0</v>
      </c>
      <c r="V254" s="35">
        <f t="shared" si="186"/>
        <v>6.8178162535315065E-5</v>
      </c>
      <c r="W254" s="34">
        <f t="shared" si="187"/>
        <v>0</v>
      </c>
      <c r="X254" s="34">
        <f t="shared" si="188"/>
        <v>603483.50669001229</v>
      </c>
      <c r="Y254" s="36">
        <f t="shared" si="189"/>
        <v>1.2732538505292323E-2</v>
      </c>
      <c r="Z254" s="34">
        <f t="shared" si="190"/>
        <v>7683.8769862394192</v>
      </c>
      <c r="AA254" s="34">
        <f t="shared" si="191"/>
        <v>607325.44518313196</v>
      </c>
      <c r="AB254" s="34">
        <f t="shared" si="192"/>
        <v>0</v>
      </c>
      <c r="AC254" s="34">
        <f t="shared" si="193"/>
        <v>0</v>
      </c>
      <c r="AD254" s="34">
        <f t="shared" si="194"/>
        <v>0</v>
      </c>
      <c r="AE254" s="34">
        <f t="shared" si="195"/>
        <v>0</v>
      </c>
      <c r="AF254" s="34">
        <f t="shared" si="196"/>
        <v>0</v>
      </c>
      <c r="AG254" s="29">
        <f t="shared" si="197"/>
        <v>607325.44518313196</v>
      </c>
      <c r="AH254" s="34">
        <f t="shared" si="198"/>
        <v>0</v>
      </c>
      <c r="AI254" s="34">
        <f t="shared" si="199"/>
        <v>0</v>
      </c>
      <c r="AJ254" s="34">
        <f t="shared" si="200"/>
        <v>0</v>
      </c>
      <c r="AK254" s="34">
        <f t="shared" si="201"/>
        <v>0</v>
      </c>
      <c r="AL254" s="34">
        <f t="shared" si="202"/>
        <v>0</v>
      </c>
      <c r="AM254" s="34">
        <f t="shared" si="203"/>
        <v>0</v>
      </c>
      <c r="AN254" s="34">
        <f t="shared" si="204"/>
        <v>0</v>
      </c>
      <c r="AO254" s="34">
        <f t="shared" si="205"/>
        <v>0</v>
      </c>
      <c r="AP254" s="34">
        <f t="shared" si="206"/>
        <v>0</v>
      </c>
      <c r="AQ254" s="34">
        <f t="shared" si="207"/>
        <v>0</v>
      </c>
      <c r="AR254" s="34">
        <f t="shared" si="208"/>
        <v>0</v>
      </c>
      <c r="AS254" s="30">
        <f t="shared" si="209"/>
        <v>1.2303498495142149</v>
      </c>
      <c r="AT254" s="29">
        <f t="shared" si="210"/>
        <v>0</v>
      </c>
      <c r="AU254" s="29">
        <f t="shared" si="211"/>
        <v>0</v>
      </c>
      <c r="AV254" s="34">
        <f t="shared" si="212"/>
        <v>0</v>
      </c>
      <c r="AW254" s="34">
        <f t="shared" si="213"/>
        <v>0</v>
      </c>
      <c r="AX254" s="29">
        <f t="shared" si="214"/>
        <v>0</v>
      </c>
      <c r="AY254" s="34">
        <f t="shared" si="215"/>
        <v>0</v>
      </c>
      <c r="AZ254" s="37">
        <f t="shared" si="216"/>
        <v>0</v>
      </c>
      <c r="BA254" s="37">
        <f t="shared" si="217"/>
        <v>0</v>
      </c>
      <c r="BB254" s="35">
        <f t="shared" si="218"/>
        <v>1.1411438684654218E-3</v>
      </c>
      <c r="BC254" s="31">
        <f t="shared" si="219"/>
        <v>0.75192152564095682</v>
      </c>
      <c r="BD254" s="34">
        <f t="shared" si="220"/>
        <v>0</v>
      </c>
    </row>
    <row r="255" spans="1:56" x14ac:dyDescent="0.2">
      <c r="A255" s="27">
        <f t="shared" si="221"/>
        <v>251</v>
      </c>
      <c r="B255" s="28">
        <f t="shared" si="168"/>
        <v>251</v>
      </c>
      <c r="C255" s="27">
        <f t="shared" si="169"/>
        <v>20</v>
      </c>
      <c r="D255" s="28">
        <f t="shared" si="170"/>
        <v>40</v>
      </c>
      <c r="E255" s="29">
        <f t="shared" si="171"/>
        <v>0</v>
      </c>
      <c r="F255" s="30">
        <f t="shared" si="172"/>
        <v>7.4350828393167584E-4</v>
      </c>
      <c r="G255" s="31">
        <f t="shared" si="173"/>
        <v>6.1980147759377324E-5</v>
      </c>
      <c r="H255" s="32">
        <f t="shared" si="174"/>
        <v>0.02</v>
      </c>
      <c r="I255" s="32">
        <f t="shared" si="175"/>
        <v>0</v>
      </c>
      <c r="J255" s="33">
        <f t="shared" si="222"/>
        <v>0</v>
      </c>
      <c r="K255" s="30">
        <f t="shared" si="176"/>
        <v>0</v>
      </c>
      <c r="L255" s="33">
        <f t="shared" si="177"/>
        <v>0</v>
      </c>
      <c r="M255" s="30">
        <f t="shared" si="178"/>
        <v>0</v>
      </c>
      <c r="N255" s="33">
        <f t="shared" si="179"/>
        <v>0</v>
      </c>
      <c r="O255" s="31">
        <f t="shared" si="180"/>
        <v>0</v>
      </c>
      <c r="P255" s="33">
        <f t="shared" si="181"/>
        <v>0</v>
      </c>
      <c r="Q255" s="34">
        <f t="shared" si="223"/>
        <v>611167.38367625175</v>
      </c>
      <c r="R255" s="29">
        <f t="shared" si="182"/>
        <v>0</v>
      </c>
      <c r="S255" s="34">
        <f t="shared" si="183"/>
        <v>611167.38367625175</v>
      </c>
      <c r="T255" s="29">
        <f t="shared" si="184"/>
        <v>509.30615306354315</v>
      </c>
      <c r="U255" s="29">
        <f t="shared" si="185"/>
        <v>0</v>
      </c>
      <c r="V255" s="35">
        <f t="shared" si="186"/>
        <v>6.8178162535315065E-5</v>
      </c>
      <c r="W255" s="34">
        <f t="shared" si="187"/>
        <v>0</v>
      </c>
      <c r="X255" s="34">
        <f t="shared" si="188"/>
        <v>610658.0775231882</v>
      </c>
      <c r="Y255" s="36">
        <f t="shared" si="189"/>
        <v>7.684443119244655E-4</v>
      </c>
      <c r="Z255" s="34">
        <f t="shared" si="190"/>
        <v>469.25672620342328</v>
      </c>
      <c r="AA255" s="34">
        <f t="shared" si="191"/>
        <v>610892.70588628994</v>
      </c>
      <c r="AB255" s="34">
        <f t="shared" si="192"/>
        <v>0</v>
      </c>
      <c r="AC255" s="34">
        <f t="shared" si="193"/>
        <v>0</v>
      </c>
      <c r="AD255" s="34">
        <f t="shared" si="194"/>
        <v>0</v>
      </c>
      <c r="AE255" s="34">
        <f t="shared" si="195"/>
        <v>0</v>
      </c>
      <c r="AF255" s="34">
        <f t="shared" si="196"/>
        <v>0</v>
      </c>
      <c r="AG255" s="29">
        <f t="shared" si="197"/>
        <v>610892.70588628994</v>
      </c>
      <c r="AH255" s="34">
        <f t="shared" si="198"/>
        <v>0</v>
      </c>
      <c r="AI255" s="34">
        <f t="shared" si="199"/>
        <v>0</v>
      </c>
      <c r="AJ255" s="34">
        <f t="shared" si="200"/>
        <v>0</v>
      </c>
      <c r="AK255" s="34">
        <f t="shared" si="201"/>
        <v>0</v>
      </c>
      <c r="AL255" s="34">
        <f t="shared" si="202"/>
        <v>0</v>
      </c>
      <c r="AM255" s="34">
        <f t="shared" si="203"/>
        <v>0</v>
      </c>
      <c r="AN255" s="34">
        <f t="shared" si="204"/>
        <v>0</v>
      </c>
      <c r="AO255" s="34">
        <f t="shared" si="205"/>
        <v>0</v>
      </c>
      <c r="AP255" s="34">
        <f t="shared" si="206"/>
        <v>0</v>
      </c>
      <c r="AQ255" s="34">
        <f t="shared" si="207"/>
        <v>0</v>
      </c>
      <c r="AR255" s="34">
        <f t="shared" si="208"/>
        <v>0</v>
      </c>
      <c r="AS255" s="30">
        <f t="shared" si="209"/>
        <v>1.2313704716083671</v>
      </c>
      <c r="AT255" s="29">
        <f t="shared" si="210"/>
        <v>0</v>
      </c>
      <c r="AU255" s="29">
        <f t="shared" si="211"/>
        <v>0</v>
      </c>
      <c r="AV255" s="34">
        <f t="shared" si="212"/>
        <v>0</v>
      </c>
      <c r="AW255" s="34">
        <f t="shared" si="213"/>
        <v>0</v>
      </c>
      <c r="AX255" s="29">
        <f t="shared" si="214"/>
        <v>0</v>
      </c>
      <c r="AY255" s="34">
        <f t="shared" si="215"/>
        <v>0</v>
      </c>
      <c r="AZ255" s="37">
        <f t="shared" si="216"/>
        <v>0</v>
      </c>
      <c r="BA255" s="37">
        <f t="shared" si="217"/>
        <v>0</v>
      </c>
      <c r="BB255" s="35">
        <f t="shared" si="218"/>
        <v>1.1411438684654218E-3</v>
      </c>
      <c r="BC255" s="31">
        <f t="shared" si="219"/>
        <v>0.75106445304554137</v>
      </c>
      <c r="BD255" s="34">
        <f t="shared" si="220"/>
        <v>0</v>
      </c>
    </row>
    <row r="256" spans="1:56" x14ac:dyDescent="0.2">
      <c r="A256" s="27">
        <f t="shared" si="221"/>
        <v>252</v>
      </c>
      <c r="B256" s="28">
        <f t="shared" si="168"/>
        <v>252</v>
      </c>
      <c r="C256" s="27">
        <f t="shared" si="169"/>
        <v>21</v>
      </c>
      <c r="D256" s="28">
        <f t="shared" si="170"/>
        <v>41</v>
      </c>
      <c r="E256" s="29">
        <f t="shared" si="171"/>
        <v>0</v>
      </c>
      <c r="F256" s="30">
        <f t="shared" si="172"/>
        <v>7.7905318312821966E-4</v>
      </c>
      <c r="G256" s="31">
        <f t="shared" si="173"/>
        <v>6.4944291258250963E-5</v>
      </c>
      <c r="H256" s="32">
        <f t="shared" si="174"/>
        <v>0.02</v>
      </c>
      <c r="I256" s="32">
        <f t="shared" si="175"/>
        <v>0</v>
      </c>
      <c r="J256" s="33">
        <f t="shared" si="222"/>
        <v>0</v>
      </c>
      <c r="K256" s="30">
        <f t="shared" si="176"/>
        <v>0</v>
      </c>
      <c r="L256" s="33">
        <f t="shared" si="177"/>
        <v>0</v>
      </c>
      <c r="M256" s="30">
        <f t="shared" si="178"/>
        <v>0</v>
      </c>
      <c r="N256" s="33">
        <f t="shared" si="179"/>
        <v>0</v>
      </c>
      <c r="O256" s="31">
        <f t="shared" si="180"/>
        <v>0</v>
      </c>
      <c r="P256" s="33">
        <f t="shared" si="181"/>
        <v>0</v>
      </c>
      <c r="Q256" s="34">
        <f t="shared" si="223"/>
        <v>611127.33424939157</v>
      </c>
      <c r="R256" s="29">
        <f t="shared" si="182"/>
        <v>0</v>
      </c>
      <c r="S256" s="34">
        <f t="shared" si="183"/>
        <v>611127.33424939157</v>
      </c>
      <c r="T256" s="29">
        <f t="shared" si="184"/>
        <v>509.27277854115965</v>
      </c>
      <c r="U256" s="29">
        <f t="shared" si="185"/>
        <v>0</v>
      </c>
      <c r="V256" s="35">
        <f t="shared" si="186"/>
        <v>7.1438720384076071E-5</v>
      </c>
      <c r="W256" s="34">
        <f t="shared" si="187"/>
        <v>0</v>
      </c>
      <c r="X256" s="34">
        <f t="shared" si="188"/>
        <v>610618.06147085037</v>
      </c>
      <c r="Y256" s="36">
        <f t="shared" si="189"/>
        <v>1.1985840918382618E-3</v>
      </c>
      <c r="Z256" s="34">
        <f t="shared" si="190"/>
        <v>731.87709466807905</v>
      </c>
      <c r="AA256" s="34">
        <f t="shared" si="191"/>
        <v>610984.00001818442</v>
      </c>
      <c r="AB256" s="34">
        <f t="shared" si="192"/>
        <v>0</v>
      </c>
      <c r="AC256" s="34">
        <f t="shared" si="193"/>
        <v>0</v>
      </c>
      <c r="AD256" s="34">
        <f t="shared" si="194"/>
        <v>0</v>
      </c>
      <c r="AE256" s="34">
        <f t="shared" si="195"/>
        <v>0</v>
      </c>
      <c r="AF256" s="34">
        <f t="shared" si="196"/>
        <v>0</v>
      </c>
      <c r="AG256" s="29">
        <f t="shared" si="197"/>
        <v>610984.00001818442</v>
      </c>
      <c r="AH256" s="34">
        <f t="shared" si="198"/>
        <v>0</v>
      </c>
      <c r="AI256" s="34">
        <f t="shared" si="199"/>
        <v>0</v>
      </c>
      <c r="AJ256" s="34">
        <f t="shared" si="200"/>
        <v>0</v>
      </c>
      <c r="AK256" s="34">
        <f t="shared" si="201"/>
        <v>0</v>
      </c>
      <c r="AL256" s="34">
        <f t="shared" si="202"/>
        <v>0</v>
      </c>
      <c r="AM256" s="34">
        <f t="shared" si="203"/>
        <v>0</v>
      </c>
      <c r="AN256" s="34">
        <f t="shared" si="204"/>
        <v>0</v>
      </c>
      <c r="AO256" s="34">
        <f t="shared" si="205"/>
        <v>0</v>
      </c>
      <c r="AP256" s="34">
        <f t="shared" si="206"/>
        <v>0</v>
      </c>
      <c r="AQ256" s="34">
        <f t="shared" si="207"/>
        <v>0</v>
      </c>
      <c r="AR256" s="34">
        <f t="shared" si="208"/>
        <v>0</v>
      </c>
      <c r="AS256" s="30">
        <f t="shared" si="209"/>
        <v>1.2323919403474466</v>
      </c>
      <c r="AT256" s="29">
        <f t="shared" si="210"/>
        <v>0</v>
      </c>
      <c r="AU256" s="29">
        <f t="shared" si="211"/>
        <v>0</v>
      </c>
      <c r="AV256" s="34">
        <f t="shared" si="212"/>
        <v>0</v>
      </c>
      <c r="AW256" s="34">
        <f t="shared" si="213"/>
        <v>0</v>
      </c>
      <c r="AX256" s="29">
        <f t="shared" si="214"/>
        <v>0</v>
      </c>
      <c r="AY256" s="34">
        <f t="shared" si="215"/>
        <v>0</v>
      </c>
      <c r="AZ256" s="37">
        <f t="shared" si="216"/>
        <v>0</v>
      </c>
      <c r="BA256" s="37">
        <f t="shared" si="217"/>
        <v>0</v>
      </c>
      <c r="BB256" s="35">
        <f t="shared" si="218"/>
        <v>1.1419668088614721E-3</v>
      </c>
      <c r="BC256" s="31">
        <f t="shared" si="219"/>
        <v>0.75005297192788956</v>
      </c>
      <c r="BD256" s="34">
        <f t="shared" si="220"/>
        <v>0</v>
      </c>
    </row>
    <row r="257" spans="1:56" x14ac:dyDescent="0.2">
      <c r="A257" s="27">
        <f t="shared" si="221"/>
        <v>253</v>
      </c>
      <c r="B257" s="28">
        <f t="shared" si="168"/>
        <v>253</v>
      </c>
      <c r="C257" s="27">
        <f t="shared" si="169"/>
        <v>21</v>
      </c>
      <c r="D257" s="28">
        <f t="shared" si="170"/>
        <v>41</v>
      </c>
      <c r="E257" s="29">
        <f t="shared" si="171"/>
        <v>0</v>
      </c>
      <c r="F257" s="30">
        <f t="shared" si="172"/>
        <v>7.7905318312821966E-4</v>
      </c>
      <c r="G257" s="31">
        <f t="shared" si="173"/>
        <v>6.4944291258250963E-5</v>
      </c>
      <c r="H257" s="32">
        <f t="shared" si="174"/>
        <v>0.02</v>
      </c>
      <c r="I257" s="32">
        <f t="shared" si="175"/>
        <v>0</v>
      </c>
      <c r="J257" s="33">
        <f t="shared" si="222"/>
        <v>0</v>
      </c>
      <c r="K257" s="30">
        <f t="shared" si="176"/>
        <v>0</v>
      </c>
      <c r="L257" s="33">
        <f t="shared" si="177"/>
        <v>0</v>
      </c>
      <c r="M257" s="30">
        <f t="shared" si="178"/>
        <v>0</v>
      </c>
      <c r="N257" s="33">
        <f t="shared" si="179"/>
        <v>0</v>
      </c>
      <c r="O257" s="31">
        <f t="shared" si="180"/>
        <v>0</v>
      </c>
      <c r="P257" s="33">
        <f t="shared" si="181"/>
        <v>0</v>
      </c>
      <c r="Q257" s="34">
        <f t="shared" si="223"/>
        <v>611349.93856551847</v>
      </c>
      <c r="R257" s="29">
        <f t="shared" si="182"/>
        <v>0</v>
      </c>
      <c r="S257" s="34">
        <f t="shared" si="183"/>
        <v>611349.93856551847</v>
      </c>
      <c r="T257" s="29">
        <f t="shared" si="184"/>
        <v>509.45828213793209</v>
      </c>
      <c r="U257" s="29">
        <f t="shared" si="185"/>
        <v>0</v>
      </c>
      <c r="V257" s="35">
        <f t="shared" si="186"/>
        <v>7.1438720384076071E-5</v>
      </c>
      <c r="W257" s="34">
        <f t="shared" si="187"/>
        <v>0</v>
      </c>
      <c r="X257" s="34">
        <f t="shared" si="188"/>
        <v>610840.48028338049</v>
      </c>
      <c r="Y257" s="36">
        <f t="shared" si="189"/>
        <v>1.0280572798149867E-2</v>
      </c>
      <c r="Z257" s="34">
        <f t="shared" si="190"/>
        <v>6279.790025610122</v>
      </c>
      <c r="AA257" s="34">
        <f t="shared" si="191"/>
        <v>613980.37529618549</v>
      </c>
      <c r="AB257" s="34">
        <f t="shared" si="192"/>
        <v>0</v>
      </c>
      <c r="AC257" s="34">
        <f t="shared" si="193"/>
        <v>0</v>
      </c>
      <c r="AD257" s="34">
        <f t="shared" si="194"/>
        <v>0</v>
      </c>
      <c r="AE257" s="34">
        <f t="shared" si="195"/>
        <v>0</v>
      </c>
      <c r="AF257" s="34">
        <f t="shared" si="196"/>
        <v>0</v>
      </c>
      <c r="AG257" s="29">
        <f t="shared" si="197"/>
        <v>613980.37529618549</v>
      </c>
      <c r="AH257" s="34">
        <f t="shared" si="198"/>
        <v>0</v>
      </c>
      <c r="AI257" s="34">
        <f t="shared" si="199"/>
        <v>0</v>
      </c>
      <c r="AJ257" s="34">
        <f t="shared" si="200"/>
        <v>0</v>
      </c>
      <c r="AK257" s="34">
        <f t="shared" si="201"/>
        <v>0</v>
      </c>
      <c r="AL257" s="34">
        <f t="shared" si="202"/>
        <v>0</v>
      </c>
      <c r="AM257" s="34">
        <f t="shared" si="203"/>
        <v>0</v>
      </c>
      <c r="AN257" s="34">
        <f t="shared" si="204"/>
        <v>0</v>
      </c>
      <c r="AO257" s="34">
        <f t="shared" si="205"/>
        <v>0</v>
      </c>
      <c r="AP257" s="34">
        <f t="shared" si="206"/>
        <v>0</v>
      </c>
      <c r="AQ257" s="34">
        <f t="shared" si="207"/>
        <v>0</v>
      </c>
      <c r="AR257" s="34">
        <f t="shared" si="208"/>
        <v>0</v>
      </c>
      <c r="AS257" s="30">
        <f t="shared" si="209"/>
        <v>1.233414256433778</v>
      </c>
      <c r="AT257" s="29">
        <f t="shared" si="210"/>
        <v>0</v>
      </c>
      <c r="AU257" s="29">
        <f t="shared" si="211"/>
        <v>0</v>
      </c>
      <c r="AV257" s="34">
        <f t="shared" si="212"/>
        <v>0</v>
      </c>
      <c r="AW257" s="34">
        <f t="shared" si="213"/>
        <v>0</v>
      </c>
      <c r="AX257" s="29">
        <f t="shared" si="214"/>
        <v>0</v>
      </c>
      <c r="AY257" s="34">
        <f t="shared" si="215"/>
        <v>0</v>
      </c>
      <c r="AZ257" s="37">
        <f t="shared" si="216"/>
        <v>0</v>
      </c>
      <c r="BA257" s="37">
        <f t="shared" si="217"/>
        <v>0</v>
      </c>
      <c r="BB257" s="35">
        <f t="shared" si="218"/>
        <v>1.1419668088614721E-3</v>
      </c>
      <c r="BC257" s="31">
        <f t="shared" si="219"/>
        <v>0.74919741334856071</v>
      </c>
      <c r="BD257" s="34">
        <f t="shared" si="220"/>
        <v>0</v>
      </c>
    </row>
    <row r="258" spans="1:56" x14ac:dyDescent="0.2">
      <c r="A258" s="27">
        <f t="shared" si="221"/>
        <v>254</v>
      </c>
      <c r="B258" s="28">
        <f t="shared" si="168"/>
        <v>254</v>
      </c>
      <c r="C258" s="27">
        <f t="shared" si="169"/>
        <v>21</v>
      </c>
      <c r="D258" s="28">
        <f t="shared" si="170"/>
        <v>41</v>
      </c>
      <c r="E258" s="29">
        <f t="shared" si="171"/>
        <v>0</v>
      </c>
      <c r="F258" s="30">
        <f t="shared" si="172"/>
        <v>7.7905318312821966E-4</v>
      </c>
      <c r="G258" s="31">
        <f t="shared" si="173"/>
        <v>6.4944291258250963E-5</v>
      </c>
      <c r="H258" s="32">
        <f t="shared" si="174"/>
        <v>0.02</v>
      </c>
      <c r="I258" s="32">
        <f t="shared" si="175"/>
        <v>0</v>
      </c>
      <c r="J258" s="33">
        <f t="shared" si="222"/>
        <v>0</v>
      </c>
      <c r="K258" s="30">
        <f t="shared" si="176"/>
        <v>0</v>
      </c>
      <c r="L258" s="33">
        <f t="shared" si="177"/>
        <v>0</v>
      </c>
      <c r="M258" s="30">
        <f t="shared" si="178"/>
        <v>0</v>
      </c>
      <c r="N258" s="33">
        <f t="shared" si="179"/>
        <v>0</v>
      </c>
      <c r="O258" s="31">
        <f t="shared" si="180"/>
        <v>0</v>
      </c>
      <c r="P258" s="33">
        <f t="shared" si="181"/>
        <v>0</v>
      </c>
      <c r="Q258" s="34">
        <f t="shared" si="223"/>
        <v>617120.27030899061</v>
      </c>
      <c r="R258" s="29">
        <f t="shared" si="182"/>
        <v>0</v>
      </c>
      <c r="S258" s="34">
        <f t="shared" si="183"/>
        <v>617120.27030899061</v>
      </c>
      <c r="T258" s="29">
        <f t="shared" si="184"/>
        <v>514.26689192415893</v>
      </c>
      <c r="U258" s="29">
        <f t="shared" si="185"/>
        <v>0</v>
      </c>
      <c r="V258" s="35">
        <f t="shared" si="186"/>
        <v>7.1438720384076071E-5</v>
      </c>
      <c r="W258" s="34">
        <f t="shared" si="187"/>
        <v>0</v>
      </c>
      <c r="X258" s="34">
        <f t="shared" si="188"/>
        <v>616606.00341706641</v>
      </c>
      <c r="Y258" s="36">
        <f t="shared" si="189"/>
        <v>2.3076122018084178E-3</v>
      </c>
      <c r="Z258" s="34">
        <f t="shared" si="190"/>
        <v>1422.8875371935453</v>
      </c>
      <c r="AA258" s="34">
        <f t="shared" si="191"/>
        <v>617317.44718566316</v>
      </c>
      <c r="AB258" s="34">
        <f t="shared" si="192"/>
        <v>0</v>
      </c>
      <c r="AC258" s="34">
        <f t="shared" si="193"/>
        <v>0</v>
      </c>
      <c r="AD258" s="34">
        <f t="shared" si="194"/>
        <v>0</v>
      </c>
      <c r="AE258" s="34">
        <f t="shared" si="195"/>
        <v>0</v>
      </c>
      <c r="AF258" s="34">
        <f t="shared" si="196"/>
        <v>0</v>
      </c>
      <c r="AG258" s="29">
        <f t="shared" si="197"/>
        <v>617317.44718566316</v>
      </c>
      <c r="AH258" s="34">
        <f t="shared" si="198"/>
        <v>0</v>
      </c>
      <c r="AI258" s="34">
        <f t="shared" si="199"/>
        <v>0</v>
      </c>
      <c r="AJ258" s="34">
        <f t="shared" si="200"/>
        <v>0</v>
      </c>
      <c r="AK258" s="34">
        <f t="shared" si="201"/>
        <v>0</v>
      </c>
      <c r="AL258" s="34">
        <f t="shared" si="202"/>
        <v>0</v>
      </c>
      <c r="AM258" s="34">
        <f t="shared" si="203"/>
        <v>0</v>
      </c>
      <c r="AN258" s="34">
        <f t="shared" si="204"/>
        <v>0</v>
      </c>
      <c r="AO258" s="34">
        <f t="shared" si="205"/>
        <v>0</v>
      </c>
      <c r="AP258" s="34">
        <f t="shared" si="206"/>
        <v>0</v>
      </c>
      <c r="AQ258" s="34">
        <f t="shared" si="207"/>
        <v>0</v>
      </c>
      <c r="AR258" s="34">
        <f t="shared" si="208"/>
        <v>0</v>
      </c>
      <c r="AS258" s="30">
        <f t="shared" si="209"/>
        <v>1.234437420570268</v>
      </c>
      <c r="AT258" s="29">
        <f t="shared" si="210"/>
        <v>0</v>
      </c>
      <c r="AU258" s="29">
        <f t="shared" si="211"/>
        <v>0</v>
      </c>
      <c r="AV258" s="34">
        <f t="shared" si="212"/>
        <v>0</v>
      </c>
      <c r="AW258" s="34">
        <f t="shared" si="213"/>
        <v>0</v>
      </c>
      <c r="AX258" s="29">
        <f t="shared" si="214"/>
        <v>0</v>
      </c>
      <c r="AY258" s="34">
        <f t="shared" si="215"/>
        <v>0</v>
      </c>
      <c r="AZ258" s="37">
        <f t="shared" si="216"/>
        <v>0</v>
      </c>
      <c r="BA258" s="37">
        <f t="shared" si="217"/>
        <v>0</v>
      </c>
      <c r="BB258" s="35">
        <f t="shared" si="218"/>
        <v>1.1419668088614721E-3</v>
      </c>
      <c r="BC258" s="31">
        <f t="shared" si="219"/>
        <v>0.7483428306742812</v>
      </c>
      <c r="BD258" s="34">
        <f t="shared" si="220"/>
        <v>0</v>
      </c>
    </row>
    <row r="259" spans="1:56" x14ac:dyDescent="0.2">
      <c r="A259" s="27">
        <f t="shared" si="221"/>
        <v>255</v>
      </c>
      <c r="B259" s="28">
        <f t="shared" si="168"/>
        <v>255</v>
      </c>
      <c r="C259" s="27">
        <f t="shared" si="169"/>
        <v>21</v>
      </c>
      <c r="D259" s="28">
        <f t="shared" si="170"/>
        <v>41</v>
      </c>
      <c r="E259" s="29">
        <f t="shared" si="171"/>
        <v>0</v>
      </c>
      <c r="F259" s="30">
        <f t="shared" si="172"/>
        <v>7.7905318312821966E-4</v>
      </c>
      <c r="G259" s="31">
        <f t="shared" si="173"/>
        <v>6.4944291258250963E-5</v>
      </c>
      <c r="H259" s="32">
        <f t="shared" si="174"/>
        <v>0.02</v>
      </c>
      <c r="I259" s="32">
        <f t="shared" si="175"/>
        <v>0</v>
      </c>
      <c r="J259" s="33">
        <f t="shared" si="222"/>
        <v>0</v>
      </c>
      <c r="K259" s="30">
        <f t="shared" si="176"/>
        <v>0</v>
      </c>
      <c r="L259" s="33">
        <f t="shared" si="177"/>
        <v>0</v>
      </c>
      <c r="M259" s="30">
        <f t="shared" si="178"/>
        <v>0</v>
      </c>
      <c r="N259" s="33">
        <f t="shared" si="179"/>
        <v>0</v>
      </c>
      <c r="O259" s="31">
        <f t="shared" si="180"/>
        <v>0</v>
      </c>
      <c r="P259" s="33">
        <f t="shared" si="181"/>
        <v>0</v>
      </c>
      <c r="Q259" s="34">
        <f t="shared" si="223"/>
        <v>618028.89095426002</v>
      </c>
      <c r="R259" s="29">
        <f t="shared" si="182"/>
        <v>0</v>
      </c>
      <c r="S259" s="34">
        <f t="shared" si="183"/>
        <v>618028.89095426002</v>
      </c>
      <c r="T259" s="29">
        <f t="shared" si="184"/>
        <v>515.02407579521673</v>
      </c>
      <c r="U259" s="29">
        <f t="shared" si="185"/>
        <v>0</v>
      </c>
      <c r="V259" s="35">
        <f t="shared" si="186"/>
        <v>7.1438720384076071E-5</v>
      </c>
      <c r="W259" s="34">
        <f t="shared" si="187"/>
        <v>0</v>
      </c>
      <c r="X259" s="34">
        <f t="shared" si="188"/>
        <v>617513.86687846482</v>
      </c>
      <c r="Y259" s="36">
        <f t="shared" si="189"/>
        <v>-4.7933124345068689E-3</v>
      </c>
      <c r="Z259" s="34">
        <f t="shared" si="190"/>
        <v>-2959.9368965889648</v>
      </c>
      <c r="AA259" s="34">
        <f t="shared" si="191"/>
        <v>616033.89843017037</v>
      </c>
      <c r="AB259" s="34">
        <f t="shared" si="192"/>
        <v>0</v>
      </c>
      <c r="AC259" s="34">
        <f t="shared" si="193"/>
        <v>0</v>
      </c>
      <c r="AD259" s="34">
        <f t="shared" si="194"/>
        <v>0</v>
      </c>
      <c r="AE259" s="34">
        <f t="shared" si="195"/>
        <v>0</v>
      </c>
      <c r="AF259" s="34">
        <f t="shared" si="196"/>
        <v>0</v>
      </c>
      <c r="AG259" s="29">
        <f t="shared" si="197"/>
        <v>616033.89843017037</v>
      </c>
      <c r="AH259" s="34">
        <f t="shared" si="198"/>
        <v>0</v>
      </c>
      <c r="AI259" s="34">
        <f t="shared" si="199"/>
        <v>0</v>
      </c>
      <c r="AJ259" s="34">
        <f t="shared" si="200"/>
        <v>0</v>
      </c>
      <c r="AK259" s="34">
        <f t="shared" si="201"/>
        <v>0</v>
      </c>
      <c r="AL259" s="34">
        <f t="shared" si="202"/>
        <v>0</v>
      </c>
      <c r="AM259" s="34">
        <f t="shared" si="203"/>
        <v>0</v>
      </c>
      <c r="AN259" s="34">
        <f t="shared" si="204"/>
        <v>0</v>
      </c>
      <c r="AO259" s="34">
        <f t="shared" si="205"/>
        <v>0</v>
      </c>
      <c r="AP259" s="34">
        <f t="shared" si="206"/>
        <v>0</v>
      </c>
      <c r="AQ259" s="34">
        <f t="shared" si="207"/>
        <v>0</v>
      </c>
      <c r="AR259" s="34">
        <f t="shared" si="208"/>
        <v>0</v>
      </c>
      <c r="AS259" s="30">
        <f t="shared" si="209"/>
        <v>1.2354614334604062</v>
      </c>
      <c r="AT259" s="29">
        <f t="shared" si="210"/>
        <v>0</v>
      </c>
      <c r="AU259" s="29">
        <f t="shared" si="211"/>
        <v>0</v>
      </c>
      <c r="AV259" s="34">
        <f t="shared" si="212"/>
        <v>0</v>
      </c>
      <c r="AW259" s="34">
        <f t="shared" si="213"/>
        <v>0</v>
      </c>
      <c r="AX259" s="29">
        <f t="shared" si="214"/>
        <v>0</v>
      </c>
      <c r="AY259" s="34">
        <f t="shared" si="215"/>
        <v>0</v>
      </c>
      <c r="AZ259" s="37">
        <f t="shared" si="216"/>
        <v>0</v>
      </c>
      <c r="BA259" s="37">
        <f t="shared" si="217"/>
        <v>0</v>
      </c>
      <c r="BB259" s="35">
        <f t="shared" si="218"/>
        <v>1.1419668088614721E-3</v>
      </c>
      <c r="BC259" s="31">
        <f t="shared" si="219"/>
        <v>0.74748922279187113</v>
      </c>
      <c r="BD259" s="34">
        <f t="shared" si="220"/>
        <v>0</v>
      </c>
    </row>
    <row r="260" spans="1:56" x14ac:dyDescent="0.2">
      <c r="A260" s="27">
        <f t="shared" si="221"/>
        <v>256</v>
      </c>
      <c r="B260" s="28">
        <f t="shared" ref="B260:B323" si="224">Duration0+A260</f>
        <v>256</v>
      </c>
      <c r="C260" s="27">
        <f t="shared" ref="C260:C323" si="225">INT(B260/12)</f>
        <v>21</v>
      </c>
      <c r="D260" s="28">
        <f t="shared" ref="D260:D323" si="226">AgeAtEntry+C260</f>
        <v>41</v>
      </c>
      <c r="E260" s="29">
        <f t="shared" ref="E260:E323" si="227">IF(PremiumType="SINGLE",IF(B260=0,PremiumPPInput,0),IF(B260&lt;12*PolicyTerm,PremiumPPInput,0))</f>
        <v>0</v>
      </c>
      <c r="F260" s="30">
        <f t="shared" ref="F260:F323" si="228">INDEX(MortRates,MATCH(MIN(D260,120),MortAges,0),MAX(MIN(C260,5),0)+1)</f>
        <v>7.7905318312821966E-4</v>
      </c>
      <c r="G260" s="31">
        <f t="shared" ref="G260:G323" si="229">1-(1-F260)^(1/12)</f>
        <v>6.4944291258250963E-5</v>
      </c>
      <c r="H260" s="32">
        <f t="shared" ref="H260:H323" si="230">MAX(LapseBase-LapseStep*C260,LapseFloor)</f>
        <v>0.02</v>
      </c>
      <c r="I260" s="32">
        <f t="shared" ref="I260:I323" si="231">IF(HasSurrCharge,INDEX(SurrRates,MIN(C260,SurrDurMax)+1,MATCH(SurrChargeID,SurrTypes,0)),0)</f>
        <v>0</v>
      </c>
      <c r="J260" s="33">
        <f t="shared" si="222"/>
        <v>0</v>
      </c>
      <c r="K260" s="30">
        <f t="shared" ref="K260:K323" si="232">IF(B260=12*PolicyTerm,J260,0)</f>
        <v>0</v>
      </c>
      <c r="L260" s="33">
        <f t="shared" ref="L260:L323" si="233">J260-K260</f>
        <v>0</v>
      </c>
      <c r="M260" s="30">
        <f t="shared" ref="M260:M323" si="234">IF(B260=0,PolicyCount,0)</f>
        <v>0</v>
      </c>
      <c r="N260" s="33">
        <f t="shared" ref="N260:N323" si="235">L260+M260</f>
        <v>0</v>
      </c>
      <c r="O260" s="31">
        <f t="shared" ref="O260:O323" si="236">N260*G260</f>
        <v>0</v>
      </c>
      <c r="P260" s="33">
        <f t="shared" ref="P260:P323" si="237">(N260-O260)*(1-(1-H260)^(1/12))</f>
        <v>0</v>
      </c>
      <c r="Q260" s="34">
        <f t="shared" si="223"/>
        <v>614553.92998187582</v>
      </c>
      <c r="R260" s="29">
        <f t="shared" ref="R260:R323" si="238">(1-LoadPremRate)*E260</f>
        <v>0</v>
      </c>
      <c r="S260" s="34">
        <f t="shared" ref="S260:S323" si="239">Q260+R260</f>
        <v>614553.92998187582</v>
      </c>
      <c r="T260" s="29">
        <f t="shared" ref="T260:T323" si="240">MaintFeeRateAnn/12*S260</f>
        <v>512.12827498489651</v>
      </c>
      <c r="U260" s="29">
        <f t="shared" ref="U260:U323" si="241">MAX(SumAssured-S260,0)</f>
        <v>0</v>
      </c>
      <c r="V260" s="35">
        <f t="shared" ref="V260:V323" si="242">CoiMultiple*G260</f>
        <v>7.1438720384076071E-5</v>
      </c>
      <c r="W260" s="34">
        <f t="shared" ref="W260:W323" si="243">V260*U260</f>
        <v>0</v>
      </c>
      <c r="X260" s="34">
        <f t="shared" ref="X260:X323" si="244">S260-T260-W260</f>
        <v>614041.80170689092</v>
      </c>
      <c r="Y260" s="36">
        <f t="shared" ref="Y260:Y323" si="245">EXP((Mu-0.5*Sigma^2)/12+Sigma*SQRT(1/12)*INDEX(NormRand,ScenID,A260+1))-1</f>
        <v>1.7716311825265674E-2</v>
      </c>
      <c r="Z260" s="34">
        <f t="shared" ref="Z260:Z323" si="246">Y260*X260</f>
        <v>10878.556032787232</v>
      </c>
      <c r="AA260" s="34">
        <f t="shared" ref="AA260:AA323" si="247">X260+0.5*Z260</f>
        <v>619481.07972328458</v>
      </c>
      <c r="AB260" s="34">
        <f t="shared" ref="AB260:AB323" si="248">Q260*J260</f>
        <v>0</v>
      </c>
      <c r="AC260" s="34">
        <f t="shared" ref="AC260:AC323" si="249">Q260*L260</f>
        <v>0</v>
      </c>
      <c r="AD260" s="34">
        <f t="shared" ref="AD260:AD323" si="250">S260*N260</f>
        <v>0</v>
      </c>
      <c r="AE260" s="34">
        <f t="shared" ref="AE260:AE323" si="251">E260*N260</f>
        <v>0</v>
      </c>
      <c r="AF260" s="34">
        <f t="shared" ref="AF260:AF323" si="252">R260*N260</f>
        <v>0</v>
      </c>
      <c r="AG260" s="29">
        <f t="shared" ref="AG260:AG323" si="253">MAX(SumAssured,AA260)</f>
        <v>619481.07972328458</v>
      </c>
      <c r="AH260" s="34">
        <f t="shared" ref="AH260:AH323" si="254">AG260*O260</f>
        <v>0</v>
      </c>
      <c r="AI260" s="34">
        <f t="shared" ref="AI260:AI323" si="255">AA260*O260</f>
        <v>0</v>
      </c>
      <c r="AJ260" s="34">
        <f t="shared" ref="AJ260:AJ323" si="256">AA260*P260</f>
        <v>0</v>
      </c>
      <c r="AK260" s="34">
        <f t="shared" ref="AK260:AK323" si="257">I260*AA260*P260</f>
        <v>0</v>
      </c>
      <c r="AL260" s="34">
        <f t="shared" ref="AL260:AL323" si="258">AJ260-AK260</f>
        <v>0</v>
      </c>
      <c r="AM260" s="34">
        <f t="shared" ref="AM260:AM323" si="259">Q260*K260</f>
        <v>0</v>
      </c>
      <c r="AN260" s="34">
        <f t="shared" ref="AN260:AN323" si="260">AH260+AL260+AM260</f>
        <v>0</v>
      </c>
      <c r="AO260" s="34">
        <f t="shared" ref="AO260:AO323" si="261">(AG260-AA260)*O260</f>
        <v>0</v>
      </c>
      <c r="AP260" s="34">
        <f t="shared" ref="AP260:AP323" si="262">W260*N260</f>
        <v>0</v>
      </c>
      <c r="AQ260" s="34">
        <f t="shared" ref="AQ260:AQ323" si="263">T260*N260</f>
        <v>0</v>
      </c>
      <c r="AR260" s="34">
        <f t="shared" ref="AR260:AR323" si="264">Z260*J261+0.5*Z260*(O260+P260)</f>
        <v>0</v>
      </c>
      <c r="AS260" s="30">
        <f t="shared" ref="AS260:AS323" si="265">(1+InflationRate)^(A260/12)</f>
        <v>1.2364862958082663</v>
      </c>
      <c r="AT260" s="29">
        <f t="shared" ref="AT260:AT323" si="266">ExpenseAcq*M260+N260*ExpenseMaint/12*AS260</f>
        <v>0</v>
      </c>
      <c r="AU260" s="29">
        <f t="shared" ref="AU260:AU323" si="267">CommissionRate*AE260</f>
        <v>0</v>
      </c>
      <c r="AV260" s="34">
        <f t="shared" ref="AV260:AV323" si="268">AB261-AB260</f>
        <v>0</v>
      </c>
      <c r="AW260" s="34">
        <f t="shared" ref="AW260:AW323" si="269">AE260+AR260-AN260-AT260-AU260-AV260</f>
        <v>0</v>
      </c>
      <c r="AX260" s="29">
        <f t="shared" ref="AX260:AX323" si="270">LoadPremRate*E260*N260+AK260+AQ260-AU260-AT260</f>
        <v>0</v>
      </c>
      <c r="AY260" s="34">
        <f t="shared" ref="AY260:AY323" si="271">AP260-AO260</f>
        <v>0</v>
      </c>
      <c r="AZ260" s="37">
        <f t="shared" ref="AZ260:AZ323" si="272">(AW260-AX260-AY260)/MAX(1,ABS(AW260),ABS(AX260),ABS(AY260))</f>
        <v>0</v>
      </c>
      <c r="BA260" s="37">
        <f t="shared" ref="BA260:BA323" si="273">IF(OR(K260&gt;0,K261&gt;0),0,(AC261-(AC260+AF260-AQ260-AP260+AR260-AI260-AJ260-AM260))/MAX(1,ABS(AC260),ABS(AC261)))</f>
        <v>0</v>
      </c>
      <c r="BB260" s="35">
        <f t="shared" ref="BB260:BB323" si="274">(1+INDEX(DiscRateAnn,INT(A260/12)+1))^(1/12)-1</f>
        <v>1.1419668088614721E-3</v>
      </c>
      <c r="BC260" s="31">
        <f t="shared" ref="BC260:BC323" si="275">(1+BB260)^-A260</f>
        <v>0.7466365885894205</v>
      </c>
      <c r="BD260" s="34">
        <f t="shared" ref="BD260:BD323" si="276">AW260*BC260</f>
        <v>0</v>
      </c>
    </row>
    <row r="261" spans="1:56" x14ac:dyDescent="0.2">
      <c r="A261" s="27">
        <f t="shared" ref="A261:A324" si="277">A260+1</f>
        <v>257</v>
      </c>
      <c r="B261" s="28">
        <f t="shared" si="224"/>
        <v>257</v>
      </c>
      <c r="C261" s="27">
        <f t="shared" si="225"/>
        <v>21</v>
      </c>
      <c r="D261" s="28">
        <f t="shared" si="226"/>
        <v>41</v>
      </c>
      <c r="E261" s="29">
        <f t="shared" si="227"/>
        <v>0</v>
      </c>
      <c r="F261" s="30">
        <f t="shared" si="228"/>
        <v>7.7905318312821966E-4</v>
      </c>
      <c r="G261" s="31">
        <f t="shared" si="229"/>
        <v>6.4944291258250963E-5</v>
      </c>
      <c r="H261" s="32">
        <f t="shared" si="230"/>
        <v>0.02</v>
      </c>
      <c r="I261" s="32">
        <f t="shared" si="231"/>
        <v>0</v>
      </c>
      <c r="J261" s="33">
        <f t="shared" ref="J261:J324" si="278">N260-P260-O260</f>
        <v>0</v>
      </c>
      <c r="K261" s="30">
        <f t="shared" si="232"/>
        <v>0</v>
      </c>
      <c r="L261" s="33">
        <f t="shared" si="233"/>
        <v>0</v>
      </c>
      <c r="M261" s="30">
        <f t="shared" si="234"/>
        <v>0</v>
      </c>
      <c r="N261" s="33">
        <f t="shared" si="235"/>
        <v>0</v>
      </c>
      <c r="O261" s="31">
        <f t="shared" si="236"/>
        <v>0</v>
      </c>
      <c r="P261" s="33">
        <f t="shared" si="237"/>
        <v>0</v>
      </c>
      <c r="Q261" s="34">
        <f t="shared" ref="Q261:Q324" si="279">X260+Z260</f>
        <v>624920.35773967812</v>
      </c>
      <c r="R261" s="29">
        <f t="shared" si="238"/>
        <v>0</v>
      </c>
      <c r="S261" s="34">
        <f t="shared" si="239"/>
        <v>624920.35773967812</v>
      </c>
      <c r="T261" s="29">
        <f t="shared" si="240"/>
        <v>520.76696478306508</v>
      </c>
      <c r="U261" s="29">
        <f t="shared" si="241"/>
        <v>0</v>
      </c>
      <c r="V261" s="35">
        <f t="shared" si="242"/>
        <v>7.1438720384076071E-5</v>
      </c>
      <c r="W261" s="34">
        <f t="shared" si="243"/>
        <v>0</v>
      </c>
      <c r="X261" s="34">
        <f t="shared" si="244"/>
        <v>624399.59077489504</v>
      </c>
      <c r="Y261" s="36">
        <f t="shared" si="245"/>
        <v>-2.0648435565182588E-3</v>
      </c>
      <c r="Z261" s="34">
        <f t="shared" si="246"/>
        <v>-1289.2874717041796</v>
      </c>
      <c r="AA261" s="34">
        <f t="shared" si="247"/>
        <v>623754.94703904295</v>
      </c>
      <c r="AB261" s="34">
        <f t="shared" si="248"/>
        <v>0</v>
      </c>
      <c r="AC261" s="34">
        <f t="shared" si="249"/>
        <v>0</v>
      </c>
      <c r="AD261" s="34">
        <f t="shared" si="250"/>
        <v>0</v>
      </c>
      <c r="AE261" s="34">
        <f t="shared" si="251"/>
        <v>0</v>
      </c>
      <c r="AF261" s="34">
        <f t="shared" si="252"/>
        <v>0</v>
      </c>
      <c r="AG261" s="29">
        <f t="shared" si="253"/>
        <v>623754.94703904295</v>
      </c>
      <c r="AH261" s="34">
        <f t="shared" si="254"/>
        <v>0</v>
      </c>
      <c r="AI261" s="34">
        <f t="shared" si="255"/>
        <v>0</v>
      </c>
      <c r="AJ261" s="34">
        <f t="shared" si="256"/>
        <v>0</v>
      </c>
      <c r="AK261" s="34">
        <f t="shared" si="257"/>
        <v>0</v>
      </c>
      <c r="AL261" s="34">
        <f t="shared" si="258"/>
        <v>0</v>
      </c>
      <c r="AM261" s="34">
        <f t="shared" si="259"/>
        <v>0</v>
      </c>
      <c r="AN261" s="34">
        <f t="shared" si="260"/>
        <v>0</v>
      </c>
      <c r="AO261" s="34">
        <f t="shared" si="261"/>
        <v>0</v>
      </c>
      <c r="AP261" s="34">
        <f t="shared" si="262"/>
        <v>0</v>
      </c>
      <c r="AQ261" s="34">
        <f t="shared" si="263"/>
        <v>0</v>
      </c>
      <c r="AR261" s="34">
        <f t="shared" si="264"/>
        <v>0</v>
      </c>
      <c r="AS261" s="30">
        <f t="shared" si="265"/>
        <v>1.2375120083185063</v>
      </c>
      <c r="AT261" s="29">
        <f t="shared" si="266"/>
        <v>0</v>
      </c>
      <c r="AU261" s="29">
        <f t="shared" si="267"/>
        <v>0</v>
      </c>
      <c r="AV261" s="34">
        <f t="shared" si="268"/>
        <v>0</v>
      </c>
      <c r="AW261" s="34">
        <f t="shared" si="269"/>
        <v>0</v>
      </c>
      <c r="AX261" s="29">
        <f t="shared" si="270"/>
        <v>0</v>
      </c>
      <c r="AY261" s="34">
        <f t="shared" si="271"/>
        <v>0</v>
      </c>
      <c r="AZ261" s="37">
        <f t="shared" si="272"/>
        <v>0</v>
      </c>
      <c r="BA261" s="37">
        <f t="shared" si="273"/>
        <v>0</v>
      </c>
      <c r="BB261" s="35">
        <f t="shared" si="274"/>
        <v>1.1419668088614721E-3</v>
      </c>
      <c r="BC261" s="31">
        <f t="shared" si="275"/>
        <v>0.74578492695628729</v>
      </c>
      <c r="BD261" s="34">
        <f t="shared" si="276"/>
        <v>0</v>
      </c>
    </row>
    <row r="262" spans="1:56" x14ac:dyDescent="0.2">
      <c r="A262" s="27">
        <f t="shared" si="277"/>
        <v>258</v>
      </c>
      <c r="B262" s="28">
        <f t="shared" si="224"/>
        <v>258</v>
      </c>
      <c r="C262" s="27">
        <f t="shared" si="225"/>
        <v>21</v>
      </c>
      <c r="D262" s="28">
        <f t="shared" si="226"/>
        <v>41</v>
      </c>
      <c r="E262" s="29">
        <f t="shared" si="227"/>
        <v>0</v>
      </c>
      <c r="F262" s="30">
        <f t="shared" si="228"/>
        <v>7.7905318312821966E-4</v>
      </c>
      <c r="G262" s="31">
        <f t="shared" si="229"/>
        <v>6.4944291258250963E-5</v>
      </c>
      <c r="H262" s="32">
        <f t="shared" si="230"/>
        <v>0.02</v>
      </c>
      <c r="I262" s="32">
        <f t="shared" si="231"/>
        <v>0</v>
      </c>
      <c r="J262" s="33">
        <f t="shared" si="278"/>
        <v>0</v>
      </c>
      <c r="K262" s="30">
        <f t="shared" si="232"/>
        <v>0</v>
      </c>
      <c r="L262" s="33">
        <f t="shared" si="233"/>
        <v>0</v>
      </c>
      <c r="M262" s="30">
        <f t="shared" si="234"/>
        <v>0</v>
      </c>
      <c r="N262" s="33">
        <f t="shared" si="235"/>
        <v>0</v>
      </c>
      <c r="O262" s="31">
        <f t="shared" si="236"/>
        <v>0</v>
      </c>
      <c r="P262" s="33">
        <f t="shared" si="237"/>
        <v>0</v>
      </c>
      <c r="Q262" s="34">
        <f t="shared" si="279"/>
        <v>623110.30330319086</v>
      </c>
      <c r="R262" s="29">
        <f t="shared" si="238"/>
        <v>0</v>
      </c>
      <c r="S262" s="34">
        <f t="shared" si="239"/>
        <v>623110.30330319086</v>
      </c>
      <c r="T262" s="29">
        <f t="shared" si="240"/>
        <v>519.25858608599242</v>
      </c>
      <c r="U262" s="29">
        <f t="shared" si="241"/>
        <v>0</v>
      </c>
      <c r="V262" s="35">
        <f t="shared" si="242"/>
        <v>7.1438720384076071E-5</v>
      </c>
      <c r="W262" s="34">
        <f t="shared" si="243"/>
        <v>0</v>
      </c>
      <c r="X262" s="34">
        <f t="shared" si="244"/>
        <v>622591.04471710487</v>
      </c>
      <c r="Y262" s="36">
        <f t="shared" si="245"/>
        <v>7.3790649985512324E-3</v>
      </c>
      <c r="Z262" s="34">
        <f t="shared" si="246"/>
        <v>4594.1397864834335</v>
      </c>
      <c r="AA262" s="34">
        <f t="shared" si="247"/>
        <v>624888.11461034662</v>
      </c>
      <c r="AB262" s="34">
        <f t="shared" si="248"/>
        <v>0</v>
      </c>
      <c r="AC262" s="34">
        <f t="shared" si="249"/>
        <v>0</v>
      </c>
      <c r="AD262" s="34">
        <f t="shared" si="250"/>
        <v>0</v>
      </c>
      <c r="AE262" s="34">
        <f t="shared" si="251"/>
        <v>0</v>
      </c>
      <c r="AF262" s="34">
        <f t="shared" si="252"/>
        <v>0</v>
      </c>
      <c r="AG262" s="29">
        <f t="shared" si="253"/>
        <v>624888.11461034662</v>
      </c>
      <c r="AH262" s="34">
        <f t="shared" si="254"/>
        <v>0</v>
      </c>
      <c r="AI262" s="34">
        <f t="shared" si="255"/>
        <v>0</v>
      </c>
      <c r="AJ262" s="34">
        <f t="shared" si="256"/>
        <v>0</v>
      </c>
      <c r="AK262" s="34">
        <f t="shared" si="257"/>
        <v>0</v>
      </c>
      <c r="AL262" s="34">
        <f t="shared" si="258"/>
        <v>0</v>
      </c>
      <c r="AM262" s="34">
        <f t="shared" si="259"/>
        <v>0</v>
      </c>
      <c r="AN262" s="34">
        <f t="shared" si="260"/>
        <v>0</v>
      </c>
      <c r="AO262" s="34">
        <f t="shared" si="261"/>
        <v>0</v>
      </c>
      <c r="AP262" s="34">
        <f t="shared" si="262"/>
        <v>0</v>
      </c>
      <c r="AQ262" s="34">
        <f t="shared" si="263"/>
        <v>0</v>
      </c>
      <c r="AR262" s="34">
        <f t="shared" si="264"/>
        <v>0</v>
      </c>
      <c r="AS262" s="30">
        <f t="shared" si="265"/>
        <v>1.2385385716963675</v>
      </c>
      <c r="AT262" s="29">
        <f t="shared" si="266"/>
        <v>0</v>
      </c>
      <c r="AU262" s="29">
        <f t="shared" si="267"/>
        <v>0</v>
      </c>
      <c r="AV262" s="34">
        <f t="shared" si="268"/>
        <v>0</v>
      </c>
      <c r="AW262" s="34">
        <f t="shared" si="269"/>
        <v>0</v>
      </c>
      <c r="AX262" s="29">
        <f t="shared" si="270"/>
        <v>0</v>
      </c>
      <c r="AY262" s="34">
        <f t="shared" si="271"/>
        <v>0</v>
      </c>
      <c r="AZ262" s="37">
        <f t="shared" si="272"/>
        <v>0</v>
      </c>
      <c r="BA262" s="37">
        <f t="shared" si="273"/>
        <v>0</v>
      </c>
      <c r="BB262" s="35">
        <f t="shared" si="274"/>
        <v>1.1419668088614721E-3</v>
      </c>
      <c r="BC262" s="31">
        <f t="shared" si="275"/>
        <v>0.74493423678309645</v>
      </c>
      <c r="BD262" s="34">
        <f t="shared" si="276"/>
        <v>0</v>
      </c>
    </row>
    <row r="263" spans="1:56" x14ac:dyDescent="0.2">
      <c r="A263" s="27">
        <f t="shared" si="277"/>
        <v>259</v>
      </c>
      <c r="B263" s="28">
        <f t="shared" si="224"/>
        <v>259</v>
      </c>
      <c r="C263" s="27">
        <f t="shared" si="225"/>
        <v>21</v>
      </c>
      <c r="D263" s="28">
        <f t="shared" si="226"/>
        <v>41</v>
      </c>
      <c r="E263" s="29">
        <f t="shared" si="227"/>
        <v>0</v>
      </c>
      <c r="F263" s="30">
        <f t="shared" si="228"/>
        <v>7.7905318312821966E-4</v>
      </c>
      <c r="G263" s="31">
        <f t="shared" si="229"/>
        <v>6.4944291258250963E-5</v>
      </c>
      <c r="H263" s="32">
        <f t="shared" si="230"/>
        <v>0.02</v>
      </c>
      <c r="I263" s="32">
        <f t="shared" si="231"/>
        <v>0</v>
      </c>
      <c r="J263" s="33">
        <f t="shared" si="278"/>
        <v>0</v>
      </c>
      <c r="K263" s="30">
        <f t="shared" si="232"/>
        <v>0</v>
      </c>
      <c r="L263" s="33">
        <f t="shared" si="233"/>
        <v>0</v>
      </c>
      <c r="M263" s="30">
        <f t="shared" si="234"/>
        <v>0</v>
      </c>
      <c r="N263" s="33">
        <f t="shared" si="235"/>
        <v>0</v>
      </c>
      <c r="O263" s="31">
        <f t="shared" si="236"/>
        <v>0</v>
      </c>
      <c r="P263" s="33">
        <f t="shared" si="237"/>
        <v>0</v>
      </c>
      <c r="Q263" s="34">
        <f t="shared" si="279"/>
        <v>627185.18450358836</v>
      </c>
      <c r="R263" s="29">
        <f t="shared" si="238"/>
        <v>0</v>
      </c>
      <c r="S263" s="34">
        <f t="shared" si="239"/>
        <v>627185.18450358836</v>
      </c>
      <c r="T263" s="29">
        <f t="shared" si="240"/>
        <v>522.65432041965698</v>
      </c>
      <c r="U263" s="29">
        <f t="shared" si="241"/>
        <v>0</v>
      </c>
      <c r="V263" s="35">
        <f t="shared" si="242"/>
        <v>7.1438720384076071E-5</v>
      </c>
      <c r="W263" s="34">
        <f t="shared" si="243"/>
        <v>0</v>
      </c>
      <c r="X263" s="34">
        <f t="shared" si="244"/>
        <v>626662.53018316871</v>
      </c>
      <c r="Y263" s="36">
        <f t="shared" si="245"/>
        <v>5.0533885681065538E-3</v>
      </c>
      <c r="Z263" s="34">
        <f t="shared" si="246"/>
        <v>3166.7692660883531</v>
      </c>
      <c r="AA263" s="34">
        <f t="shared" si="247"/>
        <v>628245.91481621284</v>
      </c>
      <c r="AB263" s="34">
        <f t="shared" si="248"/>
        <v>0</v>
      </c>
      <c r="AC263" s="34">
        <f t="shared" si="249"/>
        <v>0</v>
      </c>
      <c r="AD263" s="34">
        <f t="shared" si="250"/>
        <v>0</v>
      </c>
      <c r="AE263" s="34">
        <f t="shared" si="251"/>
        <v>0</v>
      </c>
      <c r="AF263" s="34">
        <f t="shared" si="252"/>
        <v>0</v>
      </c>
      <c r="AG263" s="29">
        <f t="shared" si="253"/>
        <v>628245.91481621284</v>
      </c>
      <c r="AH263" s="34">
        <f t="shared" si="254"/>
        <v>0</v>
      </c>
      <c r="AI263" s="34">
        <f t="shared" si="255"/>
        <v>0</v>
      </c>
      <c r="AJ263" s="34">
        <f t="shared" si="256"/>
        <v>0</v>
      </c>
      <c r="AK263" s="34">
        <f t="shared" si="257"/>
        <v>0</v>
      </c>
      <c r="AL263" s="34">
        <f t="shared" si="258"/>
        <v>0</v>
      </c>
      <c r="AM263" s="34">
        <f t="shared" si="259"/>
        <v>0</v>
      </c>
      <c r="AN263" s="34">
        <f t="shared" si="260"/>
        <v>0</v>
      </c>
      <c r="AO263" s="34">
        <f t="shared" si="261"/>
        <v>0</v>
      </c>
      <c r="AP263" s="34">
        <f t="shared" si="262"/>
        <v>0</v>
      </c>
      <c r="AQ263" s="34">
        <f t="shared" si="263"/>
        <v>0</v>
      </c>
      <c r="AR263" s="34">
        <f t="shared" si="264"/>
        <v>0</v>
      </c>
      <c r="AS263" s="30">
        <f t="shared" si="265"/>
        <v>1.2395659866476776</v>
      </c>
      <c r="AT263" s="29">
        <f t="shared" si="266"/>
        <v>0</v>
      </c>
      <c r="AU263" s="29">
        <f t="shared" si="267"/>
        <v>0</v>
      </c>
      <c r="AV263" s="34">
        <f t="shared" si="268"/>
        <v>0</v>
      </c>
      <c r="AW263" s="34">
        <f t="shared" si="269"/>
        <v>0</v>
      </c>
      <c r="AX263" s="29">
        <f t="shared" si="270"/>
        <v>0</v>
      </c>
      <c r="AY263" s="34">
        <f t="shared" si="271"/>
        <v>0</v>
      </c>
      <c r="AZ263" s="37">
        <f t="shared" si="272"/>
        <v>0</v>
      </c>
      <c r="BA263" s="37">
        <f t="shared" si="273"/>
        <v>0</v>
      </c>
      <c r="BB263" s="35">
        <f t="shared" si="274"/>
        <v>1.1419668088614721E-3</v>
      </c>
      <c r="BC263" s="31">
        <f t="shared" si="275"/>
        <v>0.74408451696173838</v>
      </c>
      <c r="BD263" s="34">
        <f t="shared" si="276"/>
        <v>0</v>
      </c>
    </row>
    <row r="264" spans="1:56" x14ac:dyDescent="0.2">
      <c r="A264" s="27">
        <f t="shared" si="277"/>
        <v>260</v>
      </c>
      <c r="B264" s="28">
        <f t="shared" si="224"/>
        <v>260</v>
      </c>
      <c r="C264" s="27">
        <f t="shared" si="225"/>
        <v>21</v>
      </c>
      <c r="D264" s="28">
        <f t="shared" si="226"/>
        <v>41</v>
      </c>
      <c r="E264" s="29">
        <f t="shared" si="227"/>
        <v>0</v>
      </c>
      <c r="F264" s="30">
        <f t="shared" si="228"/>
        <v>7.7905318312821966E-4</v>
      </c>
      <c r="G264" s="31">
        <f t="shared" si="229"/>
        <v>6.4944291258250963E-5</v>
      </c>
      <c r="H264" s="32">
        <f t="shared" si="230"/>
        <v>0.02</v>
      </c>
      <c r="I264" s="32">
        <f t="shared" si="231"/>
        <v>0</v>
      </c>
      <c r="J264" s="33">
        <f t="shared" si="278"/>
        <v>0</v>
      </c>
      <c r="K264" s="30">
        <f t="shared" si="232"/>
        <v>0</v>
      </c>
      <c r="L264" s="33">
        <f t="shared" si="233"/>
        <v>0</v>
      </c>
      <c r="M264" s="30">
        <f t="shared" si="234"/>
        <v>0</v>
      </c>
      <c r="N264" s="33">
        <f t="shared" si="235"/>
        <v>0</v>
      </c>
      <c r="O264" s="31">
        <f t="shared" si="236"/>
        <v>0</v>
      </c>
      <c r="P264" s="33">
        <f t="shared" si="237"/>
        <v>0</v>
      </c>
      <c r="Q264" s="34">
        <f t="shared" si="279"/>
        <v>629829.29944925709</v>
      </c>
      <c r="R264" s="29">
        <f t="shared" si="238"/>
        <v>0</v>
      </c>
      <c r="S264" s="34">
        <f t="shared" si="239"/>
        <v>629829.29944925709</v>
      </c>
      <c r="T264" s="29">
        <f t="shared" si="240"/>
        <v>524.85774954104761</v>
      </c>
      <c r="U264" s="29">
        <f t="shared" si="241"/>
        <v>0</v>
      </c>
      <c r="V264" s="35">
        <f t="shared" si="242"/>
        <v>7.1438720384076071E-5</v>
      </c>
      <c r="W264" s="34">
        <f t="shared" si="243"/>
        <v>0</v>
      </c>
      <c r="X264" s="34">
        <f t="shared" si="244"/>
        <v>629304.44169971603</v>
      </c>
      <c r="Y264" s="36">
        <f t="shared" si="245"/>
        <v>-7.2319601541425138E-3</v>
      </c>
      <c r="Z264" s="34">
        <f t="shared" si="246"/>
        <v>-4551.1046471972468</v>
      </c>
      <c r="AA264" s="34">
        <f t="shared" si="247"/>
        <v>627028.88937611738</v>
      </c>
      <c r="AB264" s="34">
        <f t="shared" si="248"/>
        <v>0</v>
      </c>
      <c r="AC264" s="34">
        <f t="shared" si="249"/>
        <v>0</v>
      </c>
      <c r="AD264" s="34">
        <f t="shared" si="250"/>
        <v>0</v>
      </c>
      <c r="AE264" s="34">
        <f t="shared" si="251"/>
        <v>0</v>
      </c>
      <c r="AF264" s="34">
        <f t="shared" si="252"/>
        <v>0</v>
      </c>
      <c r="AG264" s="29">
        <f t="shared" si="253"/>
        <v>627028.88937611738</v>
      </c>
      <c r="AH264" s="34">
        <f t="shared" si="254"/>
        <v>0</v>
      </c>
      <c r="AI264" s="34">
        <f t="shared" si="255"/>
        <v>0</v>
      </c>
      <c r="AJ264" s="34">
        <f t="shared" si="256"/>
        <v>0</v>
      </c>
      <c r="AK264" s="34">
        <f t="shared" si="257"/>
        <v>0</v>
      </c>
      <c r="AL264" s="34">
        <f t="shared" si="258"/>
        <v>0</v>
      </c>
      <c r="AM264" s="34">
        <f t="shared" si="259"/>
        <v>0</v>
      </c>
      <c r="AN264" s="34">
        <f t="shared" si="260"/>
        <v>0</v>
      </c>
      <c r="AO264" s="34">
        <f t="shared" si="261"/>
        <v>0</v>
      </c>
      <c r="AP264" s="34">
        <f t="shared" si="262"/>
        <v>0</v>
      </c>
      <c r="AQ264" s="34">
        <f t="shared" si="263"/>
        <v>0</v>
      </c>
      <c r="AR264" s="34">
        <f t="shared" si="264"/>
        <v>0</v>
      </c>
      <c r="AS264" s="30">
        <f t="shared" si="265"/>
        <v>1.240594253878849</v>
      </c>
      <c r="AT264" s="29">
        <f t="shared" si="266"/>
        <v>0</v>
      </c>
      <c r="AU264" s="29">
        <f t="shared" si="267"/>
        <v>0</v>
      </c>
      <c r="AV264" s="34">
        <f t="shared" si="268"/>
        <v>0</v>
      </c>
      <c r="AW264" s="34">
        <f t="shared" si="269"/>
        <v>0</v>
      </c>
      <c r="AX264" s="29">
        <f t="shared" si="270"/>
        <v>0</v>
      </c>
      <c r="AY264" s="34">
        <f t="shared" si="271"/>
        <v>0</v>
      </c>
      <c r="AZ264" s="37">
        <f t="shared" si="272"/>
        <v>0</v>
      </c>
      <c r="BA264" s="37">
        <f t="shared" si="273"/>
        <v>0</v>
      </c>
      <c r="BB264" s="35">
        <f t="shared" si="274"/>
        <v>1.1419668088614721E-3</v>
      </c>
      <c r="BC264" s="31">
        <f t="shared" si="275"/>
        <v>0.74323576638536759</v>
      </c>
      <c r="BD264" s="34">
        <f t="shared" si="276"/>
        <v>0</v>
      </c>
    </row>
    <row r="265" spans="1:56" x14ac:dyDescent="0.2">
      <c r="A265" s="27">
        <f t="shared" si="277"/>
        <v>261</v>
      </c>
      <c r="B265" s="28">
        <f t="shared" si="224"/>
        <v>261</v>
      </c>
      <c r="C265" s="27">
        <f t="shared" si="225"/>
        <v>21</v>
      </c>
      <c r="D265" s="28">
        <f t="shared" si="226"/>
        <v>41</v>
      </c>
      <c r="E265" s="29">
        <f t="shared" si="227"/>
        <v>0</v>
      </c>
      <c r="F265" s="30">
        <f t="shared" si="228"/>
        <v>7.7905318312821966E-4</v>
      </c>
      <c r="G265" s="31">
        <f t="shared" si="229"/>
        <v>6.4944291258250963E-5</v>
      </c>
      <c r="H265" s="32">
        <f t="shared" si="230"/>
        <v>0.02</v>
      </c>
      <c r="I265" s="32">
        <f t="shared" si="231"/>
        <v>0</v>
      </c>
      <c r="J265" s="33">
        <f t="shared" si="278"/>
        <v>0</v>
      </c>
      <c r="K265" s="30">
        <f t="shared" si="232"/>
        <v>0</v>
      </c>
      <c r="L265" s="33">
        <f t="shared" si="233"/>
        <v>0</v>
      </c>
      <c r="M265" s="30">
        <f t="shared" si="234"/>
        <v>0</v>
      </c>
      <c r="N265" s="33">
        <f t="shared" si="235"/>
        <v>0</v>
      </c>
      <c r="O265" s="31">
        <f t="shared" si="236"/>
        <v>0</v>
      </c>
      <c r="P265" s="33">
        <f t="shared" si="237"/>
        <v>0</v>
      </c>
      <c r="Q265" s="34">
        <f t="shared" si="279"/>
        <v>624753.33705251873</v>
      </c>
      <c r="R265" s="29">
        <f t="shared" si="238"/>
        <v>0</v>
      </c>
      <c r="S265" s="34">
        <f t="shared" si="239"/>
        <v>624753.33705251873</v>
      </c>
      <c r="T265" s="29">
        <f t="shared" si="240"/>
        <v>520.62778087709899</v>
      </c>
      <c r="U265" s="29">
        <f t="shared" si="241"/>
        <v>0</v>
      </c>
      <c r="V265" s="35">
        <f t="shared" si="242"/>
        <v>7.1438720384076071E-5</v>
      </c>
      <c r="W265" s="34">
        <f t="shared" si="243"/>
        <v>0</v>
      </c>
      <c r="X265" s="34">
        <f t="shared" si="244"/>
        <v>624232.70927164168</v>
      </c>
      <c r="Y265" s="36">
        <f t="shared" si="245"/>
        <v>7.8043654334896129E-3</v>
      </c>
      <c r="Z265" s="34">
        <f t="shared" si="246"/>
        <v>4871.7401786931714</v>
      </c>
      <c r="AA265" s="34">
        <f t="shared" si="247"/>
        <v>626668.57936098822</v>
      </c>
      <c r="AB265" s="34">
        <f t="shared" si="248"/>
        <v>0</v>
      </c>
      <c r="AC265" s="34">
        <f t="shared" si="249"/>
        <v>0</v>
      </c>
      <c r="AD265" s="34">
        <f t="shared" si="250"/>
        <v>0</v>
      </c>
      <c r="AE265" s="34">
        <f t="shared" si="251"/>
        <v>0</v>
      </c>
      <c r="AF265" s="34">
        <f t="shared" si="252"/>
        <v>0</v>
      </c>
      <c r="AG265" s="29">
        <f t="shared" si="253"/>
        <v>626668.57936098822</v>
      </c>
      <c r="AH265" s="34">
        <f t="shared" si="254"/>
        <v>0</v>
      </c>
      <c r="AI265" s="34">
        <f t="shared" si="255"/>
        <v>0</v>
      </c>
      <c r="AJ265" s="34">
        <f t="shared" si="256"/>
        <v>0</v>
      </c>
      <c r="AK265" s="34">
        <f t="shared" si="257"/>
        <v>0</v>
      </c>
      <c r="AL265" s="34">
        <f t="shared" si="258"/>
        <v>0</v>
      </c>
      <c r="AM265" s="34">
        <f t="shared" si="259"/>
        <v>0</v>
      </c>
      <c r="AN265" s="34">
        <f t="shared" si="260"/>
        <v>0</v>
      </c>
      <c r="AO265" s="34">
        <f t="shared" si="261"/>
        <v>0</v>
      </c>
      <c r="AP265" s="34">
        <f t="shared" si="262"/>
        <v>0</v>
      </c>
      <c r="AQ265" s="34">
        <f t="shared" si="263"/>
        <v>0</v>
      </c>
      <c r="AR265" s="34">
        <f t="shared" si="264"/>
        <v>0</v>
      </c>
      <c r="AS265" s="30">
        <f t="shared" si="265"/>
        <v>1.2416233740968805</v>
      </c>
      <c r="AT265" s="29">
        <f t="shared" si="266"/>
        <v>0</v>
      </c>
      <c r="AU265" s="29">
        <f t="shared" si="267"/>
        <v>0</v>
      </c>
      <c r="AV265" s="34">
        <f t="shared" si="268"/>
        <v>0</v>
      </c>
      <c r="AW265" s="34">
        <f t="shared" si="269"/>
        <v>0</v>
      </c>
      <c r="AX265" s="29">
        <f t="shared" si="270"/>
        <v>0</v>
      </c>
      <c r="AY265" s="34">
        <f t="shared" si="271"/>
        <v>0</v>
      </c>
      <c r="AZ265" s="37">
        <f t="shared" si="272"/>
        <v>0</v>
      </c>
      <c r="BA265" s="37">
        <f t="shared" si="273"/>
        <v>0</v>
      </c>
      <c r="BB265" s="35">
        <f t="shared" si="274"/>
        <v>1.1419668088614721E-3</v>
      </c>
      <c r="BC265" s="31">
        <f t="shared" si="275"/>
        <v>0.74238798394840111</v>
      </c>
      <c r="BD265" s="34">
        <f t="shared" si="276"/>
        <v>0</v>
      </c>
    </row>
    <row r="266" spans="1:56" x14ac:dyDescent="0.2">
      <c r="A266" s="27">
        <f t="shared" si="277"/>
        <v>262</v>
      </c>
      <c r="B266" s="28">
        <f t="shared" si="224"/>
        <v>262</v>
      </c>
      <c r="C266" s="27">
        <f t="shared" si="225"/>
        <v>21</v>
      </c>
      <c r="D266" s="28">
        <f t="shared" si="226"/>
        <v>41</v>
      </c>
      <c r="E266" s="29">
        <f t="shared" si="227"/>
        <v>0</v>
      </c>
      <c r="F266" s="30">
        <f t="shared" si="228"/>
        <v>7.7905318312821966E-4</v>
      </c>
      <c r="G266" s="31">
        <f t="shared" si="229"/>
        <v>6.4944291258250963E-5</v>
      </c>
      <c r="H266" s="32">
        <f t="shared" si="230"/>
        <v>0.02</v>
      </c>
      <c r="I266" s="32">
        <f t="shared" si="231"/>
        <v>0</v>
      </c>
      <c r="J266" s="33">
        <f t="shared" si="278"/>
        <v>0</v>
      </c>
      <c r="K266" s="30">
        <f t="shared" si="232"/>
        <v>0</v>
      </c>
      <c r="L266" s="33">
        <f t="shared" si="233"/>
        <v>0</v>
      </c>
      <c r="M266" s="30">
        <f t="shared" si="234"/>
        <v>0</v>
      </c>
      <c r="N266" s="33">
        <f t="shared" si="235"/>
        <v>0</v>
      </c>
      <c r="O266" s="31">
        <f t="shared" si="236"/>
        <v>0</v>
      </c>
      <c r="P266" s="33">
        <f t="shared" si="237"/>
        <v>0</v>
      </c>
      <c r="Q266" s="34">
        <f t="shared" si="279"/>
        <v>629104.44945033488</v>
      </c>
      <c r="R266" s="29">
        <f t="shared" si="238"/>
        <v>0</v>
      </c>
      <c r="S266" s="34">
        <f t="shared" si="239"/>
        <v>629104.44945033488</v>
      </c>
      <c r="T266" s="29">
        <f t="shared" si="240"/>
        <v>524.25370787527913</v>
      </c>
      <c r="U266" s="29">
        <f t="shared" si="241"/>
        <v>0</v>
      </c>
      <c r="V266" s="35">
        <f t="shared" si="242"/>
        <v>7.1438720384076071E-5</v>
      </c>
      <c r="W266" s="34">
        <f t="shared" si="243"/>
        <v>0</v>
      </c>
      <c r="X266" s="34">
        <f t="shared" si="244"/>
        <v>628580.19574245962</v>
      </c>
      <c r="Y266" s="36">
        <f t="shared" si="245"/>
        <v>8.9371892712193368E-3</v>
      </c>
      <c r="Z266" s="34">
        <f t="shared" si="246"/>
        <v>5617.7401814904606</v>
      </c>
      <c r="AA266" s="34">
        <f t="shared" si="247"/>
        <v>631389.06583320489</v>
      </c>
      <c r="AB266" s="34">
        <f t="shared" si="248"/>
        <v>0</v>
      </c>
      <c r="AC266" s="34">
        <f t="shared" si="249"/>
        <v>0</v>
      </c>
      <c r="AD266" s="34">
        <f t="shared" si="250"/>
        <v>0</v>
      </c>
      <c r="AE266" s="34">
        <f t="shared" si="251"/>
        <v>0</v>
      </c>
      <c r="AF266" s="34">
        <f t="shared" si="252"/>
        <v>0</v>
      </c>
      <c r="AG266" s="29">
        <f t="shared" si="253"/>
        <v>631389.06583320489</v>
      </c>
      <c r="AH266" s="34">
        <f t="shared" si="254"/>
        <v>0</v>
      </c>
      <c r="AI266" s="34">
        <f t="shared" si="255"/>
        <v>0</v>
      </c>
      <c r="AJ266" s="34">
        <f t="shared" si="256"/>
        <v>0</v>
      </c>
      <c r="AK266" s="34">
        <f t="shared" si="257"/>
        <v>0</v>
      </c>
      <c r="AL266" s="34">
        <f t="shared" si="258"/>
        <v>0</v>
      </c>
      <c r="AM266" s="34">
        <f t="shared" si="259"/>
        <v>0</v>
      </c>
      <c r="AN266" s="34">
        <f t="shared" si="260"/>
        <v>0</v>
      </c>
      <c r="AO266" s="34">
        <f t="shared" si="261"/>
        <v>0</v>
      </c>
      <c r="AP266" s="34">
        <f t="shared" si="262"/>
        <v>0</v>
      </c>
      <c r="AQ266" s="34">
        <f t="shared" si="263"/>
        <v>0</v>
      </c>
      <c r="AR266" s="34">
        <f t="shared" si="264"/>
        <v>0</v>
      </c>
      <c r="AS266" s="30">
        <f t="shared" si="265"/>
        <v>1.2426533480093571</v>
      </c>
      <c r="AT266" s="29">
        <f t="shared" si="266"/>
        <v>0</v>
      </c>
      <c r="AU266" s="29">
        <f t="shared" si="267"/>
        <v>0</v>
      </c>
      <c r="AV266" s="34">
        <f t="shared" si="268"/>
        <v>0</v>
      </c>
      <c r="AW266" s="34">
        <f t="shared" si="269"/>
        <v>0</v>
      </c>
      <c r="AX266" s="29">
        <f t="shared" si="270"/>
        <v>0</v>
      </c>
      <c r="AY266" s="34">
        <f t="shared" si="271"/>
        <v>0</v>
      </c>
      <c r="AZ266" s="37">
        <f t="shared" si="272"/>
        <v>0</v>
      </c>
      <c r="BA266" s="37">
        <f t="shared" si="273"/>
        <v>0</v>
      </c>
      <c r="BB266" s="35">
        <f t="shared" si="274"/>
        <v>1.1419668088614721E-3</v>
      </c>
      <c r="BC266" s="31">
        <f t="shared" si="275"/>
        <v>0.74154116854651664</v>
      </c>
      <c r="BD266" s="34">
        <f t="shared" si="276"/>
        <v>0</v>
      </c>
    </row>
    <row r="267" spans="1:56" x14ac:dyDescent="0.2">
      <c r="A267" s="27">
        <f t="shared" si="277"/>
        <v>263</v>
      </c>
      <c r="B267" s="28">
        <f t="shared" si="224"/>
        <v>263</v>
      </c>
      <c r="C267" s="27">
        <f t="shared" si="225"/>
        <v>21</v>
      </c>
      <c r="D267" s="28">
        <f t="shared" si="226"/>
        <v>41</v>
      </c>
      <c r="E267" s="29">
        <f t="shared" si="227"/>
        <v>0</v>
      </c>
      <c r="F267" s="30">
        <f t="shared" si="228"/>
        <v>7.7905318312821966E-4</v>
      </c>
      <c r="G267" s="31">
        <f t="shared" si="229"/>
        <v>6.4944291258250963E-5</v>
      </c>
      <c r="H267" s="32">
        <f t="shared" si="230"/>
        <v>0.02</v>
      </c>
      <c r="I267" s="32">
        <f t="shared" si="231"/>
        <v>0</v>
      </c>
      <c r="J267" s="33">
        <f t="shared" si="278"/>
        <v>0</v>
      </c>
      <c r="K267" s="30">
        <f t="shared" si="232"/>
        <v>0</v>
      </c>
      <c r="L267" s="33">
        <f t="shared" si="233"/>
        <v>0</v>
      </c>
      <c r="M267" s="30">
        <f t="shared" si="234"/>
        <v>0</v>
      </c>
      <c r="N267" s="33">
        <f t="shared" si="235"/>
        <v>0</v>
      </c>
      <c r="O267" s="31">
        <f t="shared" si="236"/>
        <v>0</v>
      </c>
      <c r="P267" s="33">
        <f t="shared" si="237"/>
        <v>0</v>
      </c>
      <c r="Q267" s="34">
        <f t="shared" si="279"/>
        <v>634197.93592395005</v>
      </c>
      <c r="R267" s="29">
        <f t="shared" si="238"/>
        <v>0</v>
      </c>
      <c r="S267" s="34">
        <f t="shared" si="239"/>
        <v>634197.93592395005</v>
      </c>
      <c r="T267" s="29">
        <f t="shared" si="240"/>
        <v>528.49827993662507</v>
      </c>
      <c r="U267" s="29">
        <f t="shared" si="241"/>
        <v>0</v>
      </c>
      <c r="V267" s="35">
        <f t="shared" si="242"/>
        <v>7.1438720384076071E-5</v>
      </c>
      <c r="W267" s="34">
        <f t="shared" si="243"/>
        <v>0</v>
      </c>
      <c r="X267" s="34">
        <f t="shared" si="244"/>
        <v>633669.43764401344</v>
      </c>
      <c r="Y267" s="36">
        <f t="shared" si="245"/>
        <v>-8.1898869343396408E-3</v>
      </c>
      <c r="Z267" s="34">
        <f t="shared" si="246"/>
        <v>-5189.681048051053</v>
      </c>
      <c r="AA267" s="34">
        <f t="shared" si="247"/>
        <v>631074.59711998794</v>
      </c>
      <c r="AB267" s="34">
        <f t="shared" si="248"/>
        <v>0</v>
      </c>
      <c r="AC267" s="34">
        <f t="shared" si="249"/>
        <v>0</v>
      </c>
      <c r="AD267" s="34">
        <f t="shared" si="250"/>
        <v>0</v>
      </c>
      <c r="AE267" s="34">
        <f t="shared" si="251"/>
        <v>0</v>
      </c>
      <c r="AF267" s="34">
        <f t="shared" si="252"/>
        <v>0</v>
      </c>
      <c r="AG267" s="29">
        <f t="shared" si="253"/>
        <v>631074.59711998794</v>
      </c>
      <c r="AH267" s="34">
        <f t="shared" si="254"/>
        <v>0</v>
      </c>
      <c r="AI267" s="34">
        <f t="shared" si="255"/>
        <v>0</v>
      </c>
      <c r="AJ267" s="34">
        <f t="shared" si="256"/>
        <v>0</v>
      </c>
      <c r="AK267" s="34">
        <f t="shared" si="257"/>
        <v>0</v>
      </c>
      <c r="AL267" s="34">
        <f t="shared" si="258"/>
        <v>0</v>
      </c>
      <c r="AM267" s="34">
        <f t="shared" si="259"/>
        <v>0</v>
      </c>
      <c r="AN267" s="34">
        <f t="shared" si="260"/>
        <v>0</v>
      </c>
      <c r="AO267" s="34">
        <f t="shared" si="261"/>
        <v>0</v>
      </c>
      <c r="AP267" s="34">
        <f t="shared" si="262"/>
        <v>0</v>
      </c>
      <c r="AQ267" s="34">
        <f t="shared" si="263"/>
        <v>0</v>
      </c>
      <c r="AR267" s="34">
        <f t="shared" si="264"/>
        <v>0</v>
      </c>
      <c r="AS267" s="30">
        <f t="shared" si="265"/>
        <v>1.2436841763244508</v>
      </c>
      <c r="AT267" s="29">
        <f t="shared" si="266"/>
        <v>0</v>
      </c>
      <c r="AU267" s="29">
        <f t="shared" si="267"/>
        <v>0</v>
      </c>
      <c r="AV267" s="34">
        <f t="shared" si="268"/>
        <v>0</v>
      </c>
      <c r="AW267" s="34">
        <f t="shared" si="269"/>
        <v>0</v>
      </c>
      <c r="AX267" s="29">
        <f t="shared" si="270"/>
        <v>0</v>
      </c>
      <c r="AY267" s="34">
        <f t="shared" si="271"/>
        <v>0</v>
      </c>
      <c r="AZ267" s="37">
        <f t="shared" si="272"/>
        <v>0</v>
      </c>
      <c r="BA267" s="37">
        <f t="shared" si="273"/>
        <v>0</v>
      </c>
      <c r="BB267" s="35">
        <f t="shared" si="274"/>
        <v>1.1419668088614721E-3</v>
      </c>
      <c r="BC267" s="31">
        <f t="shared" si="275"/>
        <v>0.74069531907665187</v>
      </c>
      <c r="BD267" s="34">
        <f t="shared" si="276"/>
        <v>0</v>
      </c>
    </row>
    <row r="268" spans="1:56" x14ac:dyDescent="0.2">
      <c r="A268" s="27">
        <f t="shared" si="277"/>
        <v>264</v>
      </c>
      <c r="B268" s="28">
        <f t="shared" si="224"/>
        <v>264</v>
      </c>
      <c r="C268" s="27">
        <f t="shared" si="225"/>
        <v>22</v>
      </c>
      <c r="D268" s="28">
        <f t="shared" si="226"/>
        <v>42</v>
      </c>
      <c r="E268" s="29">
        <f t="shared" si="227"/>
        <v>0</v>
      </c>
      <c r="F268" s="30">
        <f t="shared" si="228"/>
        <v>8.1743042157009509E-4</v>
      </c>
      <c r="G268" s="31">
        <f t="shared" si="229"/>
        <v>6.8144736374953219E-5</v>
      </c>
      <c r="H268" s="32">
        <f t="shared" si="230"/>
        <v>0.02</v>
      </c>
      <c r="I268" s="32">
        <f t="shared" si="231"/>
        <v>0</v>
      </c>
      <c r="J268" s="33">
        <f t="shared" si="278"/>
        <v>0</v>
      </c>
      <c r="K268" s="30">
        <f t="shared" si="232"/>
        <v>0</v>
      </c>
      <c r="L268" s="33">
        <f t="shared" si="233"/>
        <v>0</v>
      </c>
      <c r="M268" s="30">
        <f t="shared" si="234"/>
        <v>0</v>
      </c>
      <c r="N268" s="33">
        <f t="shared" si="235"/>
        <v>0</v>
      </c>
      <c r="O268" s="31">
        <f t="shared" si="236"/>
        <v>0</v>
      </c>
      <c r="P268" s="33">
        <f t="shared" si="237"/>
        <v>0</v>
      </c>
      <c r="Q268" s="34">
        <f t="shared" si="279"/>
        <v>628479.75659596233</v>
      </c>
      <c r="R268" s="29">
        <f t="shared" si="238"/>
        <v>0</v>
      </c>
      <c r="S268" s="34">
        <f t="shared" si="239"/>
        <v>628479.75659596233</v>
      </c>
      <c r="T268" s="29">
        <f t="shared" si="240"/>
        <v>523.73313049663534</v>
      </c>
      <c r="U268" s="29">
        <f t="shared" si="241"/>
        <v>0</v>
      </c>
      <c r="V268" s="35">
        <f t="shared" si="242"/>
        <v>7.4959210012448551E-5</v>
      </c>
      <c r="W268" s="34">
        <f t="shared" si="243"/>
        <v>0</v>
      </c>
      <c r="X268" s="34">
        <f t="shared" si="244"/>
        <v>627956.02346546575</v>
      </c>
      <c r="Y268" s="36">
        <f t="shared" si="245"/>
        <v>-1.032561828269507E-2</v>
      </c>
      <c r="Z268" s="34">
        <f t="shared" si="246"/>
        <v>-6484.0341966235083</v>
      </c>
      <c r="AA268" s="34">
        <f t="shared" si="247"/>
        <v>624714.00636715395</v>
      </c>
      <c r="AB268" s="34">
        <f t="shared" si="248"/>
        <v>0</v>
      </c>
      <c r="AC268" s="34">
        <f t="shared" si="249"/>
        <v>0</v>
      </c>
      <c r="AD268" s="34">
        <f t="shared" si="250"/>
        <v>0</v>
      </c>
      <c r="AE268" s="34">
        <f t="shared" si="251"/>
        <v>0</v>
      </c>
      <c r="AF268" s="34">
        <f t="shared" si="252"/>
        <v>0</v>
      </c>
      <c r="AG268" s="29">
        <f t="shared" si="253"/>
        <v>624714.00636715395</v>
      </c>
      <c r="AH268" s="34">
        <f t="shared" si="254"/>
        <v>0</v>
      </c>
      <c r="AI268" s="34">
        <f t="shared" si="255"/>
        <v>0</v>
      </c>
      <c r="AJ268" s="34">
        <f t="shared" si="256"/>
        <v>0</v>
      </c>
      <c r="AK268" s="34">
        <f t="shared" si="257"/>
        <v>0</v>
      </c>
      <c r="AL268" s="34">
        <f t="shared" si="258"/>
        <v>0</v>
      </c>
      <c r="AM268" s="34">
        <f t="shared" si="259"/>
        <v>0</v>
      </c>
      <c r="AN268" s="34">
        <f t="shared" si="260"/>
        <v>0</v>
      </c>
      <c r="AO268" s="34">
        <f t="shared" si="261"/>
        <v>0</v>
      </c>
      <c r="AP268" s="34">
        <f t="shared" si="262"/>
        <v>0</v>
      </c>
      <c r="AQ268" s="34">
        <f t="shared" si="263"/>
        <v>0</v>
      </c>
      <c r="AR268" s="34">
        <f t="shared" si="264"/>
        <v>0</v>
      </c>
      <c r="AS268" s="30">
        <f t="shared" si="265"/>
        <v>1.2447158597509214</v>
      </c>
      <c r="AT268" s="29">
        <f t="shared" si="266"/>
        <v>0</v>
      </c>
      <c r="AU268" s="29">
        <f t="shared" si="267"/>
        <v>0</v>
      </c>
      <c r="AV268" s="34">
        <f t="shared" si="268"/>
        <v>0</v>
      </c>
      <c r="AW268" s="34">
        <f t="shared" si="269"/>
        <v>0</v>
      </c>
      <c r="AX268" s="29">
        <f t="shared" si="270"/>
        <v>0</v>
      </c>
      <c r="AY268" s="34">
        <f t="shared" si="271"/>
        <v>0</v>
      </c>
      <c r="AZ268" s="37">
        <f t="shared" si="272"/>
        <v>0</v>
      </c>
      <c r="BA268" s="37">
        <f t="shared" si="273"/>
        <v>0</v>
      </c>
      <c r="BB268" s="35">
        <f t="shared" si="274"/>
        <v>1.1394979653496229E-3</v>
      </c>
      <c r="BC268" s="31">
        <f t="shared" si="275"/>
        <v>0.74033225759418708</v>
      </c>
      <c r="BD268" s="34">
        <f t="shared" si="276"/>
        <v>0</v>
      </c>
    </row>
    <row r="269" spans="1:56" x14ac:dyDescent="0.2">
      <c r="A269" s="27">
        <f t="shared" si="277"/>
        <v>265</v>
      </c>
      <c r="B269" s="28">
        <f t="shared" si="224"/>
        <v>265</v>
      </c>
      <c r="C269" s="27">
        <f t="shared" si="225"/>
        <v>22</v>
      </c>
      <c r="D269" s="28">
        <f t="shared" si="226"/>
        <v>42</v>
      </c>
      <c r="E269" s="29">
        <f t="shared" si="227"/>
        <v>0</v>
      </c>
      <c r="F269" s="30">
        <f t="shared" si="228"/>
        <v>8.1743042157009509E-4</v>
      </c>
      <c r="G269" s="31">
        <f t="shared" si="229"/>
        <v>6.8144736374953219E-5</v>
      </c>
      <c r="H269" s="32">
        <f t="shared" si="230"/>
        <v>0.02</v>
      </c>
      <c r="I269" s="32">
        <f t="shared" si="231"/>
        <v>0</v>
      </c>
      <c r="J269" s="33">
        <f t="shared" si="278"/>
        <v>0</v>
      </c>
      <c r="K269" s="30">
        <f t="shared" si="232"/>
        <v>0</v>
      </c>
      <c r="L269" s="33">
        <f t="shared" si="233"/>
        <v>0</v>
      </c>
      <c r="M269" s="30">
        <f t="shared" si="234"/>
        <v>0</v>
      </c>
      <c r="N269" s="33">
        <f t="shared" si="235"/>
        <v>0</v>
      </c>
      <c r="O269" s="31">
        <f t="shared" si="236"/>
        <v>0</v>
      </c>
      <c r="P269" s="33">
        <f t="shared" si="237"/>
        <v>0</v>
      </c>
      <c r="Q269" s="34">
        <f t="shared" si="279"/>
        <v>621471.98926884227</v>
      </c>
      <c r="R269" s="29">
        <f t="shared" si="238"/>
        <v>0</v>
      </c>
      <c r="S269" s="34">
        <f t="shared" si="239"/>
        <v>621471.98926884227</v>
      </c>
      <c r="T269" s="29">
        <f t="shared" si="240"/>
        <v>517.89332439070188</v>
      </c>
      <c r="U269" s="29">
        <f t="shared" si="241"/>
        <v>0</v>
      </c>
      <c r="V269" s="35">
        <f t="shared" si="242"/>
        <v>7.4959210012448551E-5</v>
      </c>
      <c r="W269" s="34">
        <f t="shared" si="243"/>
        <v>0</v>
      </c>
      <c r="X269" s="34">
        <f t="shared" si="244"/>
        <v>620954.09594445152</v>
      </c>
      <c r="Y269" s="36">
        <f t="shared" si="245"/>
        <v>-9.3135893543978554E-3</v>
      </c>
      <c r="Z269" s="34">
        <f t="shared" si="246"/>
        <v>-5783.3114575579884</v>
      </c>
      <c r="AA269" s="34">
        <f t="shared" si="247"/>
        <v>618062.44021567248</v>
      </c>
      <c r="AB269" s="34">
        <f t="shared" si="248"/>
        <v>0</v>
      </c>
      <c r="AC269" s="34">
        <f t="shared" si="249"/>
        <v>0</v>
      </c>
      <c r="AD269" s="34">
        <f t="shared" si="250"/>
        <v>0</v>
      </c>
      <c r="AE269" s="34">
        <f t="shared" si="251"/>
        <v>0</v>
      </c>
      <c r="AF269" s="34">
        <f t="shared" si="252"/>
        <v>0</v>
      </c>
      <c r="AG269" s="29">
        <f t="shared" si="253"/>
        <v>618062.44021567248</v>
      </c>
      <c r="AH269" s="34">
        <f t="shared" si="254"/>
        <v>0</v>
      </c>
      <c r="AI269" s="34">
        <f t="shared" si="255"/>
        <v>0</v>
      </c>
      <c r="AJ269" s="34">
        <f t="shared" si="256"/>
        <v>0</v>
      </c>
      <c r="AK269" s="34">
        <f t="shared" si="257"/>
        <v>0</v>
      </c>
      <c r="AL269" s="34">
        <f t="shared" si="258"/>
        <v>0</v>
      </c>
      <c r="AM269" s="34">
        <f t="shared" si="259"/>
        <v>0</v>
      </c>
      <c r="AN269" s="34">
        <f t="shared" si="260"/>
        <v>0</v>
      </c>
      <c r="AO269" s="34">
        <f t="shared" si="261"/>
        <v>0</v>
      </c>
      <c r="AP269" s="34">
        <f t="shared" si="262"/>
        <v>0</v>
      </c>
      <c r="AQ269" s="34">
        <f t="shared" si="263"/>
        <v>0</v>
      </c>
      <c r="AR269" s="34">
        <f t="shared" si="264"/>
        <v>0</v>
      </c>
      <c r="AS269" s="30">
        <f t="shared" si="265"/>
        <v>1.2457483989981157</v>
      </c>
      <c r="AT269" s="29">
        <f t="shared" si="266"/>
        <v>0</v>
      </c>
      <c r="AU269" s="29">
        <f t="shared" si="267"/>
        <v>0</v>
      </c>
      <c r="AV269" s="34">
        <f t="shared" si="268"/>
        <v>0</v>
      </c>
      <c r="AW269" s="34">
        <f t="shared" si="269"/>
        <v>0</v>
      </c>
      <c r="AX269" s="29">
        <f t="shared" si="270"/>
        <v>0</v>
      </c>
      <c r="AY269" s="34">
        <f t="shared" si="271"/>
        <v>0</v>
      </c>
      <c r="AZ269" s="37">
        <f t="shared" si="272"/>
        <v>0</v>
      </c>
      <c r="BA269" s="37">
        <f t="shared" si="273"/>
        <v>0</v>
      </c>
      <c r="BB269" s="35">
        <f t="shared" si="274"/>
        <v>1.1394979653496229E-3</v>
      </c>
      <c r="BC269" s="31">
        <f t="shared" si="275"/>
        <v>0.73948961068741148</v>
      </c>
      <c r="BD269" s="34">
        <f t="shared" si="276"/>
        <v>0</v>
      </c>
    </row>
    <row r="270" spans="1:56" x14ac:dyDescent="0.2">
      <c r="A270" s="27">
        <f t="shared" si="277"/>
        <v>266</v>
      </c>
      <c r="B270" s="28">
        <f t="shared" si="224"/>
        <v>266</v>
      </c>
      <c r="C270" s="27">
        <f t="shared" si="225"/>
        <v>22</v>
      </c>
      <c r="D270" s="28">
        <f t="shared" si="226"/>
        <v>42</v>
      </c>
      <c r="E270" s="29">
        <f t="shared" si="227"/>
        <v>0</v>
      </c>
      <c r="F270" s="30">
        <f t="shared" si="228"/>
        <v>8.1743042157009509E-4</v>
      </c>
      <c r="G270" s="31">
        <f t="shared" si="229"/>
        <v>6.8144736374953219E-5</v>
      </c>
      <c r="H270" s="32">
        <f t="shared" si="230"/>
        <v>0.02</v>
      </c>
      <c r="I270" s="32">
        <f t="shared" si="231"/>
        <v>0</v>
      </c>
      <c r="J270" s="33">
        <f t="shared" si="278"/>
        <v>0</v>
      </c>
      <c r="K270" s="30">
        <f t="shared" si="232"/>
        <v>0</v>
      </c>
      <c r="L270" s="33">
        <f t="shared" si="233"/>
        <v>0</v>
      </c>
      <c r="M270" s="30">
        <f t="shared" si="234"/>
        <v>0</v>
      </c>
      <c r="N270" s="33">
        <f t="shared" si="235"/>
        <v>0</v>
      </c>
      <c r="O270" s="31">
        <f t="shared" si="236"/>
        <v>0</v>
      </c>
      <c r="P270" s="33">
        <f t="shared" si="237"/>
        <v>0</v>
      </c>
      <c r="Q270" s="34">
        <f t="shared" si="279"/>
        <v>615170.78448689356</v>
      </c>
      <c r="R270" s="29">
        <f t="shared" si="238"/>
        <v>0</v>
      </c>
      <c r="S270" s="34">
        <f t="shared" si="239"/>
        <v>615170.78448689356</v>
      </c>
      <c r="T270" s="29">
        <f t="shared" si="240"/>
        <v>512.64232040574473</v>
      </c>
      <c r="U270" s="29">
        <f t="shared" si="241"/>
        <v>0</v>
      </c>
      <c r="V270" s="35">
        <f t="shared" si="242"/>
        <v>7.4959210012448551E-5</v>
      </c>
      <c r="W270" s="34">
        <f t="shared" si="243"/>
        <v>0</v>
      </c>
      <c r="X270" s="34">
        <f t="shared" si="244"/>
        <v>614658.14216648787</v>
      </c>
      <c r="Y270" s="36">
        <f t="shared" si="245"/>
        <v>1.2511255193838222E-2</v>
      </c>
      <c r="Z270" s="34">
        <f t="shared" si="246"/>
        <v>7690.1448736154234</v>
      </c>
      <c r="AA270" s="34">
        <f t="shared" si="247"/>
        <v>618503.21460329555</v>
      </c>
      <c r="AB270" s="34">
        <f t="shared" si="248"/>
        <v>0</v>
      </c>
      <c r="AC270" s="34">
        <f t="shared" si="249"/>
        <v>0</v>
      </c>
      <c r="AD270" s="34">
        <f t="shared" si="250"/>
        <v>0</v>
      </c>
      <c r="AE270" s="34">
        <f t="shared" si="251"/>
        <v>0</v>
      </c>
      <c r="AF270" s="34">
        <f t="shared" si="252"/>
        <v>0</v>
      </c>
      <c r="AG270" s="29">
        <f t="shared" si="253"/>
        <v>618503.21460329555</v>
      </c>
      <c r="AH270" s="34">
        <f t="shared" si="254"/>
        <v>0</v>
      </c>
      <c r="AI270" s="34">
        <f t="shared" si="255"/>
        <v>0</v>
      </c>
      <c r="AJ270" s="34">
        <f t="shared" si="256"/>
        <v>0</v>
      </c>
      <c r="AK270" s="34">
        <f t="shared" si="257"/>
        <v>0</v>
      </c>
      <c r="AL270" s="34">
        <f t="shared" si="258"/>
        <v>0</v>
      </c>
      <c r="AM270" s="34">
        <f t="shared" si="259"/>
        <v>0</v>
      </c>
      <c r="AN270" s="34">
        <f t="shared" si="260"/>
        <v>0</v>
      </c>
      <c r="AO270" s="34">
        <f t="shared" si="261"/>
        <v>0</v>
      </c>
      <c r="AP270" s="34">
        <f t="shared" si="262"/>
        <v>0</v>
      </c>
      <c r="AQ270" s="34">
        <f t="shared" si="263"/>
        <v>0</v>
      </c>
      <c r="AR270" s="34">
        <f t="shared" si="264"/>
        <v>0</v>
      </c>
      <c r="AS270" s="30">
        <f t="shared" si="265"/>
        <v>1.2467817947759705</v>
      </c>
      <c r="AT270" s="29">
        <f t="shared" si="266"/>
        <v>0</v>
      </c>
      <c r="AU270" s="29">
        <f t="shared" si="267"/>
        <v>0</v>
      </c>
      <c r="AV270" s="34">
        <f t="shared" si="268"/>
        <v>0</v>
      </c>
      <c r="AW270" s="34">
        <f t="shared" si="269"/>
        <v>0</v>
      </c>
      <c r="AX270" s="29">
        <f t="shared" si="270"/>
        <v>0</v>
      </c>
      <c r="AY270" s="34">
        <f t="shared" si="271"/>
        <v>0</v>
      </c>
      <c r="AZ270" s="37">
        <f t="shared" si="272"/>
        <v>0</v>
      </c>
      <c r="BA270" s="37">
        <f t="shared" si="273"/>
        <v>0</v>
      </c>
      <c r="BB270" s="35">
        <f t="shared" si="274"/>
        <v>1.1394979653496229E-3</v>
      </c>
      <c r="BC270" s="31">
        <f t="shared" si="275"/>
        <v>0.73864792288217751</v>
      </c>
      <c r="BD270" s="34">
        <f t="shared" si="276"/>
        <v>0</v>
      </c>
    </row>
    <row r="271" spans="1:56" x14ac:dyDescent="0.2">
      <c r="A271" s="27">
        <f t="shared" si="277"/>
        <v>267</v>
      </c>
      <c r="B271" s="28">
        <f t="shared" si="224"/>
        <v>267</v>
      </c>
      <c r="C271" s="27">
        <f t="shared" si="225"/>
        <v>22</v>
      </c>
      <c r="D271" s="28">
        <f t="shared" si="226"/>
        <v>42</v>
      </c>
      <c r="E271" s="29">
        <f t="shared" si="227"/>
        <v>0</v>
      </c>
      <c r="F271" s="30">
        <f t="shared" si="228"/>
        <v>8.1743042157009509E-4</v>
      </c>
      <c r="G271" s="31">
        <f t="shared" si="229"/>
        <v>6.8144736374953219E-5</v>
      </c>
      <c r="H271" s="32">
        <f t="shared" si="230"/>
        <v>0.02</v>
      </c>
      <c r="I271" s="32">
        <f t="shared" si="231"/>
        <v>0</v>
      </c>
      <c r="J271" s="33">
        <f t="shared" si="278"/>
        <v>0</v>
      </c>
      <c r="K271" s="30">
        <f t="shared" si="232"/>
        <v>0</v>
      </c>
      <c r="L271" s="33">
        <f t="shared" si="233"/>
        <v>0</v>
      </c>
      <c r="M271" s="30">
        <f t="shared" si="234"/>
        <v>0</v>
      </c>
      <c r="N271" s="33">
        <f t="shared" si="235"/>
        <v>0</v>
      </c>
      <c r="O271" s="31">
        <f t="shared" si="236"/>
        <v>0</v>
      </c>
      <c r="P271" s="33">
        <f t="shared" si="237"/>
        <v>0</v>
      </c>
      <c r="Q271" s="34">
        <f t="shared" si="279"/>
        <v>622348.28704010334</v>
      </c>
      <c r="R271" s="29">
        <f t="shared" si="238"/>
        <v>0</v>
      </c>
      <c r="S271" s="34">
        <f t="shared" si="239"/>
        <v>622348.28704010334</v>
      </c>
      <c r="T271" s="29">
        <f t="shared" si="240"/>
        <v>518.62357253341952</v>
      </c>
      <c r="U271" s="29">
        <f t="shared" si="241"/>
        <v>0</v>
      </c>
      <c r="V271" s="35">
        <f t="shared" si="242"/>
        <v>7.4959210012448551E-5</v>
      </c>
      <c r="W271" s="34">
        <f t="shared" si="243"/>
        <v>0</v>
      </c>
      <c r="X271" s="34">
        <f t="shared" si="244"/>
        <v>621829.66346756998</v>
      </c>
      <c r="Y271" s="36">
        <f t="shared" si="245"/>
        <v>-1.2797372240653804E-3</v>
      </c>
      <c r="Z271" s="34">
        <f t="shared" si="246"/>
        <v>-795.77856736749766</v>
      </c>
      <c r="AA271" s="34">
        <f t="shared" si="247"/>
        <v>621431.77418388624</v>
      </c>
      <c r="AB271" s="34">
        <f t="shared" si="248"/>
        <v>0</v>
      </c>
      <c r="AC271" s="34">
        <f t="shared" si="249"/>
        <v>0</v>
      </c>
      <c r="AD271" s="34">
        <f t="shared" si="250"/>
        <v>0</v>
      </c>
      <c r="AE271" s="34">
        <f t="shared" si="251"/>
        <v>0</v>
      </c>
      <c r="AF271" s="34">
        <f t="shared" si="252"/>
        <v>0</v>
      </c>
      <c r="AG271" s="29">
        <f t="shared" si="253"/>
        <v>621431.77418388624</v>
      </c>
      <c r="AH271" s="34">
        <f t="shared" si="254"/>
        <v>0</v>
      </c>
      <c r="AI271" s="34">
        <f t="shared" si="255"/>
        <v>0</v>
      </c>
      <c r="AJ271" s="34">
        <f t="shared" si="256"/>
        <v>0</v>
      </c>
      <c r="AK271" s="34">
        <f t="shared" si="257"/>
        <v>0</v>
      </c>
      <c r="AL271" s="34">
        <f t="shared" si="258"/>
        <v>0</v>
      </c>
      <c r="AM271" s="34">
        <f t="shared" si="259"/>
        <v>0</v>
      </c>
      <c r="AN271" s="34">
        <f t="shared" si="260"/>
        <v>0</v>
      </c>
      <c r="AO271" s="34">
        <f t="shared" si="261"/>
        <v>0</v>
      </c>
      <c r="AP271" s="34">
        <f t="shared" si="262"/>
        <v>0</v>
      </c>
      <c r="AQ271" s="34">
        <f t="shared" si="263"/>
        <v>0</v>
      </c>
      <c r="AR271" s="34">
        <f t="shared" si="264"/>
        <v>0</v>
      </c>
      <c r="AS271" s="30">
        <f t="shared" si="265"/>
        <v>1.2478160477950102</v>
      </c>
      <c r="AT271" s="29">
        <f t="shared" si="266"/>
        <v>0</v>
      </c>
      <c r="AU271" s="29">
        <f t="shared" si="267"/>
        <v>0</v>
      </c>
      <c r="AV271" s="34">
        <f t="shared" si="268"/>
        <v>0</v>
      </c>
      <c r="AW271" s="34">
        <f t="shared" si="269"/>
        <v>0</v>
      </c>
      <c r="AX271" s="29">
        <f t="shared" si="270"/>
        <v>0</v>
      </c>
      <c r="AY271" s="34">
        <f t="shared" si="271"/>
        <v>0</v>
      </c>
      <c r="AZ271" s="37">
        <f t="shared" si="272"/>
        <v>0</v>
      </c>
      <c r="BA271" s="37">
        <f t="shared" si="273"/>
        <v>0</v>
      </c>
      <c r="BB271" s="35">
        <f t="shared" si="274"/>
        <v>1.1394979653496229E-3</v>
      </c>
      <c r="BC271" s="31">
        <f t="shared" si="275"/>
        <v>0.73780719308683473</v>
      </c>
      <c r="BD271" s="34">
        <f t="shared" si="276"/>
        <v>0</v>
      </c>
    </row>
    <row r="272" spans="1:56" x14ac:dyDescent="0.2">
      <c r="A272" s="27">
        <f t="shared" si="277"/>
        <v>268</v>
      </c>
      <c r="B272" s="28">
        <f t="shared" si="224"/>
        <v>268</v>
      </c>
      <c r="C272" s="27">
        <f t="shared" si="225"/>
        <v>22</v>
      </c>
      <c r="D272" s="28">
        <f t="shared" si="226"/>
        <v>42</v>
      </c>
      <c r="E272" s="29">
        <f t="shared" si="227"/>
        <v>0</v>
      </c>
      <c r="F272" s="30">
        <f t="shared" si="228"/>
        <v>8.1743042157009509E-4</v>
      </c>
      <c r="G272" s="31">
        <f t="shared" si="229"/>
        <v>6.8144736374953219E-5</v>
      </c>
      <c r="H272" s="32">
        <f t="shared" si="230"/>
        <v>0.02</v>
      </c>
      <c r="I272" s="32">
        <f t="shared" si="231"/>
        <v>0</v>
      </c>
      <c r="J272" s="33">
        <f t="shared" si="278"/>
        <v>0</v>
      </c>
      <c r="K272" s="30">
        <f t="shared" si="232"/>
        <v>0</v>
      </c>
      <c r="L272" s="33">
        <f t="shared" si="233"/>
        <v>0</v>
      </c>
      <c r="M272" s="30">
        <f t="shared" si="234"/>
        <v>0</v>
      </c>
      <c r="N272" s="33">
        <f t="shared" si="235"/>
        <v>0</v>
      </c>
      <c r="O272" s="31">
        <f t="shared" si="236"/>
        <v>0</v>
      </c>
      <c r="P272" s="33">
        <f t="shared" si="237"/>
        <v>0</v>
      </c>
      <c r="Q272" s="34">
        <f t="shared" si="279"/>
        <v>621033.88490020251</v>
      </c>
      <c r="R272" s="29">
        <f t="shared" si="238"/>
        <v>0</v>
      </c>
      <c r="S272" s="34">
        <f t="shared" si="239"/>
        <v>621033.88490020251</v>
      </c>
      <c r="T272" s="29">
        <f t="shared" si="240"/>
        <v>517.52823741683551</v>
      </c>
      <c r="U272" s="29">
        <f t="shared" si="241"/>
        <v>0</v>
      </c>
      <c r="V272" s="35">
        <f t="shared" si="242"/>
        <v>7.4959210012448551E-5</v>
      </c>
      <c r="W272" s="34">
        <f t="shared" si="243"/>
        <v>0</v>
      </c>
      <c r="X272" s="34">
        <f t="shared" si="244"/>
        <v>620516.35666278563</v>
      </c>
      <c r="Y272" s="36">
        <f t="shared" si="245"/>
        <v>1.0498770412563196E-2</v>
      </c>
      <c r="Z272" s="34">
        <f t="shared" si="246"/>
        <v>6514.6587658427652</v>
      </c>
      <c r="AA272" s="34">
        <f t="shared" si="247"/>
        <v>623773.68604570697</v>
      </c>
      <c r="AB272" s="34">
        <f t="shared" si="248"/>
        <v>0</v>
      </c>
      <c r="AC272" s="34">
        <f t="shared" si="249"/>
        <v>0</v>
      </c>
      <c r="AD272" s="34">
        <f t="shared" si="250"/>
        <v>0</v>
      </c>
      <c r="AE272" s="34">
        <f t="shared" si="251"/>
        <v>0</v>
      </c>
      <c r="AF272" s="34">
        <f t="shared" si="252"/>
        <v>0</v>
      </c>
      <c r="AG272" s="29">
        <f t="shared" si="253"/>
        <v>623773.68604570697</v>
      </c>
      <c r="AH272" s="34">
        <f t="shared" si="254"/>
        <v>0</v>
      </c>
      <c r="AI272" s="34">
        <f t="shared" si="255"/>
        <v>0</v>
      </c>
      <c r="AJ272" s="34">
        <f t="shared" si="256"/>
        <v>0</v>
      </c>
      <c r="AK272" s="34">
        <f t="shared" si="257"/>
        <v>0</v>
      </c>
      <c r="AL272" s="34">
        <f t="shared" si="258"/>
        <v>0</v>
      </c>
      <c r="AM272" s="34">
        <f t="shared" si="259"/>
        <v>0</v>
      </c>
      <c r="AN272" s="34">
        <f t="shared" si="260"/>
        <v>0</v>
      </c>
      <c r="AO272" s="34">
        <f t="shared" si="261"/>
        <v>0</v>
      </c>
      <c r="AP272" s="34">
        <f t="shared" si="262"/>
        <v>0</v>
      </c>
      <c r="AQ272" s="34">
        <f t="shared" si="263"/>
        <v>0</v>
      </c>
      <c r="AR272" s="34">
        <f t="shared" si="264"/>
        <v>0</v>
      </c>
      <c r="AS272" s="30">
        <f t="shared" si="265"/>
        <v>1.2488511587663491</v>
      </c>
      <c r="AT272" s="29">
        <f t="shared" si="266"/>
        <v>0</v>
      </c>
      <c r="AU272" s="29">
        <f t="shared" si="267"/>
        <v>0</v>
      </c>
      <c r="AV272" s="34">
        <f t="shared" si="268"/>
        <v>0</v>
      </c>
      <c r="AW272" s="34">
        <f t="shared" si="269"/>
        <v>0</v>
      </c>
      <c r="AX272" s="29">
        <f t="shared" si="270"/>
        <v>0</v>
      </c>
      <c r="AY272" s="34">
        <f t="shared" si="271"/>
        <v>0</v>
      </c>
      <c r="AZ272" s="37">
        <f t="shared" si="272"/>
        <v>0</v>
      </c>
      <c r="BA272" s="37">
        <f t="shared" si="273"/>
        <v>0</v>
      </c>
      <c r="BB272" s="35">
        <f t="shared" si="274"/>
        <v>1.1394979653496229E-3</v>
      </c>
      <c r="BC272" s="31">
        <f t="shared" si="275"/>
        <v>0.73696742021097561</v>
      </c>
      <c r="BD272" s="34">
        <f t="shared" si="276"/>
        <v>0</v>
      </c>
    </row>
    <row r="273" spans="1:56" x14ac:dyDescent="0.2">
      <c r="A273" s="27">
        <f t="shared" si="277"/>
        <v>269</v>
      </c>
      <c r="B273" s="28">
        <f t="shared" si="224"/>
        <v>269</v>
      </c>
      <c r="C273" s="27">
        <f t="shared" si="225"/>
        <v>22</v>
      </c>
      <c r="D273" s="28">
        <f t="shared" si="226"/>
        <v>42</v>
      </c>
      <c r="E273" s="29">
        <f t="shared" si="227"/>
        <v>0</v>
      </c>
      <c r="F273" s="30">
        <f t="shared" si="228"/>
        <v>8.1743042157009509E-4</v>
      </c>
      <c r="G273" s="31">
        <f t="shared" si="229"/>
        <v>6.8144736374953219E-5</v>
      </c>
      <c r="H273" s="32">
        <f t="shared" si="230"/>
        <v>0.02</v>
      </c>
      <c r="I273" s="32">
        <f t="shared" si="231"/>
        <v>0</v>
      </c>
      <c r="J273" s="33">
        <f t="shared" si="278"/>
        <v>0</v>
      </c>
      <c r="K273" s="30">
        <f t="shared" si="232"/>
        <v>0</v>
      </c>
      <c r="L273" s="33">
        <f t="shared" si="233"/>
        <v>0</v>
      </c>
      <c r="M273" s="30">
        <f t="shared" si="234"/>
        <v>0</v>
      </c>
      <c r="N273" s="33">
        <f t="shared" si="235"/>
        <v>0</v>
      </c>
      <c r="O273" s="31">
        <f t="shared" si="236"/>
        <v>0</v>
      </c>
      <c r="P273" s="33">
        <f t="shared" si="237"/>
        <v>0</v>
      </c>
      <c r="Q273" s="34">
        <f t="shared" si="279"/>
        <v>627031.01542862842</v>
      </c>
      <c r="R273" s="29">
        <f t="shared" si="238"/>
        <v>0</v>
      </c>
      <c r="S273" s="34">
        <f t="shared" si="239"/>
        <v>627031.01542862842</v>
      </c>
      <c r="T273" s="29">
        <f t="shared" si="240"/>
        <v>522.52584619052368</v>
      </c>
      <c r="U273" s="29">
        <f t="shared" si="241"/>
        <v>0</v>
      </c>
      <c r="V273" s="35">
        <f t="shared" si="242"/>
        <v>7.4959210012448551E-5</v>
      </c>
      <c r="W273" s="34">
        <f t="shared" si="243"/>
        <v>0</v>
      </c>
      <c r="X273" s="34">
        <f t="shared" si="244"/>
        <v>626508.48958243791</v>
      </c>
      <c r="Y273" s="36">
        <f t="shared" si="245"/>
        <v>-4.1113513268052904E-3</v>
      </c>
      <c r="Z273" s="34">
        <f t="shared" si="246"/>
        <v>-2575.7965098995346</v>
      </c>
      <c r="AA273" s="34">
        <f t="shared" si="247"/>
        <v>625220.59132748819</v>
      </c>
      <c r="AB273" s="34">
        <f t="shared" si="248"/>
        <v>0</v>
      </c>
      <c r="AC273" s="34">
        <f t="shared" si="249"/>
        <v>0</v>
      </c>
      <c r="AD273" s="34">
        <f t="shared" si="250"/>
        <v>0</v>
      </c>
      <c r="AE273" s="34">
        <f t="shared" si="251"/>
        <v>0</v>
      </c>
      <c r="AF273" s="34">
        <f t="shared" si="252"/>
        <v>0</v>
      </c>
      <c r="AG273" s="29">
        <f t="shared" si="253"/>
        <v>625220.59132748819</v>
      </c>
      <c r="AH273" s="34">
        <f t="shared" si="254"/>
        <v>0</v>
      </c>
      <c r="AI273" s="34">
        <f t="shared" si="255"/>
        <v>0</v>
      </c>
      <c r="AJ273" s="34">
        <f t="shared" si="256"/>
        <v>0</v>
      </c>
      <c r="AK273" s="34">
        <f t="shared" si="257"/>
        <v>0</v>
      </c>
      <c r="AL273" s="34">
        <f t="shared" si="258"/>
        <v>0</v>
      </c>
      <c r="AM273" s="34">
        <f t="shared" si="259"/>
        <v>0</v>
      </c>
      <c r="AN273" s="34">
        <f t="shared" si="260"/>
        <v>0</v>
      </c>
      <c r="AO273" s="34">
        <f t="shared" si="261"/>
        <v>0</v>
      </c>
      <c r="AP273" s="34">
        <f t="shared" si="262"/>
        <v>0</v>
      </c>
      <c r="AQ273" s="34">
        <f t="shared" si="263"/>
        <v>0</v>
      </c>
      <c r="AR273" s="34">
        <f t="shared" si="264"/>
        <v>0</v>
      </c>
      <c r="AS273" s="30">
        <f t="shared" si="265"/>
        <v>1.2498871284016912</v>
      </c>
      <c r="AT273" s="29">
        <f t="shared" si="266"/>
        <v>0</v>
      </c>
      <c r="AU273" s="29">
        <f t="shared" si="267"/>
        <v>0</v>
      </c>
      <c r="AV273" s="34">
        <f t="shared" si="268"/>
        <v>0</v>
      </c>
      <c r="AW273" s="34">
        <f t="shared" si="269"/>
        <v>0</v>
      </c>
      <c r="AX273" s="29">
        <f t="shared" si="270"/>
        <v>0</v>
      </c>
      <c r="AY273" s="34">
        <f t="shared" si="271"/>
        <v>0</v>
      </c>
      <c r="AZ273" s="37">
        <f t="shared" si="272"/>
        <v>0</v>
      </c>
      <c r="BA273" s="37">
        <f t="shared" si="273"/>
        <v>0</v>
      </c>
      <c r="BB273" s="35">
        <f t="shared" si="274"/>
        <v>1.1394979653496229E-3</v>
      </c>
      <c r="BC273" s="31">
        <f t="shared" si="275"/>
        <v>0.73612860316543294</v>
      </c>
      <c r="BD273" s="34">
        <f t="shared" si="276"/>
        <v>0</v>
      </c>
    </row>
    <row r="274" spans="1:56" x14ac:dyDescent="0.2">
      <c r="A274" s="27">
        <f t="shared" si="277"/>
        <v>270</v>
      </c>
      <c r="B274" s="28">
        <f t="shared" si="224"/>
        <v>270</v>
      </c>
      <c r="C274" s="27">
        <f t="shared" si="225"/>
        <v>22</v>
      </c>
      <c r="D274" s="28">
        <f t="shared" si="226"/>
        <v>42</v>
      </c>
      <c r="E274" s="29">
        <f t="shared" si="227"/>
        <v>0</v>
      </c>
      <c r="F274" s="30">
        <f t="shared" si="228"/>
        <v>8.1743042157009509E-4</v>
      </c>
      <c r="G274" s="31">
        <f t="shared" si="229"/>
        <v>6.8144736374953219E-5</v>
      </c>
      <c r="H274" s="32">
        <f t="shared" si="230"/>
        <v>0.02</v>
      </c>
      <c r="I274" s="32">
        <f t="shared" si="231"/>
        <v>0</v>
      </c>
      <c r="J274" s="33">
        <f t="shared" si="278"/>
        <v>0</v>
      </c>
      <c r="K274" s="30">
        <f t="shared" si="232"/>
        <v>0</v>
      </c>
      <c r="L274" s="33">
        <f t="shared" si="233"/>
        <v>0</v>
      </c>
      <c r="M274" s="30">
        <f t="shared" si="234"/>
        <v>0</v>
      </c>
      <c r="N274" s="33">
        <f t="shared" si="235"/>
        <v>0</v>
      </c>
      <c r="O274" s="31">
        <f t="shared" si="236"/>
        <v>0</v>
      </c>
      <c r="P274" s="33">
        <f t="shared" si="237"/>
        <v>0</v>
      </c>
      <c r="Q274" s="34">
        <f t="shared" si="279"/>
        <v>623932.69307253836</v>
      </c>
      <c r="R274" s="29">
        <f t="shared" si="238"/>
        <v>0</v>
      </c>
      <c r="S274" s="34">
        <f t="shared" si="239"/>
        <v>623932.69307253836</v>
      </c>
      <c r="T274" s="29">
        <f t="shared" si="240"/>
        <v>519.943910893782</v>
      </c>
      <c r="U274" s="29">
        <f t="shared" si="241"/>
        <v>0</v>
      </c>
      <c r="V274" s="35">
        <f t="shared" si="242"/>
        <v>7.4959210012448551E-5</v>
      </c>
      <c r="W274" s="34">
        <f t="shared" si="243"/>
        <v>0</v>
      </c>
      <c r="X274" s="34">
        <f t="shared" si="244"/>
        <v>623412.74916164461</v>
      </c>
      <c r="Y274" s="36">
        <f t="shared" si="245"/>
        <v>6.0802137741446938E-3</v>
      </c>
      <c r="Z274" s="34">
        <f t="shared" si="246"/>
        <v>3790.4827844300426</v>
      </c>
      <c r="AA274" s="34">
        <f t="shared" si="247"/>
        <v>625307.99055385962</v>
      </c>
      <c r="AB274" s="34">
        <f t="shared" si="248"/>
        <v>0</v>
      </c>
      <c r="AC274" s="34">
        <f t="shared" si="249"/>
        <v>0</v>
      </c>
      <c r="AD274" s="34">
        <f t="shared" si="250"/>
        <v>0</v>
      </c>
      <c r="AE274" s="34">
        <f t="shared" si="251"/>
        <v>0</v>
      </c>
      <c r="AF274" s="34">
        <f t="shared" si="252"/>
        <v>0</v>
      </c>
      <c r="AG274" s="29">
        <f t="shared" si="253"/>
        <v>625307.99055385962</v>
      </c>
      <c r="AH274" s="34">
        <f t="shared" si="254"/>
        <v>0</v>
      </c>
      <c r="AI274" s="34">
        <f t="shared" si="255"/>
        <v>0</v>
      </c>
      <c r="AJ274" s="34">
        <f t="shared" si="256"/>
        <v>0</v>
      </c>
      <c r="AK274" s="34">
        <f t="shared" si="257"/>
        <v>0</v>
      </c>
      <c r="AL274" s="34">
        <f t="shared" si="258"/>
        <v>0</v>
      </c>
      <c r="AM274" s="34">
        <f t="shared" si="259"/>
        <v>0</v>
      </c>
      <c r="AN274" s="34">
        <f t="shared" si="260"/>
        <v>0</v>
      </c>
      <c r="AO274" s="34">
        <f t="shared" si="261"/>
        <v>0</v>
      </c>
      <c r="AP274" s="34">
        <f t="shared" si="262"/>
        <v>0</v>
      </c>
      <c r="AQ274" s="34">
        <f t="shared" si="263"/>
        <v>0</v>
      </c>
      <c r="AR274" s="34">
        <f t="shared" si="264"/>
        <v>0</v>
      </c>
      <c r="AS274" s="30">
        <f t="shared" si="265"/>
        <v>1.2509239574133313</v>
      </c>
      <c r="AT274" s="29">
        <f t="shared" si="266"/>
        <v>0</v>
      </c>
      <c r="AU274" s="29">
        <f t="shared" si="267"/>
        <v>0</v>
      </c>
      <c r="AV274" s="34">
        <f t="shared" si="268"/>
        <v>0</v>
      </c>
      <c r="AW274" s="34">
        <f t="shared" si="269"/>
        <v>0</v>
      </c>
      <c r="AX274" s="29">
        <f t="shared" si="270"/>
        <v>0</v>
      </c>
      <c r="AY274" s="34">
        <f t="shared" si="271"/>
        <v>0</v>
      </c>
      <c r="AZ274" s="37">
        <f t="shared" si="272"/>
        <v>0</v>
      </c>
      <c r="BA274" s="37">
        <f t="shared" si="273"/>
        <v>0</v>
      </c>
      <c r="BB274" s="35">
        <f t="shared" si="274"/>
        <v>1.1394979653496229E-3</v>
      </c>
      <c r="BC274" s="31">
        <f t="shared" si="275"/>
        <v>0.73529074086227986</v>
      </c>
      <c r="BD274" s="34">
        <f t="shared" si="276"/>
        <v>0</v>
      </c>
    </row>
    <row r="275" spans="1:56" x14ac:dyDescent="0.2">
      <c r="A275" s="27">
        <f t="shared" si="277"/>
        <v>271</v>
      </c>
      <c r="B275" s="28">
        <f t="shared" si="224"/>
        <v>271</v>
      </c>
      <c r="C275" s="27">
        <f t="shared" si="225"/>
        <v>22</v>
      </c>
      <c r="D275" s="28">
        <f t="shared" si="226"/>
        <v>42</v>
      </c>
      <c r="E275" s="29">
        <f t="shared" si="227"/>
        <v>0</v>
      </c>
      <c r="F275" s="30">
        <f t="shared" si="228"/>
        <v>8.1743042157009509E-4</v>
      </c>
      <c r="G275" s="31">
        <f t="shared" si="229"/>
        <v>6.8144736374953219E-5</v>
      </c>
      <c r="H275" s="32">
        <f t="shared" si="230"/>
        <v>0.02</v>
      </c>
      <c r="I275" s="32">
        <f t="shared" si="231"/>
        <v>0</v>
      </c>
      <c r="J275" s="33">
        <f t="shared" si="278"/>
        <v>0</v>
      </c>
      <c r="K275" s="30">
        <f t="shared" si="232"/>
        <v>0</v>
      </c>
      <c r="L275" s="33">
        <f t="shared" si="233"/>
        <v>0</v>
      </c>
      <c r="M275" s="30">
        <f t="shared" si="234"/>
        <v>0</v>
      </c>
      <c r="N275" s="33">
        <f t="shared" si="235"/>
        <v>0</v>
      </c>
      <c r="O275" s="31">
        <f t="shared" si="236"/>
        <v>0</v>
      </c>
      <c r="P275" s="33">
        <f t="shared" si="237"/>
        <v>0</v>
      </c>
      <c r="Q275" s="34">
        <f t="shared" si="279"/>
        <v>627203.23194607464</v>
      </c>
      <c r="R275" s="29">
        <f t="shared" si="238"/>
        <v>0</v>
      </c>
      <c r="S275" s="34">
        <f t="shared" si="239"/>
        <v>627203.23194607464</v>
      </c>
      <c r="T275" s="29">
        <f t="shared" si="240"/>
        <v>522.66935995506219</v>
      </c>
      <c r="U275" s="29">
        <f t="shared" si="241"/>
        <v>0</v>
      </c>
      <c r="V275" s="35">
        <f t="shared" si="242"/>
        <v>7.4959210012448551E-5</v>
      </c>
      <c r="W275" s="34">
        <f t="shared" si="243"/>
        <v>0</v>
      </c>
      <c r="X275" s="34">
        <f t="shared" si="244"/>
        <v>626680.56258611963</v>
      </c>
      <c r="Y275" s="36">
        <f t="shared" si="245"/>
        <v>-1.0635314371466031E-2</v>
      </c>
      <c r="Z275" s="34">
        <f t="shared" si="246"/>
        <v>-6664.9447935905755</v>
      </c>
      <c r="AA275" s="34">
        <f t="shared" si="247"/>
        <v>623348.09018932434</v>
      </c>
      <c r="AB275" s="34">
        <f t="shared" si="248"/>
        <v>0</v>
      </c>
      <c r="AC275" s="34">
        <f t="shared" si="249"/>
        <v>0</v>
      </c>
      <c r="AD275" s="34">
        <f t="shared" si="250"/>
        <v>0</v>
      </c>
      <c r="AE275" s="34">
        <f t="shared" si="251"/>
        <v>0</v>
      </c>
      <c r="AF275" s="34">
        <f t="shared" si="252"/>
        <v>0</v>
      </c>
      <c r="AG275" s="29">
        <f t="shared" si="253"/>
        <v>623348.09018932434</v>
      </c>
      <c r="AH275" s="34">
        <f t="shared" si="254"/>
        <v>0</v>
      </c>
      <c r="AI275" s="34">
        <f t="shared" si="255"/>
        <v>0</v>
      </c>
      <c r="AJ275" s="34">
        <f t="shared" si="256"/>
        <v>0</v>
      </c>
      <c r="AK275" s="34">
        <f t="shared" si="257"/>
        <v>0</v>
      </c>
      <c r="AL275" s="34">
        <f t="shared" si="258"/>
        <v>0</v>
      </c>
      <c r="AM275" s="34">
        <f t="shared" si="259"/>
        <v>0</v>
      </c>
      <c r="AN275" s="34">
        <f t="shared" si="260"/>
        <v>0</v>
      </c>
      <c r="AO275" s="34">
        <f t="shared" si="261"/>
        <v>0</v>
      </c>
      <c r="AP275" s="34">
        <f t="shared" si="262"/>
        <v>0</v>
      </c>
      <c r="AQ275" s="34">
        <f t="shared" si="263"/>
        <v>0</v>
      </c>
      <c r="AR275" s="34">
        <f t="shared" si="264"/>
        <v>0</v>
      </c>
      <c r="AS275" s="30">
        <f t="shared" si="265"/>
        <v>1.2519616465141543</v>
      </c>
      <c r="AT275" s="29">
        <f t="shared" si="266"/>
        <v>0</v>
      </c>
      <c r="AU275" s="29">
        <f t="shared" si="267"/>
        <v>0</v>
      </c>
      <c r="AV275" s="34">
        <f t="shared" si="268"/>
        <v>0</v>
      </c>
      <c r="AW275" s="34">
        <f t="shared" si="269"/>
        <v>0</v>
      </c>
      <c r="AX275" s="29">
        <f t="shared" si="270"/>
        <v>0</v>
      </c>
      <c r="AY275" s="34">
        <f t="shared" si="271"/>
        <v>0</v>
      </c>
      <c r="AZ275" s="37">
        <f t="shared" si="272"/>
        <v>0</v>
      </c>
      <c r="BA275" s="37">
        <f t="shared" si="273"/>
        <v>0</v>
      </c>
      <c r="BB275" s="35">
        <f t="shared" si="274"/>
        <v>1.1394979653496229E-3</v>
      </c>
      <c r="BC275" s="31">
        <f t="shared" si="275"/>
        <v>0.73445383221482796</v>
      </c>
      <c r="BD275" s="34">
        <f t="shared" si="276"/>
        <v>0</v>
      </c>
    </row>
    <row r="276" spans="1:56" x14ac:dyDescent="0.2">
      <c r="A276" s="27">
        <f t="shared" si="277"/>
        <v>272</v>
      </c>
      <c r="B276" s="28">
        <f t="shared" si="224"/>
        <v>272</v>
      </c>
      <c r="C276" s="27">
        <f t="shared" si="225"/>
        <v>22</v>
      </c>
      <c r="D276" s="28">
        <f t="shared" si="226"/>
        <v>42</v>
      </c>
      <c r="E276" s="29">
        <f t="shared" si="227"/>
        <v>0</v>
      </c>
      <c r="F276" s="30">
        <f t="shared" si="228"/>
        <v>8.1743042157009509E-4</v>
      </c>
      <c r="G276" s="31">
        <f t="shared" si="229"/>
        <v>6.8144736374953219E-5</v>
      </c>
      <c r="H276" s="32">
        <f t="shared" si="230"/>
        <v>0.02</v>
      </c>
      <c r="I276" s="32">
        <f t="shared" si="231"/>
        <v>0</v>
      </c>
      <c r="J276" s="33">
        <f t="shared" si="278"/>
        <v>0</v>
      </c>
      <c r="K276" s="30">
        <f t="shared" si="232"/>
        <v>0</v>
      </c>
      <c r="L276" s="33">
        <f t="shared" si="233"/>
        <v>0</v>
      </c>
      <c r="M276" s="30">
        <f t="shared" si="234"/>
        <v>0</v>
      </c>
      <c r="N276" s="33">
        <f t="shared" si="235"/>
        <v>0</v>
      </c>
      <c r="O276" s="31">
        <f t="shared" si="236"/>
        <v>0</v>
      </c>
      <c r="P276" s="33">
        <f t="shared" si="237"/>
        <v>0</v>
      </c>
      <c r="Q276" s="34">
        <f t="shared" si="279"/>
        <v>620015.61779252905</v>
      </c>
      <c r="R276" s="29">
        <f t="shared" si="238"/>
        <v>0</v>
      </c>
      <c r="S276" s="34">
        <f t="shared" si="239"/>
        <v>620015.61779252905</v>
      </c>
      <c r="T276" s="29">
        <f t="shared" si="240"/>
        <v>516.6796814937743</v>
      </c>
      <c r="U276" s="29">
        <f t="shared" si="241"/>
        <v>0</v>
      </c>
      <c r="V276" s="35">
        <f t="shared" si="242"/>
        <v>7.4959210012448551E-5</v>
      </c>
      <c r="W276" s="34">
        <f t="shared" si="243"/>
        <v>0</v>
      </c>
      <c r="X276" s="34">
        <f t="shared" si="244"/>
        <v>619498.93811103527</v>
      </c>
      <c r="Y276" s="36">
        <f t="shared" si="245"/>
        <v>-8.2813516616631055E-4</v>
      </c>
      <c r="Z276" s="34">
        <f t="shared" si="246"/>
        <v>-513.02885605243512</v>
      </c>
      <c r="AA276" s="34">
        <f t="shared" si="247"/>
        <v>619242.42368300899</v>
      </c>
      <c r="AB276" s="34">
        <f t="shared" si="248"/>
        <v>0</v>
      </c>
      <c r="AC276" s="34">
        <f t="shared" si="249"/>
        <v>0</v>
      </c>
      <c r="AD276" s="34">
        <f t="shared" si="250"/>
        <v>0</v>
      </c>
      <c r="AE276" s="34">
        <f t="shared" si="251"/>
        <v>0</v>
      </c>
      <c r="AF276" s="34">
        <f t="shared" si="252"/>
        <v>0</v>
      </c>
      <c r="AG276" s="29">
        <f t="shared" si="253"/>
        <v>619242.42368300899</v>
      </c>
      <c r="AH276" s="34">
        <f t="shared" si="254"/>
        <v>0</v>
      </c>
      <c r="AI276" s="34">
        <f t="shared" si="255"/>
        <v>0</v>
      </c>
      <c r="AJ276" s="34">
        <f t="shared" si="256"/>
        <v>0</v>
      </c>
      <c r="AK276" s="34">
        <f t="shared" si="257"/>
        <v>0</v>
      </c>
      <c r="AL276" s="34">
        <f t="shared" si="258"/>
        <v>0</v>
      </c>
      <c r="AM276" s="34">
        <f t="shared" si="259"/>
        <v>0</v>
      </c>
      <c r="AN276" s="34">
        <f t="shared" si="260"/>
        <v>0</v>
      </c>
      <c r="AO276" s="34">
        <f t="shared" si="261"/>
        <v>0</v>
      </c>
      <c r="AP276" s="34">
        <f t="shared" si="262"/>
        <v>0</v>
      </c>
      <c r="AQ276" s="34">
        <f t="shared" si="263"/>
        <v>0</v>
      </c>
      <c r="AR276" s="34">
        <f t="shared" si="264"/>
        <v>0</v>
      </c>
      <c r="AS276" s="30">
        <f t="shared" si="265"/>
        <v>1.2530001964176376</v>
      </c>
      <c r="AT276" s="29">
        <f t="shared" si="266"/>
        <v>0</v>
      </c>
      <c r="AU276" s="29">
        <f t="shared" si="267"/>
        <v>0</v>
      </c>
      <c r="AV276" s="34">
        <f t="shared" si="268"/>
        <v>0</v>
      </c>
      <c r="AW276" s="34">
        <f t="shared" si="269"/>
        <v>0</v>
      </c>
      <c r="AX276" s="29">
        <f t="shared" si="270"/>
        <v>0</v>
      </c>
      <c r="AY276" s="34">
        <f t="shared" si="271"/>
        <v>0</v>
      </c>
      <c r="AZ276" s="37">
        <f t="shared" si="272"/>
        <v>0</v>
      </c>
      <c r="BA276" s="37">
        <f t="shared" si="273"/>
        <v>0</v>
      </c>
      <c r="BB276" s="35">
        <f t="shared" si="274"/>
        <v>1.1394979653496229E-3</v>
      </c>
      <c r="BC276" s="31">
        <f t="shared" si="275"/>
        <v>0.73361787613762508</v>
      </c>
      <c r="BD276" s="34">
        <f t="shared" si="276"/>
        <v>0</v>
      </c>
    </row>
    <row r="277" spans="1:56" x14ac:dyDescent="0.2">
      <c r="A277" s="27">
        <f t="shared" si="277"/>
        <v>273</v>
      </c>
      <c r="B277" s="28">
        <f t="shared" si="224"/>
        <v>273</v>
      </c>
      <c r="C277" s="27">
        <f t="shared" si="225"/>
        <v>22</v>
      </c>
      <c r="D277" s="28">
        <f t="shared" si="226"/>
        <v>42</v>
      </c>
      <c r="E277" s="29">
        <f t="shared" si="227"/>
        <v>0</v>
      </c>
      <c r="F277" s="30">
        <f t="shared" si="228"/>
        <v>8.1743042157009509E-4</v>
      </c>
      <c r="G277" s="31">
        <f t="shared" si="229"/>
        <v>6.8144736374953219E-5</v>
      </c>
      <c r="H277" s="32">
        <f t="shared" si="230"/>
        <v>0.02</v>
      </c>
      <c r="I277" s="32">
        <f t="shared" si="231"/>
        <v>0</v>
      </c>
      <c r="J277" s="33">
        <f t="shared" si="278"/>
        <v>0</v>
      </c>
      <c r="K277" s="30">
        <f t="shared" si="232"/>
        <v>0</v>
      </c>
      <c r="L277" s="33">
        <f t="shared" si="233"/>
        <v>0</v>
      </c>
      <c r="M277" s="30">
        <f t="shared" si="234"/>
        <v>0</v>
      </c>
      <c r="N277" s="33">
        <f t="shared" si="235"/>
        <v>0</v>
      </c>
      <c r="O277" s="31">
        <f t="shared" si="236"/>
        <v>0</v>
      </c>
      <c r="P277" s="33">
        <f t="shared" si="237"/>
        <v>0</v>
      </c>
      <c r="Q277" s="34">
        <f t="shared" si="279"/>
        <v>618985.90925498283</v>
      </c>
      <c r="R277" s="29">
        <f t="shared" si="238"/>
        <v>0</v>
      </c>
      <c r="S277" s="34">
        <f t="shared" si="239"/>
        <v>618985.90925498283</v>
      </c>
      <c r="T277" s="29">
        <f t="shared" si="240"/>
        <v>515.8215910458191</v>
      </c>
      <c r="U277" s="29">
        <f t="shared" si="241"/>
        <v>0</v>
      </c>
      <c r="V277" s="35">
        <f t="shared" si="242"/>
        <v>7.4959210012448551E-5</v>
      </c>
      <c r="W277" s="34">
        <f t="shared" si="243"/>
        <v>0</v>
      </c>
      <c r="X277" s="34">
        <f t="shared" si="244"/>
        <v>618470.08766393701</v>
      </c>
      <c r="Y277" s="36">
        <f t="shared" si="245"/>
        <v>5.7096414925978944E-3</v>
      </c>
      <c r="Z277" s="34">
        <f t="shared" si="246"/>
        <v>3531.242474456672</v>
      </c>
      <c r="AA277" s="34">
        <f t="shared" si="247"/>
        <v>620235.7089011654</v>
      </c>
      <c r="AB277" s="34">
        <f t="shared" si="248"/>
        <v>0</v>
      </c>
      <c r="AC277" s="34">
        <f t="shared" si="249"/>
        <v>0</v>
      </c>
      <c r="AD277" s="34">
        <f t="shared" si="250"/>
        <v>0</v>
      </c>
      <c r="AE277" s="34">
        <f t="shared" si="251"/>
        <v>0</v>
      </c>
      <c r="AF277" s="34">
        <f t="shared" si="252"/>
        <v>0</v>
      </c>
      <c r="AG277" s="29">
        <f t="shared" si="253"/>
        <v>620235.7089011654</v>
      </c>
      <c r="AH277" s="34">
        <f t="shared" si="254"/>
        <v>0</v>
      </c>
      <c r="AI277" s="34">
        <f t="shared" si="255"/>
        <v>0</v>
      </c>
      <c r="AJ277" s="34">
        <f t="shared" si="256"/>
        <v>0</v>
      </c>
      <c r="AK277" s="34">
        <f t="shared" si="257"/>
        <v>0</v>
      </c>
      <c r="AL277" s="34">
        <f t="shared" si="258"/>
        <v>0</v>
      </c>
      <c r="AM277" s="34">
        <f t="shared" si="259"/>
        <v>0</v>
      </c>
      <c r="AN277" s="34">
        <f t="shared" si="260"/>
        <v>0</v>
      </c>
      <c r="AO277" s="34">
        <f t="shared" si="261"/>
        <v>0</v>
      </c>
      <c r="AP277" s="34">
        <f t="shared" si="262"/>
        <v>0</v>
      </c>
      <c r="AQ277" s="34">
        <f t="shared" si="263"/>
        <v>0</v>
      </c>
      <c r="AR277" s="34">
        <f t="shared" si="264"/>
        <v>0</v>
      </c>
      <c r="AS277" s="30">
        <f t="shared" si="265"/>
        <v>1.2540396078378493</v>
      </c>
      <c r="AT277" s="29">
        <f t="shared" si="266"/>
        <v>0</v>
      </c>
      <c r="AU277" s="29">
        <f t="shared" si="267"/>
        <v>0</v>
      </c>
      <c r="AV277" s="34">
        <f t="shared" si="268"/>
        <v>0</v>
      </c>
      <c r="AW277" s="34">
        <f t="shared" si="269"/>
        <v>0</v>
      </c>
      <c r="AX277" s="29">
        <f t="shared" si="270"/>
        <v>0</v>
      </c>
      <c r="AY277" s="34">
        <f t="shared" si="271"/>
        <v>0</v>
      </c>
      <c r="AZ277" s="37">
        <f t="shared" si="272"/>
        <v>0</v>
      </c>
      <c r="BA277" s="37">
        <f t="shared" si="273"/>
        <v>0</v>
      </c>
      <c r="BB277" s="35">
        <f t="shared" si="274"/>
        <v>1.1394979653496229E-3</v>
      </c>
      <c r="BC277" s="31">
        <f t="shared" si="275"/>
        <v>0.73278287154645472</v>
      </c>
      <c r="BD277" s="34">
        <f t="shared" si="276"/>
        <v>0</v>
      </c>
    </row>
    <row r="278" spans="1:56" x14ac:dyDescent="0.2">
      <c r="A278" s="27">
        <f t="shared" si="277"/>
        <v>274</v>
      </c>
      <c r="B278" s="28">
        <f t="shared" si="224"/>
        <v>274</v>
      </c>
      <c r="C278" s="27">
        <f t="shared" si="225"/>
        <v>22</v>
      </c>
      <c r="D278" s="28">
        <f t="shared" si="226"/>
        <v>42</v>
      </c>
      <c r="E278" s="29">
        <f t="shared" si="227"/>
        <v>0</v>
      </c>
      <c r="F278" s="30">
        <f t="shared" si="228"/>
        <v>8.1743042157009509E-4</v>
      </c>
      <c r="G278" s="31">
        <f t="shared" si="229"/>
        <v>6.8144736374953219E-5</v>
      </c>
      <c r="H278" s="32">
        <f t="shared" si="230"/>
        <v>0.02</v>
      </c>
      <c r="I278" s="32">
        <f t="shared" si="231"/>
        <v>0</v>
      </c>
      <c r="J278" s="33">
        <f t="shared" si="278"/>
        <v>0</v>
      </c>
      <c r="K278" s="30">
        <f t="shared" si="232"/>
        <v>0</v>
      </c>
      <c r="L278" s="33">
        <f t="shared" si="233"/>
        <v>0</v>
      </c>
      <c r="M278" s="30">
        <f t="shared" si="234"/>
        <v>0</v>
      </c>
      <c r="N278" s="33">
        <f t="shared" si="235"/>
        <v>0</v>
      </c>
      <c r="O278" s="31">
        <f t="shared" si="236"/>
        <v>0</v>
      </c>
      <c r="P278" s="33">
        <f t="shared" si="237"/>
        <v>0</v>
      </c>
      <c r="Q278" s="34">
        <f t="shared" si="279"/>
        <v>622001.33013839368</v>
      </c>
      <c r="R278" s="29">
        <f t="shared" si="238"/>
        <v>0</v>
      </c>
      <c r="S278" s="34">
        <f t="shared" si="239"/>
        <v>622001.33013839368</v>
      </c>
      <c r="T278" s="29">
        <f t="shared" si="240"/>
        <v>518.33444178199477</v>
      </c>
      <c r="U278" s="29">
        <f t="shared" si="241"/>
        <v>0</v>
      </c>
      <c r="V278" s="35">
        <f t="shared" si="242"/>
        <v>7.4959210012448551E-5</v>
      </c>
      <c r="W278" s="34">
        <f t="shared" si="243"/>
        <v>0</v>
      </c>
      <c r="X278" s="34">
        <f t="shared" si="244"/>
        <v>621482.9956966117</v>
      </c>
      <c r="Y278" s="36">
        <f t="shared" si="245"/>
        <v>-4.0652135111882703E-3</v>
      </c>
      <c r="Z278" s="34">
        <f t="shared" si="246"/>
        <v>-2526.4610710796273</v>
      </c>
      <c r="AA278" s="34">
        <f t="shared" si="247"/>
        <v>620219.7651610719</v>
      </c>
      <c r="AB278" s="34">
        <f t="shared" si="248"/>
        <v>0</v>
      </c>
      <c r="AC278" s="34">
        <f t="shared" si="249"/>
        <v>0</v>
      </c>
      <c r="AD278" s="34">
        <f t="shared" si="250"/>
        <v>0</v>
      </c>
      <c r="AE278" s="34">
        <f t="shared" si="251"/>
        <v>0</v>
      </c>
      <c r="AF278" s="34">
        <f t="shared" si="252"/>
        <v>0</v>
      </c>
      <c r="AG278" s="29">
        <f t="shared" si="253"/>
        <v>620219.7651610719</v>
      </c>
      <c r="AH278" s="34">
        <f t="shared" si="254"/>
        <v>0</v>
      </c>
      <c r="AI278" s="34">
        <f t="shared" si="255"/>
        <v>0</v>
      </c>
      <c r="AJ278" s="34">
        <f t="shared" si="256"/>
        <v>0</v>
      </c>
      <c r="AK278" s="34">
        <f t="shared" si="257"/>
        <v>0</v>
      </c>
      <c r="AL278" s="34">
        <f t="shared" si="258"/>
        <v>0</v>
      </c>
      <c r="AM278" s="34">
        <f t="shared" si="259"/>
        <v>0</v>
      </c>
      <c r="AN278" s="34">
        <f t="shared" si="260"/>
        <v>0</v>
      </c>
      <c r="AO278" s="34">
        <f t="shared" si="261"/>
        <v>0</v>
      </c>
      <c r="AP278" s="34">
        <f t="shared" si="262"/>
        <v>0</v>
      </c>
      <c r="AQ278" s="34">
        <f t="shared" si="263"/>
        <v>0</v>
      </c>
      <c r="AR278" s="34">
        <f t="shared" si="264"/>
        <v>0</v>
      </c>
      <c r="AS278" s="30">
        <f t="shared" si="265"/>
        <v>1.2550798814894506</v>
      </c>
      <c r="AT278" s="29">
        <f t="shared" si="266"/>
        <v>0</v>
      </c>
      <c r="AU278" s="29">
        <f t="shared" si="267"/>
        <v>0</v>
      </c>
      <c r="AV278" s="34">
        <f t="shared" si="268"/>
        <v>0</v>
      </c>
      <c r="AW278" s="34">
        <f t="shared" si="269"/>
        <v>0</v>
      </c>
      <c r="AX278" s="29">
        <f t="shared" si="270"/>
        <v>0</v>
      </c>
      <c r="AY278" s="34">
        <f t="shared" si="271"/>
        <v>0</v>
      </c>
      <c r="AZ278" s="37">
        <f t="shared" si="272"/>
        <v>0</v>
      </c>
      <c r="BA278" s="37">
        <f t="shared" si="273"/>
        <v>0</v>
      </c>
      <c r="BB278" s="35">
        <f t="shared" si="274"/>
        <v>1.1394979653496229E-3</v>
      </c>
      <c r="BC278" s="31">
        <f t="shared" si="275"/>
        <v>0.73194881735833495</v>
      </c>
      <c r="BD278" s="34">
        <f t="shared" si="276"/>
        <v>0</v>
      </c>
    </row>
    <row r="279" spans="1:56" x14ac:dyDescent="0.2">
      <c r="A279" s="27">
        <f t="shared" si="277"/>
        <v>275</v>
      </c>
      <c r="B279" s="28">
        <f t="shared" si="224"/>
        <v>275</v>
      </c>
      <c r="C279" s="27">
        <f t="shared" si="225"/>
        <v>22</v>
      </c>
      <c r="D279" s="28">
        <f t="shared" si="226"/>
        <v>42</v>
      </c>
      <c r="E279" s="29">
        <f t="shared" si="227"/>
        <v>0</v>
      </c>
      <c r="F279" s="30">
        <f t="shared" si="228"/>
        <v>8.1743042157009509E-4</v>
      </c>
      <c r="G279" s="31">
        <f t="shared" si="229"/>
        <v>6.8144736374953219E-5</v>
      </c>
      <c r="H279" s="32">
        <f t="shared" si="230"/>
        <v>0.02</v>
      </c>
      <c r="I279" s="32">
        <f t="shared" si="231"/>
        <v>0</v>
      </c>
      <c r="J279" s="33">
        <f t="shared" si="278"/>
        <v>0</v>
      </c>
      <c r="K279" s="30">
        <f t="shared" si="232"/>
        <v>0</v>
      </c>
      <c r="L279" s="33">
        <f t="shared" si="233"/>
        <v>0</v>
      </c>
      <c r="M279" s="30">
        <f t="shared" si="234"/>
        <v>0</v>
      </c>
      <c r="N279" s="33">
        <f t="shared" si="235"/>
        <v>0</v>
      </c>
      <c r="O279" s="31">
        <f t="shared" si="236"/>
        <v>0</v>
      </c>
      <c r="P279" s="33">
        <f t="shared" si="237"/>
        <v>0</v>
      </c>
      <c r="Q279" s="34">
        <f t="shared" si="279"/>
        <v>618956.53462553211</v>
      </c>
      <c r="R279" s="29">
        <f t="shared" si="238"/>
        <v>0</v>
      </c>
      <c r="S279" s="34">
        <f t="shared" si="239"/>
        <v>618956.53462553211</v>
      </c>
      <c r="T279" s="29">
        <f t="shared" si="240"/>
        <v>515.79711218794341</v>
      </c>
      <c r="U279" s="29">
        <f t="shared" si="241"/>
        <v>0</v>
      </c>
      <c r="V279" s="35">
        <f t="shared" si="242"/>
        <v>7.4959210012448551E-5</v>
      </c>
      <c r="W279" s="34">
        <f t="shared" si="243"/>
        <v>0</v>
      </c>
      <c r="X279" s="34">
        <f t="shared" si="244"/>
        <v>618440.73751334415</v>
      </c>
      <c r="Y279" s="36">
        <f t="shared" si="245"/>
        <v>-1.3232954922676066E-2</v>
      </c>
      <c r="Z279" s="34">
        <f t="shared" si="246"/>
        <v>-8183.7984018606239</v>
      </c>
      <c r="AA279" s="34">
        <f t="shared" si="247"/>
        <v>614348.83831241389</v>
      </c>
      <c r="AB279" s="34">
        <f t="shared" si="248"/>
        <v>0</v>
      </c>
      <c r="AC279" s="34">
        <f t="shared" si="249"/>
        <v>0</v>
      </c>
      <c r="AD279" s="34">
        <f t="shared" si="250"/>
        <v>0</v>
      </c>
      <c r="AE279" s="34">
        <f t="shared" si="251"/>
        <v>0</v>
      </c>
      <c r="AF279" s="34">
        <f t="shared" si="252"/>
        <v>0</v>
      </c>
      <c r="AG279" s="29">
        <f t="shared" si="253"/>
        <v>614348.83831241389</v>
      </c>
      <c r="AH279" s="34">
        <f t="shared" si="254"/>
        <v>0</v>
      </c>
      <c r="AI279" s="34">
        <f t="shared" si="255"/>
        <v>0</v>
      </c>
      <c r="AJ279" s="34">
        <f t="shared" si="256"/>
        <v>0</v>
      </c>
      <c r="AK279" s="34">
        <f t="shared" si="257"/>
        <v>0</v>
      </c>
      <c r="AL279" s="34">
        <f t="shared" si="258"/>
        <v>0</v>
      </c>
      <c r="AM279" s="34">
        <f t="shared" si="259"/>
        <v>0</v>
      </c>
      <c r="AN279" s="34">
        <f t="shared" si="260"/>
        <v>0</v>
      </c>
      <c r="AO279" s="34">
        <f t="shared" si="261"/>
        <v>0</v>
      </c>
      <c r="AP279" s="34">
        <f t="shared" si="262"/>
        <v>0</v>
      </c>
      <c r="AQ279" s="34">
        <f t="shared" si="263"/>
        <v>0</v>
      </c>
      <c r="AR279" s="34">
        <f t="shared" si="264"/>
        <v>0</v>
      </c>
      <c r="AS279" s="30">
        <f t="shared" si="265"/>
        <v>1.2561210180876954</v>
      </c>
      <c r="AT279" s="29">
        <f t="shared" si="266"/>
        <v>0</v>
      </c>
      <c r="AU279" s="29">
        <f t="shared" si="267"/>
        <v>0</v>
      </c>
      <c r="AV279" s="34">
        <f t="shared" si="268"/>
        <v>0</v>
      </c>
      <c r="AW279" s="34">
        <f t="shared" si="269"/>
        <v>0</v>
      </c>
      <c r="AX279" s="29">
        <f t="shared" si="270"/>
        <v>0</v>
      </c>
      <c r="AY279" s="34">
        <f t="shared" si="271"/>
        <v>0</v>
      </c>
      <c r="AZ279" s="37">
        <f t="shared" si="272"/>
        <v>0</v>
      </c>
      <c r="BA279" s="37">
        <f t="shared" si="273"/>
        <v>0</v>
      </c>
      <c r="BB279" s="35">
        <f t="shared" si="274"/>
        <v>1.1394979653496229E-3</v>
      </c>
      <c r="BC279" s="31">
        <f t="shared" si="275"/>
        <v>0.73111571249151575</v>
      </c>
      <c r="BD279" s="34">
        <f t="shared" si="276"/>
        <v>0</v>
      </c>
    </row>
    <row r="280" spans="1:56" x14ac:dyDescent="0.2">
      <c r="A280" s="27">
        <f t="shared" si="277"/>
        <v>276</v>
      </c>
      <c r="B280" s="28">
        <f t="shared" si="224"/>
        <v>276</v>
      </c>
      <c r="C280" s="27">
        <f t="shared" si="225"/>
        <v>23</v>
      </c>
      <c r="D280" s="28">
        <f t="shared" si="226"/>
        <v>43</v>
      </c>
      <c r="E280" s="29">
        <f t="shared" si="227"/>
        <v>0</v>
      </c>
      <c r="F280" s="30">
        <f t="shared" si="228"/>
        <v>8.5889444170817581E-4</v>
      </c>
      <c r="G280" s="31">
        <f t="shared" si="229"/>
        <v>7.1602728308750585E-5</v>
      </c>
      <c r="H280" s="32">
        <f t="shared" si="230"/>
        <v>0.02</v>
      </c>
      <c r="I280" s="32">
        <f t="shared" si="231"/>
        <v>0</v>
      </c>
      <c r="J280" s="33">
        <f t="shared" si="278"/>
        <v>0</v>
      </c>
      <c r="K280" s="30">
        <f t="shared" si="232"/>
        <v>0</v>
      </c>
      <c r="L280" s="33">
        <f t="shared" si="233"/>
        <v>0</v>
      </c>
      <c r="M280" s="30">
        <f t="shared" si="234"/>
        <v>0</v>
      </c>
      <c r="N280" s="33">
        <f t="shared" si="235"/>
        <v>0</v>
      </c>
      <c r="O280" s="31">
        <f t="shared" si="236"/>
        <v>0</v>
      </c>
      <c r="P280" s="33">
        <f t="shared" si="237"/>
        <v>0</v>
      </c>
      <c r="Q280" s="34">
        <f t="shared" si="279"/>
        <v>610256.93911148352</v>
      </c>
      <c r="R280" s="29">
        <f t="shared" si="238"/>
        <v>0</v>
      </c>
      <c r="S280" s="34">
        <f t="shared" si="239"/>
        <v>610256.93911148352</v>
      </c>
      <c r="T280" s="29">
        <f t="shared" si="240"/>
        <v>508.54744925956965</v>
      </c>
      <c r="U280" s="29">
        <f t="shared" si="241"/>
        <v>0</v>
      </c>
      <c r="V280" s="35">
        <f t="shared" si="242"/>
        <v>7.8763001139625644E-5</v>
      </c>
      <c r="W280" s="34">
        <f t="shared" si="243"/>
        <v>0</v>
      </c>
      <c r="X280" s="34">
        <f t="shared" si="244"/>
        <v>609748.39166222396</v>
      </c>
      <c r="Y280" s="36">
        <f t="shared" si="245"/>
        <v>4.5429708348885267E-3</v>
      </c>
      <c r="Z280" s="34">
        <f t="shared" si="246"/>
        <v>2770.06915994167</v>
      </c>
      <c r="AA280" s="34">
        <f t="shared" si="247"/>
        <v>611133.42624219484</v>
      </c>
      <c r="AB280" s="34">
        <f t="shared" si="248"/>
        <v>0</v>
      </c>
      <c r="AC280" s="34">
        <f t="shared" si="249"/>
        <v>0</v>
      </c>
      <c r="AD280" s="34">
        <f t="shared" si="250"/>
        <v>0</v>
      </c>
      <c r="AE280" s="34">
        <f t="shared" si="251"/>
        <v>0</v>
      </c>
      <c r="AF280" s="34">
        <f t="shared" si="252"/>
        <v>0</v>
      </c>
      <c r="AG280" s="29">
        <f t="shared" si="253"/>
        <v>611133.42624219484</v>
      </c>
      <c r="AH280" s="34">
        <f t="shared" si="254"/>
        <v>0</v>
      </c>
      <c r="AI280" s="34">
        <f t="shared" si="255"/>
        <v>0</v>
      </c>
      <c r="AJ280" s="34">
        <f t="shared" si="256"/>
        <v>0</v>
      </c>
      <c r="AK280" s="34">
        <f t="shared" si="257"/>
        <v>0</v>
      </c>
      <c r="AL280" s="34">
        <f t="shared" si="258"/>
        <v>0</v>
      </c>
      <c r="AM280" s="34">
        <f t="shared" si="259"/>
        <v>0</v>
      </c>
      <c r="AN280" s="34">
        <f t="shared" si="260"/>
        <v>0</v>
      </c>
      <c r="AO280" s="34">
        <f t="shared" si="261"/>
        <v>0</v>
      </c>
      <c r="AP280" s="34">
        <f t="shared" si="262"/>
        <v>0</v>
      </c>
      <c r="AQ280" s="34">
        <f t="shared" si="263"/>
        <v>0</v>
      </c>
      <c r="AR280" s="34">
        <f t="shared" si="264"/>
        <v>0</v>
      </c>
      <c r="AS280" s="30">
        <f t="shared" si="265"/>
        <v>1.2571630183484304</v>
      </c>
      <c r="AT280" s="29">
        <f t="shared" si="266"/>
        <v>0</v>
      </c>
      <c r="AU280" s="29">
        <f t="shared" si="267"/>
        <v>0</v>
      </c>
      <c r="AV280" s="34">
        <f t="shared" si="268"/>
        <v>0</v>
      </c>
      <c r="AW280" s="34">
        <f t="shared" si="269"/>
        <v>0</v>
      </c>
      <c r="AX280" s="29">
        <f t="shared" si="270"/>
        <v>0</v>
      </c>
      <c r="AY280" s="34">
        <f t="shared" si="271"/>
        <v>0</v>
      </c>
      <c r="AZ280" s="37">
        <f t="shared" si="272"/>
        <v>0</v>
      </c>
      <c r="BA280" s="37">
        <f t="shared" si="273"/>
        <v>0</v>
      </c>
      <c r="BB280" s="35">
        <f t="shared" si="274"/>
        <v>1.1370290548653461E-3</v>
      </c>
      <c r="BC280" s="31">
        <f t="shared" si="275"/>
        <v>0.73078078858117945</v>
      </c>
      <c r="BD280" s="34">
        <f t="shared" si="276"/>
        <v>0</v>
      </c>
    </row>
    <row r="281" spans="1:56" x14ac:dyDescent="0.2">
      <c r="A281" s="27">
        <f t="shared" si="277"/>
        <v>277</v>
      </c>
      <c r="B281" s="28">
        <f t="shared" si="224"/>
        <v>277</v>
      </c>
      <c r="C281" s="27">
        <f t="shared" si="225"/>
        <v>23</v>
      </c>
      <c r="D281" s="28">
        <f t="shared" si="226"/>
        <v>43</v>
      </c>
      <c r="E281" s="29">
        <f t="shared" si="227"/>
        <v>0</v>
      </c>
      <c r="F281" s="30">
        <f t="shared" si="228"/>
        <v>8.5889444170817581E-4</v>
      </c>
      <c r="G281" s="31">
        <f t="shared" si="229"/>
        <v>7.1602728308750585E-5</v>
      </c>
      <c r="H281" s="32">
        <f t="shared" si="230"/>
        <v>0.02</v>
      </c>
      <c r="I281" s="32">
        <f t="shared" si="231"/>
        <v>0</v>
      </c>
      <c r="J281" s="33">
        <f t="shared" si="278"/>
        <v>0</v>
      </c>
      <c r="K281" s="30">
        <f t="shared" si="232"/>
        <v>0</v>
      </c>
      <c r="L281" s="33">
        <f t="shared" si="233"/>
        <v>0</v>
      </c>
      <c r="M281" s="30">
        <f t="shared" si="234"/>
        <v>0</v>
      </c>
      <c r="N281" s="33">
        <f t="shared" si="235"/>
        <v>0</v>
      </c>
      <c r="O281" s="31">
        <f t="shared" si="236"/>
        <v>0</v>
      </c>
      <c r="P281" s="33">
        <f t="shared" si="237"/>
        <v>0</v>
      </c>
      <c r="Q281" s="34">
        <f t="shared" si="279"/>
        <v>612518.46082216559</v>
      </c>
      <c r="R281" s="29">
        <f t="shared" si="238"/>
        <v>0</v>
      </c>
      <c r="S281" s="34">
        <f t="shared" si="239"/>
        <v>612518.46082216559</v>
      </c>
      <c r="T281" s="29">
        <f t="shared" si="240"/>
        <v>510.43205068513805</v>
      </c>
      <c r="U281" s="29">
        <f t="shared" si="241"/>
        <v>0</v>
      </c>
      <c r="V281" s="35">
        <f t="shared" si="242"/>
        <v>7.8763001139625644E-5</v>
      </c>
      <c r="W281" s="34">
        <f t="shared" si="243"/>
        <v>0</v>
      </c>
      <c r="X281" s="34">
        <f t="shared" si="244"/>
        <v>612008.02877148043</v>
      </c>
      <c r="Y281" s="36">
        <f t="shared" si="245"/>
        <v>-7.2747453856760735E-3</v>
      </c>
      <c r="Z281" s="34">
        <f t="shared" si="246"/>
        <v>-4452.2025833020371</v>
      </c>
      <c r="AA281" s="34">
        <f t="shared" si="247"/>
        <v>609781.92747982941</v>
      </c>
      <c r="AB281" s="34">
        <f t="shared" si="248"/>
        <v>0</v>
      </c>
      <c r="AC281" s="34">
        <f t="shared" si="249"/>
        <v>0</v>
      </c>
      <c r="AD281" s="34">
        <f t="shared" si="250"/>
        <v>0</v>
      </c>
      <c r="AE281" s="34">
        <f t="shared" si="251"/>
        <v>0</v>
      </c>
      <c r="AF281" s="34">
        <f t="shared" si="252"/>
        <v>0</v>
      </c>
      <c r="AG281" s="29">
        <f t="shared" si="253"/>
        <v>609781.92747982941</v>
      </c>
      <c r="AH281" s="34">
        <f t="shared" si="254"/>
        <v>0</v>
      </c>
      <c r="AI281" s="34">
        <f t="shared" si="255"/>
        <v>0</v>
      </c>
      <c r="AJ281" s="34">
        <f t="shared" si="256"/>
        <v>0</v>
      </c>
      <c r="AK281" s="34">
        <f t="shared" si="257"/>
        <v>0</v>
      </c>
      <c r="AL281" s="34">
        <f t="shared" si="258"/>
        <v>0</v>
      </c>
      <c r="AM281" s="34">
        <f t="shared" si="259"/>
        <v>0</v>
      </c>
      <c r="AN281" s="34">
        <f t="shared" si="260"/>
        <v>0</v>
      </c>
      <c r="AO281" s="34">
        <f t="shared" si="261"/>
        <v>0</v>
      </c>
      <c r="AP281" s="34">
        <f t="shared" si="262"/>
        <v>0</v>
      </c>
      <c r="AQ281" s="34">
        <f t="shared" si="263"/>
        <v>0</v>
      </c>
      <c r="AR281" s="34">
        <f t="shared" si="264"/>
        <v>0</v>
      </c>
      <c r="AS281" s="30">
        <f t="shared" si="265"/>
        <v>1.2582058829880971</v>
      </c>
      <c r="AT281" s="29">
        <f t="shared" si="266"/>
        <v>0</v>
      </c>
      <c r="AU281" s="29">
        <f t="shared" si="267"/>
        <v>0</v>
      </c>
      <c r="AV281" s="34">
        <f t="shared" si="268"/>
        <v>0</v>
      </c>
      <c r="AW281" s="34">
        <f t="shared" si="269"/>
        <v>0</v>
      </c>
      <c r="AX281" s="29">
        <f t="shared" si="270"/>
        <v>0</v>
      </c>
      <c r="AY281" s="34">
        <f t="shared" si="271"/>
        <v>0</v>
      </c>
      <c r="AZ281" s="37">
        <f t="shared" si="272"/>
        <v>0</v>
      </c>
      <c r="BA281" s="37">
        <f t="shared" si="273"/>
        <v>0</v>
      </c>
      <c r="BB281" s="35">
        <f t="shared" si="274"/>
        <v>1.1370290548653461E-3</v>
      </c>
      <c r="BC281" s="31">
        <f t="shared" si="275"/>
        <v>0.72995081329783718</v>
      </c>
      <c r="BD281" s="34">
        <f t="shared" si="276"/>
        <v>0</v>
      </c>
    </row>
    <row r="282" spans="1:56" x14ac:dyDescent="0.2">
      <c r="A282" s="27">
        <f t="shared" si="277"/>
        <v>278</v>
      </c>
      <c r="B282" s="28">
        <f t="shared" si="224"/>
        <v>278</v>
      </c>
      <c r="C282" s="27">
        <f t="shared" si="225"/>
        <v>23</v>
      </c>
      <c r="D282" s="28">
        <f t="shared" si="226"/>
        <v>43</v>
      </c>
      <c r="E282" s="29">
        <f t="shared" si="227"/>
        <v>0</v>
      </c>
      <c r="F282" s="30">
        <f t="shared" si="228"/>
        <v>8.5889444170817581E-4</v>
      </c>
      <c r="G282" s="31">
        <f t="shared" si="229"/>
        <v>7.1602728308750585E-5</v>
      </c>
      <c r="H282" s="32">
        <f t="shared" si="230"/>
        <v>0.02</v>
      </c>
      <c r="I282" s="32">
        <f t="shared" si="231"/>
        <v>0</v>
      </c>
      <c r="J282" s="33">
        <f t="shared" si="278"/>
        <v>0</v>
      </c>
      <c r="K282" s="30">
        <f t="shared" si="232"/>
        <v>0</v>
      </c>
      <c r="L282" s="33">
        <f t="shared" si="233"/>
        <v>0</v>
      </c>
      <c r="M282" s="30">
        <f t="shared" si="234"/>
        <v>0</v>
      </c>
      <c r="N282" s="33">
        <f t="shared" si="235"/>
        <v>0</v>
      </c>
      <c r="O282" s="31">
        <f t="shared" si="236"/>
        <v>0</v>
      </c>
      <c r="P282" s="33">
        <f t="shared" si="237"/>
        <v>0</v>
      </c>
      <c r="Q282" s="34">
        <f t="shared" si="279"/>
        <v>607555.82618817838</v>
      </c>
      <c r="R282" s="29">
        <f t="shared" si="238"/>
        <v>0</v>
      </c>
      <c r="S282" s="34">
        <f t="shared" si="239"/>
        <v>607555.82618817838</v>
      </c>
      <c r="T282" s="29">
        <f t="shared" si="240"/>
        <v>506.29652182348201</v>
      </c>
      <c r="U282" s="29">
        <f t="shared" si="241"/>
        <v>0</v>
      </c>
      <c r="V282" s="35">
        <f t="shared" si="242"/>
        <v>7.8763001139625644E-5</v>
      </c>
      <c r="W282" s="34">
        <f t="shared" si="243"/>
        <v>0</v>
      </c>
      <c r="X282" s="34">
        <f t="shared" si="244"/>
        <v>607049.52966635488</v>
      </c>
      <c r="Y282" s="36">
        <f t="shared" si="245"/>
        <v>-5.5284720762318607E-3</v>
      </c>
      <c r="Z282" s="34">
        <f t="shared" si="246"/>
        <v>-3356.0563736501276</v>
      </c>
      <c r="AA282" s="34">
        <f t="shared" si="247"/>
        <v>605371.50147952978</v>
      </c>
      <c r="AB282" s="34">
        <f t="shared" si="248"/>
        <v>0</v>
      </c>
      <c r="AC282" s="34">
        <f t="shared" si="249"/>
        <v>0</v>
      </c>
      <c r="AD282" s="34">
        <f t="shared" si="250"/>
        <v>0</v>
      </c>
      <c r="AE282" s="34">
        <f t="shared" si="251"/>
        <v>0</v>
      </c>
      <c r="AF282" s="34">
        <f t="shared" si="252"/>
        <v>0</v>
      </c>
      <c r="AG282" s="29">
        <f t="shared" si="253"/>
        <v>605371.50147952978</v>
      </c>
      <c r="AH282" s="34">
        <f t="shared" si="254"/>
        <v>0</v>
      </c>
      <c r="AI282" s="34">
        <f t="shared" si="255"/>
        <v>0</v>
      </c>
      <c r="AJ282" s="34">
        <f t="shared" si="256"/>
        <v>0</v>
      </c>
      <c r="AK282" s="34">
        <f t="shared" si="257"/>
        <v>0</v>
      </c>
      <c r="AL282" s="34">
        <f t="shared" si="258"/>
        <v>0</v>
      </c>
      <c r="AM282" s="34">
        <f t="shared" si="259"/>
        <v>0</v>
      </c>
      <c r="AN282" s="34">
        <f t="shared" si="260"/>
        <v>0</v>
      </c>
      <c r="AO282" s="34">
        <f t="shared" si="261"/>
        <v>0</v>
      </c>
      <c r="AP282" s="34">
        <f t="shared" si="262"/>
        <v>0</v>
      </c>
      <c r="AQ282" s="34">
        <f t="shared" si="263"/>
        <v>0</v>
      </c>
      <c r="AR282" s="34">
        <f t="shared" si="264"/>
        <v>0</v>
      </c>
      <c r="AS282" s="30">
        <f t="shared" si="265"/>
        <v>1.2592496127237303</v>
      </c>
      <c r="AT282" s="29">
        <f t="shared" si="266"/>
        <v>0</v>
      </c>
      <c r="AU282" s="29">
        <f t="shared" si="267"/>
        <v>0</v>
      </c>
      <c r="AV282" s="34">
        <f t="shared" si="268"/>
        <v>0</v>
      </c>
      <c r="AW282" s="34">
        <f t="shared" si="269"/>
        <v>0</v>
      </c>
      <c r="AX282" s="29">
        <f t="shared" si="270"/>
        <v>0</v>
      </c>
      <c r="AY282" s="34">
        <f t="shared" si="271"/>
        <v>0</v>
      </c>
      <c r="AZ282" s="37">
        <f t="shared" si="272"/>
        <v>0</v>
      </c>
      <c r="BA282" s="37">
        <f t="shared" si="273"/>
        <v>0</v>
      </c>
      <c r="BB282" s="35">
        <f t="shared" si="274"/>
        <v>1.1370290548653461E-3</v>
      </c>
      <c r="BC282" s="31">
        <f t="shared" si="275"/>
        <v>0.72912178064870448</v>
      </c>
      <c r="BD282" s="34">
        <f t="shared" si="276"/>
        <v>0</v>
      </c>
    </row>
    <row r="283" spans="1:56" x14ac:dyDescent="0.2">
      <c r="A283" s="27">
        <f t="shared" si="277"/>
        <v>279</v>
      </c>
      <c r="B283" s="28">
        <f t="shared" si="224"/>
        <v>279</v>
      </c>
      <c r="C283" s="27">
        <f t="shared" si="225"/>
        <v>23</v>
      </c>
      <c r="D283" s="28">
        <f t="shared" si="226"/>
        <v>43</v>
      </c>
      <c r="E283" s="29">
        <f t="shared" si="227"/>
        <v>0</v>
      </c>
      <c r="F283" s="30">
        <f t="shared" si="228"/>
        <v>8.5889444170817581E-4</v>
      </c>
      <c r="G283" s="31">
        <f t="shared" si="229"/>
        <v>7.1602728308750585E-5</v>
      </c>
      <c r="H283" s="32">
        <f t="shared" si="230"/>
        <v>0.02</v>
      </c>
      <c r="I283" s="32">
        <f t="shared" si="231"/>
        <v>0</v>
      </c>
      <c r="J283" s="33">
        <f t="shared" si="278"/>
        <v>0</v>
      </c>
      <c r="K283" s="30">
        <f t="shared" si="232"/>
        <v>0</v>
      </c>
      <c r="L283" s="33">
        <f t="shared" si="233"/>
        <v>0</v>
      </c>
      <c r="M283" s="30">
        <f t="shared" si="234"/>
        <v>0</v>
      </c>
      <c r="N283" s="33">
        <f t="shared" si="235"/>
        <v>0</v>
      </c>
      <c r="O283" s="31">
        <f t="shared" si="236"/>
        <v>0</v>
      </c>
      <c r="P283" s="33">
        <f t="shared" si="237"/>
        <v>0</v>
      </c>
      <c r="Q283" s="34">
        <f t="shared" si="279"/>
        <v>603693.47329270479</v>
      </c>
      <c r="R283" s="29">
        <f t="shared" si="238"/>
        <v>0</v>
      </c>
      <c r="S283" s="34">
        <f t="shared" si="239"/>
        <v>603693.47329270479</v>
      </c>
      <c r="T283" s="29">
        <f t="shared" si="240"/>
        <v>503.07789441058736</v>
      </c>
      <c r="U283" s="29">
        <f t="shared" si="241"/>
        <v>0</v>
      </c>
      <c r="V283" s="35">
        <f t="shared" si="242"/>
        <v>7.8763001139625644E-5</v>
      </c>
      <c r="W283" s="34">
        <f t="shared" si="243"/>
        <v>0</v>
      </c>
      <c r="X283" s="34">
        <f t="shared" si="244"/>
        <v>603190.3953982942</v>
      </c>
      <c r="Y283" s="36">
        <f t="shared" si="245"/>
        <v>1.3691649958012198E-2</v>
      </c>
      <c r="Z283" s="34">
        <f t="shared" si="246"/>
        <v>8258.6717518284149</v>
      </c>
      <c r="AA283" s="34">
        <f t="shared" si="247"/>
        <v>607319.7312742084</v>
      </c>
      <c r="AB283" s="34">
        <f t="shared" si="248"/>
        <v>0</v>
      </c>
      <c r="AC283" s="34">
        <f t="shared" si="249"/>
        <v>0</v>
      </c>
      <c r="AD283" s="34">
        <f t="shared" si="250"/>
        <v>0</v>
      </c>
      <c r="AE283" s="34">
        <f t="shared" si="251"/>
        <v>0</v>
      </c>
      <c r="AF283" s="34">
        <f t="shared" si="252"/>
        <v>0</v>
      </c>
      <c r="AG283" s="29">
        <f t="shared" si="253"/>
        <v>607319.7312742084</v>
      </c>
      <c r="AH283" s="34">
        <f t="shared" si="254"/>
        <v>0</v>
      </c>
      <c r="AI283" s="34">
        <f t="shared" si="255"/>
        <v>0</v>
      </c>
      <c r="AJ283" s="34">
        <f t="shared" si="256"/>
        <v>0</v>
      </c>
      <c r="AK283" s="34">
        <f t="shared" si="257"/>
        <v>0</v>
      </c>
      <c r="AL283" s="34">
        <f t="shared" si="258"/>
        <v>0</v>
      </c>
      <c r="AM283" s="34">
        <f t="shared" si="259"/>
        <v>0</v>
      </c>
      <c r="AN283" s="34">
        <f t="shared" si="260"/>
        <v>0</v>
      </c>
      <c r="AO283" s="34">
        <f t="shared" si="261"/>
        <v>0</v>
      </c>
      <c r="AP283" s="34">
        <f t="shared" si="262"/>
        <v>0</v>
      </c>
      <c r="AQ283" s="34">
        <f t="shared" si="263"/>
        <v>0</v>
      </c>
      <c r="AR283" s="34">
        <f t="shared" si="264"/>
        <v>0</v>
      </c>
      <c r="AS283" s="30">
        <f t="shared" si="265"/>
        <v>1.2602942082729605</v>
      </c>
      <c r="AT283" s="29">
        <f t="shared" si="266"/>
        <v>0</v>
      </c>
      <c r="AU283" s="29">
        <f t="shared" si="267"/>
        <v>0</v>
      </c>
      <c r="AV283" s="34">
        <f t="shared" si="268"/>
        <v>0</v>
      </c>
      <c r="AW283" s="34">
        <f t="shared" si="269"/>
        <v>0</v>
      </c>
      <c r="AX283" s="29">
        <f t="shared" si="270"/>
        <v>0</v>
      </c>
      <c r="AY283" s="34">
        <f t="shared" si="271"/>
        <v>0</v>
      </c>
      <c r="AZ283" s="37">
        <f t="shared" si="272"/>
        <v>0</v>
      </c>
      <c r="BA283" s="37">
        <f t="shared" si="273"/>
        <v>0</v>
      </c>
      <c r="BB283" s="35">
        <f t="shared" si="274"/>
        <v>1.1370290548653461E-3</v>
      </c>
      <c r="BC283" s="31">
        <f t="shared" si="275"/>
        <v>0.72829368956319596</v>
      </c>
      <c r="BD283" s="34">
        <f t="shared" si="276"/>
        <v>0</v>
      </c>
    </row>
    <row r="284" spans="1:56" x14ac:dyDescent="0.2">
      <c r="A284" s="27">
        <f t="shared" si="277"/>
        <v>280</v>
      </c>
      <c r="B284" s="28">
        <f t="shared" si="224"/>
        <v>280</v>
      </c>
      <c r="C284" s="27">
        <f t="shared" si="225"/>
        <v>23</v>
      </c>
      <c r="D284" s="28">
        <f t="shared" si="226"/>
        <v>43</v>
      </c>
      <c r="E284" s="29">
        <f t="shared" si="227"/>
        <v>0</v>
      </c>
      <c r="F284" s="30">
        <f t="shared" si="228"/>
        <v>8.5889444170817581E-4</v>
      </c>
      <c r="G284" s="31">
        <f t="shared" si="229"/>
        <v>7.1602728308750585E-5</v>
      </c>
      <c r="H284" s="32">
        <f t="shared" si="230"/>
        <v>0.02</v>
      </c>
      <c r="I284" s="32">
        <f t="shared" si="231"/>
        <v>0</v>
      </c>
      <c r="J284" s="33">
        <f t="shared" si="278"/>
        <v>0</v>
      </c>
      <c r="K284" s="30">
        <f t="shared" si="232"/>
        <v>0</v>
      </c>
      <c r="L284" s="33">
        <f t="shared" si="233"/>
        <v>0</v>
      </c>
      <c r="M284" s="30">
        <f t="shared" si="234"/>
        <v>0</v>
      </c>
      <c r="N284" s="33">
        <f t="shared" si="235"/>
        <v>0</v>
      </c>
      <c r="O284" s="31">
        <f t="shared" si="236"/>
        <v>0</v>
      </c>
      <c r="P284" s="33">
        <f t="shared" si="237"/>
        <v>0</v>
      </c>
      <c r="Q284" s="34">
        <f t="shared" si="279"/>
        <v>611449.0671501226</v>
      </c>
      <c r="R284" s="29">
        <f t="shared" si="238"/>
        <v>0</v>
      </c>
      <c r="S284" s="34">
        <f t="shared" si="239"/>
        <v>611449.0671501226</v>
      </c>
      <c r="T284" s="29">
        <f t="shared" si="240"/>
        <v>509.54088929176885</v>
      </c>
      <c r="U284" s="29">
        <f t="shared" si="241"/>
        <v>0</v>
      </c>
      <c r="V284" s="35">
        <f t="shared" si="242"/>
        <v>7.8763001139625644E-5</v>
      </c>
      <c r="W284" s="34">
        <f t="shared" si="243"/>
        <v>0</v>
      </c>
      <c r="X284" s="34">
        <f t="shared" si="244"/>
        <v>610939.52626083081</v>
      </c>
      <c r="Y284" s="36">
        <f t="shared" si="245"/>
        <v>1.6444343767590963E-2</v>
      </c>
      <c r="Z284" s="34">
        <f t="shared" si="246"/>
        <v>10046.499591042269</v>
      </c>
      <c r="AA284" s="34">
        <f t="shared" si="247"/>
        <v>615962.77605635196</v>
      </c>
      <c r="AB284" s="34">
        <f t="shared" si="248"/>
        <v>0</v>
      </c>
      <c r="AC284" s="34">
        <f t="shared" si="249"/>
        <v>0</v>
      </c>
      <c r="AD284" s="34">
        <f t="shared" si="250"/>
        <v>0</v>
      </c>
      <c r="AE284" s="34">
        <f t="shared" si="251"/>
        <v>0</v>
      </c>
      <c r="AF284" s="34">
        <f t="shared" si="252"/>
        <v>0</v>
      </c>
      <c r="AG284" s="29">
        <f t="shared" si="253"/>
        <v>615962.77605635196</v>
      </c>
      <c r="AH284" s="34">
        <f t="shared" si="254"/>
        <v>0</v>
      </c>
      <c r="AI284" s="34">
        <f t="shared" si="255"/>
        <v>0</v>
      </c>
      <c r="AJ284" s="34">
        <f t="shared" si="256"/>
        <v>0</v>
      </c>
      <c r="AK284" s="34">
        <f t="shared" si="257"/>
        <v>0</v>
      </c>
      <c r="AL284" s="34">
        <f t="shared" si="258"/>
        <v>0</v>
      </c>
      <c r="AM284" s="34">
        <f t="shared" si="259"/>
        <v>0</v>
      </c>
      <c r="AN284" s="34">
        <f t="shared" si="260"/>
        <v>0</v>
      </c>
      <c r="AO284" s="34">
        <f t="shared" si="261"/>
        <v>0</v>
      </c>
      <c r="AP284" s="34">
        <f t="shared" si="262"/>
        <v>0</v>
      </c>
      <c r="AQ284" s="34">
        <f t="shared" si="263"/>
        <v>0</v>
      </c>
      <c r="AR284" s="34">
        <f t="shared" si="264"/>
        <v>0</v>
      </c>
      <c r="AS284" s="30">
        <f t="shared" si="265"/>
        <v>1.2613396703540125</v>
      </c>
      <c r="AT284" s="29">
        <f t="shared" si="266"/>
        <v>0</v>
      </c>
      <c r="AU284" s="29">
        <f t="shared" si="267"/>
        <v>0</v>
      </c>
      <c r="AV284" s="34">
        <f t="shared" si="268"/>
        <v>0</v>
      </c>
      <c r="AW284" s="34">
        <f t="shared" si="269"/>
        <v>0</v>
      </c>
      <c r="AX284" s="29">
        <f t="shared" si="270"/>
        <v>0</v>
      </c>
      <c r="AY284" s="34">
        <f t="shared" si="271"/>
        <v>0</v>
      </c>
      <c r="AZ284" s="37">
        <f t="shared" si="272"/>
        <v>0</v>
      </c>
      <c r="BA284" s="37">
        <f t="shared" si="273"/>
        <v>0</v>
      </c>
      <c r="BB284" s="35">
        <f t="shared" si="274"/>
        <v>1.1370290548653461E-3</v>
      </c>
      <c r="BC284" s="31">
        <f t="shared" si="275"/>
        <v>0.72746653897194258</v>
      </c>
      <c r="BD284" s="34">
        <f t="shared" si="276"/>
        <v>0</v>
      </c>
    </row>
    <row r="285" spans="1:56" x14ac:dyDescent="0.2">
      <c r="A285" s="27">
        <f t="shared" si="277"/>
        <v>281</v>
      </c>
      <c r="B285" s="28">
        <f t="shared" si="224"/>
        <v>281</v>
      </c>
      <c r="C285" s="27">
        <f t="shared" si="225"/>
        <v>23</v>
      </c>
      <c r="D285" s="28">
        <f t="shared" si="226"/>
        <v>43</v>
      </c>
      <c r="E285" s="29">
        <f t="shared" si="227"/>
        <v>0</v>
      </c>
      <c r="F285" s="30">
        <f t="shared" si="228"/>
        <v>8.5889444170817581E-4</v>
      </c>
      <c r="G285" s="31">
        <f t="shared" si="229"/>
        <v>7.1602728308750585E-5</v>
      </c>
      <c r="H285" s="32">
        <f t="shared" si="230"/>
        <v>0.02</v>
      </c>
      <c r="I285" s="32">
        <f t="shared" si="231"/>
        <v>0</v>
      </c>
      <c r="J285" s="33">
        <f t="shared" si="278"/>
        <v>0</v>
      </c>
      <c r="K285" s="30">
        <f t="shared" si="232"/>
        <v>0</v>
      </c>
      <c r="L285" s="33">
        <f t="shared" si="233"/>
        <v>0</v>
      </c>
      <c r="M285" s="30">
        <f t="shared" si="234"/>
        <v>0</v>
      </c>
      <c r="N285" s="33">
        <f t="shared" si="235"/>
        <v>0</v>
      </c>
      <c r="O285" s="31">
        <f t="shared" si="236"/>
        <v>0</v>
      </c>
      <c r="P285" s="33">
        <f t="shared" si="237"/>
        <v>0</v>
      </c>
      <c r="Q285" s="34">
        <f t="shared" si="279"/>
        <v>620986.0258518731</v>
      </c>
      <c r="R285" s="29">
        <f t="shared" si="238"/>
        <v>0</v>
      </c>
      <c r="S285" s="34">
        <f t="shared" si="239"/>
        <v>620986.0258518731</v>
      </c>
      <c r="T285" s="29">
        <f t="shared" si="240"/>
        <v>517.48835487656095</v>
      </c>
      <c r="U285" s="29">
        <f t="shared" si="241"/>
        <v>0</v>
      </c>
      <c r="V285" s="35">
        <f t="shared" si="242"/>
        <v>7.8763001139625644E-5</v>
      </c>
      <c r="W285" s="34">
        <f t="shared" si="243"/>
        <v>0</v>
      </c>
      <c r="X285" s="34">
        <f t="shared" si="244"/>
        <v>620468.53749699658</v>
      </c>
      <c r="Y285" s="36">
        <f t="shared" si="245"/>
        <v>3.5238421384420349E-4</v>
      </c>
      <c r="Z285" s="34">
        <f t="shared" si="246"/>
        <v>218.64331780094184</v>
      </c>
      <c r="AA285" s="34">
        <f t="shared" si="247"/>
        <v>620577.85915589705</v>
      </c>
      <c r="AB285" s="34">
        <f t="shared" si="248"/>
        <v>0</v>
      </c>
      <c r="AC285" s="34">
        <f t="shared" si="249"/>
        <v>0</v>
      </c>
      <c r="AD285" s="34">
        <f t="shared" si="250"/>
        <v>0</v>
      </c>
      <c r="AE285" s="34">
        <f t="shared" si="251"/>
        <v>0</v>
      </c>
      <c r="AF285" s="34">
        <f t="shared" si="252"/>
        <v>0</v>
      </c>
      <c r="AG285" s="29">
        <f t="shared" si="253"/>
        <v>620577.85915589705</v>
      </c>
      <c r="AH285" s="34">
        <f t="shared" si="254"/>
        <v>0</v>
      </c>
      <c r="AI285" s="34">
        <f t="shared" si="255"/>
        <v>0</v>
      </c>
      <c r="AJ285" s="34">
        <f t="shared" si="256"/>
        <v>0</v>
      </c>
      <c r="AK285" s="34">
        <f t="shared" si="257"/>
        <v>0</v>
      </c>
      <c r="AL285" s="34">
        <f t="shared" si="258"/>
        <v>0</v>
      </c>
      <c r="AM285" s="34">
        <f t="shared" si="259"/>
        <v>0</v>
      </c>
      <c r="AN285" s="34">
        <f t="shared" si="260"/>
        <v>0</v>
      </c>
      <c r="AO285" s="34">
        <f t="shared" si="261"/>
        <v>0</v>
      </c>
      <c r="AP285" s="34">
        <f t="shared" si="262"/>
        <v>0</v>
      </c>
      <c r="AQ285" s="34">
        <f t="shared" si="263"/>
        <v>0</v>
      </c>
      <c r="AR285" s="34">
        <f t="shared" si="264"/>
        <v>0</v>
      </c>
      <c r="AS285" s="30">
        <f t="shared" si="265"/>
        <v>1.2623859996857083</v>
      </c>
      <c r="AT285" s="29">
        <f t="shared" si="266"/>
        <v>0</v>
      </c>
      <c r="AU285" s="29">
        <f t="shared" si="267"/>
        <v>0</v>
      </c>
      <c r="AV285" s="34">
        <f t="shared" si="268"/>
        <v>0</v>
      </c>
      <c r="AW285" s="34">
        <f t="shared" si="269"/>
        <v>0</v>
      </c>
      <c r="AX285" s="29">
        <f t="shared" si="270"/>
        <v>0</v>
      </c>
      <c r="AY285" s="34">
        <f t="shared" si="271"/>
        <v>0</v>
      </c>
      <c r="AZ285" s="37">
        <f t="shared" si="272"/>
        <v>0</v>
      </c>
      <c r="BA285" s="37">
        <f t="shared" si="273"/>
        <v>0</v>
      </c>
      <c r="BB285" s="35">
        <f t="shared" si="274"/>
        <v>1.1370290548653461E-3</v>
      </c>
      <c r="BC285" s="31">
        <f t="shared" si="275"/>
        <v>0.72664032780678922</v>
      </c>
      <c r="BD285" s="34">
        <f t="shared" si="276"/>
        <v>0</v>
      </c>
    </row>
    <row r="286" spans="1:56" x14ac:dyDescent="0.2">
      <c r="A286" s="27">
        <f t="shared" si="277"/>
        <v>282</v>
      </c>
      <c r="B286" s="28">
        <f t="shared" si="224"/>
        <v>282</v>
      </c>
      <c r="C286" s="27">
        <f t="shared" si="225"/>
        <v>23</v>
      </c>
      <c r="D286" s="28">
        <f t="shared" si="226"/>
        <v>43</v>
      </c>
      <c r="E286" s="29">
        <f t="shared" si="227"/>
        <v>0</v>
      </c>
      <c r="F286" s="30">
        <f t="shared" si="228"/>
        <v>8.5889444170817581E-4</v>
      </c>
      <c r="G286" s="31">
        <f t="shared" si="229"/>
        <v>7.1602728308750585E-5</v>
      </c>
      <c r="H286" s="32">
        <f t="shared" si="230"/>
        <v>0.02</v>
      </c>
      <c r="I286" s="32">
        <f t="shared" si="231"/>
        <v>0</v>
      </c>
      <c r="J286" s="33">
        <f t="shared" si="278"/>
        <v>0</v>
      </c>
      <c r="K286" s="30">
        <f t="shared" si="232"/>
        <v>0</v>
      </c>
      <c r="L286" s="33">
        <f t="shared" si="233"/>
        <v>0</v>
      </c>
      <c r="M286" s="30">
        <f t="shared" si="234"/>
        <v>0</v>
      </c>
      <c r="N286" s="33">
        <f t="shared" si="235"/>
        <v>0</v>
      </c>
      <c r="O286" s="31">
        <f t="shared" si="236"/>
        <v>0</v>
      </c>
      <c r="P286" s="33">
        <f t="shared" si="237"/>
        <v>0</v>
      </c>
      <c r="Q286" s="34">
        <f t="shared" si="279"/>
        <v>620687.18081479752</v>
      </c>
      <c r="R286" s="29">
        <f t="shared" si="238"/>
        <v>0</v>
      </c>
      <c r="S286" s="34">
        <f t="shared" si="239"/>
        <v>620687.18081479752</v>
      </c>
      <c r="T286" s="29">
        <f t="shared" si="240"/>
        <v>517.23931734566463</v>
      </c>
      <c r="U286" s="29">
        <f t="shared" si="241"/>
        <v>0</v>
      </c>
      <c r="V286" s="35">
        <f t="shared" si="242"/>
        <v>7.8763001139625644E-5</v>
      </c>
      <c r="W286" s="34">
        <f t="shared" si="243"/>
        <v>0</v>
      </c>
      <c r="X286" s="34">
        <f t="shared" si="244"/>
        <v>620169.94149745186</v>
      </c>
      <c r="Y286" s="36">
        <f t="shared" si="245"/>
        <v>-5.784646621617151E-4</v>
      </c>
      <c r="Z286" s="34">
        <f t="shared" si="246"/>
        <v>-358.74639569117409</v>
      </c>
      <c r="AA286" s="34">
        <f t="shared" si="247"/>
        <v>619990.56829960633</v>
      </c>
      <c r="AB286" s="34">
        <f t="shared" si="248"/>
        <v>0</v>
      </c>
      <c r="AC286" s="34">
        <f t="shared" si="249"/>
        <v>0</v>
      </c>
      <c r="AD286" s="34">
        <f t="shared" si="250"/>
        <v>0</v>
      </c>
      <c r="AE286" s="34">
        <f t="shared" si="251"/>
        <v>0</v>
      </c>
      <c r="AF286" s="34">
        <f t="shared" si="252"/>
        <v>0</v>
      </c>
      <c r="AG286" s="29">
        <f t="shared" si="253"/>
        <v>619990.56829960633</v>
      </c>
      <c r="AH286" s="34">
        <f t="shared" si="254"/>
        <v>0</v>
      </c>
      <c r="AI286" s="34">
        <f t="shared" si="255"/>
        <v>0</v>
      </c>
      <c r="AJ286" s="34">
        <f t="shared" si="256"/>
        <v>0</v>
      </c>
      <c r="AK286" s="34">
        <f t="shared" si="257"/>
        <v>0</v>
      </c>
      <c r="AL286" s="34">
        <f t="shared" si="258"/>
        <v>0</v>
      </c>
      <c r="AM286" s="34">
        <f t="shared" si="259"/>
        <v>0</v>
      </c>
      <c r="AN286" s="34">
        <f t="shared" si="260"/>
        <v>0</v>
      </c>
      <c r="AO286" s="34">
        <f t="shared" si="261"/>
        <v>0</v>
      </c>
      <c r="AP286" s="34">
        <f t="shared" si="262"/>
        <v>0</v>
      </c>
      <c r="AQ286" s="34">
        <f t="shared" si="263"/>
        <v>0</v>
      </c>
      <c r="AR286" s="34">
        <f t="shared" si="264"/>
        <v>0</v>
      </c>
      <c r="AS286" s="30">
        <f t="shared" si="265"/>
        <v>1.2634331969874646</v>
      </c>
      <c r="AT286" s="29">
        <f t="shared" si="266"/>
        <v>0</v>
      </c>
      <c r="AU286" s="29">
        <f t="shared" si="267"/>
        <v>0</v>
      </c>
      <c r="AV286" s="34">
        <f t="shared" si="268"/>
        <v>0</v>
      </c>
      <c r="AW286" s="34">
        <f t="shared" si="269"/>
        <v>0</v>
      </c>
      <c r="AX286" s="29">
        <f t="shared" si="270"/>
        <v>0</v>
      </c>
      <c r="AY286" s="34">
        <f t="shared" si="271"/>
        <v>0</v>
      </c>
      <c r="AZ286" s="37">
        <f t="shared" si="272"/>
        <v>0</v>
      </c>
      <c r="BA286" s="37">
        <f t="shared" si="273"/>
        <v>0</v>
      </c>
      <c r="BB286" s="35">
        <f t="shared" si="274"/>
        <v>1.1370290548653461E-3</v>
      </c>
      <c r="BC286" s="31">
        <f t="shared" si="275"/>
        <v>0.72581505500079468</v>
      </c>
      <c r="BD286" s="34">
        <f t="shared" si="276"/>
        <v>0</v>
      </c>
    </row>
    <row r="287" spans="1:56" x14ac:dyDescent="0.2">
      <c r="A287" s="27">
        <f t="shared" si="277"/>
        <v>283</v>
      </c>
      <c r="B287" s="28">
        <f t="shared" si="224"/>
        <v>283</v>
      </c>
      <c r="C287" s="27">
        <f t="shared" si="225"/>
        <v>23</v>
      </c>
      <c r="D287" s="28">
        <f t="shared" si="226"/>
        <v>43</v>
      </c>
      <c r="E287" s="29">
        <f t="shared" si="227"/>
        <v>0</v>
      </c>
      <c r="F287" s="30">
        <f t="shared" si="228"/>
        <v>8.5889444170817581E-4</v>
      </c>
      <c r="G287" s="31">
        <f t="shared" si="229"/>
        <v>7.1602728308750585E-5</v>
      </c>
      <c r="H287" s="32">
        <f t="shared" si="230"/>
        <v>0.02</v>
      </c>
      <c r="I287" s="32">
        <f t="shared" si="231"/>
        <v>0</v>
      </c>
      <c r="J287" s="33">
        <f t="shared" si="278"/>
        <v>0</v>
      </c>
      <c r="K287" s="30">
        <f t="shared" si="232"/>
        <v>0</v>
      </c>
      <c r="L287" s="33">
        <f t="shared" si="233"/>
        <v>0</v>
      </c>
      <c r="M287" s="30">
        <f t="shared" si="234"/>
        <v>0</v>
      </c>
      <c r="N287" s="33">
        <f t="shared" si="235"/>
        <v>0</v>
      </c>
      <c r="O287" s="31">
        <f t="shared" si="236"/>
        <v>0</v>
      </c>
      <c r="P287" s="33">
        <f t="shared" si="237"/>
        <v>0</v>
      </c>
      <c r="Q287" s="34">
        <f t="shared" si="279"/>
        <v>619811.19510176068</v>
      </c>
      <c r="R287" s="29">
        <f t="shared" si="238"/>
        <v>0</v>
      </c>
      <c r="S287" s="34">
        <f t="shared" si="239"/>
        <v>619811.19510176068</v>
      </c>
      <c r="T287" s="29">
        <f t="shared" si="240"/>
        <v>516.50932925146731</v>
      </c>
      <c r="U287" s="29">
        <f t="shared" si="241"/>
        <v>0</v>
      </c>
      <c r="V287" s="35">
        <f t="shared" si="242"/>
        <v>7.8763001139625644E-5</v>
      </c>
      <c r="W287" s="34">
        <f t="shared" si="243"/>
        <v>0</v>
      </c>
      <c r="X287" s="34">
        <f t="shared" si="244"/>
        <v>619294.6857725092</v>
      </c>
      <c r="Y287" s="36">
        <f t="shared" si="245"/>
        <v>2.9002740875840871E-3</v>
      </c>
      <c r="Z287" s="34">
        <f t="shared" si="246"/>
        <v>1796.124329724538</v>
      </c>
      <c r="AA287" s="34">
        <f t="shared" si="247"/>
        <v>620192.74793737149</v>
      </c>
      <c r="AB287" s="34">
        <f t="shared" si="248"/>
        <v>0</v>
      </c>
      <c r="AC287" s="34">
        <f t="shared" si="249"/>
        <v>0</v>
      </c>
      <c r="AD287" s="34">
        <f t="shared" si="250"/>
        <v>0</v>
      </c>
      <c r="AE287" s="34">
        <f t="shared" si="251"/>
        <v>0</v>
      </c>
      <c r="AF287" s="34">
        <f t="shared" si="252"/>
        <v>0</v>
      </c>
      <c r="AG287" s="29">
        <f t="shared" si="253"/>
        <v>620192.74793737149</v>
      </c>
      <c r="AH287" s="34">
        <f t="shared" si="254"/>
        <v>0</v>
      </c>
      <c r="AI287" s="34">
        <f t="shared" si="255"/>
        <v>0</v>
      </c>
      <c r="AJ287" s="34">
        <f t="shared" si="256"/>
        <v>0</v>
      </c>
      <c r="AK287" s="34">
        <f t="shared" si="257"/>
        <v>0</v>
      </c>
      <c r="AL287" s="34">
        <f t="shared" si="258"/>
        <v>0</v>
      </c>
      <c r="AM287" s="34">
        <f t="shared" si="259"/>
        <v>0</v>
      </c>
      <c r="AN287" s="34">
        <f t="shared" si="260"/>
        <v>0</v>
      </c>
      <c r="AO287" s="34">
        <f t="shared" si="261"/>
        <v>0</v>
      </c>
      <c r="AP287" s="34">
        <f t="shared" si="262"/>
        <v>0</v>
      </c>
      <c r="AQ287" s="34">
        <f t="shared" si="263"/>
        <v>0</v>
      </c>
      <c r="AR287" s="34">
        <f t="shared" si="264"/>
        <v>0</v>
      </c>
      <c r="AS287" s="30">
        <f t="shared" si="265"/>
        <v>1.2644812629792959</v>
      </c>
      <c r="AT287" s="29">
        <f t="shared" si="266"/>
        <v>0</v>
      </c>
      <c r="AU287" s="29">
        <f t="shared" si="267"/>
        <v>0</v>
      </c>
      <c r="AV287" s="34">
        <f t="shared" si="268"/>
        <v>0</v>
      </c>
      <c r="AW287" s="34">
        <f t="shared" si="269"/>
        <v>0</v>
      </c>
      <c r="AX287" s="29">
        <f t="shared" si="270"/>
        <v>0</v>
      </c>
      <c r="AY287" s="34">
        <f t="shared" si="271"/>
        <v>0</v>
      </c>
      <c r="AZ287" s="37">
        <f t="shared" si="272"/>
        <v>0</v>
      </c>
      <c r="BA287" s="37">
        <f t="shared" si="273"/>
        <v>0</v>
      </c>
      <c r="BB287" s="35">
        <f t="shared" si="274"/>
        <v>1.1370290548653461E-3</v>
      </c>
      <c r="BC287" s="31">
        <f t="shared" si="275"/>
        <v>0.7249907194882288</v>
      </c>
      <c r="BD287" s="34">
        <f t="shared" si="276"/>
        <v>0</v>
      </c>
    </row>
    <row r="288" spans="1:56" x14ac:dyDescent="0.2">
      <c r="A288" s="27">
        <f t="shared" si="277"/>
        <v>284</v>
      </c>
      <c r="B288" s="28">
        <f t="shared" si="224"/>
        <v>284</v>
      </c>
      <c r="C288" s="27">
        <f t="shared" si="225"/>
        <v>23</v>
      </c>
      <c r="D288" s="28">
        <f t="shared" si="226"/>
        <v>43</v>
      </c>
      <c r="E288" s="29">
        <f t="shared" si="227"/>
        <v>0</v>
      </c>
      <c r="F288" s="30">
        <f t="shared" si="228"/>
        <v>8.5889444170817581E-4</v>
      </c>
      <c r="G288" s="31">
        <f t="shared" si="229"/>
        <v>7.1602728308750585E-5</v>
      </c>
      <c r="H288" s="32">
        <f t="shared" si="230"/>
        <v>0.02</v>
      </c>
      <c r="I288" s="32">
        <f t="shared" si="231"/>
        <v>0</v>
      </c>
      <c r="J288" s="33">
        <f t="shared" si="278"/>
        <v>0</v>
      </c>
      <c r="K288" s="30">
        <f t="shared" si="232"/>
        <v>0</v>
      </c>
      <c r="L288" s="33">
        <f t="shared" si="233"/>
        <v>0</v>
      </c>
      <c r="M288" s="30">
        <f t="shared" si="234"/>
        <v>0</v>
      </c>
      <c r="N288" s="33">
        <f t="shared" si="235"/>
        <v>0</v>
      </c>
      <c r="O288" s="31">
        <f t="shared" si="236"/>
        <v>0</v>
      </c>
      <c r="P288" s="33">
        <f t="shared" si="237"/>
        <v>0</v>
      </c>
      <c r="Q288" s="34">
        <f t="shared" si="279"/>
        <v>621090.81010223378</v>
      </c>
      <c r="R288" s="29">
        <f t="shared" si="238"/>
        <v>0</v>
      </c>
      <c r="S288" s="34">
        <f t="shared" si="239"/>
        <v>621090.81010223378</v>
      </c>
      <c r="T288" s="29">
        <f t="shared" si="240"/>
        <v>517.5756750851948</v>
      </c>
      <c r="U288" s="29">
        <f t="shared" si="241"/>
        <v>0</v>
      </c>
      <c r="V288" s="35">
        <f t="shared" si="242"/>
        <v>7.8763001139625644E-5</v>
      </c>
      <c r="W288" s="34">
        <f t="shared" si="243"/>
        <v>0</v>
      </c>
      <c r="X288" s="34">
        <f t="shared" si="244"/>
        <v>620573.23442714859</v>
      </c>
      <c r="Y288" s="36">
        <f t="shared" si="245"/>
        <v>-1.6478880788979966E-2</v>
      </c>
      <c r="Z288" s="34">
        <f t="shared" si="246"/>
        <v>-10226.3523509567</v>
      </c>
      <c r="AA288" s="34">
        <f t="shared" si="247"/>
        <v>615460.05825167021</v>
      </c>
      <c r="AB288" s="34">
        <f t="shared" si="248"/>
        <v>0</v>
      </c>
      <c r="AC288" s="34">
        <f t="shared" si="249"/>
        <v>0</v>
      </c>
      <c r="AD288" s="34">
        <f t="shared" si="250"/>
        <v>0</v>
      </c>
      <c r="AE288" s="34">
        <f t="shared" si="251"/>
        <v>0</v>
      </c>
      <c r="AF288" s="34">
        <f t="shared" si="252"/>
        <v>0</v>
      </c>
      <c r="AG288" s="29">
        <f t="shared" si="253"/>
        <v>615460.05825167021</v>
      </c>
      <c r="AH288" s="34">
        <f t="shared" si="254"/>
        <v>0</v>
      </c>
      <c r="AI288" s="34">
        <f t="shared" si="255"/>
        <v>0</v>
      </c>
      <c r="AJ288" s="34">
        <f t="shared" si="256"/>
        <v>0</v>
      </c>
      <c r="AK288" s="34">
        <f t="shared" si="257"/>
        <v>0</v>
      </c>
      <c r="AL288" s="34">
        <f t="shared" si="258"/>
        <v>0</v>
      </c>
      <c r="AM288" s="34">
        <f t="shared" si="259"/>
        <v>0</v>
      </c>
      <c r="AN288" s="34">
        <f t="shared" si="260"/>
        <v>0</v>
      </c>
      <c r="AO288" s="34">
        <f t="shared" si="261"/>
        <v>0</v>
      </c>
      <c r="AP288" s="34">
        <f t="shared" si="262"/>
        <v>0</v>
      </c>
      <c r="AQ288" s="34">
        <f t="shared" si="263"/>
        <v>0</v>
      </c>
      <c r="AR288" s="34">
        <f t="shared" si="264"/>
        <v>0</v>
      </c>
      <c r="AS288" s="30">
        <f t="shared" si="265"/>
        <v>1.2655301983818139</v>
      </c>
      <c r="AT288" s="29">
        <f t="shared" si="266"/>
        <v>0</v>
      </c>
      <c r="AU288" s="29">
        <f t="shared" si="267"/>
        <v>0</v>
      </c>
      <c r="AV288" s="34">
        <f t="shared" si="268"/>
        <v>0</v>
      </c>
      <c r="AW288" s="34">
        <f t="shared" si="269"/>
        <v>0</v>
      </c>
      <c r="AX288" s="29">
        <f t="shared" si="270"/>
        <v>0</v>
      </c>
      <c r="AY288" s="34">
        <f t="shared" si="271"/>
        <v>0</v>
      </c>
      <c r="AZ288" s="37">
        <f t="shared" si="272"/>
        <v>0</v>
      </c>
      <c r="BA288" s="37">
        <f t="shared" si="273"/>
        <v>0</v>
      </c>
      <c r="BB288" s="35">
        <f t="shared" si="274"/>
        <v>1.1370290548653461E-3</v>
      </c>
      <c r="BC288" s="31">
        <f t="shared" si="275"/>
        <v>0.72416732020457208</v>
      </c>
      <c r="BD288" s="34">
        <f t="shared" si="276"/>
        <v>0</v>
      </c>
    </row>
    <row r="289" spans="1:56" x14ac:dyDescent="0.2">
      <c r="A289" s="27">
        <f t="shared" si="277"/>
        <v>285</v>
      </c>
      <c r="B289" s="28">
        <f t="shared" si="224"/>
        <v>285</v>
      </c>
      <c r="C289" s="27">
        <f t="shared" si="225"/>
        <v>23</v>
      </c>
      <c r="D289" s="28">
        <f t="shared" si="226"/>
        <v>43</v>
      </c>
      <c r="E289" s="29">
        <f t="shared" si="227"/>
        <v>0</v>
      </c>
      <c r="F289" s="30">
        <f t="shared" si="228"/>
        <v>8.5889444170817581E-4</v>
      </c>
      <c r="G289" s="31">
        <f t="shared" si="229"/>
        <v>7.1602728308750585E-5</v>
      </c>
      <c r="H289" s="32">
        <f t="shared" si="230"/>
        <v>0.02</v>
      </c>
      <c r="I289" s="32">
        <f t="shared" si="231"/>
        <v>0</v>
      </c>
      <c r="J289" s="33">
        <f t="shared" si="278"/>
        <v>0</v>
      </c>
      <c r="K289" s="30">
        <f t="shared" si="232"/>
        <v>0</v>
      </c>
      <c r="L289" s="33">
        <f t="shared" si="233"/>
        <v>0</v>
      </c>
      <c r="M289" s="30">
        <f t="shared" si="234"/>
        <v>0</v>
      </c>
      <c r="N289" s="33">
        <f t="shared" si="235"/>
        <v>0</v>
      </c>
      <c r="O289" s="31">
        <f t="shared" si="236"/>
        <v>0</v>
      </c>
      <c r="P289" s="33">
        <f t="shared" si="237"/>
        <v>0</v>
      </c>
      <c r="Q289" s="34">
        <f t="shared" si="279"/>
        <v>610346.88207619195</v>
      </c>
      <c r="R289" s="29">
        <f t="shared" si="238"/>
        <v>0</v>
      </c>
      <c r="S289" s="34">
        <f t="shared" si="239"/>
        <v>610346.88207619195</v>
      </c>
      <c r="T289" s="29">
        <f t="shared" si="240"/>
        <v>508.62240173015999</v>
      </c>
      <c r="U289" s="29">
        <f t="shared" si="241"/>
        <v>0</v>
      </c>
      <c r="V289" s="35">
        <f t="shared" si="242"/>
        <v>7.8763001139625644E-5</v>
      </c>
      <c r="W289" s="34">
        <f t="shared" si="243"/>
        <v>0</v>
      </c>
      <c r="X289" s="34">
        <f t="shared" si="244"/>
        <v>609838.25967446179</v>
      </c>
      <c r="Y289" s="36">
        <f t="shared" si="245"/>
        <v>-5.6873599070801362E-3</v>
      </c>
      <c r="Z289" s="34">
        <f t="shared" si="246"/>
        <v>-3468.3696678760589</v>
      </c>
      <c r="AA289" s="34">
        <f t="shared" si="247"/>
        <v>608104.07484052377</v>
      </c>
      <c r="AB289" s="34">
        <f t="shared" si="248"/>
        <v>0</v>
      </c>
      <c r="AC289" s="34">
        <f t="shared" si="249"/>
        <v>0</v>
      </c>
      <c r="AD289" s="34">
        <f t="shared" si="250"/>
        <v>0</v>
      </c>
      <c r="AE289" s="34">
        <f t="shared" si="251"/>
        <v>0</v>
      </c>
      <c r="AF289" s="34">
        <f t="shared" si="252"/>
        <v>0</v>
      </c>
      <c r="AG289" s="29">
        <f t="shared" si="253"/>
        <v>608104.07484052377</v>
      </c>
      <c r="AH289" s="34">
        <f t="shared" si="254"/>
        <v>0</v>
      </c>
      <c r="AI289" s="34">
        <f t="shared" si="255"/>
        <v>0</v>
      </c>
      <c r="AJ289" s="34">
        <f t="shared" si="256"/>
        <v>0</v>
      </c>
      <c r="AK289" s="34">
        <f t="shared" si="257"/>
        <v>0</v>
      </c>
      <c r="AL289" s="34">
        <f t="shared" si="258"/>
        <v>0</v>
      </c>
      <c r="AM289" s="34">
        <f t="shared" si="259"/>
        <v>0</v>
      </c>
      <c r="AN289" s="34">
        <f t="shared" si="260"/>
        <v>0</v>
      </c>
      <c r="AO289" s="34">
        <f t="shared" si="261"/>
        <v>0</v>
      </c>
      <c r="AP289" s="34">
        <f t="shared" si="262"/>
        <v>0</v>
      </c>
      <c r="AQ289" s="34">
        <f t="shared" si="263"/>
        <v>0</v>
      </c>
      <c r="AR289" s="34">
        <f t="shared" si="264"/>
        <v>0</v>
      </c>
      <c r="AS289" s="30">
        <f t="shared" si="265"/>
        <v>1.2665800039162278</v>
      </c>
      <c r="AT289" s="29">
        <f t="shared" si="266"/>
        <v>0</v>
      </c>
      <c r="AU289" s="29">
        <f t="shared" si="267"/>
        <v>0</v>
      </c>
      <c r="AV289" s="34">
        <f t="shared" si="268"/>
        <v>0</v>
      </c>
      <c r="AW289" s="34">
        <f t="shared" si="269"/>
        <v>0</v>
      </c>
      <c r="AX289" s="29">
        <f t="shared" si="270"/>
        <v>0</v>
      </c>
      <c r="AY289" s="34">
        <f t="shared" si="271"/>
        <v>0</v>
      </c>
      <c r="AZ289" s="37">
        <f t="shared" si="272"/>
        <v>0</v>
      </c>
      <c r="BA289" s="37">
        <f t="shared" si="273"/>
        <v>0</v>
      </c>
      <c r="BB289" s="35">
        <f t="shared" si="274"/>
        <v>1.1370290548653461E-3</v>
      </c>
      <c r="BC289" s="31">
        <f t="shared" si="275"/>
        <v>0.72334485608651433</v>
      </c>
      <c r="BD289" s="34">
        <f t="shared" si="276"/>
        <v>0</v>
      </c>
    </row>
    <row r="290" spans="1:56" x14ac:dyDescent="0.2">
      <c r="A290" s="27">
        <f t="shared" si="277"/>
        <v>286</v>
      </c>
      <c r="B290" s="28">
        <f t="shared" si="224"/>
        <v>286</v>
      </c>
      <c r="C290" s="27">
        <f t="shared" si="225"/>
        <v>23</v>
      </c>
      <c r="D290" s="28">
        <f t="shared" si="226"/>
        <v>43</v>
      </c>
      <c r="E290" s="29">
        <f t="shared" si="227"/>
        <v>0</v>
      </c>
      <c r="F290" s="30">
        <f t="shared" si="228"/>
        <v>8.5889444170817581E-4</v>
      </c>
      <c r="G290" s="31">
        <f t="shared" si="229"/>
        <v>7.1602728308750585E-5</v>
      </c>
      <c r="H290" s="32">
        <f t="shared" si="230"/>
        <v>0.02</v>
      </c>
      <c r="I290" s="32">
        <f t="shared" si="231"/>
        <v>0</v>
      </c>
      <c r="J290" s="33">
        <f t="shared" si="278"/>
        <v>0</v>
      </c>
      <c r="K290" s="30">
        <f t="shared" si="232"/>
        <v>0</v>
      </c>
      <c r="L290" s="33">
        <f t="shared" si="233"/>
        <v>0</v>
      </c>
      <c r="M290" s="30">
        <f t="shared" si="234"/>
        <v>0</v>
      </c>
      <c r="N290" s="33">
        <f t="shared" si="235"/>
        <v>0</v>
      </c>
      <c r="O290" s="31">
        <f t="shared" si="236"/>
        <v>0</v>
      </c>
      <c r="P290" s="33">
        <f t="shared" si="237"/>
        <v>0</v>
      </c>
      <c r="Q290" s="34">
        <f t="shared" si="279"/>
        <v>606369.89000658575</v>
      </c>
      <c r="R290" s="29">
        <f t="shared" si="238"/>
        <v>0</v>
      </c>
      <c r="S290" s="34">
        <f t="shared" si="239"/>
        <v>606369.89000658575</v>
      </c>
      <c r="T290" s="29">
        <f t="shared" si="240"/>
        <v>505.30824167215479</v>
      </c>
      <c r="U290" s="29">
        <f t="shared" si="241"/>
        <v>0</v>
      </c>
      <c r="V290" s="35">
        <f t="shared" si="242"/>
        <v>7.8763001139625644E-5</v>
      </c>
      <c r="W290" s="34">
        <f t="shared" si="243"/>
        <v>0</v>
      </c>
      <c r="X290" s="34">
        <f t="shared" si="244"/>
        <v>605864.58176491363</v>
      </c>
      <c r="Y290" s="36">
        <f t="shared" si="245"/>
        <v>6.0155571294011612E-3</v>
      </c>
      <c r="Z290" s="34">
        <f t="shared" si="246"/>
        <v>3644.6130042875789</v>
      </c>
      <c r="AA290" s="34">
        <f t="shared" si="247"/>
        <v>607686.88826705737</v>
      </c>
      <c r="AB290" s="34">
        <f t="shared" si="248"/>
        <v>0</v>
      </c>
      <c r="AC290" s="34">
        <f t="shared" si="249"/>
        <v>0</v>
      </c>
      <c r="AD290" s="34">
        <f t="shared" si="250"/>
        <v>0</v>
      </c>
      <c r="AE290" s="34">
        <f t="shared" si="251"/>
        <v>0</v>
      </c>
      <c r="AF290" s="34">
        <f t="shared" si="252"/>
        <v>0</v>
      </c>
      <c r="AG290" s="29">
        <f t="shared" si="253"/>
        <v>607686.88826705737</v>
      </c>
      <c r="AH290" s="34">
        <f t="shared" si="254"/>
        <v>0</v>
      </c>
      <c r="AI290" s="34">
        <f t="shared" si="255"/>
        <v>0</v>
      </c>
      <c r="AJ290" s="34">
        <f t="shared" si="256"/>
        <v>0</v>
      </c>
      <c r="AK290" s="34">
        <f t="shared" si="257"/>
        <v>0</v>
      </c>
      <c r="AL290" s="34">
        <f t="shared" si="258"/>
        <v>0</v>
      </c>
      <c r="AM290" s="34">
        <f t="shared" si="259"/>
        <v>0</v>
      </c>
      <c r="AN290" s="34">
        <f t="shared" si="260"/>
        <v>0</v>
      </c>
      <c r="AO290" s="34">
        <f t="shared" si="261"/>
        <v>0</v>
      </c>
      <c r="AP290" s="34">
        <f t="shared" si="262"/>
        <v>0</v>
      </c>
      <c r="AQ290" s="34">
        <f t="shared" si="263"/>
        <v>0</v>
      </c>
      <c r="AR290" s="34">
        <f t="shared" si="264"/>
        <v>0</v>
      </c>
      <c r="AS290" s="30">
        <f t="shared" si="265"/>
        <v>1.2676306803043451</v>
      </c>
      <c r="AT290" s="29">
        <f t="shared" si="266"/>
        <v>0</v>
      </c>
      <c r="AU290" s="29">
        <f t="shared" si="267"/>
        <v>0</v>
      </c>
      <c r="AV290" s="34">
        <f t="shared" si="268"/>
        <v>0</v>
      </c>
      <c r="AW290" s="34">
        <f t="shared" si="269"/>
        <v>0</v>
      </c>
      <c r="AX290" s="29">
        <f t="shared" si="270"/>
        <v>0</v>
      </c>
      <c r="AY290" s="34">
        <f t="shared" si="271"/>
        <v>0</v>
      </c>
      <c r="AZ290" s="37">
        <f t="shared" si="272"/>
        <v>0</v>
      </c>
      <c r="BA290" s="37">
        <f t="shared" si="273"/>
        <v>0</v>
      </c>
      <c r="BB290" s="35">
        <f t="shared" si="274"/>
        <v>1.1370290548653461E-3</v>
      </c>
      <c r="BC290" s="31">
        <f t="shared" si="275"/>
        <v>0.72252332607195269</v>
      </c>
      <c r="BD290" s="34">
        <f t="shared" si="276"/>
        <v>0</v>
      </c>
    </row>
    <row r="291" spans="1:56" x14ac:dyDescent="0.2">
      <c r="A291" s="27">
        <f t="shared" si="277"/>
        <v>287</v>
      </c>
      <c r="B291" s="28">
        <f t="shared" si="224"/>
        <v>287</v>
      </c>
      <c r="C291" s="27">
        <f t="shared" si="225"/>
        <v>23</v>
      </c>
      <c r="D291" s="28">
        <f t="shared" si="226"/>
        <v>43</v>
      </c>
      <c r="E291" s="29">
        <f t="shared" si="227"/>
        <v>0</v>
      </c>
      <c r="F291" s="30">
        <f t="shared" si="228"/>
        <v>8.5889444170817581E-4</v>
      </c>
      <c r="G291" s="31">
        <f t="shared" si="229"/>
        <v>7.1602728308750585E-5</v>
      </c>
      <c r="H291" s="32">
        <f t="shared" si="230"/>
        <v>0.02</v>
      </c>
      <c r="I291" s="32">
        <f t="shared" si="231"/>
        <v>0</v>
      </c>
      <c r="J291" s="33">
        <f t="shared" si="278"/>
        <v>0</v>
      </c>
      <c r="K291" s="30">
        <f t="shared" si="232"/>
        <v>0</v>
      </c>
      <c r="L291" s="33">
        <f t="shared" si="233"/>
        <v>0</v>
      </c>
      <c r="M291" s="30">
        <f t="shared" si="234"/>
        <v>0</v>
      </c>
      <c r="N291" s="33">
        <f t="shared" si="235"/>
        <v>0</v>
      </c>
      <c r="O291" s="31">
        <f t="shared" si="236"/>
        <v>0</v>
      </c>
      <c r="P291" s="33">
        <f t="shared" si="237"/>
        <v>0</v>
      </c>
      <c r="Q291" s="34">
        <f t="shared" si="279"/>
        <v>609509.19476920122</v>
      </c>
      <c r="R291" s="29">
        <f t="shared" si="238"/>
        <v>0</v>
      </c>
      <c r="S291" s="34">
        <f t="shared" si="239"/>
        <v>609509.19476920122</v>
      </c>
      <c r="T291" s="29">
        <f t="shared" si="240"/>
        <v>507.9243289743344</v>
      </c>
      <c r="U291" s="29">
        <f t="shared" si="241"/>
        <v>0</v>
      </c>
      <c r="V291" s="35">
        <f t="shared" si="242"/>
        <v>7.8763001139625644E-5</v>
      </c>
      <c r="W291" s="34">
        <f t="shared" si="243"/>
        <v>0</v>
      </c>
      <c r="X291" s="34">
        <f t="shared" si="244"/>
        <v>609001.27044022689</v>
      </c>
      <c r="Y291" s="36">
        <f t="shared" si="245"/>
        <v>9.6744745048136238E-3</v>
      </c>
      <c r="Z291" s="34">
        <f t="shared" si="246"/>
        <v>5891.7672642730822</v>
      </c>
      <c r="AA291" s="34">
        <f t="shared" si="247"/>
        <v>611947.1540723634</v>
      </c>
      <c r="AB291" s="34">
        <f t="shared" si="248"/>
        <v>0</v>
      </c>
      <c r="AC291" s="34">
        <f t="shared" si="249"/>
        <v>0</v>
      </c>
      <c r="AD291" s="34">
        <f t="shared" si="250"/>
        <v>0</v>
      </c>
      <c r="AE291" s="34">
        <f t="shared" si="251"/>
        <v>0</v>
      </c>
      <c r="AF291" s="34">
        <f t="shared" si="252"/>
        <v>0</v>
      </c>
      <c r="AG291" s="29">
        <f t="shared" si="253"/>
        <v>611947.1540723634</v>
      </c>
      <c r="AH291" s="34">
        <f t="shared" si="254"/>
        <v>0</v>
      </c>
      <c r="AI291" s="34">
        <f t="shared" si="255"/>
        <v>0</v>
      </c>
      <c r="AJ291" s="34">
        <f t="shared" si="256"/>
        <v>0</v>
      </c>
      <c r="AK291" s="34">
        <f t="shared" si="257"/>
        <v>0</v>
      </c>
      <c r="AL291" s="34">
        <f t="shared" si="258"/>
        <v>0</v>
      </c>
      <c r="AM291" s="34">
        <f t="shared" si="259"/>
        <v>0</v>
      </c>
      <c r="AN291" s="34">
        <f t="shared" si="260"/>
        <v>0</v>
      </c>
      <c r="AO291" s="34">
        <f t="shared" si="261"/>
        <v>0</v>
      </c>
      <c r="AP291" s="34">
        <f t="shared" si="262"/>
        <v>0</v>
      </c>
      <c r="AQ291" s="34">
        <f t="shared" si="263"/>
        <v>0</v>
      </c>
      <c r="AR291" s="34">
        <f t="shared" si="264"/>
        <v>0</v>
      </c>
      <c r="AS291" s="30">
        <f t="shared" si="265"/>
        <v>1.2686822282685724</v>
      </c>
      <c r="AT291" s="29">
        <f t="shared" si="266"/>
        <v>0</v>
      </c>
      <c r="AU291" s="29">
        <f t="shared" si="267"/>
        <v>0</v>
      </c>
      <c r="AV291" s="34">
        <f t="shared" si="268"/>
        <v>0</v>
      </c>
      <c r="AW291" s="34">
        <f t="shared" si="269"/>
        <v>0</v>
      </c>
      <c r="AX291" s="29">
        <f t="shared" si="270"/>
        <v>0</v>
      </c>
      <c r="AY291" s="34">
        <f t="shared" si="271"/>
        <v>0</v>
      </c>
      <c r="AZ291" s="37">
        <f t="shared" si="272"/>
        <v>0</v>
      </c>
      <c r="BA291" s="37">
        <f t="shared" si="273"/>
        <v>0</v>
      </c>
      <c r="BB291" s="35">
        <f t="shared" si="274"/>
        <v>1.1370290548653461E-3</v>
      </c>
      <c r="BC291" s="31">
        <f t="shared" si="275"/>
        <v>0.72170272909999011</v>
      </c>
      <c r="BD291" s="34">
        <f t="shared" si="276"/>
        <v>0</v>
      </c>
    </row>
    <row r="292" spans="1:56" x14ac:dyDescent="0.2">
      <c r="A292" s="27">
        <f t="shared" si="277"/>
        <v>288</v>
      </c>
      <c r="B292" s="28">
        <f t="shared" si="224"/>
        <v>288</v>
      </c>
      <c r="C292" s="27">
        <f t="shared" si="225"/>
        <v>24</v>
      </c>
      <c r="D292" s="28">
        <f t="shared" si="226"/>
        <v>44</v>
      </c>
      <c r="E292" s="29">
        <f t="shared" si="227"/>
        <v>0</v>
      </c>
      <c r="F292" s="30">
        <f t="shared" si="228"/>
        <v>9.0372635867901638E-4</v>
      </c>
      <c r="G292" s="31">
        <f t="shared" si="229"/>
        <v>7.5341742130197176E-5</v>
      </c>
      <c r="H292" s="32">
        <f t="shared" si="230"/>
        <v>0.02</v>
      </c>
      <c r="I292" s="32">
        <f t="shared" si="231"/>
        <v>0</v>
      </c>
      <c r="J292" s="33">
        <f t="shared" si="278"/>
        <v>0</v>
      </c>
      <c r="K292" s="30">
        <f t="shared" si="232"/>
        <v>0</v>
      </c>
      <c r="L292" s="33">
        <f t="shared" si="233"/>
        <v>0</v>
      </c>
      <c r="M292" s="30">
        <f t="shared" si="234"/>
        <v>0</v>
      </c>
      <c r="N292" s="33">
        <f t="shared" si="235"/>
        <v>0</v>
      </c>
      <c r="O292" s="31">
        <f t="shared" si="236"/>
        <v>0</v>
      </c>
      <c r="P292" s="33">
        <f t="shared" si="237"/>
        <v>0</v>
      </c>
      <c r="Q292" s="34">
        <f t="shared" si="279"/>
        <v>614893.03770450002</v>
      </c>
      <c r="R292" s="29">
        <f t="shared" si="238"/>
        <v>0</v>
      </c>
      <c r="S292" s="34">
        <f t="shared" si="239"/>
        <v>614893.03770450002</v>
      </c>
      <c r="T292" s="29">
        <f t="shared" si="240"/>
        <v>512.41086475375005</v>
      </c>
      <c r="U292" s="29">
        <f t="shared" si="241"/>
        <v>0</v>
      </c>
      <c r="V292" s="35">
        <f t="shared" si="242"/>
        <v>8.2875916343216904E-5</v>
      </c>
      <c r="W292" s="34">
        <f t="shared" si="243"/>
        <v>0</v>
      </c>
      <c r="X292" s="34">
        <f t="shared" si="244"/>
        <v>614380.62683974626</v>
      </c>
      <c r="Y292" s="36">
        <f t="shared" si="245"/>
        <v>-2.7128063625869725E-4</v>
      </c>
      <c r="Z292" s="34">
        <f t="shared" si="246"/>
        <v>-166.66956735410361</v>
      </c>
      <c r="AA292" s="34">
        <f t="shared" si="247"/>
        <v>614297.29205606924</v>
      </c>
      <c r="AB292" s="34">
        <f t="shared" si="248"/>
        <v>0</v>
      </c>
      <c r="AC292" s="34">
        <f t="shared" si="249"/>
        <v>0</v>
      </c>
      <c r="AD292" s="34">
        <f t="shared" si="250"/>
        <v>0</v>
      </c>
      <c r="AE292" s="34">
        <f t="shared" si="251"/>
        <v>0</v>
      </c>
      <c r="AF292" s="34">
        <f t="shared" si="252"/>
        <v>0</v>
      </c>
      <c r="AG292" s="29">
        <f t="shared" si="253"/>
        <v>614297.29205606924</v>
      </c>
      <c r="AH292" s="34">
        <f t="shared" si="254"/>
        <v>0</v>
      </c>
      <c r="AI292" s="34">
        <f t="shared" si="255"/>
        <v>0</v>
      </c>
      <c r="AJ292" s="34">
        <f t="shared" si="256"/>
        <v>0</v>
      </c>
      <c r="AK292" s="34">
        <f t="shared" si="257"/>
        <v>0</v>
      </c>
      <c r="AL292" s="34">
        <f t="shared" si="258"/>
        <v>0</v>
      </c>
      <c r="AM292" s="34">
        <f t="shared" si="259"/>
        <v>0</v>
      </c>
      <c r="AN292" s="34">
        <f t="shared" si="260"/>
        <v>0</v>
      </c>
      <c r="AO292" s="34">
        <f t="shared" si="261"/>
        <v>0</v>
      </c>
      <c r="AP292" s="34">
        <f t="shared" si="262"/>
        <v>0</v>
      </c>
      <c r="AQ292" s="34">
        <f t="shared" si="263"/>
        <v>0</v>
      </c>
      <c r="AR292" s="34">
        <f t="shared" si="264"/>
        <v>0</v>
      </c>
      <c r="AS292" s="30">
        <f t="shared" si="265"/>
        <v>1.269734648531915</v>
      </c>
      <c r="AT292" s="29">
        <f t="shared" si="266"/>
        <v>0</v>
      </c>
      <c r="AU292" s="29">
        <f t="shared" si="267"/>
        <v>0</v>
      </c>
      <c r="AV292" s="34">
        <f t="shared" si="268"/>
        <v>0</v>
      </c>
      <c r="AW292" s="34">
        <f t="shared" si="269"/>
        <v>0</v>
      </c>
      <c r="AX292" s="29">
        <f t="shared" si="270"/>
        <v>0</v>
      </c>
      <c r="AY292" s="34">
        <f t="shared" si="271"/>
        <v>0</v>
      </c>
      <c r="AZ292" s="37">
        <f t="shared" si="272"/>
        <v>0</v>
      </c>
      <c r="BA292" s="37">
        <f t="shared" si="273"/>
        <v>0</v>
      </c>
      <c r="BB292" s="35">
        <f t="shared" si="274"/>
        <v>1.1337370700335025E-3</v>
      </c>
      <c r="BC292" s="31">
        <f t="shared" si="275"/>
        <v>0.72156607555935115</v>
      </c>
      <c r="BD292" s="34">
        <f t="shared" si="276"/>
        <v>0</v>
      </c>
    </row>
    <row r="293" spans="1:56" x14ac:dyDescent="0.2">
      <c r="A293" s="27">
        <f t="shared" si="277"/>
        <v>289</v>
      </c>
      <c r="B293" s="28">
        <f t="shared" si="224"/>
        <v>289</v>
      </c>
      <c r="C293" s="27">
        <f t="shared" si="225"/>
        <v>24</v>
      </c>
      <c r="D293" s="28">
        <f t="shared" si="226"/>
        <v>44</v>
      </c>
      <c r="E293" s="29">
        <f t="shared" si="227"/>
        <v>0</v>
      </c>
      <c r="F293" s="30">
        <f t="shared" si="228"/>
        <v>9.0372635867901638E-4</v>
      </c>
      <c r="G293" s="31">
        <f t="shared" si="229"/>
        <v>7.5341742130197176E-5</v>
      </c>
      <c r="H293" s="32">
        <f t="shared" si="230"/>
        <v>0.02</v>
      </c>
      <c r="I293" s="32">
        <f t="shared" si="231"/>
        <v>0</v>
      </c>
      <c r="J293" s="33">
        <f t="shared" si="278"/>
        <v>0</v>
      </c>
      <c r="K293" s="30">
        <f t="shared" si="232"/>
        <v>0</v>
      </c>
      <c r="L293" s="33">
        <f t="shared" si="233"/>
        <v>0</v>
      </c>
      <c r="M293" s="30">
        <f t="shared" si="234"/>
        <v>0</v>
      </c>
      <c r="N293" s="33">
        <f t="shared" si="235"/>
        <v>0</v>
      </c>
      <c r="O293" s="31">
        <f t="shared" si="236"/>
        <v>0</v>
      </c>
      <c r="P293" s="33">
        <f t="shared" si="237"/>
        <v>0</v>
      </c>
      <c r="Q293" s="34">
        <f t="shared" si="279"/>
        <v>614213.95727239212</v>
      </c>
      <c r="R293" s="29">
        <f t="shared" si="238"/>
        <v>0</v>
      </c>
      <c r="S293" s="34">
        <f t="shared" si="239"/>
        <v>614213.95727239212</v>
      </c>
      <c r="T293" s="29">
        <f t="shared" si="240"/>
        <v>511.84496439366012</v>
      </c>
      <c r="U293" s="29">
        <f t="shared" si="241"/>
        <v>0</v>
      </c>
      <c r="V293" s="35">
        <f t="shared" si="242"/>
        <v>8.2875916343216904E-5</v>
      </c>
      <c r="W293" s="34">
        <f t="shared" si="243"/>
        <v>0</v>
      </c>
      <c r="X293" s="34">
        <f t="shared" si="244"/>
        <v>613702.11230799847</v>
      </c>
      <c r="Y293" s="36">
        <f t="shared" si="245"/>
        <v>-2.2780531625239409E-3</v>
      </c>
      <c r="Z293" s="34">
        <f t="shared" si="246"/>
        <v>-1398.0460377908587</v>
      </c>
      <c r="AA293" s="34">
        <f t="shared" si="247"/>
        <v>613003.08928910305</v>
      </c>
      <c r="AB293" s="34">
        <f t="shared" si="248"/>
        <v>0</v>
      </c>
      <c r="AC293" s="34">
        <f t="shared" si="249"/>
        <v>0</v>
      </c>
      <c r="AD293" s="34">
        <f t="shared" si="250"/>
        <v>0</v>
      </c>
      <c r="AE293" s="34">
        <f t="shared" si="251"/>
        <v>0</v>
      </c>
      <c r="AF293" s="34">
        <f t="shared" si="252"/>
        <v>0</v>
      </c>
      <c r="AG293" s="29">
        <f t="shared" si="253"/>
        <v>613003.08928910305</v>
      </c>
      <c r="AH293" s="34">
        <f t="shared" si="254"/>
        <v>0</v>
      </c>
      <c r="AI293" s="34">
        <f t="shared" si="255"/>
        <v>0</v>
      </c>
      <c r="AJ293" s="34">
        <f t="shared" si="256"/>
        <v>0</v>
      </c>
      <c r="AK293" s="34">
        <f t="shared" si="257"/>
        <v>0</v>
      </c>
      <c r="AL293" s="34">
        <f t="shared" si="258"/>
        <v>0</v>
      </c>
      <c r="AM293" s="34">
        <f t="shared" si="259"/>
        <v>0</v>
      </c>
      <c r="AN293" s="34">
        <f t="shared" si="260"/>
        <v>0</v>
      </c>
      <c r="AO293" s="34">
        <f t="shared" si="261"/>
        <v>0</v>
      </c>
      <c r="AP293" s="34">
        <f t="shared" si="262"/>
        <v>0</v>
      </c>
      <c r="AQ293" s="34">
        <f t="shared" si="263"/>
        <v>0</v>
      </c>
      <c r="AR293" s="34">
        <f t="shared" si="264"/>
        <v>0</v>
      </c>
      <c r="AS293" s="30">
        <f t="shared" si="265"/>
        <v>1.2707879418179779</v>
      </c>
      <c r="AT293" s="29">
        <f t="shared" si="266"/>
        <v>0</v>
      </c>
      <c r="AU293" s="29">
        <f t="shared" si="267"/>
        <v>0</v>
      </c>
      <c r="AV293" s="34">
        <f t="shared" si="268"/>
        <v>0</v>
      </c>
      <c r="AW293" s="34">
        <f t="shared" si="269"/>
        <v>0</v>
      </c>
      <c r="AX293" s="29">
        <f t="shared" si="270"/>
        <v>0</v>
      </c>
      <c r="AY293" s="34">
        <f t="shared" si="271"/>
        <v>0</v>
      </c>
      <c r="AZ293" s="37">
        <f t="shared" si="272"/>
        <v>0</v>
      </c>
      <c r="BA293" s="37">
        <f t="shared" si="273"/>
        <v>0</v>
      </c>
      <c r="BB293" s="35">
        <f t="shared" si="274"/>
        <v>1.1337370700335025E-3</v>
      </c>
      <c r="BC293" s="31">
        <f t="shared" si="275"/>
        <v>0.72074893577267851</v>
      </c>
      <c r="BD293" s="34">
        <f t="shared" si="276"/>
        <v>0</v>
      </c>
    </row>
    <row r="294" spans="1:56" x14ac:dyDescent="0.2">
      <c r="A294" s="27">
        <f t="shared" si="277"/>
        <v>290</v>
      </c>
      <c r="B294" s="28">
        <f t="shared" si="224"/>
        <v>290</v>
      </c>
      <c r="C294" s="27">
        <f t="shared" si="225"/>
        <v>24</v>
      </c>
      <c r="D294" s="28">
        <f t="shared" si="226"/>
        <v>44</v>
      </c>
      <c r="E294" s="29">
        <f t="shared" si="227"/>
        <v>0</v>
      </c>
      <c r="F294" s="30">
        <f t="shared" si="228"/>
        <v>9.0372635867901638E-4</v>
      </c>
      <c r="G294" s="31">
        <f t="shared" si="229"/>
        <v>7.5341742130197176E-5</v>
      </c>
      <c r="H294" s="32">
        <f t="shared" si="230"/>
        <v>0.02</v>
      </c>
      <c r="I294" s="32">
        <f t="shared" si="231"/>
        <v>0</v>
      </c>
      <c r="J294" s="33">
        <f t="shared" si="278"/>
        <v>0</v>
      </c>
      <c r="K294" s="30">
        <f t="shared" si="232"/>
        <v>0</v>
      </c>
      <c r="L294" s="33">
        <f t="shared" si="233"/>
        <v>0</v>
      </c>
      <c r="M294" s="30">
        <f t="shared" si="234"/>
        <v>0</v>
      </c>
      <c r="N294" s="33">
        <f t="shared" si="235"/>
        <v>0</v>
      </c>
      <c r="O294" s="31">
        <f t="shared" si="236"/>
        <v>0</v>
      </c>
      <c r="P294" s="33">
        <f t="shared" si="237"/>
        <v>0</v>
      </c>
      <c r="Q294" s="34">
        <f t="shared" si="279"/>
        <v>612304.06627020764</v>
      </c>
      <c r="R294" s="29">
        <f t="shared" si="238"/>
        <v>0</v>
      </c>
      <c r="S294" s="34">
        <f t="shared" si="239"/>
        <v>612304.06627020764</v>
      </c>
      <c r="T294" s="29">
        <f t="shared" si="240"/>
        <v>510.2533885585064</v>
      </c>
      <c r="U294" s="29">
        <f t="shared" si="241"/>
        <v>0</v>
      </c>
      <c r="V294" s="35">
        <f t="shared" si="242"/>
        <v>8.2875916343216904E-5</v>
      </c>
      <c r="W294" s="34">
        <f t="shared" si="243"/>
        <v>0</v>
      </c>
      <c r="X294" s="34">
        <f t="shared" si="244"/>
        <v>611793.81288164912</v>
      </c>
      <c r="Y294" s="36">
        <f t="shared" si="245"/>
        <v>3.0069660632061623E-3</v>
      </c>
      <c r="Z294" s="34">
        <f t="shared" si="246"/>
        <v>1839.6432330146199</v>
      </c>
      <c r="AA294" s="34">
        <f t="shared" si="247"/>
        <v>612713.63449815637</v>
      </c>
      <c r="AB294" s="34">
        <f t="shared" si="248"/>
        <v>0</v>
      </c>
      <c r="AC294" s="34">
        <f t="shared" si="249"/>
        <v>0</v>
      </c>
      <c r="AD294" s="34">
        <f t="shared" si="250"/>
        <v>0</v>
      </c>
      <c r="AE294" s="34">
        <f t="shared" si="251"/>
        <v>0</v>
      </c>
      <c r="AF294" s="34">
        <f t="shared" si="252"/>
        <v>0</v>
      </c>
      <c r="AG294" s="29">
        <f t="shared" si="253"/>
        <v>612713.63449815637</v>
      </c>
      <c r="AH294" s="34">
        <f t="shared" si="254"/>
        <v>0</v>
      </c>
      <c r="AI294" s="34">
        <f t="shared" si="255"/>
        <v>0</v>
      </c>
      <c r="AJ294" s="34">
        <f t="shared" si="256"/>
        <v>0</v>
      </c>
      <c r="AK294" s="34">
        <f t="shared" si="257"/>
        <v>0</v>
      </c>
      <c r="AL294" s="34">
        <f t="shared" si="258"/>
        <v>0</v>
      </c>
      <c r="AM294" s="34">
        <f t="shared" si="259"/>
        <v>0</v>
      </c>
      <c r="AN294" s="34">
        <f t="shared" si="260"/>
        <v>0</v>
      </c>
      <c r="AO294" s="34">
        <f t="shared" si="261"/>
        <v>0</v>
      </c>
      <c r="AP294" s="34">
        <f t="shared" si="262"/>
        <v>0</v>
      </c>
      <c r="AQ294" s="34">
        <f t="shared" si="263"/>
        <v>0</v>
      </c>
      <c r="AR294" s="34">
        <f t="shared" si="264"/>
        <v>0</v>
      </c>
      <c r="AS294" s="30">
        <f t="shared" si="265"/>
        <v>1.2718421088509677</v>
      </c>
      <c r="AT294" s="29">
        <f t="shared" si="266"/>
        <v>0</v>
      </c>
      <c r="AU294" s="29">
        <f t="shared" si="267"/>
        <v>0</v>
      </c>
      <c r="AV294" s="34">
        <f t="shared" si="268"/>
        <v>0</v>
      </c>
      <c r="AW294" s="34">
        <f t="shared" si="269"/>
        <v>0</v>
      </c>
      <c r="AX294" s="29">
        <f t="shared" si="270"/>
        <v>0</v>
      </c>
      <c r="AY294" s="34">
        <f t="shared" si="271"/>
        <v>0</v>
      </c>
      <c r="AZ294" s="37">
        <f t="shared" si="272"/>
        <v>0</v>
      </c>
      <c r="BA294" s="37">
        <f t="shared" si="273"/>
        <v>0</v>
      </c>
      <c r="BB294" s="35">
        <f t="shared" si="274"/>
        <v>1.1337370700335025E-3</v>
      </c>
      <c r="BC294" s="31">
        <f t="shared" si="275"/>
        <v>0.71993272135854425</v>
      </c>
      <c r="BD294" s="34">
        <f t="shared" si="276"/>
        <v>0</v>
      </c>
    </row>
    <row r="295" spans="1:56" x14ac:dyDescent="0.2">
      <c r="A295" s="27">
        <f t="shared" si="277"/>
        <v>291</v>
      </c>
      <c r="B295" s="28">
        <f t="shared" si="224"/>
        <v>291</v>
      </c>
      <c r="C295" s="27">
        <f t="shared" si="225"/>
        <v>24</v>
      </c>
      <c r="D295" s="28">
        <f t="shared" si="226"/>
        <v>44</v>
      </c>
      <c r="E295" s="29">
        <f t="shared" si="227"/>
        <v>0</v>
      </c>
      <c r="F295" s="30">
        <f t="shared" si="228"/>
        <v>9.0372635867901638E-4</v>
      </c>
      <c r="G295" s="31">
        <f t="shared" si="229"/>
        <v>7.5341742130197176E-5</v>
      </c>
      <c r="H295" s="32">
        <f t="shared" si="230"/>
        <v>0.02</v>
      </c>
      <c r="I295" s="32">
        <f t="shared" si="231"/>
        <v>0</v>
      </c>
      <c r="J295" s="33">
        <f t="shared" si="278"/>
        <v>0</v>
      </c>
      <c r="K295" s="30">
        <f t="shared" si="232"/>
        <v>0</v>
      </c>
      <c r="L295" s="33">
        <f t="shared" si="233"/>
        <v>0</v>
      </c>
      <c r="M295" s="30">
        <f t="shared" si="234"/>
        <v>0</v>
      </c>
      <c r="N295" s="33">
        <f t="shared" si="235"/>
        <v>0</v>
      </c>
      <c r="O295" s="31">
        <f t="shared" si="236"/>
        <v>0</v>
      </c>
      <c r="P295" s="33">
        <f t="shared" si="237"/>
        <v>0</v>
      </c>
      <c r="Q295" s="34">
        <f t="shared" si="279"/>
        <v>613633.45611466374</v>
      </c>
      <c r="R295" s="29">
        <f t="shared" si="238"/>
        <v>0</v>
      </c>
      <c r="S295" s="34">
        <f t="shared" si="239"/>
        <v>613633.45611466374</v>
      </c>
      <c r="T295" s="29">
        <f t="shared" si="240"/>
        <v>511.36121342888646</v>
      </c>
      <c r="U295" s="29">
        <f t="shared" si="241"/>
        <v>0</v>
      </c>
      <c r="V295" s="35">
        <f t="shared" si="242"/>
        <v>8.2875916343216904E-5</v>
      </c>
      <c r="W295" s="34">
        <f t="shared" si="243"/>
        <v>0</v>
      </c>
      <c r="X295" s="34">
        <f t="shared" si="244"/>
        <v>613122.09490123484</v>
      </c>
      <c r="Y295" s="36">
        <f t="shared" si="245"/>
        <v>-6.0552390730110872E-3</v>
      </c>
      <c r="Z295" s="34">
        <f t="shared" si="246"/>
        <v>-3712.600865572369</v>
      </c>
      <c r="AA295" s="34">
        <f t="shared" si="247"/>
        <v>611265.79446844861</v>
      </c>
      <c r="AB295" s="34">
        <f t="shared" si="248"/>
        <v>0</v>
      </c>
      <c r="AC295" s="34">
        <f t="shared" si="249"/>
        <v>0</v>
      </c>
      <c r="AD295" s="34">
        <f t="shared" si="250"/>
        <v>0</v>
      </c>
      <c r="AE295" s="34">
        <f t="shared" si="251"/>
        <v>0</v>
      </c>
      <c r="AF295" s="34">
        <f t="shared" si="252"/>
        <v>0</v>
      </c>
      <c r="AG295" s="29">
        <f t="shared" si="253"/>
        <v>611265.79446844861</v>
      </c>
      <c r="AH295" s="34">
        <f t="shared" si="254"/>
        <v>0</v>
      </c>
      <c r="AI295" s="34">
        <f t="shared" si="255"/>
        <v>0</v>
      </c>
      <c r="AJ295" s="34">
        <f t="shared" si="256"/>
        <v>0</v>
      </c>
      <c r="AK295" s="34">
        <f t="shared" si="257"/>
        <v>0</v>
      </c>
      <c r="AL295" s="34">
        <f t="shared" si="258"/>
        <v>0</v>
      </c>
      <c r="AM295" s="34">
        <f t="shared" si="259"/>
        <v>0</v>
      </c>
      <c r="AN295" s="34">
        <f t="shared" si="260"/>
        <v>0</v>
      </c>
      <c r="AO295" s="34">
        <f t="shared" si="261"/>
        <v>0</v>
      </c>
      <c r="AP295" s="34">
        <f t="shared" si="262"/>
        <v>0</v>
      </c>
      <c r="AQ295" s="34">
        <f t="shared" si="263"/>
        <v>0</v>
      </c>
      <c r="AR295" s="34">
        <f t="shared" si="264"/>
        <v>0</v>
      </c>
      <c r="AS295" s="30">
        <f t="shared" si="265"/>
        <v>1.2728971503556901</v>
      </c>
      <c r="AT295" s="29">
        <f t="shared" si="266"/>
        <v>0</v>
      </c>
      <c r="AU295" s="29">
        <f t="shared" si="267"/>
        <v>0</v>
      </c>
      <c r="AV295" s="34">
        <f t="shared" si="268"/>
        <v>0</v>
      </c>
      <c r="AW295" s="34">
        <f t="shared" si="269"/>
        <v>0</v>
      </c>
      <c r="AX295" s="29">
        <f t="shared" si="270"/>
        <v>0</v>
      </c>
      <c r="AY295" s="34">
        <f t="shared" si="271"/>
        <v>0</v>
      </c>
      <c r="AZ295" s="37">
        <f t="shared" si="272"/>
        <v>0</v>
      </c>
      <c r="BA295" s="37">
        <f t="shared" si="273"/>
        <v>0</v>
      </c>
      <c r="BB295" s="35">
        <f t="shared" si="274"/>
        <v>1.1337370700335025E-3</v>
      </c>
      <c r="BC295" s="31">
        <f t="shared" si="275"/>
        <v>0.7191174312690074</v>
      </c>
      <c r="BD295" s="34">
        <f t="shared" si="276"/>
        <v>0</v>
      </c>
    </row>
    <row r="296" spans="1:56" x14ac:dyDescent="0.2">
      <c r="A296" s="27">
        <f t="shared" si="277"/>
        <v>292</v>
      </c>
      <c r="B296" s="28">
        <f t="shared" si="224"/>
        <v>292</v>
      </c>
      <c r="C296" s="27">
        <f t="shared" si="225"/>
        <v>24</v>
      </c>
      <c r="D296" s="28">
        <f t="shared" si="226"/>
        <v>44</v>
      </c>
      <c r="E296" s="29">
        <f t="shared" si="227"/>
        <v>0</v>
      </c>
      <c r="F296" s="30">
        <f t="shared" si="228"/>
        <v>9.0372635867901638E-4</v>
      </c>
      <c r="G296" s="31">
        <f t="shared" si="229"/>
        <v>7.5341742130197176E-5</v>
      </c>
      <c r="H296" s="32">
        <f t="shared" si="230"/>
        <v>0.02</v>
      </c>
      <c r="I296" s="32">
        <f t="shared" si="231"/>
        <v>0</v>
      </c>
      <c r="J296" s="33">
        <f t="shared" si="278"/>
        <v>0</v>
      </c>
      <c r="K296" s="30">
        <f t="shared" si="232"/>
        <v>0</v>
      </c>
      <c r="L296" s="33">
        <f t="shared" si="233"/>
        <v>0</v>
      </c>
      <c r="M296" s="30">
        <f t="shared" si="234"/>
        <v>0</v>
      </c>
      <c r="N296" s="33">
        <f t="shared" si="235"/>
        <v>0</v>
      </c>
      <c r="O296" s="31">
        <f t="shared" si="236"/>
        <v>0</v>
      </c>
      <c r="P296" s="33">
        <f t="shared" si="237"/>
        <v>0</v>
      </c>
      <c r="Q296" s="34">
        <f t="shared" si="279"/>
        <v>609409.4940356625</v>
      </c>
      <c r="R296" s="29">
        <f t="shared" si="238"/>
        <v>0</v>
      </c>
      <c r="S296" s="34">
        <f t="shared" si="239"/>
        <v>609409.4940356625</v>
      </c>
      <c r="T296" s="29">
        <f t="shared" si="240"/>
        <v>507.84124502971878</v>
      </c>
      <c r="U296" s="29">
        <f t="shared" si="241"/>
        <v>0</v>
      </c>
      <c r="V296" s="35">
        <f t="shared" si="242"/>
        <v>8.2875916343216904E-5</v>
      </c>
      <c r="W296" s="34">
        <f t="shared" si="243"/>
        <v>0</v>
      </c>
      <c r="X296" s="34">
        <f t="shared" si="244"/>
        <v>608901.6527906328</v>
      </c>
      <c r="Y296" s="36">
        <f t="shared" si="245"/>
        <v>-1.3460988816102804E-2</v>
      </c>
      <c r="Z296" s="34">
        <f t="shared" si="246"/>
        <v>-8196.4183383212203</v>
      </c>
      <c r="AA296" s="34">
        <f t="shared" si="247"/>
        <v>604803.44362147222</v>
      </c>
      <c r="AB296" s="34">
        <f t="shared" si="248"/>
        <v>0</v>
      </c>
      <c r="AC296" s="34">
        <f t="shared" si="249"/>
        <v>0</v>
      </c>
      <c r="AD296" s="34">
        <f t="shared" si="250"/>
        <v>0</v>
      </c>
      <c r="AE296" s="34">
        <f t="shared" si="251"/>
        <v>0</v>
      </c>
      <c r="AF296" s="34">
        <f t="shared" si="252"/>
        <v>0</v>
      </c>
      <c r="AG296" s="29">
        <f t="shared" si="253"/>
        <v>604803.44362147222</v>
      </c>
      <c r="AH296" s="34">
        <f t="shared" si="254"/>
        <v>0</v>
      </c>
      <c r="AI296" s="34">
        <f t="shared" si="255"/>
        <v>0</v>
      </c>
      <c r="AJ296" s="34">
        <f t="shared" si="256"/>
        <v>0</v>
      </c>
      <c r="AK296" s="34">
        <f t="shared" si="257"/>
        <v>0</v>
      </c>
      <c r="AL296" s="34">
        <f t="shared" si="258"/>
        <v>0</v>
      </c>
      <c r="AM296" s="34">
        <f t="shared" si="259"/>
        <v>0</v>
      </c>
      <c r="AN296" s="34">
        <f t="shared" si="260"/>
        <v>0</v>
      </c>
      <c r="AO296" s="34">
        <f t="shared" si="261"/>
        <v>0</v>
      </c>
      <c r="AP296" s="34">
        <f t="shared" si="262"/>
        <v>0</v>
      </c>
      <c r="AQ296" s="34">
        <f t="shared" si="263"/>
        <v>0</v>
      </c>
      <c r="AR296" s="34">
        <f t="shared" si="264"/>
        <v>0</v>
      </c>
      <c r="AS296" s="30">
        <f t="shared" si="265"/>
        <v>1.2739530670575527</v>
      </c>
      <c r="AT296" s="29">
        <f t="shared" si="266"/>
        <v>0</v>
      </c>
      <c r="AU296" s="29">
        <f t="shared" si="267"/>
        <v>0</v>
      </c>
      <c r="AV296" s="34">
        <f t="shared" si="268"/>
        <v>0</v>
      </c>
      <c r="AW296" s="34">
        <f t="shared" si="269"/>
        <v>0</v>
      </c>
      <c r="AX296" s="29">
        <f t="shared" si="270"/>
        <v>0</v>
      </c>
      <c r="AY296" s="34">
        <f t="shared" si="271"/>
        <v>0</v>
      </c>
      <c r="AZ296" s="37">
        <f t="shared" si="272"/>
        <v>0</v>
      </c>
      <c r="BA296" s="37">
        <f t="shared" si="273"/>
        <v>0</v>
      </c>
      <c r="BB296" s="35">
        <f t="shared" si="274"/>
        <v>1.1337370700335025E-3</v>
      </c>
      <c r="BC296" s="31">
        <f t="shared" si="275"/>
        <v>0.71830306445731318</v>
      </c>
      <c r="BD296" s="34">
        <f t="shared" si="276"/>
        <v>0</v>
      </c>
    </row>
    <row r="297" spans="1:56" x14ac:dyDescent="0.2">
      <c r="A297" s="27">
        <f t="shared" si="277"/>
        <v>293</v>
      </c>
      <c r="B297" s="28">
        <f t="shared" si="224"/>
        <v>293</v>
      </c>
      <c r="C297" s="27">
        <f t="shared" si="225"/>
        <v>24</v>
      </c>
      <c r="D297" s="28">
        <f t="shared" si="226"/>
        <v>44</v>
      </c>
      <c r="E297" s="29">
        <f t="shared" si="227"/>
        <v>0</v>
      </c>
      <c r="F297" s="30">
        <f t="shared" si="228"/>
        <v>9.0372635867901638E-4</v>
      </c>
      <c r="G297" s="31">
        <f t="shared" si="229"/>
        <v>7.5341742130197176E-5</v>
      </c>
      <c r="H297" s="32">
        <f t="shared" si="230"/>
        <v>0.02</v>
      </c>
      <c r="I297" s="32">
        <f t="shared" si="231"/>
        <v>0</v>
      </c>
      <c r="J297" s="33">
        <f t="shared" si="278"/>
        <v>0</v>
      </c>
      <c r="K297" s="30">
        <f t="shared" si="232"/>
        <v>0</v>
      </c>
      <c r="L297" s="33">
        <f t="shared" si="233"/>
        <v>0</v>
      </c>
      <c r="M297" s="30">
        <f t="shared" si="234"/>
        <v>0</v>
      </c>
      <c r="N297" s="33">
        <f t="shared" si="235"/>
        <v>0</v>
      </c>
      <c r="O297" s="31">
        <f t="shared" si="236"/>
        <v>0</v>
      </c>
      <c r="P297" s="33">
        <f t="shared" si="237"/>
        <v>0</v>
      </c>
      <c r="Q297" s="34">
        <f t="shared" si="279"/>
        <v>600705.23445231153</v>
      </c>
      <c r="R297" s="29">
        <f t="shared" si="238"/>
        <v>0</v>
      </c>
      <c r="S297" s="34">
        <f t="shared" si="239"/>
        <v>600705.23445231153</v>
      </c>
      <c r="T297" s="29">
        <f t="shared" si="240"/>
        <v>500.58769537692632</v>
      </c>
      <c r="U297" s="29">
        <f t="shared" si="241"/>
        <v>0</v>
      </c>
      <c r="V297" s="35">
        <f t="shared" si="242"/>
        <v>8.2875916343216904E-5</v>
      </c>
      <c r="W297" s="34">
        <f t="shared" si="243"/>
        <v>0</v>
      </c>
      <c r="X297" s="34">
        <f t="shared" si="244"/>
        <v>600204.64675693458</v>
      </c>
      <c r="Y297" s="36">
        <f t="shared" si="245"/>
        <v>6.6112133233442449E-4</v>
      </c>
      <c r="Z297" s="34">
        <f t="shared" si="246"/>
        <v>396.80809573725719</v>
      </c>
      <c r="AA297" s="34">
        <f t="shared" si="247"/>
        <v>600403.05080480326</v>
      </c>
      <c r="AB297" s="34">
        <f t="shared" si="248"/>
        <v>0</v>
      </c>
      <c r="AC297" s="34">
        <f t="shared" si="249"/>
        <v>0</v>
      </c>
      <c r="AD297" s="34">
        <f t="shared" si="250"/>
        <v>0</v>
      </c>
      <c r="AE297" s="34">
        <f t="shared" si="251"/>
        <v>0</v>
      </c>
      <c r="AF297" s="34">
        <f t="shared" si="252"/>
        <v>0</v>
      </c>
      <c r="AG297" s="29">
        <f t="shared" si="253"/>
        <v>600403.05080480326</v>
      </c>
      <c r="AH297" s="34">
        <f t="shared" si="254"/>
        <v>0</v>
      </c>
      <c r="AI297" s="34">
        <f t="shared" si="255"/>
        <v>0</v>
      </c>
      <c r="AJ297" s="34">
        <f t="shared" si="256"/>
        <v>0</v>
      </c>
      <c r="AK297" s="34">
        <f t="shared" si="257"/>
        <v>0</v>
      </c>
      <c r="AL297" s="34">
        <f t="shared" si="258"/>
        <v>0</v>
      </c>
      <c r="AM297" s="34">
        <f t="shared" si="259"/>
        <v>0</v>
      </c>
      <c r="AN297" s="34">
        <f t="shared" si="260"/>
        <v>0</v>
      </c>
      <c r="AO297" s="34">
        <f t="shared" si="261"/>
        <v>0</v>
      </c>
      <c r="AP297" s="34">
        <f t="shared" si="262"/>
        <v>0</v>
      </c>
      <c r="AQ297" s="34">
        <f t="shared" si="263"/>
        <v>0</v>
      </c>
      <c r="AR297" s="34">
        <f t="shared" si="264"/>
        <v>0</v>
      </c>
      <c r="AS297" s="30">
        <f t="shared" si="265"/>
        <v>1.2750098596825652</v>
      </c>
      <c r="AT297" s="29">
        <f t="shared" si="266"/>
        <v>0</v>
      </c>
      <c r="AU297" s="29">
        <f t="shared" si="267"/>
        <v>0</v>
      </c>
      <c r="AV297" s="34">
        <f t="shared" si="268"/>
        <v>0</v>
      </c>
      <c r="AW297" s="34">
        <f t="shared" si="269"/>
        <v>0</v>
      </c>
      <c r="AX297" s="29">
        <f t="shared" si="270"/>
        <v>0</v>
      </c>
      <c r="AY297" s="34">
        <f t="shared" si="271"/>
        <v>0</v>
      </c>
      <c r="AZ297" s="37">
        <f t="shared" si="272"/>
        <v>0</v>
      </c>
      <c r="BA297" s="37">
        <f t="shared" si="273"/>
        <v>0</v>
      </c>
      <c r="BB297" s="35">
        <f t="shared" si="274"/>
        <v>1.1337370700335025E-3</v>
      </c>
      <c r="BC297" s="31">
        <f t="shared" si="275"/>
        <v>0.7174896198778935</v>
      </c>
      <c r="BD297" s="34">
        <f t="shared" si="276"/>
        <v>0</v>
      </c>
    </row>
    <row r="298" spans="1:56" x14ac:dyDescent="0.2">
      <c r="A298" s="27">
        <f t="shared" si="277"/>
        <v>294</v>
      </c>
      <c r="B298" s="28">
        <f t="shared" si="224"/>
        <v>294</v>
      </c>
      <c r="C298" s="27">
        <f t="shared" si="225"/>
        <v>24</v>
      </c>
      <c r="D298" s="28">
        <f t="shared" si="226"/>
        <v>44</v>
      </c>
      <c r="E298" s="29">
        <f t="shared" si="227"/>
        <v>0</v>
      </c>
      <c r="F298" s="30">
        <f t="shared" si="228"/>
        <v>9.0372635867901638E-4</v>
      </c>
      <c r="G298" s="31">
        <f t="shared" si="229"/>
        <v>7.5341742130197176E-5</v>
      </c>
      <c r="H298" s="32">
        <f t="shared" si="230"/>
        <v>0.02</v>
      </c>
      <c r="I298" s="32">
        <f t="shared" si="231"/>
        <v>0</v>
      </c>
      <c r="J298" s="33">
        <f t="shared" si="278"/>
        <v>0</v>
      </c>
      <c r="K298" s="30">
        <f t="shared" si="232"/>
        <v>0</v>
      </c>
      <c r="L298" s="33">
        <f t="shared" si="233"/>
        <v>0</v>
      </c>
      <c r="M298" s="30">
        <f t="shared" si="234"/>
        <v>0</v>
      </c>
      <c r="N298" s="33">
        <f t="shared" si="235"/>
        <v>0</v>
      </c>
      <c r="O298" s="31">
        <f t="shared" si="236"/>
        <v>0</v>
      </c>
      <c r="P298" s="33">
        <f t="shared" si="237"/>
        <v>0</v>
      </c>
      <c r="Q298" s="34">
        <f t="shared" si="279"/>
        <v>600601.45485267183</v>
      </c>
      <c r="R298" s="29">
        <f t="shared" si="238"/>
        <v>0</v>
      </c>
      <c r="S298" s="34">
        <f t="shared" si="239"/>
        <v>600601.45485267183</v>
      </c>
      <c r="T298" s="29">
        <f t="shared" si="240"/>
        <v>500.50121237722658</v>
      </c>
      <c r="U298" s="29">
        <f t="shared" si="241"/>
        <v>0</v>
      </c>
      <c r="V298" s="35">
        <f t="shared" si="242"/>
        <v>8.2875916343216904E-5</v>
      </c>
      <c r="W298" s="34">
        <f t="shared" si="243"/>
        <v>0</v>
      </c>
      <c r="X298" s="34">
        <f t="shared" si="244"/>
        <v>600100.95364029461</v>
      </c>
      <c r="Y298" s="36">
        <f t="shared" si="245"/>
        <v>2.0261188929846963E-2</v>
      </c>
      <c r="Z298" s="34">
        <f t="shared" si="246"/>
        <v>12158.758798687342</v>
      </c>
      <c r="AA298" s="34">
        <f t="shared" si="247"/>
        <v>606180.33303963824</v>
      </c>
      <c r="AB298" s="34">
        <f t="shared" si="248"/>
        <v>0</v>
      </c>
      <c r="AC298" s="34">
        <f t="shared" si="249"/>
        <v>0</v>
      </c>
      <c r="AD298" s="34">
        <f t="shared" si="250"/>
        <v>0</v>
      </c>
      <c r="AE298" s="34">
        <f t="shared" si="251"/>
        <v>0</v>
      </c>
      <c r="AF298" s="34">
        <f t="shared" si="252"/>
        <v>0</v>
      </c>
      <c r="AG298" s="29">
        <f t="shared" si="253"/>
        <v>606180.33303963824</v>
      </c>
      <c r="AH298" s="34">
        <f t="shared" si="254"/>
        <v>0</v>
      </c>
      <c r="AI298" s="34">
        <f t="shared" si="255"/>
        <v>0</v>
      </c>
      <c r="AJ298" s="34">
        <f t="shared" si="256"/>
        <v>0</v>
      </c>
      <c r="AK298" s="34">
        <f t="shared" si="257"/>
        <v>0</v>
      </c>
      <c r="AL298" s="34">
        <f t="shared" si="258"/>
        <v>0</v>
      </c>
      <c r="AM298" s="34">
        <f t="shared" si="259"/>
        <v>0</v>
      </c>
      <c r="AN298" s="34">
        <f t="shared" si="260"/>
        <v>0</v>
      </c>
      <c r="AO298" s="34">
        <f t="shared" si="261"/>
        <v>0</v>
      </c>
      <c r="AP298" s="34">
        <f t="shared" si="262"/>
        <v>0</v>
      </c>
      <c r="AQ298" s="34">
        <f t="shared" si="263"/>
        <v>0</v>
      </c>
      <c r="AR298" s="34">
        <f t="shared" si="264"/>
        <v>0</v>
      </c>
      <c r="AS298" s="30">
        <f t="shared" si="265"/>
        <v>1.2760675289573391</v>
      </c>
      <c r="AT298" s="29">
        <f t="shared" si="266"/>
        <v>0</v>
      </c>
      <c r="AU298" s="29">
        <f t="shared" si="267"/>
        <v>0</v>
      </c>
      <c r="AV298" s="34">
        <f t="shared" si="268"/>
        <v>0</v>
      </c>
      <c r="AW298" s="34">
        <f t="shared" si="269"/>
        <v>0</v>
      </c>
      <c r="AX298" s="29">
        <f t="shared" si="270"/>
        <v>0</v>
      </c>
      <c r="AY298" s="34">
        <f t="shared" si="271"/>
        <v>0</v>
      </c>
      <c r="AZ298" s="37">
        <f t="shared" si="272"/>
        <v>0</v>
      </c>
      <c r="BA298" s="37">
        <f t="shared" si="273"/>
        <v>0</v>
      </c>
      <c r="BB298" s="35">
        <f t="shared" si="274"/>
        <v>1.1337370700335025E-3</v>
      </c>
      <c r="BC298" s="31">
        <f t="shared" si="275"/>
        <v>0.7166770964863628</v>
      </c>
      <c r="BD298" s="34">
        <f t="shared" si="276"/>
        <v>0</v>
      </c>
    </row>
    <row r="299" spans="1:56" x14ac:dyDescent="0.2">
      <c r="A299" s="27">
        <f t="shared" si="277"/>
        <v>295</v>
      </c>
      <c r="B299" s="28">
        <f t="shared" si="224"/>
        <v>295</v>
      </c>
      <c r="C299" s="27">
        <f t="shared" si="225"/>
        <v>24</v>
      </c>
      <c r="D299" s="28">
        <f t="shared" si="226"/>
        <v>44</v>
      </c>
      <c r="E299" s="29">
        <f t="shared" si="227"/>
        <v>0</v>
      </c>
      <c r="F299" s="30">
        <f t="shared" si="228"/>
        <v>9.0372635867901638E-4</v>
      </c>
      <c r="G299" s="31">
        <f t="shared" si="229"/>
        <v>7.5341742130197176E-5</v>
      </c>
      <c r="H299" s="32">
        <f t="shared" si="230"/>
        <v>0.02</v>
      </c>
      <c r="I299" s="32">
        <f t="shared" si="231"/>
        <v>0</v>
      </c>
      <c r="J299" s="33">
        <f t="shared" si="278"/>
        <v>0</v>
      </c>
      <c r="K299" s="30">
        <f t="shared" si="232"/>
        <v>0</v>
      </c>
      <c r="L299" s="33">
        <f t="shared" si="233"/>
        <v>0</v>
      </c>
      <c r="M299" s="30">
        <f t="shared" si="234"/>
        <v>0</v>
      </c>
      <c r="N299" s="33">
        <f t="shared" si="235"/>
        <v>0</v>
      </c>
      <c r="O299" s="31">
        <f t="shared" si="236"/>
        <v>0</v>
      </c>
      <c r="P299" s="33">
        <f t="shared" si="237"/>
        <v>0</v>
      </c>
      <c r="Q299" s="34">
        <f t="shared" si="279"/>
        <v>612259.71243898198</v>
      </c>
      <c r="R299" s="29">
        <f t="shared" si="238"/>
        <v>0</v>
      </c>
      <c r="S299" s="34">
        <f t="shared" si="239"/>
        <v>612259.71243898198</v>
      </c>
      <c r="T299" s="29">
        <f t="shared" si="240"/>
        <v>510.216427032485</v>
      </c>
      <c r="U299" s="29">
        <f t="shared" si="241"/>
        <v>0</v>
      </c>
      <c r="V299" s="35">
        <f t="shared" si="242"/>
        <v>8.2875916343216904E-5</v>
      </c>
      <c r="W299" s="34">
        <f t="shared" si="243"/>
        <v>0</v>
      </c>
      <c r="X299" s="34">
        <f t="shared" si="244"/>
        <v>611749.49601194949</v>
      </c>
      <c r="Y299" s="36">
        <f t="shared" si="245"/>
        <v>3.0027211213954352E-3</v>
      </c>
      <c r="Z299" s="34">
        <f t="shared" si="246"/>
        <v>1836.9131326780932</v>
      </c>
      <c r="AA299" s="34">
        <f t="shared" si="247"/>
        <v>612667.9525782885</v>
      </c>
      <c r="AB299" s="34">
        <f t="shared" si="248"/>
        <v>0</v>
      </c>
      <c r="AC299" s="34">
        <f t="shared" si="249"/>
        <v>0</v>
      </c>
      <c r="AD299" s="34">
        <f t="shared" si="250"/>
        <v>0</v>
      </c>
      <c r="AE299" s="34">
        <f t="shared" si="251"/>
        <v>0</v>
      </c>
      <c r="AF299" s="34">
        <f t="shared" si="252"/>
        <v>0</v>
      </c>
      <c r="AG299" s="29">
        <f t="shared" si="253"/>
        <v>612667.9525782885</v>
      </c>
      <c r="AH299" s="34">
        <f t="shared" si="254"/>
        <v>0</v>
      </c>
      <c r="AI299" s="34">
        <f t="shared" si="255"/>
        <v>0</v>
      </c>
      <c r="AJ299" s="34">
        <f t="shared" si="256"/>
        <v>0</v>
      </c>
      <c r="AK299" s="34">
        <f t="shared" si="257"/>
        <v>0</v>
      </c>
      <c r="AL299" s="34">
        <f t="shared" si="258"/>
        <v>0</v>
      </c>
      <c r="AM299" s="34">
        <f t="shared" si="259"/>
        <v>0</v>
      </c>
      <c r="AN299" s="34">
        <f t="shared" si="260"/>
        <v>0</v>
      </c>
      <c r="AO299" s="34">
        <f t="shared" si="261"/>
        <v>0</v>
      </c>
      <c r="AP299" s="34">
        <f t="shared" si="262"/>
        <v>0</v>
      </c>
      <c r="AQ299" s="34">
        <f t="shared" si="263"/>
        <v>0</v>
      </c>
      <c r="AR299" s="34">
        <f t="shared" si="264"/>
        <v>0</v>
      </c>
      <c r="AS299" s="30">
        <f t="shared" si="265"/>
        <v>1.277126075609089</v>
      </c>
      <c r="AT299" s="29">
        <f t="shared" si="266"/>
        <v>0</v>
      </c>
      <c r="AU299" s="29">
        <f t="shared" si="267"/>
        <v>0</v>
      </c>
      <c r="AV299" s="34">
        <f t="shared" si="268"/>
        <v>0</v>
      </c>
      <c r="AW299" s="34">
        <f t="shared" si="269"/>
        <v>0</v>
      </c>
      <c r="AX299" s="29">
        <f t="shared" si="270"/>
        <v>0</v>
      </c>
      <c r="AY299" s="34">
        <f t="shared" si="271"/>
        <v>0</v>
      </c>
      <c r="AZ299" s="37">
        <f t="shared" si="272"/>
        <v>0</v>
      </c>
      <c r="BA299" s="37">
        <f t="shared" si="273"/>
        <v>0</v>
      </c>
      <c r="BB299" s="35">
        <f t="shared" si="274"/>
        <v>1.1337370700335025E-3</v>
      </c>
      <c r="BC299" s="31">
        <f t="shared" si="275"/>
        <v>0.71586549323951965</v>
      </c>
      <c r="BD299" s="34">
        <f t="shared" si="276"/>
        <v>0</v>
      </c>
    </row>
    <row r="300" spans="1:56" x14ac:dyDescent="0.2">
      <c r="A300" s="27">
        <f t="shared" si="277"/>
        <v>296</v>
      </c>
      <c r="B300" s="28">
        <f t="shared" si="224"/>
        <v>296</v>
      </c>
      <c r="C300" s="27">
        <f t="shared" si="225"/>
        <v>24</v>
      </c>
      <c r="D300" s="28">
        <f t="shared" si="226"/>
        <v>44</v>
      </c>
      <c r="E300" s="29">
        <f t="shared" si="227"/>
        <v>0</v>
      </c>
      <c r="F300" s="30">
        <f t="shared" si="228"/>
        <v>9.0372635867901638E-4</v>
      </c>
      <c r="G300" s="31">
        <f t="shared" si="229"/>
        <v>7.5341742130197176E-5</v>
      </c>
      <c r="H300" s="32">
        <f t="shared" si="230"/>
        <v>0.02</v>
      </c>
      <c r="I300" s="32">
        <f t="shared" si="231"/>
        <v>0</v>
      </c>
      <c r="J300" s="33">
        <f t="shared" si="278"/>
        <v>0</v>
      </c>
      <c r="K300" s="30">
        <f t="shared" si="232"/>
        <v>0</v>
      </c>
      <c r="L300" s="33">
        <f t="shared" si="233"/>
        <v>0</v>
      </c>
      <c r="M300" s="30">
        <f t="shared" si="234"/>
        <v>0</v>
      </c>
      <c r="N300" s="33">
        <f t="shared" si="235"/>
        <v>0</v>
      </c>
      <c r="O300" s="31">
        <f t="shared" si="236"/>
        <v>0</v>
      </c>
      <c r="P300" s="33">
        <f t="shared" si="237"/>
        <v>0</v>
      </c>
      <c r="Q300" s="34">
        <f t="shared" si="279"/>
        <v>613586.40914462763</v>
      </c>
      <c r="R300" s="29">
        <f t="shared" si="238"/>
        <v>0</v>
      </c>
      <c r="S300" s="34">
        <f t="shared" si="239"/>
        <v>613586.40914462763</v>
      </c>
      <c r="T300" s="29">
        <f t="shared" si="240"/>
        <v>511.32200762052304</v>
      </c>
      <c r="U300" s="29">
        <f t="shared" si="241"/>
        <v>0</v>
      </c>
      <c r="V300" s="35">
        <f t="shared" si="242"/>
        <v>8.2875916343216904E-5</v>
      </c>
      <c r="W300" s="34">
        <f t="shared" si="243"/>
        <v>0</v>
      </c>
      <c r="X300" s="34">
        <f t="shared" si="244"/>
        <v>613075.08713700715</v>
      </c>
      <c r="Y300" s="36">
        <f t="shared" si="245"/>
        <v>3.3503592805998572E-2</v>
      </c>
      <c r="Z300" s="34">
        <f t="shared" si="246"/>
        <v>20540.218078940379</v>
      </c>
      <c r="AA300" s="34">
        <f t="shared" si="247"/>
        <v>623345.19617647736</v>
      </c>
      <c r="AB300" s="34">
        <f t="shared" si="248"/>
        <v>0</v>
      </c>
      <c r="AC300" s="34">
        <f t="shared" si="249"/>
        <v>0</v>
      </c>
      <c r="AD300" s="34">
        <f t="shared" si="250"/>
        <v>0</v>
      </c>
      <c r="AE300" s="34">
        <f t="shared" si="251"/>
        <v>0</v>
      </c>
      <c r="AF300" s="34">
        <f t="shared" si="252"/>
        <v>0</v>
      </c>
      <c r="AG300" s="29">
        <f t="shared" si="253"/>
        <v>623345.19617647736</v>
      </c>
      <c r="AH300" s="34">
        <f t="shared" si="254"/>
        <v>0</v>
      </c>
      <c r="AI300" s="34">
        <f t="shared" si="255"/>
        <v>0</v>
      </c>
      <c r="AJ300" s="34">
        <f t="shared" si="256"/>
        <v>0</v>
      </c>
      <c r="AK300" s="34">
        <f t="shared" si="257"/>
        <v>0</v>
      </c>
      <c r="AL300" s="34">
        <f t="shared" si="258"/>
        <v>0</v>
      </c>
      <c r="AM300" s="34">
        <f t="shared" si="259"/>
        <v>0</v>
      </c>
      <c r="AN300" s="34">
        <f t="shared" si="260"/>
        <v>0</v>
      </c>
      <c r="AO300" s="34">
        <f t="shared" si="261"/>
        <v>0</v>
      </c>
      <c r="AP300" s="34">
        <f t="shared" si="262"/>
        <v>0</v>
      </c>
      <c r="AQ300" s="34">
        <f t="shared" si="263"/>
        <v>0</v>
      </c>
      <c r="AR300" s="34">
        <f t="shared" si="264"/>
        <v>0</v>
      </c>
      <c r="AS300" s="30">
        <f t="shared" si="265"/>
        <v>1.2781855003656322</v>
      </c>
      <c r="AT300" s="29">
        <f t="shared" si="266"/>
        <v>0</v>
      </c>
      <c r="AU300" s="29">
        <f t="shared" si="267"/>
        <v>0</v>
      </c>
      <c r="AV300" s="34">
        <f t="shared" si="268"/>
        <v>0</v>
      </c>
      <c r="AW300" s="34">
        <f t="shared" si="269"/>
        <v>0</v>
      </c>
      <c r="AX300" s="29">
        <f t="shared" si="270"/>
        <v>0</v>
      </c>
      <c r="AY300" s="34">
        <f t="shared" si="271"/>
        <v>0</v>
      </c>
      <c r="AZ300" s="37">
        <f t="shared" si="272"/>
        <v>0</v>
      </c>
      <c r="BA300" s="37">
        <f t="shared" si="273"/>
        <v>0</v>
      </c>
      <c r="BB300" s="35">
        <f t="shared" si="274"/>
        <v>1.1337370700335025E-3</v>
      </c>
      <c r="BC300" s="31">
        <f t="shared" si="275"/>
        <v>0.71505480909534236</v>
      </c>
      <c r="BD300" s="34">
        <f t="shared" si="276"/>
        <v>0</v>
      </c>
    </row>
    <row r="301" spans="1:56" x14ac:dyDescent="0.2">
      <c r="A301" s="27">
        <f t="shared" si="277"/>
        <v>297</v>
      </c>
      <c r="B301" s="28">
        <f t="shared" si="224"/>
        <v>297</v>
      </c>
      <c r="C301" s="27">
        <f t="shared" si="225"/>
        <v>24</v>
      </c>
      <c r="D301" s="28">
        <f t="shared" si="226"/>
        <v>44</v>
      </c>
      <c r="E301" s="29">
        <f t="shared" si="227"/>
        <v>0</v>
      </c>
      <c r="F301" s="30">
        <f t="shared" si="228"/>
        <v>9.0372635867901638E-4</v>
      </c>
      <c r="G301" s="31">
        <f t="shared" si="229"/>
        <v>7.5341742130197176E-5</v>
      </c>
      <c r="H301" s="32">
        <f t="shared" si="230"/>
        <v>0.02</v>
      </c>
      <c r="I301" s="32">
        <f t="shared" si="231"/>
        <v>0</v>
      </c>
      <c r="J301" s="33">
        <f t="shared" si="278"/>
        <v>0</v>
      </c>
      <c r="K301" s="30">
        <f t="shared" si="232"/>
        <v>0</v>
      </c>
      <c r="L301" s="33">
        <f t="shared" si="233"/>
        <v>0</v>
      </c>
      <c r="M301" s="30">
        <f t="shared" si="234"/>
        <v>0</v>
      </c>
      <c r="N301" s="33">
        <f t="shared" si="235"/>
        <v>0</v>
      </c>
      <c r="O301" s="31">
        <f t="shared" si="236"/>
        <v>0</v>
      </c>
      <c r="P301" s="33">
        <f t="shared" si="237"/>
        <v>0</v>
      </c>
      <c r="Q301" s="34">
        <f t="shared" si="279"/>
        <v>633615.30521594756</v>
      </c>
      <c r="R301" s="29">
        <f t="shared" si="238"/>
        <v>0</v>
      </c>
      <c r="S301" s="34">
        <f t="shared" si="239"/>
        <v>633615.30521594756</v>
      </c>
      <c r="T301" s="29">
        <f t="shared" si="240"/>
        <v>528.01275434662296</v>
      </c>
      <c r="U301" s="29">
        <f t="shared" si="241"/>
        <v>0</v>
      </c>
      <c r="V301" s="35">
        <f t="shared" si="242"/>
        <v>8.2875916343216904E-5</v>
      </c>
      <c r="W301" s="34">
        <f t="shared" si="243"/>
        <v>0</v>
      </c>
      <c r="X301" s="34">
        <f t="shared" si="244"/>
        <v>633087.29246160097</v>
      </c>
      <c r="Y301" s="36">
        <f t="shared" si="245"/>
        <v>6.4122713188949909E-3</v>
      </c>
      <c r="Z301" s="34">
        <f t="shared" si="246"/>
        <v>4059.5274878084088</v>
      </c>
      <c r="AA301" s="34">
        <f t="shared" si="247"/>
        <v>635117.05620550516</v>
      </c>
      <c r="AB301" s="34">
        <f t="shared" si="248"/>
        <v>0</v>
      </c>
      <c r="AC301" s="34">
        <f t="shared" si="249"/>
        <v>0</v>
      </c>
      <c r="AD301" s="34">
        <f t="shared" si="250"/>
        <v>0</v>
      </c>
      <c r="AE301" s="34">
        <f t="shared" si="251"/>
        <v>0</v>
      </c>
      <c r="AF301" s="34">
        <f t="shared" si="252"/>
        <v>0</v>
      </c>
      <c r="AG301" s="29">
        <f t="shared" si="253"/>
        <v>635117.05620550516</v>
      </c>
      <c r="AH301" s="34">
        <f t="shared" si="254"/>
        <v>0</v>
      </c>
      <c r="AI301" s="34">
        <f t="shared" si="255"/>
        <v>0</v>
      </c>
      <c r="AJ301" s="34">
        <f t="shared" si="256"/>
        <v>0</v>
      </c>
      <c r="AK301" s="34">
        <f t="shared" si="257"/>
        <v>0</v>
      </c>
      <c r="AL301" s="34">
        <f t="shared" si="258"/>
        <v>0</v>
      </c>
      <c r="AM301" s="34">
        <f t="shared" si="259"/>
        <v>0</v>
      </c>
      <c r="AN301" s="34">
        <f t="shared" si="260"/>
        <v>0</v>
      </c>
      <c r="AO301" s="34">
        <f t="shared" si="261"/>
        <v>0</v>
      </c>
      <c r="AP301" s="34">
        <f t="shared" si="262"/>
        <v>0</v>
      </c>
      <c r="AQ301" s="34">
        <f t="shared" si="263"/>
        <v>0</v>
      </c>
      <c r="AR301" s="34">
        <f t="shared" si="264"/>
        <v>0</v>
      </c>
      <c r="AS301" s="30">
        <f t="shared" si="265"/>
        <v>1.2792458039553902</v>
      </c>
      <c r="AT301" s="29">
        <f t="shared" si="266"/>
        <v>0</v>
      </c>
      <c r="AU301" s="29">
        <f t="shared" si="267"/>
        <v>0</v>
      </c>
      <c r="AV301" s="34">
        <f t="shared" si="268"/>
        <v>0</v>
      </c>
      <c r="AW301" s="34">
        <f t="shared" si="269"/>
        <v>0</v>
      </c>
      <c r="AX301" s="29">
        <f t="shared" si="270"/>
        <v>0</v>
      </c>
      <c r="AY301" s="34">
        <f t="shared" si="271"/>
        <v>0</v>
      </c>
      <c r="AZ301" s="37">
        <f t="shared" si="272"/>
        <v>0</v>
      </c>
      <c r="BA301" s="37">
        <f t="shared" si="273"/>
        <v>0</v>
      </c>
      <c r="BB301" s="35">
        <f t="shared" si="274"/>
        <v>1.1337370700335025E-3</v>
      </c>
      <c r="BC301" s="31">
        <f t="shared" si="275"/>
        <v>0.71424504301299074</v>
      </c>
      <c r="BD301" s="34">
        <f t="shared" si="276"/>
        <v>0</v>
      </c>
    </row>
    <row r="302" spans="1:56" x14ac:dyDescent="0.2">
      <c r="A302" s="27">
        <f t="shared" si="277"/>
        <v>298</v>
      </c>
      <c r="B302" s="28">
        <f t="shared" si="224"/>
        <v>298</v>
      </c>
      <c r="C302" s="27">
        <f t="shared" si="225"/>
        <v>24</v>
      </c>
      <c r="D302" s="28">
        <f t="shared" si="226"/>
        <v>44</v>
      </c>
      <c r="E302" s="29">
        <f t="shared" si="227"/>
        <v>0</v>
      </c>
      <c r="F302" s="30">
        <f t="shared" si="228"/>
        <v>9.0372635867901638E-4</v>
      </c>
      <c r="G302" s="31">
        <f t="shared" si="229"/>
        <v>7.5341742130197176E-5</v>
      </c>
      <c r="H302" s="32">
        <f t="shared" si="230"/>
        <v>0.02</v>
      </c>
      <c r="I302" s="32">
        <f t="shared" si="231"/>
        <v>0</v>
      </c>
      <c r="J302" s="33">
        <f t="shared" si="278"/>
        <v>0</v>
      </c>
      <c r="K302" s="30">
        <f t="shared" si="232"/>
        <v>0</v>
      </c>
      <c r="L302" s="33">
        <f t="shared" si="233"/>
        <v>0</v>
      </c>
      <c r="M302" s="30">
        <f t="shared" si="234"/>
        <v>0</v>
      </c>
      <c r="N302" s="33">
        <f t="shared" si="235"/>
        <v>0</v>
      </c>
      <c r="O302" s="31">
        <f t="shared" si="236"/>
        <v>0</v>
      </c>
      <c r="P302" s="33">
        <f t="shared" si="237"/>
        <v>0</v>
      </c>
      <c r="Q302" s="34">
        <f t="shared" si="279"/>
        <v>637146.81994940934</v>
      </c>
      <c r="R302" s="29">
        <f t="shared" si="238"/>
        <v>0</v>
      </c>
      <c r="S302" s="34">
        <f t="shared" si="239"/>
        <v>637146.81994940934</v>
      </c>
      <c r="T302" s="29">
        <f t="shared" si="240"/>
        <v>530.95568329117452</v>
      </c>
      <c r="U302" s="29">
        <f t="shared" si="241"/>
        <v>0</v>
      </c>
      <c r="V302" s="35">
        <f t="shared" si="242"/>
        <v>8.2875916343216904E-5</v>
      </c>
      <c r="W302" s="34">
        <f t="shared" si="243"/>
        <v>0</v>
      </c>
      <c r="X302" s="34">
        <f t="shared" si="244"/>
        <v>636615.86426611815</v>
      </c>
      <c r="Y302" s="36">
        <f t="shared" si="245"/>
        <v>1.4669706541005301E-2</v>
      </c>
      <c r="Z302" s="34">
        <f t="shared" si="246"/>
        <v>9338.9679081324157</v>
      </c>
      <c r="AA302" s="34">
        <f t="shared" si="247"/>
        <v>641285.34822018433</v>
      </c>
      <c r="AB302" s="34">
        <f t="shared" si="248"/>
        <v>0</v>
      </c>
      <c r="AC302" s="34">
        <f t="shared" si="249"/>
        <v>0</v>
      </c>
      <c r="AD302" s="34">
        <f t="shared" si="250"/>
        <v>0</v>
      </c>
      <c r="AE302" s="34">
        <f t="shared" si="251"/>
        <v>0</v>
      </c>
      <c r="AF302" s="34">
        <f t="shared" si="252"/>
        <v>0</v>
      </c>
      <c r="AG302" s="29">
        <f t="shared" si="253"/>
        <v>641285.34822018433</v>
      </c>
      <c r="AH302" s="34">
        <f t="shared" si="254"/>
        <v>0</v>
      </c>
      <c r="AI302" s="34">
        <f t="shared" si="255"/>
        <v>0</v>
      </c>
      <c r="AJ302" s="34">
        <f t="shared" si="256"/>
        <v>0</v>
      </c>
      <c r="AK302" s="34">
        <f t="shared" si="257"/>
        <v>0</v>
      </c>
      <c r="AL302" s="34">
        <f t="shared" si="258"/>
        <v>0</v>
      </c>
      <c r="AM302" s="34">
        <f t="shared" si="259"/>
        <v>0</v>
      </c>
      <c r="AN302" s="34">
        <f t="shared" si="260"/>
        <v>0</v>
      </c>
      <c r="AO302" s="34">
        <f t="shared" si="261"/>
        <v>0</v>
      </c>
      <c r="AP302" s="34">
        <f t="shared" si="262"/>
        <v>0</v>
      </c>
      <c r="AQ302" s="34">
        <f t="shared" si="263"/>
        <v>0</v>
      </c>
      <c r="AR302" s="34">
        <f t="shared" si="264"/>
        <v>0</v>
      </c>
      <c r="AS302" s="30">
        <f t="shared" si="265"/>
        <v>1.2803069871073887</v>
      </c>
      <c r="AT302" s="29">
        <f t="shared" si="266"/>
        <v>0</v>
      </c>
      <c r="AU302" s="29">
        <f t="shared" si="267"/>
        <v>0</v>
      </c>
      <c r="AV302" s="34">
        <f t="shared" si="268"/>
        <v>0</v>
      </c>
      <c r="AW302" s="34">
        <f t="shared" si="269"/>
        <v>0</v>
      </c>
      <c r="AX302" s="29">
        <f t="shared" si="270"/>
        <v>0</v>
      </c>
      <c r="AY302" s="34">
        <f t="shared" si="271"/>
        <v>0</v>
      </c>
      <c r="AZ302" s="37">
        <f t="shared" si="272"/>
        <v>0</v>
      </c>
      <c r="BA302" s="37">
        <f t="shared" si="273"/>
        <v>0</v>
      </c>
      <c r="BB302" s="35">
        <f t="shared" si="274"/>
        <v>1.1337370700335025E-3</v>
      </c>
      <c r="BC302" s="31">
        <f t="shared" si="275"/>
        <v>0.71343619395280278</v>
      </c>
      <c r="BD302" s="34">
        <f t="shared" si="276"/>
        <v>0</v>
      </c>
    </row>
    <row r="303" spans="1:56" x14ac:dyDescent="0.2">
      <c r="A303" s="27">
        <f t="shared" si="277"/>
        <v>299</v>
      </c>
      <c r="B303" s="28">
        <f t="shared" si="224"/>
        <v>299</v>
      </c>
      <c r="C303" s="27">
        <f t="shared" si="225"/>
        <v>24</v>
      </c>
      <c r="D303" s="28">
        <f t="shared" si="226"/>
        <v>44</v>
      </c>
      <c r="E303" s="29">
        <f t="shared" si="227"/>
        <v>0</v>
      </c>
      <c r="F303" s="30">
        <f t="shared" si="228"/>
        <v>9.0372635867901638E-4</v>
      </c>
      <c r="G303" s="31">
        <f t="shared" si="229"/>
        <v>7.5341742130197176E-5</v>
      </c>
      <c r="H303" s="32">
        <f t="shared" si="230"/>
        <v>0.02</v>
      </c>
      <c r="I303" s="32">
        <f t="shared" si="231"/>
        <v>0</v>
      </c>
      <c r="J303" s="33">
        <f t="shared" si="278"/>
        <v>0</v>
      </c>
      <c r="K303" s="30">
        <f t="shared" si="232"/>
        <v>0</v>
      </c>
      <c r="L303" s="33">
        <f t="shared" si="233"/>
        <v>0</v>
      </c>
      <c r="M303" s="30">
        <f t="shared" si="234"/>
        <v>0</v>
      </c>
      <c r="N303" s="33">
        <f t="shared" si="235"/>
        <v>0</v>
      </c>
      <c r="O303" s="31">
        <f t="shared" si="236"/>
        <v>0</v>
      </c>
      <c r="P303" s="33">
        <f t="shared" si="237"/>
        <v>0</v>
      </c>
      <c r="Q303" s="34">
        <f t="shared" si="279"/>
        <v>645954.83217425062</v>
      </c>
      <c r="R303" s="29">
        <f t="shared" si="238"/>
        <v>0</v>
      </c>
      <c r="S303" s="34">
        <f t="shared" si="239"/>
        <v>645954.83217425062</v>
      </c>
      <c r="T303" s="29">
        <f t="shared" si="240"/>
        <v>538.29569347854226</v>
      </c>
      <c r="U303" s="29">
        <f t="shared" si="241"/>
        <v>0</v>
      </c>
      <c r="V303" s="35">
        <f t="shared" si="242"/>
        <v>8.2875916343216904E-5</v>
      </c>
      <c r="W303" s="34">
        <f t="shared" si="243"/>
        <v>0</v>
      </c>
      <c r="X303" s="34">
        <f t="shared" si="244"/>
        <v>645416.53648077208</v>
      </c>
      <c r="Y303" s="36">
        <f t="shared" si="245"/>
        <v>-5.0269756648013697E-5</v>
      </c>
      <c r="Z303" s="34">
        <f t="shared" si="246"/>
        <v>-32.444932225492266</v>
      </c>
      <c r="AA303" s="34">
        <f t="shared" si="247"/>
        <v>645400.31401465938</v>
      </c>
      <c r="AB303" s="34">
        <f t="shared" si="248"/>
        <v>0</v>
      </c>
      <c r="AC303" s="34">
        <f t="shared" si="249"/>
        <v>0</v>
      </c>
      <c r="AD303" s="34">
        <f t="shared" si="250"/>
        <v>0</v>
      </c>
      <c r="AE303" s="34">
        <f t="shared" si="251"/>
        <v>0</v>
      </c>
      <c r="AF303" s="34">
        <f t="shared" si="252"/>
        <v>0</v>
      </c>
      <c r="AG303" s="29">
        <f t="shared" si="253"/>
        <v>645400.31401465938</v>
      </c>
      <c r="AH303" s="34">
        <f t="shared" si="254"/>
        <v>0</v>
      </c>
      <c r="AI303" s="34">
        <f t="shared" si="255"/>
        <v>0</v>
      </c>
      <c r="AJ303" s="34">
        <f t="shared" si="256"/>
        <v>0</v>
      </c>
      <c r="AK303" s="34">
        <f t="shared" si="257"/>
        <v>0</v>
      </c>
      <c r="AL303" s="34">
        <f t="shared" si="258"/>
        <v>0</v>
      </c>
      <c r="AM303" s="34">
        <f t="shared" si="259"/>
        <v>0</v>
      </c>
      <c r="AN303" s="34">
        <f t="shared" si="260"/>
        <v>0</v>
      </c>
      <c r="AO303" s="34">
        <f t="shared" si="261"/>
        <v>0</v>
      </c>
      <c r="AP303" s="34">
        <f t="shared" si="262"/>
        <v>0</v>
      </c>
      <c r="AQ303" s="34">
        <f t="shared" si="263"/>
        <v>0</v>
      </c>
      <c r="AR303" s="34">
        <f t="shared" si="264"/>
        <v>0</v>
      </c>
      <c r="AS303" s="30">
        <f t="shared" si="265"/>
        <v>1.281369050551258</v>
      </c>
      <c r="AT303" s="29">
        <f t="shared" si="266"/>
        <v>0</v>
      </c>
      <c r="AU303" s="29">
        <f t="shared" si="267"/>
        <v>0</v>
      </c>
      <c r="AV303" s="34">
        <f t="shared" si="268"/>
        <v>0</v>
      </c>
      <c r="AW303" s="34">
        <f t="shared" si="269"/>
        <v>0</v>
      </c>
      <c r="AX303" s="29">
        <f t="shared" si="270"/>
        <v>0</v>
      </c>
      <c r="AY303" s="34">
        <f t="shared" si="271"/>
        <v>0</v>
      </c>
      <c r="AZ303" s="37">
        <f t="shared" si="272"/>
        <v>0</v>
      </c>
      <c r="BA303" s="37">
        <f t="shared" si="273"/>
        <v>0</v>
      </c>
      <c r="BB303" s="35">
        <f t="shared" si="274"/>
        <v>1.1337370700335025E-3</v>
      </c>
      <c r="BC303" s="31">
        <f t="shared" si="275"/>
        <v>0.71262826087629383</v>
      </c>
      <c r="BD303" s="34">
        <f t="shared" si="276"/>
        <v>0</v>
      </c>
    </row>
    <row r="304" spans="1:56" x14ac:dyDescent="0.2">
      <c r="A304" s="27">
        <f t="shared" si="277"/>
        <v>300</v>
      </c>
      <c r="B304" s="28">
        <f t="shared" si="224"/>
        <v>300</v>
      </c>
      <c r="C304" s="27">
        <f t="shared" si="225"/>
        <v>25</v>
      </c>
      <c r="D304" s="28">
        <f t="shared" si="226"/>
        <v>45</v>
      </c>
      <c r="E304" s="29">
        <f t="shared" si="227"/>
        <v>0</v>
      </c>
      <c r="F304" s="30">
        <f t="shared" si="228"/>
        <v>9.522370403772741E-4</v>
      </c>
      <c r="G304" s="31">
        <f t="shared" si="229"/>
        <v>7.9387740800629381E-5</v>
      </c>
      <c r="H304" s="32">
        <f t="shared" si="230"/>
        <v>0.02</v>
      </c>
      <c r="I304" s="32">
        <f t="shared" si="231"/>
        <v>0</v>
      </c>
      <c r="J304" s="33">
        <f t="shared" si="278"/>
        <v>0</v>
      </c>
      <c r="K304" s="30">
        <f t="shared" si="232"/>
        <v>0</v>
      </c>
      <c r="L304" s="33">
        <f t="shared" si="233"/>
        <v>0</v>
      </c>
      <c r="M304" s="30">
        <f t="shared" si="234"/>
        <v>0</v>
      </c>
      <c r="N304" s="33">
        <f t="shared" si="235"/>
        <v>0</v>
      </c>
      <c r="O304" s="31">
        <f t="shared" si="236"/>
        <v>0</v>
      </c>
      <c r="P304" s="33">
        <f t="shared" si="237"/>
        <v>0</v>
      </c>
      <c r="Q304" s="34">
        <f t="shared" si="279"/>
        <v>645384.09154854657</v>
      </c>
      <c r="R304" s="29">
        <f t="shared" si="238"/>
        <v>0</v>
      </c>
      <c r="S304" s="34">
        <f t="shared" si="239"/>
        <v>645384.09154854657</v>
      </c>
      <c r="T304" s="29">
        <f t="shared" si="240"/>
        <v>537.82007629045552</v>
      </c>
      <c r="U304" s="29">
        <f t="shared" si="241"/>
        <v>0</v>
      </c>
      <c r="V304" s="35">
        <f t="shared" si="242"/>
        <v>8.7326514880692332E-5</v>
      </c>
      <c r="W304" s="34">
        <f t="shared" si="243"/>
        <v>0</v>
      </c>
      <c r="X304" s="34">
        <f t="shared" si="244"/>
        <v>644846.27147225616</v>
      </c>
      <c r="Y304" s="36">
        <f t="shared" si="245"/>
        <v>-1.5655033207840563E-2</v>
      </c>
      <c r="Z304" s="34">
        <f t="shared" si="246"/>
        <v>-10095.08979385034</v>
      </c>
      <c r="AA304" s="34">
        <f t="shared" si="247"/>
        <v>639798.72657533095</v>
      </c>
      <c r="AB304" s="34">
        <f t="shared" si="248"/>
        <v>0</v>
      </c>
      <c r="AC304" s="34">
        <f t="shared" si="249"/>
        <v>0</v>
      </c>
      <c r="AD304" s="34">
        <f t="shared" si="250"/>
        <v>0</v>
      </c>
      <c r="AE304" s="34">
        <f t="shared" si="251"/>
        <v>0</v>
      </c>
      <c r="AF304" s="34">
        <f t="shared" si="252"/>
        <v>0</v>
      </c>
      <c r="AG304" s="29">
        <f t="shared" si="253"/>
        <v>639798.72657533095</v>
      </c>
      <c r="AH304" s="34">
        <f t="shared" si="254"/>
        <v>0</v>
      </c>
      <c r="AI304" s="34">
        <f t="shared" si="255"/>
        <v>0</v>
      </c>
      <c r="AJ304" s="34">
        <f t="shared" si="256"/>
        <v>0</v>
      </c>
      <c r="AK304" s="34">
        <f t="shared" si="257"/>
        <v>0</v>
      </c>
      <c r="AL304" s="34">
        <f t="shared" si="258"/>
        <v>0</v>
      </c>
      <c r="AM304" s="34">
        <f t="shared" si="259"/>
        <v>0</v>
      </c>
      <c r="AN304" s="34">
        <f t="shared" si="260"/>
        <v>0</v>
      </c>
      <c r="AO304" s="34">
        <f t="shared" si="261"/>
        <v>0</v>
      </c>
      <c r="AP304" s="34">
        <f t="shared" si="262"/>
        <v>0</v>
      </c>
      <c r="AQ304" s="34">
        <f t="shared" si="263"/>
        <v>0</v>
      </c>
      <c r="AR304" s="34">
        <f t="shared" si="264"/>
        <v>0</v>
      </c>
      <c r="AS304" s="30">
        <f t="shared" si="265"/>
        <v>1.2824319950172343</v>
      </c>
      <c r="AT304" s="29">
        <f t="shared" si="266"/>
        <v>0</v>
      </c>
      <c r="AU304" s="29">
        <f t="shared" si="267"/>
        <v>0</v>
      </c>
      <c r="AV304" s="34">
        <f t="shared" si="268"/>
        <v>0</v>
      </c>
      <c r="AW304" s="34">
        <f t="shared" si="269"/>
        <v>0</v>
      </c>
      <c r="AX304" s="29">
        <f t="shared" si="270"/>
        <v>0</v>
      </c>
      <c r="AY304" s="34">
        <f t="shared" si="271"/>
        <v>0</v>
      </c>
      <c r="AZ304" s="37">
        <f t="shared" si="272"/>
        <v>0</v>
      </c>
      <c r="BA304" s="37">
        <f t="shared" si="273"/>
        <v>0</v>
      </c>
      <c r="BB304" s="35">
        <f t="shared" si="274"/>
        <v>1.1304449661233562E-3</v>
      </c>
      <c r="BC304" s="31">
        <f t="shared" si="275"/>
        <v>0.71252381110597163</v>
      </c>
      <c r="BD304" s="34">
        <f t="shared" si="276"/>
        <v>0</v>
      </c>
    </row>
    <row r="305" spans="1:56" x14ac:dyDescent="0.2">
      <c r="A305" s="27">
        <f t="shared" si="277"/>
        <v>301</v>
      </c>
      <c r="B305" s="28">
        <f t="shared" si="224"/>
        <v>301</v>
      </c>
      <c r="C305" s="27">
        <f t="shared" si="225"/>
        <v>25</v>
      </c>
      <c r="D305" s="28">
        <f t="shared" si="226"/>
        <v>45</v>
      </c>
      <c r="E305" s="29">
        <f t="shared" si="227"/>
        <v>0</v>
      </c>
      <c r="F305" s="30">
        <f t="shared" si="228"/>
        <v>9.522370403772741E-4</v>
      </c>
      <c r="G305" s="31">
        <f t="shared" si="229"/>
        <v>7.9387740800629381E-5</v>
      </c>
      <c r="H305" s="32">
        <f t="shared" si="230"/>
        <v>0.02</v>
      </c>
      <c r="I305" s="32">
        <f t="shared" si="231"/>
        <v>0</v>
      </c>
      <c r="J305" s="33">
        <f t="shared" si="278"/>
        <v>0</v>
      </c>
      <c r="K305" s="30">
        <f t="shared" si="232"/>
        <v>0</v>
      </c>
      <c r="L305" s="33">
        <f t="shared" si="233"/>
        <v>0</v>
      </c>
      <c r="M305" s="30">
        <f t="shared" si="234"/>
        <v>0</v>
      </c>
      <c r="N305" s="33">
        <f t="shared" si="235"/>
        <v>0</v>
      </c>
      <c r="O305" s="31">
        <f t="shared" si="236"/>
        <v>0</v>
      </c>
      <c r="P305" s="33">
        <f t="shared" si="237"/>
        <v>0</v>
      </c>
      <c r="Q305" s="34">
        <f t="shared" si="279"/>
        <v>634751.18167840585</v>
      </c>
      <c r="R305" s="29">
        <f t="shared" si="238"/>
        <v>0</v>
      </c>
      <c r="S305" s="34">
        <f t="shared" si="239"/>
        <v>634751.18167840585</v>
      </c>
      <c r="T305" s="29">
        <f t="shared" si="240"/>
        <v>528.95931806533827</v>
      </c>
      <c r="U305" s="29">
        <f t="shared" si="241"/>
        <v>0</v>
      </c>
      <c r="V305" s="35">
        <f t="shared" si="242"/>
        <v>8.7326514880692332E-5</v>
      </c>
      <c r="W305" s="34">
        <f t="shared" si="243"/>
        <v>0</v>
      </c>
      <c r="X305" s="34">
        <f t="shared" si="244"/>
        <v>634222.22236034053</v>
      </c>
      <c r="Y305" s="36">
        <f t="shared" si="245"/>
        <v>-2.2604388737694769E-3</v>
      </c>
      <c r="Z305" s="34">
        <f t="shared" si="246"/>
        <v>-1433.620566031783</v>
      </c>
      <c r="AA305" s="34">
        <f t="shared" si="247"/>
        <v>633505.41207732458</v>
      </c>
      <c r="AB305" s="34">
        <f t="shared" si="248"/>
        <v>0</v>
      </c>
      <c r="AC305" s="34">
        <f t="shared" si="249"/>
        <v>0</v>
      </c>
      <c r="AD305" s="34">
        <f t="shared" si="250"/>
        <v>0</v>
      </c>
      <c r="AE305" s="34">
        <f t="shared" si="251"/>
        <v>0</v>
      </c>
      <c r="AF305" s="34">
        <f t="shared" si="252"/>
        <v>0</v>
      </c>
      <c r="AG305" s="29">
        <f t="shared" si="253"/>
        <v>633505.41207732458</v>
      </c>
      <c r="AH305" s="34">
        <f t="shared" si="254"/>
        <v>0</v>
      </c>
      <c r="AI305" s="34">
        <f t="shared" si="255"/>
        <v>0</v>
      </c>
      <c r="AJ305" s="34">
        <f t="shared" si="256"/>
        <v>0</v>
      </c>
      <c r="AK305" s="34">
        <f t="shared" si="257"/>
        <v>0</v>
      </c>
      <c r="AL305" s="34">
        <f t="shared" si="258"/>
        <v>0</v>
      </c>
      <c r="AM305" s="34">
        <f t="shared" si="259"/>
        <v>0</v>
      </c>
      <c r="AN305" s="34">
        <f t="shared" si="260"/>
        <v>0</v>
      </c>
      <c r="AO305" s="34">
        <f t="shared" si="261"/>
        <v>0</v>
      </c>
      <c r="AP305" s="34">
        <f t="shared" si="262"/>
        <v>0</v>
      </c>
      <c r="AQ305" s="34">
        <f t="shared" si="263"/>
        <v>0</v>
      </c>
      <c r="AR305" s="34">
        <f t="shared" si="264"/>
        <v>0</v>
      </c>
      <c r="AS305" s="30">
        <f t="shared" si="265"/>
        <v>1.2834958212361578</v>
      </c>
      <c r="AT305" s="29">
        <f t="shared" si="266"/>
        <v>0</v>
      </c>
      <c r="AU305" s="29">
        <f t="shared" si="267"/>
        <v>0</v>
      </c>
      <c r="AV305" s="34">
        <f t="shared" si="268"/>
        <v>0</v>
      </c>
      <c r="AW305" s="34">
        <f t="shared" si="269"/>
        <v>0</v>
      </c>
      <c r="AX305" s="29">
        <f t="shared" si="270"/>
        <v>0</v>
      </c>
      <c r="AY305" s="34">
        <f t="shared" si="271"/>
        <v>0</v>
      </c>
      <c r="AZ305" s="37">
        <f t="shared" si="272"/>
        <v>0</v>
      </c>
      <c r="BA305" s="37">
        <f t="shared" si="273"/>
        <v>0</v>
      </c>
      <c r="BB305" s="35">
        <f t="shared" si="274"/>
        <v>1.1304449661233562E-3</v>
      </c>
      <c r="BC305" s="31">
        <f t="shared" si="275"/>
        <v>0.71171925166063876</v>
      </c>
      <c r="BD305" s="34">
        <f t="shared" si="276"/>
        <v>0</v>
      </c>
    </row>
    <row r="306" spans="1:56" x14ac:dyDescent="0.2">
      <c r="A306" s="27">
        <f t="shared" si="277"/>
        <v>302</v>
      </c>
      <c r="B306" s="28">
        <f t="shared" si="224"/>
        <v>302</v>
      </c>
      <c r="C306" s="27">
        <f t="shared" si="225"/>
        <v>25</v>
      </c>
      <c r="D306" s="28">
        <f t="shared" si="226"/>
        <v>45</v>
      </c>
      <c r="E306" s="29">
        <f t="shared" si="227"/>
        <v>0</v>
      </c>
      <c r="F306" s="30">
        <f t="shared" si="228"/>
        <v>9.522370403772741E-4</v>
      </c>
      <c r="G306" s="31">
        <f t="shared" si="229"/>
        <v>7.9387740800629381E-5</v>
      </c>
      <c r="H306" s="32">
        <f t="shared" si="230"/>
        <v>0.02</v>
      </c>
      <c r="I306" s="32">
        <f t="shared" si="231"/>
        <v>0</v>
      </c>
      <c r="J306" s="33">
        <f t="shared" si="278"/>
        <v>0</v>
      </c>
      <c r="K306" s="30">
        <f t="shared" si="232"/>
        <v>0</v>
      </c>
      <c r="L306" s="33">
        <f t="shared" si="233"/>
        <v>0</v>
      </c>
      <c r="M306" s="30">
        <f t="shared" si="234"/>
        <v>0</v>
      </c>
      <c r="N306" s="33">
        <f t="shared" si="235"/>
        <v>0</v>
      </c>
      <c r="O306" s="31">
        <f t="shared" si="236"/>
        <v>0</v>
      </c>
      <c r="P306" s="33">
        <f t="shared" si="237"/>
        <v>0</v>
      </c>
      <c r="Q306" s="34">
        <f t="shared" si="279"/>
        <v>632788.60179430875</v>
      </c>
      <c r="R306" s="29">
        <f t="shared" si="238"/>
        <v>0</v>
      </c>
      <c r="S306" s="34">
        <f t="shared" si="239"/>
        <v>632788.60179430875</v>
      </c>
      <c r="T306" s="29">
        <f t="shared" si="240"/>
        <v>527.32383482859063</v>
      </c>
      <c r="U306" s="29">
        <f t="shared" si="241"/>
        <v>0</v>
      </c>
      <c r="V306" s="35">
        <f t="shared" si="242"/>
        <v>8.7326514880692332E-5</v>
      </c>
      <c r="W306" s="34">
        <f t="shared" si="243"/>
        <v>0</v>
      </c>
      <c r="X306" s="34">
        <f t="shared" si="244"/>
        <v>632261.27795948018</v>
      </c>
      <c r="Y306" s="36">
        <f t="shared" si="245"/>
        <v>6.917738405748608E-3</v>
      </c>
      <c r="Z306" s="34">
        <f t="shared" si="246"/>
        <v>4373.8181250079915</v>
      </c>
      <c r="AA306" s="34">
        <f t="shared" si="247"/>
        <v>634448.18702198414</v>
      </c>
      <c r="AB306" s="34">
        <f t="shared" si="248"/>
        <v>0</v>
      </c>
      <c r="AC306" s="34">
        <f t="shared" si="249"/>
        <v>0</v>
      </c>
      <c r="AD306" s="34">
        <f t="shared" si="250"/>
        <v>0</v>
      </c>
      <c r="AE306" s="34">
        <f t="shared" si="251"/>
        <v>0</v>
      </c>
      <c r="AF306" s="34">
        <f t="shared" si="252"/>
        <v>0</v>
      </c>
      <c r="AG306" s="29">
        <f t="shared" si="253"/>
        <v>634448.18702198414</v>
      </c>
      <c r="AH306" s="34">
        <f t="shared" si="254"/>
        <v>0</v>
      </c>
      <c r="AI306" s="34">
        <f t="shared" si="255"/>
        <v>0</v>
      </c>
      <c r="AJ306" s="34">
        <f t="shared" si="256"/>
        <v>0</v>
      </c>
      <c r="AK306" s="34">
        <f t="shared" si="257"/>
        <v>0</v>
      </c>
      <c r="AL306" s="34">
        <f t="shared" si="258"/>
        <v>0</v>
      </c>
      <c r="AM306" s="34">
        <f t="shared" si="259"/>
        <v>0</v>
      </c>
      <c r="AN306" s="34">
        <f t="shared" si="260"/>
        <v>0</v>
      </c>
      <c r="AO306" s="34">
        <f t="shared" si="261"/>
        <v>0</v>
      </c>
      <c r="AP306" s="34">
        <f t="shared" si="262"/>
        <v>0</v>
      </c>
      <c r="AQ306" s="34">
        <f t="shared" si="263"/>
        <v>0</v>
      </c>
      <c r="AR306" s="34">
        <f t="shared" si="264"/>
        <v>0</v>
      </c>
      <c r="AS306" s="30">
        <f t="shared" si="265"/>
        <v>1.2845605299394773</v>
      </c>
      <c r="AT306" s="29">
        <f t="shared" si="266"/>
        <v>0</v>
      </c>
      <c r="AU306" s="29">
        <f t="shared" si="267"/>
        <v>0</v>
      </c>
      <c r="AV306" s="34">
        <f t="shared" si="268"/>
        <v>0</v>
      </c>
      <c r="AW306" s="34">
        <f t="shared" si="269"/>
        <v>0</v>
      </c>
      <c r="AX306" s="29">
        <f t="shared" si="270"/>
        <v>0</v>
      </c>
      <c r="AY306" s="34">
        <f t="shared" si="271"/>
        <v>0</v>
      </c>
      <c r="AZ306" s="37">
        <f t="shared" si="272"/>
        <v>0</v>
      </c>
      <c r="BA306" s="37">
        <f t="shared" si="273"/>
        <v>0</v>
      </c>
      <c r="BB306" s="35">
        <f t="shared" si="274"/>
        <v>1.1304449661233562E-3</v>
      </c>
      <c r="BC306" s="31">
        <f t="shared" si="275"/>
        <v>0.71091560069849069</v>
      </c>
      <c r="BD306" s="34">
        <f t="shared" si="276"/>
        <v>0</v>
      </c>
    </row>
    <row r="307" spans="1:56" x14ac:dyDescent="0.2">
      <c r="A307" s="27">
        <f t="shared" si="277"/>
        <v>303</v>
      </c>
      <c r="B307" s="28">
        <f t="shared" si="224"/>
        <v>303</v>
      </c>
      <c r="C307" s="27">
        <f t="shared" si="225"/>
        <v>25</v>
      </c>
      <c r="D307" s="28">
        <f t="shared" si="226"/>
        <v>45</v>
      </c>
      <c r="E307" s="29">
        <f t="shared" si="227"/>
        <v>0</v>
      </c>
      <c r="F307" s="30">
        <f t="shared" si="228"/>
        <v>9.522370403772741E-4</v>
      </c>
      <c r="G307" s="31">
        <f t="shared" si="229"/>
        <v>7.9387740800629381E-5</v>
      </c>
      <c r="H307" s="32">
        <f t="shared" si="230"/>
        <v>0.02</v>
      </c>
      <c r="I307" s="32">
        <f t="shared" si="231"/>
        <v>0</v>
      </c>
      <c r="J307" s="33">
        <f t="shared" si="278"/>
        <v>0</v>
      </c>
      <c r="K307" s="30">
        <f t="shared" si="232"/>
        <v>0</v>
      </c>
      <c r="L307" s="33">
        <f t="shared" si="233"/>
        <v>0</v>
      </c>
      <c r="M307" s="30">
        <f t="shared" si="234"/>
        <v>0</v>
      </c>
      <c r="N307" s="33">
        <f t="shared" si="235"/>
        <v>0</v>
      </c>
      <c r="O307" s="31">
        <f t="shared" si="236"/>
        <v>0</v>
      </c>
      <c r="P307" s="33">
        <f t="shared" si="237"/>
        <v>0</v>
      </c>
      <c r="Q307" s="34">
        <f t="shared" si="279"/>
        <v>636635.09608448821</v>
      </c>
      <c r="R307" s="29">
        <f t="shared" si="238"/>
        <v>0</v>
      </c>
      <c r="S307" s="34">
        <f t="shared" si="239"/>
        <v>636635.09608448821</v>
      </c>
      <c r="T307" s="29">
        <f t="shared" si="240"/>
        <v>530.52924673707355</v>
      </c>
      <c r="U307" s="29">
        <f t="shared" si="241"/>
        <v>0</v>
      </c>
      <c r="V307" s="35">
        <f t="shared" si="242"/>
        <v>8.7326514880692332E-5</v>
      </c>
      <c r="W307" s="34">
        <f t="shared" si="243"/>
        <v>0</v>
      </c>
      <c r="X307" s="34">
        <f t="shared" si="244"/>
        <v>636104.56683775119</v>
      </c>
      <c r="Y307" s="36">
        <f t="shared" si="245"/>
        <v>-5.6956547734574592E-3</v>
      </c>
      <c r="Z307" s="34">
        <f t="shared" si="246"/>
        <v>-3623.0320125275271</v>
      </c>
      <c r="AA307" s="34">
        <f t="shared" si="247"/>
        <v>634293.0508314874</v>
      </c>
      <c r="AB307" s="34">
        <f t="shared" si="248"/>
        <v>0</v>
      </c>
      <c r="AC307" s="34">
        <f t="shared" si="249"/>
        <v>0</v>
      </c>
      <c r="AD307" s="34">
        <f t="shared" si="250"/>
        <v>0</v>
      </c>
      <c r="AE307" s="34">
        <f t="shared" si="251"/>
        <v>0</v>
      </c>
      <c r="AF307" s="34">
        <f t="shared" si="252"/>
        <v>0</v>
      </c>
      <c r="AG307" s="29">
        <f t="shared" si="253"/>
        <v>634293.0508314874</v>
      </c>
      <c r="AH307" s="34">
        <f t="shared" si="254"/>
        <v>0</v>
      </c>
      <c r="AI307" s="34">
        <f t="shared" si="255"/>
        <v>0</v>
      </c>
      <c r="AJ307" s="34">
        <f t="shared" si="256"/>
        <v>0</v>
      </c>
      <c r="AK307" s="34">
        <f t="shared" si="257"/>
        <v>0</v>
      </c>
      <c r="AL307" s="34">
        <f t="shared" si="258"/>
        <v>0</v>
      </c>
      <c r="AM307" s="34">
        <f t="shared" si="259"/>
        <v>0</v>
      </c>
      <c r="AN307" s="34">
        <f t="shared" si="260"/>
        <v>0</v>
      </c>
      <c r="AO307" s="34">
        <f t="shared" si="261"/>
        <v>0</v>
      </c>
      <c r="AP307" s="34">
        <f t="shared" si="262"/>
        <v>0</v>
      </c>
      <c r="AQ307" s="34">
        <f t="shared" si="263"/>
        <v>0</v>
      </c>
      <c r="AR307" s="34">
        <f t="shared" si="264"/>
        <v>0</v>
      </c>
      <c r="AS307" s="30">
        <f t="shared" si="265"/>
        <v>1.2856261218592469</v>
      </c>
      <c r="AT307" s="29">
        <f t="shared" si="266"/>
        <v>0</v>
      </c>
      <c r="AU307" s="29">
        <f t="shared" si="267"/>
        <v>0</v>
      </c>
      <c r="AV307" s="34">
        <f t="shared" si="268"/>
        <v>0</v>
      </c>
      <c r="AW307" s="34">
        <f t="shared" si="269"/>
        <v>0</v>
      </c>
      <c r="AX307" s="29">
        <f t="shared" si="270"/>
        <v>0</v>
      </c>
      <c r="AY307" s="34">
        <f t="shared" si="271"/>
        <v>0</v>
      </c>
      <c r="AZ307" s="37">
        <f t="shared" si="272"/>
        <v>0</v>
      </c>
      <c r="BA307" s="37">
        <f t="shared" si="273"/>
        <v>0</v>
      </c>
      <c r="BB307" s="35">
        <f t="shared" si="274"/>
        <v>1.1304449661233562E-3</v>
      </c>
      <c r="BC307" s="31">
        <f t="shared" si="275"/>
        <v>0.71011285719369677</v>
      </c>
      <c r="BD307" s="34">
        <f t="shared" si="276"/>
        <v>0</v>
      </c>
    </row>
    <row r="308" spans="1:56" x14ac:dyDescent="0.2">
      <c r="A308" s="27">
        <f t="shared" si="277"/>
        <v>304</v>
      </c>
      <c r="B308" s="28">
        <f t="shared" si="224"/>
        <v>304</v>
      </c>
      <c r="C308" s="27">
        <f t="shared" si="225"/>
        <v>25</v>
      </c>
      <c r="D308" s="28">
        <f t="shared" si="226"/>
        <v>45</v>
      </c>
      <c r="E308" s="29">
        <f t="shared" si="227"/>
        <v>0</v>
      </c>
      <c r="F308" s="30">
        <f t="shared" si="228"/>
        <v>9.522370403772741E-4</v>
      </c>
      <c r="G308" s="31">
        <f t="shared" si="229"/>
        <v>7.9387740800629381E-5</v>
      </c>
      <c r="H308" s="32">
        <f t="shared" si="230"/>
        <v>0.02</v>
      </c>
      <c r="I308" s="32">
        <f t="shared" si="231"/>
        <v>0</v>
      </c>
      <c r="J308" s="33">
        <f t="shared" si="278"/>
        <v>0</v>
      </c>
      <c r="K308" s="30">
        <f t="shared" si="232"/>
        <v>0</v>
      </c>
      <c r="L308" s="33">
        <f t="shared" si="233"/>
        <v>0</v>
      </c>
      <c r="M308" s="30">
        <f t="shared" si="234"/>
        <v>0</v>
      </c>
      <c r="N308" s="33">
        <f t="shared" si="235"/>
        <v>0</v>
      </c>
      <c r="O308" s="31">
        <f t="shared" si="236"/>
        <v>0</v>
      </c>
      <c r="P308" s="33">
        <f t="shared" si="237"/>
        <v>0</v>
      </c>
      <c r="Q308" s="34">
        <f t="shared" si="279"/>
        <v>632481.53482522361</v>
      </c>
      <c r="R308" s="29">
        <f t="shared" si="238"/>
        <v>0</v>
      </c>
      <c r="S308" s="34">
        <f t="shared" si="239"/>
        <v>632481.53482522361</v>
      </c>
      <c r="T308" s="29">
        <f t="shared" si="240"/>
        <v>527.06794568768635</v>
      </c>
      <c r="U308" s="29">
        <f t="shared" si="241"/>
        <v>0</v>
      </c>
      <c r="V308" s="35">
        <f t="shared" si="242"/>
        <v>8.7326514880692332E-5</v>
      </c>
      <c r="W308" s="34">
        <f t="shared" si="243"/>
        <v>0</v>
      </c>
      <c r="X308" s="34">
        <f t="shared" si="244"/>
        <v>631954.46687953593</v>
      </c>
      <c r="Y308" s="36">
        <f t="shared" si="245"/>
        <v>8.0848952038632405E-3</v>
      </c>
      <c r="Z308" s="34">
        <f t="shared" si="246"/>
        <v>5109.2856383343114</v>
      </c>
      <c r="AA308" s="34">
        <f t="shared" si="247"/>
        <v>634509.10969870305</v>
      </c>
      <c r="AB308" s="34">
        <f t="shared" si="248"/>
        <v>0</v>
      </c>
      <c r="AC308" s="34">
        <f t="shared" si="249"/>
        <v>0</v>
      </c>
      <c r="AD308" s="34">
        <f t="shared" si="250"/>
        <v>0</v>
      </c>
      <c r="AE308" s="34">
        <f t="shared" si="251"/>
        <v>0</v>
      </c>
      <c r="AF308" s="34">
        <f t="shared" si="252"/>
        <v>0</v>
      </c>
      <c r="AG308" s="29">
        <f t="shared" si="253"/>
        <v>634509.10969870305</v>
      </c>
      <c r="AH308" s="34">
        <f t="shared" si="254"/>
        <v>0</v>
      </c>
      <c r="AI308" s="34">
        <f t="shared" si="255"/>
        <v>0</v>
      </c>
      <c r="AJ308" s="34">
        <f t="shared" si="256"/>
        <v>0</v>
      </c>
      <c r="AK308" s="34">
        <f t="shared" si="257"/>
        <v>0</v>
      </c>
      <c r="AL308" s="34">
        <f t="shared" si="258"/>
        <v>0</v>
      </c>
      <c r="AM308" s="34">
        <f t="shared" si="259"/>
        <v>0</v>
      </c>
      <c r="AN308" s="34">
        <f t="shared" si="260"/>
        <v>0</v>
      </c>
      <c r="AO308" s="34">
        <f t="shared" si="261"/>
        <v>0</v>
      </c>
      <c r="AP308" s="34">
        <f t="shared" si="262"/>
        <v>0</v>
      </c>
      <c r="AQ308" s="34">
        <f t="shared" si="263"/>
        <v>0</v>
      </c>
      <c r="AR308" s="34">
        <f t="shared" si="264"/>
        <v>0</v>
      </c>
      <c r="AS308" s="30">
        <f t="shared" si="265"/>
        <v>1.2866925977281283</v>
      </c>
      <c r="AT308" s="29">
        <f t="shared" si="266"/>
        <v>0</v>
      </c>
      <c r="AU308" s="29">
        <f t="shared" si="267"/>
        <v>0</v>
      </c>
      <c r="AV308" s="34">
        <f t="shared" si="268"/>
        <v>0</v>
      </c>
      <c r="AW308" s="34">
        <f t="shared" si="269"/>
        <v>0</v>
      </c>
      <c r="AX308" s="29">
        <f t="shared" si="270"/>
        <v>0</v>
      </c>
      <c r="AY308" s="34">
        <f t="shared" si="271"/>
        <v>0</v>
      </c>
      <c r="AZ308" s="37">
        <f t="shared" si="272"/>
        <v>0</v>
      </c>
      <c r="BA308" s="37">
        <f t="shared" si="273"/>
        <v>0</v>
      </c>
      <c r="BB308" s="35">
        <f t="shared" si="274"/>
        <v>1.1304449661233562E-3</v>
      </c>
      <c r="BC308" s="31">
        <f t="shared" si="275"/>
        <v>0.70931102012158431</v>
      </c>
      <c r="BD308" s="34">
        <f t="shared" si="276"/>
        <v>0</v>
      </c>
    </row>
    <row r="309" spans="1:56" x14ac:dyDescent="0.2">
      <c r="A309" s="27">
        <f t="shared" si="277"/>
        <v>305</v>
      </c>
      <c r="B309" s="28">
        <f t="shared" si="224"/>
        <v>305</v>
      </c>
      <c r="C309" s="27">
        <f t="shared" si="225"/>
        <v>25</v>
      </c>
      <c r="D309" s="28">
        <f t="shared" si="226"/>
        <v>45</v>
      </c>
      <c r="E309" s="29">
        <f t="shared" si="227"/>
        <v>0</v>
      </c>
      <c r="F309" s="30">
        <f t="shared" si="228"/>
        <v>9.522370403772741E-4</v>
      </c>
      <c r="G309" s="31">
        <f t="shared" si="229"/>
        <v>7.9387740800629381E-5</v>
      </c>
      <c r="H309" s="32">
        <f t="shared" si="230"/>
        <v>0.02</v>
      </c>
      <c r="I309" s="32">
        <f t="shared" si="231"/>
        <v>0</v>
      </c>
      <c r="J309" s="33">
        <f t="shared" si="278"/>
        <v>0</v>
      </c>
      <c r="K309" s="30">
        <f t="shared" si="232"/>
        <v>0</v>
      </c>
      <c r="L309" s="33">
        <f t="shared" si="233"/>
        <v>0</v>
      </c>
      <c r="M309" s="30">
        <f t="shared" si="234"/>
        <v>0</v>
      </c>
      <c r="N309" s="33">
        <f t="shared" si="235"/>
        <v>0</v>
      </c>
      <c r="O309" s="31">
        <f t="shared" si="236"/>
        <v>0</v>
      </c>
      <c r="P309" s="33">
        <f t="shared" si="237"/>
        <v>0</v>
      </c>
      <c r="Q309" s="34">
        <f t="shared" si="279"/>
        <v>637063.75251787028</v>
      </c>
      <c r="R309" s="29">
        <f t="shared" si="238"/>
        <v>0</v>
      </c>
      <c r="S309" s="34">
        <f t="shared" si="239"/>
        <v>637063.75251787028</v>
      </c>
      <c r="T309" s="29">
        <f t="shared" si="240"/>
        <v>530.88646043155859</v>
      </c>
      <c r="U309" s="29">
        <f t="shared" si="241"/>
        <v>0</v>
      </c>
      <c r="V309" s="35">
        <f t="shared" si="242"/>
        <v>8.7326514880692332E-5</v>
      </c>
      <c r="W309" s="34">
        <f t="shared" si="243"/>
        <v>0</v>
      </c>
      <c r="X309" s="34">
        <f t="shared" si="244"/>
        <v>636532.86605743878</v>
      </c>
      <c r="Y309" s="36">
        <f t="shared" si="245"/>
        <v>7.7676481878508064E-4</v>
      </c>
      <c r="Z309" s="34">
        <f t="shared" si="246"/>
        <v>494.43633635385441</v>
      </c>
      <c r="AA309" s="34">
        <f t="shared" si="247"/>
        <v>636780.08422561572</v>
      </c>
      <c r="AB309" s="34">
        <f t="shared" si="248"/>
        <v>0</v>
      </c>
      <c r="AC309" s="34">
        <f t="shared" si="249"/>
        <v>0</v>
      </c>
      <c r="AD309" s="34">
        <f t="shared" si="250"/>
        <v>0</v>
      </c>
      <c r="AE309" s="34">
        <f t="shared" si="251"/>
        <v>0</v>
      </c>
      <c r="AF309" s="34">
        <f t="shared" si="252"/>
        <v>0</v>
      </c>
      <c r="AG309" s="29">
        <f t="shared" si="253"/>
        <v>636780.08422561572</v>
      </c>
      <c r="AH309" s="34">
        <f t="shared" si="254"/>
        <v>0</v>
      </c>
      <c r="AI309" s="34">
        <f t="shared" si="255"/>
        <v>0</v>
      </c>
      <c r="AJ309" s="34">
        <f t="shared" si="256"/>
        <v>0</v>
      </c>
      <c r="AK309" s="34">
        <f t="shared" si="257"/>
        <v>0</v>
      </c>
      <c r="AL309" s="34">
        <f t="shared" si="258"/>
        <v>0</v>
      </c>
      <c r="AM309" s="34">
        <f t="shared" si="259"/>
        <v>0</v>
      </c>
      <c r="AN309" s="34">
        <f t="shared" si="260"/>
        <v>0</v>
      </c>
      <c r="AO309" s="34">
        <f t="shared" si="261"/>
        <v>0</v>
      </c>
      <c r="AP309" s="34">
        <f t="shared" si="262"/>
        <v>0</v>
      </c>
      <c r="AQ309" s="34">
        <f t="shared" si="263"/>
        <v>0</v>
      </c>
      <c r="AR309" s="34">
        <f t="shared" si="264"/>
        <v>0</v>
      </c>
      <c r="AS309" s="30">
        <f t="shared" si="265"/>
        <v>1.287759958279391</v>
      </c>
      <c r="AT309" s="29">
        <f t="shared" si="266"/>
        <v>0</v>
      </c>
      <c r="AU309" s="29">
        <f t="shared" si="267"/>
        <v>0</v>
      </c>
      <c r="AV309" s="34">
        <f t="shared" si="268"/>
        <v>0</v>
      </c>
      <c r="AW309" s="34">
        <f t="shared" si="269"/>
        <v>0</v>
      </c>
      <c r="AX309" s="29">
        <f t="shared" si="270"/>
        <v>0</v>
      </c>
      <c r="AY309" s="34">
        <f t="shared" si="271"/>
        <v>0</v>
      </c>
      <c r="AZ309" s="37">
        <f t="shared" si="272"/>
        <v>0</v>
      </c>
      <c r="BA309" s="37">
        <f t="shared" si="273"/>
        <v>0</v>
      </c>
      <c r="BB309" s="35">
        <f t="shared" si="274"/>
        <v>1.1304449661233562E-3</v>
      </c>
      <c r="BC309" s="31">
        <f t="shared" si="275"/>
        <v>0.7085100884586385</v>
      </c>
      <c r="BD309" s="34">
        <f t="shared" si="276"/>
        <v>0</v>
      </c>
    </row>
    <row r="310" spans="1:56" x14ac:dyDescent="0.2">
      <c r="A310" s="27">
        <f t="shared" si="277"/>
        <v>306</v>
      </c>
      <c r="B310" s="28">
        <f t="shared" si="224"/>
        <v>306</v>
      </c>
      <c r="C310" s="27">
        <f t="shared" si="225"/>
        <v>25</v>
      </c>
      <c r="D310" s="28">
        <f t="shared" si="226"/>
        <v>45</v>
      </c>
      <c r="E310" s="29">
        <f t="shared" si="227"/>
        <v>0</v>
      </c>
      <c r="F310" s="30">
        <f t="shared" si="228"/>
        <v>9.522370403772741E-4</v>
      </c>
      <c r="G310" s="31">
        <f t="shared" si="229"/>
        <v>7.9387740800629381E-5</v>
      </c>
      <c r="H310" s="32">
        <f t="shared" si="230"/>
        <v>0.02</v>
      </c>
      <c r="I310" s="32">
        <f t="shared" si="231"/>
        <v>0</v>
      </c>
      <c r="J310" s="33">
        <f t="shared" si="278"/>
        <v>0</v>
      </c>
      <c r="K310" s="30">
        <f t="shared" si="232"/>
        <v>0</v>
      </c>
      <c r="L310" s="33">
        <f t="shared" si="233"/>
        <v>0</v>
      </c>
      <c r="M310" s="30">
        <f t="shared" si="234"/>
        <v>0</v>
      </c>
      <c r="N310" s="33">
        <f t="shared" si="235"/>
        <v>0</v>
      </c>
      <c r="O310" s="31">
        <f t="shared" si="236"/>
        <v>0</v>
      </c>
      <c r="P310" s="33">
        <f t="shared" si="237"/>
        <v>0</v>
      </c>
      <c r="Q310" s="34">
        <f t="shared" si="279"/>
        <v>637027.30239379266</v>
      </c>
      <c r="R310" s="29">
        <f t="shared" si="238"/>
        <v>0</v>
      </c>
      <c r="S310" s="34">
        <f t="shared" si="239"/>
        <v>637027.30239379266</v>
      </c>
      <c r="T310" s="29">
        <f t="shared" si="240"/>
        <v>530.85608532816059</v>
      </c>
      <c r="U310" s="29">
        <f t="shared" si="241"/>
        <v>0</v>
      </c>
      <c r="V310" s="35">
        <f t="shared" si="242"/>
        <v>8.7326514880692332E-5</v>
      </c>
      <c r="W310" s="34">
        <f t="shared" si="243"/>
        <v>0</v>
      </c>
      <c r="X310" s="34">
        <f t="shared" si="244"/>
        <v>636496.44630846451</v>
      </c>
      <c r="Y310" s="36">
        <f t="shared" si="245"/>
        <v>-7.278139422568719E-3</v>
      </c>
      <c r="Z310" s="34">
        <f t="shared" si="246"/>
        <v>-4632.5098782025298</v>
      </c>
      <c r="AA310" s="34">
        <f t="shared" si="247"/>
        <v>634180.19136936322</v>
      </c>
      <c r="AB310" s="34">
        <f t="shared" si="248"/>
        <v>0</v>
      </c>
      <c r="AC310" s="34">
        <f t="shared" si="249"/>
        <v>0</v>
      </c>
      <c r="AD310" s="34">
        <f t="shared" si="250"/>
        <v>0</v>
      </c>
      <c r="AE310" s="34">
        <f t="shared" si="251"/>
        <v>0</v>
      </c>
      <c r="AF310" s="34">
        <f t="shared" si="252"/>
        <v>0</v>
      </c>
      <c r="AG310" s="29">
        <f t="shared" si="253"/>
        <v>634180.19136936322</v>
      </c>
      <c r="AH310" s="34">
        <f t="shared" si="254"/>
        <v>0</v>
      </c>
      <c r="AI310" s="34">
        <f t="shared" si="255"/>
        <v>0</v>
      </c>
      <c r="AJ310" s="34">
        <f t="shared" si="256"/>
        <v>0</v>
      </c>
      <c r="AK310" s="34">
        <f t="shared" si="257"/>
        <v>0</v>
      </c>
      <c r="AL310" s="34">
        <f t="shared" si="258"/>
        <v>0</v>
      </c>
      <c r="AM310" s="34">
        <f t="shared" si="259"/>
        <v>0</v>
      </c>
      <c r="AN310" s="34">
        <f t="shared" si="260"/>
        <v>0</v>
      </c>
      <c r="AO310" s="34">
        <f t="shared" si="261"/>
        <v>0</v>
      </c>
      <c r="AP310" s="34">
        <f t="shared" si="262"/>
        <v>0</v>
      </c>
      <c r="AQ310" s="34">
        <f t="shared" si="263"/>
        <v>0</v>
      </c>
      <c r="AR310" s="34">
        <f t="shared" si="264"/>
        <v>0</v>
      </c>
      <c r="AS310" s="30">
        <f t="shared" si="265"/>
        <v>1.2888282042469126</v>
      </c>
      <c r="AT310" s="29">
        <f t="shared" si="266"/>
        <v>0</v>
      </c>
      <c r="AU310" s="29">
        <f t="shared" si="267"/>
        <v>0</v>
      </c>
      <c r="AV310" s="34">
        <f t="shared" si="268"/>
        <v>0</v>
      </c>
      <c r="AW310" s="34">
        <f t="shared" si="269"/>
        <v>0</v>
      </c>
      <c r="AX310" s="29">
        <f t="shared" si="270"/>
        <v>0</v>
      </c>
      <c r="AY310" s="34">
        <f t="shared" si="271"/>
        <v>0</v>
      </c>
      <c r="AZ310" s="37">
        <f t="shared" si="272"/>
        <v>0</v>
      </c>
      <c r="BA310" s="37">
        <f t="shared" si="273"/>
        <v>0</v>
      </c>
      <c r="BB310" s="35">
        <f t="shared" si="274"/>
        <v>1.1304449661233562E-3</v>
      </c>
      <c r="BC310" s="31">
        <f t="shared" si="275"/>
        <v>0.70771006118250002</v>
      </c>
      <c r="BD310" s="34">
        <f t="shared" si="276"/>
        <v>0</v>
      </c>
    </row>
    <row r="311" spans="1:56" x14ac:dyDescent="0.2">
      <c r="A311" s="27">
        <f t="shared" si="277"/>
        <v>307</v>
      </c>
      <c r="B311" s="28">
        <f t="shared" si="224"/>
        <v>307</v>
      </c>
      <c r="C311" s="27">
        <f t="shared" si="225"/>
        <v>25</v>
      </c>
      <c r="D311" s="28">
        <f t="shared" si="226"/>
        <v>45</v>
      </c>
      <c r="E311" s="29">
        <f t="shared" si="227"/>
        <v>0</v>
      </c>
      <c r="F311" s="30">
        <f t="shared" si="228"/>
        <v>9.522370403772741E-4</v>
      </c>
      <c r="G311" s="31">
        <f t="shared" si="229"/>
        <v>7.9387740800629381E-5</v>
      </c>
      <c r="H311" s="32">
        <f t="shared" si="230"/>
        <v>0.02</v>
      </c>
      <c r="I311" s="32">
        <f t="shared" si="231"/>
        <v>0</v>
      </c>
      <c r="J311" s="33">
        <f t="shared" si="278"/>
        <v>0</v>
      </c>
      <c r="K311" s="30">
        <f t="shared" si="232"/>
        <v>0</v>
      </c>
      <c r="L311" s="33">
        <f t="shared" si="233"/>
        <v>0</v>
      </c>
      <c r="M311" s="30">
        <f t="shared" si="234"/>
        <v>0</v>
      </c>
      <c r="N311" s="33">
        <f t="shared" si="235"/>
        <v>0</v>
      </c>
      <c r="O311" s="31">
        <f t="shared" si="236"/>
        <v>0</v>
      </c>
      <c r="P311" s="33">
        <f t="shared" si="237"/>
        <v>0</v>
      </c>
      <c r="Q311" s="34">
        <f t="shared" si="279"/>
        <v>631863.93643026194</v>
      </c>
      <c r="R311" s="29">
        <f t="shared" si="238"/>
        <v>0</v>
      </c>
      <c r="S311" s="34">
        <f t="shared" si="239"/>
        <v>631863.93643026194</v>
      </c>
      <c r="T311" s="29">
        <f t="shared" si="240"/>
        <v>526.55328035855166</v>
      </c>
      <c r="U311" s="29">
        <f t="shared" si="241"/>
        <v>0</v>
      </c>
      <c r="V311" s="35">
        <f t="shared" si="242"/>
        <v>8.7326514880692332E-5</v>
      </c>
      <c r="W311" s="34">
        <f t="shared" si="243"/>
        <v>0</v>
      </c>
      <c r="X311" s="34">
        <f t="shared" si="244"/>
        <v>631337.38314990338</v>
      </c>
      <c r="Y311" s="36">
        <f t="shared" si="245"/>
        <v>1.3323735707718054E-2</v>
      </c>
      <c r="Z311" s="34">
        <f t="shared" si="246"/>
        <v>8411.7724354916427</v>
      </c>
      <c r="AA311" s="34">
        <f t="shared" si="247"/>
        <v>635543.26936764922</v>
      </c>
      <c r="AB311" s="34">
        <f t="shared" si="248"/>
        <v>0</v>
      </c>
      <c r="AC311" s="34">
        <f t="shared" si="249"/>
        <v>0</v>
      </c>
      <c r="AD311" s="34">
        <f t="shared" si="250"/>
        <v>0</v>
      </c>
      <c r="AE311" s="34">
        <f t="shared" si="251"/>
        <v>0</v>
      </c>
      <c r="AF311" s="34">
        <f t="shared" si="252"/>
        <v>0</v>
      </c>
      <c r="AG311" s="29">
        <f t="shared" si="253"/>
        <v>635543.26936764922</v>
      </c>
      <c r="AH311" s="34">
        <f t="shared" si="254"/>
        <v>0</v>
      </c>
      <c r="AI311" s="34">
        <f t="shared" si="255"/>
        <v>0</v>
      </c>
      <c r="AJ311" s="34">
        <f t="shared" si="256"/>
        <v>0</v>
      </c>
      <c r="AK311" s="34">
        <f t="shared" si="257"/>
        <v>0</v>
      </c>
      <c r="AL311" s="34">
        <f t="shared" si="258"/>
        <v>0</v>
      </c>
      <c r="AM311" s="34">
        <f t="shared" si="259"/>
        <v>0</v>
      </c>
      <c r="AN311" s="34">
        <f t="shared" si="260"/>
        <v>0</v>
      </c>
      <c r="AO311" s="34">
        <f t="shared" si="261"/>
        <v>0</v>
      </c>
      <c r="AP311" s="34">
        <f t="shared" si="262"/>
        <v>0</v>
      </c>
      <c r="AQ311" s="34">
        <f t="shared" si="263"/>
        <v>0</v>
      </c>
      <c r="AR311" s="34">
        <f t="shared" si="264"/>
        <v>0</v>
      </c>
      <c r="AS311" s="30">
        <f t="shared" si="265"/>
        <v>1.2898973363651798</v>
      </c>
      <c r="AT311" s="29">
        <f t="shared" si="266"/>
        <v>0</v>
      </c>
      <c r="AU311" s="29">
        <f t="shared" si="267"/>
        <v>0</v>
      </c>
      <c r="AV311" s="34">
        <f t="shared" si="268"/>
        <v>0</v>
      </c>
      <c r="AW311" s="34">
        <f t="shared" si="269"/>
        <v>0</v>
      </c>
      <c r="AX311" s="29">
        <f t="shared" si="270"/>
        <v>0</v>
      </c>
      <c r="AY311" s="34">
        <f t="shared" si="271"/>
        <v>0</v>
      </c>
      <c r="AZ311" s="37">
        <f t="shared" si="272"/>
        <v>0</v>
      </c>
      <c r="BA311" s="37">
        <f t="shared" si="273"/>
        <v>0</v>
      </c>
      <c r="BB311" s="35">
        <f t="shared" si="274"/>
        <v>1.1304449661233562E-3</v>
      </c>
      <c r="BC311" s="31">
        <f t="shared" si="275"/>
        <v>0.70691093727196352</v>
      </c>
      <c r="BD311" s="34">
        <f t="shared" si="276"/>
        <v>0</v>
      </c>
    </row>
    <row r="312" spans="1:56" x14ac:dyDescent="0.2">
      <c r="A312" s="27">
        <f t="shared" si="277"/>
        <v>308</v>
      </c>
      <c r="B312" s="28">
        <f t="shared" si="224"/>
        <v>308</v>
      </c>
      <c r="C312" s="27">
        <f t="shared" si="225"/>
        <v>25</v>
      </c>
      <c r="D312" s="28">
        <f t="shared" si="226"/>
        <v>45</v>
      </c>
      <c r="E312" s="29">
        <f t="shared" si="227"/>
        <v>0</v>
      </c>
      <c r="F312" s="30">
        <f t="shared" si="228"/>
        <v>9.522370403772741E-4</v>
      </c>
      <c r="G312" s="31">
        <f t="shared" si="229"/>
        <v>7.9387740800629381E-5</v>
      </c>
      <c r="H312" s="32">
        <f t="shared" si="230"/>
        <v>0.02</v>
      </c>
      <c r="I312" s="32">
        <f t="shared" si="231"/>
        <v>0</v>
      </c>
      <c r="J312" s="33">
        <f t="shared" si="278"/>
        <v>0</v>
      </c>
      <c r="K312" s="30">
        <f t="shared" si="232"/>
        <v>0</v>
      </c>
      <c r="L312" s="33">
        <f t="shared" si="233"/>
        <v>0</v>
      </c>
      <c r="M312" s="30">
        <f t="shared" si="234"/>
        <v>0</v>
      </c>
      <c r="N312" s="33">
        <f t="shared" si="235"/>
        <v>0</v>
      </c>
      <c r="O312" s="31">
        <f t="shared" si="236"/>
        <v>0</v>
      </c>
      <c r="P312" s="33">
        <f t="shared" si="237"/>
        <v>0</v>
      </c>
      <c r="Q312" s="34">
        <f t="shared" si="279"/>
        <v>639749.15558539506</v>
      </c>
      <c r="R312" s="29">
        <f t="shared" si="238"/>
        <v>0</v>
      </c>
      <c r="S312" s="34">
        <f t="shared" si="239"/>
        <v>639749.15558539506</v>
      </c>
      <c r="T312" s="29">
        <f t="shared" si="240"/>
        <v>533.12429632116255</v>
      </c>
      <c r="U312" s="29">
        <f t="shared" si="241"/>
        <v>0</v>
      </c>
      <c r="V312" s="35">
        <f t="shared" si="242"/>
        <v>8.7326514880692332E-5</v>
      </c>
      <c r="W312" s="34">
        <f t="shared" si="243"/>
        <v>0</v>
      </c>
      <c r="X312" s="34">
        <f t="shared" si="244"/>
        <v>639216.03128907387</v>
      </c>
      <c r="Y312" s="36">
        <f t="shared" si="245"/>
        <v>8.1002399760656818E-3</v>
      </c>
      <c r="Z312" s="34">
        <f t="shared" si="246"/>
        <v>5177.8032499898081</v>
      </c>
      <c r="AA312" s="34">
        <f t="shared" si="247"/>
        <v>641804.93291406881</v>
      </c>
      <c r="AB312" s="34">
        <f t="shared" si="248"/>
        <v>0</v>
      </c>
      <c r="AC312" s="34">
        <f t="shared" si="249"/>
        <v>0</v>
      </c>
      <c r="AD312" s="34">
        <f t="shared" si="250"/>
        <v>0</v>
      </c>
      <c r="AE312" s="34">
        <f t="shared" si="251"/>
        <v>0</v>
      </c>
      <c r="AF312" s="34">
        <f t="shared" si="252"/>
        <v>0</v>
      </c>
      <c r="AG312" s="29">
        <f t="shared" si="253"/>
        <v>641804.93291406881</v>
      </c>
      <c r="AH312" s="34">
        <f t="shared" si="254"/>
        <v>0</v>
      </c>
      <c r="AI312" s="34">
        <f t="shared" si="255"/>
        <v>0</v>
      </c>
      <c r="AJ312" s="34">
        <f t="shared" si="256"/>
        <v>0</v>
      </c>
      <c r="AK312" s="34">
        <f t="shared" si="257"/>
        <v>0</v>
      </c>
      <c r="AL312" s="34">
        <f t="shared" si="258"/>
        <v>0</v>
      </c>
      <c r="AM312" s="34">
        <f t="shared" si="259"/>
        <v>0</v>
      </c>
      <c r="AN312" s="34">
        <f t="shared" si="260"/>
        <v>0</v>
      </c>
      <c r="AO312" s="34">
        <f t="shared" si="261"/>
        <v>0</v>
      </c>
      <c r="AP312" s="34">
        <f t="shared" si="262"/>
        <v>0</v>
      </c>
      <c r="AQ312" s="34">
        <f t="shared" si="263"/>
        <v>0</v>
      </c>
      <c r="AR312" s="34">
        <f t="shared" si="264"/>
        <v>0</v>
      </c>
      <c r="AS312" s="30">
        <f t="shared" si="265"/>
        <v>1.2909673553692884</v>
      </c>
      <c r="AT312" s="29">
        <f t="shared" si="266"/>
        <v>0</v>
      </c>
      <c r="AU312" s="29">
        <f t="shared" si="267"/>
        <v>0</v>
      </c>
      <c r="AV312" s="34">
        <f t="shared" si="268"/>
        <v>0</v>
      </c>
      <c r="AW312" s="34">
        <f t="shared" si="269"/>
        <v>0</v>
      </c>
      <c r="AX312" s="29">
        <f t="shared" si="270"/>
        <v>0</v>
      </c>
      <c r="AY312" s="34">
        <f t="shared" si="271"/>
        <v>0</v>
      </c>
      <c r="AZ312" s="37">
        <f t="shared" si="272"/>
        <v>0</v>
      </c>
      <c r="BA312" s="37">
        <f t="shared" si="273"/>
        <v>0</v>
      </c>
      <c r="BB312" s="35">
        <f t="shared" si="274"/>
        <v>1.1304449661233562E-3</v>
      </c>
      <c r="BC312" s="31">
        <f t="shared" si="275"/>
        <v>0.70611271570697665</v>
      </c>
      <c r="BD312" s="34">
        <f t="shared" si="276"/>
        <v>0</v>
      </c>
    </row>
    <row r="313" spans="1:56" x14ac:dyDescent="0.2">
      <c r="A313" s="27">
        <f t="shared" si="277"/>
        <v>309</v>
      </c>
      <c r="B313" s="28">
        <f t="shared" si="224"/>
        <v>309</v>
      </c>
      <c r="C313" s="27">
        <f t="shared" si="225"/>
        <v>25</v>
      </c>
      <c r="D313" s="28">
        <f t="shared" si="226"/>
        <v>45</v>
      </c>
      <c r="E313" s="29">
        <f t="shared" si="227"/>
        <v>0</v>
      </c>
      <c r="F313" s="30">
        <f t="shared" si="228"/>
        <v>9.522370403772741E-4</v>
      </c>
      <c r="G313" s="31">
        <f t="shared" si="229"/>
        <v>7.9387740800629381E-5</v>
      </c>
      <c r="H313" s="32">
        <f t="shared" si="230"/>
        <v>0.02</v>
      </c>
      <c r="I313" s="32">
        <f t="shared" si="231"/>
        <v>0</v>
      </c>
      <c r="J313" s="33">
        <f t="shared" si="278"/>
        <v>0</v>
      </c>
      <c r="K313" s="30">
        <f t="shared" si="232"/>
        <v>0</v>
      </c>
      <c r="L313" s="33">
        <f t="shared" si="233"/>
        <v>0</v>
      </c>
      <c r="M313" s="30">
        <f t="shared" si="234"/>
        <v>0</v>
      </c>
      <c r="N313" s="33">
        <f t="shared" si="235"/>
        <v>0</v>
      </c>
      <c r="O313" s="31">
        <f t="shared" si="236"/>
        <v>0</v>
      </c>
      <c r="P313" s="33">
        <f t="shared" si="237"/>
        <v>0</v>
      </c>
      <c r="Q313" s="34">
        <f t="shared" si="279"/>
        <v>644393.83453906362</v>
      </c>
      <c r="R313" s="29">
        <f t="shared" si="238"/>
        <v>0</v>
      </c>
      <c r="S313" s="34">
        <f t="shared" si="239"/>
        <v>644393.83453906362</v>
      </c>
      <c r="T313" s="29">
        <f t="shared" si="240"/>
        <v>536.99486211588635</v>
      </c>
      <c r="U313" s="29">
        <f t="shared" si="241"/>
        <v>0</v>
      </c>
      <c r="V313" s="35">
        <f t="shared" si="242"/>
        <v>8.7326514880692332E-5</v>
      </c>
      <c r="W313" s="34">
        <f t="shared" si="243"/>
        <v>0</v>
      </c>
      <c r="X313" s="34">
        <f t="shared" si="244"/>
        <v>643856.83967694768</v>
      </c>
      <c r="Y313" s="36">
        <f t="shared" si="245"/>
        <v>-5.0388410952456608E-3</v>
      </c>
      <c r="Z313" s="34">
        <f t="shared" si="246"/>
        <v>-3244.2923032192007</v>
      </c>
      <c r="AA313" s="34">
        <f t="shared" si="247"/>
        <v>642234.69352533808</v>
      </c>
      <c r="AB313" s="34">
        <f t="shared" si="248"/>
        <v>0</v>
      </c>
      <c r="AC313" s="34">
        <f t="shared" si="249"/>
        <v>0</v>
      </c>
      <c r="AD313" s="34">
        <f t="shared" si="250"/>
        <v>0</v>
      </c>
      <c r="AE313" s="34">
        <f t="shared" si="251"/>
        <v>0</v>
      </c>
      <c r="AF313" s="34">
        <f t="shared" si="252"/>
        <v>0</v>
      </c>
      <c r="AG313" s="29">
        <f t="shared" si="253"/>
        <v>642234.69352533808</v>
      </c>
      <c r="AH313" s="34">
        <f t="shared" si="254"/>
        <v>0</v>
      </c>
      <c r="AI313" s="34">
        <f t="shared" si="255"/>
        <v>0</v>
      </c>
      <c r="AJ313" s="34">
        <f t="shared" si="256"/>
        <v>0</v>
      </c>
      <c r="AK313" s="34">
        <f t="shared" si="257"/>
        <v>0</v>
      </c>
      <c r="AL313" s="34">
        <f t="shared" si="258"/>
        <v>0</v>
      </c>
      <c r="AM313" s="34">
        <f t="shared" si="259"/>
        <v>0</v>
      </c>
      <c r="AN313" s="34">
        <f t="shared" si="260"/>
        <v>0</v>
      </c>
      <c r="AO313" s="34">
        <f t="shared" si="261"/>
        <v>0</v>
      </c>
      <c r="AP313" s="34">
        <f t="shared" si="262"/>
        <v>0</v>
      </c>
      <c r="AQ313" s="34">
        <f t="shared" si="263"/>
        <v>0</v>
      </c>
      <c r="AR313" s="34">
        <f t="shared" si="264"/>
        <v>0</v>
      </c>
      <c r="AS313" s="30">
        <f t="shared" si="265"/>
        <v>1.292038261994944</v>
      </c>
      <c r="AT313" s="29">
        <f t="shared" si="266"/>
        <v>0</v>
      </c>
      <c r="AU313" s="29">
        <f t="shared" si="267"/>
        <v>0</v>
      </c>
      <c r="AV313" s="34">
        <f t="shared" si="268"/>
        <v>0</v>
      </c>
      <c r="AW313" s="34">
        <f t="shared" si="269"/>
        <v>0</v>
      </c>
      <c r="AX313" s="29">
        <f t="shared" si="270"/>
        <v>0</v>
      </c>
      <c r="AY313" s="34">
        <f t="shared" si="271"/>
        <v>0</v>
      </c>
      <c r="AZ313" s="37">
        <f t="shared" si="272"/>
        <v>0</v>
      </c>
      <c r="BA313" s="37">
        <f t="shared" si="273"/>
        <v>0</v>
      </c>
      <c r="BB313" s="35">
        <f t="shared" si="274"/>
        <v>1.1304449661233562E-3</v>
      </c>
      <c r="BC313" s="31">
        <f t="shared" si="275"/>
        <v>0.70531539546863986</v>
      </c>
      <c r="BD313" s="34">
        <f t="shared" si="276"/>
        <v>0</v>
      </c>
    </row>
    <row r="314" spans="1:56" x14ac:dyDescent="0.2">
      <c r="A314" s="27">
        <f t="shared" si="277"/>
        <v>310</v>
      </c>
      <c r="B314" s="28">
        <f t="shared" si="224"/>
        <v>310</v>
      </c>
      <c r="C314" s="27">
        <f t="shared" si="225"/>
        <v>25</v>
      </c>
      <c r="D314" s="28">
        <f t="shared" si="226"/>
        <v>45</v>
      </c>
      <c r="E314" s="29">
        <f t="shared" si="227"/>
        <v>0</v>
      </c>
      <c r="F314" s="30">
        <f t="shared" si="228"/>
        <v>9.522370403772741E-4</v>
      </c>
      <c r="G314" s="31">
        <f t="shared" si="229"/>
        <v>7.9387740800629381E-5</v>
      </c>
      <c r="H314" s="32">
        <f t="shared" si="230"/>
        <v>0.02</v>
      </c>
      <c r="I314" s="32">
        <f t="shared" si="231"/>
        <v>0</v>
      </c>
      <c r="J314" s="33">
        <f t="shared" si="278"/>
        <v>0</v>
      </c>
      <c r="K314" s="30">
        <f t="shared" si="232"/>
        <v>0</v>
      </c>
      <c r="L314" s="33">
        <f t="shared" si="233"/>
        <v>0</v>
      </c>
      <c r="M314" s="30">
        <f t="shared" si="234"/>
        <v>0</v>
      </c>
      <c r="N314" s="33">
        <f t="shared" si="235"/>
        <v>0</v>
      </c>
      <c r="O314" s="31">
        <f t="shared" si="236"/>
        <v>0</v>
      </c>
      <c r="P314" s="33">
        <f t="shared" si="237"/>
        <v>0</v>
      </c>
      <c r="Q314" s="34">
        <f t="shared" si="279"/>
        <v>640612.54737372848</v>
      </c>
      <c r="R314" s="29">
        <f t="shared" si="238"/>
        <v>0</v>
      </c>
      <c r="S314" s="34">
        <f t="shared" si="239"/>
        <v>640612.54737372848</v>
      </c>
      <c r="T314" s="29">
        <f t="shared" si="240"/>
        <v>533.84378947810706</v>
      </c>
      <c r="U314" s="29">
        <f t="shared" si="241"/>
        <v>0</v>
      </c>
      <c r="V314" s="35">
        <f t="shared" si="242"/>
        <v>8.7326514880692332E-5</v>
      </c>
      <c r="W314" s="34">
        <f t="shared" si="243"/>
        <v>0</v>
      </c>
      <c r="X314" s="34">
        <f t="shared" si="244"/>
        <v>640078.70358425041</v>
      </c>
      <c r="Y314" s="36">
        <f t="shared" si="245"/>
        <v>2.1733953928417815E-3</v>
      </c>
      <c r="Z314" s="34">
        <f t="shared" si="246"/>
        <v>1391.1441054261502</v>
      </c>
      <c r="AA314" s="34">
        <f t="shared" si="247"/>
        <v>640774.27563696343</v>
      </c>
      <c r="AB314" s="34">
        <f t="shared" si="248"/>
        <v>0</v>
      </c>
      <c r="AC314" s="34">
        <f t="shared" si="249"/>
        <v>0</v>
      </c>
      <c r="AD314" s="34">
        <f t="shared" si="250"/>
        <v>0</v>
      </c>
      <c r="AE314" s="34">
        <f t="shared" si="251"/>
        <v>0</v>
      </c>
      <c r="AF314" s="34">
        <f t="shared" si="252"/>
        <v>0</v>
      </c>
      <c r="AG314" s="29">
        <f t="shared" si="253"/>
        <v>640774.27563696343</v>
      </c>
      <c r="AH314" s="34">
        <f t="shared" si="254"/>
        <v>0</v>
      </c>
      <c r="AI314" s="34">
        <f t="shared" si="255"/>
        <v>0</v>
      </c>
      <c r="AJ314" s="34">
        <f t="shared" si="256"/>
        <v>0</v>
      </c>
      <c r="AK314" s="34">
        <f t="shared" si="257"/>
        <v>0</v>
      </c>
      <c r="AL314" s="34">
        <f t="shared" si="258"/>
        <v>0</v>
      </c>
      <c r="AM314" s="34">
        <f t="shared" si="259"/>
        <v>0</v>
      </c>
      <c r="AN314" s="34">
        <f t="shared" si="260"/>
        <v>0</v>
      </c>
      <c r="AO314" s="34">
        <f t="shared" si="261"/>
        <v>0</v>
      </c>
      <c r="AP314" s="34">
        <f t="shared" si="262"/>
        <v>0</v>
      </c>
      <c r="AQ314" s="34">
        <f t="shared" si="263"/>
        <v>0</v>
      </c>
      <c r="AR314" s="34">
        <f t="shared" si="264"/>
        <v>0</v>
      </c>
      <c r="AS314" s="30">
        <f t="shared" si="265"/>
        <v>1.2931100569784626</v>
      </c>
      <c r="AT314" s="29">
        <f t="shared" si="266"/>
        <v>0</v>
      </c>
      <c r="AU314" s="29">
        <f t="shared" si="267"/>
        <v>0</v>
      </c>
      <c r="AV314" s="34">
        <f t="shared" si="268"/>
        <v>0</v>
      </c>
      <c r="AW314" s="34">
        <f t="shared" si="269"/>
        <v>0</v>
      </c>
      <c r="AX314" s="29">
        <f t="shared" si="270"/>
        <v>0</v>
      </c>
      <c r="AY314" s="34">
        <f t="shared" si="271"/>
        <v>0</v>
      </c>
      <c r="AZ314" s="37">
        <f t="shared" si="272"/>
        <v>0</v>
      </c>
      <c r="BA314" s="37">
        <f t="shared" si="273"/>
        <v>0</v>
      </c>
      <c r="BB314" s="35">
        <f t="shared" si="274"/>
        <v>1.1304449661233562E-3</v>
      </c>
      <c r="BC314" s="31">
        <f t="shared" si="275"/>
        <v>0.70451897553920328</v>
      </c>
      <c r="BD314" s="34">
        <f t="shared" si="276"/>
        <v>0</v>
      </c>
    </row>
    <row r="315" spans="1:56" x14ac:dyDescent="0.2">
      <c r="A315" s="27">
        <f t="shared" si="277"/>
        <v>311</v>
      </c>
      <c r="B315" s="28">
        <f t="shared" si="224"/>
        <v>311</v>
      </c>
      <c r="C315" s="27">
        <f t="shared" si="225"/>
        <v>25</v>
      </c>
      <c r="D315" s="28">
        <f t="shared" si="226"/>
        <v>45</v>
      </c>
      <c r="E315" s="29">
        <f t="shared" si="227"/>
        <v>0</v>
      </c>
      <c r="F315" s="30">
        <f t="shared" si="228"/>
        <v>9.522370403772741E-4</v>
      </c>
      <c r="G315" s="31">
        <f t="shared" si="229"/>
        <v>7.9387740800629381E-5</v>
      </c>
      <c r="H315" s="32">
        <f t="shared" si="230"/>
        <v>0.02</v>
      </c>
      <c r="I315" s="32">
        <f t="shared" si="231"/>
        <v>0</v>
      </c>
      <c r="J315" s="33">
        <f t="shared" si="278"/>
        <v>0</v>
      </c>
      <c r="K315" s="30">
        <f t="shared" si="232"/>
        <v>0</v>
      </c>
      <c r="L315" s="33">
        <f t="shared" si="233"/>
        <v>0</v>
      </c>
      <c r="M315" s="30">
        <f t="shared" si="234"/>
        <v>0</v>
      </c>
      <c r="N315" s="33">
        <f t="shared" si="235"/>
        <v>0</v>
      </c>
      <c r="O315" s="31">
        <f t="shared" si="236"/>
        <v>0</v>
      </c>
      <c r="P315" s="33">
        <f t="shared" si="237"/>
        <v>0</v>
      </c>
      <c r="Q315" s="34">
        <f t="shared" si="279"/>
        <v>641469.84768967656</v>
      </c>
      <c r="R315" s="29">
        <f t="shared" si="238"/>
        <v>0</v>
      </c>
      <c r="S315" s="34">
        <f t="shared" si="239"/>
        <v>641469.84768967656</v>
      </c>
      <c r="T315" s="29">
        <f t="shared" si="240"/>
        <v>534.55820640806382</v>
      </c>
      <c r="U315" s="29">
        <f t="shared" si="241"/>
        <v>0</v>
      </c>
      <c r="V315" s="35">
        <f t="shared" si="242"/>
        <v>8.7326514880692332E-5</v>
      </c>
      <c r="W315" s="34">
        <f t="shared" si="243"/>
        <v>0</v>
      </c>
      <c r="X315" s="34">
        <f t="shared" si="244"/>
        <v>640935.28948326851</v>
      </c>
      <c r="Y315" s="36">
        <f t="shared" si="245"/>
        <v>1.2966686074057598E-2</v>
      </c>
      <c r="Z315" s="34">
        <f t="shared" si="246"/>
        <v>8310.8066925147741</v>
      </c>
      <c r="AA315" s="34">
        <f t="shared" si="247"/>
        <v>645090.69282952591</v>
      </c>
      <c r="AB315" s="34">
        <f t="shared" si="248"/>
        <v>0</v>
      </c>
      <c r="AC315" s="34">
        <f t="shared" si="249"/>
        <v>0</v>
      </c>
      <c r="AD315" s="34">
        <f t="shared" si="250"/>
        <v>0</v>
      </c>
      <c r="AE315" s="34">
        <f t="shared" si="251"/>
        <v>0</v>
      </c>
      <c r="AF315" s="34">
        <f t="shared" si="252"/>
        <v>0</v>
      </c>
      <c r="AG315" s="29">
        <f t="shared" si="253"/>
        <v>645090.69282952591</v>
      </c>
      <c r="AH315" s="34">
        <f t="shared" si="254"/>
        <v>0</v>
      </c>
      <c r="AI315" s="34">
        <f t="shared" si="255"/>
        <v>0</v>
      </c>
      <c r="AJ315" s="34">
        <f t="shared" si="256"/>
        <v>0</v>
      </c>
      <c r="AK315" s="34">
        <f t="shared" si="257"/>
        <v>0</v>
      </c>
      <c r="AL315" s="34">
        <f t="shared" si="258"/>
        <v>0</v>
      </c>
      <c r="AM315" s="34">
        <f t="shared" si="259"/>
        <v>0</v>
      </c>
      <c r="AN315" s="34">
        <f t="shared" si="260"/>
        <v>0</v>
      </c>
      <c r="AO315" s="34">
        <f t="shared" si="261"/>
        <v>0</v>
      </c>
      <c r="AP315" s="34">
        <f t="shared" si="262"/>
        <v>0</v>
      </c>
      <c r="AQ315" s="34">
        <f t="shared" si="263"/>
        <v>0</v>
      </c>
      <c r="AR315" s="34">
        <f t="shared" si="264"/>
        <v>0</v>
      </c>
      <c r="AS315" s="30">
        <f t="shared" si="265"/>
        <v>1.2941827410567706</v>
      </c>
      <c r="AT315" s="29">
        <f t="shared" si="266"/>
        <v>0</v>
      </c>
      <c r="AU315" s="29">
        <f t="shared" si="267"/>
        <v>0</v>
      </c>
      <c r="AV315" s="34">
        <f t="shared" si="268"/>
        <v>0</v>
      </c>
      <c r="AW315" s="34">
        <f t="shared" si="269"/>
        <v>0</v>
      </c>
      <c r="AX315" s="29">
        <f t="shared" si="270"/>
        <v>0</v>
      </c>
      <c r="AY315" s="34">
        <f t="shared" si="271"/>
        <v>0</v>
      </c>
      <c r="AZ315" s="37">
        <f t="shared" si="272"/>
        <v>0</v>
      </c>
      <c r="BA315" s="37">
        <f t="shared" si="273"/>
        <v>0</v>
      </c>
      <c r="BB315" s="35">
        <f t="shared" si="274"/>
        <v>1.1304449661233562E-3</v>
      </c>
      <c r="BC315" s="31">
        <f t="shared" si="275"/>
        <v>0.70372345490206645</v>
      </c>
      <c r="BD315" s="34">
        <f t="shared" si="276"/>
        <v>0</v>
      </c>
    </row>
    <row r="316" spans="1:56" x14ac:dyDescent="0.2">
      <c r="A316" s="27">
        <f t="shared" si="277"/>
        <v>312</v>
      </c>
      <c r="B316" s="28">
        <f t="shared" si="224"/>
        <v>312</v>
      </c>
      <c r="C316" s="27">
        <f t="shared" si="225"/>
        <v>26</v>
      </c>
      <c r="D316" s="28">
        <f t="shared" si="226"/>
        <v>46</v>
      </c>
      <c r="E316" s="29">
        <f t="shared" si="227"/>
        <v>0</v>
      </c>
      <c r="F316" s="30">
        <f t="shared" si="228"/>
        <v>1.0047705765034701E-3</v>
      </c>
      <c r="G316" s="31">
        <f t="shared" si="229"/>
        <v>8.3769465879068861E-5</v>
      </c>
      <c r="H316" s="32">
        <f t="shared" si="230"/>
        <v>0.02</v>
      </c>
      <c r="I316" s="32">
        <f t="shared" si="231"/>
        <v>0</v>
      </c>
      <c r="J316" s="33">
        <f t="shared" si="278"/>
        <v>0</v>
      </c>
      <c r="K316" s="30">
        <f t="shared" si="232"/>
        <v>0</v>
      </c>
      <c r="L316" s="33">
        <f t="shared" si="233"/>
        <v>0</v>
      </c>
      <c r="M316" s="30">
        <f t="shared" si="234"/>
        <v>0</v>
      </c>
      <c r="N316" s="33">
        <f t="shared" si="235"/>
        <v>0</v>
      </c>
      <c r="O316" s="31">
        <f t="shared" si="236"/>
        <v>0</v>
      </c>
      <c r="P316" s="33">
        <f t="shared" si="237"/>
        <v>0</v>
      </c>
      <c r="Q316" s="34">
        <f t="shared" si="279"/>
        <v>649246.09617578331</v>
      </c>
      <c r="R316" s="29">
        <f t="shared" si="238"/>
        <v>0</v>
      </c>
      <c r="S316" s="34">
        <f t="shared" si="239"/>
        <v>649246.09617578331</v>
      </c>
      <c r="T316" s="29">
        <f t="shared" si="240"/>
        <v>541.0384134798195</v>
      </c>
      <c r="U316" s="29">
        <f t="shared" si="241"/>
        <v>0</v>
      </c>
      <c r="V316" s="35">
        <f t="shared" si="242"/>
        <v>9.2146412466975758E-5</v>
      </c>
      <c r="W316" s="34">
        <f t="shared" si="243"/>
        <v>0</v>
      </c>
      <c r="X316" s="34">
        <f t="shared" si="244"/>
        <v>648705.05776230351</v>
      </c>
      <c r="Y316" s="36">
        <f t="shared" si="245"/>
        <v>-2.0282068140243692E-2</v>
      </c>
      <c r="Z316" s="34">
        <f t="shared" si="246"/>
        <v>-13157.080184455759</v>
      </c>
      <c r="AA316" s="34">
        <f t="shared" si="247"/>
        <v>642126.51767007564</v>
      </c>
      <c r="AB316" s="34">
        <f t="shared" si="248"/>
        <v>0</v>
      </c>
      <c r="AC316" s="34">
        <f t="shared" si="249"/>
        <v>0</v>
      </c>
      <c r="AD316" s="34">
        <f t="shared" si="250"/>
        <v>0</v>
      </c>
      <c r="AE316" s="34">
        <f t="shared" si="251"/>
        <v>0</v>
      </c>
      <c r="AF316" s="34">
        <f t="shared" si="252"/>
        <v>0</v>
      </c>
      <c r="AG316" s="29">
        <f t="shared" si="253"/>
        <v>642126.51767007564</v>
      </c>
      <c r="AH316" s="34">
        <f t="shared" si="254"/>
        <v>0</v>
      </c>
      <c r="AI316" s="34">
        <f t="shared" si="255"/>
        <v>0</v>
      </c>
      <c r="AJ316" s="34">
        <f t="shared" si="256"/>
        <v>0</v>
      </c>
      <c r="AK316" s="34">
        <f t="shared" si="257"/>
        <v>0</v>
      </c>
      <c r="AL316" s="34">
        <f t="shared" si="258"/>
        <v>0</v>
      </c>
      <c r="AM316" s="34">
        <f t="shared" si="259"/>
        <v>0</v>
      </c>
      <c r="AN316" s="34">
        <f t="shared" si="260"/>
        <v>0</v>
      </c>
      <c r="AO316" s="34">
        <f t="shared" si="261"/>
        <v>0</v>
      </c>
      <c r="AP316" s="34">
        <f t="shared" si="262"/>
        <v>0</v>
      </c>
      <c r="AQ316" s="34">
        <f t="shared" si="263"/>
        <v>0</v>
      </c>
      <c r="AR316" s="34">
        <f t="shared" si="264"/>
        <v>0</v>
      </c>
      <c r="AS316" s="30">
        <f t="shared" si="265"/>
        <v>1.2952563149674066</v>
      </c>
      <c r="AT316" s="29">
        <f t="shared" si="266"/>
        <v>0</v>
      </c>
      <c r="AU316" s="29">
        <f t="shared" si="267"/>
        <v>0</v>
      </c>
      <c r="AV316" s="34">
        <f t="shared" si="268"/>
        <v>0</v>
      </c>
      <c r="AW316" s="34">
        <f t="shared" si="269"/>
        <v>0</v>
      </c>
      <c r="AX316" s="29">
        <f t="shared" si="270"/>
        <v>0</v>
      </c>
      <c r="AY316" s="34">
        <f t="shared" si="271"/>
        <v>0</v>
      </c>
      <c r="AZ316" s="37">
        <f t="shared" si="272"/>
        <v>0</v>
      </c>
      <c r="BA316" s="37">
        <f t="shared" si="273"/>
        <v>0</v>
      </c>
      <c r="BB316" s="35">
        <f t="shared" si="274"/>
        <v>1.1271527431262474E-3</v>
      </c>
      <c r="BC316" s="31">
        <f t="shared" si="275"/>
        <v>0.70365041847198206</v>
      </c>
      <c r="BD316" s="34">
        <f t="shared" si="276"/>
        <v>0</v>
      </c>
    </row>
    <row r="317" spans="1:56" x14ac:dyDescent="0.2">
      <c r="A317" s="27">
        <f t="shared" si="277"/>
        <v>313</v>
      </c>
      <c r="B317" s="28">
        <f t="shared" si="224"/>
        <v>313</v>
      </c>
      <c r="C317" s="27">
        <f t="shared" si="225"/>
        <v>26</v>
      </c>
      <c r="D317" s="28">
        <f t="shared" si="226"/>
        <v>46</v>
      </c>
      <c r="E317" s="29">
        <f t="shared" si="227"/>
        <v>0</v>
      </c>
      <c r="F317" s="30">
        <f t="shared" si="228"/>
        <v>1.0047705765034701E-3</v>
      </c>
      <c r="G317" s="31">
        <f t="shared" si="229"/>
        <v>8.3769465879068861E-5</v>
      </c>
      <c r="H317" s="32">
        <f t="shared" si="230"/>
        <v>0.02</v>
      </c>
      <c r="I317" s="32">
        <f t="shared" si="231"/>
        <v>0</v>
      </c>
      <c r="J317" s="33">
        <f t="shared" si="278"/>
        <v>0</v>
      </c>
      <c r="K317" s="30">
        <f t="shared" si="232"/>
        <v>0</v>
      </c>
      <c r="L317" s="33">
        <f t="shared" si="233"/>
        <v>0</v>
      </c>
      <c r="M317" s="30">
        <f t="shared" si="234"/>
        <v>0</v>
      </c>
      <c r="N317" s="33">
        <f t="shared" si="235"/>
        <v>0</v>
      </c>
      <c r="O317" s="31">
        <f t="shared" si="236"/>
        <v>0</v>
      </c>
      <c r="P317" s="33">
        <f t="shared" si="237"/>
        <v>0</v>
      </c>
      <c r="Q317" s="34">
        <f t="shared" si="279"/>
        <v>635547.97757784778</v>
      </c>
      <c r="R317" s="29">
        <f t="shared" si="238"/>
        <v>0</v>
      </c>
      <c r="S317" s="34">
        <f t="shared" si="239"/>
        <v>635547.97757784778</v>
      </c>
      <c r="T317" s="29">
        <f t="shared" si="240"/>
        <v>529.62331464820647</v>
      </c>
      <c r="U317" s="29">
        <f t="shared" si="241"/>
        <v>0</v>
      </c>
      <c r="V317" s="35">
        <f t="shared" si="242"/>
        <v>9.2146412466975758E-5</v>
      </c>
      <c r="W317" s="34">
        <f t="shared" si="243"/>
        <v>0</v>
      </c>
      <c r="X317" s="34">
        <f t="shared" si="244"/>
        <v>635018.35426319961</v>
      </c>
      <c r="Y317" s="36">
        <f t="shared" si="245"/>
        <v>1.6856884355852531E-2</v>
      </c>
      <c r="Z317" s="34">
        <f t="shared" si="246"/>
        <v>10704.430961658549</v>
      </c>
      <c r="AA317" s="34">
        <f t="shared" si="247"/>
        <v>640370.56974402885</v>
      </c>
      <c r="AB317" s="34">
        <f t="shared" si="248"/>
        <v>0</v>
      </c>
      <c r="AC317" s="34">
        <f t="shared" si="249"/>
        <v>0</v>
      </c>
      <c r="AD317" s="34">
        <f t="shared" si="250"/>
        <v>0</v>
      </c>
      <c r="AE317" s="34">
        <f t="shared" si="251"/>
        <v>0</v>
      </c>
      <c r="AF317" s="34">
        <f t="shared" si="252"/>
        <v>0</v>
      </c>
      <c r="AG317" s="29">
        <f t="shared" si="253"/>
        <v>640370.56974402885</v>
      </c>
      <c r="AH317" s="34">
        <f t="shared" si="254"/>
        <v>0</v>
      </c>
      <c r="AI317" s="34">
        <f t="shared" si="255"/>
        <v>0</v>
      </c>
      <c r="AJ317" s="34">
        <f t="shared" si="256"/>
        <v>0</v>
      </c>
      <c r="AK317" s="34">
        <f t="shared" si="257"/>
        <v>0</v>
      </c>
      <c r="AL317" s="34">
        <f t="shared" si="258"/>
        <v>0</v>
      </c>
      <c r="AM317" s="34">
        <f t="shared" si="259"/>
        <v>0</v>
      </c>
      <c r="AN317" s="34">
        <f t="shared" si="260"/>
        <v>0</v>
      </c>
      <c r="AO317" s="34">
        <f t="shared" si="261"/>
        <v>0</v>
      </c>
      <c r="AP317" s="34">
        <f t="shared" si="262"/>
        <v>0</v>
      </c>
      <c r="AQ317" s="34">
        <f t="shared" si="263"/>
        <v>0</v>
      </c>
      <c r="AR317" s="34">
        <f t="shared" si="264"/>
        <v>0</v>
      </c>
      <c r="AS317" s="30">
        <f t="shared" si="265"/>
        <v>1.2963307794485195</v>
      </c>
      <c r="AT317" s="29">
        <f t="shared" si="266"/>
        <v>0</v>
      </c>
      <c r="AU317" s="29">
        <f t="shared" si="267"/>
        <v>0</v>
      </c>
      <c r="AV317" s="34">
        <f t="shared" si="268"/>
        <v>0</v>
      </c>
      <c r="AW317" s="34">
        <f t="shared" si="269"/>
        <v>0</v>
      </c>
      <c r="AX317" s="29">
        <f t="shared" si="270"/>
        <v>0</v>
      </c>
      <c r="AY317" s="34">
        <f t="shared" si="271"/>
        <v>0</v>
      </c>
      <c r="AZ317" s="37">
        <f t="shared" si="272"/>
        <v>0</v>
      </c>
      <c r="BA317" s="37">
        <f t="shared" si="273"/>
        <v>0</v>
      </c>
      <c r="BB317" s="35">
        <f t="shared" si="274"/>
        <v>1.1271527431262474E-3</v>
      </c>
      <c r="BC317" s="31">
        <f t="shared" si="275"/>
        <v>0.70285818993516813</v>
      </c>
      <c r="BD317" s="34">
        <f t="shared" si="276"/>
        <v>0</v>
      </c>
    </row>
    <row r="318" spans="1:56" x14ac:dyDescent="0.2">
      <c r="A318" s="27">
        <f t="shared" si="277"/>
        <v>314</v>
      </c>
      <c r="B318" s="28">
        <f t="shared" si="224"/>
        <v>314</v>
      </c>
      <c r="C318" s="27">
        <f t="shared" si="225"/>
        <v>26</v>
      </c>
      <c r="D318" s="28">
        <f t="shared" si="226"/>
        <v>46</v>
      </c>
      <c r="E318" s="29">
        <f t="shared" si="227"/>
        <v>0</v>
      </c>
      <c r="F318" s="30">
        <f t="shared" si="228"/>
        <v>1.0047705765034701E-3</v>
      </c>
      <c r="G318" s="31">
        <f t="shared" si="229"/>
        <v>8.3769465879068861E-5</v>
      </c>
      <c r="H318" s="32">
        <f t="shared" si="230"/>
        <v>0.02</v>
      </c>
      <c r="I318" s="32">
        <f t="shared" si="231"/>
        <v>0</v>
      </c>
      <c r="J318" s="33">
        <f t="shared" si="278"/>
        <v>0</v>
      </c>
      <c r="K318" s="30">
        <f t="shared" si="232"/>
        <v>0</v>
      </c>
      <c r="L318" s="33">
        <f t="shared" si="233"/>
        <v>0</v>
      </c>
      <c r="M318" s="30">
        <f t="shared" si="234"/>
        <v>0</v>
      </c>
      <c r="N318" s="33">
        <f t="shared" si="235"/>
        <v>0</v>
      </c>
      <c r="O318" s="31">
        <f t="shared" si="236"/>
        <v>0</v>
      </c>
      <c r="P318" s="33">
        <f t="shared" si="237"/>
        <v>0</v>
      </c>
      <c r="Q318" s="34">
        <f t="shared" si="279"/>
        <v>645722.78522485821</v>
      </c>
      <c r="R318" s="29">
        <f t="shared" si="238"/>
        <v>0</v>
      </c>
      <c r="S318" s="34">
        <f t="shared" si="239"/>
        <v>645722.78522485821</v>
      </c>
      <c r="T318" s="29">
        <f t="shared" si="240"/>
        <v>538.10232102071518</v>
      </c>
      <c r="U318" s="29">
        <f t="shared" si="241"/>
        <v>0</v>
      </c>
      <c r="V318" s="35">
        <f t="shared" si="242"/>
        <v>9.2146412466975758E-5</v>
      </c>
      <c r="W318" s="34">
        <f t="shared" si="243"/>
        <v>0</v>
      </c>
      <c r="X318" s="34">
        <f t="shared" si="244"/>
        <v>645184.68290383753</v>
      </c>
      <c r="Y318" s="36">
        <f t="shared" si="245"/>
        <v>-9.0955992679901954E-3</v>
      </c>
      <c r="Z318" s="34">
        <f t="shared" si="246"/>
        <v>-5868.3413295386308</v>
      </c>
      <c r="AA318" s="34">
        <f t="shared" si="247"/>
        <v>642250.51223906816</v>
      </c>
      <c r="AB318" s="34">
        <f t="shared" si="248"/>
        <v>0</v>
      </c>
      <c r="AC318" s="34">
        <f t="shared" si="249"/>
        <v>0</v>
      </c>
      <c r="AD318" s="34">
        <f t="shared" si="250"/>
        <v>0</v>
      </c>
      <c r="AE318" s="34">
        <f t="shared" si="251"/>
        <v>0</v>
      </c>
      <c r="AF318" s="34">
        <f t="shared" si="252"/>
        <v>0</v>
      </c>
      <c r="AG318" s="29">
        <f t="shared" si="253"/>
        <v>642250.51223906816</v>
      </c>
      <c r="AH318" s="34">
        <f t="shared" si="254"/>
        <v>0</v>
      </c>
      <c r="AI318" s="34">
        <f t="shared" si="255"/>
        <v>0</v>
      </c>
      <c r="AJ318" s="34">
        <f t="shared" si="256"/>
        <v>0</v>
      </c>
      <c r="AK318" s="34">
        <f t="shared" si="257"/>
        <v>0</v>
      </c>
      <c r="AL318" s="34">
        <f t="shared" si="258"/>
        <v>0</v>
      </c>
      <c r="AM318" s="34">
        <f t="shared" si="259"/>
        <v>0</v>
      </c>
      <c r="AN318" s="34">
        <f t="shared" si="260"/>
        <v>0</v>
      </c>
      <c r="AO318" s="34">
        <f t="shared" si="261"/>
        <v>0</v>
      </c>
      <c r="AP318" s="34">
        <f t="shared" si="262"/>
        <v>0</v>
      </c>
      <c r="AQ318" s="34">
        <f t="shared" si="263"/>
        <v>0</v>
      </c>
      <c r="AR318" s="34">
        <f t="shared" si="264"/>
        <v>0</v>
      </c>
      <c r="AS318" s="30">
        <f t="shared" si="265"/>
        <v>1.2974061352388722</v>
      </c>
      <c r="AT318" s="29">
        <f t="shared" si="266"/>
        <v>0</v>
      </c>
      <c r="AU318" s="29">
        <f t="shared" si="267"/>
        <v>0</v>
      </c>
      <c r="AV318" s="34">
        <f t="shared" si="268"/>
        <v>0</v>
      </c>
      <c r="AW318" s="34">
        <f t="shared" si="269"/>
        <v>0</v>
      </c>
      <c r="AX318" s="29">
        <f t="shared" si="270"/>
        <v>0</v>
      </c>
      <c r="AY318" s="34">
        <f t="shared" si="271"/>
        <v>0</v>
      </c>
      <c r="AZ318" s="37">
        <f t="shared" si="272"/>
        <v>0</v>
      </c>
      <c r="BA318" s="37">
        <f t="shared" si="273"/>
        <v>0</v>
      </c>
      <c r="BB318" s="35">
        <f t="shared" si="274"/>
        <v>1.1271527431262474E-3</v>
      </c>
      <c r="BC318" s="31">
        <f t="shared" si="275"/>
        <v>0.7020668533555503</v>
      </c>
      <c r="BD318" s="34">
        <f t="shared" si="276"/>
        <v>0</v>
      </c>
    </row>
    <row r="319" spans="1:56" x14ac:dyDescent="0.2">
      <c r="A319" s="27">
        <f t="shared" si="277"/>
        <v>315</v>
      </c>
      <c r="B319" s="28">
        <f t="shared" si="224"/>
        <v>315</v>
      </c>
      <c r="C319" s="27">
        <f t="shared" si="225"/>
        <v>26</v>
      </c>
      <c r="D319" s="28">
        <f t="shared" si="226"/>
        <v>46</v>
      </c>
      <c r="E319" s="29">
        <f t="shared" si="227"/>
        <v>0</v>
      </c>
      <c r="F319" s="30">
        <f t="shared" si="228"/>
        <v>1.0047705765034701E-3</v>
      </c>
      <c r="G319" s="31">
        <f t="shared" si="229"/>
        <v>8.3769465879068861E-5</v>
      </c>
      <c r="H319" s="32">
        <f t="shared" si="230"/>
        <v>0.02</v>
      </c>
      <c r="I319" s="32">
        <f t="shared" si="231"/>
        <v>0</v>
      </c>
      <c r="J319" s="33">
        <f t="shared" si="278"/>
        <v>0</v>
      </c>
      <c r="K319" s="30">
        <f t="shared" si="232"/>
        <v>0</v>
      </c>
      <c r="L319" s="33">
        <f t="shared" si="233"/>
        <v>0</v>
      </c>
      <c r="M319" s="30">
        <f t="shared" si="234"/>
        <v>0</v>
      </c>
      <c r="N319" s="33">
        <f t="shared" si="235"/>
        <v>0</v>
      </c>
      <c r="O319" s="31">
        <f t="shared" si="236"/>
        <v>0</v>
      </c>
      <c r="P319" s="33">
        <f t="shared" si="237"/>
        <v>0</v>
      </c>
      <c r="Q319" s="34">
        <f t="shared" si="279"/>
        <v>639316.34157429892</v>
      </c>
      <c r="R319" s="29">
        <f t="shared" si="238"/>
        <v>0</v>
      </c>
      <c r="S319" s="34">
        <f t="shared" si="239"/>
        <v>639316.34157429892</v>
      </c>
      <c r="T319" s="29">
        <f t="shared" si="240"/>
        <v>532.76361797858249</v>
      </c>
      <c r="U319" s="29">
        <f t="shared" si="241"/>
        <v>0</v>
      </c>
      <c r="V319" s="35">
        <f t="shared" si="242"/>
        <v>9.2146412466975758E-5</v>
      </c>
      <c r="W319" s="34">
        <f t="shared" si="243"/>
        <v>0</v>
      </c>
      <c r="X319" s="34">
        <f t="shared" si="244"/>
        <v>638783.57795632037</v>
      </c>
      <c r="Y319" s="36">
        <f t="shared" si="245"/>
        <v>1.2764257089015629E-2</v>
      </c>
      <c r="Z319" s="34">
        <f t="shared" si="246"/>
        <v>8153.59781327573</v>
      </c>
      <c r="AA319" s="34">
        <f t="shared" si="247"/>
        <v>642860.37686295819</v>
      </c>
      <c r="AB319" s="34">
        <f t="shared" si="248"/>
        <v>0</v>
      </c>
      <c r="AC319" s="34">
        <f t="shared" si="249"/>
        <v>0</v>
      </c>
      <c r="AD319" s="34">
        <f t="shared" si="250"/>
        <v>0</v>
      </c>
      <c r="AE319" s="34">
        <f t="shared" si="251"/>
        <v>0</v>
      </c>
      <c r="AF319" s="34">
        <f t="shared" si="252"/>
        <v>0</v>
      </c>
      <c r="AG319" s="29">
        <f t="shared" si="253"/>
        <v>642860.37686295819</v>
      </c>
      <c r="AH319" s="34">
        <f t="shared" si="254"/>
        <v>0</v>
      </c>
      <c r="AI319" s="34">
        <f t="shared" si="255"/>
        <v>0</v>
      </c>
      <c r="AJ319" s="34">
        <f t="shared" si="256"/>
        <v>0</v>
      </c>
      <c r="AK319" s="34">
        <f t="shared" si="257"/>
        <v>0</v>
      </c>
      <c r="AL319" s="34">
        <f t="shared" si="258"/>
        <v>0</v>
      </c>
      <c r="AM319" s="34">
        <f t="shared" si="259"/>
        <v>0</v>
      </c>
      <c r="AN319" s="34">
        <f t="shared" si="260"/>
        <v>0</v>
      </c>
      <c r="AO319" s="34">
        <f t="shared" si="261"/>
        <v>0</v>
      </c>
      <c r="AP319" s="34">
        <f t="shared" si="262"/>
        <v>0</v>
      </c>
      <c r="AQ319" s="34">
        <f t="shared" si="263"/>
        <v>0</v>
      </c>
      <c r="AR319" s="34">
        <f t="shared" si="264"/>
        <v>0</v>
      </c>
      <c r="AS319" s="30">
        <f t="shared" si="265"/>
        <v>1.2984823830778394</v>
      </c>
      <c r="AT319" s="29">
        <f t="shared" si="266"/>
        <v>0</v>
      </c>
      <c r="AU319" s="29">
        <f t="shared" si="267"/>
        <v>0</v>
      </c>
      <c r="AV319" s="34">
        <f t="shared" si="268"/>
        <v>0</v>
      </c>
      <c r="AW319" s="34">
        <f t="shared" si="269"/>
        <v>0</v>
      </c>
      <c r="AX319" s="29">
        <f t="shared" si="270"/>
        <v>0</v>
      </c>
      <c r="AY319" s="34">
        <f t="shared" si="271"/>
        <v>0</v>
      </c>
      <c r="AZ319" s="37">
        <f t="shared" si="272"/>
        <v>0</v>
      </c>
      <c r="BA319" s="37">
        <f t="shared" si="273"/>
        <v>0</v>
      </c>
      <c r="BB319" s="35">
        <f t="shared" si="274"/>
        <v>1.1271527431262474E-3</v>
      </c>
      <c r="BC319" s="31">
        <f t="shared" si="275"/>
        <v>0.701276407728889</v>
      </c>
      <c r="BD319" s="34">
        <f t="shared" si="276"/>
        <v>0</v>
      </c>
    </row>
    <row r="320" spans="1:56" x14ac:dyDescent="0.2">
      <c r="A320" s="27">
        <f t="shared" si="277"/>
        <v>316</v>
      </c>
      <c r="B320" s="28">
        <f t="shared" si="224"/>
        <v>316</v>
      </c>
      <c r="C320" s="27">
        <f t="shared" si="225"/>
        <v>26</v>
      </c>
      <c r="D320" s="28">
        <f t="shared" si="226"/>
        <v>46</v>
      </c>
      <c r="E320" s="29">
        <f t="shared" si="227"/>
        <v>0</v>
      </c>
      <c r="F320" s="30">
        <f t="shared" si="228"/>
        <v>1.0047705765034701E-3</v>
      </c>
      <c r="G320" s="31">
        <f t="shared" si="229"/>
        <v>8.3769465879068861E-5</v>
      </c>
      <c r="H320" s="32">
        <f t="shared" si="230"/>
        <v>0.02</v>
      </c>
      <c r="I320" s="32">
        <f t="shared" si="231"/>
        <v>0</v>
      </c>
      <c r="J320" s="33">
        <f t="shared" si="278"/>
        <v>0</v>
      </c>
      <c r="K320" s="30">
        <f t="shared" si="232"/>
        <v>0</v>
      </c>
      <c r="L320" s="33">
        <f t="shared" si="233"/>
        <v>0</v>
      </c>
      <c r="M320" s="30">
        <f t="shared" si="234"/>
        <v>0</v>
      </c>
      <c r="N320" s="33">
        <f t="shared" si="235"/>
        <v>0</v>
      </c>
      <c r="O320" s="31">
        <f t="shared" si="236"/>
        <v>0</v>
      </c>
      <c r="P320" s="33">
        <f t="shared" si="237"/>
        <v>0</v>
      </c>
      <c r="Q320" s="34">
        <f t="shared" si="279"/>
        <v>646937.17576959613</v>
      </c>
      <c r="R320" s="29">
        <f t="shared" si="238"/>
        <v>0</v>
      </c>
      <c r="S320" s="34">
        <f t="shared" si="239"/>
        <v>646937.17576959613</v>
      </c>
      <c r="T320" s="29">
        <f t="shared" si="240"/>
        <v>539.11431314133017</v>
      </c>
      <c r="U320" s="29">
        <f t="shared" si="241"/>
        <v>0</v>
      </c>
      <c r="V320" s="35">
        <f t="shared" si="242"/>
        <v>9.2146412466975758E-5</v>
      </c>
      <c r="W320" s="34">
        <f t="shared" si="243"/>
        <v>0</v>
      </c>
      <c r="X320" s="34">
        <f t="shared" si="244"/>
        <v>646398.0614564548</v>
      </c>
      <c r="Y320" s="36">
        <f t="shared" si="245"/>
        <v>8.8101305562560128E-3</v>
      </c>
      <c r="Z320" s="34">
        <f t="shared" si="246"/>
        <v>5694.8513127421647</v>
      </c>
      <c r="AA320" s="34">
        <f t="shared" si="247"/>
        <v>649245.48711282585</v>
      </c>
      <c r="AB320" s="34">
        <f t="shared" si="248"/>
        <v>0</v>
      </c>
      <c r="AC320" s="34">
        <f t="shared" si="249"/>
        <v>0</v>
      </c>
      <c r="AD320" s="34">
        <f t="shared" si="250"/>
        <v>0</v>
      </c>
      <c r="AE320" s="34">
        <f t="shared" si="251"/>
        <v>0</v>
      </c>
      <c r="AF320" s="34">
        <f t="shared" si="252"/>
        <v>0</v>
      </c>
      <c r="AG320" s="29">
        <f t="shared" si="253"/>
        <v>649245.48711282585</v>
      </c>
      <c r="AH320" s="34">
        <f t="shared" si="254"/>
        <v>0</v>
      </c>
      <c r="AI320" s="34">
        <f t="shared" si="255"/>
        <v>0</v>
      </c>
      <c r="AJ320" s="34">
        <f t="shared" si="256"/>
        <v>0</v>
      </c>
      <c r="AK320" s="34">
        <f t="shared" si="257"/>
        <v>0</v>
      </c>
      <c r="AL320" s="34">
        <f t="shared" si="258"/>
        <v>0</v>
      </c>
      <c r="AM320" s="34">
        <f t="shared" si="259"/>
        <v>0</v>
      </c>
      <c r="AN320" s="34">
        <f t="shared" si="260"/>
        <v>0</v>
      </c>
      <c r="AO320" s="34">
        <f t="shared" si="261"/>
        <v>0</v>
      </c>
      <c r="AP320" s="34">
        <f t="shared" si="262"/>
        <v>0</v>
      </c>
      <c r="AQ320" s="34">
        <f t="shared" si="263"/>
        <v>0</v>
      </c>
      <c r="AR320" s="34">
        <f t="shared" si="264"/>
        <v>0</v>
      </c>
      <c r="AS320" s="30">
        <f t="shared" si="265"/>
        <v>1.2995595237054096</v>
      </c>
      <c r="AT320" s="29">
        <f t="shared" si="266"/>
        <v>0</v>
      </c>
      <c r="AU320" s="29">
        <f t="shared" si="267"/>
        <v>0</v>
      </c>
      <c r="AV320" s="34">
        <f t="shared" si="268"/>
        <v>0</v>
      </c>
      <c r="AW320" s="34">
        <f t="shared" si="269"/>
        <v>0</v>
      </c>
      <c r="AX320" s="29">
        <f t="shared" si="270"/>
        <v>0</v>
      </c>
      <c r="AY320" s="34">
        <f t="shared" si="271"/>
        <v>0</v>
      </c>
      <c r="AZ320" s="37">
        <f t="shared" si="272"/>
        <v>0</v>
      </c>
      <c r="BA320" s="37">
        <f t="shared" si="273"/>
        <v>0</v>
      </c>
      <c r="BB320" s="35">
        <f t="shared" si="274"/>
        <v>1.1271527431262474E-3</v>
      </c>
      <c r="BC320" s="31">
        <f t="shared" si="275"/>
        <v>0.70048685205207439</v>
      </c>
      <c r="BD320" s="34">
        <f t="shared" si="276"/>
        <v>0</v>
      </c>
    </row>
    <row r="321" spans="1:56" x14ac:dyDescent="0.2">
      <c r="A321" s="27">
        <f t="shared" si="277"/>
        <v>317</v>
      </c>
      <c r="B321" s="28">
        <f t="shared" si="224"/>
        <v>317</v>
      </c>
      <c r="C321" s="27">
        <f t="shared" si="225"/>
        <v>26</v>
      </c>
      <c r="D321" s="28">
        <f t="shared" si="226"/>
        <v>46</v>
      </c>
      <c r="E321" s="29">
        <f t="shared" si="227"/>
        <v>0</v>
      </c>
      <c r="F321" s="30">
        <f t="shared" si="228"/>
        <v>1.0047705765034701E-3</v>
      </c>
      <c r="G321" s="31">
        <f t="shared" si="229"/>
        <v>8.3769465879068861E-5</v>
      </c>
      <c r="H321" s="32">
        <f t="shared" si="230"/>
        <v>0.02</v>
      </c>
      <c r="I321" s="32">
        <f t="shared" si="231"/>
        <v>0</v>
      </c>
      <c r="J321" s="33">
        <f t="shared" si="278"/>
        <v>0</v>
      </c>
      <c r="K321" s="30">
        <f t="shared" si="232"/>
        <v>0</v>
      </c>
      <c r="L321" s="33">
        <f t="shared" si="233"/>
        <v>0</v>
      </c>
      <c r="M321" s="30">
        <f t="shared" si="234"/>
        <v>0</v>
      </c>
      <c r="N321" s="33">
        <f t="shared" si="235"/>
        <v>0</v>
      </c>
      <c r="O321" s="31">
        <f t="shared" si="236"/>
        <v>0</v>
      </c>
      <c r="P321" s="33">
        <f t="shared" si="237"/>
        <v>0</v>
      </c>
      <c r="Q321" s="34">
        <f t="shared" si="279"/>
        <v>652092.91276919702</v>
      </c>
      <c r="R321" s="29">
        <f t="shared" si="238"/>
        <v>0</v>
      </c>
      <c r="S321" s="34">
        <f t="shared" si="239"/>
        <v>652092.91276919702</v>
      </c>
      <c r="T321" s="29">
        <f t="shared" si="240"/>
        <v>543.41076064099752</v>
      </c>
      <c r="U321" s="29">
        <f t="shared" si="241"/>
        <v>0</v>
      </c>
      <c r="V321" s="35">
        <f t="shared" si="242"/>
        <v>9.2146412466975758E-5</v>
      </c>
      <c r="W321" s="34">
        <f t="shared" si="243"/>
        <v>0</v>
      </c>
      <c r="X321" s="34">
        <f t="shared" si="244"/>
        <v>651549.50200855604</v>
      </c>
      <c r="Y321" s="36">
        <f t="shared" si="245"/>
        <v>6.5210946981510975E-3</v>
      </c>
      <c r="Z321" s="34">
        <f t="shared" si="246"/>
        <v>4248.8160031309826</v>
      </c>
      <c r="AA321" s="34">
        <f t="shared" si="247"/>
        <v>653673.91001012153</v>
      </c>
      <c r="AB321" s="34">
        <f t="shared" si="248"/>
        <v>0</v>
      </c>
      <c r="AC321" s="34">
        <f t="shared" si="249"/>
        <v>0</v>
      </c>
      <c r="AD321" s="34">
        <f t="shared" si="250"/>
        <v>0</v>
      </c>
      <c r="AE321" s="34">
        <f t="shared" si="251"/>
        <v>0</v>
      </c>
      <c r="AF321" s="34">
        <f t="shared" si="252"/>
        <v>0</v>
      </c>
      <c r="AG321" s="29">
        <f t="shared" si="253"/>
        <v>653673.91001012153</v>
      </c>
      <c r="AH321" s="34">
        <f t="shared" si="254"/>
        <v>0</v>
      </c>
      <c r="AI321" s="34">
        <f t="shared" si="255"/>
        <v>0</v>
      </c>
      <c r="AJ321" s="34">
        <f t="shared" si="256"/>
        <v>0</v>
      </c>
      <c r="AK321" s="34">
        <f t="shared" si="257"/>
        <v>0</v>
      </c>
      <c r="AL321" s="34">
        <f t="shared" si="258"/>
        <v>0</v>
      </c>
      <c r="AM321" s="34">
        <f t="shared" si="259"/>
        <v>0</v>
      </c>
      <c r="AN321" s="34">
        <f t="shared" si="260"/>
        <v>0</v>
      </c>
      <c r="AO321" s="34">
        <f t="shared" si="261"/>
        <v>0</v>
      </c>
      <c r="AP321" s="34">
        <f t="shared" si="262"/>
        <v>0</v>
      </c>
      <c r="AQ321" s="34">
        <f t="shared" si="263"/>
        <v>0</v>
      </c>
      <c r="AR321" s="34">
        <f t="shared" si="264"/>
        <v>0</v>
      </c>
      <c r="AS321" s="30">
        <f t="shared" si="265"/>
        <v>1.3006375578621849</v>
      </c>
      <c r="AT321" s="29">
        <f t="shared" si="266"/>
        <v>0</v>
      </c>
      <c r="AU321" s="29">
        <f t="shared" si="267"/>
        <v>0</v>
      </c>
      <c r="AV321" s="34">
        <f t="shared" si="268"/>
        <v>0</v>
      </c>
      <c r="AW321" s="34">
        <f t="shared" si="269"/>
        <v>0</v>
      </c>
      <c r="AX321" s="29">
        <f t="shared" si="270"/>
        <v>0</v>
      </c>
      <c r="AY321" s="34">
        <f t="shared" si="271"/>
        <v>0</v>
      </c>
      <c r="AZ321" s="37">
        <f t="shared" si="272"/>
        <v>0</v>
      </c>
      <c r="BA321" s="37">
        <f t="shared" si="273"/>
        <v>0</v>
      </c>
      <c r="BB321" s="35">
        <f t="shared" si="274"/>
        <v>1.1271527431262474E-3</v>
      </c>
      <c r="BC321" s="31">
        <f t="shared" si="275"/>
        <v>0.69969818532312711</v>
      </c>
      <c r="BD321" s="34">
        <f t="shared" si="276"/>
        <v>0</v>
      </c>
    </row>
    <row r="322" spans="1:56" x14ac:dyDescent="0.2">
      <c r="A322" s="27">
        <f t="shared" si="277"/>
        <v>318</v>
      </c>
      <c r="B322" s="28">
        <f t="shared" si="224"/>
        <v>318</v>
      </c>
      <c r="C322" s="27">
        <f t="shared" si="225"/>
        <v>26</v>
      </c>
      <c r="D322" s="28">
        <f t="shared" si="226"/>
        <v>46</v>
      </c>
      <c r="E322" s="29">
        <f t="shared" si="227"/>
        <v>0</v>
      </c>
      <c r="F322" s="30">
        <f t="shared" si="228"/>
        <v>1.0047705765034701E-3</v>
      </c>
      <c r="G322" s="31">
        <f t="shared" si="229"/>
        <v>8.3769465879068861E-5</v>
      </c>
      <c r="H322" s="32">
        <f t="shared" si="230"/>
        <v>0.02</v>
      </c>
      <c r="I322" s="32">
        <f t="shared" si="231"/>
        <v>0</v>
      </c>
      <c r="J322" s="33">
        <f t="shared" si="278"/>
        <v>0</v>
      </c>
      <c r="K322" s="30">
        <f t="shared" si="232"/>
        <v>0</v>
      </c>
      <c r="L322" s="33">
        <f t="shared" si="233"/>
        <v>0</v>
      </c>
      <c r="M322" s="30">
        <f t="shared" si="234"/>
        <v>0</v>
      </c>
      <c r="N322" s="33">
        <f t="shared" si="235"/>
        <v>0</v>
      </c>
      <c r="O322" s="31">
        <f t="shared" si="236"/>
        <v>0</v>
      </c>
      <c r="P322" s="33">
        <f t="shared" si="237"/>
        <v>0</v>
      </c>
      <c r="Q322" s="34">
        <f t="shared" si="279"/>
        <v>655798.31801168702</v>
      </c>
      <c r="R322" s="29">
        <f t="shared" si="238"/>
        <v>0</v>
      </c>
      <c r="S322" s="34">
        <f t="shared" si="239"/>
        <v>655798.31801168702</v>
      </c>
      <c r="T322" s="29">
        <f t="shared" si="240"/>
        <v>546.49859834307256</v>
      </c>
      <c r="U322" s="29">
        <f t="shared" si="241"/>
        <v>0</v>
      </c>
      <c r="V322" s="35">
        <f t="shared" si="242"/>
        <v>9.2146412466975758E-5</v>
      </c>
      <c r="W322" s="34">
        <f t="shared" si="243"/>
        <v>0</v>
      </c>
      <c r="X322" s="34">
        <f t="shared" si="244"/>
        <v>655251.81941334391</v>
      </c>
      <c r="Y322" s="36">
        <f t="shared" si="245"/>
        <v>4.9631999817056904E-3</v>
      </c>
      <c r="Z322" s="34">
        <f t="shared" si="246"/>
        <v>3252.1458181249291</v>
      </c>
      <c r="AA322" s="34">
        <f t="shared" si="247"/>
        <v>656877.89232240641</v>
      </c>
      <c r="AB322" s="34">
        <f t="shared" si="248"/>
        <v>0</v>
      </c>
      <c r="AC322" s="34">
        <f t="shared" si="249"/>
        <v>0</v>
      </c>
      <c r="AD322" s="34">
        <f t="shared" si="250"/>
        <v>0</v>
      </c>
      <c r="AE322" s="34">
        <f t="shared" si="251"/>
        <v>0</v>
      </c>
      <c r="AF322" s="34">
        <f t="shared" si="252"/>
        <v>0</v>
      </c>
      <c r="AG322" s="29">
        <f t="shared" si="253"/>
        <v>656877.89232240641</v>
      </c>
      <c r="AH322" s="34">
        <f t="shared" si="254"/>
        <v>0</v>
      </c>
      <c r="AI322" s="34">
        <f t="shared" si="255"/>
        <v>0</v>
      </c>
      <c r="AJ322" s="34">
        <f t="shared" si="256"/>
        <v>0</v>
      </c>
      <c r="AK322" s="34">
        <f t="shared" si="257"/>
        <v>0</v>
      </c>
      <c r="AL322" s="34">
        <f t="shared" si="258"/>
        <v>0</v>
      </c>
      <c r="AM322" s="34">
        <f t="shared" si="259"/>
        <v>0</v>
      </c>
      <c r="AN322" s="34">
        <f t="shared" si="260"/>
        <v>0</v>
      </c>
      <c r="AO322" s="34">
        <f t="shared" si="261"/>
        <v>0</v>
      </c>
      <c r="AP322" s="34">
        <f t="shared" si="262"/>
        <v>0</v>
      </c>
      <c r="AQ322" s="34">
        <f t="shared" si="263"/>
        <v>0</v>
      </c>
      <c r="AR322" s="34">
        <f t="shared" si="264"/>
        <v>0</v>
      </c>
      <c r="AS322" s="30">
        <f t="shared" si="265"/>
        <v>1.3017164862893817</v>
      </c>
      <c r="AT322" s="29">
        <f t="shared" si="266"/>
        <v>0</v>
      </c>
      <c r="AU322" s="29">
        <f t="shared" si="267"/>
        <v>0</v>
      </c>
      <c r="AV322" s="34">
        <f t="shared" si="268"/>
        <v>0</v>
      </c>
      <c r="AW322" s="34">
        <f t="shared" si="269"/>
        <v>0</v>
      </c>
      <c r="AX322" s="29">
        <f t="shared" si="270"/>
        <v>0</v>
      </c>
      <c r="AY322" s="34">
        <f t="shared" si="271"/>
        <v>0</v>
      </c>
      <c r="AZ322" s="37">
        <f t="shared" si="272"/>
        <v>0</v>
      </c>
      <c r="BA322" s="37">
        <f t="shared" si="273"/>
        <v>0</v>
      </c>
      <c r="BB322" s="35">
        <f t="shared" si="274"/>
        <v>1.1271527431262474E-3</v>
      </c>
      <c r="BC322" s="31">
        <f t="shared" si="275"/>
        <v>0.69891040654119463</v>
      </c>
      <c r="BD322" s="34">
        <f t="shared" si="276"/>
        <v>0</v>
      </c>
    </row>
    <row r="323" spans="1:56" x14ac:dyDescent="0.2">
      <c r="A323" s="27">
        <f t="shared" si="277"/>
        <v>319</v>
      </c>
      <c r="B323" s="28">
        <f t="shared" si="224"/>
        <v>319</v>
      </c>
      <c r="C323" s="27">
        <f t="shared" si="225"/>
        <v>26</v>
      </c>
      <c r="D323" s="28">
        <f t="shared" si="226"/>
        <v>46</v>
      </c>
      <c r="E323" s="29">
        <f t="shared" si="227"/>
        <v>0</v>
      </c>
      <c r="F323" s="30">
        <f t="shared" si="228"/>
        <v>1.0047705765034701E-3</v>
      </c>
      <c r="G323" s="31">
        <f t="shared" si="229"/>
        <v>8.3769465879068861E-5</v>
      </c>
      <c r="H323" s="32">
        <f t="shared" si="230"/>
        <v>0.02</v>
      </c>
      <c r="I323" s="32">
        <f t="shared" si="231"/>
        <v>0</v>
      </c>
      <c r="J323" s="33">
        <f t="shared" si="278"/>
        <v>0</v>
      </c>
      <c r="K323" s="30">
        <f t="shared" si="232"/>
        <v>0</v>
      </c>
      <c r="L323" s="33">
        <f t="shared" si="233"/>
        <v>0</v>
      </c>
      <c r="M323" s="30">
        <f t="shared" si="234"/>
        <v>0</v>
      </c>
      <c r="N323" s="33">
        <f t="shared" si="235"/>
        <v>0</v>
      </c>
      <c r="O323" s="31">
        <f t="shared" si="236"/>
        <v>0</v>
      </c>
      <c r="P323" s="33">
        <f t="shared" si="237"/>
        <v>0</v>
      </c>
      <c r="Q323" s="34">
        <f t="shared" si="279"/>
        <v>658503.96523146878</v>
      </c>
      <c r="R323" s="29">
        <f t="shared" si="238"/>
        <v>0</v>
      </c>
      <c r="S323" s="34">
        <f t="shared" si="239"/>
        <v>658503.96523146878</v>
      </c>
      <c r="T323" s="29">
        <f t="shared" si="240"/>
        <v>548.75330435955732</v>
      </c>
      <c r="U323" s="29">
        <f t="shared" si="241"/>
        <v>0</v>
      </c>
      <c r="V323" s="35">
        <f t="shared" si="242"/>
        <v>9.2146412466975758E-5</v>
      </c>
      <c r="W323" s="34">
        <f t="shared" si="243"/>
        <v>0</v>
      </c>
      <c r="X323" s="34">
        <f t="shared" si="244"/>
        <v>657955.21192710928</v>
      </c>
      <c r="Y323" s="36">
        <f t="shared" si="245"/>
        <v>7.707036847432347E-3</v>
      </c>
      <c r="Z323" s="34">
        <f t="shared" si="246"/>
        <v>5070.8850622823902</v>
      </c>
      <c r="AA323" s="34">
        <f t="shared" si="247"/>
        <v>660490.6544582505</v>
      </c>
      <c r="AB323" s="34">
        <f t="shared" si="248"/>
        <v>0</v>
      </c>
      <c r="AC323" s="34">
        <f t="shared" si="249"/>
        <v>0</v>
      </c>
      <c r="AD323" s="34">
        <f t="shared" si="250"/>
        <v>0</v>
      </c>
      <c r="AE323" s="34">
        <f t="shared" si="251"/>
        <v>0</v>
      </c>
      <c r="AF323" s="34">
        <f t="shared" si="252"/>
        <v>0</v>
      </c>
      <c r="AG323" s="29">
        <f t="shared" si="253"/>
        <v>660490.6544582505</v>
      </c>
      <c r="AH323" s="34">
        <f t="shared" si="254"/>
        <v>0</v>
      </c>
      <c r="AI323" s="34">
        <f t="shared" si="255"/>
        <v>0</v>
      </c>
      <c r="AJ323" s="34">
        <f t="shared" si="256"/>
        <v>0</v>
      </c>
      <c r="AK323" s="34">
        <f t="shared" si="257"/>
        <v>0</v>
      </c>
      <c r="AL323" s="34">
        <f t="shared" si="258"/>
        <v>0</v>
      </c>
      <c r="AM323" s="34">
        <f t="shared" si="259"/>
        <v>0</v>
      </c>
      <c r="AN323" s="34">
        <f t="shared" si="260"/>
        <v>0</v>
      </c>
      <c r="AO323" s="34">
        <f t="shared" si="261"/>
        <v>0</v>
      </c>
      <c r="AP323" s="34">
        <f t="shared" si="262"/>
        <v>0</v>
      </c>
      <c r="AQ323" s="34">
        <f t="shared" si="263"/>
        <v>0</v>
      </c>
      <c r="AR323" s="34">
        <f t="shared" si="264"/>
        <v>0</v>
      </c>
      <c r="AS323" s="30">
        <f t="shared" si="265"/>
        <v>1.3027963097288315</v>
      </c>
      <c r="AT323" s="29">
        <f t="shared" si="266"/>
        <v>0</v>
      </c>
      <c r="AU323" s="29">
        <f t="shared" si="267"/>
        <v>0</v>
      </c>
      <c r="AV323" s="34">
        <f t="shared" si="268"/>
        <v>0</v>
      </c>
      <c r="AW323" s="34">
        <f t="shared" si="269"/>
        <v>0</v>
      </c>
      <c r="AX323" s="29">
        <f t="shared" si="270"/>
        <v>0</v>
      </c>
      <c r="AY323" s="34">
        <f t="shared" si="271"/>
        <v>0</v>
      </c>
      <c r="AZ323" s="37">
        <f t="shared" si="272"/>
        <v>0</v>
      </c>
      <c r="BA323" s="37">
        <f t="shared" si="273"/>
        <v>0</v>
      </c>
      <c r="BB323" s="35">
        <f t="shared" si="274"/>
        <v>1.1271527431262474E-3</v>
      </c>
      <c r="BC323" s="31">
        <f t="shared" si="275"/>
        <v>0.69812351470655243</v>
      </c>
      <c r="BD323" s="34">
        <f t="shared" si="276"/>
        <v>0</v>
      </c>
    </row>
    <row r="324" spans="1:56" x14ac:dyDescent="0.2">
      <c r="A324" s="27">
        <f t="shared" si="277"/>
        <v>320</v>
      </c>
      <c r="B324" s="28">
        <f t="shared" ref="B324:B387" si="280">Duration0+A324</f>
        <v>320</v>
      </c>
      <c r="C324" s="27">
        <f t="shared" ref="C324:C387" si="281">INT(B324/12)</f>
        <v>26</v>
      </c>
      <c r="D324" s="28">
        <f t="shared" ref="D324:D387" si="282">AgeAtEntry+C324</f>
        <v>46</v>
      </c>
      <c r="E324" s="29">
        <f t="shared" ref="E324:E387" si="283">IF(PremiumType="SINGLE",IF(B324=0,PremiumPPInput,0),IF(B324&lt;12*PolicyTerm,PremiumPPInput,0))</f>
        <v>0</v>
      </c>
      <c r="F324" s="30">
        <f t="shared" ref="F324:F387" si="284">INDEX(MortRates,MATCH(MIN(D324,120),MortAges,0),MAX(MIN(C324,5),0)+1)</f>
        <v>1.0047705765034701E-3</v>
      </c>
      <c r="G324" s="31">
        <f t="shared" ref="G324:G387" si="285">1-(1-F324)^(1/12)</f>
        <v>8.3769465879068861E-5</v>
      </c>
      <c r="H324" s="32">
        <f t="shared" ref="H324:H387" si="286">MAX(LapseBase-LapseStep*C324,LapseFloor)</f>
        <v>0.02</v>
      </c>
      <c r="I324" s="32">
        <f t="shared" ref="I324:I387" si="287">IF(HasSurrCharge,INDEX(SurrRates,MIN(C324,SurrDurMax)+1,MATCH(SurrChargeID,SurrTypes,0)),0)</f>
        <v>0</v>
      </c>
      <c r="J324" s="33">
        <f t="shared" si="278"/>
        <v>0</v>
      </c>
      <c r="K324" s="30">
        <f t="shared" ref="K324:K387" si="288">IF(B324=12*PolicyTerm,J324,0)</f>
        <v>0</v>
      </c>
      <c r="L324" s="33">
        <f t="shared" ref="L324:L387" si="289">J324-K324</f>
        <v>0</v>
      </c>
      <c r="M324" s="30">
        <f t="shared" ref="M324:M387" si="290">IF(B324=0,PolicyCount,0)</f>
        <v>0</v>
      </c>
      <c r="N324" s="33">
        <f t="shared" ref="N324:N387" si="291">L324+M324</f>
        <v>0</v>
      </c>
      <c r="O324" s="31">
        <f t="shared" ref="O324:O387" si="292">N324*G324</f>
        <v>0</v>
      </c>
      <c r="P324" s="33">
        <f t="shared" ref="P324:P387" si="293">(N324-O324)*(1-(1-H324)^(1/12))</f>
        <v>0</v>
      </c>
      <c r="Q324" s="34">
        <f t="shared" si="279"/>
        <v>663026.09698939172</v>
      </c>
      <c r="R324" s="29">
        <f t="shared" ref="R324:R387" si="294">(1-LoadPremRate)*E324</f>
        <v>0</v>
      </c>
      <c r="S324" s="34">
        <f t="shared" ref="S324:S387" si="295">Q324+R324</f>
        <v>663026.09698939172</v>
      </c>
      <c r="T324" s="29">
        <f t="shared" ref="T324:T387" si="296">MaintFeeRateAnn/12*S324</f>
        <v>552.52174749115977</v>
      </c>
      <c r="U324" s="29">
        <f t="shared" ref="U324:U387" si="297">MAX(SumAssured-S324,0)</f>
        <v>0</v>
      </c>
      <c r="V324" s="35">
        <f t="shared" ref="V324:V387" si="298">CoiMultiple*G324</f>
        <v>9.2146412466975758E-5</v>
      </c>
      <c r="W324" s="34">
        <f t="shared" ref="W324:W387" si="299">V324*U324</f>
        <v>0</v>
      </c>
      <c r="X324" s="34">
        <f t="shared" ref="X324:X387" si="300">S324-T324-W324</f>
        <v>662473.57524190051</v>
      </c>
      <c r="Y324" s="36">
        <f t="shared" ref="Y324:Y387" si="301">EXP((Mu-0.5*Sigma^2)/12+Sigma*SQRT(1/12)*INDEX(NormRand,ScenID,A324+1))-1</f>
        <v>8.7423472122976076E-3</v>
      </c>
      <c r="Z324" s="34">
        <f t="shared" ref="Z324:Z387" si="302">Y324*X324</f>
        <v>5791.5740137368584</v>
      </c>
      <c r="AA324" s="34">
        <f t="shared" ref="AA324:AA387" si="303">X324+0.5*Z324</f>
        <v>665369.36224876891</v>
      </c>
      <c r="AB324" s="34">
        <f t="shared" ref="AB324:AB387" si="304">Q324*J324</f>
        <v>0</v>
      </c>
      <c r="AC324" s="34">
        <f t="shared" ref="AC324:AC387" si="305">Q324*L324</f>
        <v>0</v>
      </c>
      <c r="AD324" s="34">
        <f t="shared" ref="AD324:AD387" si="306">S324*N324</f>
        <v>0</v>
      </c>
      <c r="AE324" s="34">
        <f t="shared" ref="AE324:AE387" si="307">E324*N324</f>
        <v>0</v>
      </c>
      <c r="AF324" s="34">
        <f t="shared" ref="AF324:AF387" si="308">R324*N324</f>
        <v>0</v>
      </c>
      <c r="AG324" s="29">
        <f t="shared" ref="AG324:AG387" si="309">MAX(SumAssured,AA324)</f>
        <v>665369.36224876891</v>
      </c>
      <c r="AH324" s="34">
        <f t="shared" ref="AH324:AH387" si="310">AG324*O324</f>
        <v>0</v>
      </c>
      <c r="AI324" s="34">
        <f t="shared" ref="AI324:AI387" si="311">AA324*O324</f>
        <v>0</v>
      </c>
      <c r="AJ324" s="34">
        <f t="shared" ref="AJ324:AJ387" si="312">AA324*P324</f>
        <v>0</v>
      </c>
      <c r="AK324" s="34">
        <f t="shared" ref="AK324:AK387" si="313">I324*AA324*P324</f>
        <v>0</v>
      </c>
      <c r="AL324" s="34">
        <f t="shared" ref="AL324:AL387" si="314">AJ324-AK324</f>
        <v>0</v>
      </c>
      <c r="AM324" s="34">
        <f t="shared" ref="AM324:AM387" si="315">Q324*K324</f>
        <v>0</v>
      </c>
      <c r="AN324" s="34">
        <f t="shared" ref="AN324:AN387" si="316">AH324+AL324+AM324</f>
        <v>0</v>
      </c>
      <c r="AO324" s="34">
        <f t="shared" ref="AO324:AO387" si="317">(AG324-AA324)*O324</f>
        <v>0</v>
      </c>
      <c r="AP324" s="34">
        <f t="shared" ref="AP324:AP387" si="318">W324*N324</f>
        <v>0</v>
      </c>
      <c r="AQ324" s="34">
        <f t="shared" ref="AQ324:AQ387" si="319">T324*N324</f>
        <v>0</v>
      </c>
      <c r="AR324" s="34">
        <f t="shared" ref="AR324:AR387" si="320">Z324*J325+0.5*Z324*(O324+P324)</f>
        <v>0</v>
      </c>
      <c r="AS324" s="30">
        <f t="shared" ref="AS324:AS387" si="321">(1+InflationRate)^(A324/12)</f>
        <v>1.3038770289229813</v>
      </c>
      <c r="AT324" s="29">
        <f t="shared" ref="AT324:AT387" si="322">ExpenseAcq*M324+N324*ExpenseMaint/12*AS324</f>
        <v>0</v>
      </c>
      <c r="AU324" s="29">
        <f t="shared" ref="AU324:AU387" si="323">CommissionRate*AE324</f>
        <v>0</v>
      </c>
      <c r="AV324" s="34">
        <f t="shared" ref="AV324:AV387" si="324">AB325-AB324</f>
        <v>0</v>
      </c>
      <c r="AW324" s="34">
        <f t="shared" ref="AW324:AW387" si="325">AE324+AR324-AN324-AT324-AU324-AV324</f>
        <v>0</v>
      </c>
      <c r="AX324" s="29">
        <f t="shared" ref="AX324:AX387" si="326">LoadPremRate*E324*N324+AK324+AQ324-AU324-AT324</f>
        <v>0</v>
      </c>
      <c r="AY324" s="34">
        <f t="shared" ref="AY324:AY387" si="327">AP324-AO324</f>
        <v>0</v>
      </c>
      <c r="AZ324" s="37">
        <f t="shared" ref="AZ324:AZ387" si="328">(AW324-AX324-AY324)/MAX(1,ABS(AW324),ABS(AX324),ABS(AY324))</f>
        <v>0</v>
      </c>
      <c r="BA324" s="37">
        <f t="shared" ref="BA324:BA387" si="329">IF(OR(K324&gt;0,K325&gt;0),0,(AC325-(AC324+AF324-AQ324-AP324+AR324-AI324-AJ324-AM324))/MAX(1,ABS(AC324),ABS(AC325)))</f>
        <v>0</v>
      </c>
      <c r="BB324" s="35">
        <f t="shared" ref="BB324:BB387" si="330">(1+INDEX(DiscRateAnn,INT(A324/12)+1))^(1/12)-1</f>
        <v>1.1271527431262474E-3</v>
      </c>
      <c r="BC324" s="31">
        <f t="shared" ref="BC324:BC387" si="331">(1+BB324)^-A324</f>
        <v>0.6973375088206003</v>
      </c>
      <c r="BD324" s="34">
        <f t="shared" ref="BD324:BD387" si="332">AW324*BC324</f>
        <v>0</v>
      </c>
    </row>
    <row r="325" spans="1:56" x14ac:dyDescent="0.2">
      <c r="A325" s="27">
        <f t="shared" ref="A325:A388" si="333">A324+1</f>
        <v>321</v>
      </c>
      <c r="B325" s="28">
        <f t="shared" si="280"/>
        <v>321</v>
      </c>
      <c r="C325" s="27">
        <f t="shared" si="281"/>
        <v>26</v>
      </c>
      <c r="D325" s="28">
        <f t="shared" si="282"/>
        <v>46</v>
      </c>
      <c r="E325" s="29">
        <f t="shared" si="283"/>
        <v>0</v>
      </c>
      <c r="F325" s="30">
        <f t="shared" si="284"/>
        <v>1.0047705765034701E-3</v>
      </c>
      <c r="G325" s="31">
        <f t="shared" si="285"/>
        <v>8.3769465879068861E-5</v>
      </c>
      <c r="H325" s="32">
        <f t="shared" si="286"/>
        <v>0.02</v>
      </c>
      <c r="I325" s="32">
        <f t="shared" si="287"/>
        <v>0</v>
      </c>
      <c r="J325" s="33">
        <f t="shared" ref="J325:J388" si="334">N324-P324-O324</f>
        <v>0</v>
      </c>
      <c r="K325" s="30">
        <f t="shared" si="288"/>
        <v>0</v>
      </c>
      <c r="L325" s="33">
        <f t="shared" si="289"/>
        <v>0</v>
      </c>
      <c r="M325" s="30">
        <f t="shared" si="290"/>
        <v>0</v>
      </c>
      <c r="N325" s="33">
        <f t="shared" si="291"/>
        <v>0</v>
      </c>
      <c r="O325" s="31">
        <f t="shared" si="292"/>
        <v>0</v>
      </c>
      <c r="P325" s="33">
        <f t="shared" si="293"/>
        <v>0</v>
      </c>
      <c r="Q325" s="34">
        <f t="shared" ref="Q325:Q388" si="335">X324+Z324</f>
        <v>668265.14925563743</v>
      </c>
      <c r="R325" s="29">
        <f t="shared" si="294"/>
        <v>0</v>
      </c>
      <c r="S325" s="34">
        <f t="shared" si="295"/>
        <v>668265.14925563743</v>
      </c>
      <c r="T325" s="29">
        <f t="shared" si="296"/>
        <v>556.88762437969785</v>
      </c>
      <c r="U325" s="29">
        <f t="shared" si="297"/>
        <v>0</v>
      </c>
      <c r="V325" s="35">
        <f t="shared" si="298"/>
        <v>9.2146412466975758E-5</v>
      </c>
      <c r="W325" s="34">
        <f t="shared" si="299"/>
        <v>0</v>
      </c>
      <c r="X325" s="34">
        <f t="shared" si="300"/>
        <v>667708.26163125772</v>
      </c>
      <c r="Y325" s="36">
        <f t="shared" si="301"/>
        <v>5.9299980010987241E-3</v>
      </c>
      <c r="Z325" s="34">
        <f t="shared" si="302"/>
        <v>3959.5086567904623</v>
      </c>
      <c r="AA325" s="34">
        <f t="shared" si="303"/>
        <v>669688.01595965296</v>
      </c>
      <c r="AB325" s="34">
        <f t="shared" si="304"/>
        <v>0</v>
      </c>
      <c r="AC325" s="34">
        <f t="shared" si="305"/>
        <v>0</v>
      </c>
      <c r="AD325" s="34">
        <f t="shared" si="306"/>
        <v>0</v>
      </c>
      <c r="AE325" s="34">
        <f t="shared" si="307"/>
        <v>0</v>
      </c>
      <c r="AF325" s="34">
        <f t="shared" si="308"/>
        <v>0</v>
      </c>
      <c r="AG325" s="29">
        <f t="shared" si="309"/>
        <v>669688.01595965296</v>
      </c>
      <c r="AH325" s="34">
        <f t="shared" si="310"/>
        <v>0</v>
      </c>
      <c r="AI325" s="34">
        <f t="shared" si="311"/>
        <v>0</v>
      </c>
      <c r="AJ325" s="34">
        <f t="shared" si="312"/>
        <v>0</v>
      </c>
      <c r="AK325" s="34">
        <f t="shared" si="313"/>
        <v>0</v>
      </c>
      <c r="AL325" s="34">
        <f t="shared" si="314"/>
        <v>0</v>
      </c>
      <c r="AM325" s="34">
        <f t="shared" si="315"/>
        <v>0</v>
      </c>
      <c r="AN325" s="34">
        <f t="shared" si="316"/>
        <v>0</v>
      </c>
      <c r="AO325" s="34">
        <f t="shared" si="317"/>
        <v>0</v>
      </c>
      <c r="AP325" s="34">
        <f t="shared" si="318"/>
        <v>0</v>
      </c>
      <c r="AQ325" s="34">
        <f t="shared" si="319"/>
        <v>0</v>
      </c>
      <c r="AR325" s="34">
        <f t="shared" si="320"/>
        <v>0</v>
      </c>
      <c r="AS325" s="30">
        <f t="shared" si="321"/>
        <v>1.3049586446148935</v>
      </c>
      <c r="AT325" s="29">
        <f t="shared" si="322"/>
        <v>0</v>
      </c>
      <c r="AU325" s="29">
        <f t="shared" si="323"/>
        <v>0</v>
      </c>
      <c r="AV325" s="34">
        <f t="shared" si="324"/>
        <v>0</v>
      </c>
      <c r="AW325" s="34">
        <f t="shared" si="325"/>
        <v>0</v>
      </c>
      <c r="AX325" s="29">
        <f t="shared" si="326"/>
        <v>0</v>
      </c>
      <c r="AY325" s="34">
        <f t="shared" si="327"/>
        <v>0</v>
      </c>
      <c r="AZ325" s="37">
        <f t="shared" si="328"/>
        <v>0</v>
      </c>
      <c r="BA325" s="37">
        <f t="shared" si="329"/>
        <v>0</v>
      </c>
      <c r="BB325" s="35">
        <f t="shared" si="330"/>
        <v>1.1271527431262474E-3</v>
      </c>
      <c r="BC325" s="31">
        <f t="shared" si="331"/>
        <v>0.69655238788586349</v>
      </c>
      <c r="BD325" s="34">
        <f t="shared" si="332"/>
        <v>0</v>
      </c>
    </row>
    <row r="326" spans="1:56" x14ac:dyDescent="0.2">
      <c r="A326" s="27">
        <f t="shared" si="333"/>
        <v>322</v>
      </c>
      <c r="B326" s="28">
        <f t="shared" si="280"/>
        <v>322</v>
      </c>
      <c r="C326" s="27">
        <f t="shared" si="281"/>
        <v>26</v>
      </c>
      <c r="D326" s="28">
        <f t="shared" si="282"/>
        <v>46</v>
      </c>
      <c r="E326" s="29">
        <f t="shared" si="283"/>
        <v>0</v>
      </c>
      <c r="F326" s="30">
        <f t="shared" si="284"/>
        <v>1.0047705765034701E-3</v>
      </c>
      <c r="G326" s="31">
        <f t="shared" si="285"/>
        <v>8.3769465879068861E-5</v>
      </c>
      <c r="H326" s="32">
        <f t="shared" si="286"/>
        <v>0.02</v>
      </c>
      <c r="I326" s="32">
        <f t="shared" si="287"/>
        <v>0</v>
      </c>
      <c r="J326" s="33">
        <f t="shared" si="334"/>
        <v>0</v>
      </c>
      <c r="K326" s="30">
        <f t="shared" si="288"/>
        <v>0</v>
      </c>
      <c r="L326" s="33">
        <f t="shared" si="289"/>
        <v>0</v>
      </c>
      <c r="M326" s="30">
        <f t="shared" si="290"/>
        <v>0</v>
      </c>
      <c r="N326" s="33">
        <f t="shared" si="291"/>
        <v>0</v>
      </c>
      <c r="O326" s="31">
        <f t="shared" si="292"/>
        <v>0</v>
      </c>
      <c r="P326" s="33">
        <f t="shared" si="293"/>
        <v>0</v>
      </c>
      <c r="Q326" s="34">
        <f t="shared" si="335"/>
        <v>671667.7702880482</v>
      </c>
      <c r="R326" s="29">
        <f t="shared" si="294"/>
        <v>0</v>
      </c>
      <c r="S326" s="34">
        <f t="shared" si="295"/>
        <v>671667.7702880482</v>
      </c>
      <c r="T326" s="29">
        <f t="shared" si="296"/>
        <v>559.72314190670681</v>
      </c>
      <c r="U326" s="29">
        <f t="shared" si="297"/>
        <v>0</v>
      </c>
      <c r="V326" s="35">
        <f t="shared" si="298"/>
        <v>9.2146412466975758E-5</v>
      </c>
      <c r="W326" s="34">
        <f t="shared" si="299"/>
        <v>0</v>
      </c>
      <c r="X326" s="34">
        <f t="shared" si="300"/>
        <v>671108.04714614153</v>
      </c>
      <c r="Y326" s="36">
        <f t="shared" si="301"/>
        <v>2.51015662181997E-3</v>
      </c>
      <c r="Z326" s="34">
        <f t="shared" si="302"/>
        <v>1684.5863085005558</v>
      </c>
      <c r="AA326" s="34">
        <f t="shared" si="303"/>
        <v>671950.34030039178</v>
      </c>
      <c r="AB326" s="34">
        <f t="shared" si="304"/>
        <v>0</v>
      </c>
      <c r="AC326" s="34">
        <f t="shared" si="305"/>
        <v>0</v>
      </c>
      <c r="AD326" s="34">
        <f t="shared" si="306"/>
        <v>0</v>
      </c>
      <c r="AE326" s="34">
        <f t="shared" si="307"/>
        <v>0</v>
      </c>
      <c r="AF326" s="34">
        <f t="shared" si="308"/>
        <v>0</v>
      </c>
      <c r="AG326" s="29">
        <f t="shared" si="309"/>
        <v>671950.34030039178</v>
      </c>
      <c r="AH326" s="34">
        <f t="shared" si="310"/>
        <v>0</v>
      </c>
      <c r="AI326" s="34">
        <f t="shared" si="311"/>
        <v>0</v>
      </c>
      <c r="AJ326" s="34">
        <f t="shared" si="312"/>
        <v>0</v>
      </c>
      <c r="AK326" s="34">
        <f t="shared" si="313"/>
        <v>0</v>
      </c>
      <c r="AL326" s="34">
        <f t="shared" si="314"/>
        <v>0</v>
      </c>
      <c r="AM326" s="34">
        <f t="shared" si="315"/>
        <v>0</v>
      </c>
      <c r="AN326" s="34">
        <f t="shared" si="316"/>
        <v>0</v>
      </c>
      <c r="AO326" s="34">
        <f t="shared" si="317"/>
        <v>0</v>
      </c>
      <c r="AP326" s="34">
        <f t="shared" si="318"/>
        <v>0</v>
      </c>
      <c r="AQ326" s="34">
        <f t="shared" si="319"/>
        <v>0</v>
      </c>
      <c r="AR326" s="34">
        <f t="shared" si="320"/>
        <v>0</v>
      </c>
      <c r="AS326" s="30">
        <f t="shared" si="321"/>
        <v>1.3060411575482471</v>
      </c>
      <c r="AT326" s="29">
        <f t="shared" si="322"/>
        <v>0</v>
      </c>
      <c r="AU326" s="29">
        <f t="shared" si="323"/>
        <v>0</v>
      </c>
      <c r="AV326" s="34">
        <f t="shared" si="324"/>
        <v>0</v>
      </c>
      <c r="AW326" s="34">
        <f t="shared" si="325"/>
        <v>0</v>
      </c>
      <c r="AX326" s="29">
        <f t="shared" si="326"/>
        <v>0</v>
      </c>
      <c r="AY326" s="34">
        <f t="shared" si="327"/>
        <v>0</v>
      </c>
      <c r="AZ326" s="37">
        <f t="shared" si="328"/>
        <v>0</v>
      </c>
      <c r="BA326" s="37">
        <f t="shared" si="329"/>
        <v>0</v>
      </c>
      <c r="BB326" s="35">
        <f t="shared" si="330"/>
        <v>1.1271527431262474E-3</v>
      </c>
      <c r="BC326" s="31">
        <f t="shared" si="331"/>
        <v>0.69576815090598998</v>
      </c>
      <c r="BD326" s="34">
        <f t="shared" si="332"/>
        <v>0</v>
      </c>
    </row>
    <row r="327" spans="1:56" x14ac:dyDescent="0.2">
      <c r="A327" s="27">
        <f t="shared" si="333"/>
        <v>323</v>
      </c>
      <c r="B327" s="28">
        <f t="shared" si="280"/>
        <v>323</v>
      </c>
      <c r="C327" s="27">
        <f t="shared" si="281"/>
        <v>26</v>
      </c>
      <c r="D327" s="28">
        <f t="shared" si="282"/>
        <v>46</v>
      </c>
      <c r="E327" s="29">
        <f t="shared" si="283"/>
        <v>0</v>
      </c>
      <c r="F327" s="30">
        <f t="shared" si="284"/>
        <v>1.0047705765034701E-3</v>
      </c>
      <c r="G327" s="31">
        <f t="shared" si="285"/>
        <v>8.3769465879068861E-5</v>
      </c>
      <c r="H327" s="32">
        <f t="shared" si="286"/>
        <v>0.02</v>
      </c>
      <c r="I327" s="32">
        <f t="shared" si="287"/>
        <v>0</v>
      </c>
      <c r="J327" s="33">
        <f t="shared" si="334"/>
        <v>0</v>
      </c>
      <c r="K327" s="30">
        <f t="shared" si="288"/>
        <v>0</v>
      </c>
      <c r="L327" s="33">
        <f t="shared" si="289"/>
        <v>0</v>
      </c>
      <c r="M327" s="30">
        <f t="shared" si="290"/>
        <v>0</v>
      </c>
      <c r="N327" s="33">
        <f t="shared" si="291"/>
        <v>0</v>
      </c>
      <c r="O327" s="31">
        <f t="shared" si="292"/>
        <v>0</v>
      </c>
      <c r="P327" s="33">
        <f t="shared" si="293"/>
        <v>0</v>
      </c>
      <c r="Q327" s="34">
        <f t="shared" si="335"/>
        <v>672792.63345464214</v>
      </c>
      <c r="R327" s="29">
        <f t="shared" si="294"/>
        <v>0</v>
      </c>
      <c r="S327" s="34">
        <f t="shared" si="295"/>
        <v>672792.63345464214</v>
      </c>
      <c r="T327" s="29">
        <f t="shared" si="296"/>
        <v>560.66052787886849</v>
      </c>
      <c r="U327" s="29">
        <f t="shared" si="297"/>
        <v>0</v>
      </c>
      <c r="V327" s="35">
        <f t="shared" si="298"/>
        <v>9.2146412466975758E-5</v>
      </c>
      <c r="W327" s="34">
        <f t="shared" si="299"/>
        <v>0</v>
      </c>
      <c r="X327" s="34">
        <f t="shared" si="300"/>
        <v>672231.97292676324</v>
      </c>
      <c r="Y327" s="36">
        <f t="shared" si="301"/>
        <v>4.4059149449600099E-3</v>
      </c>
      <c r="Z327" s="34">
        <f t="shared" si="302"/>
        <v>2961.7968959979789</v>
      </c>
      <c r="AA327" s="34">
        <f t="shared" si="303"/>
        <v>673712.87137476227</v>
      </c>
      <c r="AB327" s="34">
        <f t="shared" si="304"/>
        <v>0</v>
      </c>
      <c r="AC327" s="34">
        <f t="shared" si="305"/>
        <v>0</v>
      </c>
      <c r="AD327" s="34">
        <f t="shared" si="306"/>
        <v>0</v>
      </c>
      <c r="AE327" s="34">
        <f t="shared" si="307"/>
        <v>0</v>
      </c>
      <c r="AF327" s="34">
        <f t="shared" si="308"/>
        <v>0</v>
      </c>
      <c r="AG327" s="29">
        <f t="shared" si="309"/>
        <v>673712.87137476227</v>
      </c>
      <c r="AH327" s="34">
        <f t="shared" si="310"/>
        <v>0</v>
      </c>
      <c r="AI327" s="34">
        <f t="shared" si="311"/>
        <v>0</v>
      </c>
      <c r="AJ327" s="34">
        <f t="shared" si="312"/>
        <v>0</v>
      </c>
      <c r="AK327" s="34">
        <f t="shared" si="313"/>
        <v>0</v>
      </c>
      <c r="AL327" s="34">
        <f t="shared" si="314"/>
        <v>0</v>
      </c>
      <c r="AM327" s="34">
        <f t="shared" si="315"/>
        <v>0</v>
      </c>
      <c r="AN327" s="34">
        <f t="shared" si="316"/>
        <v>0</v>
      </c>
      <c r="AO327" s="34">
        <f t="shared" si="317"/>
        <v>0</v>
      </c>
      <c r="AP327" s="34">
        <f t="shared" si="318"/>
        <v>0</v>
      </c>
      <c r="AQ327" s="34">
        <f t="shared" si="319"/>
        <v>0</v>
      </c>
      <c r="AR327" s="34">
        <f t="shared" si="320"/>
        <v>0</v>
      </c>
      <c r="AS327" s="30">
        <f t="shared" si="321"/>
        <v>1.3071245684673383</v>
      </c>
      <c r="AT327" s="29">
        <f t="shared" si="322"/>
        <v>0</v>
      </c>
      <c r="AU327" s="29">
        <f t="shared" si="323"/>
        <v>0</v>
      </c>
      <c r="AV327" s="34">
        <f t="shared" si="324"/>
        <v>0</v>
      </c>
      <c r="AW327" s="34">
        <f t="shared" si="325"/>
        <v>0</v>
      </c>
      <c r="AX327" s="29">
        <f t="shared" si="326"/>
        <v>0</v>
      </c>
      <c r="AY327" s="34">
        <f t="shared" si="327"/>
        <v>0</v>
      </c>
      <c r="AZ327" s="37">
        <f t="shared" si="328"/>
        <v>0</v>
      </c>
      <c r="BA327" s="37">
        <f t="shared" si="329"/>
        <v>0</v>
      </c>
      <c r="BB327" s="35">
        <f t="shared" si="330"/>
        <v>1.1271527431262474E-3</v>
      </c>
      <c r="BC327" s="31">
        <f t="shared" si="331"/>
        <v>0.69498479688574921</v>
      </c>
      <c r="BD327" s="34">
        <f t="shared" si="332"/>
        <v>0</v>
      </c>
    </row>
    <row r="328" spans="1:56" x14ac:dyDescent="0.2">
      <c r="A328" s="27">
        <f t="shared" si="333"/>
        <v>324</v>
      </c>
      <c r="B328" s="28">
        <f t="shared" si="280"/>
        <v>324</v>
      </c>
      <c r="C328" s="27">
        <f t="shared" si="281"/>
        <v>27</v>
      </c>
      <c r="D328" s="28">
        <f t="shared" si="282"/>
        <v>47</v>
      </c>
      <c r="E328" s="29">
        <f t="shared" si="283"/>
        <v>0</v>
      </c>
      <c r="F328" s="30">
        <f t="shared" si="284"/>
        <v>1.0617081895044991E-3</v>
      </c>
      <c r="G328" s="31">
        <f t="shared" si="285"/>
        <v>8.8518765390399601E-5</v>
      </c>
      <c r="H328" s="32">
        <f t="shared" si="286"/>
        <v>0.02</v>
      </c>
      <c r="I328" s="32">
        <f t="shared" si="287"/>
        <v>0</v>
      </c>
      <c r="J328" s="33">
        <f t="shared" si="334"/>
        <v>0</v>
      </c>
      <c r="K328" s="30">
        <f t="shared" si="288"/>
        <v>0</v>
      </c>
      <c r="L328" s="33">
        <f t="shared" si="289"/>
        <v>0</v>
      </c>
      <c r="M328" s="30">
        <f t="shared" si="290"/>
        <v>0</v>
      </c>
      <c r="N328" s="33">
        <f t="shared" si="291"/>
        <v>0</v>
      </c>
      <c r="O328" s="31">
        <f t="shared" si="292"/>
        <v>0</v>
      </c>
      <c r="P328" s="33">
        <f t="shared" si="293"/>
        <v>0</v>
      </c>
      <c r="Q328" s="34">
        <f t="shared" si="335"/>
        <v>675193.76982276118</v>
      </c>
      <c r="R328" s="29">
        <f t="shared" si="294"/>
        <v>0</v>
      </c>
      <c r="S328" s="34">
        <f t="shared" si="295"/>
        <v>675193.76982276118</v>
      </c>
      <c r="T328" s="29">
        <f t="shared" si="296"/>
        <v>562.66147485230101</v>
      </c>
      <c r="U328" s="29">
        <f t="shared" si="297"/>
        <v>0</v>
      </c>
      <c r="V328" s="35">
        <f t="shared" si="298"/>
        <v>9.7370641929439574E-5</v>
      </c>
      <c r="W328" s="34">
        <f t="shared" si="299"/>
        <v>0</v>
      </c>
      <c r="X328" s="34">
        <f t="shared" si="300"/>
        <v>674631.10834790883</v>
      </c>
      <c r="Y328" s="36">
        <f t="shared" si="301"/>
        <v>1.0819800801901813E-2</v>
      </c>
      <c r="Z328" s="34">
        <f t="shared" si="302"/>
        <v>7299.3742070906128</v>
      </c>
      <c r="AA328" s="34">
        <f t="shared" si="303"/>
        <v>678280.79545145412</v>
      </c>
      <c r="AB328" s="34">
        <f t="shared" si="304"/>
        <v>0</v>
      </c>
      <c r="AC328" s="34">
        <f t="shared" si="305"/>
        <v>0</v>
      </c>
      <c r="AD328" s="34">
        <f t="shared" si="306"/>
        <v>0</v>
      </c>
      <c r="AE328" s="34">
        <f t="shared" si="307"/>
        <v>0</v>
      </c>
      <c r="AF328" s="34">
        <f t="shared" si="308"/>
        <v>0</v>
      </c>
      <c r="AG328" s="29">
        <f t="shared" si="309"/>
        <v>678280.79545145412</v>
      </c>
      <c r="AH328" s="34">
        <f t="shared" si="310"/>
        <v>0</v>
      </c>
      <c r="AI328" s="34">
        <f t="shared" si="311"/>
        <v>0</v>
      </c>
      <c r="AJ328" s="34">
        <f t="shared" si="312"/>
        <v>0</v>
      </c>
      <c r="AK328" s="34">
        <f t="shared" si="313"/>
        <v>0</v>
      </c>
      <c r="AL328" s="34">
        <f t="shared" si="314"/>
        <v>0</v>
      </c>
      <c r="AM328" s="34">
        <f t="shared" si="315"/>
        <v>0</v>
      </c>
      <c r="AN328" s="34">
        <f t="shared" si="316"/>
        <v>0</v>
      </c>
      <c r="AO328" s="34">
        <f t="shared" si="317"/>
        <v>0</v>
      </c>
      <c r="AP328" s="34">
        <f t="shared" si="318"/>
        <v>0</v>
      </c>
      <c r="AQ328" s="34">
        <f t="shared" si="319"/>
        <v>0</v>
      </c>
      <c r="AR328" s="34">
        <f t="shared" si="320"/>
        <v>0</v>
      </c>
      <c r="AS328" s="30">
        <f t="shared" si="321"/>
        <v>1.3082088781170802</v>
      </c>
      <c r="AT328" s="29">
        <f t="shared" si="322"/>
        <v>0</v>
      </c>
      <c r="AU328" s="29">
        <f t="shared" si="323"/>
        <v>0</v>
      </c>
      <c r="AV328" s="34">
        <f t="shared" si="324"/>
        <v>0</v>
      </c>
      <c r="AW328" s="34">
        <f t="shared" si="325"/>
        <v>0</v>
      </c>
      <c r="AX328" s="29">
        <f t="shared" si="326"/>
        <v>0</v>
      </c>
      <c r="AY328" s="34">
        <f t="shared" si="327"/>
        <v>0</v>
      </c>
      <c r="AZ328" s="37">
        <f t="shared" si="328"/>
        <v>0</v>
      </c>
      <c r="BA328" s="37">
        <f t="shared" si="329"/>
        <v>0</v>
      </c>
      <c r="BB328" s="35">
        <f t="shared" si="330"/>
        <v>1.1230372968997759E-3</v>
      </c>
      <c r="BC328" s="31">
        <f t="shared" si="331"/>
        <v>0.69512755313374197</v>
      </c>
      <c r="BD328" s="34">
        <f t="shared" si="332"/>
        <v>0</v>
      </c>
    </row>
    <row r="329" spans="1:56" x14ac:dyDescent="0.2">
      <c r="A329" s="27">
        <f t="shared" si="333"/>
        <v>325</v>
      </c>
      <c r="B329" s="28">
        <f t="shared" si="280"/>
        <v>325</v>
      </c>
      <c r="C329" s="27">
        <f t="shared" si="281"/>
        <v>27</v>
      </c>
      <c r="D329" s="28">
        <f t="shared" si="282"/>
        <v>47</v>
      </c>
      <c r="E329" s="29">
        <f t="shared" si="283"/>
        <v>0</v>
      </c>
      <c r="F329" s="30">
        <f t="shared" si="284"/>
        <v>1.0617081895044991E-3</v>
      </c>
      <c r="G329" s="31">
        <f t="shared" si="285"/>
        <v>8.8518765390399601E-5</v>
      </c>
      <c r="H329" s="32">
        <f t="shared" si="286"/>
        <v>0.02</v>
      </c>
      <c r="I329" s="32">
        <f t="shared" si="287"/>
        <v>0</v>
      </c>
      <c r="J329" s="33">
        <f t="shared" si="334"/>
        <v>0</v>
      </c>
      <c r="K329" s="30">
        <f t="shared" si="288"/>
        <v>0</v>
      </c>
      <c r="L329" s="33">
        <f t="shared" si="289"/>
        <v>0</v>
      </c>
      <c r="M329" s="30">
        <f t="shared" si="290"/>
        <v>0</v>
      </c>
      <c r="N329" s="33">
        <f t="shared" si="291"/>
        <v>0</v>
      </c>
      <c r="O329" s="31">
        <f t="shared" si="292"/>
        <v>0</v>
      </c>
      <c r="P329" s="33">
        <f t="shared" si="293"/>
        <v>0</v>
      </c>
      <c r="Q329" s="34">
        <f t="shared" si="335"/>
        <v>681930.48255499941</v>
      </c>
      <c r="R329" s="29">
        <f t="shared" si="294"/>
        <v>0</v>
      </c>
      <c r="S329" s="34">
        <f t="shared" si="295"/>
        <v>681930.48255499941</v>
      </c>
      <c r="T329" s="29">
        <f t="shared" si="296"/>
        <v>568.2754021291662</v>
      </c>
      <c r="U329" s="29">
        <f t="shared" si="297"/>
        <v>0</v>
      </c>
      <c r="V329" s="35">
        <f t="shared" si="298"/>
        <v>9.7370641929439574E-5</v>
      </c>
      <c r="W329" s="34">
        <f t="shared" si="299"/>
        <v>0</v>
      </c>
      <c r="X329" s="34">
        <f t="shared" si="300"/>
        <v>681362.20715287025</v>
      </c>
      <c r="Y329" s="36">
        <f t="shared" si="301"/>
        <v>5.7038201467189964E-3</v>
      </c>
      <c r="Z329" s="34">
        <f t="shared" si="302"/>
        <v>3886.3674843714634</v>
      </c>
      <c r="AA329" s="34">
        <f t="shared" si="303"/>
        <v>683305.39089505596</v>
      </c>
      <c r="AB329" s="34">
        <f t="shared" si="304"/>
        <v>0</v>
      </c>
      <c r="AC329" s="34">
        <f t="shared" si="305"/>
        <v>0</v>
      </c>
      <c r="AD329" s="34">
        <f t="shared" si="306"/>
        <v>0</v>
      </c>
      <c r="AE329" s="34">
        <f t="shared" si="307"/>
        <v>0</v>
      </c>
      <c r="AF329" s="34">
        <f t="shared" si="308"/>
        <v>0</v>
      </c>
      <c r="AG329" s="29">
        <f t="shared" si="309"/>
        <v>683305.39089505596</v>
      </c>
      <c r="AH329" s="34">
        <f t="shared" si="310"/>
        <v>0</v>
      </c>
      <c r="AI329" s="34">
        <f t="shared" si="311"/>
        <v>0</v>
      </c>
      <c r="AJ329" s="34">
        <f t="shared" si="312"/>
        <v>0</v>
      </c>
      <c r="AK329" s="34">
        <f t="shared" si="313"/>
        <v>0</v>
      </c>
      <c r="AL329" s="34">
        <f t="shared" si="314"/>
        <v>0</v>
      </c>
      <c r="AM329" s="34">
        <f t="shared" si="315"/>
        <v>0</v>
      </c>
      <c r="AN329" s="34">
        <f t="shared" si="316"/>
        <v>0</v>
      </c>
      <c r="AO329" s="34">
        <f t="shared" si="317"/>
        <v>0</v>
      </c>
      <c r="AP329" s="34">
        <f t="shared" si="318"/>
        <v>0</v>
      </c>
      <c r="AQ329" s="34">
        <f t="shared" si="319"/>
        <v>0</v>
      </c>
      <c r="AR329" s="34">
        <f t="shared" si="320"/>
        <v>0</v>
      </c>
      <c r="AS329" s="30">
        <f t="shared" si="321"/>
        <v>1.3092940872430046</v>
      </c>
      <c r="AT329" s="29">
        <f t="shared" si="322"/>
        <v>0</v>
      </c>
      <c r="AU329" s="29">
        <f t="shared" si="323"/>
        <v>0</v>
      </c>
      <c r="AV329" s="34">
        <f t="shared" si="324"/>
        <v>0</v>
      </c>
      <c r="AW329" s="34">
        <f t="shared" si="325"/>
        <v>0</v>
      </c>
      <c r="AX329" s="29">
        <f t="shared" si="326"/>
        <v>0</v>
      </c>
      <c r="AY329" s="34">
        <f t="shared" si="327"/>
        <v>0</v>
      </c>
      <c r="AZ329" s="37">
        <f t="shared" si="328"/>
        <v>0</v>
      </c>
      <c r="BA329" s="37">
        <f t="shared" si="329"/>
        <v>0</v>
      </c>
      <c r="BB329" s="35">
        <f t="shared" si="330"/>
        <v>1.1230372968997759E-3</v>
      </c>
      <c r="BC329" s="31">
        <f t="shared" si="331"/>
        <v>0.69434777468575049</v>
      </c>
      <c r="BD329" s="34">
        <f t="shared" si="332"/>
        <v>0</v>
      </c>
    </row>
    <row r="330" spans="1:56" x14ac:dyDescent="0.2">
      <c r="A330" s="27">
        <f t="shared" si="333"/>
        <v>326</v>
      </c>
      <c r="B330" s="28">
        <f t="shared" si="280"/>
        <v>326</v>
      </c>
      <c r="C330" s="27">
        <f t="shared" si="281"/>
        <v>27</v>
      </c>
      <c r="D330" s="28">
        <f t="shared" si="282"/>
        <v>47</v>
      </c>
      <c r="E330" s="29">
        <f t="shared" si="283"/>
        <v>0</v>
      </c>
      <c r="F330" s="30">
        <f t="shared" si="284"/>
        <v>1.0617081895044991E-3</v>
      </c>
      <c r="G330" s="31">
        <f t="shared" si="285"/>
        <v>8.8518765390399601E-5</v>
      </c>
      <c r="H330" s="32">
        <f t="shared" si="286"/>
        <v>0.02</v>
      </c>
      <c r="I330" s="32">
        <f t="shared" si="287"/>
        <v>0</v>
      </c>
      <c r="J330" s="33">
        <f t="shared" si="334"/>
        <v>0</v>
      </c>
      <c r="K330" s="30">
        <f t="shared" si="288"/>
        <v>0</v>
      </c>
      <c r="L330" s="33">
        <f t="shared" si="289"/>
        <v>0</v>
      </c>
      <c r="M330" s="30">
        <f t="shared" si="290"/>
        <v>0</v>
      </c>
      <c r="N330" s="33">
        <f t="shared" si="291"/>
        <v>0</v>
      </c>
      <c r="O330" s="31">
        <f t="shared" si="292"/>
        <v>0</v>
      </c>
      <c r="P330" s="33">
        <f t="shared" si="293"/>
        <v>0</v>
      </c>
      <c r="Q330" s="34">
        <f t="shared" si="335"/>
        <v>685248.57463724166</v>
      </c>
      <c r="R330" s="29">
        <f t="shared" si="294"/>
        <v>0</v>
      </c>
      <c r="S330" s="34">
        <f t="shared" si="295"/>
        <v>685248.57463724166</v>
      </c>
      <c r="T330" s="29">
        <f t="shared" si="296"/>
        <v>571.04047886436808</v>
      </c>
      <c r="U330" s="29">
        <f t="shared" si="297"/>
        <v>0</v>
      </c>
      <c r="V330" s="35">
        <f t="shared" si="298"/>
        <v>9.7370641929439574E-5</v>
      </c>
      <c r="W330" s="34">
        <f t="shared" si="299"/>
        <v>0</v>
      </c>
      <c r="X330" s="34">
        <f t="shared" si="300"/>
        <v>684677.53415837733</v>
      </c>
      <c r="Y330" s="36">
        <f t="shared" si="301"/>
        <v>-7.5942032784322988E-3</v>
      </c>
      <c r="Z330" s="34">
        <f t="shared" si="302"/>
        <v>-5199.5803745744915</v>
      </c>
      <c r="AA330" s="34">
        <f t="shared" si="303"/>
        <v>682077.74397109007</v>
      </c>
      <c r="AB330" s="34">
        <f t="shared" si="304"/>
        <v>0</v>
      </c>
      <c r="AC330" s="34">
        <f t="shared" si="305"/>
        <v>0</v>
      </c>
      <c r="AD330" s="34">
        <f t="shared" si="306"/>
        <v>0</v>
      </c>
      <c r="AE330" s="34">
        <f t="shared" si="307"/>
        <v>0</v>
      </c>
      <c r="AF330" s="34">
        <f t="shared" si="308"/>
        <v>0</v>
      </c>
      <c r="AG330" s="29">
        <f t="shared" si="309"/>
        <v>682077.74397109007</v>
      </c>
      <c r="AH330" s="34">
        <f t="shared" si="310"/>
        <v>0</v>
      </c>
      <c r="AI330" s="34">
        <f t="shared" si="311"/>
        <v>0</v>
      </c>
      <c r="AJ330" s="34">
        <f t="shared" si="312"/>
        <v>0</v>
      </c>
      <c r="AK330" s="34">
        <f t="shared" si="313"/>
        <v>0</v>
      </c>
      <c r="AL330" s="34">
        <f t="shared" si="314"/>
        <v>0</v>
      </c>
      <c r="AM330" s="34">
        <f t="shared" si="315"/>
        <v>0</v>
      </c>
      <c r="AN330" s="34">
        <f t="shared" si="316"/>
        <v>0</v>
      </c>
      <c r="AO330" s="34">
        <f t="shared" si="317"/>
        <v>0</v>
      </c>
      <c r="AP330" s="34">
        <f t="shared" si="318"/>
        <v>0</v>
      </c>
      <c r="AQ330" s="34">
        <f t="shared" si="319"/>
        <v>0</v>
      </c>
      <c r="AR330" s="34">
        <f t="shared" si="320"/>
        <v>0</v>
      </c>
      <c r="AS330" s="30">
        <f t="shared" si="321"/>
        <v>1.3103801965912609</v>
      </c>
      <c r="AT330" s="29">
        <f t="shared" si="322"/>
        <v>0</v>
      </c>
      <c r="AU330" s="29">
        <f t="shared" si="323"/>
        <v>0</v>
      </c>
      <c r="AV330" s="34">
        <f t="shared" si="324"/>
        <v>0</v>
      </c>
      <c r="AW330" s="34">
        <f t="shared" si="325"/>
        <v>0</v>
      </c>
      <c r="AX330" s="29">
        <f t="shared" si="326"/>
        <v>0</v>
      </c>
      <c r="AY330" s="34">
        <f t="shared" si="327"/>
        <v>0</v>
      </c>
      <c r="AZ330" s="37">
        <f t="shared" si="328"/>
        <v>0</v>
      </c>
      <c r="BA330" s="37">
        <f t="shared" si="329"/>
        <v>0</v>
      </c>
      <c r="BB330" s="35">
        <f t="shared" si="330"/>
        <v>1.1230372968997759E-3</v>
      </c>
      <c r="BC330" s="31">
        <f t="shared" si="331"/>
        <v>0.69356887097567621</v>
      </c>
      <c r="BD330" s="34">
        <f t="shared" si="332"/>
        <v>0</v>
      </c>
    </row>
    <row r="331" spans="1:56" x14ac:dyDescent="0.2">
      <c r="A331" s="27">
        <f t="shared" si="333"/>
        <v>327</v>
      </c>
      <c r="B331" s="28">
        <f t="shared" si="280"/>
        <v>327</v>
      </c>
      <c r="C331" s="27">
        <f t="shared" si="281"/>
        <v>27</v>
      </c>
      <c r="D331" s="28">
        <f t="shared" si="282"/>
        <v>47</v>
      </c>
      <c r="E331" s="29">
        <f t="shared" si="283"/>
        <v>0</v>
      </c>
      <c r="F331" s="30">
        <f t="shared" si="284"/>
        <v>1.0617081895044991E-3</v>
      </c>
      <c r="G331" s="31">
        <f t="shared" si="285"/>
        <v>8.8518765390399601E-5</v>
      </c>
      <c r="H331" s="32">
        <f t="shared" si="286"/>
        <v>0.02</v>
      </c>
      <c r="I331" s="32">
        <f t="shared" si="287"/>
        <v>0</v>
      </c>
      <c r="J331" s="33">
        <f t="shared" si="334"/>
        <v>0</v>
      </c>
      <c r="K331" s="30">
        <f t="shared" si="288"/>
        <v>0</v>
      </c>
      <c r="L331" s="33">
        <f t="shared" si="289"/>
        <v>0</v>
      </c>
      <c r="M331" s="30">
        <f t="shared" si="290"/>
        <v>0</v>
      </c>
      <c r="N331" s="33">
        <f t="shared" si="291"/>
        <v>0</v>
      </c>
      <c r="O331" s="31">
        <f t="shared" si="292"/>
        <v>0</v>
      </c>
      <c r="P331" s="33">
        <f t="shared" si="293"/>
        <v>0</v>
      </c>
      <c r="Q331" s="34">
        <f t="shared" si="335"/>
        <v>679477.9537838028</v>
      </c>
      <c r="R331" s="29">
        <f t="shared" si="294"/>
        <v>0</v>
      </c>
      <c r="S331" s="34">
        <f t="shared" si="295"/>
        <v>679477.9537838028</v>
      </c>
      <c r="T331" s="29">
        <f t="shared" si="296"/>
        <v>566.23162815316903</v>
      </c>
      <c r="U331" s="29">
        <f t="shared" si="297"/>
        <v>0</v>
      </c>
      <c r="V331" s="35">
        <f t="shared" si="298"/>
        <v>9.7370641929439574E-5</v>
      </c>
      <c r="W331" s="34">
        <f t="shared" si="299"/>
        <v>0</v>
      </c>
      <c r="X331" s="34">
        <f t="shared" si="300"/>
        <v>678911.72215564968</v>
      </c>
      <c r="Y331" s="36">
        <f t="shared" si="301"/>
        <v>1.4959984226692091E-2</v>
      </c>
      <c r="Z331" s="34">
        <f t="shared" si="302"/>
        <v>10156.508654764883</v>
      </c>
      <c r="AA331" s="34">
        <f t="shared" si="303"/>
        <v>683989.97648303211</v>
      </c>
      <c r="AB331" s="34">
        <f t="shared" si="304"/>
        <v>0</v>
      </c>
      <c r="AC331" s="34">
        <f t="shared" si="305"/>
        <v>0</v>
      </c>
      <c r="AD331" s="34">
        <f t="shared" si="306"/>
        <v>0</v>
      </c>
      <c r="AE331" s="34">
        <f t="shared" si="307"/>
        <v>0</v>
      </c>
      <c r="AF331" s="34">
        <f t="shared" si="308"/>
        <v>0</v>
      </c>
      <c r="AG331" s="29">
        <f t="shared" si="309"/>
        <v>683989.97648303211</v>
      </c>
      <c r="AH331" s="34">
        <f t="shared" si="310"/>
        <v>0</v>
      </c>
      <c r="AI331" s="34">
        <f t="shared" si="311"/>
        <v>0</v>
      </c>
      <c r="AJ331" s="34">
        <f t="shared" si="312"/>
        <v>0</v>
      </c>
      <c r="AK331" s="34">
        <f t="shared" si="313"/>
        <v>0</v>
      </c>
      <c r="AL331" s="34">
        <f t="shared" si="314"/>
        <v>0</v>
      </c>
      <c r="AM331" s="34">
        <f t="shared" si="315"/>
        <v>0</v>
      </c>
      <c r="AN331" s="34">
        <f t="shared" si="316"/>
        <v>0</v>
      </c>
      <c r="AO331" s="34">
        <f t="shared" si="317"/>
        <v>0</v>
      </c>
      <c r="AP331" s="34">
        <f t="shared" si="318"/>
        <v>0</v>
      </c>
      <c r="AQ331" s="34">
        <f t="shared" si="319"/>
        <v>0</v>
      </c>
      <c r="AR331" s="34">
        <f t="shared" si="320"/>
        <v>0</v>
      </c>
      <c r="AS331" s="30">
        <f t="shared" si="321"/>
        <v>1.3114672069086177</v>
      </c>
      <c r="AT331" s="29">
        <f t="shared" si="322"/>
        <v>0</v>
      </c>
      <c r="AU331" s="29">
        <f t="shared" si="323"/>
        <v>0</v>
      </c>
      <c r="AV331" s="34">
        <f t="shared" si="324"/>
        <v>0</v>
      </c>
      <c r="AW331" s="34">
        <f t="shared" si="325"/>
        <v>0</v>
      </c>
      <c r="AX331" s="29">
        <f t="shared" si="326"/>
        <v>0</v>
      </c>
      <c r="AY331" s="34">
        <f t="shared" si="327"/>
        <v>0</v>
      </c>
      <c r="AZ331" s="37">
        <f t="shared" si="328"/>
        <v>0</v>
      </c>
      <c r="BA331" s="37">
        <f t="shared" si="329"/>
        <v>0</v>
      </c>
      <c r="BB331" s="35">
        <f t="shared" si="330"/>
        <v>1.1230372968997759E-3</v>
      </c>
      <c r="BC331" s="31">
        <f t="shared" si="331"/>
        <v>0.69279084102225763</v>
      </c>
      <c r="BD331" s="34">
        <f t="shared" si="332"/>
        <v>0</v>
      </c>
    </row>
    <row r="332" spans="1:56" x14ac:dyDescent="0.2">
      <c r="A332" s="27">
        <f t="shared" si="333"/>
        <v>328</v>
      </c>
      <c r="B332" s="28">
        <f t="shared" si="280"/>
        <v>328</v>
      </c>
      <c r="C332" s="27">
        <f t="shared" si="281"/>
        <v>27</v>
      </c>
      <c r="D332" s="28">
        <f t="shared" si="282"/>
        <v>47</v>
      </c>
      <c r="E332" s="29">
        <f t="shared" si="283"/>
        <v>0</v>
      </c>
      <c r="F332" s="30">
        <f t="shared" si="284"/>
        <v>1.0617081895044991E-3</v>
      </c>
      <c r="G332" s="31">
        <f t="shared" si="285"/>
        <v>8.8518765390399601E-5</v>
      </c>
      <c r="H332" s="32">
        <f t="shared" si="286"/>
        <v>0.02</v>
      </c>
      <c r="I332" s="32">
        <f t="shared" si="287"/>
        <v>0</v>
      </c>
      <c r="J332" s="33">
        <f t="shared" si="334"/>
        <v>0</v>
      </c>
      <c r="K332" s="30">
        <f t="shared" si="288"/>
        <v>0</v>
      </c>
      <c r="L332" s="33">
        <f t="shared" si="289"/>
        <v>0</v>
      </c>
      <c r="M332" s="30">
        <f t="shared" si="290"/>
        <v>0</v>
      </c>
      <c r="N332" s="33">
        <f t="shared" si="291"/>
        <v>0</v>
      </c>
      <c r="O332" s="31">
        <f t="shared" si="292"/>
        <v>0</v>
      </c>
      <c r="P332" s="33">
        <f t="shared" si="293"/>
        <v>0</v>
      </c>
      <c r="Q332" s="34">
        <f t="shared" si="335"/>
        <v>689068.23081041453</v>
      </c>
      <c r="R332" s="29">
        <f t="shared" si="294"/>
        <v>0</v>
      </c>
      <c r="S332" s="34">
        <f t="shared" si="295"/>
        <v>689068.23081041453</v>
      </c>
      <c r="T332" s="29">
        <f t="shared" si="296"/>
        <v>574.22352567534551</v>
      </c>
      <c r="U332" s="29">
        <f t="shared" si="297"/>
        <v>0</v>
      </c>
      <c r="V332" s="35">
        <f t="shared" si="298"/>
        <v>9.7370641929439574E-5</v>
      </c>
      <c r="W332" s="34">
        <f t="shared" si="299"/>
        <v>0</v>
      </c>
      <c r="X332" s="34">
        <f t="shared" si="300"/>
        <v>688494.00728473917</v>
      </c>
      <c r="Y332" s="36">
        <f t="shared" si="301"/>
        <v>5.4930301149351823E-3</v>
      </c>
      <c r="Z332" s="34">
        <f t="shared" si="302"/>
        <v>3781.9183159674749</v>
      </c>
      <c r="AA332" s="34">
        <f t="shared" si="303"/>
        <v>690384.96644272294</v>
      </c>
      <c r="AB332" s="34">
        <f t="shared" si="304"/>
        <v>0</v>
      </c>
      <c r="AC332" s="34">
        <f t="shared" si="305"/>
        <v>0</v>
      </c>
      <c r="AD332" s="34">
        <f t="shared" si="306"/>
        <v>0</v>
      </c>
      <c r="AE332" s="34">
        <f t="shared" si="307"/>
        <v>0</v>
      </c>
      <c r="AF332" s="34">
        <f t="shared" si="308"/>
        <v>0</v>
      </c>
      <c r="AG332" s="29">
        <f t="shared" si="309"/>
        <v>690384.96644272294</v>
      </c>
      <c r="AH332" s="34">
        <f t="shared" si="310"/>
        <v>0</v>
      </c>
      <c r="AI332" s="34">
        <f t="shared" si="311"/>
        <v>0</v>
      </c>
      <c r="AJ332" s="34">
        <f t="shared" si="312"/>
        <v>0</v>
      </c>
      <c r="AK332" s="34">
        <f t="shared" si="313"/>
        <v>0</v>
      </c>
      <c r="AL332" s="34">
        <f t="shared" si="314"/>
        <v>0</v>
      </c>
      <c r="AM332" s="34">
        <f t="shared" si="315"/>
        <v>0</v>
      </c>
      <c r="AN332" s="34">
        <f t="shared" si="316"/>
        <v>0</v>
      </c>
      <c r="AO332" s="34">
        <f t="shared" si="317"/>
        <v>0</v>
      </c>
      <c r="AP332" s="34">
        <f t="shared" si="318"/>
        <v>0</v>
      </c>
      <c r="AQ332" s="34">
        <f t="shared" si="319"/>
        <v>0</v>
      </c>
      <c r="AR332" s="34">
        <f t="shared" si="320"/>
        <v>0</v>
      </c>
      <c r="AS332" s="30">
        <f t="shared" si="321"/>
        <v>1.3125551189424636</v>
      </c>
      <c r="AT332" s="29">
        <f t="shared" si="322"/>
        <v>0</v>
      </c>
      <c r="AU332" s="29">
        <f t="shared" si="323"/>
        <v>0</v>
      </c>
      <c r="AV332" s="34">
        <f t="shared" si="324"/>
        <v>0</v>
      </c>
      <c r="AW332" s="34">
        <f t="shared" si="325"/>
        <v>0</v>
      </c>
      <c r="AX332" s="29">
        <f t="shared" si="326"/>
        <v>0</v>
      </c>
      <c r="AY332" s="34">
        <f t="shared" si="327"/>
        <v>0</v>
      </c>
      <c r="AZ332" s="37">
        <f t="shared" si="328"/>
        <v>0</v>
      </c>
      <c r="BA332" s="37">
        <f t="shared" si="329"/>
        <v>0</v>
      </c>
      <c r="BB332" s="35">
        <f t="shared" si="330"/>
        <v>1.1230372968997759E-3</v>
      </c>
      <c r="BC332" s="31">
        <f t="shared" si="331"/>
        <v>0.69201368384533446</v>
      </c>
      <c r="BD332" s="34">
        <f t="shared" si="332"/>
        <v>0</v>
      </c>
    </row>
    <row r="333" spans="1:56" x14ac:dyDescent="0.2">
      <c r="A333" s="27">
        <f t="shared" si="333"/>
        <v>329</v>
      </c>
      <c r="B333" s="28">
        <f t="shared" si="280"/>
        <v>329</v>
      </c>
      <c r="C333" s="27">
        <f t="shared" si="281"/>
        <v>27</v>
      </c>
      <c r="D333" s="28">
        <f t="shared" si="282"/>
        <v>47</v>
      </c>
      <c r="E333" s="29">
        <f t="shared" si="283"/>
        <v>0</v>
      </c>
      <c r="F333" s="30">
        <f t="shared" si="284"/>
        <v>1.0617081895044991E-3</v>
      </c>
      <c r="G333" s="31">
        <f t="shared" si="285"/>
        <v>8.8518765390399601E-5</v>
      </c>
      <c r="H333" s="32">
        <f t="shared" si="286"/>
        <v>0.02</v>
      </c>
      <c r="I333" s="32">
        <f t="shared" si="287"/>
        <v>0</v>
      </c>
      <c r="J333" s="33">
        <f t="shared" si="334"/>
        <v>0</v>
      </c>
      <c r="K333" s="30">
        <f t="shared" si="288"/>
        <v>0</v>
      </c>
      <c r="L333" s="33">
        <f t="shared" si="289"/>
        <v>0</v>
      </c>
      <c r="M333" s="30">
        <f t="shared" si="290"/>
        <v>0</v>
      </c>
      <c r="N333" s="33">
        <f t="shared" si="291"/>
        <v>0</v>
      </c>
      <c r="O333" s="31">
        <f t="shared" si="292"/>
        <v>0</v>
      </c>
      <c r="P333" s="33">
        <f t="shared" si="293"/>
        <v>0</v>
      </c>
      <c r="Q333" s="34">
        <f t="shared" si="335"/>
        <v>692275.9256007066</v>
      </c>
      <c r="R333" s="29">
        <f t="shared" si="294"/>
        <v>0</v>
      </c>
      <c r="S333" s="34">
        <f t="shared" si="295"/>
        <v>692275.9256007066</v>
      </c>
      <c r="T333" s="29">
        <f t="shared" si="296"/>
        <v>576.89660466725559</v>
      </c>
      <c r="U333" s="29">
        <f t="shared" si="297"/>
        <v>0</v>
      </c>
      <c r="V333" s="35">
        <f t="shared" si="298"/>
        <v>9.7370641929439574E-5</v>
      </c>
      <c r="W333" s="34">
        <f t="shared" si="299"/>
        <v>0</v>
      </c>
      <c r="X333" s="34">
        <f t="shared" si="300"/>
        <v>691699.0289960393</v>
      </c>
      <c r="Y333" s="36">
        <f t="shared" si="301"/>
        <v>-1.4115211425158591E-4</v>
      </c>
      <c r="Z333" s="34">
        <f t="shared" si="302"/>
        <v>-97.634780368559973</v>
      </c>
      <c r="AA333" s="34">
        <f t="shared" si="303"/>
        <v>691650.21160585503</v>
      </c>
      <c r="AB333" s="34">
        <f t="shared" si="304"/>
        <v>0</v>
      </c>
      <c r="AC333" s="34">
        <f t="shared" si="305"/>
        <v>0</v>
      </c>
      <c r="AD333" s="34">
        <f t="shared" si="306"/>
        <v>0</v>
      </c>
      <c r="AE333" s="34">
        <f t="shared" si="307"/>
        <v>0</v>
      </c>
      <c r="AF333" s="34">
        <f t="shared" si="308"/>
        <v>0</v>
      </c>
      <c r="AG333" s="29">
        <f t="shared" si="309"/>
        <v>691650.21160585503</v>
      </c>
      <c r="AH333" s="34">
        <f t="shared" si="310"/>
        <v>0</v>
      </c>
      <c r="AI333" s="34">
        <f t="shared" si="311"/>
        <v>0</v>
      </c>
      <c r="AJ333" s="34">
        <f t="shared" si="312"/>
        <v>0</v>
      </c>
      <c r="AK333" s="34">
        <f t="shared" si="313"/>
        <v>0</v>
      </c>
      <c r="AL333" s="34">
        <f t="shared" si="314"/>
        <v>0</v>
      </c>
      <c r="AM333" s="34">
        <f t="shared" si="315"/>
        <v>0</v>
      </c>
      <c r="AN333" s="34">
        <f t="shared" si="316"/>
        <v>0</v>
      </c>
      <c r="AO333" s="34">
        <f t="shared" si="317"/>
        <v>0</v>
      </c>
      <c r="AP333" s="34">
        <f t="shared" si="318"/>
        <v>0</v>
      </c>
      <c r="AQ333" s="34">
        <f t="shared" si="319"/>
        <v>0</v>
      </c>
      <c r="AR333" s="34">
        <f t="shared" si="320"/>
        <v>0</v>
      </c>
      <c r="AS333" s="30">
        <f t="shared" si="321"/>
        <v>1.3136439334408068</v>
      </c>
      <c r="AT333" s="29">
        <f t="shared" si="322"/>
        <v>0</v>
      </c>
      <c r="AU333" s="29">
        <f t="shared" si="323"/>
        <v>0</v>
      </c>
      <c r="AV333" s="34">
        <f t="shared" si="324"/>
        <v>0</v>
      </c>
      <c r="AW333" s="34">
        <f t="shared" si="325"/>
        <v>0</v>
      </c>
      <c r="AX333" s="29">
        <f t="shared" si="326"/>
        <v>0</v>
      </c>
      <c r="AY333" s="34">
        <f t="shared" si="327"/>
        <v>0</v>
      </c>
      <c r="AZ333" s="37">
        <f t="shared" si="328"/>
        <v>0</v>
      </c>
      <c r="BA333" s="37">
        <f t="shared" si="329"/>
        <v>0</v>
      </c>
      <c r="BB333" s="35">
        <f t="shared" si="330"/>
        <v>1.1230372968997759E-3</v>
      </c>
      <c r="BC333" s="31">
        <f t="shared" si="331"/>
        <v>0.69123739846584531</v>
      </c>
      <c r="BD333" s="34">
        <f t="shared" si="332"/>
        <v>0</v>
      </c>
    </row>
    <row r="334" spans="1:56" x14ac:dyDescent="0.2">
      <c r="A334" s="27">
        <f t="shared" si="333"/>
        <v>330</v>
      </c>
      <c r="B334" s="28">
        <f t="shared" si="280"/>
        <v>330</v>
      </c>
      <c r="C334" s="27">
        <f t="shared" si="281"/>
        <v>27</v>
      </c>
      <c r="D334" s="28">
        <f t="shared" si="282"/>
        <v>47</v>
      </c>
      <c r="E334" s="29">
        <f t="shared" si="283"/>
        <v>0</v>
      </c>
      <c r="F334" s="30">
        <f t="shared" si="284"/>
        <v>1.0617081895044991E-3</v>
      </c>
      <c r="G334" s="31">
        <f t="shared" si="285"/>
        <v>8.8518765390399601E-5</v>
      </c>
      <c r="H334" s="32">
        <f t="shared" si="286"/>
        <v>0.02</v>
      </c>
      <c r="I334" s="32">
        <f t="shared" si="287"/>
        <v>0</v>
      </c>
      <c r="J334" s="33">
        <f t="shared" si="334"/>
        <v>0</v>
      </c>
      <c r="K334" s="30">
        <f t="shared" si="288"/>
        <v>0</v>
      </c>
      <c r="L334" s="33">
        <f t="shared" si="289"/>
        <v>0</v>
      </c>
      <c r="M334" s="30">
        <f t="shared" si="290"/>
        <v>0</v>
      </c>
      <c r="N334" s="33">
        <f t="shared" si="291"/>
        <v>0</v>
      </c>
      <c r="O334" s="31">
        <f t="shared" si="292"/>
        <v>0</v>
      </c>
      <c r="P334" s="33">
        <f t="shared" si="293"/>
        <v>0</v>
      </c>
      <c r="Q334" s="34">
        <f t="shared" si="335"/>
        <v>691601.39421567076</v>
      </c>
      <c r="R334" s="29">
        <f t="shared" si="294"/>
        <v>0</v>
      </c>
      <c r="S334" s="34">
        <f t="shared" si="295"/>
        <v>691601.39421567076</v>
      </c>
      <c r="T334" s="29">
        <f t="shared" si="296"/>
        <v>576.33449517972565</v>
      </c>
      <c r="U334" s="29">
        <f t="shared" si="297"/>
        <v>0</v>
      </c>
      <c r="V334" s="35">
        <f t="shared" si="298"/>
        <v>9.7370641929439574E-5</v>
      </c>
      <c r="W334" s="34">
        <f t="shared" si="299"/>
        <v>0</v>
      </c>
      <c r="X334" s="34">
        <f t="shared" si="300"/>
        <v>691025.05972049106</v>
      </c>
      <c r="Y334" s="36">
        <f t="shared" si="301"/>
        <v>-5.2236156339867668E-3</v>
      </c>
      <c r="Z334" s="34">
        <f t="shared" si="302"/>
        <v>-3609.6493054325961</v>
      </c>
      <c r="AA334" s="34">
        <f t="shared" si="303"/>
        <v>689220.23506777477</v>
      </c>
      <c r="AB334" s="34">
        <f t="shared" si="304"/>
        <v>0</v>
      </c>
      <c r="AC334" s="34">
        <f t="shared" si="305"/>
        <v>0</v>
      </c>
      <c r="AD334" s="34">
        <f t="shared" si="306"/>
        <v>0</v>
      </c>
      <c r="AE334" s="34">
        <f t="shared" si="307"/>
        <v>0</v>
      </c>
      <c r="AF334" s="34">
        <f t="shared" si="308"/>
        <v>0</v>
      </c>
      <c r="AG334" s="29">
        <f t="shared" si="309"/>
        <v>689220.23506777477</v>
      </c>
      <c r="AH334" s="34">
        <f t="shared" si="310"/>
        <v>0</v>
      </c>
      <c r="AI334" s="34">
        <f t="shared" si="311"/>
        <v>0</v>
      </c>
      <c r="AJ334" s="34">
        <f t="shared" si="312"/>
        <v>0</v>
      </c>
      <c r="AK334" s="34">
        <f t="shared" si="313"/>
        <v>0</v>
      </c>
      <c r="AL334" s="34">
        <f t="shared" si="314"/>
        <v>0</v>
      </c>
      <c r="AM334" s="34">
        <f t="shared" si="315"/>
        <v>0</v>
      </c>
      <c r="AN334" s="34">
        <f t="shared" si="316"/>
        <v>0</v>
      </c>
      <c r="AO334" s="34">
        <f t="shared" si="317"/>
        <v>0</v>
      </c>
      <c r="AP334" s="34">
        <f t="shared" si="318"/>
        <v>0</v>
      </c>
      <c r="AQ334" s="34">
        <f t="shared" si="319"/>
        <v>0</v>
      </c>
      <c r="AR334" s="34">
        <f t="shared" si="320"/>
        <v>0</v>
      </c>
      <c r="AS334" s="30">
        <f t="shared" si="321"/>
        <v>1.3147336511522756</v>
      </c>
      <c r="AT334" s="29">
        <f t="shared" si="322"/>
        <v>0</v>
      </c>
      <c r="AU334" s="29">
        <f t="shared" si="323"/>
        <v>0</v>
      </c>
      <c r="AV334" s="34">
        <f t="shared" si="324"/>
        <v>0</v>
      </c>
      <c r="AW334" s="34">
        <f t="shared" si="325"/>
        <v>0</v>
      </c>
      <c r="AX334" s="29">
        <f t="shared" si="326"/>
        <v>0</v>
      </c>
      <c r="AY334" s="34">
        <f t="shared" si="327"/>
        <v>0</v>
      </c>
      <c r="AZ334" s="37">
        <f t="shared" si="328"/>
        <v>0</v>
      </c>
      <c r="BA334" s="37">
        <f t="shared" si="329"/>
        <v>0</v>
      </c>
      <c r="BB334" s="35">
        <f t="shared" si="330"/>
        <v>1.1230372968997759E-3</v>
      </c>
      <c r="BC334" s="31">
        <f t="shared" si="331"/>
        <v>0.69046198390582769</v>
      </c>
      <c r="BD334" s="34">
        <f t="shared" si="332"/>
        <v>0</v>
      </c>
    </row>
    <row r="335" spans="1:56" x14ac:dyDescent="0.2">
      <c r="A335" s="27">
        <f t="shared" si="333"/>
        <v>331</v>
      </c>
      <c r="B335" s="28">
        <f t="shared" si="280"/>
        <v>331</v>
      </c>
      <c r="C335" s="27">
        <f t="shared" si="281"/>
        <v>27</v>
      </c>
      <c r="D335" s="28">
        <f t="shared" si="282"/>
        <v>47</v>
      </c>
      <c r="E335" s="29">
        <f t="shared" si="283"/>
        <v>0</v>
      </c>
      <c r="F335" s="30">
        <f t="shared" si="284"/>
        <v>1.0617081895044991E-3</v>
      </c>
      <c r="G335" s="31">
        <f t="shared" si="285"/>
        <v>8.8518765390399601E-5</v>
      </c>
      <c r="H335" s="32">
        <f t="shared" si="286"/>
        <v>0.02</v>
      </c>
      <c r="I335" s="32">
        <f t="shared" si="287"/>
        <v>0</v>
      </c>
      <c r="J335" s="33">
        <f t="shared" si="334"/>
        <v>0</v>
      </c>
      <c r="K335" s="30">
        <f t="shared" si="288"/>
        <v>0</v>
      </c>
      <c r="L335" s="33">
        <f t="shared" si="289"/>
        <v>0</v>
      </c>
      <c r="M335" s="30">
        <f t="shared" si="290"/>
        <v>0</v>
      </c>
      <c r="N335" s="33">
        <f t="shared" si="291"/>
        <v>0</v>
      </c>
      <c r="O335" s="31">
        <f t="shared" si="292"/>
        <v>0</v>
      </c>
      <c r="P335" s="33">
        <f t="shared" si="293"/>
        <v>0</v>
      </c>
      <c r="Q335" s="34">
        <f t="shared" si="335"/>
        <v>687415.41041505849</v>
      </c>
      <c r="R335" s="29">
        <f t="shared" si="294"/>
        <v>0</v>
      </c>
      <c r="S335" s="34">
        <f t="shared" si="295"/>
        <v>687415.41041505849</v>
      </c>
      <c r="T335" s="29">
        <f t="shared" si="296"/>
        <v>572.8461753458821</v>
      </c>
      <c r="U335" s="29">
        <f t="shared" si="297"/>
        <v>0</v>
      </c>
      <c r="V335" s="35">
        <f t="shared" si="298"/>
        <v>9.7370641929439574E-5</v>
      </c>
      <c r="W335" s="34">
        <f t="shared" si="299"/>
        <v>0</v>
      </c>
      <c r="X335" s="34">
        <f t="shared" si="300"/>
        <v>686842.56423971266</v>
      </c>
      <c r="Y335" s="36">
        <f t="shared" si="301"/>
        <v>-1.1437255692337889E-2</v>
      </c>
      <c r="Z335" s="34">
        <f t="shared" si="302"/>
        <v>-7855.5940275906059</v>
      </c>
      <c r="AA335" s="34">
        <f t="shared" si="303"/>
        <v>682914.76722591731</v>
      </c>
      <c r="AB335" s="34">
        <f t="shared" si="304"/>
        <v>0</v>
      </c>
      <c r="AC335" s="34">
        <f t="shared" si="305"/>
        <v>0</v>
      </c>
      <c r="AD335" s="34">
        <f t="shared" si="306"/>
        <v>0</v>
      </c>
      <c r="AE335" s="34">
        <f t="shared" si="307"/>
        <v>0</v>
      </c>
      <c r="AF335" s="34">
        <f t="shared" si="308"/>
        <v>0</v>
      </c>
      <c r="AG335" s="29">
        <f t="shared" si="309"/>
        <v>682914.76722591731</v>
      </c>
      <c r="AH335" s="34">
        <f t="shared" si="310"/>
        <v>0</v>
      </c>
      <c r="AI335" s="34">
        <f t="shared" si="311"/>
        <v>0</v>
      </c>
      <c r="AJ335" s="34">
        <f t="shared" si="312"/>
        <v>0</v>
      </c>
      <c r="AK335" s="34">
        <f t="shared" si="313"/>
        <v>0</v>
      </c>
      <c r="AL335" s="34">
        <f t="shared" si="314"/>
        <v>0</v>
      </c>
      <c r="AM335" s="34">
        <f t="shared" si="315"/>
        <v>0</v>
      </c>
      <c r="AN335" s="34">
        <f t="shared" si="316"/>
        <v>0</v>
      </c>
      <c r="AO335" s="34">
        <f t="shared" si="317"/>
        <v>0</v>
      </c>
      <c r="AP335" s="34">
        <f t="shared" si="318"/>
        <v>0</v>
      </c>
      <c r="AQ335" s="34">
        <f t="shared" si="319"/>
        <v>0</v>
      </c>
      <c r="AR335" s="34">
        <f t="shared" si="320"/>
        <v>0</v>
      </c>
      <c r="AS335" s="30">
        <f t="shared" si="321"/>
        <v>1.31582427282612</v>
      </c>
      <c r="AT335" s="29">
        <f t="shared" si="322"/>
        <v>0</v>
      </c>
      <c r="AU335" s="29">
        <f t="shared" si="323"/>
        <v>0</v>
      </c>
      <c r="AV335" s="34">
        <f t="shared" si="324"/>
        <v>0</v>
      </c>
      <c r="AW335" s="34">
        <f t="shared" si="325"/>
        <v>0</v>
      </c>
      <c r="AX335" s="29">
        <f t="shared" si="326"/>
        <v>0</v>
      </c>
      <c r="AY335" s="34">
        <f t="shared" si="327"/>
        <v>0</v>
      </c>
      <c r="AZ335" s="37">
        <f t="shared" si="328"/>
        <v>0</v>
      </c>
      <c r="BA335" s="37">
        <f t="shared" si="329"/>
        <v>0</v>
      </c>
      <c r="BB335" s="35">
        <f t="shared" si="330"/>
        <v>1.1230372968997759E-3</v>
      </c>
      <c r="BC335" s="31">
        <f t="shared" si="331"/>
        <v>0.68968743918841569</v>
      </c>
      <c r="BD335" s="34">
        <f t="shared" si="332"/>
        <v>0</v>
      </c>
    </row>
    <row r="336" spans="1:56" x14ac:dyDescent="0.2">
      <c r="A336" s="27">
        <f t="shared" si="333"/>
        <v>332</v>
      </c>
      <c r="B336" s="28">
        <f t="shared" si="280"/>
        <v>332</v>
      </c>
      <c r="C336" s="27">
        <f t="shared" si="281"/>
        <v>27</v>
      </c>
      <c r="D336" s="28">
        <f t="shared" si="282"/>
        <v>47</v>
      </c>
      <c r="E336" s="29">
        <f t="shared" si="283"/>
        <v>0</v>
      </c>
      <c r="F336" s="30">
        <f t="shared" si="284"/>
        <v>1.0617081895044991E-3</v>
      </c>
      <c r="G336" s="31">
        <f t="shared" si="285"/>
        <v>8.8518765390399601E-5</v>
      </c>
      <c r="H336" s="32">
        <f t="shared" si="286"/>
        <v>0.02</v>
      </c>
      <c r="I336" s="32">
        <f t="shared" si="287"/>
        <v>0</v>
      </c>
      <c r="J336" s="33">
        <f t="shared" si="334"/>
        <v>0</v>
      </c>
      <c r="K336" s="30">
        <f t="shared" si="288"/>
        <v>0</v>
      </c>
      <c r="L336" s="33">
        <f t="shared" si="289"/>
        <v>0</v>
      </c>
      <c r="M336" s="30">
        <f t="shared" si="290"/>
        <v>0</v>
      </c>
      <c r="N336" s="33">
        <f t="shared" si="291"/>
        <v>0</v>
      </c>
      <c r="O336" s="31">
        <f t="shared" si="292"/>
        <v>0</v>
      </c>
      <c r="P336" s="33">
        <f t="shared" si="293"/>
        <v>0</v>
      </c>
      <c r="Q336" s="34">
        <f t="shared" si="335"/>
        <v>678986.97021212208</v>
      </c>
      <c r="R336" s="29">
        <f t="shared" si="294"/>
        <v>0</v>
      </c>
      <c r="S336" s="34">
        <f t="shared" si="295"/>
        <v>678986.97021212208</v>
      </c>
      <c r="T336" s="29">
        <f t="shared" si="296"/>
        <v>565.82247517676842</v>
      </c>
      <c r="U336" s="29">
        <f t="shared" si="297"/>
        <v>0</v>
      </c>
      <c r="V336" s="35">
        <f t="shared" si="298"/>
        <v>9.7370641929439574E-5</v>
      </c>
      <c r="W336" s="34">
        <f t="shared" si="299"/>
        <v>0</v>
      </c>
      <c r="X336" s="34">
        <f t="shared" si="300"/>
        <v>678421.14773694531</v>
      </c>
      <c r="Y336" s="36">
        <f t="shared" si="301"/>
        <v>-6.0961802947585575E-3</v>
      </c>
      <c r="Z336" s="34">
        <f t="shared" si="302"/>
        <v>-4135.7776323814505</v>
      </c>
      <c r="AA336" s="34">
        <f t="shared" si="303"/>
        <v>676353.25892075454</v>
      </c>
      <c r="AB336" s="34">
        <f t="shared" si="304"/>
        <v>0</v>
      </c>
      <c r="AC336" s="34">
        <f t="shared" si="305"/>
        <v>0</v>
      </c>
      <c r="AD336" s="34">
        <f t="shared" si="306"/>
        <v>0</v>
      </c>
      <c r="AE336" s="34">
        <f t="shared" si="307"/>
        <v>0</v>
      </c>
      <c r="AF336" s="34">
        <f t="shared" si="308"/>
        <v>0</v>
      </c>
      <c r="AG336" s="29">
        <f t="shared" si="309"/>
        <v>676353.25892075454</v>
      </c>
      <c r="AH336" s="34">
        <f t="shared" si="310"/>
        <v>0</v>
      </c>
      <c r="AI336" s="34">
        <f t="shared" si="311"/>
        <v>0</v>
      </c>
      <c r="AJ336" s="34">
        <f t="shared" si="312"/>
        <v>0</v>
      </c>
      <c r="AK336" s="34">
        <f t="shared" si="313"/>
        <v>0</v>
      </c>
      <c r="AL336" s="34">
        <f t="shared" si="314"/>
        <v>0</v>
      </c>
      <c r="AM336" s="34">
        <f t="shared" si="315"/>
        <v>0</v>
      </c>
      <c r="AN336" s="34">
        <f t="shared" si="316"/>
        <v>0</v>
      </c>
      <c r="AO336" s="34">
        <f t="shared" si="317"/>
        <v>0</v>
      </c>
      <c r="AP336" s="34">
        <f t="shared" si="318"/>
        <v>0</v>
      </c>
      <c r="AQ336" s="34">
        <f t="shared" si="319"/>
        <v>0</v>
      </c>
      <c r="AR336" s="34">
        <f t="shared" si="320"/>
        <v>0</v>
      </c>
      <c r="AS336" s="30">
        <f t="shared" si="321"/>
        <v>1.3169157992122111</v>
      </c>
      <c r="AT336" s="29">
        <f t="shared" si="322"/>
        <v>0</v>
      </c>
      <c r="AU336" s="29">
        <f t="shared" si="323"/>
        <v>0</v>
      </c>
      <c r="AV336" s="34">
        <f t="shared" si="324"/>
        <v>0</v>
      </c>
      <c r="AW336" s="34">
        <f t="shared" si="325"/>
        <v>0</v>
      </c>
      <c r="AX336" s="29">
        <f t="shared" si="326"/>
        <v>0</v>
      </c>
      <c r="AY336" s="34">
        <f t="shared" si="327"/>
        <v>0</v>
      </c>
      <c r="AZ336" s="37">
        <f t="shared" si="328"/>
        <v>0</v>
      </c>
      <c r="BA336" s="37">
        <f t="shared" si="329"/>
        <v>0</v>
      </c>
      <c r="BB336" s="35">
        <f t="shared" si="330"/>
        <v>1.1230372968997759E-3</v>
      </c>
      <c r="BC336" s="31">
        <f t="shared" si="331"/>
        <v>0.68891376333783994</v>
      </c>
      <c r="BD336" s="34">
        <f t="shared" si="332"/>
        <v>0</v>
      </c>
    </row>
    <row r="337" spans="1:56" x14ac:dyDescent="0.2">
      <c r="A337" s="27">
        <f t="shared" si="333"/>
        <v>333</v>
      </c>
      <c r="B337" s="28">
        <f t="shared" si="280"/>
        <v>333</v>
      </c>
      <c r="C337" s="27">
        <f t="shared" si="281"/>
        <v>27</v>
      </c>
      <c r="D337" s="28">
        <f t="shared" si="282"/>
        <v>47</v>
      </c>
      <c r="E337" s="29">
        <f t="shared" si="283"/>
        <v>0</v>
      </c>
      <c r="F337" s="30">
        <f t="shared" si="284"/>
        <v>1.0617081895044991E-3</v>
      </c>
      <c r="G337" s="31">
        <f t="shared" si="285"/>
        <v>8.8518765390399601E-5</v>
      </c>
      <c r="H337" s="32">
        <f t="shared" si="286"/>
        <v>0.02</v>
      </c>
      <c r="I337" s="32">
        <f t="shared" si="287"/>
        <v>0</v>
      </c>
      <c r="J337" s="33">
        <f t="shared" si="334"/>
        <v>0</v>
      </c>
      <c r="K337" s="30">
        <f t="shared" si="288"/>
        <v>0</v>
      </c>
      <c r="L337" s="33">
        <f t="shared" si="289"/>
        <v>0</v>
      </c>
      <c r="M337" s="30">
        <f t="shared" si="290"/>
        <v>0</v>
      </c>
      <c r="N337" s="33">
        <f t="shared" si="291"/>
        <v>0</v>
      </c>
      <c r="O337" s="31">
        <f t="shared" si="292"/>
        <v>0</v>
      </c>
      <c r="P337" s="33">
        <f t="shared" si="293"/>
        <v>0</v>
      </c>
      <c r="Q337" s="34">
        <f t="shared" si="335"/>
        <v>674285.37010456389</v>
      </c>
      <c r="R337" s="29">
        <f t="shared" si="294"/>
        <v>0</v>
      </c>
      <c r="S337" s="34">
        <f t="shared" si="295"/>
        <v>674285.37010456389</v>
      </c>
      <c r="T337" s="29">
        <f t="shared" si="296"/>
        <v>561.90447508713657</v>
      </c>
      <c r="U337" s="29">
        <f t="shared" si="297"/>
        <v>0</v>
      </c>
      <c r="V337" s="35">
        <f t="shared" si="298"/>
        <v>9.7370641929439574E-5</v>
      </c>
      <c r="W337" s="34">
        <f t="shared" si="299"/>
        <v>0</v>
      </c>
      <c r="X337" s="34">
        <f t="shared" si="300"/>
        <v>673723.4656294767</v>
      </c>
      <c r="Y337" s="36">
        <f t="shared" si="301"/>
        <v>2.147930474843962E-3</v>
      </c>
      <c r="Z337" s="34">
        <f t="shared" si="302"/>
        <v>1447.1111634430417</v>
      </c>
      <c r="AA337" s="34">
        <f t="shared" si="303"/>
        <v>674447.02121119818</v>
      </c>
      <c r="AB337" s="34">
        <f t="shared" si="304"/>
        <v>0</v>
      </c>
      <c r="AC337" s="34">
        <f t="shared" si="305"/>
        <v>0</v>
      </c>
      <c r="AD337" s="34">
        <f t="shared" si="306"/>
        <v>0</v>
      </c>
      <c r="AE337" s="34">
        <f t="shared" si="307"/>
        <v>0</v>
      </c>
      <c r="AF337" s="34">
        <f t="shared" si="308"/>
        <v>0</v>
      </c>
      <c r="AG337" s="29">
        <f t="shared" si="309"/>
        <v>674447.02121119818</v>
      </c>
      <c r="AH337" s="34">
        <f t="shared" si="310"/>
        <v>0</v>
      </c>
      <c r="AI337" s="34">
        <f t="shared" si="311"/>
        <v>0</v>
      </c>
      <c r="AJ337" s="34">
        <f t="shared" si="312"/>
        <v>0</v>
      </c>
      <c r="AK337" s="34">
        <f t="shared" si="313"/>
        <v>0</v>
      </c>
      <c r="AL337" s="34">
        <f t="shared" si="314"/>
        <v>0</v>
      </c>
      <c r="AM337" s="34">
        <f t="shared" si="315"/>
        <v>0</v>
      </c>
      <c r="AN337" s="34">
        <f t="shared" si="316"/>
        <v>0</v>
      </c>
      <c r="AO337" s="34">
        <f t="shared" si="317"/>
        <v>0</v>
      </c>
      <c r="AP337" s="34">
        <f t="shared" si="318"/>
        <v>0</v>
      </c>
      <c r="AQ337" s="34">
        <f t="shared" si="319"/>
        <v>0</v>
      </c>
      <c r="AR337" s="34">
        <f t="shared" si="320"/>
        <v>0</v>
      </c>
      <c r="AS337" s="30">
        <f t="shared" si="321"/>
        <v>1.3180082310610424</v>
      </c>
      <c r="AT337" s="29">
        <f t="shared" si="322"/>
        <v>0</v>
      </c>
      <c r="AU337" s="29">
        <f t="shared" si="323"/>
        <v>0</v>
      </c>
      <c r="AV337" s="34">
        <f t="shared" si="324"/>
        <v>0</v>
      </c>
      <c r="AW337" s="34">
        <f t="shared" si="325"/>
        <v>0</v>
      </c>
      <c r="AX337" s="29">
        <f t="shared" si="326"/>
        <v>0</v>
      </c>
      <c r="AY337" s="34">
        <f t="shared" si="327"/>
        <v>0</v>
      </c>
      <c r="AZ337" s="37">
        <f t="shared" si="328"/>
        <v>0</v>
      </c>
      <c r="BA337" s="37">
        <f t="shared" si="329"/>
        <v>0</v>
      </c>
      <c r="BB337" s="35">
        <f t="shared" si="330"/>
        <v>1.1230372968997759E-3</v>
      </c>
      <c r="BC337" s="31">
        <f t="shared" si="331"/>
        <v>0.68814095537942455</v>
      </c>
      <c r="BD337" s="34">
        <f t="shared" si="332"/>
        <v>0</v>
      </c>
    </row>
    <row r="338" spans="1:56" x14ac:dyDescent="0.2">
      <c r="A338" s="27">
        <f t="shared" si="333"/>
        <v>334</v>
      </c>
      <c r="B338" s="28">
        <f t="shared" si="280"/>
        <v>334</v>
      </c>
      <c r="C338" s="27">
        <f t="shared" si="281"/>
        <v>27</v>
      </c>
      <c r="D338" s="28">
        <f t="shared" si="282"/>
        <v>47</v>
      </c>
      <c r="E338" s="29">
        <f t="shared" si="283"/>
        <v>0</v>
      </c>
      <c r="F338" s="30">
        <f t="shared" si="284"/>
        <v>1.0617081895044991E-3</v>
      </c>
      <c r="G338" s="31">
        <f t="shared" si="285"/>
        <v>8.8518765390399601E-5</v>
      </c>
      <c r="H338" s="32">
        <f t="shared" si="286"/>
        <v>0.02</v>
      </c>
      <c r="I338" s="32">
        <f t="shared" si="287"/>
        <v>0</v>
      </c>
      <c r="J338" s="33">
        <f t="shared" si="334"/>
        <v>0</v>
      </c>
      <c r="K338" s="30">
        <f t="shared" si="288"/>
        <v>0</v>
      </c>
      <c r="L338" s="33">
        <f t="shared" si="289"/>
        <v>0</v>
      </c>
      <c r="M338" s="30">
        <f t="shared" si="290"/>
        <v>0</v>
      </c>
      <c r="N338" s="33">
        <f t="shared" si="291"/>
        <v>0</v>
      </c>
      <c r="O338" s="31">
        <f t="shared" si="292"/>
        <v>0</v>
      </c>
      <c r="P338" s="33">
        <f t="shared" si="293"/>
        <v>0</v>
      </c>
      <c r="Q338" s="34">
        <f t="shared" si="335"/>
        <v>675170.57679291978</v>
      </c>
      <c r="R338" s="29">
        <f t="shared" si="294"/>
        <v>0</v>
      </c>
      <c r="S338" s="34">
        <f t="shared" si="295"/>
        <v>675170.57679291978</v>
      </c>
      <c r="T338" s="29">
        <f t="shared" si="296"/>
        <v>562.64214732743324</v>
      </c>
      <c r="U338" s="29">
        <f t="shared" si="297"/>
        <v>0</v>
      </c>
      <c r="V338" s="35">
        <f t="shared" si="298"/>
        <v>9.7370641929439574E-5</v>
      </c>
      <c r="W338" s="34">
        <f t="shared" si="299"/>
        <v>0</v>
      </c>
      <c r="X338" s="34">
        <f t="shared" si="300"/>
        <v>674607.93464559235</v>
      </c>
      <c r="Y338" s="36">
        <f t="shared" si="301"/>
        <v>-1.0914222064386858E-2</v>
      </c>
      <c r="Z338" s="34">
        <f t="shared" si="302"/>
        <v>-7362.8208051193715</v>
      </c>
      <c r="AA338" s="34">
        <f t="shared" si="303"/>
        <v>670926.52424303268</v>
      </c>
      <c r="AB338" s="34">
        <f t="shared" si="304"/>
        <v>0</v>
      </c>
      <c r="AC338" s="34">
        <f t="shared" si="305"/>
        <v>0</v>
      </c>
      <c r="AD338" s="34">
        <f t="shared" si="306"/>
        <v>0</v>
      </c>
      <c r="AE338" s="34">
        <f t="shared" si="307"/>
        <v>0</v>
      </c>
      <c r="AF338" s="34">
        <f t="shared" si="308"/>
        <v>0</v>
      </c>
      <c r="AG338" s="29">
        <f t="shared" si="309"/>
        <v>670926.52424303268</v>
      </c>
      <c r="AH338" s="34">
        <f t="shared" si="310"/>
        <v>0</v>
      </c>
      <c r="AI338" s="34">
        <f t="shared" si="311"/>
        <v>0</v>
      </c>
      <c r="AJ338" s="34">
        <f t="shared" si="312"/>
        <v>0</v>
      </c>
      <c r="AK338" s="34">
        <f t="shared" si="313"/>
        <v>0</v>
      </c>
      <c r="AL338" s="34">
        <f t="shared" si="314"/>
        <v>0</v>
      </c>
      <c r="AM338" s="34">
        <f t="shared" si="315"/>
        <v>0</v>
      </c>
      <c r="AN338" s="34">
        <f t="shared" si="316"/>
        <v>0</v>
      </c>
      <c r="AO338" s="34">
        <f t="shared" si="317"/>
        <v>0</v>
      </c>
      <c r="AP338" s="34">
        <f t="shared" si="318"/>
        <v>0</v>
      </c>
      <c r="AQ338" s="34">
        <f t="shared" si="319"/>
        <v>0</v>
      </c>
      <c r="AR338" s="34">
        <f t="shared" si="320"/>
        <v>0</v>
      </c>
      <c r="AS338" s="30">
        <f t="shared" si="321"/>
        <v>1.3191015691237296</v>
      </c>
      <c r="AT338" s="29">
        <f t="shared" si="322"/>
        <v>0</v>
      </c>
      <c r="AU338" s="29">
        <f t="shared" si="323"/>
        <v>0</v>
      </c>
      <c r="AV338" s="34">
        <f t="shared" si="324"/>
        <v>0</v>
      </c>
      <c r="AW338" s="34">
        <f t="shared" si="325"/>
        <v>0</v>
      </c>
      <c r="AX338" s="29">
        <f t="shared" si="326"/>
        <v>0</v>
      </c>
      <c r="AY338" s="34">
        <f t="shared" si="327"/>
        <v>0</v>
      </c>
      <c r="AZ338" s="37">
        <f t="shared" si="328"/>
        <v>0</v>
      </c>
      <c r="BA338" s="37">
        <f t="shared" si="329"/>
        <v>0</v>
      </c>
      <c r="BB338" s="35">
        <f t="shared" si="330"/>
        <v>1.1230372968997759E-3</v>
      </c>
      <c r="BC338" s="31">
        <f t="shared" si="331"/>
        <v>0.68736901433958808</v>
      </c>
      <c r="BD338" s="34">
        <f t="shared" si="332"/>
        <v>0</v>
      </c>
    </row>
    <row r="339" spans="1:56" x14ac:dyDescent="0.2">
      <c r="A339" s="27">
        <f t="shared" si="333"/>
        <v>335</v>
      </c>
      <c r="B339" s="28">
        <f t="shared" si="280"/>
        <v>335</v>
      </c>
      <c r="C339" s="27">
        <f t="shared" si="281"/>
        <v>27</v>
      </c>
      <c r="D339" s="28">
        <f t="shared" si="282"/>
        <v>47</v>
      </c>
      <c r="E339" s="29">
        <f t="shared" si="283"/>
        <v>0</v>
      </c>
      <c r="F339" s="30">
        <f t="shared" si="284"/>
        <v>1.0617081895044991E-3</v>
      </c>
      <c r="G339" s="31">
        <f t="shared" si="285"/>
        <v>8.8518765390399601E-5</v>
      </c>
      <c r="H339" s="32">
        <f t="shared" si="286"/>
        <v>0.02</v>
      </c>
      <c r="I339" s="32">
        <f t="shared" si="287"/>
        <v>0</v>
      </c>
      <c r="J339" s="33">
        <f t="shared" si="334"/>
        <v>0</v>
      </c>
      <c r="K339" s="30">
        <f t="shared" si="288"/>
        <v>0</v>
      </c>
      <c r="L339" s="33">
        <f t="shared" si="289"/>
        <v>0</v>
      </c>
      <c r="M339" s="30">
        <f t="shared" si="290"/>
        <v>0</v>
      </c>
      <c r="N339" s="33">
        <f t="shared" si="291"/>
        <v>0</v>
      </c>
      <c r="O339" s="31">
        <f t="shared" si="292"/>
        <v>0</v>
      </c>
      <c r="P339" s="33">
        <f t="shared" si="293"/>
        <v>0</v>
      </c>
      <c r="Q339" s="34">
        <f t="shared" si="335"/>
        <v>667245.113840473</v>
      </c>
      <c r="R339" s="29">
        <f t="shared" si="294"/>
        <v>0</v>
      </c>
      <c r="S339" s="34">
        <f t="shared" si="295"/>
        <v>667245.113840473</v>
      </c>
      <c r="T339" s="29">
        <f t="shared" si="296"/>
        <v>556.03759486706088</v>
      </c>
      <c r="U339" s="29">
        <f t="shared" si="297"/>
        <v>0</v>
      </c>
      <c r="V339" s="35">
        <f t="shared" si="298"/>
        <v>9.7370641929439574E-5</v>
      </c>
      <c r="W339" s="34">
        <f t="shared" si="299"/>
        <v>0</v>
      </c>
      <c r="X339" s="34">
        <f t="shared" si="300"/>
        <v>666689.07624560595</v>
      </c>
      <c r="Y339" s="36">
        <f t="shared" si="301"/>
        <v>4.4571995959952204E-4</v>
      </c>
      <c r="Z339" s="34">
        <f t="shared" si="302"/>
        <v>297.15662812963416</v>
      </c>
      <c r="AA339" s="34">
        <f t="shared" si="303"/>
        <v>666837.65455967071</v>
      </c>
      <c r="AB339" s="34">
        <f t="shared" si="304"/>
        <v>0</v>
      </c>
      <c r="AC339" s="34">
        <f t="shared" si="305"/>
        <v>0</v>
      </c>
      <c r="AD339" s="34">
        <f t="shared" si="306"/>
        <v>0</v>
      </c>
      <c r="AE339" s="34">
        <f t="shared" si="307"/>
        <v>0</v>
      </c>
      <c r="AF339" s="34">
        <f t="shared" si="308"/>
        <v>0</v>
      </c>
      <c r="AG339" s="29">
        <f t="shared" si="309"/>
        <v>666837.65455967071</v>
      </c>
      <c r="AH339" s="34">
        <f t="shared" si="310"/>
        <v>0</v>
      </c>
      <c r="AI339" s="34">
        <f t="shared" si="311"/>
        <v>0</v>
      </c>
      <c r="AJ339" s="34">
        <f t="shared" si="312"/>
        <v>0</v>
      </c>
      <c r="AK339" s="34">
        <f t="shared" si="313"/>
        <v>0</v>
      </c>
      <c r="AL339" s="34">
        <f t="shared" si="314"/>
        <v>0</v>
      </c>
      <c r="AM339" s="34">
        <f t="shared" si="315"/>
        <v>0</v>
      </c>
      <c r="AN339" s="34">
        <f t="shared" si="316"/>
        <v>0</v>
      </c>
      <c r="AO339" s="34">
        <f t="shared" si="317"/>
        <v>0</v>
      </c>
      <c r="AP339" s="34">
        <f t="shared" si="318"/>
        <v>0</v>
      </c>
      <c r="AQ339" s="34">
        <f t="shared" si="319"/>
        <v>0</v>
      </c>
      <c r="AR339" s="34">
        <f t="shared" si="320"/>
        <v>0</v>
      </c>
      <c r="AS339" s="30">
        <f t="shared" si="321"/>
        <v>1.3201958141520118</v>
      </c>
      <c r="AT339" s="29">
        <f t="shared" si="322"/>
        <v>0</v>
      </c>
      <c r="AU339" s="29">
        <f t="shared" si="323"/>
        <v>0</v>
      </c>
      <c r="AV339" s="34">
        <f t="shared" si="324"/>
        <v>0</v>
      </c>
      <c r="AW339" s="34">
        <f t="shared" si="325"/>
        <v>0</v>
      </c>
      <c r="AX339" s="29">
        <f t="shared" si="326"/>
        <v>0</v>
      </c>
      <c r="AY339" s="34">
        <f t="shared" si="327"/>
        <v>0</v>
      </c>
      <c r="AZ339" s="37">
        <f t="shared" si="328"/>
        <v>0</v>
      </c>
      <c r="BA339" s="37">
        <f t="shared" si="329"/>
        <v>0</v>
      </c>
      <c r="BB339" s="35">
        <f t="shared" si="330"/>
        <v>1.1230372968997759E-3</v>
      </c>
      <c r="BC339" s="31">
        <f t="shared" si="331"/>
        <v>0.68659793924584034</v>
      </c>
      <c r="BD339" s="34">
        <f t="shared" si="332"/>
        <v>0</v>
      </c>
    </row>
    <row r="340" spans="1:56" x14ac:dyDescent="0.2">
      <c r="A340" s="27">
        <f t="shared" si="333"/>
        <v>336</v>
      </c>
      <c r="B340" s="28">
        <f t="shared" si="280"/>
        <v>336</v>
      </c>
      <c r="C340" s="27">
        <f t="shared" si="281"/>
        <v>28</v>
      </c>
      <c r="D340" s="28">
        <f t="shared" si="282"/>
        <v>48</v>
      </c>
      <c r="E340" s="29">
        <f t="shared" si="283"/>
        <v>0</v>
      </c>
      <c r="F340" s="30">
        <f t="shared" si="284"/>
        <v>1.123472648010938E-3</v>
      </c>
      <c r="G340" s="31">
        <f t="shared" si="285"/>
        <v>9.3670963974945565E-5</v>
      </c>
      <c r="H340" s="32">
        <f t="shared" si="286"/>
        <v>0.02</v>
      </c>
      <c r="I340" s="32">
        <f t="shared" si="287"/>
        <v>0</v>
      </c>
      <c r="J340" s="33">
        <f t="shared" si="334"/>
        <v>0</v>
      </c>
      <c r="K340" s="30">
        <f t="shared" si="288"/>
        <v>0</v>
      </c>
      <c r="L340" s="33">
        <f t="shared" si="289"/>
        <v>0</v>
      </c>
      <c r="M340" s="30">
        <f t="shared" si="290"/>
        <v>0</v>
      </c>
      <c r="N340" s="33">
        <f t="shared" si="291"/>
        <v>0</v>
      </c>
      <c r="O340" s="31">
        <f t="shared" si="292"/>
        <v>0</v>
      </c>
      <c r="P340" s="33">
        <f t="shared" si="293"/>
        <v>0</v>
      </c>
      <c r="Q340" s="34">
        <f t="shared" si="335"/>
        <v>666986.2328737356</v>
      </c>
      <c r="R340" s="29">
        <f t="shared" si="294"/>
        <v>0</v>
      </c>
      <c r="S340" s="34">
        <f t="shared" si="295"/>
        <v>666986.2328737356</v>
      </c>
      <c r="T340" s="29">
        <f t="shared" si="296"/>
        <v>555.82186072811305</v>
      </c>
      <c r="U340" s="29">
        <f t="shared" si="297"/>
        <v>0</v>
      </c>
      <c r="V340" s="35">
        <f t="shared" si="298"/>
        <v>1.0303806037244013E-4</v>
      </c>
      <c r="W340" s="34">
        <f t="shared" si="299"/>
        <v>0</v>
      </c>
      <c r="X340" s="34">
        <f t="shared" si="300"/>
        <v>666430.41101300751</v>
      </c>
      <c r="Y340" s="36">
        <f t="shared" si="301"/>
        <v>1.4245271969715034E-4</v>
      </c>
      <c r="Z340" s="34">
        <f t="shared" si="302"/>
        <v>94.934824537692649</v>
      </c>
      <c r="AA340" s="34">
        <f t="shared" si="303"/>
        <v>666477.87842527637</v>
      </c>
      <c r="AB340" s="34">
        <f t="shared" si="304"/>
        <v>0</v>
      </c>
      <c r="AC340" s="34">
        <f t="shared" si="305"/>
        <v>0</v>
      </c>
      <c r="AD340" s="34">
        <f t="shared" si="306"/>
        <v>0</v>
      </c>
      <c r="AE340" s="34">
        <f t="shared" si="307"/>
        <v>0</v>
      </c>
      <c r="AF340" s="34">
        <f t="shared" si="308"/>
        <v>0</v>
      </c>
      <c r="AG340" s="29">
        <f t="shared" si="309"/>
        <v>666477.87842527637</v>
      </c>
      <c r="AH340" s="34">
        <f t="shared" si="310"/>
        <v>0</v>
      </c>
      <c r="AI340" s="34">
        <f t="shared" si="311"/>
        <v>0</v>
      </c>
      <c r="AJ340" s="34">
        <f t="shared" si="312"/>
        <v>0</v>
      </c>
      <c r="AK340" s="34">
        <f t="shared" si="313"/>
        <v>0</v>
      </c>
      <c r="AL340" s="34">
        <f t="shared" si="314"/>
        <v>0</v>
      </c>
      <c r="AM340" s="34">
        <f t="shared" si="315"/>
        <v>0</v>
      </c>
      <c r="AN340" s="34">
        <f t="shared" si="316"/>
        <v>0</v>
      </c>
      <c r="AO340" s="34">
        <f t="shared" si="317"/>
        <v>0</v>
      </c>
      <c r="AP340" s="34">
        <f t="shared" si="318"/>
        <v>0</v>
      </c>
      <c r="AQ340" s="34">
        <f t="shared" si="319"/>
        <v>0</v>
      </c>
      <c r="AR340" s="34">
        <f t="shared" si="320"/>
        <v>0</v>
      </c>
      <c r="AS340" s="30">
        <f t="shared" si="321"/>
        <v>1.3212909668982511</v>
      </c>
      <c r="AT340" s="29">
        <f t="shared" si="322"/>
        <v>0</v>
      </c>
      <c r="AU340" s="29">
        <f t="shared" si="323"/>
        <v>0</v>
      </c>
      <c r="AV340" s="34">
        <f t="shared" si="324"/>
        <v>0</v>
      </c>
      <c r="AW340" s="34">
        <f t="shared" si="325"/>
        <v>0</v>
      </c>
      <c r="AX340" s="29">
        <f t="shared" si="326"/>
        <v>0</v>
      </c>
      <c r="AY340" s="34">
        <f t="shared" si="327"/>
        <v>0</v>
      </c>
      <c r="AZ340" s="37">
        <f t="shared" si="328"/>
        <v>0</v>
      </c>
      <c r="BA340" s="37">
        <f t="shared" si="329"/>
        <v>0</v>
      </c>
      <c r="BB340" s="35">
        <f t="shared" si="330"/>
        <v>1.1189216645679512E-3</v>
      </c>
      <c r="BC340" s="31">
        <f t="shared" si="331"/>
        <v>0.68677572032794099</v>
      </c>
      <c r="BD340" s="34">
        <f t="shared" si="332"/>
        <v>0</v>
      </c>
    </row>
    <row r="341" spans="1:56" x14ac:dyDescent="0.2">
      <c r="A341" s="27">
        <f t="shared" si="333"/>
        <v>337</v>
      </c>
      <c r="B341" s="28">
        <f t="shared" si="280"/>
        <v>337</v>
      </c>
      <c r="C341" s="27">
        <f t="shared" si="281"/>
        <v>28</v>
      </c>
      <c r="D341" s="28">
        <f t="shared" si="282"/>
        <v>48</v>
      </c>
      <c r="E341" s="29">
        <f t="shared" si="283"/>
        <v>0</v>
      </c>
      <c r="F341" s="30">
        <f t="shared" si="284"/>
        <v>1.123472648010938E-3</v>
      </c>
      <c r="G341" s="31">
        <f t="shared" si="285"/>
        <v>9.3670963974945565E-5</v>
      </c>
      <c r="H341" s="32">
        <f t="shared" si="286"/>
        <v>0.02</v>
      </c>
      <c r="I341" s="32">
        <f t="shared" si="287"/>
        <v>0</v>
      </c>
      <c r="J341" s="33">
        <f t="shared" si="334"/>
        <v>0</v>
      </c>
      <c r="K341" s="30">
        <f t="shared" si="288"/>
        <v>0</v>
      </c>
      <c r="L341" s="33">
        <f t="shared" si="289"/>
        <v>0</v>
      </c>
      <c r="M341" s="30">
        <f t="shared" si="290"/>
        <v>0</v>
      </c>
      <c r="N341" s="33">
        <f t="shared" si="291"/>
        <v>0</v>
      </c>
      <c r="O341" s="31">
        <f t="shared" si="292"/>
        <v>0</v>
      </c>
      <c r="P341" s="33">
        <f t="shared" si="293"/>
        <v>0</v>
      </c>
      <c r="Q341" s="34">
        <f t="shared" si="335"/>
        <v>666525.34583754523</v>
      </c>
      <c r="R341" s="29">
        <f t="shared" si="294"/>
        <v>0</v>
      </c>
      <c r="S341" s="34">
        <f t="shared" si="295"/>
        <v>666525.34583754523</v>
      </c>
      <c r="T341" s="29">
        <f t="shared" si="296"/>
        <v>555.43778819795443</v>
      </c>
      <c r="U341" s="29">
        <f t="shared" si="297"/>
        <v>0</v>
      </c>
      <c r="V341" s="35">
        <f t="shared" si="298"/>
        <v>1.0303806037244013E-4</v>
      </c>
      <c r="W341" s="34">
        <f t="shared" si="299"/>
        <v>0</v>
      </c>
      <c r="X341" s="34">
        <f t="shared" si="300"/>
        <v>665969.90804934723</v>
      </c>
      <c r="Y341" s="36">
        <f t="shared" si="301"/>
        <v>-5.8676797249775925E-3</v>
      </c>
      <c r="Z341" s="34">
        <f t="shared" si="302"/>
        <v>-3907.6981269063463</v>
      </c>
      <c r="AA341" s="34">
        <f t="shared" si="303"/>
        <v>664016.05898589408</v>
      </c>
      <c r="AB341" s="34">
        <f t="shared" si="304"/>
        <v>0</v>
      </c>
      <c r="AC341" s="34">
        <f t="shared" si="305"/>
        <v>0</v>
      </c>
      <c r="AD341" s="34">
        <f t="shared" si="306"/>
        <v>0</v>
      </c>
      <c r="AE341" s="34">
        <f t="shared" si="307"/>
        <v>0</v>
      </c>
      <c r="AF341" s="34">
        <f t="shared" si="308"/>
        <v>0</v>
      </c>
      <c r="AG341" s="29">
        <f t="shared" si="309"/>
        <v>664016.05898589408</v>
      </c>
      <c r="AH341" s="34">
        <f t="shared" si="310"/>
        <v>0</v>
      </c>
      <c r="AI341" s="34">
        <f t="shared" si="311"/>
        <v>0</v>
      </c>
      <c r="AJ341" s="34">
        <f t="shared" si="312"/>
        <v>0</v>
      </c>
      <c r="AK341" s="34">
        <f t="shared" si="313"/>
        <v>0</v>
      </c>
      <c r="AL341" s="34">
        <f t="shared" si="314"/>
        <v>0</v>
      </c>
      <c r="AM341" s="34">
        <f t="shared" si="315"/>
        <v>0</v>
      </c>
      <c r="AN341" s="34">
        <f t="shared" si="316"/>
        <v>0</v>
      </c>
      <c r="AO341" s="34">
        <f t="shared" si="317"/>
        <v>0</v>
      </c>
      <c r="AP341" s="34">
        <f t="shared" si="318"/>
        <v>0</v>
      </c>
      <c r="AQ341" s="34">
        <f t="shared" si="319"/>
        <v>0</v>
      </c>
      <c r="AR341" s="34">
        <f t="shared" si="320"/>
        <v>0</v>
      </c>
      <c r="AS341" s="30">
        <f t="shared" si="321"/>
        <v>1.3223870281154346</v>
      </c>
      <c r="AT341" s="29">
        <f t="shared" si="322"/>
        <v>0</v>
      </c>
      <c r="AU341" s="29">
        <f t="shared" si="323"/>
        <v>0</v>
      </c>
      <c r="AV341" s="34">
        <f t="shared" si="324"/>
        <v>0</v>
      </c>
      <c r="AW341" s="34">
        <f t="shared" si="325"/>
        <v>0</v>
      </c>
      <c r="AX341" s="29">
        <f t="shared" si="326"/>
        <v>0</v>
      </c>
      <c r="AY341" s="34">
        <f t="shared" si="327"/>
        <v>0</v>
      </c>
      <c r="AZ341" s="37">
        <f t="shared" si="328"/>
        <v>0</v>
      </c>
      <c r="BA341" s="37">
        <f t="shared" si="329"/>
        <v>0</v>
      </c>
      <c r="BB341" s="35">
        <f t="shared" si="330"/>
        <v>1.1189216645679512E-3</v>
      </c>
      <c r="BC341" s="31">
        <f t="shared" si="331"/>
        <v>0.68600813096813096</v>
      </c>
      <c r="BD341" s="34">
        <f t="shared" si="332"/>
        <v>0</v>
      </c>
    </row>
    <row r="342" spans="1:56" x14ac:dyDescent="0.2">
      <c r="A342" s="27">
        <f t="shared" si="333"/>
        <v>338</v>
      </c>
      <c r="B342" s="28">
        <f t="shared" si="280"/>
        <v>338</v>
      </c>
      <c r="C342" s="27">
        <f t="shared" si="281"/>
        <v>28</v>
      </c>
      <c r="D342" s="28">
        <f t="shared" si="282"/>
        <v>48</v>
      </c>
      <c r="E342" s="29">
        <f t="shared" si="283"/>
        <v>0</v>
      </c>
      <c r="F342" s="30">
        <f t="shared" si="284"/>
        <v>1.123472648010938E-3</v>
      </c>
      <c r="G342" s="31">
        <f t="shared" si="285"/>
        <v>9.3670963974945565E-5</v>
      </c>
      <c r="H342" s="32">
        <f t="shared" si="286"/>
        <v>0.02</v>
      </c>
      <c r="I342" s="32">
        <f t="shared" si="287"/>
        <v>0</v>
      </c>
      <c r="J342" s="33">
        <f t="shared" si="334"/>
        <v>0</v>
      </c>
      <c r="K342" s="30">
        <f t="shared" si="288"/>
        <v>0</v>
      </c>
      <c r="L342" s="33">
        <f t="shared" si="289"/>
        <v>0</v>
      </c>
      <c r="M342" s="30">
        <f t="shared" si="290"/>
        <v>0</v>
      </c>
      <c r="N342" s="33">
        <f t="shared" si="291"/>
        <v>0</v>
      </c>
      <c r="O342" s="31">
        <f t="shared" si="292"/>
        <v>0</v>
      </c>
      <c r="P342" s="33">
        <f t="shared" si="293"/>
        <v>0</v>
      </c>
      <c r="Q342" s="34">
        <f t="shared" si="335"/>
        <v>662062.20992244093</v>
      </c>
      <c r="R342" s="29">
        <f t="shared" si="294"/>
        <v>0</v>
      </c>
      <c r="S342" s="34">
        <f t="shared" si="295"/>
        <v>662062.20992244093</v>
      </c>
      <c r="T342" s="29">
        <f t="shared" si="296"/>
        <v>551.71850826870082</v>
      </c>
      <c r="U342" s="29">
        <f t="shared" si="297"/>
        <v>0</v>
      </c>
      <c r="V342" s="35">
        <f t="shared" si="298"/>
        <v>1.0303806037244013E-4</v>
      </c>
      <c r="W342" s="34">
        <f t="shared" si="299"/>
        <v>0</v>
      </c>
      <c r="X342" s="34">
        <f t="shared" si="300"/>
        <v>661510.49141417223</v>
      </c>
      <c r="Y342" s="36">
        <f t="shared" si="301"/>
        <v>-1.0074944269730102E-3</v>
      </c>
      <c r="Z342" s="34">
        <f t="shared" si="302"/>
        <v>-666.46813348395585</v>
      </c>
      <c r="AA342" s="34">
        <f t="shared" si="303"/>
        <v>661177.25734743022</v>
      </c>
      <c r="AB342" s="34">
        <f t="shared" si="304"/>
        <v>0</v>
      </c>
      <c r="AC342" s="34">
        <f t="shared" si="305"/>
        <v>0</v>
      </c>
      <c r="AD342" s="34">
        <f t="shared" si="306"/>
        <v>0</v>
      </c>
      <c r="AE342" s="34">
        <f t="shared" si="307"/>
        <v>0</v>
      </c>
      <c r="AF342" s="34">
        <f t="shared" si="308"/>
        <v>0</v>
      </c>
      <c r="AG342" s="29">
        <f t="shared" si="309"/>
        <v>661177.25734743022</v>
      </c>
      <c r="AH342" s="34">
        <f t="shared" si="310"/>
        <v>0</v>
      </c>
      <c r="AI342" s="34">
        <f t="shared" si="311"/>
        <v>0</v>
      </c>
      <c r="AJ342" s="34">
        <f t="shared" si="312"/>
        <v>0</v>
      </c>
      <c r="AK342" s="34">
        <f t="shared" si="313"/>
        <v>0</v>
      </c>
      <c r="AL342" s="34">
        <f t="shared" si="314"/>
        <v>0</v>
      </c>
      <c r="AM342" s="34">
        <f t="shared" si="315"/>
        <v>0</v>
      </c>
      <c r="AN342" s="34">
        <f t="shared" si="316"/>
        <v>0</v>
      </c>
      <c r="AO342" s="34">
        <f t="shared" si="317"/>
        <v>0</v>
      </c>
      <c r="AP342" s="34">
        <f t="shared" si="318"/>
        <v>0</v>
      </c>
      <c r="AQ342" s="34">
        <f t="shared" si="319"/>
        <v>0</v>
      </c>
      <c r="AR342" s="34">
        <f t="shared" si="320"/>
        <v>0</v>
      </c>
      <c r="AS342" s="30">
        <f t="shared" si="321"/>
        <v>1.3234839985571736</v>
      </c>
      <c r="AT342" s="29">
        <f t="shared" si="322"/>
        <v>0</v>
      </c>
      <c r="AU342" s="29">
        <f t="shared" si="323"/>
        <v>0</v>
      </c>
      <c r="AV342" s="34">
        <f t="shared" si="324"/>
        <v>0</v>
      </c>
      <c r="AW342" s="34">
        <f t="shared" si="325"/>
        <v>0</v>
      </c>
      <c r="AX342" s="29">
        <f t="shared" si="326"/>
        <v>0</v>
      </c>
      <c r="AY342" s="34">
        <f t="shared" si="327"/>
        <v>0</v>
      </c>
      <c r="AZ342" s="37">
        <f t="shared" si="328"/>
        <v>0</v>
      </c>
      <c r="BA342" s="37">
        <f t="shared" si="329"/>
        <v>0</v>
      </c>
      <c r="BB342" s="35">
        <f t="shared" si="330"/>
        <v>1.1189216645679512E-3</v>
      </c>
      <c r="BC342" s="31">
        <f t="shared" si="331"/>
        <v>0.68524139952074825</v>
      </c>
      <c r="BD342" s="34">
        <f t="shared" si="332"/>
        <v>0</v>
      </c>
    </row>
    <row r="343" spans="1:56" x14ac:dyDescent="0.2">
      <c r="A343" s="27">
        <f t="shared" si="333"/>
        <v>339</v>
      </c>
      <c r="B343" s="28">
        <f t="shared" si="280"/>
        <v>339</v>
      </c>
      <c r="C343" s="27">
        <f t="shared" si="281"/>
        <v>28</v>
      </c>
      <c r="D343" s="28">
        <f t="shared" si="282"/>
        <v>48</v>
      </c>
      <c r="E343" s="29">
        <f t="shared" si="283"/>
        <v>0</v>
      </c>
      <c r="F343" s="30">
        <f t="shared" si="284"/>
        <v>1.123472648010938E-3</v>
      </c>
      <c r="G343" s="31">
        <f t="shared" si="285"/>
        <v>9.3670963974945565E-5</v>
      </c>
      <c r="H343" s="32">
        <f t="shared" si="286"/>
        <v>0.02</v>
      </c>
      <c r="I343" s="32">
        <f t="shared" si="287"/>
        <v>0</v>
      </c>
      <c r="J343" s="33">
        <f t="shared" si="334"/>
        <v>0</v>
      </c>
      <c r="K343" s="30">
        <f t="shared" si="288"/>
        <v>0</v>
      </c>
      <c r="L343" s="33">
        <f t="shared" si="289"/>
        <v>0</v>
      </c>
      <c r="M343" s="30">
        <f t="shared" si="290"/>
        <v>0</v>
      </c>
      <c r="N343" s="33">
        <f t="shared" si="291"/>
        <v>0</v>
      </c>
      <c r="O343" s="31">
        <f t="shared" si="292"/>
        <v>0</v>
      </c>
      <c r="P343" s="33">
        <f t="shared" si="293"/>
        <v>0</v>
      </c>
      <c r="Q343" s="34">
        <f t="shared" si="335"/>
        <v>660844.02328068821</v>
      </c>
      <c r="R343" s="29">
        <f t="shared" si="294"/>
        <v>0</v>
      </c>
      <c r="S343" s="34">
        <f t="shared" si="295"/>
        <v>660844.02328068821</v>
      </c>
      <c r="T343" s="29">
        <f t="shared" si="296"/>
        <v>550.70335273390685</v>
      </c>
      <c r="U343" s="29">
        <f t="shared" si="297"/>
        <v>0</v>
      </c>
      <c r="V343" s="35">
        <f t="shared" si="298"/>
        <v>1.0303806037244013E-4</v>
      </c>
      <c r="W343" s="34">
        <f t="shared" si="299"/>
        <v>0</v>
      </c>
      <c r="X343" s="34">
        <f t="shared" si="300"/>
        <v>660293.31992795435</v>
      </c>
      <c r="Y343" s="36">
        <f t="shared" si="301"/>
        <v>1.1227442487005135E-3</v>
      </c>
      <c r="Z343" s="34">
        <f t="shared" si="302"/>
        <v>741.34052740447885</v>
      </c>
      <c r="AA343" s="34">
        <f t="shared" si="303"/>
        <v>660663.99019165663</v>
      </c>
      <c r="AB343" s="34">
        <f t="shared" si="304"/>
        <v>0</v>
      </c>
      <c r="AC343" s="34">
        <f t="shared" si="305"/>
        <v>0</v>
      </c>
      <c r="AD343" s="34">
        <f t="shared" si="306"/>
        <v>0</v>
      </c>
      <c r="AE343" s="34">
        <f t="shared" si="307"/>
        <v>0</v>
      </c>
      <c r="AF343" s="34">
        <f t="shared" si="308"/>
        <v>0</v>
      </c>
      <c r="AG343" s="29">
        <f t="shared" si="309"/>
        <v>660663.99019165663</v>
      </c>
      <c r="AH343" s="34">
        <f t="shared" si="310"/>
        <v>0</v>
      </c>
      <c r="AI343" s="34">
        <f t="shared" si="311"/>
        <v>0</v>
      </c>
      <c r="AJ343" s="34">
        <f t="shared" si="312"/>
        <v>0</v>
      </c>
      <c r="AK343" s="34">
        <f t="shared" si="313"/>
        <v>0</v>
      </c>
      <c r="AL343" s="34">
        <f t="shared" si="314"/>
        <v>0</v>
      </c>
      <c r="AM343" s="34">
        <f t="shared" si="315"/>
        <v>0</v>
      </c>
      <c r="AN343" s="34">
        <f t="shared" si="316"/>
        <v>0</v>
      </c>
      <c r="AO343" s="34">
        <f t="shared" si="317"/>
        <v>0</v>
      </c>
      <c r="AP343" s="34">
        <f t="shared" si="318"/>
        <v>0</v>
      </c>
      <c r="AQ343" s="34">
        <f t="shared" si="319"/>
        <v>0</v>
      </c>
      <c r="AR343" s="34">
        <f t="shared" si="320"/>
        <v>0</v>
      </c>
      <c r="AS343" s="30">
        <f t="shared" si="321"/>
        <v>1.324581878977704</v>
      </c>
      <c r="AT343" s="29">
        <f t="shared" si="322"/>
        <v>0</v>
      </c>
      <c r="AU343" s="29">
        <f t="shared" si="323"/>
        <v>0</v>
      </c>
      <c r="AV343" s="34">
        <f t="shared" si="324"/>
        <v>0</v>
      </c>
      <c r="AW343" s="34">
        <f t="shared" si="325"/>
        <v>0</v>
      </c>
      <c r="AX343" s="29">
        <f t="shared" si="326"/>
        <v>0</v>
      </c>
      <c r="AY343" s="34">
        <f t="shared" si="327"/>
        <v>0</v>
      </c>
      <c r="AZ343" s="37">
        <f t="shared" si="328"/>
        <v>0</v>
      </c>
      <c r="BA343" s="37">
        <f t="shared" si="329"/>
        <v>0</v>
      </c>
      <c r="BB343" s="35">
        <f t="shared" si="330"/>
        <v>1.1189216645679512E-3</v>
      </c>
      <c r="BC343" s="31">
        <f t="shared" si="331"/>
        <v>0.68447552502692921</v>
      </c>
      <c r="BD343" s="34">
        <f t="shared" si="332"/>
        <v>0</v>
      </c>
    </row>
    <row r="344" spans="1:56" x14ac:dyDescent="0.2">
      <c r="A344" s="27">
        <f t="shared" si="333"/>
        <v>340</v>
      </c>
      <c r="B344" s="28">
        <f t="shared" si="280"/>
        <v>340</v>
      </c>
      <c r="C344" s="27">
        <f t="shared" si="281"/>
        <v>28</v>
      </c>
      <c r="D344" s="28">
        <f t="shared" si="282"/>
        <v>48</v>
      </c>
      <c r="E344" s="29">
        <f t="shared" si="283"/>
        <v>0</v>
      </c>
      <c r="F344" s="30">
        <f t="shared" si="284"/>
        <v>1.123472648010938E-3</v>
      </c>
      <c r="G344" s="31">
        <f t="shared" si="285"/>
        <v>9.3670963974945565E-5</v>
      </c>
      <c r="H344" s="32">
        <f t="shared" si="286"/>
        <v>0.02</v>
      </c>
      <c r="I344" s="32">
        <f t="shared" si="287"/>
        <v>0</v>
      </c>
      <c r="J344" s="33">
        <f t="shared" si="334"/>
        <v>0</v>
      </c>
      <c r="K344" s="30">
        <f t="shared" si="288"/>
        <v>0</v>
      </c>
      <c r="L344" s="33">
        <f t="shared" si="289"/>
        <v>0</v>
      </c>
      <c r="M344" s="30">
        <f t="shared" si="290"/>
        <v>0</v>
      </c>
      <c r="N344" s="33">
        <f t="shared" si="291"/>
        <v>0</v>
      </c>
      <c r="O344" s="31">
        <f t="shared" si="292"/>
        <v>0</v>
      </c>
      <c r="P344" s="33">
        <f t="shared" si="293"/>
        <v>0</v>
      </c>
      <c r="Q344" s="34">
        <f t="shared" si="335"/>
        <v>661034.6604553588</v>
      </c>
      <c r="R344" s="29">
        <f t="shared" si="294"/>
        <v>0</v>
      </c>
      <c r="S344" s="34">
        <f t="shared" si="295"/>
        <v>661034.6604553588</v>
      </c>
      <c r="T344" s="29">
        <f t="shared" si="296"/>
        <v>550.8622170461324</v>
      </c>
      <c r="U344" s="29">
        <f t="shared" si="297"/>
        <v>0</v>
      </c>
      <c r="V344" s="35">
        <f t="shared" si="298"/>
        <v>1.0303806037244013E-4</v>
      </c>
      <c r="W344" s="34">
        <f t="shared" si="299"/>
        <v>0</v>
      </c>
      <c r="X344" s="34">
        <f t="shared" si="300"/>
        <v>660483.79823831271</v>
      </c>
      <c r="Y344" s="36">
        <f t="shared" si="301"/>
        <v>1.1905370405560722E-2</v>
      </c>
      <c r="Z344" s="34">
        <f t="shared" si="302"/>
        <v>7863.3042648987475</v>
      </c>
      <c r="AA344" s="34">
        <f t="shared" si="303"/>
        <v>664415.45037076203</v>
      </c>
      <c r="AB344" s="34">
        <f t="shared" si="304"/>
        <v>0</v>
      </c>
      <c r="AC344" s="34">
        <f t="shared" si="305"/>
        <v>0</v>
      </c>
      <c r="AD344" s="34">
        <f t="shared" si="306"/>
        <v>0</v>
      </c>
      <c r="AE344" s="34">
        <f t="shared" si="307"/>
        <v>0</v>
      </c>
      <c r="AF344" s="34">
        <f t="shared" si="308"/>
        <v>0</v>
      </c>
      <c r="AG344" s="29">
        <f t="shared" si="309"/>
        <v>664415.45037076203</v>
      </c>
      <c r="AH344" s="34">
        <f t="shared" si="310"/>
        <v>0</v>
      </c>
      <c r="AI344" s="34">
        <f t="shared" si="311"/>
        <v>0</v>
      </c>
      <c r="AJ344" s="34">
        <f t="shared" si="312"/>
        <v>0</v>
      </c>
      <c r="AK344" s="34">
        <f t="shared" si="313"/>
        <v>0</v>
      </c>
      <c r="AL344" s="34">
        <f t="shared" si="314"/>
        <v>0</v>
      </c>
      <c r="AM344" s="34">
        <f t="shared" si="315"/>
        <v>0</v>
      </c>
      <c r="AN344" s="34">
        <f t="shared" si="316"/>
        <v>0</v>
      </c>
      <c r="AO344" s="34">
        <f t="shared" si="317"/>
        <v>0</v>
      </c>
      <c r="AP344" s="34">
        <f t="shared" si="318"/>
        <v>0</v>
      </c>
      <c r="AQ344" s="34">
        <f t="shared" si="319"/>
        <v>0</v>
      </c>
      <c r="AR344" s="34">
        <f t="shared" si="320"/>
        <v>0</v>
      </c>
      <c r="AS344" s="30">
        <f t="shared" si="321"/>
        <v>1.3256806701318884</v>
      </c>
      <c r="AT344" s="29">
        <f t="shared" si="322"/>
        <v>0</v>
      </c>
      <c r="AU344" s="29">
        <f t="shared" si="323"/>
        <v>0</v>
      </c>
      <c r="AV344" s="34">
        <f t="shared" si="324"/>
        <v>0</v>
      </c>
      <c r="AW344" s="34">
        <f t="shared" si="325"/>
        <v>0</v>
      </c>
      <c r="AX344" s="29">
        <f t="shared" si="326"/>
        <v>0</v>
      </c>
      <c r="AY344" s="34">
        <f t="shared" si="327"/>
        <v>0</v>
      </c>
      <c r="AZ344" s="37">
        <f t="shared" si="328"/>
        <v>0</v>
      </c>
      <c r="BA344" s="37">
        <f t="shared" si="329"/>
        <v>0</v>
      </c>
      <c r="BB344" s="35">
        <f t="shared" si="330"/>
        <v>1.1189216645679512E-3</v>
      </c>
      <c r="BC344" s="31">
        <f t="shared" si="331"/>
        <v>0.68371050652888155</v>
      </c>
      <c r="BD344" s="34">
        <f t="shared" si="332"/>
        <v>0</v>
      </c>
    </row>
    <row r="345" spans="1:56" x14ac:dyDescent="0.2">
      <c r="A345" s="27">
        <f t="shared" si="333"/>
        <v>341</v>
      </c>
      <c r="B345" s="28">
        <f t="shared" si="280"/>
        <v>341</v>
      </c>
      <c r="C345" s="27">
        <f t="shared" si="281"/>
        <v>28</v>
      </c>
      <c r="D345" s="28">
        <f t="shared" si="282"/>
        <v>48</v>
      </c>
      <c r="E345" s="29">
        <f t="shared" si="283"/>
        <v>0</v>
      </c>
      <c r="F345" s="30">
        <f t="shared" si="284"/>
        <v>1.123472648010938E-3</v>
      </c>
      <c r="G345" s="31">
        <f t="shared" si="285"/>
        <v>9.3670963974945565E-5</v>
      </c>
      <c r="H345" s="32">
        <f t="shared" si="286"/>
        <v>0.02</v>
      </c>
      <c r="I345" s="32">
        <f t="shared" si="287"/>
        <v>0</v>
      </c>
      <c r="J345" s="33">
        <f t="shared" si="334"/>
        <v>0</v>
      </c>
      <c r="K345" s="30">
        <f t="shared" si="288"/>
        <v>0</v>
      </c>
      <c r="L345" s="33">
        <f t="shared" si="289"/>
        <v>0</v>
      </c>
      <c r="M345" s="30">
        <f t="shared" si="290"/>
        <v>0</v>
      </c>
      <c r="N345" s="33">
        <f t="shared" si="291"/>
        <v>0</v>
      </c>
      <c r="O345" s="31">
        <f t="shared" si="292"/>
        <v>0</v>
      </c>
      <c r="P345" s="33">
        <f t="shared" si="293"/>
        <v>0</v>
      </c>
      <c r="Q345" s="34">
        <f t="shared" si="335"/>
        <v>668347.10250321147</v>
      </c>
      <c r="R345" s="29">
        <f t="shared" si="294"/>
        <v>0</v>
      </c>
      <c r="S345" s="34">
        <f t="shared" si="295"/>
        <v>668347.10250321147</v>
      </c>
      <c r="T345" s="29">
        <f t="shared" si="296"/>
        <v>556.95591875267621</v>
      </c>
      <c r="U345" s="29">
        <f t="shared" si="297"/>
        <v>0</v>
      </c>
      <c r="V345" s="35">
        <f t="shared" si="298"/>
        <v>1.0303806037244013E-4</v>
      </c>
      <c r="W345" s="34">
        <f t="shared" si="299"/>
        <v>0</v>
      </c>
      <c r="X345" s="34">
        <f t="shared" si="300"/>
        <v>667790.14658445877</v>
      </c>
      <c r="Y345" s="36">
        <f t="shared" si="301"/>
        <v>7.6107731575529858E-3</v>
      </c>
      <c r="Z345" s="34">
        <f t="shared" si="302"/>
        <v>5082.3993225033728</v>
      </c>
      <c r="AA345" s="34">
        <f t="shared" si="303"/>
        <v>670331.34624571051</v>
      </c>
      <c r="AB345" s="34">
        <f t="shared" si="304"/>
        <v>0</v>
      </c>
      <c r="AC345" s="34">
        <f t="shared" si="305"/>
        <v>0</v>
      </c>
      <c r="AD345" s="34">
        <f t="shared" si="306"/>
        <v>0</v>
      </c>
      <c r="AE345" s="34">
        <f t="shared" si="307"/>
        <v>0</v>
      </c>
      <c r="AF345" s="34">
        <f t="shared" si="308"/>
        <v>0</v>
      </c>
      <c r="AG345" s="29">
        <f t="shared" si="309"/>
        <v>670331.34624571051</v>
      </c>
      <c r="AH345" s="34">
        <f t="shared" si="310"/>
        <v>0</v>
      </c>
      <c r="AI345" s="34">
        <f t="shared" si="311"/>
        <v>0</v>
      </c>
      <c r="AJ345" s="34">
        <f t="shared" si="312"/>
        <v>0</v>
      </c>
      <c r="AK345" s="34">
        <f t="shared" si="313"/>
        <v>0</v>
      </c>
      <c r="AL345" s="34">
        <f t="shared" si="314"/>
        <v>0</v>
      </c>
      <c r="AM345" s="34">
        <f t="shared" si="315"/>
        <v>0</v>
      </c>
      <c r="AN345" s="34">
        <f t="shared" si="316"/>
        <v>0</v>
      </c>
      <c r="AO345" s="34">
        <f t="shared" si="317"/>
        <v>0</v>
      </c>
      <c r="AP345" s="34">
        <f t="shared" si="318"/>
        <v>0</v>
      </c>
      <c r="AQ345" s="34">
        <f t="shared" si="319"/>
        <v>0</v>
      </c>
      <c r="AR345" s="34">
        <f t="shared" si="320"/>
        <v>0</v>
      </c>
      <c r="AS345" s="30">
        <f t="shared" si="321"/>
        <v>1.3267803727752148</v>
      </c>
      <c r="AT345" s="29">
        <f t="shared" si="322"/>
        <v>0</v>
      </c>
      <c r="AU345" s="29">
        <f t="shared" si="323"/>
        <v>0</v>
      </c>
      <c r="AV345" s="34">
        <f t="shared" si="324"/>
        <v>0</v>
      </c>
      <c r="AW345" s="34">
        <f t="shared" si="325"/>
        <v>0</v>
      </c>
      <c r="AX345" s="29">
        <f t="shared" si="326"/>
        <v>0</v>
      </c>
      <c r="AY345" s="34">
        <f t="shared" si="327"/>
        <v>0</v>
      </c>
      <c r="AZ345" s="37">
        <f t="shared" si="328"/>
        <v>0</v>
      </c>
      <c r="BA345" s="37">
        <f t="shared" si="329"/>
        <v>0</v>
      </c>
      <c r="BB345" s="35">
        <f t="shared" si="330"/>
        <v>1.1189216645679512E-3</v>
      </c>
      <c r="BC345" s="31">
        <f t="shared" si="331"/>
        <v>0.68294634306988311</v>
      </c>
      <c r="BD345" s="34">
        <f t="shared" si="332"/>
        <v>0</v>
      </c>
    </row>
    <row r="346" spans="1:56" x14ac:dyDescent="0.2">
      <c r="A346" s="27">
        <f t="shared" si="333"/>
        <v>342</v>
      </c>
      <c r="B346" s="28">
        <f t="shared" si="280"/>
        <v>342</v>
      </c>
      <c r="C346" s="27">
        <f t="shared" si="281"/>
        <v>28</v>
      </c>
      <c r="D346" s="28">
        <f t="shared" si="282"/>
        <v>48</v>
      </c>
      <c r="E346" s="29">
        <f t="shared" si="283"/>
        <v>0</v>
      </c>
      <c r="F346" s="30">
        <f t="shared" si="284"/>
        <v>1.123472648010938E-3</v>
      </c>
      <c r="G346" s="31">
        <f t="shared" si="285"/>
        <v>9.3670963974945565E-5</v>
      </c>
      <c r="H346" s="32">
        <f t="shared" si="286"/>
        <v>0.02</v>
      </c>
      <c r="I346" s="32">
        <f t="shared" si="287"/>
        <v>0</v>
      </c>
      <c r="J346" s="33">
        <f t="shared" si="334"/>
        <v>0</v>
      </c>
      <c r="K346" s="30">
        <f t="shared" si="288"/>
        <v>0</v>
      </c>
      <c r="L346" s="33">
        <f t="shared" si="289"/>
        <v>0</v>
      </c>
      <c r="M346" s="30">
        <f t="shared" si="290"/>
        <v>0</v>
      </c>
      <c r="N346" s="33">
        <f t="shared" si="291"/>
        <v>0</v>
      </c>
      <c r="O346" s="31">
        <f t="shared" si="292"/>
        <v>0</v>
      </c>
      <c r="P346" s="33">
        <f t="shared" si="293"/>
        <v>0</v>
      </c>
      <c r="Q346" s="34">
        <f t="shared" si="335"/>
        <v>672872.54590696213</v>
      </c>
      <c r="R346" s="29">
        <f t="shared" si="294"/>
        <v>0</v>
      </c>
      <c r="S346" s="34">
        <f t="shared" si="295"/>
        <v>672872.54590696213</v>
      </c>
      <c r="T346" s="29">
        <f t="shared" si="296"/>
        <v>560.72712158913509</v>
      </c>
      <c r="U346" s="29">
        <f t="shared" si="297"/>
        <v>0</v>
      </c>
      <c r="V346" s="35">
        <f t="shared" si="298"/>
        <v>1.0303806037244013E-4</v>
      </c>
      <c r="W346" s="34">
        <f t="shared" si="299"/>
        <v>0</v>
      </c>
      <c r="X346" s="34">
        <f t="shared" si="300"/>
        <v>672311.81878537301</v>
      </c>
      <c r="Y346" s="36">
        <f t="shared" si="301"/>
        <v>5.0712731437163594E-3</v>
      </c>
      <c r="Z346" s="34">
        <f t="shared" si="302"/>
        <v>3409.476870809362</v>
      </c>
      <c r="AA346" s="34">
        <f t="shared" si="303"/>
        <v>674016.55722077773</v>
      </c>
      <c r="AB346" s="34">
        <f t="shared" si="304"/>
        <v>0</v>
      </c>
      <c r="AC346" s="34">
        <f t="shared" si="305"/>
        <v>0</v>
      </c>
      <c r="AD346" s="34">
        <f t="shared" si="306"/>
        <v>0</v>
      </c>
      <c r="AE346" s="34">
        <f t="shared" si="307"/>
        <v>0</v>
      </c>
      <c r="AF346" s="34">
        <f t="shared" si="308"/>
        <v>0</v>
      </c>
      <c r="AG346" s="29">
        <f t="shared" si="309"/>
        <v>674016.55722077773</v>
      </c>
      <c r="AH346" s="34">
        <f t="shared" si="310"/>
        <v>0</v>
      </c>
      <c r="AI346" s="34">
        <f t="shared" si="311"/>
        <v>0</v>
      </c>
      <c r="AJ346" s="34">
        <f t="shared" si="312"/>
        <v>0</v>
      </c>
      <c r="AK346" s="34">
        <f t="shared" si="313"/>
        <v>0</v>
      </c>
      <c r="AL346" s="34">
        <f t="shared" si="314"/>
        <v>0</v>
      </c>
      <c r="AM346" s="34">
        <f t="shared" si="315"/>
        <v>0</v>
      </c>
      <c r="AN346" s="34">
        <f t="shared" si="316"/>
        <v>0</v>
      </c>
      <c r="AO346" s="34">
        <f t="shared" si="317"/>
        <v>0</v>
      </c>
      <c r="AP346" s="34">
        <f t="shared" si="318"/>
        <v>0</v>
      </c>
      <c r="AQ346" s="34">
        <f t="shared" si="319"/>
        <v>0</v>
      </c>
      <c r="AR346" s="34">
        <f t="shared" si="320"/>
        <v>0</v>
      </c>
      <c r="AS346" s="30">
        <f t="shared" si="321"/>
        <v>1.3278809876637983</v>
      </c>
      <c r="AT346" s="29">
        <f t="shared" si="322"/>
        <v>0</v>
      </c>
      <c r="AU346" s="29">
        <f t="shared" si="323"/>
        <v>0</v>
      </c>
      <c r="AV346" s="34">
        <f t="shared" si="324"/>
        <v>0</v>
      </c>
      <c r="AW346" s="34">
        <f t="shared" si="325"/>
        <v>0</v>
      </c>
      <c r="AX346" s="29">
        <f t="shared" si="326"/>
        <v>0</v>
      </c>
      <c r="AY346" s="34">
        <f t="shared" si="327"/>
        <v>0</v>
      </c>
      <c r="AZ346" s="37">
        <f t="shared" si="328"/>
        <v>0</v>
      </c>
      <c r="BA346" s="37">
        <f t="shared" si="329"/>
        <v>0</v>
      </c>
      <c r="BB346" s="35">
        <f t="shared" si="330"/>
        <v>1.1189216645679512E-3</v>
      </c>
      <c r="BC346" s="31">
        <f t="shared" si="331"/>
        <v>0.68218303369428201</v>
      </c>
      <c r="BD346" s="34">
        <f t="shared" si="332"/>
        <v>0</v>
      </c>
    </row>
    <row r="347" spans="1:56" x14ac:dyDescent="0.2">
      <c r="A347" s="27">
        <f t="shared" si="333"/>
        <v>343</v>
      </c>
      <c r="B347" s="28">
        <f t="shared" si="280"/>
        <v>343</v>
      </c>
      <c r="C347" s="27">
        <f t="shared" si="281"/>
        <v>28</v>
      </c>
      <c r="D347" s="28">
        <f t="shared" si="282"/>
        <v>48</v>
      </c>
      <c r="E347" s="29">
        <f t="shared" si="283"/>
        <v>0</v>
      </c>
      <c r="F347" s="30">
        <f t="shared" si="284"/>
        <v>1.123472648010938E-3</v>
      </c>
      <c r="G347" s="31">
        <f t="shared" si="285"/>
        <v>9.3670963974945565E-5</v>
      </c>
      <c r="H347" s="32">
        <f t="shared" si="286"/>
        <v>0.02</v>
      </c>
      <c r="I347" s="32">
        <f t="shared" si="287"/>
        <v>0</v>
      </c>
      <c r="J347" s="33">
        <f t="shared" si="334"/>
        <v>0</v>
      </c>
      <c r="K347" s="30">
        <f t="shared" si="288"/>
        <v>0</v>
      </c>
      <c r="L347" s="33">
        <f t="shared" si="289"/>
        <v>0</v>
      </c>
      <c r="M347" s="30">
        <f t="shared" si="290"/>
        <v>0</v>
      </c>
      <c r="N347" s="33">
        <f t="shared" si="291"/>
        <v>0</v>
      </c>
      <c r="O347" s="31">
        <f t="shared" si="292"/>
        <v>0</v>
      </c>
      <c r="P347" s="33">
        <f t="shared" si="293"/>
        <v>0</v>
      </c>
      <c r="Q347" s="34">
        <f t="shared" si="335"/>
        <v>675721.29565618234</v>
      </c>
      <c r="R347" s="29">
        <f t="shared" si="294"/>
        <v>0</v>
      </c>
      <c r="S347" s="34">
        <f t="shared" si="295"/>
        <v>675721.29565618234</v>
      </c>
      <c r="T347" s="29">
        <f t="shared" si="296"/>
        <v>563.10107971348532</v>
      </c>
      <c r="U347" s="29">
        <f t="shared" si="297"/>
        <v>0</v>
      </c>
      <c r="V347" s="35">
        <f t="shared" si="298"/>
        <v>1.0303806037244013E-4</v>
      </c>
      <c r="W347" s="34">
        <f t="shared" si="299"/>
        <v>0</v>
      </c>
      <c r="X347" s="34">
        <f t="shared" si="300"/>
        <v>675158.1945764689</v>
      </c>
      <c r="Y347" s="36">
        <f t="shared" si="301"/>
        <v>6.3973797038350266E-3</v>
      </c>
      <c r="Z347" s="34">
        <f t="shared" si="302"/>
        <v>4319.2433308614018</v>
      </c>
      <c r="AA347" s="34">
        <f t="shared" si="303"/>
        <v>677317.81624189962</v>
      </c>
      <c r="AB347" s="34">
        <f t="shared" si="304"/>
        <v>0</v>
      </c>
      <c r="AC347" s="34">
        <f t="shared" si="305"/>
        <v>0</v>
      </c>
      <c r="AD347" s="34">
        <f t="shared" si="306"/>
        <v>0</v>
      </c>
      <c r="AE347" s="34">
        <f t="shared" si="307"/>
        <v>0</v>
      </c>
      <c r="AF347" s="34">
        <f t="shared" si="308"/>
        <v>0</v>
      </c>
      <c r="AG347" s="29">
        <f t="shared" si="309"/>
        <v>677317.81624189962</v>
      </c>
      <c r="AH347" s="34">
        <f t="shared" si="310"/>
        <v>0</v>
      </c>
      <c r="AI347" s="34">
        <f t="shared" si="311"/>
        <v>0</v>
      </c>
      <c r="AJ347" s="34">
        <f t="shared" si="312"/>
        <v>0</v>
      </c>
      <c r="AK347" s="34">
        <f t="shared" si="313"/>
        <v>0</v>
      </c>
      <c r="AL347" s="34">
        <f t="shared" si="314"/>
        <v>0</v>
      </c>
      <c r="AM347" s="34">
        <f t="shared" si="315"/>
        <v>0</v>
      </c>
      <c r="AN347" s="34">
        <f t="shared" si="316"/>
        <v>0</v>
      </c>
      <c r="AO347" s="34">
        <f t="shared" si="317"/>
        <v>0</v>
      </c>
      <c r="AP347" s="34">
        <f t="shared" si="318"/>
        <v>0</v>
      </c>
      <c r="AQ347" s="34">
        <f t="shared" si="319"/>
        <v>0</v>
      </c>
      <c r="AR347" s="34">
        <f t="shared" si="320"/>
        <v>0</v>
      </c>
      <c r="AS347" s="30">
        <f t="shared" si="321"/>
        <v>1.3289825155543811</v>
      </c>
      <c r="AT347" s="29">
        <f t="shared" si="322"/>
        <v>0</v>
      </c>
      <c r="AU347" s="29">
        <f t="shared" si="323"/>
        <v>0</v>
      </c>
      <c r="AV347" s="34">
        <f t="shared" si="324"/>
        <v>0</v>
      </c>
      <c r="AW347" s="34">
        <f t="shared" si="325"/>
        <v>0</v>
      </c>
      <c r="AX347" s="29">
        <f t="shared" si="326"/>
        <v>0</v>
      </c>
      <c r="AY347" s="34">
        <f t="shared" si="327"/>
        <v>0</v>
      </c>
      <c r="AZ347" s="37">
        <f t="shared" si="328"/>
        <v>0</v>
      </c>
      <c r="BA347" s="37">
        <f t="shared" si="329"/>
        <v>0</v>
      </c>
      <c r="BB347" s="35">
        <f t="shared" si="330"/>
        <v>1.1189216645679512E-3</v>
      </c>
      <c r="BC347" s="31">
        <f t="shared" si="331"/>
        <v>0.68142057744749351</v>
      </c>
      <c r="BD347" s="34">
        <f t="shared" si="332"/>
        <v>0</v>
      </c>
    </row>
    <row r="348" spans="1:56" x14ac:dyDescent="0.2">
      <c r="A348" s="27">
        <f t="shared" si="333"/>
        <v>344</v>
      </c>
      <c r="B348" s="28">
        <f t="shared" si="280"/>
        <v>344</v>
      </c>
      <c r="C348" s="27">
        <f t="shared" si="281"/>
        <v>28</v>
      </c>
      <c r="D348" s="28">
        <f t="shared" si="282"/>
        <v>48</v>
      </c>
      <c r="E348" s="29">
        <f t="shared" si="283"/>
        <v>0</v>
      </c>
      <c r="F348" s="30">
        <f t="shared" si="284"/>
        <v>1.123472648010938E-3</v>
      </c>
      <c r="G348" s="31">
        <f t="shared" si="285"/>
        <v>9.3670963974945565E-5</v>
      </c>
      <c r="H348" s="32">
        <f t="shared" si="286"/>
        <v>0.02</v>
      </c>
      <c r="I348" s="32">
        <f t="shared" si="287"/>
        <v>0</v>
      </c>
      <c r="J348" s="33">
        <f t="shared" si="334"/>
        <v>0</v>
      </c>
      <c r="K348" s="30">
        <f t="shared" si="288"/>
        <v>0</v>
      </c>
      <c r="L348" s="33">
        <f t="shared" si="289"/>
        <v>0</v>
      </c>
      <c r="M348" s="30">
        <f t="shared" si="290"/>
        <v>0</v>
      </c>
      <c r="N348" s="33">
        <f t="shared" si="291"/>
        <v>0</v>
      </c>
      <c r="O348" s="31">
        <f t="shared" si="292"/>
        <v>0</v>
      </c>
      <c r="P348" s="33">
        <f t="shared" si="293"/>
        <v>0</v>
      </c>
      <c r="Q348" s="34">
        <f t="shared" si="335"/>
        <v>679477.43790733034</v>
      </c>
      <c r="R348" s="29">
        <f t="shared" si="294"/>
        <v>0</v>
      </c>
      <c r="S348" s="34">
        <f t="shared" si="295"/>
        <v>679477.43790733034</v>
      </c>
      <c r="T348" s="29">
        <f t="shared" si="296"/>
        <v>566.23119825610866</v>
      </c>
      <c r="U348" s="29">
        <f t="shared" si="297"/>
        <v>0</v>
      </c>
      <c r="V348" s="35">
        <f t="shared" si="298"/>
        <v>1.0303806037244013E-4</v>
      </c>
      <c r="W348" s="34">
        <f t="shared" si="299"/>
        <v>0</v>
      </c>
      <c r="X348" s="34">
        <f t="shared" si="300"/>
        <v>678911.20670907421</v>
      </c>
      <c r="Y348" s="36">
        <f t="shared" si="301"/>
        <v>6.4986236776976014E-3</v>
      </c>
      <c r="Z348" s="34">
        <f t="shared" si="302"/>
        <v>4411.9884429738404</v>
      </c>
      <c r="AA348" s="34">
        <f t="shared" si="303"/>
        <v>681117.20093056117</v>
      </c>
      <c r="AB348" s="34">
        <f t="shared" si="304"/>
        <v>0</v>
      </c>
      <c r="AC348" s="34">
        <f t="shared" si="305"/>
        <v>0</v>
      </c>
      <c r="AD348" s="34">
        <f t="shared" si="306"/>
        <v>0</v>
      </c>
      <c r="AE348" s="34">
        <f t="shared" si="307"/>
        <v>0</v>
      </c>
      <c r="AF348" s="34">
        <f t="shared" si="308"/>
        <v>0</v>
      </c>
      <c r="AG348" s="29">
        <f t="shared" si="309"/>
        <v>681117.20093056117</v>
      </c>
      <c r="AH348" s="34">
        <f t="shared" si="310"/>
        <v>0</v>
      </c>
      <c r="AI348" s="34">
        <f t="shared" si="311"/>
        <v>0</v>
      </c>
      <c r="AJ348" s="34">
        <f t="shared" si="312"/>
        <v>0</v>
      </c>
      <c r="AK348" s="34">
        <f t="shared" si="313"/>
        <v>0</v>
      </c>
      <c r="AL348" s="34">
        <f t="shared" si="314"/>
        <v>0</v>
      </c>
      <c r="AM348" s="34">
        <f t="shared" si="315"/>
        <v>0</v>
      </c>
      <c r="AN348" s="34">
        <f t="shared" si="316"/>
        <v>0</v>
      </c>
      <c r="AO348" s="34">
        <f t="shared" si="317"/>
        <v>0</v>
      </c>
      <c r="AP348" s="34">
        <f t="shared" si="318"/>
        <v>0</v>
      </c>
      <c r="AQ348" s="34">
        <f t="shared" si="319"/>
        <v>0</v>
      </c>
      <c r="AR348" s="34">
        <f t="shared" si="320"/>
        <v>0</v>
      </c>
      <c r="AS348" s="30">
        <f t="shared" si="321"/>
        <v>1.3300849572043334</v>
      </c>
      <c r="AT348" s="29">
        <f t="shared" si="322"/>
        <v>0</v>
      </c>
      <c r="AU348" s="29">
        <f t="shared" si="323"/>
        <v>0</v>
      </c>
      <c r="AV348" s="34">
        <f t="shared" si="324"/>
        <v>0</v>
      </c>
      <c r="AW348" s="34">
        <f t="shared" si="325"/>
        <v>0</v>
      </c>
      <c r="AX348" s="29">
        <f t="shared" si="326"/>
        <v>0</v>
      </c>
      <c r="AY348" s="34">
        <f t="shared" si="327"/>
        <v>0</v>
      </c>
      <c r="AZ348" s="37">
        <f t="shared" si="328"/>
        <v>0</v>
      </c>
      <c r="BA348" s="37">
        <f t="shared" si="329"/>
        <v>0</v>
      </c>
      <c r="BB348" s="35">
        <f t="shared" si="330"/>
        <v>1.1189216645679512E-3</v>
      </c>
      <c r="BC348" s="31">
        <f t="shared" si="331"/>
        <v>0.68065897337600068</v>
      </c>
      <c r="BD348" s="34">
        <f t="shared" si="332"/>
        <v>0</v>
      </c>
    </row>
    <row r="349" spans="1:56" x14ac:dyDescent="0.2">
      <c r="A349" s="27">
        <f t="shared" si="333"/>
        <v>345</v>
      </c>
      <c r="B349" s="28">
        <f t="shared" si="280"/>
        <v>345</v>
      </c>
      <c r="C349" s="27">
        <f t="shared" si="281"/>
        <v>28</v>
      </c>
      <c r="D349" s="28">
        <f t="shared" si="282"/>
        <v>48</v>
      </c>
      <c r="E349" s="29">
        <f t="shared" si="283"/>
        <v>0</v>
      </c>
      <c r="F349" s="30">
        <f t="shared" si="284"/>
        <v>1.123472648010938E-3</v>
      </c>
      <c r="G349" s="31">
        <f t="shared" si="285"/>
        <v>9.3670963974945565E-5</v>
      </c>
      <c r="H349" s="32">
        <f t="shared" si="286"/>
        <v>0.02</v>
      </c>
      <c r="I349" s="32">
        <f t="shared" si="287"/>
        <v>0</v>
      </c>
      <c r="J349" s="33">
        <f t="shared" si="334"/>
        <v>0</v>
      </c>
      <c r="K349" s="30">
        <f t="shared" si="288"/>
        <v>0</v>
      </c>
      <c r="L349" s="33">
        <f t="shared" si="289"/>
        <v>0</v>
      </c>
      <c r="M349" s="30">
        <f t="shared" si="290"/>
        <v>0</v>
      </c>
      <c r="N349" s="33">
        <f t="shared" si="291"/>
        <v>0</v>
      </c>
      <c r="O349" s="31">
        <f t="shared" si="292"/>
        <v>0</v>
      </c>
      <c r="P349" s="33">
        <f t="shared" si="293"/>
        <v>0</v>
      </c>
      <c r="Q349" s="34">
        <f t="shared" si="335"/>
        <v>683323.19515204802</v>
      </c>
      <c r="R349" s="29">
        <f t="shared" si="294"/>
        <v>0</v>
      </c>
      <c r="S349" s="34">
        <f t="shared" si="295"/>
        <v>683323.19515204802</v>
      </c>
      <c r="T349" s="29">
        <f t="shared" si="296"/>
        <v>569.43599596004003</v>
      </c>
      <c r="U349" s="29">
        <f t="shared" si="297"/>
        <v>0</v>
      </c>
      <c r="V349" s="35">
        <f t="shared" si="298"/>
        <v>1.0303806037244013E-4</v>
      </c>
      <c r="W349" s="34">
        <f t="shared" si="299"/>
        <v>0</v>
      </c>
      <c r="X349" s="34">
        <f t="shared" si="300"/>
        <v>682753.759156088</v>
      </c>
      <c r="Y349" s="36">
        <f t="shared" si="301"/>
        <v>-4.4800379001047608E-3</v>
      </c>
      <c r="Z349" s="34">
        <f t="shared" si="302"/>
        <v>-3058.7627174582722</v>
      </c>
      <c r="AA349" s="34">
        <f t="shared" si="303"/>
        <v>681224.3777973589</v>
      </c>
      <c r="AB349" s="34">
        <f t="shared" si="304"/>
        <v>0</v>
      </c>
      <c r="AC349" s="34">
        <f t="shared" si="305"/>
        <v>0</v>
      </c>
      <c r="AD349" s="34">
        <f t="shared" si="306"/>
        <v>0</v>
      </c>
      <c r="AE349" s="34">
        <f t="shared" si="307"/>
        <v>0</v>
      </c>
      <c r="AF349" s="34">
        <f t="shared" si="308"/>
        <v>0</v>
      </c>
      <c r="AG349" s="29">
        <f t="shared" si="309"/>
        <v>681224.3777973589</v>
      </c>
      <c r="AH349" s="34">
        <f t="shared" si="310"/>
        <v>0</v>
      </c>
      <c r="AI349" s="34">
        <f t="shared" si="311"/>
        <v>0</v>
      </c>
      <c r="AJ349" s="34">
        <f t="shared" si="312"/>
        <v>0</v>
      </c>
      <c r="AK349" s="34">
        <f t="shared" si="313"/>
        <v>0</v>
      </c>
      <c r="AL349" s="34">
        <f t="shared" si="314"/>
        <v>0</v>
      </c>
      <c r="AM349" s="34">
        <f t="shared" si="315"/>
        <v>0</v>
      </c>
      <c r="AN349" s="34">
        <f t="shared" si="316"/>
        <v>0</v>
      </c>
      <c r="AO349" s="34">
        <f t="shared" si="317"/>
        <v>0</v>
      </c>
      <c r="AP349" s="34">
        <f t="shared" si="318"/>
        <v>0</v>
      </c>
      <c r="AQ349" s="34">
        <f t="shared" si="319"/>
        <v>0</v>
      </c>
      <c r="AR349" s="34">
        <f t="shared" si="320"/>
        <v>0</v>
      </c>
      <c r="AS349" s="30">
        <f t="shared" si="321"/>
        <v>1.3311883133716529</v>
      </c>
      <c r="AT349" s="29">
        <f t="shared" si="322"/>
        <v>0</v>
      </c>
      <c r="AU349" s="29">
        <f t="shared" si="323"/>
        <v>0</v>
      </c>
      <c r="AV349" s="34">
        <f t="shared" si="324"/>
        <v>0</v>
      </c>
      <c r="AW349" s="34">
        <f t="shared" si="325"/>
        <v>0</v>
      </c>
      <c r="AX349" s="29">
        <f t="shared" si="326"/>
        <v>0</v>
      </c>
      <c r="AY349" s="34">
        <f t="shared" si="327"/>
        <v>0</v>
      </c>
      <c r="AZ349" s="37">
        <f t="shared" si="328"/>
        <v>0</v>
      </c>
      <c r="BA349" s="37">
        <f t="shared" si="329"/>
        <v>0</v>
      </c>
      <c r="BB349" s="35">
        <f t="shared" si="330"/>
        <v>1.1189216645679512E-3</v>
      </c>
      <c r="BC349" s="31">
        <f t="shared" si="331"/>
        <v>0.67989822052735138</v>
      </c>
      <c r="BD349" s="34">
        <f t="shared" si="332"/>
        <v>0</v>
      </c>
    </row>
    <row r="350" spans="1:56" x14ac:dyDescent="0.2">
      <c r="A350" s="27">
        <f t="shared" si="333"/>
        <v>346</v>
      </c>
      <c r="B350" s="28">
        <f t="shared" si="280"/>
        <v>346</v>
      </c>
      <c r="C350" s="27">
        <f t="shared" si="281"/>
        <v>28</v>
      </c>
      <c r="D350" s="28">
        <f t="shared" si="282"/>
        <v>48</v>
      </c>
      <c r="E350" s="29">
        <f t="shared" si="283"/>
        <v>0</v>
      </c>
      <c r="F350" s="30">
        <f t="shared" si="284"/>
        <v>1.123472648010938E-3</v>
      </c>
      <c r="G350" s="31">
        <f t="shared" si="285"/>
        <v>9.3670963974945565E-5</v>
      </c>
      <c r="H350" s="32">
        <f t="shared" si="286"/>
        <v>0.02</v>
      </c>
      <c r="I350" s="32">
        <f t="shared" si="287"/>
        <v>0</v>
      </c>
      <c r="J350" s="33">
        <f t="shared" si="334"/>
        <v>0</v>
      </c>
      <c r="K350" s="30">
        <f t="shared" si="288"/>
        <v>0</v>
      </c>
      <c r="L350" s="33">
        <f t="shared" si="289"/>
        <v>0</v>
      </c>
      <c r="M350" s="30">
        <f t="shared" si="290"/>
        <v>0</v>
      </c>
      <c r="N350" s="33">
        <f t="shared" si="291"/>
        <v>0</v>
      </c>
      <c r="O350" s="31">
        <f t="shared" si="292"/>
        <v>0</v>
      </c>
      <c r="P350" s="33">
        <f t="shared" si="293"/>
        <v>0</v>
      </c>
      <c r="Q350" s="34">
        <f t="shared" si="335"/>
        <v>679694.99643862969</v>
      </c>
      <c r="R350" s="29">
        <f t="shared" si="294"/>
        <v>0</v>
      </c>
      <c r="S350" s="34">
        <f t="shared" si="295"/>
        <v>679694.99643862969</v>
      </c>
      <c r="T350" s="29">
        <f t="shared" si="296"/>
        <v>566.41249703219148</v>
      </c>
      <c r="U350" s="29">
        <f t="shared" si="297"/>
        <v>0</v>
      </c>
      <c r="V350" s="35">
        <f t="shared" si="298"/>
        <v>1.0303806037244013E-4</v>
      </c>
      <c r="W350" s="34">
        <f t="shared" si="299"/>
        <v>0</v>
      </c>
      <c r="X350" s="34">
        <f t="shared" si="300"/>
        <v>679128.58394159749</v>
      </c>
      <c r="Y350" s="36">
        <f t="shared" si="301"/>
        <v>-5.6989171792171112E-3</v>
      </c>
      <c r="Z350" s="34">
        <f t="shared" si="302"/>
        <v>-3870.2975539221598</v>
      </c>
      <c r="AA350" s="34">
        <f t="shared" si="303"/>
        <v>677193.43516463647</v>
      </c>
      <c r="AB350" s="34">
        <f t="shared" si="304"/>
        <v>0</v>
      </c>
      <c r="AC350" s="34">
        <f t="shared" si="305"/>
        <v>0</v>
      </c>
      <c r="AD350" s="34">
        <f t="shared" si="306"/>
        <v>0</v>
      </c>
      <c r="AE350" s="34">
        <f t="shared" si="307"/>
        <v>0</v>
      </c>
      <c r="AF350" s="34">
        <f t="shared" si="308"/>
        <v>0</v>
      </c>
      <c r="AG350" s="29">
        <f t="shared" si="309"/>
        <v>677193.43516463647</v>
      </c>
      <c r="AH350" s="34">
        <f t="shared" si="310"/>
        <v>0</v>
      </c>
      <c r="AI350" s="34">
        <f t="shared" si="311"/>
        <v>0</v>
      </c>
      <c r="AJ350" s="34">
        <f t="shared" si="312"/>
        <v>0</v>
      </c>
      <c r="AK350" s="34">
        <f t="shared" si="313"/>
        <v>0</v>
      </c>
      <c r="AL350" s="34">
        <f t="shared" si="314"/>
        <v>0</v>
      </c>
      <c r="AM350" s="34">
        <f t="shared" si="315"/>
        <v>0</v>
      </c>
      <c r="AN350" s="34">
        <f t="shared" si="316"/>
        <v>0</v>
      </c>
      <c r="AO350" s="34">
        <f t="shared" si="317"/>
        <v>0</v>
      </c>
      <c r="AP350" s="34">
        <f t="shared" si="318"/>
        <v>0</v>
      </c>
      <c r="AQ350" s="34">
        <f t="shared" si="319"/>
        <v>0</v>
      </c>
      <c r="AR350" s="34">
        <f t="shared" si="320"/>
        <v>0</v>
      </c>
      <c r="AS350" s="30">
        <f t="shared" si="321"/>
        <v>1.3322925848149669</v>
      </c>
      <c r="AT350" s="29">
        <f t="shared" si="322"/>
        <v>0</v>
      </c>
      <c r="AU350" s="29">
        <f t="shared" si="323"/>
        <v>0</v>
      </c>
      <c r="AV350" s="34">
        <f t="shared" si="324"/>
        <v>0</v>
      </c>
      <c r="AW350" s="34">
        <f t="shared" si="325"/>
        <v>0</v>
      </c>
      <c r="AX350" s="29">
        <f t="shared" si="326"/>
        <v>0</v>
      </c>
      <c r="AY350" s="34">
        <f t="shared" si="327"/>
        <v>0</v>
      </c>
      <c r="AZ350" s="37">
        <f t="shared" si="328"/>
        <v>0</v>
      </c>
      <c r="BA350" s="37">
        <f t="shared" si="329"/>
        <v>0</v>
      </c>
      <c r="BB350" s="35">
        <f t="shared" si="330"/>
        <v>1.1189216645679512E-3</v>
      </c>
      <c r="BC350" s="31">
        <f t="shared" si="331"/>
        <v>0.67913831795015889</v>
      </c>
      <c r="BD350" s="34">
        <f t="shared" si="332"/>
        <v>0</v>
      </c>
    </row>
    <row r="351" spans="1:56" x14ac:dyDescent="0.2">
      <c r="A351" s="27">
        <f t="shared" si="333"/>
        <v>347</v>
      </c>
      <c r="B351" s="28">
        <f t="shared" si="280"/>
        <v>347</v>
      </c>
      <c r="C351" s="27">
        <f t="shared" si="281"/>
        <v>28</v>
      </c>
      <c r="D351" s="28">
        <f t="shared" si="282"/>
        <v>48</v>
      </c>
      <c r="E351" s="29">
        <f t="shared" si="283"/>
        <v>0</v>
      </c>
      <c r="F351" s="30">
        <f t="shared" si="284"/>
        <v>1.123472648010938E-3</v>
      </c>
      <c r="G351" s="31">
        <f t="shared" si="285"/>
        <v>9.3670963974945565E-5</v>
      </c>
      <c r="H351" s="32">
        <f t="shared" si="286"/>
        <v>0.02</v>
      </c>
      <c r="I351" s="32">
        <f t="shared" si="287"/>
        <v>0</v>
      </c>
      <c r="J351" s="33">
        <f t="shared" si="334"/>
        <v>0</v>
      </c>
      <c r="K351" s="30">
        <f t="shared" si="288"/>
        <v>0</v>
      </c>
      <c r="L351" s="33">
        <f t="shared" si="289"/>
        <v>0</v>
      </c>
      <c r="M351" s="30">
        <f t="shared" si="290"/>
        <v>0</v>
      </c>
      <c r="N351" s="33">
        <f t="shared" si="291"/>
        <v>0</v>
      </c>
      <c r="O351" s="31">
        <f t="shared" si="292"/>
        <v>0</v>
      </c>
      <c r="P351" s="33">
        <f t="shared" si="293"/>
        <v>0</v>
      </c>
      <c r="Q351" s="34">
        <f t="shared" si="335"/>
        <v>675258.28638767533</v>
      </c>
      <c r="R351" s="29">
        <f t="shared" si="294"/>
        <v>0</v>
      </c>
      <c r="S351" s="34">
        <f t="shared" si="295"/>
        <v>675258.28638767533</v>
      </c>
      <c r="T351" s="29">
        <f t="shared" si="296"/>
        <v>562.7152386563962</v>
      </c>
      <c r="U351" s="29">
        <f t="shared" si="297"/>
        <v>0</v>
      </c>
      <c r="V351" s="35">
        <f t="shared" si="298"/>
        <v>1.0303806037244013E-4</v>
      </c>
      <c r="W351" s="34">
        <f t="shared" si="299"/>
        <v>0</v>
      </c>
      <c r="X351" s="34">
        <f t="shared" si="300"/>
        <v>674695.57114901894</v>
      </c>
      <c r="Y351" s="36">
        <f t="shared" si="301"/>
        <v>-3.6867568580053467E-3</v>
      </c>
      <c r="Z351" s="34">
        <f t="shared" si="302"/>
        <v>-2487.4385239994799</v>
      </c>
      <c r="AA351" s="34">
        <f t="shared" si="303"/>
        <v>673451.85188701923</v>
      </c>
      <c r="AB351" s="34">
        <f t="shared" si="304"/>
        <v>0</v>
      </c>
      <c r="AC351" s="34">
        <f t="shared" si="305"/>
        <v>0</v>
      </c>
      <c r="AD351" s="34">
        <f t="shared" si="306"/>
        <v>0</v>
      </c>
      <c r="AE351" s="34">
        <f t="shared" si="307"/>
        <v>0</v>
      </c>
      <c r="AF351" s="34">
        <f t="shared" si="308"/>
        <v>0</v>
      </c>
      <c r="AG351" s="29">
        <f t="shared" si="309"/>
        <v>673451.85188701923</v>
      </c>
      <c r="AH351" s="34">
        <f t="shared" si="310"/>
        <v>0</v>
      </c>
      <c r="AI351" s="34">
        <f t="shared" si="311"/>
        <v>0</v>
      </c>
      <c r="AJ351" s="34">
        <f t="shared" si="312"/>
        <v>0</v>
      </c>
      <c r="AK351" s="34">
        <f t="shared" si="313"/>
        <v>0</v>
      </c>
      <c r="AL351" s="34">
        <f t="shared" si="314"/>
        <v>0</v>
      </c>
      <c r="AM351" s="34">
        <f t="shared" si="315"/>
        <v>0</v>
      </c>
      <c r="AN351" s="34">
        <f t="shared" si="316"/>
        <v>0</v>
      </c>
      <c r="AO351" s="34">
        <f t="shared" si="317"/>
        <v>0</v>
      </c>
      <c r="AP351" s="34">
        <f t="shared" si="318"/>
        <v>0</v>
      </c>
      <c r="AQ351" s="34">
        <f t="shared" si="319"/>
        <v>0</v>
      </c>
      <c r="AR351" s="34">
        <f t="shared" si="320"/>
        <v>0</v>
      </c>
      <c r="AS351" s="30">
        <f t="shared" si="321"/>
        <v>1.333397772293532</v>
      </c>
      <c r="AT351" s="29">
        <f t="shared" si="322"/>
        <v>0</v>
      </c>
      <c r="AU351" s="29">
        <f t="shared" si="323"/>
        <v>0</v>
      </c>
      <c r="AV351" s="34">
        <f t="shared" si="324"/>
        <v>0</v>
      </c>
      <c r="AW351" s="34">
        <f t="shared" si="325"/>
        <v>0</v>
      </c>
      <c r="AX351" s="29">
        <f t="shared" si="326"/>
        <v>0</v>
      </c>
      <c r="AY351" s="34">
        <f t="shared" si="327"/>
        <v>0</v>
      </c>
      <c r="AZ351" s="37">
        <f t="shared" si="328"/>
        <v>0</v>
      </c>
      <c r="BA351" s="37">
        <f t="shared" si="329"/>
        <v>0</v>
      </c>
      <c r="BB351" s="35">
        <f t="shared" si="330"/>
        <v>1.1189216645679512E-3</v>
      </c>
      <c r="BC351" s="31">
        <f t="shared" si="331"/>
        <v>0.67837926469409882</v>
      </c>
      <c r="BD351" s="34">
        <f t="shared" si="332"/>
        <v>0</v>
      </c>
    </row>
    <row r="352" spans="1:56" x14ac:dyDescent="0.2">
      <c r="A352" s="27">
        <f t="shared" si="333"/>
        <v>348</v>
      </c>
      <c r="B352" s="28">
        <f t="shared" si="280"/>
        <v>348</v>
      </c>
      <c r="C352" s="27">
        <f t="shared" si="281"/>
        <v>29</v>
      </c>
      <c r="D352" s="28">
        <f t="shared" si="282"/>
        <v>49</v>
      </c>
      <c r="E352" s="29">
        <f t="shared" si="283"/>
        <v>0</v>
      </c>
      <c r="F352" s="30">
        <f t="shared" si="284"/>
        <v>1.1905332522467061E-3</v>
      </c>
      <c r="G352" s="31">
        <f t="shared" si="285"/>
        <v>9.9265281203964051E-5</v>
      </c>
      <c r="H352" s="32">
        <f t="shared" si="286"/>
        <v>0.02</v>
      </c>
      <c r="I352" s="32">
        <f t="shared" si="287"/>
        <v>0</v>
      </c>
      <c r="J352" s="33">
        <f t="shared" si="334"/>
        <v>0</v>
      </c>
      <c r="K352" s="30">
        <f t="shared" si="288"/>
        <v>0</v>
      </c>
      <c r="L352" s="33">
        <f t="shared" si="289"/>
        <v>0</v>
      </c>
      <c r="M352" s="30">
        <f t="shared" si="290"/>
        <v>0</v>
      </c>
      <c r="N352" s="33">
        <f t="shared" si="291"/>
        <v>0</v>
      </c>
      <c r="O352" s="31">
        <f t="shared" si="292"/>
        <v>0</v>
      </c>
      <c r="P352" s="33">
        <f t="shared" si="293"/>
        <v>0</v>
      </c>
      <c r="Q352" s="34">
        <f t="shared" si="335"/>
        <v>672208.13262501941</v>
      </c>
      <c r="R352" s="29">
        <f t="shared" si="294"/>
        <v>0</v>
      </c>
      <c r="S352" s="34">
        <f t="shared" si="295"/>
        <v>672208.13262501941</v>
      </c>
      <c r="T352" s="29">
        <f t="shared" si="296"/>
        <v>560.17344385418289</v>
      </c>
      <c r="U352" s="29">
        <f t="shared" si="297"/>
        <v>0</v>
      </c>
      <c r="V352" s="35">
        <f t="shared" si="298"/>
        <v>1.0919180932436046E-4</v>
      </c>
      <c r="W352" s="34">
        <f t="shared" si="299"/>
        <v>0</v>
      </c>
      <c r="X352" s="34">
        <f t="shared" si="300"/>
        <v>671647.95918116521</v>
      </c>
      <c r="Y352" s="36">
        <f t="shared" si="301"/>
        <v>-3.0743656145797438E-3</v>
      </c>
      <c r="Z352" s="34">
        <f t="shared" si="302"/>
        <v>-2064.8913908092336</v>
      </c>
      <c r="AA352" s="34">
        <f t="shared" si="303"/>
        <v>670615.51348576054</v>
      </c>
      <c r="AB352" s="34">
        <f t="shared" si="304"/>
        <v>0</v>
      </c>
      <c r="AC352" s="34">
        <f t="shared" si="305"/>
        <v>0</v>
      </c>
      <c r="AD352" s="34">
        <f t="shared" si="306"/>
        <v>0</v>
      </c>
      <c r="AE352" s="34">
        <f t="shared" si="307"/>
        <v>0</v>
      </c>
      <c r="AF352" s="34">
        <f t="shared" si="308"/>
        <v>0</v>
      </c>
      <c r="AG352" s="29">
        <f t="shared" si="309"/>
        <v>670615.51348576054</v>
      </c>
      <c r="AH352" s="34">
        <f t="shared" si="310"/>
        <v>0</v>
      </c>
      <c r="AI352" s="34">
        <f t="shared" si="311"/>
        <v>0</v>
      </c>
      <c r="AJ352" s="34">
        <f t="shared" si="312"/>
        <v>0</v>
      </c>
      <c r="AK352" s="34">
        <f t="shared" si="313"/>
        <v>0</v>
      </c>
      <c r="AL352" s="34">
        <f t="shared" si="314"/>
        <v>0</v>
      </c>
      <c r="AM352" s="34">
        <f t="shared" si="315"/>
        <v>0</v>
      </c>
      <c r="AN352" s="34">
        <f t="shared" si="316"/>
        <v>0</v>
      </c>
      <c r="AO352" s="34">
        <f t="shared" si="317"/>
        <v>0</v>
      </c>
      <c r="AP352" s="34">
        <f t="shared" si="318"/>
        <v>0</v>
      </c>
      <c r="AQ352" s="34">
        <f t="shared" si="319"/>
        <v>0</v>
      </c>
      <c r="AR352" s="34">
        <f t="shared" si="320"/>
        <v>0</v>
      </c>
      <c r="AS352" s="30">
        <f t="shared" si="321"/>
        <v>1.3345038765672337</v>
      </c>
      <c r="AT352" s="29">
        <f t="shared" si="322"/>
        <v>0</v>
      </c>
      <c r="AU352" s="29">
        <f t="shared" si="323"/>
        <v>0</v>
      </c>
      <c r="AV352" s="34">
        <f t="shared" si="324"/>
        <v>0</v>
      </c>
      <c r="AW352" s="34">
        <f t="shared" si="325"/>
        <v>0</v>
      </c>
      <c r="AX352" s="29">
        <f t="shared" si="326"/>
        <v>0</v>
      </c>
      <c r="AY352" s="34">
        <f t="shared" si="327"/>
        <v>0</v>
      </c>
      <c r="AZ352" s="37">
        <f t="shared" si="328"/>
        <v>0</v>
      </c>
      <c r="BA352" s="37">
        <f t="shared" si="329"/>
        <v>0</v>
      </c>
      <c r="BB352" s="35">
        <f t="shared" si="330"/>
        <v>1.1148058461134536E-3</v>
      </c>
      <c r="BC352" s="31">
        <f t="shared" si="331"/>
        <v>0.67859123079727213</v>
      </c>
      <c r="BD352" s="34">
        <f t="shared" si="332"/>
        <v>0</v>
      </c>
    </row>
    <row r="353" spans="1:56" x14ac:dyDescent="0.2">
      <c r="A353" s="27">
        <f t="shared" si="333"/>
        <v>349</v>
      </c>
      <c r="B353" s="28">
        <f t="shared" si="280"/>
        <v>349</v>
      </c>
      <c r="C353" s="27">
        <f t="shared" si="281"/>
        <v>29</v>
      </c>
      <c r="D353" s="28">
        <f t="shared" si="282"/>
        <v>49</v>
      </c>
      <c r="E353" s="29">
        <f t="shared" si="283"/>
        <v>0</v>
      </c>
      <c r="F353" s="30">
        <f t="shared" si="284"/>
        <v>1.1905332522467061E-3</v>
      </c>
      <c r="G353" s="31">
        <f t="shared" si="285"/>
        <v>9.9265281203964051E-5</v>
      </c>
      <c r="H353" s="32">
        <f t="shared" si="286"/>
        <v>0.02</v>
      </c>
      <c r="I353" s="32">
        <f t="shared" si="287"/>
        <v>0</v>
      </c>
      <c r="J353" s="33">
        <f t="shared" si="334"/>
        <v>0</v>
      </c>
      <c r="K353" s="30">
        <f t="shared" si="288"/>
        <v>0</v>
      </c>
      <c r="L353" s="33">
        <f t="shared" si="289"/>
        <v>0</v>
      </c>
      <c r="M353" s="30">
        <f t="shared" si="290"/>
        <v>0</v>
      </c>
      <c r="N353" s="33">
        <f t="shared" si="291"/>
        <v>0</v>
      </c>
      <c r="O353" s="31">
        <f t="shared" si="292"/>
        <v>0</v>
      </c>
      <c r="P353" s="33">
        <f t="shared" si="293"/>
        <v>0</v>
      </c>
      <c r="Q353" s="34">
        <f t="shared" si="335"/>
        <v>669583.067790356</v>
      </c>
      <c r="R353" s="29">
        <f t="shared" si="294"/>
        <v>0</v>
      </c>
      <c r="S353" s="34">
        <f t="shared" si="295"/>
        <v>669583.067790356</v>
      </c>
      <c r="T353" s="29">
        <f t="shared" si="296"/>
        <v>557.98588982529668</v>
      </c>
      <c r="U353" s="29">
        <f t="shared" si="297"/>
        <v>0</v>
      </c>
      <c r="V353" s="35">
        <f t="shared" si="298"/>
        <v>1.0919180932436046E-4</v>
      </c>
      <c r="W353" s="34">
        <f t="shared" si="299"/>
        <v>0</v>
      </c>
      <c r="X353" s="34">
        <f t="shared" si="300"/>
        <v>669025.08190053073</v>
      </c>
      <c r="Y353" s="36">
        <f t="shared" si="301"/>
        <v>-7.8283221119358481E-3</v>
      </c>
      <c r="Z353" s="34">
        <f t="shared" si="302"/>
        <v>-5237.3438420816165</v>
      </c>
      <c r="AA353" s="34">
        <f t="shared" si="303"/>
        <v>666406.40997948986</v>
      </c>
      <c r="AB353" s="34">
        <f t="shared" si="304"/>
        <v>0</v>
      </c>
      <c r="AC353" s="34">
        <f t="shared" si="305"/>
        <v>0</v>
      </c>
      <c r="AD353" s="34">
        <f t="shared" si="306"/>
        <v>0</v>
      </c>
      <c r="AE353" s="34">
        <f t="shared" si="307"/>
        <v>0</v>
      </c>
      <c r="AF353" s="34">
        <f t="shared" si="308"/>
        <v>0</v>
      </c>
      <c r="AG353" s="29">
        <f t="shared" si="309"/>
        <v>666406.40997948986</v>
      </c>
      <c r="AH353" s="34">
        <f t="shared" si="310"/>
        <v>0</v>
      </c>
      <c r="AI353" s="34">
        <f t="shared" si="311"/>
        <v>0</v>
      </c>
      <c r="AJ353" s="34">
        <f t="shared" si="312"/>
        <v>0</v>
      </c>
      <c r="AK353" s="34">
        <f t="shared" si="313"/>
        <v>0</v>
      </c>
      <c r="AL353" s="34">
        <f t="shared" si="314"/>
        <v>0</v>
      </c>
      <c r="AM353" s="34">
        <f t="shared" si="315"/>
        <v>0</v>
      </c>
      <c r="AN353" s="34">
        <f t="shared" si="316"/>
        <v>0</v>
      </c>
      <c r="AO353" s="34">
        <f t="shared" si="317"/>
        <v>0</v>
      </c>
      <c r="AP353" s="34">
        <f t="shared" si="318"/>
        <v>0</v>
      </c>
      <c r="AQ353" s="34">
        <f t="shared" si="319"/>
        <v>0</v>
      </c>
      <c r="AR353" s="34">
        <f t="shared" si="320"/>
        <v>0</v>
      </c>
      <c r="AS353" s="30">
        <f t="shared" si="321"/>
        <v>1.3356108983965889</v>
      </c>
      <c r="AT353" s="29">
        <f t="shared" si="322"/>
        <v>0</v>
      </c>
      <c r="AU353" s="29">
        <f t="shared" si="323"/>
        <v>0</v>
      </c>
      <c r="AV353" s="34">
        <f t="shared" si="324"/>
        <v>0</v>
      </c>
      <c r="AW353" s="34">
        <f t="shared" si="325"/>
        <v>0</v>
      </c>
      <c r="AX353" s="29">
        <f t="shared" si="326"/>
        <v>0</v>
      </c>
      <c r="AY353" s="34">
        <f t="shared" si="327"/>
        <v>0</v>
      </c>
      <c r="AZ353" s="37">
        <f t="shared" si="328"/>
        <v>0</v>
      </c>
      <c r="BA353" s="37">
        <f t="shared" si="329"/>
        <v>0</v>
      </c>
      <c r="BB353" s="35">
        <f t="shared" si="330"/>
        <v>1.1148058461134536E-3</v>
      </c>
      <c r="BC353" s="31">
        <f t="shared" si="331"/>
        <v>0.67783557573473918</v>
      </c>
      <c r="BD353" s="34">
        <f t="shared" si="332"/>
        <v>0</v>
      </c>
    </row>
    <row r="354" spans="1:56" x14ac:dyDescent="0.2">
      <c r="A354" s="27">
        <f t="shared" si="333"/>
        <v>350</v>
      </c>
      <c r="B354" s="28">
        <f t="shared" si="280"/>
        <v>350</v>
      </c>
      <c r="C354" s="27">
        <f t="shared" si="281"/>
        <v>29</v>
      </c>
      <c r="D354" s="28">
        <f t="shared" si="282"/>
        <v>49</v>
      </c>
      <c r="E354" s="29">
        <f t="shared" si="283"/>
        <v>0</v>
      </c>
      <c r="F354" s="30">
        <f t="shared" si="284"/>
        <v>1.1905332522467061E-3</v>
      </c>
      <c r="G354" s="31">
        <f t="shared" si="285"/>
        <v>9.9265281203964051E-5</v>
      </c>
      <c r="H354" s="32">
        <f t="shared" si="286"/>
        <v>0.02</v>
      </c>
      <c r="I354" s="32">
        <f t="shared" si="287"/>
        <v>0</v>
      </c>
      <c r="J354" s="33">
        <f t="shared" si="334"/>
        <v>0</v>
      </c>
      <c r="K354" s="30">
        <f t="shared" si="288"/>
        <v>0</v>
      </c>
      <c r="L354" s="33">
        <f t="shared" si="289"/>
        <v>0</v>
      </c>
      <c r="M354" s="30">
        <f t="shared" si="290"/>
        <v>0</v>
      </c>
      <c r="N354" s="33">
        <f t="shared" si="291"/>
        <v>0</v>
      </c>
      <c r="O354" s="31">
        <f t="shared" si="292"/>
        <v>0</v>
      </c>
      <c r="P354" s="33">
        <f t="shared" si="293"/>
        <v>0</v>
      </c>
      <c r="Q354" s="34">
        <f t="shared" si="335"/>
        <v>663787.73805844912</v>
      </c>
      <c r="R354" s="29">
        <f t="shared" si="294"/>
        <v>0</v>
      </c>
      <c r="S354" s="34">
        <f t="shared" si="295"/>
        <v>663787.73805844912</v>
      </c>
      <c r="T354" s="29">
        <f t="shared" si="296"/>
        <v>553.15644838204094</v>
      </c>
      <c r="U354" s="29">
        <f t="shared" si="297"/>
        <v>0</v>
      </c>
      <c r="V354" s="35">
        <f t="shared" si="298"/>
        <v>1.0919180932436046E-4</v>
      </c>
      <c r="W354" s="34">
        <f t="shared" si="299"/>
        <v>0</v>
      </c>
      <c r="X354" s="34">
        <f t="shared" si="300"/>
        <v>663234.58161006705</v>
      </c>
      <c r="Y354" s="36">
        <f t="shared" si="301"/>
        <v>-1.37209884614099E-2</v>
      </c>
      <c r="Z354" s="34">
        <f t="shared" si="302"/>
        <v>-9100.2340414797527</v>
      </c>
      <c r="AA354" s="34">
        <f t="shared" si="303"/>
        <v>658684.46458932722</v>
      </c>
      <c r="AB354" s="34">
        <f t="shared" si="304"/>
        <v>0</v>
      </c>
      <c r="AC354" s="34">
        <f t="shared" si="305"/>
        <v>0</v>
      </c>
      <c r="AD354" s="34">
        <f t="shared" si="306"/>
        <v>0</v>
      </c>
      <c r="AE354" s="34">
        <f t="shared" si="307"/>
        <v>0</v>
      </c>
      <c r="AF354" s="34">
        <f t="shared" si="308"/>
        <v>0</v>
      </c>
      <c r="AG354" s="29">
        <f t="shared" si="309"/>
        <v>658684.46458932722</v>
      </c>
      <c r="AH354" s="34">
        <f t="shared" si="310"/>
        <v>0</v>
      </c>
      <c r="AI354" s="34">
        <f t="shared" si="311"/>
        <v>0</v>
      </c>
      <c r="AJ354" s="34">
        <f t="shared" si="312"/>
        <v>0</v>
      </c>
      <c r="AK354" s="34">
        <f t="shared" si="313"/>
        <v>0</v>
      </c>
      <c r="AL354" s="34">
        <f t="shared" si="314"/>
        <v>0</v>
      </c>
      <c r="AM354" s="34">
        <f t="shared" si="315"/>
        <v>0</v>
      </c>
      <c r="AN354" s="34">
        <f t="shared" si="316"/>
        <v>0</v>
      </c>
      <c r="AO354" s="34">
        <f t="shared" si="317"/>
        <v>0</v>
      </c>
      <c r="AP354" s="34">
        <f t="shared" si="318"/>
        <v>0</v>
      </c>
      <c r="AQ354" s="34">
        <f t="shared" si="319"/>
        <v>0</v>
      </c>
      <c r="AR354" s="34">
        <f t="shared" si="320"/>
        <v>0</v>
      </c>
      <c r="AS354" s="30">
        <f t="shared" si="321"/>
        <v>1.3367188385427453</v>
      </c>
      <c r="AT354" s="29">
        <f t="shared" si="322"/>
        <v>0</v>
      </c>
      <c r="AU354" s="29">
        <f t="shared" si="323"/>
        <v>0</v>
      </c>
      <c r="AV354" s="34">
        <f t="shared" si="324"/>
        <v>0</v>
      </c>
      <c r="AW354" s="34">
        <f t="shared" si="325"/>
        <v>0</v>
      </c>
      <c r="AX354" s="29">
        <f t="shared" si="326"/>
        <v>0</v>
      </c>
      <c r="AY354" s="34">
        <f t="shared" si="327"/>
        <v>0</v>
      </c>
      <c r="AZ354" s="37">
        <f t="shared" si="328"/>
        <v>0</v>
      </c>
      <c r="BA354" s="37">
        <f t="shared" si="329"/>
        <v>0</v>
      </c>
      <c r="BB354" s="35">
        <f t="shared" si="330"/>
        <v>1.1148058461134536E-3</v>
      </c>
      <c r="BC354" s="31">
        <f t="shared" si="331"/>
        <v>0.67708076214281154</v>
      </c>
      <c r="BD354" s="34">
        <f t="shared" si="332"/>
        <v>0</v>
      </c>
    </row>
    <row r="355" spans="1:56" x14ac:dyDescent="0.2">
      <c r="A355" s="27">
        <f t="shared" si="333"/>
        <v>351</v>
      </c>
      <c r="B355" s="28">
        <f t="shared" si="280"/>
        <v>351</v>
      </c>
      <c r="C355" s="27">
        <f t="shared" si="281"/>
        <v>29</v>
      </c>
      <c r="D355" s="28">
        <f t="shared" si="282"/>
        <v>49</v>
      </c>
      <c r="E355" s="29">
        <f t="shared" si="283"/>
        <v>0</v>
      </c>
      <c r="F355" s="30">
        <f t="shared" si="284"/>
        <v>1.1905332522467061E-3</v>
      </c>
      <c r="G355" s="31">
        <f t="shared" si="285"/>
        <v>9.9265281203964051E-5</v>
      </c>
      <c r="H355" s="32">
        <f t="shared" si="286"/>
        <v>0.02</v>
      </c>
      <c r="I355" s="32">
        <f t="shared" si="287"/>
        <v>0</v>
      </c>
      <c r="J355" s="33">
        <f t="shared" si="334"/>
        <v>0</v>
      </c>
      <c r="K355" s="30">
        <f t="shared" si="288"/>
        <v>0</v>
      </c>
      <c r="L355" s="33">
        <f t="shared" si="289"/>
        <v>0</v>
      </c>
      <c r="M355" s="30">
        <f t="shared" si="290"/>
        <v>0</v>
      </c>
      <c r="N355" s="33">
        <f t="shared" si="291"/>
        <v>0</v>
      </c>
      <c r="O355" s="31">
        <f t="shared" si="292"/>
        <v>0</v>
      </c>
      <c r="P355" s="33">
        <f t="shared" si="293"/>
        <v>0</v>
      </c>
      <c r="Q355" s="34">
        <f t="shared" si="335"/>
        <v>654134.34756858728</v>
      </c>
      <c r="R355" s="29">
        <f t="shared" si="294"/>
        <v>0</v>
      </c>
      <c r="S355" s="34">
        <f t="shared" si="295"/>
        <v>654134.34756858728</v>
      </c>
      <c r="T355" s="29">
        <f t="shared" si="296"/>
        <v>545.11195630715611</v>
      </c>
      <c r="U355" s="29">
        <f t="shared" si="297"/>
        <v>0</v>
      </c>
      <c r="V355" s="35">
        <f t="shared" si="298"/>
        <v>1.0919180932436046E-4</v>
      </c>
      <c r="W355" s="34">
        <f t="shared" si="299"/>
        <v>0</v>
      </c>
      <c r="X355" s="34">
        <f t="shared" si="300"/>
        <v>653589.23561228008</v>
      </c>
      <c r="Y355" s="36">
        <f t="shared" si="301"/>
        <v>1.4303923453321543E-2</v>
      </c>
      <c r="Z355" s="34">
        <f t="shared" si="302"/>
        <v>9348.8903961129927</v>
      </c>
      <c r="AA355" s="34">
        <f t="shared" si="303"/>
        <v>658263.68081033661</v>
      </c>
      <c r="AB355" s="34">
        <f t="shared" si="304"/>
        <v>0</v>
      </c>
      <c r="AC355" s="34">
        <f t="shared" si="305"/>
        <v>0</v>
      </c>
      <c r="AD355" s="34">
        <f t="shared" si="306"/>
        <v>0</v>
      </c>
      <c r="AE355" s="34">
        <f t="shared" si="307"/>
        <v>0</v>
      </c>
      <c r="AF355" s="34">
        <f t="shared" si="308"/>
        <v>0</v>
      </c>
      <c r="AG355" s="29">
        <f t="shared" si="309"/>
        <v>658263.68081033661</v>
      </c>
      <c r="AH355" s="34">
        <f t="shared" si="310"/>
        <v>0</v>
      </c>
      <c r="AI355" s="34">
        <f t="shared" si="311"/>
        <v>0</v>
      </c>
      <c r="AJ355" s="34">
        <f t="shared" si="312"/>
        <v>0</v>
      </c>
      <c r="AK355" s="34">
        <f t="shared" si="313"/>
        <v>0</v>
      </c>
      <c r="AL355" s="34">
        <f t="shared" si="314"/>
        <v>0</v>
      </c>
      <c r="AM355" s="34">
        <f t="shared" si="315"/>
        <v>0</v>
      </c>
      <c r="AN355" s="34">
        <f t="shared" si="316"/>
        <v>0</v>
      </c>
      <c r="AO355" s="34">
        <f t="shared" si="317"/>
        <v>0</v>
      </c>
      <c r="AP355" s="34">
        <f t="shared" si="318"/>
        <v>0</v>
      </c>
      <c r="AQ355" s="34">
        <f t="shared" si="319"/>
        <v>0</v>
      </c>
      <c r="AR355" s="34">
        <f t="shared" si="320"/>
        <v>0</v>
      </c>
      <c r="AS355" s="30">
        <f t="shared" si="321"/>
        <v>1.337827697767481</v>
      </c>
      <c r="AT355" s="29">
        <f t="shared" si="322"/>
        <v>0</v>
      </c>
      <c r="AU355" s="29">
        <f t="shared" si="323"/>
        <v>0</v>
      </c>
      <c r="AV355" s="34">
        <f t="shared" si="324"/>
        <v>0</v>
      </c>
      <c r="AW355" s="34">
        <f t="shared" si="325"/>
        <v>0</v>
      </c>
      <c r="AX355" s="29">
        <f t="shared" si="326"/>
        <v>0</v>
      </c>
      <c r="AY355" s="34">
        <f t="shared" si="327"/>
        <v>0</v>
      </c>
      <c r="AZ355" s="37">
        <f t="shared" si="328"/>
        <v>0</v>
      </c>
      <c r="BA355" s="37">
        <f t="shared" si="329"/>
        <v>0</v>
      </c>
      <c r="BB355" s="35">
        <f t="shared" si="330"/>
        <v>1.1148058461134536E-3</v>
      </c>
      <c r="BC355" s="31">
        <f t="shared" si="331"/>
        <v>0.67632678908445709</v>
      </c>
      <c r="BD355" s="34">
        <f t="shared" si="332"/>
        <v>0</v>
      </c>
    </row>
    <row r="356" spans="1:56" x14ac:dyDescent="0.2">
      <c r="A356" s="27">
        <f t="shared" si="333"/>
        <v>352</v>
      </c>
      <c r="B356" s="28">
        <f t="shared" si="280"/>
        <v>352</v>
      </c>
      <c r="C356" s="27">
        <f t="shared" si="281"/>
        <v>29</v>
      </c>
      <c r="D356" s="28">
        <f t="shared" si="282"/>
        <v>49</v>
      </c>
      <c r="E356" s="29">
        <f t="shared" si="283"/>
        <v>0</v>
      </c>
      <c r="F356" s="30">
        <f t="shared" si="284"/>
        <v>1.1905332522467061E-3</v>
      </c>
      <c r="G356" s="31">
        <f t="shared" si="285"/>
        <v>9.9265281203964051E-5</v>
      </c>
      <c r="H356" s="32">
        <f t="shared" si="286"/>
        <v>0.02</v>
      </c>
      <c r="I356" s="32">
        <f t="shared" si="287"/>
        <v>0</v>
      </c>
      <c r="J356" s="33">
        <f t="shared" si="334"/>
        <v>0</v>
      </c>
      <c r="K356" s="30">
        <f t="shared" si="288"/>
        <v>0</v>
      </c>
      <c r="L356" s="33">
        <f t="shared" si="289"/>
        <v>0</v>
      </c>
      <c r="M356" s="30">
        <f t="shared" si="290"/>
        <v>0</v>
      </c>
      <c r="N356" s="33">
        <f t="shared" si="291"/>
        <v>0</v>
      </c>
      <c r="O356" s="31">
        <f t="shared" si="292"/>
        <v>0</v>
      </c>
      <c r="P356" s="33">
        <f t="shared" si="293"/>
        <v>0</v>
      </c>
      <c r="Q356" s="34">
        <f t="shared" si="335"/>
        <v>662938.12600839313</v>
      </c>
      <c r="R356" s="29">
        <f t="shared" si="294"/>
        <v>0</v>
      </c>
      <c r="S356" s="34">
        <f t="shared" si="295"/>
        <v>662938.12600839313</v>
      </c>
      <c r="T356" s="29">
        <f t="shared" si="296"/>
        <v>552.44843834032758</v>
      </c>
      <c r="U356" s="29">
        <f t="shared" si="297"/>
        <v>0</v>
      </c>
      <c r="V356" s="35">
        <f t="shared" si="298"/>
        <v>1.0919180932436046E-4</v>
      </c>
      <c r="W356" s="34">
        <f t="shared" si="299"/>
        <v>0</v>
      </c>
      <c r="X356" s="34">
        <f t="shared" si="300"/>
        <v>662385.67757005279</v>
      </c>
      <c r="Y356" s="36">
        <f t="shared" si="301"/>
        <v>1.3206883171063222E-2</v>
      </c>
      <c r="Z356" s="34">
        <f t="shared" si="302"/>
        <v>8748.0502578532396</v>
      </c>
      <c r="AA356" s="34">
        <f t="shared" si="303"/>
        <v>666759.70269897941</v>
      </c>
      <c r="AB356" s="34">
        <f t="shared" si="304"/>
        <v>0</v>
      </c>
      <c r="AC356" s="34">
        <f t="shared" si="305"/>
        <v>0</v>
      </c>
      <c r="AD356" s="34">
        <f t="shared" si="306"/>
        <v>0</v>
      </c>
      <c r="AE356" s="34">
        <f t="shared" si="307"/>
        <v>0</v>
      </c>
      <c r="AF356" s="34">
        <f t="shared" si="308"/>
        <v>0</v>
      </c>
      <c r="AG356" s="29">
        <f t="shared" si="309"/>
        <v>666759.70269897941</v>
      </c>
      <c r="AH356" s="34">
        <f t="shared" si="310"/>
        <v>0</v>
      </c>
      <c r="AI356" s="34">
        <f t="shared" si="311"/>
        <v>0</v>
      </c>
      <c r="AJ356" s="34">
        <f t="shared" si="312"/>
        <v>0</v>
      </c>
      <c r="AK356" s="34">
        <f t="shared" si="313"/>
        <v>0</v>
      </c>
      <c r="AL356" s="34">
        <f t="shared" si="314"/>
        <v>0</v>
      </c>
      <c r="AM356" s="34">
        <f t="shared" si="315"/>
        <v>0</v>
      </c>
      <c r="AN356" s="34">
        <f t="shared" si="316"/>
        <v>0</v>
      </c>
      <c r="AO356" s="34">
        <f t="shared" si="317"/>
        <v>0</v>
      </c>
      <c r="AP356" s="34">
        <f t="shared" si="318"/>
        <v>0</v>
      </c>
      <c r="AQ356" s="34">
        <f t="shared" si="319"/>
        <v>0</v>
      </c>
      <c r="AR356" s="34">
        <f t="shared" si="320"/>
        <v>0</v>
      </c>
      <c r="AS356" s="30">
        <f t="shared" si="321"/>
        <v>1.3389374768332072</v>
      </c>
      <c r="AT356" s="29">
        <f t="shared" si="322"/>
        <v>0</v>
      </c>
      <c r="AU356" s="29">
        <f t="shared" si="323"/>
        <v>0</v>
      </c>
      <c r="AV356" s="34">
        <f t="shared" si="324"/>
        <v>0</v>
      </c>
      <c r="AW356" s="34">
        <f t="shared" si="325"/>
        <v>0</v>
      </c>
      <c r="AX356" s="29">
        <f t="shared" si="326"/>
        <v>0</v>
      </c>
      <c r="AY356" s="34">
        <f t="shared" si="327"/>
        <v>0</v>
      </c>
      <c r="AZ356" s="37">
        <f t="shared" si="328"/>
        <v>0</v>
      </c>
      <c r="BA356" s="37">
        <f t="shared" si="329"/>
        <v>0</v>
      </c>
      <c r="BB356" s="35">
        <f t="shared" si="330"/>
        <v>1.1148058461134536E-3</v>
      </c>
      <c r="BC356" s="31">
        <f t="shared" si="331"/>
        <v>0.67557365562368743</v>
      </c>
      <c r="BD356" s="34">
        <f t="shared" si="332"/>
        <v>0</v>
      </c>
    </row>
    <row r="357" spans="1:56" x14ac:dyDescent="0.2">
      <c r="A357" s="27">
        <f t="shared" si="333"/>
        <v>353</v>
      </c>
      <c r="B357" s="28">
        <f t="shared" si="280"/>
        <v>353</v>
      </c>
      <c r="C357" s="27">
        <f t="shared" si="281"/>
        <v>29</v>
      </c>
      <c r="D357" s="28">
        <f t="shared" si="282"/>
        <v>49</v>
      </c>
      <c r="E357" s="29">
        <f t="shared" si="283"/>
        <v>0</v>
      </c>
      <c r="F357" s="30">
        <f t="shared" si="284"/>
        <v>1.1905332522467061E-3</v>
      </c>
      <c r="G357" s="31">
        <f t="shared" si="285"/>
        <v>9.9265281203964051E-5</v>
      </c>
      <c r="H357" s="32">
        <f t="shared" si="286"/>
        <v>0.02</v>
      </c>
      <c r="I357" s="32">
        <f t="shared" si="287"/>
        <v>0</v>
      </c>
      <c r="J357" s="33">
        <f t="shared" si="334"/>
        <v>0</v>
      </c>
      <c r="K357" s="30">
        <f t="shared" si="288"/>
        <v>0</v>
      </c>
      <c r="L357" s="33">
        <f t="shared" si="289"/>
        <v>0</v>
      </c>
      <c r="M357" s="30">
        <f t="shared" si="290"/>
        <v>0</v>
      </c>
      <c r="N357" s="33">
        <f t="shared" si="291"/>
        <v>0</v>
      </c>
      <c r="O357" s="31">
        <f t="shared" si="292"/>
        <v>0</v>
      </c>
      <c r="P357" s="33">
        <f t="shared" si="293"/>
        <v>0</v>
      </c>
      <c r="Q357" s="34">
        <f t="shared" si="335"/>
        <v>671133.72782790603</v>
      </c>
      <c r="R357" s="29">
        <f t="shared" si="294"/>
        <v>0</v>
      </c>
      <c r="S357" s="34">
        <f t="shared" si="295"/>
        <v>671133.72782790603</v>
      </c>
      <c r="T357" s="29">
        <f t="shared" si="296"/>
        <v>559.27810652325502</v>
      </c>
      <c r="U357" s="29">
        <f t="shared" si="297"/>
        <v>0</v>
      </c>
      <c r="V357" s="35">
        <f t="shared" si="298"/>
        <v>1.0919180932436046E-4</v>
      </c>
      <c r="W357" s="34">
        <f t="shared" si="299"/>
        <v>0</v>
      </c>
      <c r="X357" s="34">
        <f t="shared" si="300"/>
        <v>670574.44972138281</v>
      </c>
      <c r="Y357" s="36">
        <f t="shared" si="301"/>
        <v>5.8635572722005591E-3</v>
      </c>
      <c r="Z357" s="34">
        <f t="shared" si="302"/>
        <v>3931.9516912157023</v>
      </c>
      <c r="AA357" s="34">
        <f t="shared" si="303"/>
        <v>672540.42556699063</v>
      </c>
      <c r="AB357" s="34">
        <f t="shared" si="304"/>
        <v>0</v>
      </c>
      <c r="AC357" s="34">
        <f t="shared" si="305"/>
        <v>0</v>
      </c>
      <c r="AD357" s="34">
        <f t="shared" si="306"/>
        <v>0</v>
      </c>
      <c r="AE357" s="34">
        <f t="shared" si="307"/>
        <v>0</v>
      </c>
      <c r="AF357" s="34">
        <f t="shared" si="308"/>
        <v>0</v>
      </c>
      <c r="AG357" s="29">
        <f t="shared" si="309"/>
        <v>672540.42556699063</v>
      </c>
      <c r="AH357" s="34">
        <f t="shared" si="310"/>
        <v>0</v>
      </c>
      <c r="AI357" s="34">
        <f t="shared" si="311"/>
        <v>0</v>
      </c>
      <c r="AJ357" s="34">
        <f t="shared" si="312"/>
        <v>0</v>
      </c>
      <c r="AK357" s="34">
        <f t="shared" si="313"/>
        <v>0</v>
      </c>
      <c r="AL357" s="34">
        <f t="shared" si="314"/>
        <v>0</v>
      </c>
      <c r="AM357" s="34">
        <f t="shared" si="315"/>
        <v>0</v>
      </c>
      <c r="AN357" s="34">
        <f t="shared" si="316"/>
        <v>0</v>
      </c>
      <c r="AO357" s="34">
        <f t="shared" si="317"/>
        <v>0</v>
      </c>
      <c r="AP357" s="34">
        <f t="shared" si="318"/>
        <v>0</v>
      </c>
      <c r="AQ357" s="34">
        <f t="shared" si="319"/>
        <v>0</v>
      </c>
      <c r="AR357" s="34">
        <f t="shared" si="320"/>
        <v>0</v>
      </c>
      <c r="AS357" s="30">
        <f t="shared" si="321"/>
        <v>1.340048176502967</v>
      </c>
      <c r="AT357" s="29">
        <f t="shared" si="322"/>
        <v>0</v>
      </c>
      <c r="AU357" s="29">
        <f t="shared" si="323"/>
        <v>0</v>
      </c>
      <c r="AV357" s="34">
        <f t="shared" si="324"/>
        <v>0</v>
      </c>
      <c r="AW357" s="34">
        <f t="shared" si="325"/>
        <v>0</v>
      </c>
      <c r="AX357" s="29">
        <f t="shared" si="326"/>
        <v>0</v>
      </c>
      <c r="AY357" s="34">
        <f t="shared" si="327"/>
        <v>0</v>
      </c>
      <c r="AZ357" s="37">
        <f t="shared" si="328"/>
        <v>0</v>
      </c>
      <c r="BA357" s="37">
        <f t="shared" si="329"/>
        <v>0</v>
      </c>
      <c r="BB357" s="35">
        <f t="shared" si="330"/>
        <v>1.1148058461134536E-3</v>
      </c>
      <c r="BC357" s="31">
        <f t="shared" si="331"/>
        <v>0.67482136082555688</v>
      </c>
      <c r="BD357" s="34">
        <f t="shared" si="332"/>
        <v>0</v>
      </c>
    </row>
    <row r="358" spans="1:56" x14ac:dyDescent="0.2">
      <c r="A358" s="27">
        <f t="shared" si="333"/>
        <v>354</v>
      </c>
      <c r="B358" s="28">
        <f t="shared" si="280"/>
        <v>354</v>
      </c>
      <c r="C358" s="27">
        <f t="shared" si="281"/>
        <v>29</v>
      </c>
      <c r="D358" s="28">
        <f t="shared" si="282"/>
        <v>49</v>
      </c>
      <c r="E358" s="29">
        <f t="shared" si="283"/>
        <v>0</v>
      </c>
      <c r="F358" s="30">
        <f t="shared" si="284"/>
        <v>1.1905332522467061E-3</v>
      </c>
      <c r="G358" s="31">
        <f t="shared" si="285"/>
        <v>9.9265281203964051E-5</v>
      </c>
      <c r="H358" s="32">
        <f t="shared" si="286"/>
        <v>0.02</v>
      </c>
      <c r="I358" s="32">
        <f t="shared" si="287"/>
        <v>0</v>
      </c>
      <c r="J358" s="33">
        <f t="shared" si="334"/>
        <v>0</v>
      </c>
      <c r="K358" s="30">
        <f t="shared" si="288"/>
        <v>0</v>
      </c>
      <c r="L358" s="33">
        <f t="shared" si="289"/>
        <v>0</v>
      </c>
      <c r="M358" s="30">
        <f t="shared" si="290"/>
        <v>0</v>
      </c>
      <c r="N358" s="33">
        <f t="shared" si="291"/>
        <v>0</v>
      </c>
      <c r="O358" s="31">
        <f t="shared" si="292"/>
        <v>0</v>
      </c>
      <c r="P358" s="33">
        <f t="shared" si="293"/>
        <v>0</v>
      </c>
      <c r="Q358" s="34">
        <f t="shared" si="335"/>
        <v>674506.40141259856</v>
      </c>
      <c r="R358" s="29">
        <f t="shared" si="294"/>
        <v>0</v>
      </c>
      <c r="S358" s="34">
        <f t="shared" si="295"/>
        <v>674506.40141259856</v>
      </c>
      <c r="T358" s="29">
        <f t="shared" si="296"/>
        <v>562.08866784383213</v>
      </c>
      <c r="U358" s="29">
        <f t="shared" si="297"/>
        <v>0</v>
      </c>
      <c r="V358" s="35">
        <f t="shared" si="298"/>
        <v>1.0919180932436046E-4</v>
      </c>
      <c r="W358" s="34">
        <f t="shared" si="299"/>
        <v>0</v>
      </c>
      <c r="X358" s="34">
        <f t="shared" si="300"/>
        <v>673944.31274475472</v>
      </c>
      <c r="Y358" s="36">
        <f t="shared" si="301"/>
        <v>3.393368721601675E-3</v>
      </c>
      <c r="Z358" s="34">
        <f t="shared" si="302"/>
        <v>2286.9415509693877</v>
      </c>
      <c r="AA358" s="34">
        <f t="shared" si="303"/>
        <v>675087.78352023941</v>
      </c>
      <c r="AB358" s="34">
        <f t="shared" si="304"/>
        <v>0</v>
      </c>
      <c r="AC358" s="34">
        <f t="shared" si="305"/>
        <v>0</v>
      </c>
      <c r="AD358" s="34">
        <f t="shared" si="306"/>
        <v>0</v>
      </c>
      <c r="AE358" s="34">
        <f t="shared" si="307"/>
        <v>0</v>
      </c>
      <c r="AF358" s="34">
        <f t="shared" si="308"/>
        <v>0</v>
      </c>
      <c r="AG358" s="29">
        <f t="shared" si="309"/>
        <v>675087.78352023941</v>
      </c>
      <c r="AH358" s="34">
        <f t="shared" si="310"/>
        <v>0</v>
      </c>
      <c r="AI358" s="34">
        <f t="shared" si="311"/>
        <v>0</v>
      </c>
      <c r="AJ358" s="34">
        <f t="shared" si="312"/>
        <v>0</v>
      </c>
      <c r="AK358" s="34">
        <f t="shared" si="313"/>
        <v>0</v>
      </c>
      <c r="AL358" s="34">
        <f t="shared" si="314"/>
        <v>0</v>
      </c>
      <c r="AM358" s="34">
        <f t="shared" si="315"/>
        <v>0</v>
      </c>
      <c r="AN358" s="34">
        <f t="shared" si="316"/>
        <v>0</v>
      </c>
      <c r="AO358" s="34">
        <f t="shared" si="317"/>
        <v>0</v>
      </c>
      <c r="AP358" s="34">
        <f t="shared" si="318"/>
        <v>0</v>
      </c>
      <c r="AQ358" s="34">
        <f t="shared" si="319"/>
        <v>0</v>
      </c>
      <c r="AR358" s="34">
        <f t="shared" si="320"/>
        <v>0</v>
      </c>
      <c r="AS358" s="30">
        <f t="shared" si="321"/>
        <v>1.3411597975404363</v>
      </c>
      <c r="AT358" s="29">
        <f t="shared" si="322"/>
        <v>0</v>
      </c>
      <c r="AU358" s="29">
        <f t="shared" si="323"/>
        <v>0</v>
      </c>
      <c r="AV358" s="34">
        <f t="shared" si="324"/>
        <v>0</v>
      </c>
      <c r="AW358" s="34">
        <f t="shared" si="325"/>
        <v>0</v>
      </c>
      <c r="AX358" s="29">
        <f t="shared" si="326"/>
        <v>0</v>
      </c>
      <c r="AY358" s="34">
        <f t="shared" si="327"/>
        <v>0</v>
      </c>
      <c r="AZ358" s="37">
        <f t="shared" si="328"/>
        <v>0</v>
      </c>
      <c r="BA358" s="37">
        <f t="shared" si="329"/>
        <v>0</v>
      </c>
      <c r="BB358" s="35">
        <f t="shared" si="330"/>
        <v>1.1148058461134536E-3</v>
      </c>
      <c r="BC358" s="31">
        <f t="shared" si="331"/>
        <v>0.67406990375616038</v>
      </c>
      <c r="BD358" s="34">
        <f t="shared" si="332"/>
        <v>0</v>
      </c>
    </row>
    <row r="359" spans="1:56" x14ac:dyDescent="0.2">
      <c r="A359" s="27">
        <f t="shared" si="333"/>
        <v>355</v>
      </c>
      <c r="B359" s="28">
        <f t="shared" si="280"/>
        <v>355</v>
      </c>
      <c r="C359" s="27">
        <f t="shared" si="281"/>
        <v>29</v>
      </c>
      <c r="D359" s="28">
        <f t="shared" si="282"/>
        <v>49</v>
      </c>
      <c r="E359" s="29">
        <f t="shared" si="283"/>
        <v>0</v>
      </c>
      <c r="F359" s="30">
        <f t="shared" si="284"/>
        <v>1.1905332522467061E-3</v>
      </c>
      <c r="G359" s="31">
        <f t="shared" si="285"/>
        <v>9.9265281203964051E-5</v>
      </c>
      <c r="H359" s="32">
        <f t="shared" si="286"/>
        <v>0.02</v>
      </c>
      <c r="I359" s="32">
        <f t="shared" si="287"/>
        <v>0</v>
      </c>
      <c r="J359" s="33">
        <f t="shared" si="334"/>
        <v>0</v>
      </c>
      <c r="K359" s="30">
        <f t="shared" si="288"/>
        <v>0</v>
      </c>
      <c r="L359" s="33">
        <f t="shared" si="289"/>
        <v>0</v>
      </c>
      <c r="M359" s="30">
        <f t="shared" si="290"/>
        <v>0</v>
      </c>
      <c r="N359" s="33">
        <f t="shared" si="291"/>
        <v>0</v>
      </c>
      <c r="O359" s="31">
        <f t="shared" si="292"/>
        <v>0</v>
      </c>
      <c r="P359" s="33">
        <f t="shared" si="293"/>
        <v>0</v>
      </c>
      <c r="Q359" s="34">
        <f t="shared" si="335"/>
        <v>676231.25429572409</v>
      </c>
      <c r="R359" s="29">
        <f t="shared" si="294"/>
        <v>0</v>
      </c>
      <c r="S359" s="34">
        <f t="shared" si="295"/>
        <v>676231.25429572409</v>
      </c>
      <c r="T359" s="29">
        <f t="shared" si="296"/>
        <v>563.52604524643675</v>
      </c>
      <c r="U359" s="29">
        <f t="shared" si="297"/>
        <v>0</v>
      </c>
      <c r="V359" s="35">
        <f t="shared" si="298"/>
        <v>1.0919180932436046E-4</v>
      </c>
      <c r="W359" s="34">
        <f t="shared" si="299"/>
        <v>0</v>
      </c>
      <c r="X359" s="34">
        <f t="shared" si="300"/>
        <v>675667.7282504777</v>
      </c>
      <c r="Y359" s="36">
        <f t="shared" si="301"/>
        <v>4.6984772063349833E-3</v>
      </c>
      <c r="Z359" s="34">
        <f t="shared" si="302"/>
        <v>3174.609420241009</v>
      </c>
      <c r="AA359" s="34">
        <f t="shared" si="303"/>
        <v>677255.03296059824</v>
      </c>
      <c r="AB359" s="34">
        <f t="shared" si="304"/>
        <v>0</v>
      </c>
      <c r="AC359" s="34">
        <f t="shared" si="305"/>
        <v>0</v>
      </c>
      <c r="AD359" s="34">
        <f t="shared" si="306"/>
        <v>0</v>
      </c>
      <c r="AE359" s="34">
        <f t="shared" si="307"/>
        <v>0</v>
      </c>
      <c r="AF359" s="34">
        <f t="shared" si="308"/>
        <v>0</v>
      </c>
      <c r="AG359" s="29">
        <f t="shared" si="309"/>
        <v>677255.03296059824</v>
      </c>
      <c r="AH359" s="34">
        <f t="shared" si="310"/>
        <v>0</v>
      </c>
      <c r="AI359" s="34">
        <f t="shared" si="311"/>
        <v>0</v>
      </c>
      <c r="AJ359" s="34">
        <f t="shared" si="312"/>
        <v>0</v>
      </c>
      <c r="AK359" s="34">
        <f t="shared" si="313"/>
        <v>0</v>
      </c>
      <c r="AL359" s="34">
        <f t="shared" si="314"/>
        <v>0</v>
      </c>
      <c r="AM359" s="34">
        <f t="shared" si="315"/>
        <v>0</v>
      </c>
      <c r="AN359" s="34">
        <f t="shared" si="316"/>
        <v>0</v>
      </c>
      <c r="AO359" s="34">
        <f t="shared" si="317"/>
        <v>0</v>
      </c>
      <c r="AP359" s="34">
        <f t="shared" si="318"/>
        <v>0</v>
      </c>
      <c r="AQ359" s="34">
        <f t="shared" si="319"/>
        <v>0</v>
      </c>
      <c r="AR359" s="34">
        <f t="shared" si="320"/>
        <v>0</v>
      </c>
      <c r="AS359" s="30">
        <f t="shared" si="321"/>
        <v>1.3422723407099251</v>
      </c>
      <c r="AT359" s="29">
        <f t="shared" si="322"/>
        <v>0</v>
      </c>
      <c r="AU359" s="29">
        <f t="shared" si="323"/>
        <v>0</v>
      </c>
      <c r="AV359" s="34">
        <f t="shared" si="324"/>
        <v>0</v>
      </c>
      <c r="AW359" s="34">
        <f t="shared" si="325"/>
        <v>0</v>
      </c>
      <c r="AX359" s="29">
        <f t="shared" si="326"/>
        <v>0</v>
      </c>
      <c r="AY359" s="34">
        <f t="shared" si="327"/>
        <v>0</v>
      </c>
      <c r="AZ359" s="37">
        <f t="shared" si="328"/>
        <v>0</v>
      </c>
      <c r="BA359" s="37">
        <f t="shared" si="329"/>
        <v>0</v>
      </c>
      <c r="BB359" s="35">
        <f t="shared" si="330"/>
        <v>1.1148058461134536E-3</v>
      </c>
      <c r="BC359" s="31">
        <f t="shared" si="331"/>
        <v>0.67331928348263292</v>
      </c>
      <c r="BD359" s="34">
        <f t="shared" si="332"/>
        <v>0</v>
      </c>
    </row>
    <row r="360" spans="1:56" x14ac:dyDescent="0.2">
      <c r="A360" s="27">
        <f t="shared" si="333"/>
        <v>356</v>
      </c>
      <c r="B360" s="28">
        <f t="shared" si="280"/>
        <v>356</v>
      </c>
      <c r="C360" s="27">
        <f t="shared" si="281"/>
        <v>29</v>
      </c>
      <c r="D360" s="28">
        <f t="shared" si="282"/>
        <v>49</v>
      </c>
      <c r="E360" s="29">
        <f t="shared" si="283"/>
        <v>0</v>
      </c>
      <c r="F360" s="30">
        <f t="shared" si="284"/>
        <v>1.1905332522467061E-3</v>
      </c>
      <c r="G360" s="31">
        <f t="shared" si="285"/>
        <v>9.9265281203964051E-5</v>
      </c>
      <c r="H360" s="32">
        <f t="shared" si="286"/>
        <v>0.02</v>
      </c>
      <c r="I360" s="32">
        <f t="shared" si="287"/>
        <v>0</v>
      </c>
      <c r="J360" s="33">
        <f t="shared" si="334"/>
        <v>0</v>
      </c>
      <c r="K360" s="30">
        <f t="shared" si="288"/>
        <v>0</v>
      </c>
      <c r="L360" s="33">
        <f t="shared" si="289"/>
        <v>0</v>
      </c>
      <c r="M360" s="30">
        <f t="shared" si="290"/>
        <v>0</v>
      </c>
      <c r="N360" s="33">
        <f t="shared" si="291"/>
        <v>0</v>
      </c>
      <c r="O360" s="31">
        <f t="shared" si="292"/>
        <v>0</v>
      </c>
      <c r="P360" s="33">
        <f t="shared" si="293"/>
        <v>0</v>
      </c>
      <c r="Q360" s="34">
        <f t="shared" si="335"/>
        <v>678842.33767071867</v>
      </c>
      <c r="R360" s="29">
        <f t="shared" si="294"/>
        <v>0</v>
      </c>
      <c r="S360" s="34">
        <f t="shared" si="295"/>
        <v>678842.33767071867</v>
      </c>
      <c r="T360" s="29">
        <f t="shared" si="296"/>
        <v>565.70194805893232</v>
      </c>
      <c r="U360" s="29">
        <f t="shared" si="297"/>
        <v>0</v>
      </c>
      <c r="V360" s="35">
        <f t="shared" si="298"/>
        <v>1.0919180932436046E-4</v>
      </c>
      <c r="W360" s="34">
        <f t="shared" si="299"/>
        <v>0</v>
      </c>
      <c r="X360" s="34">
        <f t="shared" si="300"/>
        <v>678276.63572265976</v>
      </c>
      <c r="Y360" s="36">
        <f t="shared" si="301"/>
        <v>-3.076936224608362E-3</v>
      </c>
      <c r="Z360" s="34">
        <f t="shared" si="302"/>
        <v>-2087.0139507605418</v>
      </c>
      <c r="AA360" s="34">
        <f t="shared" si="303"/>
        <v>677233.12874727952</v>
      </c>
      <c r="AB360" s="34">
        <f t="shared" si="304"/>
        <v>0</v>
      </c>
      <c r="AC360" s="34">
        <f t="shared" si="305"/>
        <v>0</v>
      </c>
      <c r="AD360" s="34">
        <f t="shared" si="306"/>
        <v>0</v>
      </c>
      <c r="AE360" s="34">
        <f t="shared" si="307"/>
        <v>0</v>
      </c>
      <c r="AF360" s="34">
        <f t="shared" si="308"/>
        <v>0</v>
      </c>
      <c r="AG360" s="29">
        <f t="shared" si="309"/>
        <v>677233.12874727952</v>
      </c>
      <c r="AH360" s="34">
        <f t="shared" si="310"/>
        <v>0</v>
      </c>
      <c r="AI360" s="34">
        <f t="shared" si="311"/>
        <v>0</v>
      </c>
      <c r="AJ360" s="34">
        <f t="shared" si="312"/>
        <v>0</v>
      </c>
      <c r="AK360" s="34">
        <f t="shared" si="313"/>
        <v>0</v>
      </c>
      <c r="AL360" s="34">
        <f t="shared" si="314"/>
        <v>0</v>
      </c>
      <c r="AM360" s="34">
        <f t="shared" si="315"/>
        <v>0</v>
      </c>
      <c r="AN360" s="34">
        <f t="shared" si="316"/>
        <v>0</v>
      </c>
      <c r="AO360" s="34">
        <f t="shared" si="317"/>
        <v>0</v>
      </c>
      <c r="AP360" s="34">
        <f t="shared" si="318"/>
        <v>0</v>
      </c>
      <c r="AQ360" s="34">
        <f t="shared" si="319"/>
        <v>0</v>
      </c>
      <c r="AR360" s="34">
        <f t="shared" si="320"/>
        <v>0</v>
      </c>
      <c r="AS360" s="30">
        <f t="shared" si="321"/>
        <v>1.3433858067763766</v>
      </c>
      <c r="AT360" s="29">
        <f t="shared" si="322"/>
        <v>0</v>
      </c>
      <c r="AU360" s="29">
        <f t="shared" si="323"/>
        <v>0</v>
      </c>
      <c r="AV360" s="34">
        <f t="shared" si="324"/>
        <v>0</v>
      </c>
      <c r="AW360" s="34">
        <f t="shared" si="325"/>
        <v>0</v>
      </c>
      <c r="AX360" s="29">
        <f t="shared" si="326"/>
        <v>0</v>
      </c>
      <c r="AY360" s="34">
        <f t="shared" si="327"/>
        <v>0</v>
      </c>
      <c r="AZ360" s="37">
        <f t="shared" si="328"/>
        <v>0</v>
      </c>
      <c r="BA360" s="37">
        <f t="shared" si="329"/>
        <v>0</v>
      </c>
      <c r="BB360" s="35">
        <f t="shared" si="330"/>
        <v>1.1148058461134536E-3</v>
      </c>
      <c r="BC360" s="31">
        <f t="shared" si="331"/>
        <v>0.67256949907314867</v>
      </c>
      <c r="BD360" s="34">
        <f t="shared" si="332"/>
        <v>0</v>
      </c>
    </row>
    <row r="361" spans="1:56" x14ac:dyDescent="0.2">
      <c r="A361" s="27">
        <f t="shared" si="333"/>
        <v>357</v>
      </c>
      <c r="B361" s="28">
        <f t="shared" si="280"/>
        <v>357</v>
      </c>
      <c r="C361" s="27">
        <f t="shared" si="281"/>
        <v>29</v>
      </c>
      <c r="D361" s="28">
        <f t="shared" si="282"/>
        <v>49</v>
      </c>
      <c r="E361" s="29">
        <f t="shared" si="283"/>
        <v>0</v>
      </c>
      <c r="F361" s="30">
        <f t="shared" si="284"/>
        <v>1.1905332522467061E-3</v>
      </c>
      <c r="G361" s="31">
        <f t="shared" si="285"/>
        <v>9.9265281203964051E-5</v>
      </c>
      <c r="H361" s="32">
        <f t="shared" si="286"/>
        <v>0.02</v>
      </c>
      <c r="I361" s="32">
        <f t="shared" si="287"/>
        <v>0</v>
      </c>
      <c r="J361" s="33">
        <f t="shared" si="334"/>
        <v>0</v>
      </c>
      <c r="K361" s="30">
        <f t="shared" si="288"/>
        <v>0</v>
      </c>
      <c r="L361" s="33">
        <f t="shared" si="289"/>
        <v>0</v>
      </c>
      <c r="M361" s="30">
        <f t="shared" si="290"/>
        <v>0</v>
      </c>
      <c r="N361" s="33">
        <f t="shared" si="291"/>
        <v>0</v>
      </c>
      <c r="O361" s="31">
        <f t="shared" si="292"/>
        <v>0</v>
      </c>
      <c r="P361" s="33">
        <f t="shared" si="293"/>
        <v>0</v>
      </c>
      <c r="Q361" s="34">
        <f t="shared" si="335"/>
        <v>676189.62177189917</v>
      </c>
      <c r="R361" s="29">
        <f t="shared" si="294"/>
        <v>0</v>
      </c>
      <c r="S361" s="34">
        <f t="shared" si="295"/>
        <v>676189.62177189917</v>
      </c>
      <c r="T361" s="29">
        <f t="shared" si="296"/>
        <v>563.49135147658262</v>
      </c>
      <c r="U361" s="29">
        <f t="shared" si="297"/>
        <v>0</v>
      </c>
      <c r="V361" s="35">
        <f t="shared" si="298"/>
        <v>1.0919180932436046E-4</v>
      </c>
      <c r="W361" s="34">
        <f t="shared" si="299"/>
        <v>0</v>
      </c>
      <c r="X361" s="34">
        <f t="shared" si="300"/>
        <v>675626.13042042253</v>
      </c>
      <c r="Y361" s="36">
        <f t="shared" si="301"/>
        <v>-7.5904070479837493E-3</v>
      </c>
      <c r="Z361" s="34">
        <f t="shared" si="302"/>
        <v>-5128.2773421451629</v>
      </c>
      <c r="AA361" s="34">
        <f t="shared" si="303"/>
        <v>673061.99174934998</v>
      </c>
      <c r="AB361" s="34">
        <f t="shared" si="304"/>
        <v>0</v>
      </c>
      <c r="AC361" s="34">
        <f t="shared" si="305"/>
        <v>0</v>
      </c>
      <c r="AD361" s="34">
        <f t="shared" si="306"/>
        <v>0</v>
      </c>
      <c r="AE361" s="34">
        <f t="shared" si="307"/>
        <v>0</v>
      </c>
      <c r="AF361" s="34">
        <f t="shared" si="308"/>
        <v>0</v>
      </c>
      <c r="AG361" s="29">
        <f t="shared" si="309"/>
        <v>673061.99174934998</v>
      </c>
      <c r="AH361" s="34">
        <f t="shared" si="310"/>
        <v>0</v>
      </c>
      <c r="AI361" s="34">
        <f t="shared" si="311"/>
        <v>0</v>
      </c>
      <c r="AJ361" s="34">
        <f t="shared" si="312"/>
        <v>0</v>
      </c>
      <c r="AK361" s="34">
        <f t="shared" si="313"/>
        <v>0</v>
      </c>
      <c r="AL361" s="34">
        <f t="shared" si="314"/>
        <v>0</v>
      </c>
      <c r="AM361" s="34">
        <f t="shared" si="315"/>
        <v>0</v>
      </c>
      <c r="AN361" s="34">
        <f t="shared" si="316"/>
        <v>0</v>
      </c>
      <c r="AO361" s="34">
        <f t="shared" si="317"/>
        <v>0</v>
      </c>
      <c r="AP361" s="34">
        <f t="shared" si="318"/>
        <v>0</v>
      </c>
      <c r="AQ361" s="34">
        <f t="shared" si="319"/>
        <v>0</v>
      </c>
      <c r="AR361" s="34">
        <f t="shared" si="320"/>
        <v>0</v>
      </c>
      <c r="AS361" s="30">
        <f t="shared" si="321"/>
        <v>1.3445001965053693</v>
      </c>
      <c r="AT361" s="29">
        <f t="shared" si="322"/>
        <v>0</v>
      </c>
      <c r="AU361" s="29">
        <f t="shared" si="323"/>
        <v>0</v>
      </c>
      <c r="AV361" s="34">
        <f t="shared" si="324"/>
        <v>0</v>
      </c>
      <c r="AW361" s="34">
        <f t="shared" si="325"/>
        <v>0</v>
      </c>
      <c r="AX361" s="29">
        <f t="shared" si="326"/>
        <v>0</v>
      </c>
      <c r="AY361" s="34">
        <f t="shared" si="327"/>
        <v>0</v>
      </c>
      <c r="AZ361" s="37">
        <f t="shared" si="328"/>
        <v>0</v>
      </c>
      <c r="BA361" s="37">
        <f t="shared" si="329"/>
        <v>0</v>
      </c>
      <c r="BB361" s="35">
        <f t="shared" si="330"/>
        <v>1.1148058461134536E-3</v>
      </c>
      <c r="BC361" s="31">
        <f t="shared" si="331"/>
        <v>0.67182054959691895</v>
      </c>
      <c r="BD361" s="34">
        <f t="shared" si="332"/>
        <v>0</v>
      </c>
    </row>
    <row r="362" spans="1:56" x14ac:dyDescent="0.2">
      <c r="A362" s="27">
        <f t="shared" si="333"/>
        <v>358</v>
      </c>
      <c r="B362" s="28">
        <f t="shared" si="280"/>
        <v>358</v>
      </c>
      <c r="C362" s="27">
        <f t="shared" si="281"/>
        <v>29</v>
      </c>
      <c r="D362" s="28">
        <f t="shared" si="282"/>
        <v>49</v>
      </c>
      <c r="E362" s="29">
        <f t="shared" si="283"/>
        <v>0</v>
      </c>
      <c r="F362" s="30">
        <f t="shared" si="284"/>
        <v>1.1905332522467061E-3</v>
      </c>
      <c r="G362" s="31">
        <f t="shared" si="285"/>
        <v>9.9265281203964051E-5</v>
      </c>
      <c r="H362" s="32">
        <f t="shared" si="286"/>
        <v>0.02</v>
      </c>
      <c r="I362" s="32">
        <f t="shared" si="287"/>
        <v>0</v>
      </c>
      <c r="J362" s="33">
        <f t="shared" si="334"/>
        <v>0</v>
      </c>
      <c r="K362" s="30">
        <f t="shared" si="288"/>
        <v>0</v>
      </c>
      <c r="L362" s="33">
        <f t="shared" si="289"/>
        <v>0</v>
      </c>
      <c r="M362" s="30">
        <f t="shared" si="290"/>
        <v>0</v>
      </c>
      <c r="N362" s="33">
        <f t="shared" si="291"/>
        <v>0</v>
      </c>
      <c r="O362" s="31">
        <f t="shared" si="292"/>
        <v>0</v>
      </c>
      <c r="P362" s="33">
        <f t="shared" si="293"/>
        <v>0</v>
      </c>
      <c r="Q362" s="34">
        <f t="shared" si="335"/>
        <v>670497.85307827732</v>
      </c>
      <c r="R362" s="29">
        <f t="shared" si="294"/>
        <v>0</v>
      </c>
      <c r="S362" s="34">
        <f t="shared" si="295"/>
        <v>670497.85307827732</v>
      </c>
      <c r="T362" s="29">
        <f t="shared" si="296"/>
        <v>558.74821089856448</v>
      </c>
      <c r="U362" s="29">
        <f t="shared" si="297"/>
        <v>0</v>
      </c>
      <c r="V362" s="35">
        <f t="shared" si="298"/>
        <v>1.0919180932436046E-4</v>
      </c>
      <c r="W362" s="34">
        <f t="shared" si="299"/>
        <v>0</v>
      </c>
      <c r="X362" s="34">
        <f t="shared" si="300"/>
        <v>669939.10486737872</v>
      </c>
      <c r="Y362" s="36">
        <f t="shared" si="301"/>
        <v>9.0634381143628318E-3</v>
      </c>
      <c r="Z362" s="34">
        <f t="shared" si="302"/>
        <v>6071.9516173571183</v>
      </c>
      <c r="AA362" s="34">
        <f t="shared" si="303"/>
        <v>672975.08067605726</v>
      </c>
      <c r="AB362" s="34">
        <f t="shared" si="304"/>
        <v>0</v>
      </c>
      <c r="AC362" s="34">
        <f t="shared" si="305"/>
        <v>0</v>
      </c>
      <c r="AD362" s="34">
        <f t="shared" si="306"/>
        <v>0</v>
      </c>
      <c r="AE362" s="34">
        <f t="shared" si="307"/>
        <v>0</v>
      </c>
      <c r="AF362" s="34">
        <f t="shared" si="308"/>
        <v>0</v>
      </c>
      <c r="AG362" s="29">
        <f t="shared" si="309"/>
        <v>672975.08067605726</v>
      </c>
      <c r="AH362" s="34">
        <f t="shared" si="310"/>
        <v>0</v>
      </c>
      <c r="AI362" s="34">
        <f t="shared" si="311"/>
        <v>0</v>
      </c>
      <c r="AJ362" s="34">
        <f t="shared" si="312"/>
        <v>0</v>
      </c>
      <c r="AK362" s="34">
        <f t="shared" si="313"/>
        <v>0</v>
      </c>
      <c r="AL362" s="34">
        <f t="shared" si="314"/>
        <v>0</v>
      </c>
      <c r="AM362" s="34">
        <f t="shared" si="315"/>
        <v>0</v>
      </c>
      <c r="AN362" s="34">
        <f t="shared" si="316"/>
        <v>0</v>
      </c>
      <c r="AO362" s="34">
        <f t="shared" si="317"/>
        <v>0</v>
      </c>
      <c r="AP362" s="34">
        <f t="shared" si="318"/>
        <v>0</v>
      </c>
      <c r="AQ362" s="34">
        <f t="shared" si="319"/>
        <v>0</v>
      </c>
      <c r="AR362" s="34">
        <f t="shared" si="320"/>
        <v>0</v>
      </c>
      <c r="AS362" s="30">
        <f t="shared" si="321"/>
        <v>1.3456155106631167</v>
      </c>
      <c r="AT362" s="29">
        <f t="shared" si="322"/>
        <v>0</v>
      </c>
      <c r="AU362" s="29">
        <f t="shared" si="323"/>
        <v>0</v>
      </c>
      <c r="AV362" s="34">
        <f t="shared" si="324"/>
        <v>0</v>
      </c>
      <c r="AW362" s="34">
        <f t="shared" si="325"/>
        <v>0</v>
      </c>
      <c r="AX362" s="29">
        <f t="shared" si="326"/>
        <v>0</v>
      </c>
      <c r="AY362" s="34">
        <f t="shared" si="327"/>
        <v>0</v>
      </c>
      <c r="AZ362" s="37">
        <f t="shared" si="328"/>
        <v>0</v>
      </c>
      <c r="BA362" s="37">
        <f t="shared" si="329"/>
        <v>0</v>
      </c>
      <c r="BB362" s="35">
        <f t="shared" si="330"/>
        <v>1.1148058461134536E-3</v>
      </c>
      <c r="BC362" s="31">
        <f t="shared" si="331"/>
        <v>0.67107243412419171</v>
      </c>
      <c r="BD362" s="34">
        <f t="shared" si="332"/>
        <v>0</v>
      </c>
    </row>
    <row r="363" spans="1:56" x14ac:dyDescent="0.2">
      <c r="A363" s="27">
        <f t="shared" si="333"/>
        <v>359</v>
      </c>
      <c r="B363" s="28">
        <f t="shared" si="280"/>
        <v>359</v>
      </c>
      <c r="C363" s="27">
        <f t="shared" si="281"/>
        <v>29</v>
      </c>
      <c r="D363" s="28">
        <f t="shared" si="282"/>
        <v>49</v>
      </c>
      <c r="E363" s="29">
        <f t="shared" si="283"/>
        <v>0</v>
      </c>
      <c r="F363" s="30">
        <f t="shared" si="284"/>
        <v>1.1905332522467061E-3</v>
      </c>
      <c r="G363" s="31">
        <f t="shared" si="285"/>
        <v>9.9265281203964051E-5</v>
      </c>
      <c r="H363" s="32">
        <f t="shared" si="286"/>
        <v>0.02</v>
      </c>
      <c r="I363" s="32">
        <f t="shared" si="287"/>
        <v>0</v>
      </c>
      <c r="J363" s="33">
        <f t="shared" si="334"/>
        <v>0</v>
      </c>
      <c r="K363" s="30">
        <f t="shared" si="288"/>
        <v>0</v>
      </c>
      <c r="L363" s="33">
        <f t="shared" si="289"/>
        <v>0</v>
      </c>
      <c r="M363" s="30">
        <f t="shared" si="290"/>
        <v>0</v>
      </c>
      <c r="N363" s="33">
        <f t="shared" si="291"/>
        <v>0</v>
      </c>
      <c r="O363" s="31">
        <f t="shared" si="292"/>
        <v>0</v>
      </c>
      <c r="P363" s="33">
        <f t="shared" si="293"/>
        <v>0</v>
      </c>
      <c r="Q363" s="34">
        <f t="shared" si="335"/>
        <v>676011.0564847358</v>
      </c>
      <c r="R363" s="29">
        <f t="shared" si="294"/>
        <v>0</v>
      </c>
      <c r="S363" s="34">
        <f t="shared" si="295"/>
        <v>676011.0564847358</v>
      </c>
      <c r="T363" s="29">
        <f t="shared" si="296"/>
        <v>563.34254707061325</v>
      </c>
      <c r="U363" s="29">
        <f t="shared" si="297"/>
        <v>0</v>
      </c>
      <c r="V363" s="35">
        <f t="shared" si="298"/>
        <v>1.0919180932436046E-4</v>
      </c>
      <c r="W363" s="34">
        <f t="shared" si="299"/>
        <v>0</v>
      </c>
      <c r="X363" s="34">
        <f t="shared" si="300"/>
        <v>675447.71393766522</v>
      </c>
      <c r="Y363" s="36">
        <f t="shared" si="301"/>
        <v>-2.1884796469850976E-3</v>
      </c>
      <c r="Z363" s="34">
        <f t="shared" si="302"/>
        <v>-1478.2035745551927</v>
      </c>
      <c r="AA363" s="34">
        <f t="shared" si="303"/>
        <v>674708.61215038761</v>
      </c>
      <c r="AB363" s="34">
        <f t="shared" si="304"/>
        <v>0</v>
      </c>
      <c r="AC363" s="34">
        <f t="shared" si="305"/>
        <v>0</v>
      </c>
      <c r="AD363" s="34">
        <f t="shared" si="306"/>
        <v>0</v>
      </c>
      <c r="AE363" s="34">
        <f t="shared" si="307"/>
        <v>0</v>
      </c>
      <c r="AF363" s="34">
        <f t="shared" si="308"/>
        <v>0</v>
      </c>
      <c r="AG363" s="29">
        <f t="shared" si="309"/>
        <v>674708.61215038761</v>
      </c>
      <c r="AH363" s="34">
        <f t="shared" si="310"/>
        <v>0</v>
      </c>
      <c r="AI363" s="34">
        <f t="shared" si="311"/>
        <v>0</v>
      </c>
      <c r="AJ363" s="34">
        <f t="shared" si="312"/>
        <v>0</v>
      </c>
      <c r="AK363" s="34">
        <f t="shared" si="313"/>
        <v>0</v>
      </c>
      <c r="AL363" s="34">
        <f t="shared" si="314"/>
        <v>0</v>
      </c>
      <c r="AM363" s="34">
        <f t="shared" si="315"/>
        <v>0</v>
      </c>
      <c r="AN363" s="34">
        <f t="shared" si="316"/>
        <v>0</v>
      </c>
      <c r="AO363" s="34">
        <f t="shared" si="317"/>
        <v>0</v>
      </c>
      <c r="AP363" s="34">
        <f t="shared" si="318"/>
        <v>0</v>
      </c>
      <c r="AQ363" s="34">
        <f t="shared" si="319"/>
        <v>0</v>
      </c>
      <c r="AR363" s="34">
        <f t="shared" si="320"/>
        <v>0</v>
      </c>
      <c r="AS363" s="30">
        <f t="shared" si="321"/>
        <v>1.3467317500164671</v>
      </c>
      <c r="AT363" s="29">
        <f t="shared" si="322"/>
        <v>0</v>
      </c>
      <c r="AU363" s="29">
        <f t="shared" si="323"/>
        <v>0</v>
      </c>
      <c r="AV363" s="34">
        <f t="shared" si="324"/>
        <v>0</v>
      </c>
      <c r="AW363" s="34">
        <f t="shared" si="325"/>
        <v>0</v>
      </c>
      <c r="AX363" s="29">
        <f t="shared" si="326"/>
        <v>0</v>
      </c>
      <c r="AY363" s="34">
        <f t="shared" si="327"/>
        <v>0</v>
      </c>
      <c r="AZ363" s="37">
        <f t="shared" si="328"/>
        <v>0</v>
      </c>
      <c r="BA363" s="37">
        <f t="shared" si="329"/>
        <v>0</v>
      </c>
      <c r="BB363" s="35">
        <f t="shared" si="330"/>
        <v>1.1148058461134536E-3</v>
      </c>
      <c r="BC363" s="31">
        <f t="shared" si="331"/>
        <v>0.6703251517262504</v>
      </c>
      <c r="BD363" s="34">
        <f t="shared" si="332"/>
        <v>0</v>
      </c>
    </row>
    <row r="364" spans="1:56" x14ac:dyDescent="0.2">
      <c r="A364" s="27">
        <f t="shared" si="333"/>
        <v>360</v>
      </c>
      <c r="B364" s="28">
        <f t="shared" si="280"/>
        <v>360</v>
      </c>
      <c r="C364" s="27">
        <f t="shared" si="281"/>
        <v>30</v>
      </c>
      <c r="D364" s="28">
        <f t="shared" si="282"/>
        <v>50</v>
      </c>
      <c r="E364" s="29">
        <f t="shared" si="283"/>
        <v>0</v>
      </c>
      <c r="F364" s="30">
        <f t="shared" si="284"/>
        <v>1.263411471135533E-3</v>
      </c>
      <c r="G364" s="31">
        <f t="shared" si="285"/>
        <v>1.053453048159847E-4</v>
      </c>
      <c r="H364" s="32">
        <f t="shared" si="286"/>
        <v>0.02</v>
      </c>
      <c r="I364" s="32">
        <f t="shared" si="287"/>
        <v>0</v>
      </c>
      <c r="J364" s="33">
        <f t="shared" si="334"/>
        <v>0</v>
      </c>
      <c r="K364" s="30">
        <f t="shared" si="288"/>
        <v>0</v>
      </c>
      <c r="L364" s="33">
        <f t="shared" si="289"/>
        <v>0</v>
      </c>
      <c r="M364" s="30">
        <f t="shared" si="290"/>
        <v>0</v>
      </c>
      <c r="N364" s="33">
        <f t="shared" si="291"/>
        <v>0</v>
      </c>
      <c r="O364" s="31">
        <f t="shared" si="292"/>
        <v>0</v>
      </c>
      <c r="P364" s="33">
        <f t="shared" si="293"/>
        <v>0</v>
      </c>
      <c r="Q364" s="34">
        <f t="shared" si="335"/>
        <v>673969.51036310999</v>
      </c>
      <c r="R364" s="29">
        <f t="shared" si="294"/>
        <v>0</v>
      </c>
      <c r="S364" s="34">
        <f t="shared" si="295"/>
        <v>673969.51036310999</v>
      </c>
      <c r="T364" s="29">
        <f t="shared" si="296"/>
        <v>561.64125863592506</v>
      </c>
      <c r="U364" s="29">
        <f t="shared" si="297"/>
        <v>0</v>
      </c>
      <c r="V364" s="35">
        <f t="shared" si="298"/>
        <v>1.1587983529758317E-4</v>
      </c>
      <c r="W364" s="34">
        <f t="shared" si="299"/>
        <v>0</v>
      </c>
      <c r="X364" s="34">
        <f t="shared" si="300"/>
        <v>673407.86910447408</v>
      </c>
      <c r="Y364" s="36">
        <f t="shared" si="301"/>
        <v>-4.1930253653470473E-3</v>
      </c>
      <c r="Z364" s="34">
        <f t="shared" si="302"/>
        <v>-2823.6162763793641</v>
      </c>
      <c r="AA364" s="34">
        <f t="shared" si="303"/>
        <v>671996.06096628436</v>
      </c>
      <c r="AB364" s="34">
        <f t="shared" si="304"/>
        <v>0</v>
      </c>
      <c r="AC364" s="34">
        <f t="shared" si="305"/>
        <v>0</v>
      </c>
      <c r="AD364" s="34">
        <f t="shared" si="306"/>
        <v>0</v>
      </c>
      <c r="AE364" s="34">
        <f t="shared" si="307"/>
        <v>0</v>
      </c>
      <c r="AF364" s="34">
        <f t="shared" si="308"/>
        <v>0</v>
      </c>
      <c r="AG364" s="29">
        <f t="shared" si="309"/>
        <v>671996.06096628436</v>
      </c>
      <c r="AH364" s="34">
        <f t="shared" si="310"/>
        <v>0</v>
      </c>
      <c r="AI364" s="34">
        <f t="shared" si="311"/>
        <v>0</v>
      </c>
      <c r="AJ364" s="34">
        <f t="shared" si="312"/>
        <v>0</v>
      </c>
      <c r="AK364" s="34">
        <f t="shared" si="313"/>
        <v>0</v>
      </c>
      <c r="AL364" s="34">
        <f t="shared" si="314"/>
        <v>0</v>
      </c>
      <c r="AM364" s="34">
        <f t="shared" si="315"/>
        <v>0</v>
      </c>
      <c r="AN364" s="34">
        <f t="shared" si="316"/>
        <v>0</v>
      </c>
      <c r="AO364" s="34">
        <f t="shared" si="317"/>
        <v>0</v>
      </c>
      <c r="AP364" s="34">
        <f t="shared" si="318"/>
        <v>0</v>
      </c>
      <c r="AQ364" s="34">
        <f t="shared" si="319"/>
        <v>0</v>
      </c>
      <c r="AR364" s="34">
        <f t="shared" si="320"/>
        <v>0</v>
      </c>
      <c r="AS364" s="30">
        <f t="shared" si="321"/>
        <v>1.3478489153329063</v>
      </c>
      <c r="AT364" s="29">
        <f t="shared" si="322"/>
        <v>0</v>
      </c>
      <c r="AU364" s="29">
        <f t="shared" si="323"/>
        <v>0</v>
      </c>
      <c r="AV364" s="34">
        <f t="shared" si="324"/>
        <v>0</v>
      </c>
      <c r="AW364" s="34">
        <f t="shared" si="325"/>
        <v>0</v>
      </c>
      <c r="AX364" s="29">
        <f t="shared" si="326"/>
        <v>0</v>
      </c>
      <c r="AY364" s="34">
        <f t="shared" si="327"/>
        <v>0</v>
      </c>
      <c r="AZ364" s="37">
        <f t="shared" si="328"/>
        <v>0</v>
      </c>
      <c r="BA364" s="37">
        <f t="shared" si="329"/>
        <v>0</v>
      </c>
      <c r="BB364" s="35">
        <f t="shared" si="330"/>
        <v>1.1098666182609573E-3</v>
      </c>
      <c r="BC364" s="31">
        <f t="shared" si="331"/>
        <v>0.67076902802954907</v>
      </c>
      <c r="BD364" s="34">
        <f t="shared" si="332"/>
        <v>0</v>
      </c>
    </row>
    <row r="365" spans="1:56" x14ac:dyDescent="0.2">
      <c r="A365" s="27">
        <f t="shared" si="333"/>
        <v>361</v>
      </c>
      <c r="B365" s="28">
        <f t="shared" si="280"/>
        <v>361</v>
      </c>
      <c r="C365" s="27">
        <f t="shared" si="281"/>
        <v>30</v>
      </c>
      <c r="D365" s="28">
        <f t="shared" si="282"/>
        <v>50</v>
      </c>
      <c r="E365" s="29">
        <f t="shared" si="283"/>
        <v>0</v>
      </c>
      <c r="F365" s="30">
        <f t="shared" si="284"/>
        <v>1.263411471135533E-3</v>
      </c>
      <c r="G365" s="31">
        <f t="shared" si="285"/>
        <v>1.053453048159847E-4</v>
      </c>
      <c r="H365" s="32">
        <f t="shared" si="286"/>
        <v>0.02</v>
      </c>
      <c r="I365" s="32">
        <f t="shared" si="287"/>
        <v>0</v>
      </c>
      <c r="J365" s="33">
        <f t="shared" si="334"/>
        <v>0</v>
      </c>
      <c r="K365" s="30">
        <f t="shared" si="288"/>
        <v>0</v>
      </c>
      <c r="L365" s="33">
        <f t="shared" si="289"/>
        <v>0</v>
      </c>
      <c r="M365" s="30">
        <f t="shared" si="290"/>
        <v>0</v>
      </c>
      <c r="N365" s="33">
        <f t="shared" si="291"/>
        <v>0</v>
      </c>
      <c r="O365" s="31">
        <f t="shared" si="292"/>
        <v>0</v>
      </c>
      <c r="P365" s="33">
        <f t="shared" si="293"/>
        <v>0</v>
      </c>
      <c r="Q365" s="34">
        <f t="shared" si="335"/>
        <v>670584.25282809476</v>
      </c>
      <c r="R365" s="29">
        <f t="shared" si="294"/>
        <v>0</v>
      </c>
      <c r="S365" s="34">
        <f t="shared" si="295"/>
        <v>670584.25282809476</v>
      </c>
      <c r="T365" s="29">
        <f t="shared" si="296"/>
        <v>558.82021069007897</v>
      </c>
      <c r="U365" s="29">
        <f t="shared" si="297"/>
        <v>0</v>
      </c>
      <c r="V365" s="35">
        <f t="shared" si="298"/>
        <v>1.1587983529758317E-4</v>
      </c>
      <c r="W365" s="34">
        <f t="shared" si="299"/>
        <v>0</v>
      </c>
      <c r="X365" s="34">
        <f t="shared" si="300"/>
        <v>670025.43261740473</v>
      </c>
      <c r="Y365" s="36">
        <f t="shared" si="301"/>
        <v>1.3117911322944042E-2</v>
      </c>
      <c r="Z365" s="34">
        <f t="shared" si="302"/>
        <v>8789.3342091923332</v>
      </c>
      <c r="AA365" s="34">
        <f t="shared" si="303"/>
        <v>674420.09972200089</v>
      </c>
      <c r="AB365" s="34">
        <f t="shared" si="304"/>
        <v>0</v>
      </c>
      <c r="AC365" s="34">
        <f t="shared" si="305"/>
        <v>0</v>
      </c>
      <c r="AD365" s="34">
        <f t="shared" si="306"/>
        <v>0</v>
      </c>
      <c r="AE365" s="34">
        <f t="shared" si="307"/>
        <v>0</v>
      </c>
      <c r="AF365" s="34">
        <f t="shared" si="308"/>
        <v>0</v>
      </c>
      <c r="AG365" s="29">
        <f t="shared" si="309"/>
        <v>674420.09972200089</v>
      </c>
      <c r="AH365" s="34">
        <f t="shared" si="310"/>
        <v>0</v>
      </c>
      <c r="AI365" s="34">
        <f t="shared" si="311"/>
        <v>0</v>
      </c>
      <c r="AJ365" s="34">
        <f t="shared" si="312"/>
        <v>0</v>
      </c>
      <c r="AK365" s="34">
        <f t="shared" si="313"/>
        <v>0</v>
      </c>
      <c r="AL365" s="34">
        <f t="shared" si="314"/>
        <v>0</v>
      </c>
      <c r="AM365" s="34">
        <f t="shared" si="315"/>
        <v>0</v>
      </c>
      <c r="AN365" s="34">
        <f t="shared" si="316"/>
        <v>0</v>
      </c>
      <c r="AO365" s="34">
        <f t="shared" si="317"/>
        <v>0</v>
      </c>
      <c r="AP365" s="34">
        <f t="shared" si="318"/>
        <v>0</v>
      </c>
      <c r="AQ365" s="34">
        <f t="shared" si="319"/>
        <v>0</v>
      </c>
      <c r="AR365" s="34">
        <f t="shared" si="320"/>
        <v>0</v>
      </c>
      <c r="AS365" s="30">
        <f t="shared" si="321"/>
        <v>1.3489670073805549</v>
      </c>
      <c r="AT365" s="29">
        <f t="shared" si="322"/>
        <v>0</v>
      </c>
      <c r="AU365" s="29">
        <f t="shared" si="323"/>
        <v>0</v>
      </c>
      <c r="AV365" s="34">
        <f t="shared" si="324"/>
        <v>0</v>
      </c>
      <c r="AW365" s="34">
        <f t="shared" si="325"/>
        <v>0</v>
      </c>
      <c r="AX365" s="29">
        <f t="shared" si="326"/>
        <v>0</v>
      </c>
      <c r="AY365" s="34">
        <f t="shared" si="327"/>
        <v>0</v>
      </c>
      <c r="AZ365" s="37">
        <f t="shared" si="328"/>
        <v>0</v>
      </c>
      <c r="BA365" s="37">
        <f t="shared" si="329"/>
        <v>0</v>
      </c>
      <c r="BB365" s="35">
        <f t="shared" si="330"/>
        <v>1.1098666182609573E-3</v>
      </c>
      <c r="BC365" s="31">
        <f t="shared" si="331"/>
        <v>0.6700253892166701</v>
      </c>
      <c r="BD365" s="34">
        <f t="shared" si="332"/>
        <v>0</v>
      </c>
    </row>
    <row r="366" spans="1:56" x14ac:dyDescent="0.2">
      <c r="A366" s="27">
        <f t="shared" si="333"/>
        <v>362</v>
      </c>
      <c r="B366" s="28">
        <f t="shared" si="280"/>
        <v>362</v>
      </c>
      <c r="C366" s="27">
        <f t="shared" si="281"/>
        <v>30</v>
      </c>
      <c r="D366" s="28">
        <f t="shared" si="282"/>
        <v>50</v>
      </c>
      <c r="E366" s="29">
        <f t="shared" si="283"/>
        <v>0</v>
      </c>
      <c r="F366" s="30">
        <f t="shared" si="284"/>
        <v>1.263411471135533E-3</v>
      </c>
      <c r="G366" s="31">
        <f t="shared" si="285"/>
        <v>1.053453048159847E-4</v>
      </c>
      <c r="H366" s="32">
        <f t="shared" si="286"/>
        <v>0.02</v>
      </c>
      <c r="I366" s="32">
        <f t="shared" si="287"/>
        <v>0</v>
      </c>
      <c r="J366" s="33">
        <f t="shared" si="334"/>
        <v>0</v>
      </c>
      <c r="K366" s="30">
        <f t="shared" si="288"/>
        <v>0</v>
      </c>
      <c r="L366" s="33">
        <f t="shared" si="289"/>
        <v>0</v>
      </c>
      <c r="M366" s="30">
        <f t="shared" si="290"/>
        <v>0</v>
      </c>
      <c r="N366" s="33">
        <f t="shared" si="291"/>
        <v>0</v>
      </c>
      <c r="O366" s="31">
        <f t="shared" si="292"/>
        <v>0</v>
      </c>
      <c r="P366" s="33">
        <f t="shared" si="293"/>
        <v>0</v>
      </c>
      <c r="Q366" s="34">
        <f t="shared" si="335"/>
        <v>678814.76682659704</v>
      </c>
      <c r="R366" s="29">
        <f t="shared" si="294"/>
        <v>0</v>
      </c>
      <c r="S366" s="34">
        <f t="shared" si="295"/>
        <v>678814.76682659704</v>
      </c>
      <c r="T366" s="29">
        <f t="shared" si="296"/>
        <v>565.67897235549754</v>
      </c>
      <c r="U366" s="29">
        <f t="shared" si="297"/>
        <v>0</v>
      </c>
      <c r="V366" s="35">
        <f t="shared" si="298"/>
        <v>1.1587983529758317E-4</v>
      </c>
      <c r="W366" s="34">
        <f t="shared" si="299"/>
        <v>0</v>
      </c>
      <c r="X366" s="34">
        <f t="shared" si="300"/>
        <v>678249.08785424149</v>
      </c>
      <c r="Y366" s="36">
        <f t="shared" si="301"/>
        <v>4.0132734378839352E-3</v>
      </c>
      <c r="Z366" s="34">
        <f t="shared" si="302"/>
        <v>2721.9990485544349</v>
      </c>
      <c r="AA366" s="34">
        <f t="shared" si="303"/>
        <v>679610.08737851866</v>
      </c>
      <c r="AB366" s="34">
        <f t="shared" si="304"/>
        <v>0</v>
      </c>
      <c r="AC366" s="34">
        <f t="shared" si="305"/>
        <v>0</v>
      </c>
      <c r="AD366" s="34">
        <f t="shared" si="306"/>
        <v>0</v>
      </c>
      <c r="AE366" s="34">
        <f t="shared" si="307"/>
        <v>0</v>
      </c>
      <c r="AF366" s="34">
        <f t="shared" si="308"/>
        <v>0</v>
      </c>
      <c r="AG366" s="29">
        <f t="shared" si="309"/>
        <v>679610.08737851866</v>
      </c>
      <c r="AH366" s="34">
        <f t="shared" si="310"/>
        <v>0</v>
      </c>
      <c r="AI366" s="34">
        <f t="shared" si="311"/>
        <v>0</v>
      </c>
      <c r="AJ366" s="34">
        <f t="shared" si="312"/>
        <v>0</v>
      </c>
      <c r="AK366" s="34">
        <f t="shared" si="313"/>
        <v>0</v>
      </c>
      <c r="AL366" s="34">
        <f t="shared" si="314"/>
        <v>0</v>
      </c>
      <c r="AM366" s="34">
        <f t="shared" si="315"/>
        <v>0</v>
      </c>
      <c r="AN366" s="34">
        <f t="shared" si="316"/>
        <v>0</v>
      </c>
      <c r="AO366" s="34">
        <f t="shared" si="317"/>
        <v>0</v>
      </c>
      <c r="AP366" s="34">
        <f t="shared" si="318"/>
        <v>0</v>
      </c>
      <c r="AQ366" s="34">
        <f t="shared" si="319"/>
        <v>0</v>
      </c>
      <c r="AR366" s="34">
        <f t="shared" si="320"/>
        <v>0</v>
      </c>
      <c r="AS366" s="30">
        <f t="shared" si="321"/>
        <v>1.3500860269281727</v>
      </c>
      <c r="AT366" s="29">
        <f t="shared" si="322"/>
        <v>0</v>
      </c>
      <c r="AU366" s="29">
        <f t="shared" si="323"/>
        <v>0</v>
      </c>
      <c r="AV366" s="34">
        <f t="shared" si="324"/>
        <v>0</v>
      </c>
      <c r="AW366" s="34">
        <f t="shared" si="325"/>
        <v>0</v>
      </c>
      <c r="AX366" s="29">
        <f t="shared" si="326"/>
        <v>0</v>
      </c>
      <c r="AY366" s="34">
        <f t="shared" si="327"/>
        <v>0</v>
      </c>
      <c r="AZ366" s="37">
        <f t="shared" si="328"/>
        <v>0</v>
      </c>
      <c r="BA366" s="37">
        <f t="shared" si="329"/>
        <v>0</v>
      </c>
      <c r="BB366" s="35">
        <f t="shared" si="330"/>
        <v>1.1098666182609573E-3</v>
      </c>
      <c r="BC366" s="31">
        <f t="shared" si="331"/>
        <v>0.66928257482868403</v>
      </c>
      <c r="BD366" s="34">
        <f t="shared" si="332"/>
        <v>0</v>
      </c>
    </row>
    <row r="367" spans="1:56" x14ac:dyDescent="0.2">
      <c r="A367" s="27">
        <f t="shared" si="333"/>
        <v>363</v>
      </c>
      <c r="B367" s="28">
        <f t="shared" si="280"/>
        <v>363</v>
      </c>
      <c r="C367" s="27">
        <f t="shared" si="281"/>
        <v>30</v>
      </c>
      <c r="D367" s="28">
        <f t="shared" si="282"/>
        <v>50</v>
      </c>
      <c r="E367" s="29">
        <f t="shared" si="283"/>
        <v>0</v>
      </c>
      <c r="F367" s="30">
        <f t="shared" si="284"/>
        <v>1.263411471135533E-3</v>
      </c>
      <c r="G367" s="31">
        <f t="shared" si="285"/>
        <v>1.053453048159847E-4</v>
      </c>
      <c r="H367" s="32">
        <f t="shared" si="286"/>
        <v>0.02</v>
      </c>
      <c r="I367" s="32">
        <f t="shared" si="287"/>
        <v>0</v>
      </c>
      <c r="J367" s="33">
        <f t="shared" si="334"/>
        <v>0</v>
      </c>
      <c r="K367" s="30">
        <f t="shared" si="288"/>
        <v>0</v>
      </c>
      <c r="L367" s="33">
        <f t="shared" si="289"/>
        <v>0</v>
      </c>
      <c r="M367" s="30">
        <f t="shared" si="290"/>
        <v>0</v>
      </c>
      <c r="N367" s="33">
        <f t="shared" si="291"/>
        <v>0</v>
      </c>
      <c r="O367" s="31">
        <f t="shared" si="292"/>
        <v>0</v>
      </c>
      <c r="P367" s="33">
        <f t="shared" si="293"/>
        <v>0</v>
      </c>
      <c r="Q367" s="34">
        <f t="shared" si="335"/>
        <v>680971.08690279594</v>
      </c>
      <c r="R367" s="29">
        <f t="shared" si="294"/>
        <v>0</v>
      </c>
      <c r="S367" s="34">
        <f t="shared" si="295"/>
        <v>680971.08690279594</v>
      </c>
      <c r="T367" s="29">
        <f t="shared" si="296"/>
        <v>567.47590575232994</v>
      </c>
      <c r="U367" s="29">
        <f t="shared" si="297"/>
        <v>0</v>
      </c>
      <c r="V367" s="35">
        <f t="shared" si="298"/>
        <v>1.1587983529758317E-4</v>
      </c>
      <c r="W367" s="34">
        <f t="shared" si="299"/>
        <v>0</v>
      </c>
      <c r="X367" s="34">
        <f t="shared" si="300"/>
        <v>680403.61099704367</v>
      </c>
      <c r="Y367" s="36">
        <f t="shared" si="301"/>
        <v>7.9812701821391219E-3</v>
      </c>
      <c r="Z367" s="34">
        <f t="shared" si="302"/>
        <v>5430.485052270491</v>
      </c>
      <c r="AA367" s="34">
        <f t="shared" si="303"/>
        <v>683118.85352317896</v>
      </c>
      <c r="AB367" s="34">
        <f t="shared" si="304"/>
        <v>0</v>
      </c>
      <c r="AC367" s="34">
        <f t="shared" si="305"/>
        <v>0</v>
      </c>
      <c r="AD367" s="34">
        <f t="shared" si="306"/>
        <v>0</v>
      </c>
      <c r="AE367" s="34">
        <f t="shared" si="307"/>
        <v>0</v>
      </c>
      <c r="AF367" s="34">
        <f t="shared" si="308"/>
        <v>0</v>
      </c>
      <c r="AG367" s="29">
        <f t="shared" si="309"/>
        <v>683118.85352317896</v>
      </c>
      <c r="AH367" s="34">
        <f t="shared" si="310"/>
        <v>0</v>
      </c>
      <c r="AI367" s="34">
        <f t="shared" si="311"/>
        <v>0</v>
      </c>
      <c r="AJ367" s="34">
        <f t="shared" si="312"/>
        <v>0</v>
      </c>
      <c r="AK367" s="34">
        <f t="shared" si="313"/>
        <v>0</v>
      </c>
      <c r="AL367" s="34">
        <f t="shared" si="314"/>
        <v>0</v>
      </c>
      <c r="AM367" s="34">
        <f t="shared" si="315"/>
        <v>0</v>
      </c>
      <c r="AN367" s="34">
        <f t="shared" si="316"/>
        <v>0</v>
      </c>
      <c r="AO367" s="34">
        <f t="shared" si="317"/>
        <v>0</v>
      </c>
      <c r="AP367" s="34">
        <f t="shared" si="318"/>
        <v>0</v>
      </c>
      <c r="AQ367" s="34">
        <f t="shared" si="319"/>
        <v>0</v>
      </c>
      <c r="AR367" s="34">
        <f t="shared" si="320"/>
        <v>0</v>
      </c>
      <c r="AS367" s="30">
        <f t="shared" si="321"/>
        <v>1.3512059747451559</v>
      </c>
      <c r="AT367" s="29">
        <f t="shared" si="322"/>
        <v>0</v>
      </c>
      <c r="AU367" s="29">
        <f t="shared" si="323"/>
        <v>0</v>
      </c>
      <c r="AV367" s="34">
        <f t="shared" si="324"/>
        <v>0</v>
      </c>
      <c r="AW367" s="34">
        <f t="shared" si="325"/>
        <v>0</v>
      </c>
      <c r="AX367" s="29">
        <f t="shared" si="326"/>
        <v>0</v>
      </c>
      <c r="AY367" s="34">
        <f t="shared" si="327"/>
        <v>0</v>
      </c>
      <c r="AZ367" s="37">
        <f t="shared" si="328"/>
        <v>0</v>
      </c>
      <c r="BA367" s="37">
        <f t="shared" si="329"/>
        <v>0</v>
      </c>
      <c r="BB367" s="35">
        <f t="shared" si="330"/>
        <v>1.1098666182609573E-3</v>
      </c>
      <c r="BC367" s="31">
        <f t="shared" si="331"/>
        <v>0.66854058395160365</v>
      </c>
      <c r="BD367" s="34">
        <f t="shared" si="332"/>
        <v>0</v>
      </c>
    </row>
    <row r="368" spans="1:56" x14ac:dyDescent="0.2">
      <c r="A368" s="27">
        <f t="shared" si="333"/>
        <v>364</v>
      </c>
      <c r="B368" s="28">
        <f t="shared" si="280"/>
        <v>364</v>
      </c>
      <c r="C368" s="27">
        <f t="shared" si="281"/>
        <v>30</v>
      </c>
      <c r="D368" s="28">
        <f t="shared" si="282"/>
        <v>50</v>
      </c>
      <c r="E368" s="29">
        <f t="shared" si="283"/>
        <v>0</v>
      </c>
      <c r="F368" s="30">
        <f t="shared" si="284"/>
        <v>1.263411471135533E-3</v>
      </c>
      <c r="G368" s="31">
        <f t="shared" si="285"/>
        <v>1.053453048159847E-4</v>
      </c>
      <c r="H368" s="32">
        <f t="shared" si="286"/>
        <v>0.02</v>
      </c>
      <c r="I368" s="32">
        <f t="shared" si="287"/>
        <v>0</v>
      </c>
      <c r="J368" s="33">
        <f t="shared" si="334"/>
        <v>0</v>
      </c>
      <c r="K368" s="30">
        <f t="shared" si="288"/>
        <v>0</v>
      </c>
      <c r="L368" s="33">
        <f t="shared" si="289"/>
        <v>0</v>
      </c>
      <c r="M368" s="30">
        <f t="shared" si="290"/>
        <v>0</v>
      </c>
      <c r="N368" s="33">
        <f t="shared" si="291"/>
        <v>0</v>
      </c>
      <c r="O368" s="31">
        <f t="shared" si="292"/>
        <v>0</v>
      </c>
      <c r="P368" s="33">
        <f t="shared" si="293"/>
        <v>0</v>
      </c>
      <c r="Q368" s="34">
        <f t="shared" si="335"/>
        <v>685834.09604931413</v>
      </c>
      <c r="R368" s="29">
        <f t="shared" si="294"/>
        <v>0</v>
      </c>
      <c r="S368" s="34">
        <f t="shared" si="295"/>
        <v>685834.09604931413</v>
      </c>
      <c r="T368" s="29">
        <f t="shared" si="296"/>
        <v>571.52841337442851</v>
      </c>
      <c r="U368" s="29">
        <f t="shared" si="297"/>
        <v>0</v>
      </c>
      <c r="V368" s="35">
        <f t="shared" si="298"/>
        <v>1.1587983529758317E-4</v>
      </c>
      <c r="W368" s="34">
        <f t="shared" si="299"/>
        <v>0</v>
      </c>
      <c r="X368" s="34">
        <f t="shared" si="300"/>
        <v>685262.56763593969</v>
      </c>
      <c r="Y368" s="36">
        <f t="shared" si="301"/>
        <v>-4.3401819512335349E-3</v>
      </c>
      <c r="Z368" s="34">
        <f t="shared" si="302"/>
        <v>-2974.1642279094549</v>
      </c>
      <c r="AA368" s="34">
        <f t="shared" si="303"/>
        <v>683775.48552198499</v>
      </c>
      <c r="AB368" s="34">
        <f t="shared" si="304"/>
        <v>0</v>
      </c>
      <c r="AC368" s="34">
        <f t="shared" si="305"/>
        <v>0</v>
      </c>
      <c r="AD368" s="34">
        <f t="shared" si="306"/>
        <v>0</v>
      </c>
      <c r="AE368" s="34">
        <f t="shared" si="307"/>
        <v>0</v>
      </c>
      <c r="AF368" s="34">
        <f t="shared" si="308"/>
        <v>0</v>
      </c>
      <c r="AG368" s="29">
        <f t="shared" si="309"/>
        <v>683775.48552198499</v>
      </c>
      <c r="AH368" s="34">
        <f t="shared" si="310"/>
        <v>0</v>
      </c>
      <c r="AI368" s="34">
        <f t="shared" si="311"/>
        <v>0</v>
      </c>
      <c r="AJ368" s="34">
        <f t="shared" si="312"/>
        <v>0</v>
      </c>
      <c r="AK368" s="34">
        <f t="shared" si="313"/>
        <v>0</v>
      </c>
      <c r="AL368" s="34">
        <f t="shared" si="314"/>
        <v>0</v>
      </c>
      <c r="AM368" s="34">
        <f t="shared" si="315"/>
        <v>0</v>
      </c>
      <c r="AN368" s="34">
        <f t="shared" si="316"/>
        <v>0</v>
      </c>
      <c r="AO368" s="34">
        <f t="shared" si="317"/>
        <v>0</v>
      </c>
      <c r="AP368" s="34">
        <f t="shared" si="318"/>
        <v>0</v>
      </c>
      <c r="AQ368" s="34">
        <f t="shared" si="319"/>
        <v>0</v>
      </c>
      <c r="AR368" s="34">
        <f t="shared" si="320"/>
        <v>0</v>
      </c>
      <c r="AS368" s="30">
        <f t="shared" si="321"/>
        <v>1.3523268516015392</v>
      </c>
      <c r="AT368" s="29">
        <f t="shared" si="322"/>
        <v>0</v>
      </c>
      <c r="AU368" s="29">
        <f t="shared" si="323"/>
        <v>0</v>
      </c>
      <c r="AV368" s="34">
        <f t="shared" si="324"/>
        <v>0</v>
      </c>
      <c r="AW368" s="34">
        <f t="shared" si="325"/>
        <v>0</v>
      </c>
      <c r="AX368" s="29">
        <f t="shared" si="326"/>
        <v>0</v>
      </c>
      <c r="AY368" s="34">
        <f t="shared" si="327"/>
        <v>0</v>
      </c>
      <c r="AZ368" s="37">
        <f t="shared" si="328"/>
        <v>0</v>
      </c>
      <c r="BA368" s="37">
        <f t="shared" si="329"/>
        <v>0</v>
      </c>
      <c r="BB368" s="35">
        <f t="shared" si="330"/>
        <v>1.1098666182609573E-3</v>
      </c>
      <c r="BC368" s="31">
        <f t="shared" si="331"/>
        <v>0.66779941567245438</v>
      </c>
      <c r="BD368" s="34">
        <f t="shared" si="332"/>
        <v>0</v>
      </c>
    </row>
    <row r="369" spans="1:56" x14ac:dyDescent="0.2">
      <c r="A369" s="27">
        <f t="shared" si="333"/>
        <v>365</v>
      </c>
      <c r="B369" s="28">
        <f t="shared" si="280"/>
        <v>365</v>
      </c>
      <c r="C369" s="27">
        <f t="shared" si="281"/>
        <v>30</v>
      </c>
      <c r="D369" s="28">
        <f t="shared" si="282"/>
        <v>50</v>
      </c>
      <c r="E369" s="29">
        <f t="shared" si="283"/>
        <v>0</v>
      </c>
      <c r="F369" s="30">
        <f t="shared" si="284"/>
        <v>1.263411471135533E-3</v>
      </c>
      <c r="G369" s="31">
        <f t="shared" si="285"/>
        <v>1.053453048159847E-4</v>
      </c>
      <c r="H369" s="32">
        <f t="shared" si="286"/>
        <v>0.02</v>
      </c>
      <c r="I369" s="32">
        <f t="shared" si="287"/>
        <v>0</v>
      </c>
      <c r="J369" s="33">
        <f t="shared" si="334"/>
        <v>0</v>
      </c>
      <c r="K369" s="30">
        <f t="shared" si="288"/>
        <v>0</v>
      </c>
      <c r="L369" s="33">
        <f t="shared" si="289"/>
        <v>0</v>
      </c>
      <c r="M369" s="30">
        <f t="shared" si="290"/>
        <v>0</v>
      </c>
      <c r="N369" s="33">
        <f t="shared" si="291"/>
        <v>0</v>
      </c>
      <c r="O369" s="31">
        <f t="shared" si="292"/>
        <v>0</v>
      </c>
      <c r="P369" s="33">
        <f t="shared" si="293"/>
        <v>0</v>
      </c>
      <c r="Q369" s="34">
        <f t="shared" si="335"/>
        <v>682288.40340803028</v>
      </c>
      <c r="R369" s="29">
        <f t="shared" si="294"/>
        <v>0</v>
      </c>
      <c r="S369" s="34">
        <f t="shared" si="295"/>
        <v>682288.40340803028</v>
      </c>
      <c r="T369" s="29">
        <f t="shared" si="296"/>
        <v>568.57366950669189</v>
      </c>
      <c r="U369" s="29">
        <f t="shared" si="297"/>
        <v>0</v>
      </c>
      <c r="V369" s="35">
        <f t="shared" si="298"/>
        <v>1.1587983529758317E-4</v>
      </c>
      <c r="W369" s="34">
        <f t="shared" si="299"/>
        <v>0</v>
      </c>
      <c r="X369" s="34">
        <f t="shared" si="300"/>
        <v>681719.82973852358</v>
      </c>
      <c r="Y369" s="36">
        <f t="shared" si="301"/>
        <v>1.3027357000513495E-2</v>
      </c>
      <c r="Z369" s="34">
        <f t="shared" si="302"/>
        <v>8881.0075963330237</v>
      </c>
      <c r="AA369" s="34">
        <f t="shared" si="303"/>
        <v>686160.3335366901</v>
      </c>
      <c r="AB369" s="34">
        <f t="shared" si="304"/>
        <v>0</v>
      </c>
      <c r="AC369" s="34">
        <f t="shared" si="305"/>
        <v>0</v>
      </c>
      <c r="AD369" s="34">
        <f t="shared" si="306"/>
        <v>0</v>
      </c>
      <c r="AE369" s="34">
        <f t="shared" si="307"/>
        <v>0</v>
      </c>
      <c r="AF369" s="34">
        <f t="shared" si="308"/>
        <v>0</v>
      </c>
      <c r="AG369" s="29">
        <f t="shared" si="309"/>
        <v>686160.3335366901</v>
      </c>
      <c r="AH369" s="34">
        <f t="shared" si="310"/>
        <v>0</v>
      </c>
      <c r="AI369" s="34">
        <f t="shared" si="311"/>
        <v>0</v>
      </c>
      <c r="AJ369" s="34">
        <f t="shared" si="312"/>
        <v>0</v>
      </c>
      <c r="AK369" s="34">
        <f t="shared" si="313"/>
        <v>0</v>
      </c>
      <c r="AL369" s="34">
        <f t="shared" si="314"/>
        <v>0</v>
      </c>
      <c r="AM369" s="34">
        <f t="shared" si="315"/>
        <v>0</v>
      </c>
      <c r="AN369" s="34">
        <f t="shared" si="316"/>
        <v>0</v>
      </c>
      <c r="AO369" s="34">
        <f t="shared" si="317"/>
        <v>0</v>
      </c>
      <c r="AP369" s="34">
        <f t="shared" si="318"/>
        <v>0</v>
      </c>
      <c r="AQ369" s="34">
        <f t="shared" si="319"/>
        <v>0</v>
      </c>
      <c r="AR369" s="34">
        <f t="shared" si="320"/>
        <v>0</v>
      </c>
      <c r="AS369" s="30">
        <f t="shared" si="321"/>
        <v>1.3534486582679965</v>
      </c>
      <c r="AT369" s="29">
        <f t="shared" si="322"/>
        <v>0</v>
      </c>
      <c r="AU369" s="29">
        <f t="shared" si="323"/>
        <v>0</v>
      </c>
      <c r="AV369" s="34">
        <f t="shared" si="324"/>
        <v>0</v>
      </c>
      <c r="AW369" s="34">
        <f t="shared" si="325"/>
        <v>0</v>
      </c>
      <c r="AX369" s="29">
        <f t="shared" si="326"/>
        <v>0</v>
      </c>
      <c r="AY369" s="34">
        <f t="shared" si="327"/>
        <v>0</v>
      </c>
      <c r="AZ369" s="37">
        <f t="shared" si="328"/>
        <v>0</v>
      </c>
      <c r="BA369" s="37">
        <f t="shared" si="329"/>
        <v>0</v>
      </c>
      <c r="BB369" s="35">
        <f t="shared" si="330"/>
        <v>1.1098666182609573E-3</v>
      </c>
      <c r="BC369" s="31">
        <f t="shared" si="331"/>
        <v>0.66705906907927515</v>
      </c>
      <c r="BD369" s="34">
        <f t="shared" si="332"/>
        <v>0</v>
      </c>
    </row>
    <row r="370" spans="1:56" x14ac:dyDescent="0.2">
      <c r="A370" s="27">
        <f t="shared" si="333"/>
        <v>366</v>
      </c>
      <c r="B370" s="28">
        <f t="shared" si="280"/>
        <v>366</v>
      </c>
      <c r="C370" s="27">
        <f t="shared" si="281"/>
        <v>30</v>
      </c>
      <c r="D370" s="28">
        <f t="shared" si="282"/>
        <v>50</v>
      </c>
      <c r="E370" s="29">
        <f t="shared" si="283"/>
        <v>0</v>
      </c>
      <c r="F370" s="30">
        <f t="shared" si="284"/>
        <v>1.263411471135533E-3</v>
      </c>
      <c r="G370" s="31">
        <f t="shared" si="285"/>
        <v>1.053453048159847E-4</v>
      </c>
      <c r="H370" s="32">
        <f t="shared" si="286"/>
        <v>0.02</v>
      </c>
      <c r="I370" s="32">
        <f t="shared" si="287"/>
        <v>0</v>
      </c>
      <c r="J370" s="33">
        <f t="shared" si="334"/>
        <v>0</v>
      </c>
      <c r="K370" s="30">
        <f t="shared" si="288"/>
        <v>0</v>
      </c>
      <c r="L370" s="33">
        <f t="shared" si="289"/>
        <v>0</v>
      </c>
      <c r="M370" s="30">
        <f t="shared" si="290"/>
        <v>0</v>
      </c>
      <c r="N370" s="33">
        <f t="shared" si="291"/>
        <v>0</v>
      </c>
      <c r="O370" s="31">
        <f t="shared" si="292"/>
        <v>0</v>
      </c>
      <c r="P370" s="33">
        <f t="shared" si="293"/>
        <v>0</v>
      </c>
      <c r="Q370" s="34">
        <f t="shared" si="335"/>
        <v>690600.83733485662</v>
      </c>
      <c r="R370" s="29">
        <f t="shared" si="294"/>
        <v>0</v>
      </c>
      <c r="S370" s="34">
        <f t="shared" si="295"/>
        <v>690600.83733485662</v>
      </c>
      <c r="T370" s="29">
        <f t="shared" si="296"/>
        <v>575.50069777904719</v>
      </c>
      <c r="U370" s="29">
        <f t="shared" si="297"/>
        <v>0</v>
      </c>
      <c r="V370" s="35">
        <f t="shared" si="298"/>
        <v>1.1587983529758317E-4</v>
      </c>
      <c r="W370" s="34">
        <f t="shared" si="299"/>
        <v>0</v>
      </c>
      <c r="X370" s="34">
        <f t="shared" si="300"/>
        <v>690025.33663707762</v>
      </c>
      <c r="Y370" s="36">
        <f t="shared" si="301"/>
        <v>5.8632064819086338E-4</v>
      </c>
      <c r="Z370" s="34">
        <f t="shared" si="302"/>
        <v>404.57610264517007</v>
      </c>
      <c r="AA370" s="34">
        <f t="shared" si="303"/>
        <v>690227.62468840019</v>
      </c>
      <c r="AB370" s="34">
        <f t="shared" si="304"/>
        <v>0</v>
      </c>
      <c r="AC370" s="34">
        <f t="shared" si="305"/>
        <v>0</v>
      </c>
      <c r="AD370" s="34">
        <f t="shared" si="306"/>
        <v>0</v>
      </c>
      <c r="AE370" s="34">
        <f t="shared" si="307"/>
        <v>0</v>
      </c>
      <c r="AF370" s="34">
        <f t="shared" si="308"/>
        <v>0</v>
      </c>
      <c r="AG370" s="29">
        <f t="shared" si="309"/>
        <v>690227.62468840019</v>
      </c>
      <c r="AH370" s="34">
        <f t="shared" si="310"/>
        <v>0</v>
      </c>
      <c r="AI370" s="34">
        <f t="shared" si="311"/>
        <v>0</v>
      </c>
      <c r="AJ370" s="34">
        <f t="shared" si="312"/>
        <v>0</v>
      </c>
      <c r="AK370" s="34">
        <f t="shared" si="313"/>
        <v>0</v>
      </c>
      <c r="AL370" s="34">
        <f t="shared" si="314"/>
        <v>0</v>
      </c>
      <c r="AM370" s="34">
        <f t="shared" si="315"/>
        <v>0</v>
      </c>
      <c r="AN370" s="34">
        <f t="shared" si="316"/>
        <v>0</v>
      </c>
      <c r="AO370" s="34">
        <f t="shared" si="317"/>
        <v>0</v>
      </c>
      <c r="AP370" s="34">
        <f t="shared" si="318"/>
        <v>0</v>
      </c>
      <c r="AQ370" s="34">
        <f t="shared" si="319"/>
        <v>0</v>
      </c>
      <c r="AR370" s="34">
        <f t="shared" si="320"/>
        <v>0</v>
      </c>
      <c r="AS370" s="30">
        <f t="shared" si="321"/>
        <v>1.3545713955158407</v>
      </c>
      <c r="AT370" s="29">
        <f t="shared" si="322"/>
        <v>0</v>
      </c>
      <c r="AU370" s="29">
        <f t="shared" si="323"/>
        <v>0</v>
      </c>
      <c r="AV370" s="34">
        <f t="shared" si="324"/>
        <v>0</v>
      </c>
      <c r="AW370" s="34">
        <f t="shared" si="325"/>
        <v>0</v>
      </c>
      <c r="AX370" s="29">
        <f t="shared" si="326"/>
        <v>0</v>
      </c>
      <c r="AY370" s="34">
        <f t="shared" si="327"/>
        <v>0</v>
      </c>
      <c r="AZ370" s="37">
        <f t="shared" si="328"/>
        <v>0</v>
      </c>
      <c r="BA370" s="37">
        <f t="shared" si="329"/>
        <v>0</v>
      </c>
      <c r="BB370" s="35">
        <f t="shared" si="330"/>
        <v>1.1098666182609573E-3</v>
      </c>
      <c r="BC370" s="31">
        <f t="shared" si="331"/>
        <v>0.66631954326111464</v>
      </c>
      <c r="BD370" s="34">
        <f t="shared" si="332"/>
        <v>0</v>
      </c>
    </row>
    <row r="371" spans="1:56" x14ac:dyDescent="0.2">
      <c r="A371" s="27">
        <f t="shared" si="333"/>
        <v>367</v>
      </c>
      <c r="B371" s="28">
        <f t="shared" si="280"/>
        <v>367</v>
      </c>
      <c r="C371" s="27">
        <f t="shared" si="281"/>
        <v>30</v>
      </c>
      <c r="D371" s="28">
        <f t="shared" si="282"/>
        <v>50</v>
      </c>
      <c r="E371" s="29">
        <f t="shared" si="283"/>
        <v>0</v>
      </c>
      <c r="F371" s="30">
        <f t="shared" si="284"/>
        <v>1.263411471135533E-3</v>
      </c>
      <c r="G371" s="31">
        <f t="shared" si="285"/>
        <v>1.053453048159847E-4</v>
      </c>
      <c r="H371" s="32">
        <f t="shared" si="286"/>
        <v>0.02</v>
      </c>
      <c r="I371" s="32">
        <f t="shared" si="287"/>
        <v>0</v>
      </c>
      <c r="J371" s="33">
        <f t="shared" si="334"/>
        <v>0</v>
      </c>
      <c r="K371" s="30">
        <f t="shared" si="288"/>
        <v>0</v>
      </c>
      <c r="L371" s="33">
        <f t="shared" si="289"/>
        <v>0</v>
      </c>
      <c r="M371" s="30">
        <f t="shared" si="290"/>
        <v>0</v>
      </c>
      <c r="N371" s="33">
        <f t="shared" si="291"/>
        <v>0</v>
      </c>
      <c r="O371" s="31">
        <f t="shared" si="292"/>
        <v>0</v>
      </c>
      <c r="P371" s="33">
        <f t="shared" si="293"/>
        <v>0</v>
      </c>
      <c r="Q371" s="34">
        <f t="shared" si="335"/>
        <v>690429.91273972276</v>
      </c>
      <c r="R371" s="29">
        <f t="shared" si="294"/>
        <v>0</v>
      </c>
      <c r="S371" s="34">
        <f t="shared" si="295"/>
        <v>690429.91273972276</v>
      </c>
      <c r="T371" s="29">
        <f t="shared" si="296"/>
        <v>575.3582606164357</v>
      </c>
      <c r="U371" s="29">
        <f t="shared" si="297"/>
        <v>0</v>
      </c>
      <c r="V371" s="35">
        <f t="shared" si="298"/>
        <v>1.1587983529758317E-4</v>
      </c>
      <c r="W371" s="34">
        <f t="shared" si="299"/>
        <v>0</v>
      </c>
      <c r="X371" s="34">
        <f t="shared" si="300"/>
        <v>689854.55447910633</v>
      </c>
      <c r="Y371" s="36">
        <f t="shared" si="301"/>
        <v>-1.1636196584536851E-3</v>
      </c>
      <c r="Z371" s="34">
        <f t="shared" si="302"/>
        <v>-802.72832106569683</v>
      </c>
      <c r="AA371" s="34">
        <f t="shared" si="303"/>
        <v>689453.1903185735</v>
      </c>
      <c r="AB371" s="34">
        <f t="shared" si="304"/>
        <v>0</v>
      </c>
      <c r="AC371" s="34">
        <f t="shared" si="305"/>
        <v>0</v>
      </c>
      <c r="AD371" s="34">
        <f t="shared" si="306"/>
        <v>0</v>
      </c>
      <c r="AE371" s="34">
        <f t="shared" si="307"/>
        <v>0</v>
      </c>
      <c r="AF371" s="34">
        <f t="shared" si="308"/>
        <v>0</v>
      </c>
      <c r="AG371" s="29">
        <f t="shared" si="309"/>
        <v>689453.1903185735</v>
      </c>
      <c r="AH371" s="34">
        <f t="shared" si="310"/>
        <v>0</v>
      </c>
      <c r="AI371" s="34">
        <f t="shared" si="311"/>
        <v>0</v>
      </c>
      <c r="AJ371" s="34">
        <f t="shared" si="312"/>
        <v>0</v>
      </c>
      <c r="AK371" s="34">
        <f t="shared" si="313"/>
        <v>0</v>
      </c>
      <c r="AL371" s="34">
        <f t="shared" si="314"/>
        <v>0</v>
      </c>
      <c r="AM371" s="34">
        <f t="shared" si="315"/>
        <v>0</v>
      </c>
      <c r="AN371" s="34">
        <f t="shared" si="316"/>
        <v>0</v>
      </c>
      <c r="AO371" s="34">
        <f t="shared" si="317"/>
        <v>0</v>
      </c>
      <c r="AP371" s="34">
        <f t="shared" si="318"/>
        <v>0</v>
      </c>
      <c r="AQ371" s="34">
        <f t="shared" si="319"/>
        <v>0</v>
      </c>
      <c r="AR371" s="34">
        <f t="shared" si="320"/>
        <v>0</v>
      </c>
      <c r="AS371" s="30">
        <f t="shared" si="321"/>
        <v>1.3556950641170242</v>
      </c>
      <c r="AT371" s="29">
        <f t="shared" si="322"/>
        <v>0</v>
      </c>
      <c r="AU371" s="29">
        <f t="shared" si="323"/>
        <v>0</v>
      </c>
      <c r="AV371" s="34">
        <f t="shared" si="324"/>
        <v>0</v>
      </c>
      <c r="AW371" s="34">
        <f t="shared" si="325"/>
        <v>0</v>
      </c>
      <c r="AX371" s="29">
        <f t="shared" si="326"/>
        <v>0</v>
      </c>
      <c r="AY371" s="34">
        <f t="shared" si="327"/>
        <v>0</v>
      </c>
      <c r="AZ371" s="37">
        <f t="shared" si="328"/>
        <v>0</v>
      </c>
      <c r="BA371" s="37">
        <f t="shared" si="329"/>
        <v>0</v>
      </c>
      <c r="BB371" s="35">
        <f t="shared" si="330"/>
        <v>1.1098666182609573E-3</v>
      </c>
      <c r="BC371" s="31">
        <f t="shared" si="331"/>
        <v>0.6655808373080323</v>
      </c>
      <c r="BD371" s="34">
        <f t="shared" si="332"/>
        <v>0</v>
      </c>
    </row>
    <row r="372" spans="1:56" x14ac:dyDescent="0.2">
      <c r="A372" s="27">
        <f t="shared" si="333"/>
        <v>368</v>
      </c>
      <c r="B372" s="28">
        <f t="shared" si="280"/>
        <v>368</v>
      </c>
      <c r="C372" s="27">
        <f t="shared" si="281"/>
        <v>30</v>
      </c>
      <c r="D372" s="28">
        <f t="shared" si="282"/>
        <v>50</v>
      </c>
      <c r="E372" s="29">
        <f t="shared" si="283"/>
        <v>0</v>
      </c>
      <c r="F372" s="30">
        <f t="shared" si="284"/>
        <v>1.263411471135533E-3</v>
      </c>
      <c r="G372" s="31">
        <f t="shared" si="285"/>
        <v>1.053453048159847E-4</v>
      </c>
      <c r="H372" s="32">
        <f t="shared" si="286"/>
        <v>0.02</v>
      </c>
      <c r="I372" s="32">
        <f t="shared" si="287"/>
        <v>0</v>
      </c>
      <c r="J372" s="33">
        <f t="shared" si="334"/>
        <v>0</v>
      </c>
      <c r="K372" s="30">
        <f t="shared" si="288"/>
        <v>0</v>
      </c>
      <c r="L372" s="33">
        <f t="shared" si="289"/>
        <v>0</v>
      </c>
      <c r="M372" s="30">
        <f t="shared" si="290"/>
        <v>0</v>
      </c>
      <c r="N372" s="33">
        <f t="shared" si="291"/>
        <v>0</v>
      </c>
      <c r="O372" s="31">
        <f t="shared" si="292"/>
        <v>0</v>
      </c>
      <c r="P372" s="33">
        <f t="shared" si="293"/>
        <v>0</v>
      </c>
      <c r="Q372" s="34">
        <f t="shared" si="335"/>
        <v>689051.82615804067</v>
      </c>
      <c r="R372" s="29">
        <f t="shared" si="294"/>
        <v>0</v>
      </c>
      <c r="S372" s="34">
        <f t="shared" si="295"/>
        <v>689051.82615804067</v>
      </c>
      <c r="T372" s="29">
        <f t="shared" si="296"/>
        <v>574.20985513170058</v>
      </c>
      <c r="U372" s="29">
        <f t="shared" si="297"/>
        <v>0</v>
      </c>
      <c r="V372" s="35">
        <f t="shared" si="298"/>
        <v>1.1587983529758317E-4</v>
      </c>
      <c r="W372" s="34">
        <f t="shared" si="299"/>
        <v>0</v>
      </c>
      <c r="X372" s="34">
        <f t="shared" si="300"/>
        <v>688477.61630290898</v>
      </c>
      <c r="Y372" s="36">
        <f t="shared" si="301"/>
        <v>8.0777424646767404E-3</v>
      </c>
      <c r="Z372" s="34">
        <f t="shared" si="302"/>
        <v>5561.3448771894273</v>
      </c>
      <c r="AA372" s="34">
        <f t="shared" si="303"/>
        <v>691258.28874150373</v>
      </c>
      <c r="AB372" s="34">
        <f t="shared" si="304"/>
        <v>0</v>
      </c>
      <c r="AC372" s="34">
        <f t="shared" si="305"/>
        <v>0</v>
      </c>
      <c r="AD372" s="34">
        <f t="shared" si="306"/>
        <v>0</v>
      </c>
      <c r="AE372" s="34">
        <f t="shared" si="307"/>
        <v>0</v>
      </c>
      <c r="AF372" s="34">
        <f t="shared" si="308"/>
        <v>0</v>
      </c>
      <c r="AG372" s="29">
        <f t="shared" si="309"/>
        <v>691258.28874150373</v>
      </c>
      <c r="AH372" s="34">
        <f t="shared" si="310"/>
        <v>0</v>
      </c>
      <c r="AI372" s="34">
        <f t="shared" si="311"/>
        <v>0</v>
      </c>
      <c r="AJ372" s="34">
        <f t="shared" si="312"/>
        <v>0</v>
      </c>
      <c r="AK372" s="34">
        <f t="shared" si="313"/>
        <v>0</v>
      </c>
      <c r="AL372" s="34">
        <f t="shared" si="314"/>
        <v>0</v>
      </c>
      <c r="AM372" s="34">
        <f t="shared" si="315"/>
        <v>0</v>
      </c>
      <c r="AN372" s="34">
        <f t="shared" si="316"/>
        <v>0</v>
      </c>
      <c r="AO372" s="34">
        <f t="shared" si="317"/>
        <v>0</v>
      </c>
      <c r="AP372" s="34">
        <f t="shared" si="318"/>
        <v>0</v>
      </c>
      <c r="AQ372" s="34">
        <f t="shared" si="319"/>
        <v>0</v>
      </c>
      <c r="AR372" s="34">
        <f t="shared" si="320"/>
        <v>0</v>
      </c>
      <c r="AS372" s="30">
        <f t="shared" si="321"/>
        <v>1.3568196648441404</v>
      </c>
      <c r="AT372" s="29">
        <f t="shared" si="322"/>
        <v>0</v>
      </c>
      <c r="AU372" s="29">
        <f t="shared" si="323"/>
        <v>0</v>
      </c>
      <c r="AV372" s="34">
        <f t="shared" si="324"/>
        <v>0</v>
      </c>
      <c r="AW372" s="34">
        <f t="shared" si="325"/>
        <v>0</v>
      </c>
      <c r="AX372" s="29">
        <f t="shared" si="326"/>
        <v>0</v>
      </c>
      <c r="AY372" s="34">
        <f t="shared" si="327"/>
        <v>0</v>
      </c>
      <c r="AZ372" s="37">
        <f t="shared" si="328"/>
        <v>0</v>
      </c>
      <c r="BA372" s="37">
        <f t="shared" si="329"/>
        <v>0</v>
      </c>
      <c r="BB372" s="35">
        <f t="shared" si="330"/>
        <v>1.1098666182609573E-3</v>
      </c>
      <c r="BC372" s="31">
        <f t="shared" si="331"/>
        <v>0.66484295031109608</v>
      </c>
      <c r="BD372" s="34">
        <f t="shared" si="332"/>
        <v>0</v>
      </c>
    </row>
    <row r="373" spans="1:56" x14ac:dyDescent="0.2">
      <c r="A373" s="27">
        <f t="shared" si="333"/>
        <v>369</v>
      </c>
      <c r="B373" s="28">
        <f t="shared" si="280"/>
        <v>369</v>
      </c>
      <c r="C373" s="27">
        <f t="shared" si="281"/>
        <v>30</v>
      </c>
      <c r="D373" s="28">
        <f t="shared" si="282"/>
        <v>50</v>
      </c>
      <c r="E373" s="29">
        <f t="shared" si="283"/>
        <v>0</v>
      </c>
      <c r="F373" s="30">
        <f t="shared" si="284"/>
        <v>1.263411471135533E-3</v>
      </c>
      <c r="G373" s="31">
        <f t="shared" si="285"/>
        <v>1.053453048159847E-4</v>
      </c>
      <c r="H373" s="32">
        <f t="shared" si="286"/>
        <v>0.02</v>
      </c>
      <c r="I373" s="32">
        <f t="shared" si="287"/>
        <v>0</v>
      </c>
      <c r="J373" s="33">
        <f t="shared" si="334"/>
        <v>0</v>
      </c>
      <c r="K373" s="30">
        <f t="shared" si="288"/>
        <v>0</v>
      </c>
      <c r="L373" s="33">
        <f t="shared" si="289"/>
        <v>0</v>
      </c>
      <c r="M373" s="30">
        <f t="shared" si="290"/>
        <v>0</v>
      </c>
      <c r="N373" s="33">
        <f t="shared" si="291"/>
        <v>0</v>
      </c>
      <c r="O373" s="31">
        <f t="shared" si="292"/>
        <v>0</v>
      </c>
      <c r="P373" s="33">
        <f t="shared" si="293"/>
        <v>0</v>
      </c>
      <c r="Q373" s="34">
        <f t="shared" si="335"/>
        <v>694038.96118009835</v>
      </c>
      <c r="R373" s="29">
        <f t="shared" si="294"/>
        <v>0</v>
      </c>
      <c r="S373" s="34">
        <f t="shared" si="295"/>
        <v>694038.96118009835</v>
      </c>
      <c r="T373" s="29">
        <f t="shared" si="296"/>
        <v>578.36580098341528</v>
      </c>
      <c r="U373" s="29">
        <f t="shared" si="297"/>
        <v>0</v>
      </c>
      <c r="V373" s="35">
        <f t="shared" si="298"/>
        <v>1.1587983529758317E-4</v>
      </c>
      <c r="W373" s="34">
        <f t="shared" si="299"/>
        <v>0</v>
      </c>
      <c r="X373" s="34">
        <f t="shared" si="300"/>
        <v>693460.59537911497</v>
      </c>
      <c r="Y373" s="36">
        <f t="shared" si="301"/>
        <v>2.0375753118337059E-2</v>
      </c>
      <c r="Z373" s="34">
        <f t="shared" si="302"/>
        <v>14129.781888739875</v>
      </c>
      <c r="AA373" s="34">
        <f t="shared" si="303"/>
        <v>700525.48632348492</v>
      </c>
      <c r="AB373" s="34">
        <f t="shared" si="304"/>
        <v>0</v>
      </c>
      <c r="AC373" s="34">
        <f t="shared" si="305"/>
        <v>0</v>
      </c>
      <c r="AD373" s="34">
        <f t="shared" si="306"/>
        <v>0</v>
      </c>
      <c r="AE373" s="34">
        <f t="shared" si="307"/>
        <v>0</v>
      </c>
      <c r="AF373" s="34">
        <f t="shared" si="308"/>
        <v>0</v>
      </c>
      <c r="AG373" s="29">
        <f t="shared" si="309"/>
        <v>700525.48632348492</v>
      </c>
      <c r="AH373" s="34">
        <f t="shared" si="310"/>
        <v>0</v>
      </c>
      <c r="AI373" s="34">
        <f t="shared" si="311"/>
        <v>0</v>
      </c>
      <c r="AJ373" s="34">
        <f t="shared" si="312"/>
        <v>0</v>
      </c>
      <c r="AK373" s="34">
        <f t="shared" si="313"/>
        <v>0</v>
      </c>
      <c r="AL373" s="34">
        <f t="shared" si="314"/>
        <v>0</v>
      </c>
      <c r="AM373" s="34">
        <f t="shared" si="315"/>
        <v>0</v>
      </c>
      <c r="AN373" s="34">
        <f t="shared" si="316"/>
        <v>0</v>
      </c>
      <c r="AO373" s="34">
        <f t="shared" si="317"/>
        <v>0</v>
      </c>
      <c r="AP373" s="34">
        <f t="shared" si="318"/>
        <v>0</v>
      </c>
      <c r="AQ373" s="34">
        <f t="shared" si="319"/>
        <v>0</v>
      </c>
      <c r="AR373" s="34">
        <f t="shared" si="320"/>
        <v>0</v>
      </c>
      <c r="AS373" s="30">
        <f t="shared" si="321"/>
        <v>1.3579451984704232</v>
      </c>
      <c r="AT373" s="29">
        <f t="shared" si="322"/>
        <v>0</v>
      </c>
      <c r="AU373" s="29">
        <f t="shared" si="323"/>
        <v>0</v>
      </c>
      <c r="AV373" s="34">
        <f t="shared" si="324"/>
        <v>0</v>
      </c>
      <c r="AW373" s="34">
        <f t="shared" si="325"/>
        <v>0</v>
      </c>
      <c r="AX373" s="29">
        <f t="shared" si="326"/>
        <v>0</v>
      </c>
      <c r="AY373" s="34">
        <f t="shared" si="327"/>
        <v>0</v>
      </c>
      <c r="AZ373" s="37">
        <f t="shared" si="328"/>
        <v>0</v>
      </c>
      <c r="BA373" s="37">
        <f t="shared" si="329"/>
        <v>0</v>
      </c>
      <c r="BB373" s="35">
        <f t="shared" si="330"/>
        <v>1.1098666182609573E-3</v>
      </c>
      <c r="BC373" s="31">
        <f t="shared" si="331"/>
        <v>0.66410588136238113</v>
      </c>
      <c r="BD373" s="34">
        <f t="shared" si="332"/>
        <v>0</v>
      </c>
    </row>
    <row r="374" spans="1:56" x14ac:dyDescent="0.2">
      <c r="A374" s="27">
        <f t="shared" si="333"/>
        <v>370</v>
      </c>
      <c r="B374" s="28">
        <f t="shared" si="280"/>
        <v>370</v>
      </c>
      <c r="C374" s="27">
        <f t="shared" si="281"/>
        <v>30</v>
      </c>
      <c r="D374" s="28">
        <f t="shared" si="282"/>
        <v>50</v>
      </c>
      <c r="E374" s="29">
        <f t="shared" si="283"/>
        <v>0</v>
      </c>
      <c r="F374" s="30">
        <f t="shared" si="284"/>
        <v>1.263411471135533E-3</v>
      </c>
      <c r="G374" s="31">
        <f t="shared" si="285"/>
        <v>1.053453048159847E-4</v>
      </c>
      <c r="H374" s="32">
        <f t="shared" si="286"/>
        <v>0.02</v>
      </c>
      <c r="I374" s="32">
        <f t="shared" si="287"/>
        <v>0</v>
      </c>
      <c r="J374" s="33">
        <f t="shared" si="334"/>
        <v>0</v>
      </c>
      <c r="K374" s="30">
        <f t="shared" si="288"/>
        <v>0</v>
      </c>
      <c r="L374" s="33">
        <f t="shared" si="289"/>
        <v>0</v>
      </c>
      <c r="M374" s="30">
        <f t="shared" si="290"/>
        <v>0</v>
      </c>
      <c r="N374" s="33">
        <f t="shared" si="291"/>
        <v>0</v>
      </c>
      <c r="O374" s="31">
        <f t="shared" si="292"/>
        <v>0</v>
      </c>
      <c r="P374" s="33">
        <f t="shared" si="293"/>
        <v>0</v>
      </c>
      <c r="Q374" s="34">
        <f t="shared" si="335"/>
        <v>707590.37726785487</v>
      </c>
      <c r="R374" s="29">
        <f t="shared" si="294"/>
        <v>0</v>
      </c>
      <c r="S374" s="34">
        <f t="shared" si="295"/>
        <v>707590.37726785487</v>
      </c>
      <c r="T374" s="29">
        <f t="shared" si="296"/>
        <v>589.65864772321243</v>
      </c>
      <c r="U374" s="29">
        <f t="shared" si="297"/>
        <v>0</v>
      </c>
      <c r="V374" s="35">
        <f t="shared" si="298"/>
        <v>1.1587983529758317E-4</v>
      </c>
      <c r="W374" s="34">
        <f t="shared" si="299"/>
        <v>0</v>
      </c>
      <c r="X374" s="34">
        <f t="shared" si="300"/>
        <v>707000.71862013161</v>
      </c>
      <c r="Y374" s="36">
        <f t="shared" si="301"/>
        <v>8.9701272766251616E-3</v>
      </c>
      <c r="Z374" s="34">
        <f t="shared" si="302"/>
        <v>6341.8864306880332</v>
      </c>
      <c r="AA374" s="34">
        <f t="shared" si="303"/>
        <v>710171.66183547559</v>
      </c>
      <c r="AB374" s="34">
        <f t="shared" si="304"/>
        <v>0</v>
      </c>
      <c r="AC374" s="34">
        <f t="shared" si="305"/>
        <v>0</v>
      </c>
      <c r="AD374" s="34">
        <f t="shared" si="306"/>
        <v>0</v>
      </c>
      <c r="AE374" s="34">
        <f t="shared" si="307"/>
        <v>0</v>
      </c>
      <c r="AF374" s="34">
        <f t="shared" si="308"/>
        <v>0</v>
      </c>
      <c r="AG374" s="29">
        <f t="shared" si="309"/>
        <v>710171.66183547559</v>
      </c>
      <c r="AH374" s="34">
        <f t="shared" si="310"/>
        <v>0</v>
      </c>
      <c r="AI374" s="34">
        <f t="shared" si="311"/>
        <v>0</v>
      </c>
      <c r="AJ374" s="34">
        <f t="shared" si="312"/>
        <v>0</v>
      </c>
      <c r="AK374" s="34">
        <f t="shared" si="313"/>
        <v>0</v>
      </c>
      <c r="AL374" s="34">
        <f t="shared" si="314"/>
        <v>0</v>
      </c>
      <c r="AM374" s="34">
        <f t="shared" si="315"/>
        <v>0</v>
      </c>
      <c r="AN374" s="34">
        <f t="shared" si="316"/>
        <v>0</v>
      </c>
      <c r="AO374" s="34">
        <f t="shared" si="317"/>
        <v>0</v>
      </c>
      <c r="AP374" s="34">
        <f t="shared" si="318"/>
        <v>0</v>
      </c>
      <c r="AQ374" s="34">
        <f t="shared" si="319"/>
        <v>0</v>
      </c>
      <c r="AR374" s="34">
        <f t="shared" si="320"/>
        <v>0</v>
      </c>
      <c r="AS374" s="30">
        <f t="shared" si="321"/>
        <v>1.3590716657697477</v>
      </c>
      <c r="AT374" s="29">
        <f t="shared" si="322"/>
        <v>0</v>
      </c>
      <c r="AU374" s="29">
        <f t="shared" si="323"/>
        <v>0</v>
      </c>
      <c r="AV374" s="34">
        <f t="shared" si="324"/>
        <v>0</v>
      </c>
      <c r="AW374" s="34">
        <f t="shared" si="325"/>
        <v>0</v>
      </c>
      <c r="AX374" s="29">
        <f t="shared" si="326"/>
        <v>0</v>
      </c>
      <c r="AY374" s="34">
        <f t="shared" si="327"/>
        <v>0</v>
      </c>
      <c r="AZ374" s="37">
        <f t="shared" si="328"/>
        <v>0</v>
      </c>
      <c r="BA374" s="37">
        <f t="shared" si="329"/>
        <v>0</v>
      </c>
      <c r="BB374" s="35">
        <f t="shared" si="330"/>
        <v>1.1098666182609573E-3</v>
      </c>
      <c r="BC374" s="31">
        <f t="shared" si="331"/>
        <v>0.66336962955496981</v>
      </c>
      <c r="BD374" s="34">
        <f t="shared" si="332"/>
        <v>0</v>
      </c>
    </row>
    <row r="375" spans="1:56" x14ac:dyDescent="0.2">
      <c r="A375" s="27">
        <f t="shared" si="333"/>
        <v>371</v>
      </c>
      <c r="B375" s="28">
        <f t="shared" si="280"/>
        <v>371</v>
      </c>
      <c r="C375" s="27">
        <f t="shared" si="281"/>
        <v>30</v>
      </c>
      <c r="D375" s="28">
        <f t="shared" si="282"/>
        <v>50</v>
      </c>
      <c r="E375" s="29">
        <f t="shared" si="283"/>
        <v>0</v>
      </c>
      <c r="F375" s="30">
        <f t="shared" si="284"/>
        <v>1.263411471135533E-3</v>
      </c>
      <c r="G375" s="31">
        <f t="shared" si="285"/>
        <v>1.053453048159847E-4</v>
      </c>
      <c r="H375" s="32">
        <f t="shared" si="286"/>
        <v>0.02</v>
      </c>
      <c r="I375" s="32">
        <f t="shared" si="287"/>
        <v>0</v>
      </c>
      <c r="J375" s="33">
        <f t="shared" si="334"/>
        <v>0</v>
      </c>
      <c r="K375" s="30">
        <f t="shared" si="288"/>
        <v>0</v>
      </c>
      <c r="L375" s="33">
        <f t="shared" si="289"/>
        <v>0</v>
      </c>
      <c r="M375" s="30">
        <f t="shared" si="290"/>
        <v>0</v>
      </c>
      <c r="N375" s="33">
        <f t="shared" si="291"/>
        <v>0</v>
      </c>
      <c r="O375" s="31">
        <f t="shared" si="292"/>
        <v>0</v>
      </c>
      <c r="P375" s="33">
        <f t="shared" si="293"/>
        <v>0</v>
      </c>
      <c r="Q375" s="34">
        <f t="shared" si="335"/>
        <v>713342.60505081969</v>
      </c>
      <c r="R375" s="29">
        <f t="shared" si="294"/>
        <v>0</v>
      </c>
      <c r="S375" s="34">
        <f t="shared" si="295"/>
        <v>713342.60505081969</v>
      </c>
      <c r="T375" s="29">
        <f t="shared" si="296"/>
        <v>594.45217087568312</v>
      </c>
      <c r="U375" s="29">
        <f t="shared" si="297"/>
        <v>0</v>
      </c>
      <c r="V375" s="35">
        <f t="shared" si="298"/>
        <v>1.1587983529758317E-4</v>
      </c>
      <c r="W375" s="34">
        <f t="shared" si="299"/>
        <v>0</v>
      </c>
      <c r="X375" s="34">
        <f t="shared" si="300"/>
        <v>712748.15287994395</v>
      </c>
      <c r="Y375" s="36">
        <f t="shared" si="301"/>
        <v>1.0853012370021231E-2</v>
      </c>
      <c r="Z375" s="34">
        <f t="shared" si="302"/>
        <v>7735.4645199158149</v>
      </c>
      <c r="AA375" s="34">
        <f t="shared" si="303"/>
        <v>716615.88513990189</v>
      </c>
      <c r="AB375" s="34">
        <f t="shared" si="304"/>
        <v>0</v>
      </c>
      <c r="AC375" s="34">
        <f t="shared" si="305"/>
        <v>0</v>
      </c>
      <c r="AD375" s="34">
        <f t="shared" si="306"/>
        <v>0</v>
      </c>
      <c r="AE375" s="34">
        <f t="shared" si="307"/>
        <v>0</v>
      </c>
      <c r="AF375" s="34">
        <f t="shared" si="308"/>
        <v>0</v>
      </c>
      <c r="AG375" s="29">
        <f t="shared" si="309"/>
        <v>716615.88513990189</v>
      </c>
      <c r="AH375" s="34">
        <f t="shared" si="310"/>
        <v>0</v>
      </c>
      <c r="AI375" s="34">
        <f t="shared" si="311"/>
        <v>0</v>
      </c>
      <c r="AJ375" s="34">
        <f t="shared" si="312"/>
        <v>0</v>
      </c>
      <c r="AK375" s="34">
        <f t="shared" si="313"/>
        <v>0</v>
      </c>
      <c r="AL375" s="34">
        <f t="shared" si="314"/>
        <v>0</v>
      </c>
      <c r="AM375" s="34">
        <f t="shared" si="315"/>
        <v>0</v>
      </c>
      <c r="AN375" s="34">
        <f t="shared" si="316"/>
        <v>0</v>
      </c>
      <c r="AO375" s="34">
        <f t="shared" si="317"/>
        <v>0</v>
      </c>
      <c r="AP375" s="34">
        <f t="shared" si="318"/>
        <v>0</v>
      </c>
      <c r="AQ375" s="34">
        <f t="shared" si="319"/>
        <v>0</v>
      </c>
      <c r="AR375" s="34">
        <f t="shared" si="320"/>
        <v>0</v>
      </c>
      <c r="AS375" s="30">
        <f t="shared" si="321"/>
        <v>1.3601990675166318</v>
      </c>
      <c r="AT375" s="29">
        <f t="shared" si="322"/>
        <v>0</v>
      </c>
      <c r="AU375" s="29">
        <f t="shared" si="323"/>
        <v>0</v>
      </c>
      <c r="AV375" s="34">
        <f t="shared" si="324"/>
        <v>0</v>
      </c>
      <c r="AW375" s="34">
        <f t="shared" si="325"/>
        <v>0</v>
      </c>
      <c r="AX375" s="29">
        <f t="shared" si="326"/>
        <v>0</v>
      </c>
      <c r="AY375" s="34">
        <f t="shared" si="327"/>
        <v>0</v>
      </c>
      <c r="AZ375" s="37">
        <f t="shared" si="328"/>
        <v>0</v>
      </c>
      <c r="BA375" s="37">
        <f t="shared" si="329"/>
        <v>0</v>
      </c>
      <c r="BB375" s="35">
        <f t="shared" si="330"/>
        <v>1.1098666182609573E-3</v>
      </c>
      <c r="BC375" s="31">
        <f t="shared" si="331"/>
        <v>0.66263419398294987</v>
      </c>
      <c r="BD375" s="34">
        <f t="shared" si="332"/>
        <v>0</v>
      </c>
    </row>
    <row r="376" spans="1:56" x14ac:dyDescent="0.2">
      <c r="A376" s="27">
        <f t="shared" si="333"/>
        <v>372</v>
      </c>
      <c r="B376" s="28">
        <f t="shared" si="280"/>
        <v>372</v>
      </c>
      <c r="C376" s="27">
        <f t="shared" si="281"/>
        <v>31</v>
      </c>
      <c r="D376" s="28">
        <f t="shared" si="282"/>
        <v>51</v>
      </c>
      <c r="E376" s="29">
        <f t="shared" si="283"/>
        <v>0</v>
      </c>
      <c r="F376" s="30">
        <f t="shared" si="284"/>
        <v>1.3426873226801621E-3</v>
      </c>
      <c r="G376" s="31">
        <f t="shared" si="285"/>
        <v>1.1195952664655451E-4</v>
      </c>
      <c r="H376" s="32">
        <f t="shared" si="286"/>
        <v>0.02</v>
      </c>
      <c r="I376" s="32">
        <f t="shared" si="287"/>
        <v>0</v>
      </c>
      <c r="J376" s="33">
        <f t="shared" si="334"/>
        <v>0</v>
      </c>
      <c r="K376" s="30">
        <f t="shared" si="288"/>
        <v>0</v>
      </c>
      <c r="L376" s="33">
        <f t="shared" si="289"/>
        <v>0</v>
      </c>
      <c r="M376" s="30">
        <f t="shared" si="290"/>
        <v>0</v>
      </c>
      <c r="N376" s="33">
        <f t="shared" si="291"/>
        <v>0</v>
      </c>
      <c r="O376" s="31">
        <f t="shared" si="292"/>
        <v>0</v>
      </c>
      <c r="P376" s="33">
        <f t="shared" si="293"/>
        <v>0</v>
      </c>
      <c r="Q376" s="34">
        <f t="shared" si="335"/>
        <v>720483.61739985982</v>
      </c>
      <c r="R376" s="29">
        <f t="shared" si="294"/>
        <v>0</v>
      </c>
      <c r="S376" s="34">
        <f t="shared" si="295"/>
        <v>720483.61739985982</v>
      </c>
      <c r="T376" s="29">
        <f t="shared" si="296"/>
        <v>600.40301449988317</v>
      </c>
      <c r="U376" s="29">
        <f t="shared" si="297"/>
        <v>0</v>
      </c>
      <c r="V376" s="35">
        <f t="shared" si="298"/>
        <v>1.2315547931120998E-4</v>
      </c>
      <c r="W376" s="34">
        <f t="shared" si="299"/>
        <v>0</v>
      </c>
      <c r="X376" s="34">
        <f t="shared" si="300"/>
        <v>719883.2143853599</v>
      </c>
      <c r="Y376" s="36">
        <f t="shared" si="301"/>
        <v>1.3324810182180125E-2</v>
      </c>
      <c r="Z376" s="34">
        <f t="shared" si="302"/>
        <v>9592.3071850226006</v>
      </c>
      <c r="AA376" s="34">
        <f t="shared" si="303"/>
        <v>724679.36797787121</v>
      </c>
      <c r="AB376" s="34">
        <f t="shared" si="304"/>
        <v>0</v>
      </c>
      <c r="AC376" s="34">
        <f t="shared" si="305"/>
        <v>0</v>
      </c>
      <c r="AD376" s="34">
        <f t="shared" si="306"/>
        <v>0</v>
      </c>
      <c r="AE376" s="34">
        <f t="shared" si="307"/>
        <v>0</v>
      </c>
      <c r="AF376" s="34">
        <f t="shared" si="308"/>
        <v>0</v>
      </c>
      <c r="AG376" s="29">
        <f t="shared" si="309"/>
        <v>724679.36797787121</v>
      </c>
      <c r="AH376" s="34">
        <f t="shared" si="310"/>
        <v>0</v>
      </c>
      <c r="AI376" s="34">
        <f t="shared" si="311"/>
        <v>0</v>
      </c>
      <c r="AJ376" s="34">
        <f t="shared" si="312"/>
        <v>0</v>
      </c>
      <c r="AK376" s="34">
        <f t="shared" si="313"/>
        <v>0</v>
      </c>
      <c r="AL376" s="34">
        <f t="shared" si="314"/>
        <v>0</v>
      </c>
      <c r="AM376" s="34">
        <f t="shared" si="315"/>
        <v>0</v>
      </c>
      <c r="AN376" s="34">
        <f t="shared" si="316"/>
        <v>0</v>
      </c>
      <c r="AO376" s="34">
        <f t="shared" si="317"/>
        <v>0</v>
      </c>
      <c r="AP376" s="34">
        <f t="shared" si="318"/>
        <v>0</v>
      </c>
      <c r="AQ376" s="34">
        <f t="shared" si="319"/>
        <v>0</v>
      </c>
      <c r="AR376" s="34">
        <f t="shared" si="320"/>
        <v>0</v>
      </c>
      <c r="AS376" s="30">
        <f t="shared" si="321"/>
        <v>1.3613274044862349</v>
      </c>
      <c r="AT376" s="29">
        <f t="shared" si="322"/>
        <v>0</v>
      </c>
      <c r="AU376" s="29">
        <f t="shared" si="323"/>
        <v>0</v>
      </c>
      <c r="AV376" s="34">
        <f t="shared" si="324"/>
        <v>0</v>
      </c>
      <c r="AW376" s="34">
        <f t="shared" si="325"/>
        <v>0</v>
      </c>
      <c r="AX376" s="29">
        <f t="shared" si="326"/>
        <v>0</v>
      </c>
      <c r="AY376" s="34">
        <f t="shared" si="327"/>
        <v>0</v>
      </c>
      <c r="AZ376" s="37">
        <f t="shared" si="328"/>
        <v>0</v>
      </c>
      <c r="BA376" s="37">
        <f t="shared" si="329"/>
        <v>0</v>
      </c>
      <c r="BB376" s="35">
        <f t="shared" si="330"/>
        <v>1.104103846949922E-3</v>
      </c>
      <c r="BC376" s="31">
        <f t="shared" si="331"/>
        <v>0.66331847120671017</v>
      </c>
      <c r="BD376" s="34">
        <f t="shared" si="332"/>
        <v>0</v>
      </c>
    </row>
    <row r="377" spans="1:56" x14ac:dyDescent="0.2">
      <c r="A377" s="27">
        <f t="shared" si="333"/>
        <v>373</v>
      </c>
      <c r="B377" s="28">
        <f t="shared" si="280"/>
        <v>373</v>
      </c>
      <c r="C377" s="27">
        <f t="shared" si="281"/>
        <v>31</v>
      </c>
      <c r="D377" s="28">
        <f t="shared" si="282"/>
        <v>51</v>
      </c>
      <c r="E377" s="29">
        <f t="shared" si="283"/>
        <v>0</v>
      </c>
      <c r="F377" s="30">
        <f t="shared" si="284"/>
        <v>1.3426873226801621E-3</v>
      </c>
      <c r="G377" s="31">
        <f t="shared" si="285"/>
        <v>1.1195952664655451E-4</v>
      </c>
      <c r="H377" s="32">
        <f t="shared" si="286"/>
        <v>0.02</v>
      </c>
      <c r="I377" s="32">
        <f t="shared" si="287"/>
        <v>0</v>
      </c>
      <c r="J377" s="33">
        <f t="shared" si="334"/>
        <v>0</v>
      </c>
      <c r="K377" s="30">
        <f t="shared" si="288"/>
        <v>0</v>
      </c>
      <c r="L377" s="33">
        <f t="shared" si="289"/>
        <v>0</v>
      </c>
      <c r="M377" s="30">
        <f t="shared" si="290"/>
        <v>0</v>
      </c>
      <c r="N377" s="33">
        <f t="shared" si="291"/>
        <v>0</v>
      </c>
      <c r="O377" s="31">
        <f t="shared" si="292"/>
        <v>0</v>
      </c>
      <c r="P377" s="33">
        <f t="shared" si="293"/>
        <v>0</v>
      </c>
      <c r="Q377" s="34">
        <f t="shared" si="335"/>
        <v>729475.52157038252</v>
      </c>
      <c r="R377" s="29">
        <f t="shared" si="294"/>
        <v>0</v>
      </c>
      <c r="S377" s="34">
        <f t="shared" si="295"/>
        <v>729475.52157038252</v>
      </c>
      <c r="T377" s="29">
        <f t="shared" si="296"/>
        <v>607.89626797531878</v>
      </c>
      <c r="U377" s="29">
        <f t="shared" si="297"/>
        <v>0</v>
      </c>
      <c r="V377" s="35">
        <f t="shared" si="298"/>
        <v>1.2315547931120998E-4</v>
      </c>
      <c r="W377" s="34">
        <f t="shared" si="299"/>
        <v>0</v>
      </c>
      <c r="X377" s="34">
        <f t="shared" si="300"/>
        <v>728867.62530240719</v>
      </c>
      <c r="Y377" s="36">
        <f t="shared" si="301"/>
        <v>6.2158749221108422E-5</v>
      </c>
      <c r="Z377" s="34">
        <f t="shared" si="302"/>
        <v>45.305499936557148</v>
      </c>
      <c r="AA377" s="34">
        <f t="shared" si="303"/>
        <v>728890.27805237542</v>
      </c>
      <c r="AB377" s="34">
        <f t="shared" si="304"/>
        <v>0</v>
      </c>
      <c r="AC377" s="34">
        <f t="shared" si="305"/>
        <v>0</v>
      </c>
      <c r="AD377" s="34">
        <f t="shared" si="306"/>
        <v>0</v>
      </c>
      <c r="AE377" s="34">
        <f t="shared" si="307"/>
        <v>0</v>
      </c>
      <c r="AF377" s="34">
        <f t="shared" si="308"/>
        <v>0</v>
      </c>
      <c r="AG377" s="29">
        <f t="shared" si="309"/>
        <v>728890.27805237542</v>
      </c>
      <c r="AH377" s="34">
        <f t="shared" si="310"/>
        <v>0</v>
      </c>
      <c r="AI377" s="34">
        <f t="shared" si="311"/>
        <v>0</v>
      </c>
      <c r="AJ377" s="34">
        <f t="shared" si="312"/>
        <v>0</v>
      </c>
      <c r="AK377" s="34">
        <f t="shared" si="313"/>
        <v>0</v>
      </c>
      <c r="AL377" s="34">
        <f t="shared" si="314"/>
        <v>0</v>
      </c>
      <c r="AM377" s="34">
        <f t="shared" si="315"/>
        <v>0</v>
      </c>
      <c r="AN377" s="34">
        <f t="shared" si="316"/>
        <v>0</v>
      </c>
      <c r="AO377" s="34">
        <f t="shared" si="317"/>
        <v>0</v>
      </c>
      <c r="AP377" s="34">
        <f t="shared" si="318"/>
        <v>0</v>
      </c>
      <c r="AQ377" s="34">
        <f t="shared" si="319"/>
        <v>0</v>
      </c>
      <c r="AR377" s="34">
        <f t="shared" si="320"/>
        <v>0</v>
      </c>
      <c r="AS377" s="30">
        <f t="shared" si="321"/>
        <v>1.3624566774543605</v>
      </c>
      <c r="AT377" s="29">
        <f t="shared" si="322"/>
        <v>0</v>
      </c>
      <c r="AU377" s="29">
        <f t="shared" si="323"/>
        <v>0</v>
      </c>
      <c r="AV377" s="34">
        <f t="shared" si="324"/>
        <v>0</v>
      </c>
      <c r="AW377" s="34">
        <f t="shared" si="325"/>
        <v>0</v>
      </c>
      <c r="AX377" s="29">
        <f t="shared" si="326"/>
        <v>0</v>
      </c>
      <c r="AY377" s="34">
        <f t="shared" si="327"/>
        <v>0</v>
      </c>
      <c r="AZ377" s="37">
        <f t="shared" si="328"/>
        <v>0</v>
      </c>
      <c r="BA377" s="37">
        <f t="shared" si="329"/>
        <v>0</v>
      </c>
      <c r="BB377" s="35">
        <f t="shared" si="330"/>
        <v>1.104103846949922E-3</v>
      </c>
      <c r="BC377" s="31">
        <f t="shared" si="331"/>
        <v>0.66258690645435525</v>
      </c>
      <c r="BD377" s="34">
        <f t="shared" si="332"/>
        <v>0</v>
      </c>
    </row>
    <row r="378" spans="1:56" x14ac:dyDescent="0.2">
      <c r="A378" s="27">
        <f t="shared" si="333"/>
        <v>374</v>
      </c>
      <c r="B378" s="28">
        <f t="shared" si="280"/>
        <v>374</v>
      </c>
      <c r="C378" s="27">
        <f t="shared" si="281"/>
        <v>31</v>
      </c>
      <c r="D378" s="28">
        <f t="shared" si="282"/>
        <v>51</v>
      </c>
      <c r="E378" s="29">
        <f t="shared" si="283"/>
        <v>0</v>
      </c>
      <c r="F378" s="30">
        <f t="shared" si="284"/>
        <v>1.3426873226801621E-3</v>
      </c>
      <c r="G378" s="31">
        <f t="shared" si="285"/>
        <v>1.1195952664655451E-4</v>
      </c>
      <c r="H378" s="32">
        <f t="shared" si="286"/>
        <v>0.02</v>
      </c>
      <c r="I378" s="32">
        <f t="shared" si="287"/>
        <v>0</v>
      </c>
      <c r="J378" s="33">
        <f t="shared" si="334"/>
        <v>0</v>
      </c>
      <c r="K378" s="30">
        <f t="shared" si="288"/>
        <v>0</v>
      </c>
      <c r="L378" s="33">
        <f t="shared" si="289"/>
        <v>0</v>
      </c>
      <c r="M378" s="30">
        <f t="shared" si="290"/>
        <v>0</v>
      </c>
      <c r="N378" s="33">
        <f t="shared" si="291"/>
        <v>0</v>
      </c>
      <c r="O378" s="31">
        <f t="shared" si="292"/>
        <v>0</v>
      </c>
      <c r="P378" s="33">
        <f t="shared" si="293"/>
        <v>0</v>
      </c>
      <c r="Q378" s="34">
        <f t="shared" si="335"/>
        <v>728912.93080234376</v>
      </c>
      <c r="R378" s="29">
        <f t="shared" si="294"/>
        <v>0</v>
      </c>
      <c r="S378" s="34">
        <f t="shared" si="295"/>
        <v>728912.93080234376</v>
      </c>
      <c r="T378" s="29">
        <f t="shared" si="296"/>
        <v>607.42744233528651</v>
      </c>
      <c r="U378" s="29">
        <f t="shared" si="297"/>
        <v>0</v>
      </c>
      <c r="V378" s="35">
        <f t="shared" si="298"/>
        <v>1.2315547931120998E-4</v>
      </c>
      <c r="W378" s="34">
        <f t="shared" si="299"/>
        <v>0</v>
      </c>
      <c r="X378" s="34">
        <f t="shared" si="300"/>
        <v>728305.50336000847</v>
      </c>
      <c r="Y378" s="36">
        <f t="shared" si="301"/>
        <v>3.5017199259366194E-3</v>
      </c>
      <c r="Z378" s="34">
        <f t="shared" si="302"/>
        <v>2550.3218932850414</v>
      </c>
      <c r="AA378" s="34">
        <f t="shared" si="303"/>
        <v>729580.66430665099</v>
      </c>
      <c r="AB378" s="34">
        <f t="shared" si="304"/>
        <v>0</v>
      </c>
      <c r="AC378" s="34">
        <f t="shared" si="305"/>
        <v>0</v>
      </c>
      <c r="AD378" s="34">
        <f t="shared" si="306"/>
        <v>0</v>
      </c>
      <c r="AE378" s="34">
        <f t="shared" si="307"/>
        <v>0</v>
      </c>
      <c r="AF378" s="34">
        <f t="shared" si="308"/>
        <v>0</v>
      </c>
      <c r="AG378" s="29">
        <f t="shared" si="309"/>
        <v>729580.66430665099</v>
      </c>
      <c r="AH378" s="34">
        <f t="shared" si="310"/>
        <v>0</v>
      </c>
      <c r="AI378" s="34">
        <f t="shared" si="311"/>
        <v>0</v>
      </c>
      <c r="AJ378" s="34">
        <f t="shared" si="312"/>
        <v>0</v>
      </c>
      <c r="AK378" s="34">
        <f t="shared" si="313"/>
        <v>0</v>
      </c>
      <c r="AL378" s="34">
        <f t="shared" si="314"/>
        <v>0</v>
      </c>
      <c r="AM378" s="34">
        <f t="shared" si="315"/>
        <v>0</v>
      </c>
      <c r="AN378" s="34">
        <f t="shared" si="316"/>
        <v>0</v>
      </c>
      <c r="AO378" s="34">
        <f t="shared" si="317"/>
        <v>0</v>
      </c>
      <c r="AP378" s="34">
        <f t="shared" si="318"/>
        <v>0</v>
      </c>
      <c r="AQ378" s="34">
        <f t="shared" si="319"/>
        <v>0</v>
      </c>
      <c r="AR378" s="34">
        <f t="shared" si="320"/>
        <v>0</v>
      </c>
      <c r="AS378" s="30">
        <f t="shared" si="321"/>
        <v>1.3635868871974544</v>
      </c>
      <c r="AT378" s="29">
        <f t="shared" si="322"/>
        <v>0</v>
      </c>
      <c r="AU378" s="29">
        <f t="shared" si="323"/>
        <v>0</v>
      </c>
      <c r="AV378" s="34">
        <f t="shared" si="324"/>
        <v>0</v>
      </c>
      <c r="AW378" s="34">
        <f t="shared" si="325"/>
        <v>0</v>
      </c>
      <c r="AX378" s="29">
        <f t="shared" si="326"/>
        <v>0</v>
      </c>
      <c r="AY378" s="34">
        <f t="shared" si="327"/>
        <v>0</v>
      </c>
      <c r="AZ378" s="37">
        <f t="shared" si="328"/>
        <v>0</v>
      </c>
      <c r="BA378" s="37">
        <f t="shared" si="329"/>
        <v>0</v>
      </c>
      <c r="BB378" s="35">
        <f t="shared" si="330"/>
        <v>1.104103846949922E-3</v>
      </c>
      <c r="BC378" s="31">
        <f t="shared" si="331"/>
        <v>0.66185614853463071</v>
      </c>
      <c r="BD378" s="34">
        <f t="shared" si="332"/>
        <v>0</v>
      </c>
    </row>
    <row r="379" spans="1:56" x14ac:dyDescent="0.2">
      <c r="A379" s="27">
        <f t="shared" si="333"/>
        <v>375</v>
      </c>
      <c r="B379" s="28">
        <f t="shared" si="280"/>
        <v>375</v>
      </c>
      <c r="C379" s="27">
        <f t="shared" si="281"/>
        <v>31</v>
      </c>
      <c r="D379" s="28">
        <f t="shared" si="282"/>
        <v>51</v>
      </c>
      <c r="E379" s="29">
        <f t="shared" si="283"/>
        <v>0</v>
      </c>
      <c r="F379" s="30">
        <f t="shared" si="284"/>
        <v>1.3426873226801621E-3</v>
      </c>
      <c r="G379" s="31">
        <f t="shared" si="285"/>
        <v>1.1195952664655451E-4</v>
      </c>
      <c r="H379" s="32">
        <f t="shared" si="286"/>
        <v>0.02</v>
      </c>
      <c r="I379" s="32">
        <f t="shared" si="287"/>
        <v>0</v>
      </c>
      <c r="J379" s="33">
        <f t="shared" si="334"/>
        <v>0</v>
      </c>
      <c r="K379" s="30">
        <f t="shared" si="288"/>
        <v>0</v>
      </c>
      <c r="L379" s="33">
        <f t="shared" si="289"/>
        <v>0</v>
      </c>
      <c r="M379" s="30">
        <f t="shared" si="290"/>
        <v>0</v>
      </c>
      <c r="N379" s="33">
        <f t="shared" si="291"/>
        <v>0</v>
      </c>
      <c r="O379" s="31">
        <f t="shared" si="292"/>
        <v>0</v>
      </c>
      <c r="P379" s="33">
        <f t="shared" si="293"/>
        <v>0</v>
      </c>
      <c r="Q379" s="34">
        <f t="shared" si="335"/>
        <v>730855.8252532935</v>
      </c>
      <c r="R379" s="29">
        <f t="shared" si="294"/>
        <v>0</v>
      </c>
      <c r="S379" s="34">
        <f t="shared" si="295"/>
        <v>730855.8252532935</v>
      </c>
      <c r="T379" s="29">
        <f t="shared" si="296"/>
        <v>609.04652104441129</v>
      </c>
      <c r="U379" s="29">
        <f t="shared" si="297"/>
        <v>0</v>
      </c>
      <c r="V379" s="35">
        <f t="shared" si="298"/>
        <v>1.2315547931120998E-4</v>
      </c>
      <c r="W379" s="34">
        <f t="shared" si="299"/>
        <v>0</v>
      </c>
      <c r="X379" s="34">
        <f t="shared" si="300"/>
        <v>730246.77873224905</v>
      </c>
      <c r="Y379" s="36">
        <f t="shared" si="301"/>
        <v>9.8647445833854874E-4</v>
      </c>
      <c r="Z379" s="34">
        <f t="shared" si="302"/>
        <v>720.36979550336548</v>
      </c>
      <c r="AA379" s="34">
        <f t="shared" si="303"/>
        <v>730606.96363000071</v>
      </c>
      <c r="AB379" s="34">
        <f t="shared" si="304"/>
        <v>0</v>
      </c>
      <c r="AC379" s="34">
        <f t="shared" si="305"/>
        <v>0</v>
      </c>
      <c r="AD379" s="34">
        <f t="shared" si="306"/>
        <v>0</v>
      </c>
      <c r="AE379" s="34">
        <f t="shared" si="307"/>
        <v>0</v>
      </c>
      <c r="AF379" s="34">
        <f t="shared" si="308"/>
        <v>0</v>
      </c>
      <c r="AG379" s="29">
        <f t="shared" si="309"/>
        <v>730606.96363000071</v>
      </c>
      <c r="AH379" s="34">
        <f t="shared" si="310"/>
        <v>0</v>
      </c>
      <c r="AI379" s="34">
        <f t="shared" si="311"/>
        <v>0</v>
      </c>
      <c r="AJ379" s="34">
        <f t="shared" si="312"/>
        <v>0</v>
      </c>
      <c r="AK379" s="34">
        <f t="shared" si="313"/>
        <v>0</v>
      </c>
      <c r="AL379" s="34">
        <f t="shared" si="314"/>
        <v>0</v>
      </c>
      <c r="AM379" s="34">
        <f t="shared" si="315"/>
        <v>0</v>
      </c>
      <c r="AN379" s="34">
        <f t="shared" si="316"/>
        <v>0</v>
      </c>
      <c r="AO379" s="34">
        <f t="shared" si="317"/>
        <v>0</v>
      </c>
      <c r="AP379" s="34">
        <f t="shared" si="318"/>
        <v>0</v>
      </c>
      <c r="AQ379" s="34">
        <f t="shared" si="319"/>
        <v>0</v>
      </c>
      <c r="AR379" s="34">
        <f t="shared" si="320"/>
        <v>0</v>
      </c>
      <c r="AS379" s="30">
        <f t="shared" si="321"/>
        <v>1.3647180344926073</v>
      </c>
      <c r="AT379" s="29">
        <f t="shared" si="322"/>
        <v>0</v>
      </c>
      <c r="AU379" s="29">
        <f t="shared" si="323"/>
        <v>0</v>
      </c>
      <c r="AV379" s="34">
        <f t="shared" si="324"/>
        <v>0</v>
      </c>
      <c r="AW379" s="34">
        <f t="shared" si="325"/>
        <v>0</v>
      </c>
      <c r="AX379" s="29">
        <f t="shared" si="326"/>
        <v>0</v>
      </c>
      <c r="AY379" s="34">
        <f t="shared" si="327"/>
        <v>0</v>
      </c>
      <c r="AZ379" s="37">
        <f t="shared" si="328"/>
        <v>0</v>
      </c>
      <c r="BA379" s="37">
        <f t="shared" si="329"/>
        <v>0</v>
      </c>
      <c r="BB379" s="35">
        <f t="shared" si="330"/>
        <v>1.104103846949922E-3</v>
      </c>
      <c r="BC379" s="31">
        <f t="shared" si="331"/>
        <v>0.661126196557692</v>
      </c>
      <c r="BD379" s="34">
        <f t="shared" si="332"/>
        <v>0</v>
      </c>
    </row>
    <row r="380" spans="1:56" x14ac:dyDescent="0.2">
      <c r="A380" s="27">
        <f t="shared" si="333"/>
        <v>376</v>
      </c>
      <c r="B380" s="28">
        <f t="shared" si="280"/>
        <v>376</v>
      </c>
      <c r="C380" s="27">
        <f t="shared" si="281"/>
        <v>31</v>
      </c>
      <c r="D380" s="28">
        <f t="shared" si="282"/>
        <v>51</v>
      </c>
      <c r="E380" s="29">
        <f t="shared" si="283"/>
        <v>0</v>
      </c>
      <c r="F380" s="30">
        <f t="shared" si="284"/>
        <v>1.3426873226801621E-3</v>
      </c>
      <c r="G380" s="31">
        <f t="shared" si="285"/>
        <v>1.1195952664655451E-4</v>
      </c>
      <c r="H380" s="32">
        <f t="shared" si="286"/>
        <v>0.02</v>
      </c>
      <c r="I380" s="32">
        <f t="shared" si="287"/>
        <v>0</v>
      </c>
      <c r="J380" s="33">
        <f t="shared" si="334"/>
        <v>0</v>
      </c>
      <c r="K380" s="30">
        <f t="shared" si="288"/>
        <v>0</v>
      </c>
      <c r="L380" s="33">
        <f t="shared" si="289"/>
        <v>0</v>
      </c>
      <c r="M380" s="30">
        <f t="shared" si="290"/>
        <v>0</v>
      </c>
      <c r="N380" s="33">
        <f t="shared" si="291"/>
        <v>0</v>
      </c>
      <c r="O380" s="31">
        <f t="shared" si="292"/>
        <v>0</v>
      </c>
      <c r="P380" s="33">
        <f t="shared" si="293"/>
        <v>0</v>
      </c>
      <c r="Q380" s="34">
        <f t="shared" si="335"/>
        <v>730967.14852775238</v>
      </c>
      <c r="R380" s="29">
        <f t="shared" si="294"/>
        <v>0</v>
      </c>
      <c r="S380" s="34">
        <f t="shared" si="295"/>
        <v>730967.14852775238</v>
      </c>
      <c r="T380" s="29">
        <f t="shared" si="296"/>
        <v>609.13929043979374</v>
      </c>
      <c r="U380" s="29">
        <f t="shared" si="297"/>
        <v>0</v>
      </c>
      <c r="V380" s="35">
        <f t="shared" si="298"/>
        <v>1.2315547931120998E-4</v>
      </c>
      <c r="W380" s="34">
        <f t="shared" si="299"/>
        <v>0</v>
      </c>
      <c r="X380" s="34">
        <f t="shared" si="300"/>
        <v>730358.0092373126</v>
      </c>
      <c r="Y380" s="36">
        <f t="shared" si="301"/>
        <v>-7.0118311242388653E-3</v>
      </c>
      <c r="Z380" s="34">
        <f t="shared" si="302"/>
        <v>-5121.1470210073248</v>
      </c>
      <c r="AA380" s="34">
        <f t="shared" si="303"/>
        <v>727797.43572680897</v>
      </c>
      <c r="AB380" s="34">
        <f t="shared" si="304"/>
        <v>0</v>
      </c>
      <c r="AC380" s="34">
        <f t="shared" si="305"/>
        <v>0</v>
      </c>
      <c r="AD380" s="34">
        <f t="shared" si="306"/>
        <v>0</v>
      </c>
      <c r="AE380" s="34">
        <f t="shared" si="307"/>
        <v>0</v>
      </c>
      <c r="AF380" s="34">
        <f t="shared" si="308"/>
        <v>0</v>
      </c>
      <c r="AG380" s="29">
        <f t="shared" si="309"/>
        <v>727797.43572680897</v>
      </c>
      <c r="AH380" s="34">
        <f t="shared" si="310"/>
        <v>0</v>
      </c>
      <c r="AI380" s="34">
        <f t="shared" si="311"/>
        <v>0</v>
      </c>
      <c r="AJ380" s="34">
        <f t="shared" si="312"/>
        <v>0</v>
      </c>
      <c r="AK380" s="34">
        <f t="shared" si="313"/>
        <v>0</v>
      </c>
      <c r="AL380" s="34">
        <f t="shared" si="314"/>
        <v>0</v>
      </c>
      <c r="AM380" s="34">
        <f t="shared" si="315"/>
        <v>0</v>
      </c>
      <c r="AN380" s="34">
        <f t="shared" si="316"/>
        <v>0</v>
      </c>
      <c r="AO380" s="34">
        <f t="shared" si="317"/>
        <v>0</v>
      </c>
      <c r="AP380" s="34">
        <f t="shared" si="318"/>
        <v>0</v>
      </c>
      <c r="AQ380" s="34">
        <f t="shared" si="319"/>
        <v>0</v>
      </c>
      <c r="AR380" s="34">
        <f t="shared" si="320"/>
        <v>0</v>
      </c>
      <c r="AS380" s="30">
        <f t="shared" si="321"/>
        <v>1.3658501201175548</v>
      </c>
      <c r="AT380" s="29">
        <f t="shared" si="322"/>
        <v>0</v>
      </c>
      <c r="AU380" s="29">
        <f t="shared" si="323"/>
        <v>0</v>
      </c>
      <c r="AV380" s="34">
        <f t="shared" si="324"/>
        <v>0</v>
      </c>
      <c r="AW380" s="34">
        <f t="shared" si="325"/>
        <v>0</v>
      </c>
      <c r="AX380" s="29">
        <f t="shared" si="326"/>
        <v>0</v>
      </c>
      <c r="AY380" s="34">
        <f t="shared" si="327"/>
        <v>0</v>
      </c>
      <c r="AZ380" s="37">
        <f t="shared" si="328"/>
        <v>0</v>
      </c>
      <c r="BA380" s="37">
        <f t="shared" si="329"/>
        <v>0</v>
      </c>
      <c r="BB380" s="35">
        <f t="shared" si="330"/>
        <v>1.104103846949922E-3</v>
      </c>
      <c r="BC380" s="31">
        <f t="shared" si="331"/>
        <v>0.66039704963467594</v>
      </c>
      <c r="BD380" s="34">
        <f t="shared" si="332"/>
        <v>0</v>
      </c>
    </row>
    <row r="381" spans="1:56" x14ac:dyDescent="0.2">
      <c r="A381" s="27">
        <f t="shared" si="333"/>
        <v>377</v>
      </c>
      <c r="B381" s="28">
        <f t="shared" si="280"/>
        <v>377</v>
      </c>
      <c r="C381" s="27">
        <f t="shared" si="281"/>
        <v>31</v>
      </c>
      <c r="D381" s="28">
        <f t="shared" si="282"/>
        <v>51</v>
      </c>
      <c r="E381" s="29">
        <f t="shared" si="283"/>
        <v>0</v>
      </c>
      <c r="F381" s="30">
        <f t="shared" si="284"/>
        <v>1.3426873226801621E-3</v>
      </c>
      <c r="G381" s="31">
        <f t="shared" si="285"/>
        <v>1.1195952664655451E-4</v>
      </c>
      <c r="H381" s="32">
        <f t="shared" si="286"/>
        <v>0.02</v>
      </c>
      <c r="I381" s="32">
        <f t="shared" si="287"/>
        <v>0</v>
      </c>
      <c r="J381" s="33">
        <f t="shared" si="334"/>
        <v>0</v>
      </c>
      <c r="K381" s="30">
        <f t="shared" si="288"/>
        <v>0</v>
      </c>
      <c r="L381" s="33">
        <f t="shared" si="289"/>
        <v>0</v>
      </c>
      <c r="M381" s="30">
        <f t="shared" si="290"/>
        <v>0</v>
      </c>
      <c r="N381" s="33">
        <f t="shared" si="291"/>
        <v>0</v>
      </c>
      <c r="O381" s="31">
        <f t="shared" si="292"/>
        <v>0</v>
      </c>
      <c r="P381" s="33">
        <f t="shared" si="293"/>
        <v>0</v>
      </c>
      <c r="Q381" s="34">
        <f t="shared" si="335"/>
        <v>725236.86221630522</v>
      </c>
      <c r="R381" s="29">
        <f t="shared" si="294"/>
        <v>0</v>
      </c>
      <c r="S381" s="34">
        <f t="shared" si="295"/>
        <v>725236.86221630522</v>
      </c>
      <c r="T381" s="29">
        <f t="shared" si="296"/>
        <v>604.36405184692103</v>
      </c>
      <c r="U381" s="29">
        <f t="shared" si="297"/>
        <v>0</v>
      </c>
      <c r="V381" s="35">
        <f t="shared" si="298"/>
        <v>1.2315547931120998E-4</v>
      </c>
      <c r="W381" s="34">
        <f t="shared" si="299"/>
        <v>0</v>
      </c>
      <c r="X381" s="34">
        <f t="shared" si="300"/>
        <v>724632.49816445832</v>
      </c>
      <c r="Y381" s="36">
        <f t="shared" si="301"/>
        <v>4.8852511620196548E-3</v>
      </c>
      <c r="Z381" s="34">
        <f t="shared" si="302"/>
        <v>3540.0117536951252</v>
      </c>
      <c r="AA381" s="34">
        <f t="shared" si="303"/>
        <v>726402.50404130586</v>
      </c>
      <c r="AB381" s="34">
        <f t="shared" si="304"/>
        <v>0</v>
      </c>
      <c r="AC381" s="34">
        <f t="shared" si="305"/>
        <v>0</v>
      </c>
      <c r="AD381" s="34">
        <f t="shared" si="306"/>
        <v>0</v>
      </c>
      <c r="AE381" s="34">
        <f t="shared" si="307"/>
        <v>0</v>
      </c>
      <c r="AF381" s="34">
        <f t="shared" si="308"/>
        <v>0</v>
      </c>
      <c r="AG381" s="29">
        <f t="shared" si="309"/>
        <v>726402.50404130586</v>
      </c>
      <c r="AH381" s="34">
        <f t="shared" si="310"/>
        <v>0</v>
      </c>
      <c r="AI381" s="34">
        <f t="shared" si="311"/>
        <v>0</v>
      </c>
      <c r="AJ381" s="34">
        <f t="shared" si="312"/>
        <v>0</v>
      </c>
      <c r="AK381" s="34">
        <f t="shared" si="313"/>
        <v>0</v>
      </c>
      <c r="AL381" s="34">
        <f t="shared" si="314"/>
        <v>0</v>
      </c>
      <c r="AM381" s="34">
        <f t="shared" si="315"/>
        <v>0</v>
      </c>
      <c r="AN381" s="34">
        <f t="shared" si="316"/>
        <v>0</v>
      </c>
      <c r="AO381" s="34">
        <f t="shared" si="317"/>
        <v>0</v>
      </c>
      <c r="AP381" s="34">
        <f t="shared" si="318"/>
        <v>0</v>
      </c>
      <c r="AQ381" s="34">
        <f t="shared" si="319"/>
        <v>0</v>
      </c>
      <c r="AR381" s="34">
        <f t="shared" si="320"/>
        <v>0</v>
      </c>
      <c r="AS381" s="30">
        <f t="shared" si="321"/>
        <v>1.3669831448506766</v>
      </c>
      <c r="AT381" s="29">
        <f t="shared" si="322"/>
        <v>0</v>
      </c>
      <c r="AU381" s="29">
        <f t="shared" si="323"/>
        <v>0</v>
      </c>
      <c r="AV381" s="34">
        <f t="shared" si="324"/>
        <v>0</v>
      </c>
      <c r="AW381" s="34">
        <f t="shared" si="325"/>
        <v>0</v>
      </c>
      <c r="AX381" s="29">
        <f t="shared" si="326"/>
        <v>0</v>
      </c>
      <c r="AY381" s="34">
        <f t="shared" si="327"/>
        <v>0</v>
      </c>
      <c r="AZ381" s="37">
        <f t="shared" si="328"/>
        <v>0</v>
      </c>
      <c r="BA381" s="37">
        <f t="shared" si="329"/>
        <v>0</v>
      </c>
      <c r="BB381" s="35">
        <f t="shared" si="330"/>
        <v>1.104103846949922E-3</v>
      </c>
      <c r="BC381" s="31">
        <f t="shared" si="331"/>
        <v>0.65966870687769974</v>
      </c>
      <c r="BD381" s="34">
        <f t="shared" si="332"/>
        <v>0</v>
      </c>
    </row>
    <row r="382" spans="1:56" x14ac:dyDescent="0.2">
      <c r="A382" s="27">
        <f t="shared" si="333"/>
        <v>378</v>
      </c>
      <c r="B382" s="28">
        <f t="shared" si="280"/>
        <v>378</v>
      </c>
      <c r="C382" s="27">
        <f t="shared" si="281"/>
        <v>31</v>
      </c>
      <c r="D382" s="28">
        <f t="shared" si="282"/>
        <v>51</v>
      </c>
      <c r="E382" s="29">
        <f t="shared" si="283"/>
        <v>0</v>
      </c>
      <c r="F382" s="30">
        <f t="shared" si="284"/>
        <v>1.3426873226801621E-3</v>
      </c>
      <c r="G382" s="31">
        <f t="shared" si="285"/>
        <v>1.1195952664655451E-4</v>
      </c>
      <c r="H382" s="32">
        <f t="shared" si="286"/>
        <v>0.02</v>
      </c>
      <c r="I382" s="32">
        <f t="shared" si="287"/>
        <v>0</v>
      </c>
      <c r="J382" s="33">
        <f t="shared" si="334"/>
        <v>0</v>
      </c>
      <c r="K382" s="30">
        <f t="shared" si="288"/>
        <v>0</v>
      </c>
      <c r="L382" s="33">
        <f t="shared" si="289"/>
        <v>0</v>
      </c>
      <c r="M382" s="30">
        <f t="shared" si="290"/>
        <v>0</v>
      </c>
      <c r="N382" s="33">
        <f t="shared" si="291"/>
        <v>0</v>
      </c>
      <c r="O382" s="31">
        <f t="shared" si="292"/>
        <v>0</v>
      </c>
      <c r="P382" s="33">
        <f t="shared" si="293"/>
        <v>0</v>
      </c>
      <c r="Q382" s="34">
        <f t="shared" si="335"/>
        <v>728172.5099181534</v>
      </c>
      <c r="R382" s="29">
        <f t="shared" si="294"/>
        <v>0</v>
      </c>
      <c r="S382" s="34">
        <f t="shared" si="295"/>
        <v>728172.5099181534</v>
      </c>
      <c r="T382" s="29">
        <f t="shared" si="296"/>
        <v>606.8104249317945</v>
      </c>
      <c r="U382" s="29">
        <f t="shared" si="297"/>
        <v>0</v>
      </c>
      <c r="V382" s="35">
        <f t="shared" si="298"/>
        <v>1.2315547931120998E-4</v>
      </c>
      <c r="W382" s="34">
        <f t="shared" si="299"/>
        <v>0</v>
      </c>
      <c r="X382" s="34">
        <f t="shared" si="300"/>
        <v>727565.69949322159</v>
      </c>
      <c r="Y382" s="36">
        <f t="shared" si="301"/>
        <v>-2.470231581804927E-3</v>
      </c>
      <c r="Z382" s="34">
        <f t="shared" si="302"/>
        <v>-1797.255768726149</v>
      </c>
      <c r="AA382" s="34">
        <f t="shared" si="303"/>
        <v>726667.07160885853</v>
      </c>
      <c r="AB382" s="34">
        <f t="shared" si="304"/>
        <v>0</v>
      </c>
      <c r="AC382" s="34">
        <f t="shared" si="305"/>
        <v>0</v>
      </c>
      <c r="AD382" s="34">
        <f t="shared" si="306"/>
        <v>0</v>
      </c>
      <c r="AE382" s="34">
        <f t="shared" si="307"/>
        <v>0</v>
      </c>
      <c r="AF382" s="34">
        <f t="shared" si="308"/>
        <v>0</v>
      </c>
      <c r="AG382" s="29">
        <f t="shared" si="309"/>
        <v>726667.07160885853</v>
      </c>
      <c r="AH382" s="34">
        <f t="shared" si="310"/>
        <v>0</v>
      </c>
      <c r="AI382" s="34">
        <f t="shared" si="311"/>
        <v>0</v>
      </c>
      <c r="AJ382" s="34">
        <f t="shared" si="312"/>
        <v>0</v>
      </c>
      <c r="AK382" s="34">
        <f t="shared" si="313"/>
        <v>0</v>
      </c>
      <c r="AL382" s="34">
        <f t="shared" si="314"/>
        <v>0</v>
      </c>
      <c r="AM382" s="34">
        <f t="shared" si="315"/>
        <v>0</v>
      </c>
      <c r="AN382" s="34">
        <f t="shared" si="316"/>
        <v>0</v>
      </c>
      <c r="AO382" s="34">
        <f t="shared" si="317"/>
        <v>0</v>
      </c>
      <c r="AP382" s="34">
        <f t="shared" si="318"/>
        <v>0</v>
      </c>
      <c r="AQ382" s="34">
        <f t="shared" si="319"/>
        <v>0</v>
      </c>
      <c r="AR382" s="34">
        <f t="shared" si="320"/>
        <v>0</v>
      </c>
      <c r="AS382" s="30">
        <f t="shared" si="321"/>
        <v>1.3681171094709992</v>
      </c>
      <c r="AT382" s="29">
        <f t="shared" si="322"/>
        <v>0</v>
      </c>
      <c r="AU382" s="29">
        <f t="shared" si="323"/>
        <v>0</v>
      </c>
      <c r="AV382" s="34">
        <f t="shared" si="324"/>
        <v>0</v>
      </c>
      <c r="AW382" s="34">
        <f t="shared" si="325"/>
        <v>0</v>
      </c>
      <c r="AX382" s="29">
        <f t="shared" si="326"/>
        <v>0</v>
      </c>
      <c r="AY382" s="34">
        <f t="shared" si="327"/>
        <v>0</v>
      </c>
      <c r="AZ382" s="37">
        <f t="shared" si="328"/>
        <v>0</v>
      </c>
      <c r="BA382" s="37">
        <f t="shared" si="329"/>
        <v>0</v>
      </c>
      <c r="BB382" s="35">
        <f t="shared" si="330"/>
        <v>1.104103846949922E-3</v>
      </c>
      <c r="BC382" s="31">
        <f t="shared" si="331"/>
        <v>0.65894116739985986</v>
      </c>
      <c r="BD382" s="34">
        <f t="shared" si="332"/>
        <v>0</v>
      </c>
    </row>
    <row r="383" spans="1:56" x14ac:dyDescent="0.2">
      <c r="A383" s="27">
        <f t="shared" si="333"/>
        <v>379</v>
      </c>
      <c r="B383" s="28">
        <f t="shared" si="280"/>
        <v>379</v>
      </c>
      <c r="C383" s="27">
        <f t="shared" si="281"/>
        <v>31</v>
      </c>
      <c r="D383" s="28">
        <f t="shared" si="282"/>
        <v>51</v>
      </c>
      <c r="E383" s="29">
        <f t="shared" si="283"/>
        <v>0</v>
      </c>
      <c r="F383" s="30">
        <f t="shared" si="284"/>
        <v>1.3426873226801621E-3</v>
      </c>
      <c r="G383" s="31">
        <f t="shared" si="285"/>
        <v>1.1195952664655451E-4</v>
      </c>
      <c r="H383" s="32">
        <f t="shared" si="286"/>
        <v>0.02</v>
      </c>
      <c r="I383" s="32">
        <f t="shared" si="287"/>
        <v>0</v>
      </c>
      <c r="J383" s="33">
        <f t="shared" si="334"/>
        <v>0</v>
      </c>
      <c r="K383" s="30">
        <f t="shared" si="288"/>
        <v>0</v>
      </c>
      <c r="L383" s="33">
        <f t="shared" si="289"/>
        <v>0</v>
      </c>
      <c r="M383" s="30">
        <f t="shared" si="290"/>
        <v>0</v>
      </c>
      <c r="N383" s="33">
        <f t="shared" si="291"/>
        <v>0</v>
      </c>
      <c r="O383" s="31">
        <f t="shared" si="292"/>
        <v>0</v>
      </c>
      <c r="P383" s="33">
        <f t="shared" si="293"/>
        <v>0</v>
      </c>
      <c r="Q383" s="34">
        <f t="shared" si="335"/>
        <v>725768.44372449548</v>
      </c>
      <c r="R383" s="29">
        <f t="shared" si="294"/>
        <v>0</v>
      </c>
      <c r="S383" s="34">
        <f t="shared" si="295"/>
        <v>725768.44372449548</v>
      </c>
      <c r="T383" s="29">
        <f t="shared" si="296"/>
        <v>604.80703643707955</v>
      </c>
      <c r="U383" s="29">
        <f t="shared" si="297"/>
        <v>0</v>
      </c>
      <c r="V383" s="35">
        <f t="shared" si="298"/>
        <v>1.2315547931120998E-4</v>
      </c>
      <c r="W383" s="34">
        <f t="shared" si="299"/>
        <v>0</v>
      </c>
      <c r="X383" s="34">
        <f t="shared" si="300"/>
        <v>725163.63668805838</v>
      </c>
      <c r="Y383" s="36">
        <f t="shared" si="301"/>
        <v>-6.9215452158278845E-3</v>
      </c>
      <c r="Z383" s="34">
        <f t="shared" si="302"/>
        <v>-5019.2529002105803</v>
      </c>
      <c r="AA383" s="34">
        <f t="shared" si="303"/>
        <v>722654.01023795304</v>
      </c>
      <c r="AB383" s="34">
        <f t="shared" si="304"/>
        <v>0</v>
      </c>
      <c r="AC383" s="34">
        <f t="shared" si="305"/>
        <v>0</v>
      </c>
      <c r="AD383" s="34">
        <f t="shared" si="306"/>
        <v>0</v>
      </c>
      <c r="AE383" s="34">
        <f t="shared" si="307"/>
        <v>0</v>
      </c>
      <c r="AF383" s="34">
        <f t="shared" si="308"/>
        <v>0</v>
      </c>
      <c r="AG383" s="29">
        <f t="shared" si="309"/>
        <v>722654.01023795304</v>
      </c>
      <c r="AH383" s="34">
        <f t="shared" si="310"/>
        <v>0</v>
      </c>
      <c r="AI383" s="34">
        <f t="shared" si="311"/>
        <v>0</v>
      </c>
      <c r="AJ383" s="34">
        <f t="shared" si="312"/>
        <v>0</v>
      </c>
      <c r="AK383" s="34">
        <f t="shared" si="313"/>
        <v>0</v>
      </c>
      <c r="AL383" s="34">
        <f t="shared" si="314"/>
        <v>0</v>
      </c>
      <c r="AM383" s="34">
        <f t="shared" si="315"/>
        <v>0</v>
      </c>
      <c r="AN383" s="34">
        <f t="shared" si="316"/>
        <v>0</v>
      </c>
      <c r="AO383" s="34">
        <f t="shared" si="317"/>
        <v>0</v>
      </c>
      <c r="AP383" s="34">
        <f t="shared" si="318"/>
        <v>0</v>
      </c>
      <c r="AQ383" s="34">
        <f t="shared" si="319"/>
        <v>0</v>
      </c>
      <c r="AR383" s="34">
        <f t="shared" si="320"/>
        <v>0</v>
      </c>
      <c r="AS383" s="30">
        <f t="shared" si="321"/>
        <v>1.3692520147581946</v>
      </c>
      <c r="AT383" s="29">
        <f t="shared" si="322"/>
        <v>0</v>
      </c>
      <c r="AU383" s="29">
        <f t="shared" si="323"/>
        <v>0</v>
      </c>
      <c r="AV383" s="34">
        <f t="shared" si="324"/>
        <v>0</v>
      </c>
      <c r="AW383" s="34">
        <f t="shared" si="325"/>
        <v>0</v>
      </c>
      <c r="AX383" s="29">
        <f t="shared" si="326"/>
        <v>0</v>
      </c>
      <c r="AY383" s="34">
        <f t="shared" si="327"/>
        <v>0</v>
      </c>
      <c r="AZ383" s="37">
        <f t="shared" si="328"/>
        <v>0</v>
      </c>
      <c r="BA383" s="37">
        <f t="shared" si="329"/>
        <v>0</v>
      </c>
      <c r="BB383" s="35">
        <f t="shared" si="330"/>
        <v>1.104103846949922E-3</v>
      </c>
      <c r="BC383" s="31">
        <f t="shared" si="331"/>
        <v>0.65821443031523086</v>
      </c>
      <c r="BD383" s="34">
        <f t="shared" si="332"/>
        <v>0</v>
      </c>
    </row>
    <row r="384" spans="1:56" x14ac:dyDescent="0.2">
      <c r="A384" s="27">
        <f t="shared" si="333"/>
        <v>380</v>
      </c>
      <c r="B384" s="28">
        <f t="shared" si="280"/>
        <v>380</v>
      </c>
      <c r="C384" s="27">
        <f t="shared" si="281"/>
        <v>31</v>
      </c>
      <c r="D384" s="28">
        <f t="shared" si="282"/>
        <v>51</v>
      </c>
      <c r="E384" s="29">
        <f t="shared" si="283"/>
        <v>0</v>
      </c>
      <c r="F384" s="30">
        <f t="shared" si="284"/>
        <v>1.3426873226801621E-3</v>
      </c>
      <c r="G384" s="31">
        <f t="shared" si="285"/>
        <v>1.1195952664655451E-4</v>
      </c>
      <c r="H384" s="32">
        <f t="shared" si="286"/>
        <v>0.02</v>
      </c>
      <c r="I384" s="32">
        <f t="shared" si="287"/>
        <v>0</v>
      </c>
      <c r="J384" s="33">
        <f t="shared" si="334"/>
        <v>0</v>
      </c>
      <c r="K384" s="30">
        <f t="shared" si="288"/>
        <v>0</v>
      </c>
      <c r="L384" s="33">
        <f t="shared" si="289"/>
        <v>0</v>
      </c>
      <c r="M384" s="30">
        <f t="shared" si="290"/>
        <v>0</v>
      </c>
      <c r="N384" s="33">
        <f t="shared" si="291"/>
        <v>0</v>
      </c>
      <c r="O384" s="31">
        <f t="shared" si="292"/>
        <v>0</v>
      </c>
      <c r="P384" s="33">
        <f t="shared" si="293"/>
        <v>0</v>
      </c>
      <c r="Q384" s="34">
        <f t="shared" si="335"/>
        <v>720144.38378784782</v>
      </c>
      <c r="R384" s="29">
        <f t="shared" si="294"/>
        <v>0</v>
      </c>
      <c r="S384" s="34">
        <f t="shared" si="295"/>
        <v>720144.38378784782</v>
      </c>
      <c r="T384" s="29">
        <f t="shared" si="296"/>
        <v>600.1203198232065</v>
      </c>
      <c r="U384" s="29">
        <f t="shared" si="297"/>
        <v>0</v>
      </c>
      <c r="V384" s="35">
        <f t="shared" si="298"/>
        <v>1.2315547931120998E-4</v>
      </c>
      <c r="W384" s="34">
        <f t="shared" si="299"/>
        <v>0</v>
      </c>
      <c r="X384" s="34">
        <f t="shared" si="300"/>
        <v>719544.26346802467</v>
      </c>
      <c r="Y384" s="36">
        <f t="shared" si="301"/>
        <v>-3.1398779397705523E-3</v>
      </c>
      <c r="Z384" s="34">
        <f t="shared" si="302"/>
        <v>-2259.281159551701</v>
      </c>
      <c r="AA384" s="34">
        <f t="shared" si="303"/>
        <v>718414.62288824876</v>
      </c>
      <c r="AB384" s="34">
        <f t="shared" si="304"/>
        <v>0</v>
      </c>
      <c r="AC384" s="34">
        <f t="shared" si="305"/>
        <v>0</v>
      </c>
      <c r="AD384" s="34">
        <f t="shared" si="306"/>
        <v>0</v>
      </c>
      <c r="AE384" s="34">
        <f t="shared" si="307"/>
        <v>0</v>
      </c>
      <c r="AF384" s="34">
        <f t="shared" si="308"/>
        <v>0</v>
      </c>
      <c r="AG384" s="29">
        <f t="shared" si="309"/>
        <v>718414.62288824876</v>
      </c>
      <c r="AH384" s="34">
        <f t="shared" si="310"/>
        <v>0</v>
      </c>
      <c r="AI384" s="34">
        <f t="shared" si="311"/>
        <v>0</v>
      </c>
      <c r="AJ384" s="34">
        <f t="shared" si="312"/>
        <v>0</v>
      </c>
      <c r="AK384" s="34">
        <f t="shared" si="313"/>
        <v>0</v>
      </c>
      <c r="AL384" s="34">
        <f t="shared" si="314"/>
        <v>0</v>
      </c>
      <c r="AM384" s="34">
        <f t="shared" si="315"/>
        <v>0</v>
      </c>
      <c r="AN384" s="34">
        <f t="shared" si="316"/>
        <v>0</v>
      </c>
      <c r="AO384" s="34">
        <f t="shared" si="317"/>
        <v>0</v>
      </c>
      <c r="AP384" s="34">
        <f t="shared" si="318"/>
        <v>0</v>
      </c>
      <c r="AQ384" s="34">
        <f t="shared" si="319"/>
        <v>0</v>
      </c>
      <c r="AR384" s="34">
        <f t="shared" si="320"/>
        <v>0</v>
      </c>
      <c r="AS384" s="30">
        <f t="shared" si="321"/>
        <v>1.3703878614925817</v>
      </c>
      <c r="AT384" s="29">
        <f t="shared" si="322"/>
        <v>0</v>
      </c>
      <c r="AU384" s="29">
        <f t="shared" si="323"/>
        <v>0</v>
      </c>
      <c r="AV384" s="34">
        <f t="shared" si="324"/>
        <v>0</v>
      </c>
      <c r="AW384" s="34">
        <f t="shared" si="325"/>
        <v>0</v>
      </c>
      <c r="AX384" s="29">
        <f t="shared" si="326"/>
        <v>0</v>
      </c>
      <c r="AY384" s="34">
        <f t="shared" si="327"/>
        <v>0</v>
      </c>
      <c r="AZ384" s="37">
        <f t="shared" si="328"/>
        <v>0</v>
      </c>
      <c r="BA384" s="37">
        <f t="shared" si="329"/>
        <v>0</v>
      </c>
      <c r="BB384" s="35">
        <f t="shared" si="330"/>
        <v>1.104103846949922E-3</v>
      </c>
      <c r="BC384" s="31">
        <f t="shared" si="331"/>
        <v>0.65748849473886439</v>
      </c>
      <c r="BD384" s="34">
        <f t="shared" si="332"/>
        <v>0</v>
      </c>
    </row>
    <row r="385" spans="1:56" x14ac:dyDescent="0.2">
      <c r="A385" s="27">
        <f t="shared" si="333"/>
        <v>381</v>
      </c>
      <c r="B385" s="28">
        <f t="shared" si="280"/>
        <v>381</v>
      </c>
      <c r="C385" s="27">
        <f t="shared" si="281"/>
        <v>31</v>
      </c>
      <c r="D385" s="28">
        <f t="shared" si="282"/>
        <v>51</v>
      </c>
      <c r="E385" s="29">
        <f t="shared" si="283"/>
        <v>0</v>
      </c>
      <c r="F385" s="30">
        <f t="shared" si="284"/>
        <v>1.3426873226801621E-3</v>
      </c>
      <c r="G385" s="31">
        <f t="shared" si="285"/>
        <v>1.1195952664655451E-4</v>
      </c>
      <c r="H385" s="32">
        <f t="shared" si="286"/>
        <v>0.02</v>
      </c>
      <c r="I385" s="32">
        <f t="shared" si="287"/>
        <v>0</v>
      </c>
      <c r="J385" s="33">
        <f t="shared" si="334"/>
        <v>0</v>
      </c>
      <c r="K385" s="30">
        <f t="shared" si="288"/>
        <v>0</v>
      </c>
      <c r="L385" s="33">
        <f t="shared" si="289"/>
        <v>0</v>
      </c>
      <c r="M385" s="30">
        <f t="shared" si="290"/>
        <v>0</v>
      </c>
      <c r="N385" s="33">
        <f t="shared" si="291"/>
        <v>0</v>
      </c>
      <c r="O385" s="31">
        <f t="shared" si="292"/>
        <v>0</v>
      </c>
      <c r="P385" s="33">
        <f t="shared" si="293"/>
        <v>0</v>
      </c>
      <c r="Q385" s="34">
        <f t="shared" si="335"/>
        <v>717284.98230847297</v>
      </c>
      <c r="R385" s="29">
        <f t="shared" si="294"/>
        <v>0</v>
      </c>
      <c r="S385" s="34">
        <f t="shared" si="295"/>
        <v>717284.98230847297</v>
      </c>
      <c r="T385" s="29">
        <f t="shared" si="296"/>
        <v>597.73748525706083</v>
      </c>
      <c r="U385" s="29">
        <f t="shared" si="297"/>
        <v>0</v>
      </c>
      <c r="V385" s="35">
        <f t="shared" si="298"/>
        <v>1.2315547931120998E-4</v>
      </c>
      <c r="W385" s="34">
        <f t="shared" si="299"/>
        <v>0</v>
      </c>
      <c r="X385" s="34">
        <f t="shared" si="300"/>
        <v>716687.24482321588</v>
      </c>
      <c r="Y385" s="36">
        <f t="shared" si="301"/>
        <v>1.3516610314451505E-2</v>
      </c>
      <c r="Z385" s="34">
        <f t="shared" si="302"/>
        <v>9687.1822056133115</v>
      </c>
      <c r="AA385" s="34">
        <f t="shared" si="303"/>
        <v>721530.8359260225</v>
      </c>
      <c r="AB385" s="34">
        <f t="shared" si="304"/>
        <v>0</v>
      </c>
      <c r="AC385" s="34">
        <f t="shared" si="305"/>
        <v>0</v>
      </c>
      <c r="AD385" s="34">
        <f t="shared" si="306"/>
        <v>0</v>
      </c>
      <c r="AE385" s="34">
        <f t="shared" si="307"/>
        <v>0</v>
      </c>
      <c r="AF385" s="34">
        <f t="shared" si="308"/>
        <v>0</v>
      </c>
      <c r="AG385" s="29">
        <f t="shared" si="309"/>
        <v>721530.8359260225</v>
      </c>
      <c r="AH385" s="34">
        <f t="shared" si="310"/>
        <v>0</v>
      </c>
      <c r="AI385" s="34">
        <f t="shared" si="311"/>
        <v>0</v>
      </c>
      <c r="AJ385" s="34">
        <f t="shared" si="312"/>
        <v>0</v>
      </c>
      <c r="AK385" s="34">
        <f t="shared" si="313"/>
        <v>0</v>
      </c>
      <c r="AL385" s="34">
        <f t="shared" si="314"/>
        <v>0</v>
      </c>
      <c r="AM385" s="34">
        <f t="shared" si="315"/>
        <v>0</v>
      </c>
      <c r="AN385" s="34">
        <f t="shared" si="316"/>
        <v>0</v>
      </c>
      <c r="AO385" s="34">
        <f t="shared" si="317"/>
        <v>0</v>
      </c>
      <c r="AP385" s="34">
        <f t="shared" si="318"/>
        <v>0</v>
      </c>
      <c r="AQ385" s="34">
        <f t="shared" si="319"/>
        <v>0</v>
      </c>
      <c r="AR385" s="34">
        <f t="shared" si="320"/>
        <v>0</v>
      </c>
      <c r="AS385" s="30">
        <f t="shared" si="321"/>
        <v>1.3715246504551273</v>
      </c>
      <c r="AT385" s="29">
        <f t="shared" si="322"/>
        <v>0</v>
      </c>
      <c r="AU385" s="29">
        <f t="shared" si="323"/>
        <v>0</v>
      </c>
      <c r="AV385" s="34">
        <f t="shared" si="324"/>
        <v>0</v>
      </c>
      <c r="AW385" s="34">
        <f t="shared" si="325"/>
        <v>0</v>
      </c>
      <c r="AX385" s="29">
        <f t="shared" si="326"/>
        <v>0</v>
      </c>
      <c r="AY385" s="34">
        <f t="shared" si="327"/>
        <v>0</v>
      </c>
      <c r="AZ385" s="37">
        <f t="shared" si="328"/>
        <v>0</v>
      </c>
      <c r="BA385" s="37">
        <f t="shared" si="329"/>
        <v>0</v>
      </c>
      <c r="BB385" s="35">
        <f t="shared" si="330"/>
        <v>1.104103846949922E-3</v>
      </c>
      <c r="BC385" s="31">
        <f t="shared" si="331"/>
        <v>0.65676335978678779</v>
      </c>
      <c r="BD385" s="34">
        <f t="shared" si="332"/>
        <v>0</v>
      </c>
    </row>
    <row r="386" spans="1:56" x14ac:dyDescent="0.2">
      <c r="A386" s="27">
        <f t="shared" si="333"/>
        <v>382</v>
      </c>
      <c r="B386" s="28">
        <f t="shared" si="280"/>
        <v>382</v>
      </c>
      <c r="C386" s="27">
        <f t="shared" si="281"/>
        <v>31</v>
      </c>
      <c r="D386" s="28">
        <f t="shared" si="282"/>
        <v>51</v>
      </c>
      <c r="E386" s="29">
        <f t="shared" si="283"/>
        <v>0</v>
      </c>
      <c r="F386" s="30">
        <f t="shared" si="284"/>
        <v>1.3426873226801621E-3</v>
      </c>
      <c r="G386" s="31">
        <f t="shared" si="285"/>
        <v>1.1195952664655451E-4</v>
      </c>
      <c r="H386" s="32">
        <f t="shared" si="286"/>
        <v>0.02</v>
      </c>
      <c r="I386" s="32">
        <f t="shared" si="287"/>
        <v>0</v>
      </c>
      <c r="J386" s="33">
        <f t="shared" si="334"/>
        <v>0</v>
      </c>
      <c r="K386" s="30">
        <f t="shared" si="288"/>
        <v>0</v>
      </c>
      <c r="L386" s="33">
        <f t="shared" si="289"/>
        <v>0</v>
      </c>
      <c r="M386" s="30">
        <f t="shared" si="290"/>
        <v>0</v>
      </c>
      <c r="N386" s="33">
        <f t="shared" si="291"/>
        <v>0</v>
      </c>
      <c r="O386" s="31">
        <f t="shared" si="292"/>
        <v>0</v>
      </c>
      <c r="P386" s="33">
        <f t="shared" si="293"/>
        <v>0</v>
      </c>
      <c r="Q386" s="34">
        <f t="shared" si="335"/>
        <v>726374.42702882923</v>
      </c>
      <c r="R386" s="29">
        <f t="shared" si="294"/>
        <v>0</v>
      </c>
      <c r="S386" s="34">
        <f t="shared" si="295"/>
        <v>726374.42702882923</v>
      </c>
      <c r="T386" s="29">
        <f t="shared" si="296"/>
        <v>605.31202252402443</v>
      </c>
      <c r="U386" s="29">
        <f t="shared" si="297"/>
        <v>0</v>
      </c>
      <c r="V386" s="35">
        <f t="shared" si="298"/>
        <v>1.2315547931120998E-4</v>
      </c>
      <c r="W386" s="34">
        <f t="shared" si="299"/>
        <v>0</v>
      </c>
      <c r="X386" s="34">
        <f t="shared" si="300"/>
        <v>725769.11500630516</v>
      </c>
      <c r="Y386" s="36">
        <f t="shared" si="301"/>
        <v>1.9079856193240374E-3</v>
      </c>
      <c r="Z386" s="34">
        <f t="shared" si="302"/>
        <v>1384.7570343815637</v>
      </c>
      <c r="AA386" s="34">
        <f t="shared" si="303"/>
        <v>726461.49352349597</v>
      </c>
      <c r="AB386" s="34">
        <f t="shared" si="304"/>
        <v>0</v>
      </c>
      <c r="AC386" s="34">
        <f t="shared" si="305"/>
        <v>0</v>
      </c>
      <c r="AD386" s="34">
        <f t="shared" si="306"/>
        <v>0</v>
      </c>
      <c r="AE386" s="34">
        <f t="shared" si="307"/>
        <v>0</v>
      </c>
      <c r="AF386" s="34">
        <f t="shared" si="308"/>
        <v>0</v>
      </c>
      <c r="AG386" s="29">
        <f t="shared" si="309"/>
        <v>726461.49352349597</v>
      </c>
      <c r="AH386" s="34">
        <f t="shared" si="310"/>
        <v>0</v>
      </c>
      <c r="AI386" s="34">
        <f t="shared" si="311"/>
        <v>0</v>
      </c>
      <c r="AJ386" s="34">
        <f t="shared" si="312"/>
        <v>0</v>
      </c>
      <c r="AK386" s="34">
        <f t="shared" si="313"/>
        <v>0</v>
      </c>
      <c r="AL386" s="34">
        <f t="shared" si="314"/>
        <v>0</v>
      </c>
      <c r="AM386" s="34">
        <f t="shared" si="315"/>
        <v>0</v>
      </c>
      <c r="AN386" s="34">
        <f t="shared" si="316"/>
        <v>0</v>
      </c>
      <c r="AO386" s="34">
        <f t="shared" si="317"/>
        <v>0</v>
      </c>
      <c r="AP386" s="34">
        <f t="shared" si="318"/>
        <v>0</v>
      </c>
      <c r="AQ386" s="34">
        <f t="shared" si="319"/>
        <v>0</v>
      </c>
      <c r="AR386" s="34">
        <f t="shared" si="320"/>
        <v>0</v>
      </c>
      <c r="AS386" s="30">
        <f t="shared" si="321"/>
        <v>1.3726623824274453</v>
      </c>
      <c r="AT386" s="29">
        <f t="shared" si="322"/>
        <v>0</v>
      </c>
      <c r="AU386" s="29">
        <f t="shared" si="323"/>
        <v>0</v>
      </c>
      <c r="AV386" s="34">
        <f t="shared" si="324"/>
        <v>0</v>
      </c>
      <c r="AW386" s="34">
        <f t="shared" si="325"/>
        <v>0</v>
      </c>
      <c r="AX386" s="29">
        <f t="shared" si="326"/>
        <v>0</v>
      </c>
      <c r="AY386" s="34">
        <f t="shared" si="327"/>
        <v>0</v>
      </c>
      <c r="AZ386" s="37">
        <f t="shared" si="328"/>
        <v>0</v>
      </c>
      <c r="BA386" s="37">
        <f t="shared" si="329"/>
        <v>0</v>
      </c>
      <c r="BB386" s="35">
        <f t="shared" si="330"/>
        <v>1.104103846949922E-3</v>
      </c>
      <c r="BC386" s="31">
        <f t="shared" si="331"/>
        <v>0.65603902457600438</v>
      </c>
      <c r="BD386" s="34">
        <f t="shared" si="332"/>
        <v>0</v>
      </c>
    </row>
    <row r="387" spans="1:56" x14ac:dyDescent="0.2">
      <c r="A387" s="27">
        <f t="shared" si="333"/>
        <v>383</v>
      </c>
      <c r="B387" s="28">
        <f t="shared" si="280"/>
        <v>383</v>
      </c>
      <c r="C387" s="27">
        <f t="shared" si="281"/>
        <v>31</v>
      </c>
      <c r="D387" s="28">
        <f t="shared" si="282"/>
        <v>51</v>
      </c>
      <c r="E387" s="29">
        <f t="shared" si="283"/>
        <v>0</v>
      </c>
      <c r="F387" s="30">
        <f t="shared" si="284"/>
        <v>1.3426873226801621E-3</v>
      </c>
      <c r="G387" s="31">
        <f t="shared" si="285"/>
        <v>1.1195952664655451E-4</v>
      </c>
      <c r="H387" s="32">
        <f t="shared" si="286"/>
        <v>0.02</v>
      </c>
      <c r="I387" s="32">
        <f t="shared" si="287"/>
        <v>0</v>
      </c>
      <c r="J387" s="33">
        <f t="shared" si="334"/>
        <v>0</v>
      </c>
      <c r="K387" s="30">
        <f t="shared" si="288"/>
        <v>0</v>
      </c>
      <c r="L387" s="33">
        <f t="shared" si="289"/>
        <v>0</v>
      </c>
      <c r="M387" s="30">
        <f t="shared" si="290"/>
        <v>0</v>
      </c>
      <c r="N387" s="33">
        <f t="shared" si="291"/>
        <v>0</v>
      </c>
      <c r="O387" s="31">
        <f t="shared" si="292"/>
        <v>0</v>
      </c>
      <c r="P387" s="33">
        <f t="shared" si="293"/>
        <v>0</v>
      </c>
      <c r="Q387" s="34">
        <f t="shared" si="335"/>
        <v>727153.87204068678</v>
      </c>
      <c r="R387" s="29">
        <f t="shared" si="294"/>
        <v>0</v>
      </c>
      <c r="S387" s="34">
        <f t="shared" si="295"/>
        <v>727153.87204068678</v>
      </c>
      <c r="T387" s="29">
        <f t="shared" si="296"/>
        <v>605.9615600339057</v>
      </c>
      <c r="U387" s="29">
        <f t="shared" si="297"/>
        <v>0</v>
      </c>
      <c r="V387" s="35">
        <f t="shared" si="298"/>
        <v>1.2315547931120998E-4</v>
      </c>
      <c r="W387" s="34">
        <f t="shared" si="299"/>
        <v>0</v>
      </c>
      <c r="X387" s="34">
        <f t="shared" si="300"/>
        <v>726547.91048065282</v>
      </c>
      <c r="Y387" s="36">
        <f t="shared" si="301"/>
        <v>-6.0520938897701271E-4</v>
      </c>
      <c r="Z387" s="34">
        <f t="shared" si="302"/>
        <v>-439.71361696452124</v>
      </c>
      <c r="AA387" s="34">
        <f t="shared" si="303"/>
        <v>726328.05367217062</v>
      </c>
      <c r="AB387" s="34">
        <f t="shared" si="304"/>
        <v>0</v>
      </c>
      <c r="AC387" s="34">
        <f t="shared" si="305"/>
        <v>0</v>
      </c>
      <c r="AD387" s="34">
        <f t="shared" si="306"/>
        <v>0</v>
      </c>
      <c r="AE387" s="34">
        <f t="shared" si="307"/>
        <v>0</v>
      </c>
      <c r="AF387" s="34">
        <f t="shared" si="308"/>
        <v>0</v>
      </c>
      <c r="AG387" s="29">
        <f t="shared" si="309"/>
        <v>726328.05367217062</v>
      </c>
      <c r="AH387" s="34">
        <f t="shared" si="310"/>
        <v>0</v>
      </c>
      <c r="AI387" s="34">
        <f t="shared" si="311"/>
        <v>0</v>
      </c>
      <c r="AJ387" s="34">
        <f t="shared" si="312"/>
        <v>0</v>
      </c>
      <c r="AK387" s="34">
        <f t="shared" si="313"/>
        <v>0</v>
      </c>
      <c r="AL387" s="34">
        <f t="shared" si="314"/>
        <v>0</v>
      </c>
      <c r="AM387" s="34">
        <f t="shared" si="315"/>
        <v>0</v>
      </c>
      <c r="AN387" s="34">
        <f t="shared" si="316"/>
        <v>0</v>
      </c>
      <c r="AO387" s="34">
        <f t="shared" si="317"/>
        <v>0</v>
      </c>
      <c r="AP387" s="34">
        <f t="shared" si="318"/>
        <v>0</v>
      </c>
      <c r="AQ387" s="34">
        <f t="shared" si="319"/>
        <v>0</v>
      </c>
      <c r="AR387" s="34">
        <f t="shared" si="320"/>
        <v>0</v>
      </c>
      <c r="AS387" s="30">
        <f t="shared" si="321"/>
        <v>1.3738010581917981</v>
      </c>
      <c r="AT387" s="29">
        <f t="shared" si="322"/>
        <v>0</v>
      </c>
      <c r="AU387" s="29">
        <f t="shared" si="323"/>
        <v>0</v>
      </c>
      <c r="AV387" s="34">
        <f t="shared" si="324"/>
        <v>0</v>
      </c>
      <c r="AW387" s="34">
        <f t="shared" si="325"/>
        <v>0</v>
      </c>
      <c r="AX387" s="29">
        <f t="shared" si="326"/>
        <v>0</v>
      </c>
      <c r="AY387" s="34">
        <f t="shared" si="327"/>
        <v>0</v>
      </c>
      <c r="AZ387" s="37">
        <f t="shared" si="328"/>
        <v>0</v>
      </c>
      <c r="BA387" s="37">
        <f t="shared" si="329"/>
        <v>0</v>
      </c>
      <c r="BB387" s="35">
        <f t="shared" si="330"/>
        <v>1.104103846949922E-3</v>
      </c>
      <c r="BC387" s="31">
        <f t="shared" si="331"/>
        <v>0.65531548822448982</v>
      </c>
      <c r="BD387" s="34">
        <f t="shared" si="332"/>
        <v>0</v>
      </c>
    </row>
    <row r="388" spans="1:56" x14ac:dyDescent="0.2">
      <c r="A388" s="27">
        <f t="shared" si="333"/>
        <v>384</v>
      </c>
      <c r="B388" s="28">
        <f t="shared" ref="B388:B451" si="336">Duration0+A388</f>
        <v>384</v>
      </c>
      <c r="C388" s="27">
        <f t="shared" ref="C388:C451" si="337">INT(B388/12)</f>
        <v>32</v>
      </c>
      <c r="D388" s="28">
        <f t="shared" ref="D388:D451" si="338">AgeAtEntry+C388</f>
        <v>52</v>
      </c>
      <c r="E388" s="29">
        <f t="shared" ref="E388:E451" si="339">IF(PremiumType="SINGLE",IF(B388=0,PremiumPPInput,0),IF(B388&lt;12*PolicyTerm,PremiumPPInput,0))</f>
        <v>0</v>
      </c>
      <c r="F388" s="30">
        <f t="shared" ref="F388:F451" si="340">INDEX(MortRates,MATCH(MIN(D388,120),MortAges,0),MAX(MIN(C388,5),0)+1)</f>
        <v>1.4290066029087241E-3</v>
      </c>
      <c r="G388" s="31">
        <f t="shared" ref="G388:G451" si="341">1-(1-F388)^(1/12)</f>
        <v>1.1916195020023057E-4</v>
      </c>
      <c r="H388" s="32">
        <f t="shared" ref="H388:H451" si="342">MAX(LapseBase-LapseStep*C388,LapseFloor)</f>
        <v>0.02</v>
      </c>
      <c r="I388" s="32">
        <f t="shared" ref="I388:I451" si="343">IF(HasSurrCharge,INDEX(SurrRates,MIN(C388,SurrDurMax)+1,MATCH(SurrChargeID,SurrTypes,0)),0)</f>
        <v>0</v>
      </c>
      <c r="J388" s="33">
        <f t="shared" si="334"/>
        <v>0</v>
      </c>
      <c r="K388" s="30">
        <f t="shared" ref="K388:K451" si="344">IF(B388=12*PolicyTerm,J388,0)</f>
        <v>0</v>
      </c>
      <c r="L388" s="33">
        <f t="shared" ref="L388:L451" si="345">J388-K388</f>
        <v>0</v>
      </c>
      <c r="M388" s="30">
        <f t="shared" ref="M388:M451" si="346">IF(B388=0,PolicyCount,0)</f>
        <v>0</v>
      </c>
      <c r="N388" s="33">
        <f t="shared" ref="N388:N451" si="347">L388+M388</f>
        <v>0</v>
      </c>
      <c r="O388" s="31">
        <f t="shared" ref="O388:O451" si="348">N388*G388</f>
        <v>0</v>
      </c>
      <c r="P388" s="33">
        <f t="shared" ref="P388:P451" si="349">(N388-O388)*(1-(1-H388)^(1/12))</f>
        <v>0</v>
      </c>
      <c r="Q388" s="34">
        <f t="shared" si="335"/>
        <v>726108.1968636883</v>
      </c>
      <c r="R388" s="29">
        <f t="shared" ref="R388:R451" si="350">(1-LoadPremRate)*E388</f>
        <v>0</v>
      </c>
      <c r="S388" s="34">
        <f t="shared" ref="S388:S451" si="351">Q388+R388</f>
        <v>726108.1968636883</v>
      </c>
      <c r="T388" s="29">
        <f t="shared" ref="T388:T451" si="352">MaintFeeRateAnn/12*S388</f>
        <v>605.09016405307364</v>
      </c>
      <c r="U388" s="29">
        <f t="shared" ref="U388:U451" si="353">MAX(SumAssured-S388,0)</f>
        <v>0</v>
      </c>
      <c r="V388" s="35">
        <f t="shared" ref="V388:V451" si="354">CoiMultiple*G388</f>
        <v>1.3107814522025365E-4</v>
      </c>
      <c r="W388" s="34">
        <f t="shared" ref="W388:W451" si="355">V388*U388</f>
        <v>0</v>
      </c>
      <c r="X388" s="34">
        <f t="shared" ref="X388:X451" si="356">S388-T388-W388</f>
        <v>725503.10669963527</v>
      </c>
      <c r="Y388" s="36">
        <f t="shared" ref="Y388:Y451" si="357">EXP((Mu-0.5*Sigma^2)/12+Sigma*SQRT(1/12)*INDEX(NormRand,ScenID,A388+1))-1</f>
        <v>7.9916707893410432E-3</v>
      </c>
      <c r="Z388" s="34">
        <f t="shared" ref="Z388:Z451" si="358">Y388*X388</f>
        <v>5797.9819853876534</v>
      </c>
      <c r="AA388" s="34">
        <f t="shared" ref="AA388:AA451" si="359">X388+0.5*Z388</f>
        <v>728402.09769232909</v>
      </c>
      <c r="AB388" s="34">
        <f t="shared" ref="AB388:AB451" si="360">Q388*J388</f>
        <v>0</v>
      </c>
      <c r="AC388" s="34">
        <f t="shared" ref="AC388:AC451" si="361">Q388*L388</f>
        <v>0</v>
      </c>
      <c r="AD388" s="34">
        <f t="shared" ref="AD388:AD451" si="362">S388*N388</f>
        <v>0</v>
      </c>
      <c r="AE388" s="34">
        <f t="shared" ref="AE388:AE451" si="363">E388*N388</f>
        <v>0</v>
      </c>
      <c r="AF388" s="34">
        <f t="shared" ref="AF388:AF451" si="364">R388*N388</f>
        <v>0</v>
      </c>
      <c r="AG388" s="29">
        <f t="shared" ref="AG388:AG451" si="365">MAX(SumAssured,AA388)</f>
        <v>728402.09769232909</v>
      </c>
      <c r="AH388" s="34">
        <f t="shared" ref="AH388:AH451" si="366">AG388*O388</f>
        <v>0</v>
      </c>
      <c r="AI388" s="34">
        <f t="shared" ref="AI388:AI451" si="367">AA388*O388</f>
        <v>0</v>
      </c>
      <c r="AJ388" s="34">
        <f t="shared" ref="AJ388:AJ451" si="368">AA388*P388</f>
        <v>0</v>
      </c>
      <c r="AK388" s="34">
        <f t="shared" ref="AK388:AK451" si="369">I388*AA388*P388</f>
        <v>0</v>
      </c>
      <c r="AL388" s="34">
        <f t="shared" ref="AL388:AL451" si="370">AJ388-AK388</f>
        <v>0</v>
      </c>
      <c r="AM388" s="34">
        <f t="shared" ref="AM388:AM451" si="371">Q388*K388</f>
        <v>0</v>
      </c>
      <c r="AN388" s="34">
        <f t="shared" ref="AN388:AN451" si="372">AH388+AL388+AM388</f>
        <v>0</v>
      </c>
      <c r="AO388" s="34">
        <f t="shared" ref="AO388:AO451" si="373">(AG388-AA388)*O388</f>
        <v>0</v>
      </c>
      <c r="AP388" s="34">
        <f t="shared" ref="AP388:AP451" si="374">W388*N388</f>
        <v>0</v>
      </c>
      <c r="AQ388" s="34">
        <f t="shared" ref="AQ388:AQ451" si="375">T388*N388</f>
        <v>0</v>
      </c>
      <c r="AR388" s="34">
        <f t="shared" ref="AR388:AR451" si="376">Z388*J389+0.5*Z388*(O388+P388)</f>
        <v>0</v>
      </c>
      <c r="AS388" s="30">
        <f t="shared" ref="AS388:AS451" si="377">(1+InflationRate)^(A388/12)</f>
        <v>1.3749406785310976</v>
      </c>
      <c r="AT388" s="29">
        <f t="shared" ref="AT388:AT451" si="378">ExpenseAcq*M388+N388*ExpenseMaint/12*AS388</f>
        <v>0</v>
      </c>
      <c r="AU388" s="29">
        <f t="shared" ref="AU388:AU451" si="379">CommissionRate*AE388</f>
        <v>0</v>
      </c>
      <c r="AV388" s="34">
        <f t="shared" ref="AV388:AV451" si="380">AB389-AB388</f>
        <v>0</v>
      </c>
      <c r="AW388" s="34">
        <f t="shared" ref="AW388:AW451" si="381">AE388+AR388-AN388-AT388-AU388-AV388</f>
        <v>0</v>
      </c>
      <c r="AX388" s="29">
        <f t="shared" ref="AX388:AX451" si="382">LoadPremRate*E388*N388+AK388+AQ388-AU388-AT388</f>
        <v>0</v>
      </c>
      <c r="AY388" s="34">
        <f t="shared" ref="AY388:AY451" si="383">AP388-AO388</f>
        <v>0</v>
      </c>
      <c r="AZ388" s="37">
        <f t="shared" ref="AZ388:AZ451" si="384">(AW388-AX388-AY388)/MAX(1,ABS(AW388),ABS(AX388),ABS(AY388))</f>
        <v>0</v>
      </c>
      <c r="BA388" s="37">
        <f t="shared" ref="BA388:BA451" si="385">IF(OR(K388&gt;0,K389&gt;0),0,(AC389-(AC388+AF388-AQ388-AP388+AR388-AI388-AJ388-AM388))/MAX(1,ABS(AC388),ABS(AC389)))</f>
        <v>0</v>
      </c>
      <c r="BB388" s="35">
        <f t="shared" ref="BB388:BB451" si="386">(1+INDEX(DiscRateAnn,INT(A388/12)+1))^(1/12)-1</f>
        <v>1.0975173757448164E-3</v>
      </c>
      <c r="BC388" s="31">
        <f t="shared" ref="BC388:BC451" si="387">(1+BB388)^-A388</f>
        <v>0.6562486194058621</v>
      </c>
      <c r="BD388" s="34">
        <f t="shared" ref="BD388:BD451" si="388">AW388*BC388</f>
        <v>0</v>
      </c>
    </row>
    <row r="389" spans="1:56" x14ac:dyDescent="0.2">
      <c r="A389" s="27">
        <f t="shared" ref="A389:A452" si="389">A388+1</f>
        <v>385</v>
      </c>
      <c r="B389" s="28">
        <f t="shared" si="336"/>
        <v>385</v>
      </c>
      <c r="C389" s="27">
        <f t="shared" si="337"/>
        <v>32</v>
      </c>
      <c r="D389" s="28">
        <f t="shared" si="338"/>
        <v>52</v>
      </c>
      <c r="E389" s="29">
        <f t="shared" si="339"/>
        <v>0</v>
      </c>
      <c r="F389" s="30">
        <f t="shared" si="340"/>
        <v>1.4290066029087241E-3</v>
      </c>
      <c r="G389" s="31">
        <f t="shared" si="341"/>
        <v>1.1916195020023057E-4</v>
      </c>
      <c r="H389" s="32">
        <f t="shared" si="342"/>
        <v>0.02</v>
      </c>
      <c r="I389" s="32">
        <f t="shared" si="343"/>
        <v>0</v>
      </c>
      <c r="J389" s="33">
        <f t="shared" ref="J389:J452" si="390">N388-P388-O388</f>
        <v>0</v>
      </c>
      <c r="K389" s="30">
        <f t="shared" si="344"/>
        <v>0</v>
      </c>
      <c r="L389" s="33">
        <f t="shared" si="345"/>
        <v>0</v>
      </c>
      <c r="M389" s="30">
        <f t="shared" si="346"/>
        <v>0</v>
      </c>
      <c r="N389" s="33">
        <f t="shared" si="347"/>
        <v>0</v>
      </c>
      <c r="O389" s="31">
        <f t="shared" si="348"/>
        <v>0</v>
      </c>
      <c r="P389" s="33">
        <f t="shared" si="349"/>
        <v>0</v>
      </c>
      <c r="Q389" s="34">
        <f t="shared" ref="Q389:Q452" si="391">X388+Z388</f>
        <v>731301.0886850229</v>
      </c>
      <c r="R389" s="29">
        <f t="shared" si="350"/>
        <v>0</v>
      </c>
      <c r="S389" s="34">
        <f t="shared" si="351"/>
        <v>731301.0886850229</v>
      </c>
      <c r="T389" s="29">
        <f t="shared" si="352"/>
        <v>609.41757390418582</v>
      </c>
      <c r="U389" s="29">
        <f t="shared" si="353"/>
        <v>0</v>
      </c>
      <c r="V389" s="35">
        <f t="shared" si="354"/>
        <v>1.3107814522025365E-4</v>
      </c>
      <c r="W389" s="34">
        <f t="shared" si="355"/>
        <v>0</v>
      </c>
      <c r="X389" s="34">
        <f t="shared" si="356"/>
        <v>730691.67111111875</v>
      </c>
      <c r="Y389" s="36">
        <f t="shared" si="357"/>
        <v>6.6169184310904683E-4</v>
      </c>
      <c r="Z389" s="34">
        <f t="shared" si="358"/>
        <v>483.49271860194563</v>
      </c>
      <c r="AA389" s="34">
        <f t="shared" si="359"/>
        <v>730933.41747041966</v>
      </c>
      <c r="AB389" s="34">
        <f t="shared" si="360"/>
        <v>0</v>
      </c>
      <c r="AC389" s="34">
        <f t="shared" si="361"/>
        <v>0</v>
      </c>
      <c r="AD389" s="34">
        <f t="shared" si="362"/>
        <v>0</v>
      </c>
      <c r="AE389" s="34">
        <f t="shared" si="363"/>
        <v>0</v>
      </c>
      <c r="AF389" s="34">
        <f t="shared" si="364"/>
        <v>0</v>
      </c>
      <c r="AG389" s="29">
        <f t="shared" si="365"/>
        <v>730933.41747041966</v>
      </c>
      <c r="AH389" s="34">
        <f t="shared" si="366"/>
        <v>0</v>
      </c>
      <c r="AI389" s="34">
        <f t="shared" si="367"/>
        <v>0</v>
      </c>
      <c r="AJ389" s="34">
        <f t="shared" si="368"/>
        <v>0</v>
      </c>
      <c r="AK389" s="34">
        <f t="shared" si="369"/>
        <v>0</v>
      </c>
      <c r="AL389" s="34">
        <f t="shared" si="370"/>
        <v>0</v>
      </c>
      <c r="AM389" s="34">
        <f t="shared" si="371"/>
        <v>0</v>
      </c>
      <c r="AN389" s="34">
        <f t="shared" si="372"/>
        <v>0</v>
      </c>
      <c r="AO389" s="34">
        <f t="shared" si="373"/>
        <v>0</v>
      </c>
      <c r="AP389" s="34">
        <f t="shared" si="374"/>
        <v>0</v>
      </c>
      <c r="AQ389" s="34">
        <f t="shared" si="375"/>
        <v>0</v>
      </c>
      <c r="AR389" s="34">
        <f t="shared" si="376"/>
        <v>0</v>
      </c>
      <c r="AS389" s="30">
        <f t="shared" si="377"/>
        <v>1.3760812442289041</v>
      </c>
      <c r="AT389" s="29">
        <f t="shared" si="378"/>
        <v>0</v>
      </c>
      <c r="AU389" s="29">
        <f t="shared" si="379"/>
        <v>0</v>
      </c>
      <c r="AV389" s="34">
        <f t="shared" si="380"/>
        <v>0</v>
      </c>
      <c r="AW389" s="34">
        <f t="shared" si="381"/>
        <v>0</v>
      </c>
      <c r="AX389" s="29">
        <f t="shared" si="382"/>
        <v>0</v>
      </c>
      <c r="AY389" s="34">
        <f t="shared" si="383"/>
        <v>0</v>
      </c>
      <c r="AZ389" s="37">
        <f t="shared" si="384"/>
        <v>0</v>
      </c>
      <c r="BA389" s="37">
        <f t="shared" si="385"/>
        <v>0</v>
      </c>
      <c r="BB389" s="35">
        <f t="shared" si="386"/>
        <v>1.0975173757448164E-3</v>
      </c>
      <c r="BC389" s="31">
        <f t="shared" si="387"/>
        <v>0.65552916475723355</v>
      </c>
      <c r="BD389" s="34">
        <f t="shared" si="388"/>
        <v>0</v>
      </c>
    </row>
    <row r="390" spans="1:56" x14ac:dyDescent="0.2">
      <c r="A390" s="27">
        <f t="shared" si="389"/>
        <v>386</v>
      </c>
      <c r="B390" s="28">
        <f t="shared" si="336"/>
        <v>386</v>
      </c>
      <c r="C390" s="27">
        <f t="shared" si="337"/>
        <v>32</v>
      </c>
      <c r="D390" s="28">
        <f t="shared" si="338"/>
        <v>52</v>
      </c>
      <c r="E390" s="29">
        <f t="shared" si="339"/>
        <v>0</v>
      </c>
      <c r="F390" s="30">
        <f t="shared" si="340"/>
        <v>1.4290066029087241E-3</v>
      </c>
      <c r="G390" s="31">
        <f t="shared" si="341"/>
        <v>1.1916195020023057E-4</v>
      </c>
      <c r="H390" s="32">
        <f t="shared" si="342"/>
        <v>0.02</v>
      </c>
      <c r="I390" s="32">
        <f t="shared" si="343"/>
        <v>0</v>
      </c>
      <c r="J390" s="33">
        <f t="shared" si="390"/>
        <v>0</v>
      </c>
      <c r="K390" s="30">
        <f t="shared" si="344"/>
        <v>0</v>
      </c>
      <c r="L390" s="33">
        <f t="shared" si="345"/>
        <v>0</v>
      </c>
      <c r="M390" s="30">
        <f t="shared" si="346"/>
        <v>0</v>
      </c>
      <c r="N390" s="33">
        <f t="shared" si="347"/>
        <v>0</v>
      </c>
      <c r="O390" s="31">
        <f t="shared" si="348"/>
        <v>0</v>
      </c>
      <c r="P390" s="33">
        <f t="shared" si="349"/>
        <v>0</v>
      </c>
      <c r="Q390" s="34">
        <f t="shared" si="391"/>
        <v>731175.1638297207</v>
      </c>
      <c r="R390" s="29">
        <f t="shared" si="350"/>
        <v>0</v>
      </c>
      <c r="S390" s="34">
        <f t="shared" si="351"/>
        <v>731175.1638297207</v>
      </c>
      <c r="T390" s="29">
        <f t="shared" si="352"/>
        <v>609.3126365247673</v>
      </c>
      <c r="U390" s="29">
        <f t="shared" si="353"/>
        <v>0</v>
      </c>
      <c r="V390" s="35">
        <f t="shared" si="354"/>
        <v>1.3107814522025365E-4</v>
      </c>
      <c r="W390" s="34">
        <f t="shared" si="355"/>
        <v>0</v>
      </c>
      <c r="X390" s="34">
        <f t="shared" si="356"/>
        <v>730565.85119319591</v>
      </c>
      <c r="Y390" s="36">
        <f t="shared" si="357"/>
        <v>2.5535305742934167E-3</v>
      </c>
      <c r="Z390" s="34">
        <f t="shared" si="358"/>
        <v>1865.5222375565204</v>
      </c>
      <c r="AA390" s="34">
        <f t="shared" si="359"/>
        <v>731498.61231197417</v>
      </c>
      <c r="AB390" s="34">
        <f t="shared" si="360"/>
        <v>0</v>
      </c>
      <c r="AC390" s="34">
        <f t="shared" si="361"/>
        <v>0</v>
      </c>
      <c r="AD390" s="34">
        <f t="shared" si="362"/>
        <v>0</v>
      </c>
      <c r="AE390" s="34">
        <f t="shared" si="363"/>
        <v>0</v>
      </c>
      <c r="AF390" s="34">
        <f t="shared" si="364"/>
        <v>0</v>
      </c>
      <c r="AG390" s="29">
        <f t="shared" si="365"/>
        <v>731498.61231197417</v>
      </c>
      <c r="AH390" s="34">
        <f t="shared" si="366"/>
        <v>0</v>
      </c>
      <c r="AI390" s="34">
        <f t="shared" si="367"/>
        <v>0</v>
      </c>
      <c r="AJ390" s="34">
        <f t="shared" si="368"/>
        <v>0</v>
      </c>
      <c r="AK390" s="34">
        <f t="shared" si="369"/>
        <v>0</v>
      </c>
      <c r="AL390" s="34">
        <f t="shared" si="370"/>
        <v>0</v>
      </c>
      <c r="AM390" s="34">
        <f t="shared" si="371"/>
        <v>0</v>
      </c>
      <c r="AN390" s="34">
        <f t="shared" si="372"/>
        <v>0</v>
      </c>
      <c r="AO390" s="34">
        <f t="shared" si="373"/>
        <v>0</v>
      </c>
      <c r="AP390" s="34">
        <f t="shared" si="374"/>
        <v>0</v>
      </c>
      <c r="AQ390" s="34">
        <f t="shared" si="375"/>
        <v>0</v>
      </c>
      <c r="AR390" s="34">
        <f t="shared" si="376"/>
        <v>0</v>
      </c>
      <c r="AS390" s="30">
        <f t="shared" si="377"/>
        <v>1.377222756069429</v>
      </c>
      <c r="AT390" s="29">
        <f t="shared" si="378"/>
        <v>0</v>
      </c>
      <c r="AU390" s="29">
        <f t="shared" si="379"/>
        <v>0</v>
      </c>
      <c r="AV390" s="34">
        <f t="shared" si="380"/>
        <v>0</v>
      </c>
      <c r="AW390" s="34">
        <f t="shared" si="381"/>
        <v>0</v>
      </c>
      <c r="AX390" s="29">
        <f t="shared" si="382"/>
        <v>0</v>
      </c>
      <c r="AY390" s="34">
        <f t="shared" si="383"/>
        <v>0</v>
      </c>
      <c r="AZ390" s="37">
        <f t="shared" si="384"/>
        <v>0</v>
      </c>
      <c r="BA390" s="37">
        <f t="shared" si="385"/>
        <v>0</v>
      </c>
      <c r="BB390" s="35">
        <f t="shared" si="386"/>
        <v>1.0975173757448164E-3</v>
      </c>
      <c r="BC390" s="31">
        <f t="shared" si="387"/>
        <v>0.654810498856918</v>
      </c>
      <c r="BD390" s="34">
        <f t="shared" si="388"/>
        <v>0</v>
      </c>
    </row>
    <row r="391" spans="1:56" x14ac:dyDescent="0.2">
      <c r="A391" s="27">
        <f t="shared" si="389"/>
        <v>387</v>
      </c>
      <c r="B391" s="28">
        <f t="shared" si="336"/>
        <v>387</v>
      </c>
      <c r="C391" s="27">
        <f t="shared" si="337"/>
        <v>32</v>
      </c>
      <c r="D391" s="28">
        <f t="shared" si="338"/>
        <v>52</v>
      </c>
      <c r="E391" s="29">
        <f t="shared" si="339"/>
        <v>0</v>
      </c>
      <c r="F391" s="30">
        <f t="shared" si="340"/>
        <v>1.4290066029087241E-3</v>
      </c>
      <c r="G391" s="31">
        <f t="shared" si="341"/>
        <v>1.1916195020023057E-4</v>
      </c>
      <c r="H391" s="32">
        <f t="shared" si="342"/>
        <v>0.02</v>
      </c>
      <c r="I391" s="32">
        <f t="shared" si="343"/>
        <v>0</v>
      </c>
      <c r="J391" s="33">
        <f t="shared" si="390"/>
        <v>0</v>
      </c>
      <c r="K391" s="30">
        <f t="shared" si="344"/>
        <v>0</v>
      </c>
      <c r="L391" s="33">
        <f t="shared" si="345"/>
        <v>0</v>
      </c>
      <c r="M391" s="30">
        <f t="shared" si="346"/>
        <v>0</v>
      </c>
      <c r="N391" s="33">
        <f t="shared" si="347"/>
        <v>0</v>
      </c>
      <c r="O391" s="31">
        <f t="shared" si="348"/>
        <v>0</v>
      </c>
      <c r="P391" s="33">
        <f t="shared" si="349"/>
        <v>0</v>
      </c>
      <c r="Q391" s="34">
        <f t="shared" si="391"/>
        <v>732431.37343075243</v>
      </c>
      <c r="R391" s="29">
        <f t="shared" si="350"/>
        <v>0</v>
      </c>
      <c r="S391" s="34">
        <f t="shared" si="351"/>
        <v>732431.37343075243</v>
      </c>
      <c r="T391" s="29">
        <f t="shared" si="352"/>
        <v>610.35947785896042</v>
      </c>
      <c r="U391" s="29">
        <f t="shared" si="353"/>
        <v>0</v>
      </c>
      <c r="V391" s="35">
        <f t="shared" si="354"/>
        <v>1.3107814522025365E-4</v>
      </c>
      <c r="W391" s="34">
        <f t="shared" si="355"/>
        <v>0</v>
      </c>
      <c r="X391" s="34">
        <f t="shared" si="356"/>
        <v>731821.01395289344</v>
      </c>
      <c r="Y391" s="36">
        <f t="shared" si="357"/>
        <v>7.4256642481040913E-3</v>
      </c>
      <c r="Z391" s="34">
        <f t="shared" si="358"/>
        <v>5434.2571393212866</v>
      </c>
      <c r="AA391" s="34">
        <f t="shared" si="359"/>
        <v>734538.14252255403</v>
      </c>
      <c r="AB391" s="34">
        <f t="shared" si="360"/>
        <v>0</v>
      </c>
      <c r="AC391" s="34">
        <f t="shared" si="361"/>
        <v>0</v>
      </c>
      <c r="AD391" s="34">
        <f t="shared" si="362"/>
        <v>0</v>
      </c>
      <c r="AE391" s="34">
        <f t="shared" si="363"/>
        <v>0</v>
      </c>
      <c r="AF391" s="34">
        <f t="shared" si="364"/>
        <v>0</v>
      </c>
      <c r="AG391" s="29">
        <f t="shared" si="365"/>
        <v>734538.14252255403</v>
      </c>
      <c r="AH391" s="34">
        <f t="shared" si="366"/>
        <v>0</v>
      </c>
      <c r="AI391" s="34">
        <f t="shared" si="367"/>
        <v>0</v>
      </c>
      <c r="AJ391" s="34">
        <f t="shared" si="368"/>
        <v>0</v>
      </c>
      <c r="AK391" s="34">
        <f t="shared" si="369"/>
        <v>0</v>
      </c>
      <c r="AL391" s="34">
        <f t="shared" si="370"/>
        <v>0</v>
      </c>
      <c r="AM391" s="34">
        <f t="shared" si="371"/>
        <v>0</v>
      </c>
      <c r="AN391" s="34">
        <f t="shared" si="372"/>
        <v>0</v>
      </c>
      <c r="AO391" s="34">
        <f t="shared" si="373"/>
        <v>0</v>
      </c>
      <c r="AP391" s="34">
        <f t="shared" si="374"/>
        <v>0</v>
      </c>
      <c r="AQ391" s="34">
        <f t="shared" si="375"/>
        <v>0</v>
      </c>
      <c r="AR391" s="34">
        <f t="shared" si="376"/>
        <v>0</v>
      </c>
      <c r="AS391" s="30">
        <f t="shared" si="377"/>
        <v>1.3783652148375336</v>
      </c>
      <c r="AT391" s="29">
        <f t="shared" si="378"/>
        <v>0</v>
      </c>
      <c r="AU391" s="29">
        <f t="shared" si="379"/>
        <v>0</v>
      </c>
      <c r="AV391" s="34">
        <f t="shared" si="380"/>
        <v>0</v>
      </c>
      <c r="AW391" s="34">
        <f t="shared" si="381"/>
        <v>0</v>
      </c>
      <c r="AX391" s="29">
        <f t="shared" si="382"/>
        <v>0</v>
      </c>
      <c r="AY391" s="34">
        <f t="shared" si="383"/>
        <v>0</v>
      </c>
      <c r="AZ391" s="37">
        <f t="shared" si="384"/>
        <v>0</v>
      </c>
      <c r="BA391" s="37">
        <f t="shared" si="385"/>
        <v>0</v>
      </c>
      <c r="BB391" s="35">
        <f t="shared" si="386"/>
        <v>1.0975173757448164E-3</v>
      </c>
      <c r="BC391" s="31">
        <f t="shared" si="387"/>
        <v>0.65409262084019937</v>
      </c>
      <c r="BD391" s="34">
        <f t="shared" si="388"/>
        <v>0</v>
      </c>
    </row>
    <row r="392" spans="1:56" x14ac:dyDescent="0.2">
      <c r="A392" s="27">
        <f t="shared" si="389"/>
        <v>388</v>
      </c>
      <c r="B392" s="28">
        <f t="shared" si="336"/>
        <v>388</v>
      </c>
      <c r="C392" s="27">
        <f t="shared" si="337"/>
        <v>32</v>
      </c>
      <c r="D392" s="28">
        <f t="shared" si="338"/>
        <v>52</v>
      </c>
      <c r="E392" s="29">
        <f t="shared" si="339"/>
        <v>0</v>
      </c>
      <c r="F392" s="30">
        <f t="shared" si="340"/>
        <v>1.4290066029087241E-3</v>
      </c>
      <c r="G392" s="31">
        <f t="shared" si="341"/>
        <v>1.1916195020023057E-4</v>
      </c>
      <c r="H392" s="32">
        <f t="shared" si="342"/>
        <v>0.02</v>
      </c>
      <c r="I392" s="32">
        <f t="shared" si="343"/>
        <v>0</v>
      </c>
      <c r="J392" s="33">
        <f t="shared" si="390"/>
        <v>0</v>
      </c>
      <c r="K392" s="30">
        <f t="shared" si="344"/>
        <v>0</v>
      </c>
      <c r="L392" s="33">
        <f t="shared" si="345"/>
        <v>0</v>
      </c>
      <c r="M392" s="30">
        <f t="shared" si="346"/>
        <v>0</v>
      </c>
      <c r="N392" s="33">
        <f t="shared" si="347"/>
        <v>0</v>
      </c>
      <c r="O392" s="31">
        <f t="shared" si="348"/>
        <v>0</v>
      </c>
      <c r="P392" s="33">
        <f t="shared" si="349"/>
        <v>0</v>
      </c>
      <c r="Q392" s="34">
        <f t="shared" si="391"/>
        <v>737255.27109221474</v>
      </c>
      <c r="R392" s="29">
        <f t="shared" si="350"/>
        <v>0</v>
      </c>
      <c r="S392" s="34">
        <f t="shared" si="351"/>
        <v>737255.27109221474</v>
      </c>
      <c r="T392" s="29">
        <f t="shared" si="352"/>
        <v>614.3793925768457</v>
      </c>
      <c r="U392" s="29">
        <f t="shared" si="353"/>
        <v>0</v>
      </c>
      <c r="V392" s="35">
        <f t="shared" si="354"/>
        <v>1.3107814522025365E-4</v>
      </c>
      <c r="W392" s="34">
        <f t="shared" si="355"/>
        <v>0</v>
      </c>
      <c r="X392" s="34">
        <f t="shared" si="356"/>
        <v>736640.89169963787</v>
      </c>
      <c r="Y392" s="36">
        <f t="shared" si="357"/>
        <v>1.1648936878121408E-3</v>
      </c>
      <c r="Z392" s="34">
        <f t="shared" si="358"/>
        <v>858.1083249252149</v>
      </c>
      <c r="AA392" s="34">
        <f t="shared" si="359"/>
        <v>737069.94586210046</v>
      </c>
      <c r="AB392" s="34">
        <f t="shared" si="360"/>
        <v>0</v>
      </c>
      <c r="AC392" s="34">
        <f t="shared" si="361"/>
        <v>0</v>
      </c>
      <c r="AD392" s="34">
        <f t="shared" si="362"/>
        <v>0</v>
      </c>
      <c r="AE392" s="34">
        <f t="shared" si="363"/>
        <v>0</v>
      </c>
      <c r="AF392" s="34">
        <f t="shared" si="364"/>
        <v>0</v>
      </c>
      <c r="AG392" s="29">
        <f t="shared" si="365"/>
        <v>737069.94586210046</v>
      </c>
      <c r="AH392" s="34">
        <f t="shared" si="366"/>
        <v>0</v>
      </c>
      <c r="AI392" s="34">
        <f t="shared" si="367"/>
        <v>0</v>
      </c>
      <c r="AJ392" s="34">
        <f t="shared" si="368"/>
        <v>0</v>
      </c>
      <c r="AK392" s="34">
        <f t="shared" si="369"/>
        <v>0</v>
      </c>
      <c r="AL392" s="34">
        <f t="shared" si="370"/>
        <v>0</v>
      </c>
      <c r="AM392" s="34">
        <f t="shared" si="371"/>
        <v>0</v>
      </c>
      <c r="AN392" s="34">
        <f t="shared" si="372"/>
        <v>0</v>
      </c>
      <c r="AO392" s="34">
        <f t="shared" si="373"/>
        <v>0</v>
      </c>
      <c r="AP392" s="34">
        <f t="shared" si="374"/>
        <v>0</v>
      </c>
      <c r="AQ392" s="34">
        <f t="shared" si="375"/>
        <v>0</v>
      </c>
      <c r="AR392" s="34">
        <f t="shared" si="376"/>
        <v>0</v>
      </c>
      <c r="AS392" s="30">
        <f t="shared" si="377"/>
        <v>1.3795086213187302</v>
      </c>
      <c r="AT392" s="29">
        <f t="shared" si="378"/>
        <v>0</v>
      </c>
      <c r="AU392" s="29">
        <f t="shared" si="379"/>
        <v>0</v>
      </c>
      <c r="AV392" s="34">
        <f t="shared" si="380"/>
        <v>0</v>
      </c>
      <c r="AW392" s="34">
        <f t="shared" si="381"/>
        <v>0</v>
      </c>
      <c r="AX392" s="29">
        <f t="shared" si="382"/>
        <v>0</v>
      </c>
      <c r="AY392" s="34">
        <f t="shared" si="383"/>
        <v>0</v>
      </c>
      <c r="AZ392" s="37">
        <f t="shared" si="384"/>
        <v>0</v>
      </c>
      <c r="BA392" s="37">
        <f t="shared" si="385"/>
        <v>0</v>
      </c>
      <c r="BB392" s="35">
        <f t="shared" si="386"/>
        <v>1.0975173757448164E-3</v>
      </c>
      <c r="BC392" s="31">
        <f t="shared" si="387"/>
        <v>0.65337552984330993</v>
      </c>
      <c r="BD392" s="34">
        <f t="shared" si="388"/>
        <v>0</v>
      </c>
    </row>
    <row r="393" spans="1:56" x14ac:dyDescent="0.2">
      <c r="A393" s="27">
        <f t="shared" si="389"/>
        <v>389</v>
      </c>
      <c r="B393" s="28">
        <f t="shared" si="336"/>
        <v>389</v>
      </c>
      <c r="C393" s="27">
        <f t="shared" si="337"/>
        <v>32</v>
      </c>
      <c r="D393" s="28">
        <f t="shared" si="338"/>
        <v>52</v>
      </c>
      <c r="E393" s="29">
        <f t="shared" si="339"/>
        <v>0</v>
      </c>
      <c r="F393" s="30">
        <f t="shared" si="340"/>
        <v>1.4290066029087241E-3</v>
      </c>
      <c r="G393" s="31">
        <f t="shared" si="341"/>
        <v>1.1916195020023057E-4</v>
      </c>
      <c r="H393" s="32">
        <f t="shared" si="342"/>
        <v>0.02</v>
      </c>
      <c r="I393" s="32">
        <f t="shared" si="343"/>
        <v>0</v>
      </c>
      <c r="J393" s="33">
        <f t="shared" si="390"/>
        <v>0</v>
      </c>
      <c r="K393" s="30">
        <f t="shared" si="344"/>
        <v>0</v>
      </c>
      <c r="L393" s="33">
        <f t="shared" si="345"/>
        <v>0</v>
      </c>
      <c r="M393" s="30">
        <f t="shared" si="346"/>
        <v>0</v>
      </c>
      <c r="N393" s="33">
        <f t="shared" si="347"/>
        <v>0</v>
      </c>
      <c r="O393" s="31">
        <f t="shared" si="348"/>
        <v>0</v>
      </c>
      <c r="P393" s="33">
        <f t="shared" si="349"/>
        <v>0</v>
      </c>
      <c r="Q393" s="34">
        <f t="shared" si="391"/>
        <v>737499.00002456305</v>
      </c>
      <c r="R393" s="29">
        <f t="shared" si="350"/>
        <v>0</v>
      </c>
      <c r="S393" s="34">
        <f t="shared" si="351"/>
        <v>737499.00002456305</v>
      </c>
      <c r="T393" s="29">
        <f t="shared" si="352"/>
        <v>614.5825000204693</v>
      </c>
      <c r="U393" s="29">
        <f t="shared" si="353"/>
        <v>0</v>
      </c>
      <c r="V393" s="35">
        <f t="shared" si="354"/>
        <v>1.3107814522025365E-4</v>
      </c>
      <c r="W393" s="34">
        <f t="shared" si="355"/>
        <v>0</v>
      </c>
      <c r="X393" s="34">
        <f t="shared" si="356"/>
        <v>736884.41752454254</v>
      </c>
      <c r="Y393" s="36">
        <f t="shared" si="357"/>
        <v>-4.7929348738577904E-3</v>
      </c>
      <c r="Z393" s="34">
        <f t="shared" si="358"/>
        <v>-3531.8390227557647</v>
      </c>
      <c r="AA393" s="34">
        <f t="shared" si="359"/>
        <v>735118.49801316462</v>
      </c>
      <c r="AB393" s="34">
        <f t="shared" si="360"/>
        <v>0</v>
      </c>
      <c r="AC393" s="34">
        <f t="shared" si="361"/>
        <v>0</v>
      </c>
      <c r="AD393" s="34">
        <f t="shared" si="362"/>
        <v>0</v>
      </c>
      <c r="AE393" s="34">
        <f t="shared" si="363"/>
        <v>0</v>
      </c>
      <c r="AF393" s="34">
        <f t="shared" si="364"/>
        <v>0</v>
      </c>
      <c r="AG393" s="29">
        <f t="shared" si="365"/>
        <v>735118.49801316462</v>
      </c>
      <c r="AH393" s="34">
        <f t="shared" si="366"/>
        <v>0</v>
      </c>
      <c r="AI393" s="34">
        <f t="shared" si="367"/>
        <v>0</v>
      </c>
      <c r="AJ393" s="34">
        <f t="shared" si="368"/>
        <v>0</v>
      </c>
      <c r="AK393" s="34">
        <f t="shared" si="369"/>
        <v>0</v>
      </c>
      <c r="AL393" s="34">
        <f t="shared" si="370"/>
        <v>0</v>
      </c>
      <c r="AM393" s="34">
        <f t="shared" si="371"/>
        <v>0</v>
      </c>
      <c r="AN393" s="34">
        <f t="shared" si="372"/>
        <v>0</v>
      </c>
      <c r="AO393" s="34">
        <f t="shared" si="373"/>
        <v>0</v>
      </c>
      <c r="AP393" s="34">
        <f t="shared" si="374"/>
        <v>0</v>
      </c>
      <c r="AQ393" s="34">
        <f t="shared" si="375"/>
        <v>0</v>
      </c>
      <c r="AR393" s="34">
        <f t="shared" si="376"/>
        <v>0</v>
      </c>
      <c r="AS393" s="30">
        <f t="shared" si="377"/>
        <v>1.3806529762991835</v>
      </c>
      <c r="AT393" s="29">
        <f t="shared" si="378"/>
        <v>0</v>
      </c>
      <c r="AU393" s="29">
        <f t="shared" si="379"/>
        <v>0</v>
      </c>
      <c r="AV393" s="34">
        <f t="shared" si="380"/>
        <v>0</v>
      </c>
      <c r="AW393" s="34">
        <f t="shared" si="381"/>
        <v>0</v>
      </c>
      <c r="AX393" s="29">
        <f t="shared" si="382"/>
        <v>0</v>
      </c>
      <c r="AY393" s="34">
        <f t="shared" si="383"/>
        <v>0</v>
      </c>
      <c r="AZ393" s="37">
        <f t="shared" si="384"/>
        <v>0</v>
      </c>
      <c r="BA393" s="37">
        <f t="shared" si="385"/>
        <v>0</v>
      </c>
      <c r="BB393" s="35">
        <f t="shared" si="386"/>
        <v>1.0975173757448164E-3</v>
      </c>
      <c r="BC393" s="31">
        <f t="shared" si="387"/>
        <v>0.65265922500342843</v>
      </c>
      <c r="BD393" s="34">
        <f t="shared" si="388"/>
        <v>0</v>
      </c>
    </row>
    <row r="394" spans="1:56" x14ac:dyDescent="0.2">
      <c r="A394" s="27">
        <f t="shared" si="389"/>
        <v>390</v>
      </c>
      <c r="B394" s="28">
        <f t="shared" si="336"/>
        <v>390</v>
      </c>
      <c r="C394" s="27">
        <f t="shared" si="337"/>
        <v>32</v>
      </c>
      <c r="D394" s="28">
        <f t="shared" si="338"/>
        <v>52</v>
      </c>
      <c r="E394" s="29">
        <f t="shared" si="339"/>
        <v>0</v>
      </c>
      <c r="F394" s="30">
        <f t="shared" si="340"/>
        <v>1.4290066029087241E-3</v>
      </c>
      <c r="G394" s="31">
        <f t="shared" si="341"/>
        <v>1.1916195020023057E-4</v>
      </c>
      <c r="H394" s="32">
        <f t="shared" si="342"/>
        <v>0.02</v>
      </c>
      <c r="I394" s="32">
        <f t="shared" si="343"/>
        <v>0</v>
      </c>
      <c r="J394" s="33">
        <f t="shared" si="390"/>
        <v>0</v>
      </c>
      <c r="K394" s="30">
        <f t="shared" si="344"/>
        <v>0</v>
      </c>
      <c r="L394" s="33">
        <f t="shared" si="345"/>
        <v>0</v>
      </c>
      <c r="M394" s="30">
        <f t="shared" si="346"/>
        <v>0</v>
      </c>
      <c r="N394" s="33">
        <f t="shared" si="347"/>
        <v>0</v>
      </c>
      <c r="O394" s="31">
        <f t="shared" si="348"/>
        <v>0</v>
      </c>
      <c r="P394" s="33">
        <f t="shared" si="349"/>
        <v>0</v>
      </c>
      <c r="Q394" s="34">
        <f t="shared" si="391"/>
        <v>733352.5785017868</v>
      </c>
      <c r="R394" s="29">
        <f t="shared" si="350"/>
        <v>0</v>
      </c>
      <c r="S394" s="34">
        <f t="shared" si="351"/>
        <v>733352.5785017868</v>
      </c>
      <c r="T394" s="29">
        <f t="shared" si="352"/>
        <v>611.12714875148902</v>
      </c>
      <c r="U394" s="29">
        <f t="shared" si="353"/>
        <v>0</v>
      </c>
      <c r="V394" s="35">
        <f t="shared" si="354"/>
        <v>1.3107814522025365E-4</v>
      </c>
      <c r="W394" s="34">
        <f t="shared" si="355"/>
        <v>0</v>
      </c>
      <c r="X394" s="34">
        <f t="shared" si="356"/>
        <v>732741.45135303529</v>
      </c>
      <c r="Y394" s="36">
        <f t="shared" si="357"/>
        <v>1.5073459115231058E-2</v>
      </c>
      <c r="Z394" s="34">
        <f t="shared" si="358"/>
        <v>11044.948309005045</v>
      </c>
      <c r="AA394" s="34">
        <f t="shared" si="359"/>
        <v>738263.92550753779</v>
      </c>
      <c r="AB394" s="34">
        <f t="shared" si="360"/>
        <v>0</v>
      </c>
      <c r="AC394" s="34">
        <f t="shared" si="361"/>
        <v>0</v>
      </c>
      <c r="AD394" s="34">
        <f t="shared" si="362"/>
        <v>0</v>
      </c>
      <c r="AE394" s="34">
        <f t="shared" si="363"/>
        <v>0</v>
      </c>
      <c r="AF394" s="34">
        <f t="shared" si="364"/>
        <v>0</v>
      </c>
      <c r="AG394" s="29">
        <f t="shared" si="365"/>
        <v>738263.92550753779</v>
      </c>
      <c r="AH394" s="34">
        <f t="shared" si="366"/>
        <v>0</v>
      </c>
      <c r="AI394" s="34">
        <f t="shared" si="367"/>
        <v>0</v>
      </c>
      <c r="AJ394" s="34">
        <f t="shared" si="368"/>
        <v>0</v>
      </c>
      <c r="AK394" s="34">
        <f t="shared" si="369"/>
        <v>0</v>
      </c>
      <c r="AL394" s="34">
        <f t="shared" si="370"/>
        <v>0</v>
      </c>
      <c r="AM394" s="34">
        <f t="shared" si="371"/>
        <v>0</v>
      </c>
      <c r="AN394" s="34">
        <f t="shared" si="372"/>
        <v>0</v>
      </c>
      <c r="AO394" s="34">
        <f t="shared" si="373"/>
        <v>0</v>
      </c>
      <c r="AP394" s="34">
        <f t="shared" si="374"/>
        <v>0</v>
      </c>
      <c r="AQ394" s="34">
        <f t="shared" si="375"/>
        <v>0</v>
      </c>
      <c r="AR394" s="34">
        <f t="shared" si="376"/>
        <v>0</v>
      </c>
      <c r="AS394" s="30">
        <f t="shared" si="377"/>
        <v>1.3817982805657092</v>
      </c>
      <c r="AT394" s="29">
        <f t="shared" si="378"/>
        <v>0</v>
      </c>
      <c r="AU394" s="29">
        <f t="shared" si="379"/>
        <v>0</v>
      </c>
      <c r="AV394" s="34">
        <f t="shared" si="380"/>
        <v>0</v>
      </c>
      <c r="AW394" s="34">
        <f t="shared" si="381"/>
        <v>0</v>
      </c>
      <c r="AX394" s="29">
        <f t="shared" si="382"/>
        <v>0</v>
      </c>
      <c r="AY394" s="34">
        <f t="shared" si="383"/>
        <v>0</v>
      </c>
      <c r="AZ394" s="37">
        <f t="shared" si="384"/>
        <v>0</v>
      </c>
      <c r="BA394" s="37">
        <f t="shared" si="385"/>
        <v>0</v>
      </c>
      <c r="BB394" s="35">
        <f t="shared" si="386"/>
        <v>1.0975173757448164E-3</v>
      </c>
      <c r="BC394" s="31">
        <f t="shared" si="387"/>
        <v>0.65194370545868019</v>
      </c>
      <c r="BD394" s="34">
        <f t="shared" si="388"/>
        <v>0</v>
      </c>
    </row>
    <row r="395" spans="1:56" x14ac:dyDescent="0.2">
      <c r="A395" s="27">
        <f t="shared" si="389"/>
        <v>391</v>
      </c>
      <c r="B395" s="28">
        <f t="shared" si="336"/>
        <v>391</v>
      </c>
      <c r="C395" s="27">
        <f t="shared" si="337"/>
        <v>32</v>
      </c>
      <c r="D395" s="28">
        <f t="shared" si="338"/>
        <v>52</v>
      </c>
      <c r="E395" s="29">
        <f t="shared" si="339"/>
        <v>0</v>
      </c>
      <c r="F395" s="30">
        <f t="shared" si="340"/>
        <v>1.4290066029087241E-3</v>
      </c>
      <c r="G395" s="31">
        <f t="shared" si="341"/>
        <v>1.1916195020023057E-4</v>
      </c>
      <c r="H395" s="32">
        <f t="shared" si="342"/>
        <v>0.02</v>
      </c>
      <c r="I395" s="32">
        <f t="shared" si="343"/>
        <v>0</v>
      </c>
      <c r="J395" s="33">
        <f t="shared" si="390"/>
        <v>0</v>
      </c>
      <c r="K395" s="30">
        <f t="shared" si="344"/>
        <v>0</v>
      </c>
      <c r="L395" s="33">
        <f t="shared" si="345"/>
        <v>0</v>
      </c>
      <c r="M395" s="30">
        <f t="shared" si="346"/>
        <v>0</v>
      </c>
      <c r="N395" s="33">
        <f t="shared" si="347"/>
        <v>0</v>
      </c>
      <c r="O395" s="31">
        <f t="shared" si="348"/>
        <v>0</v>
      </c>
      <c r="P395" s="33">
        <f t="shared" si="349"/>
        <v>0</v>
      </c>
      <c r="Q395" s="34">
        <f t="shared" si="391"/>
        <v>743786.39966204029</v>
      </c>
      <c r="R395" s="29">
        <f t="shared" si="350"/>
        <v>0</v>
      </c>
      <c r="S395" s="34">
        <f t="shared" si="351"/>
        <v>743786.39966204029</v>
      </c>
      <c r="T395" s="29">
        <f t="shared" si="352"/>
        <v>619.8219997183669</v>
      </c>
      <c r="U395" s="29">
        <f t="shared" si="353"/>
        <v>0</v>
      </c>
      <c r="V395" s="35">
        <f t="shared" si="354"/>
        <v>1.3107814522025365E-4</v>
      </c>
      <c r="W395" s="34">
        <f t="shared" si="355"/>
        <v>0</v>
      </c>
      <c r="X395" s="34">
        <f t="shared" si="356"/>
        <v>743166.57766232197</v>
      </c>
      <c r="Y395" s="36">
        <f t="shared" si="357"/>
        <v>3.1847756974214825E-3</v>
      </c>
      <c r="Z395" s="34">
        <f t="shared" si="358"/>
        <v>2366.8188556748578</v>
      </c>
      <c r="AA395" s="34">
        <f t="shared" si="359"/>
        <v>744349.98709015944</v>
      </c>
      <c r="AB395" s="34">
        <f t="shared" si="360"/>
        <v>0</v>
      </c>
      <c r="AC395" s="34">
        <f t="shared" si="361"/>
        <v>0</v>
      </c>
      <c r="AD395" s="34">
        <f t="shared" si="362"/>
        <v>0</v>
      </c>
      <c r="AE395" s="34">
        <f t="shared" si="363"/>
        <v>0</v>
      </c>
      <c r="AF395" s="34">
        <f t="shared" si="364"/>
        <v>0</v>
      </c>
      <c r="AG395" s="29">
        <f t="shared" si="365"/>
        <v>744349.98709015944</v>
      </c>
      <c r="AH395" s="34">
        <f t="shared" si="366"/>
        <v>0</v>
      </c>
      <c r="AI395" s="34">
        <f t="shared" si="367"/>
        <v>0</v>
      </c>
      <c r="AJ395" s="34">
        <f t="shared" si="368"/>
        <v>0</v>
      </c>
      <c r="AK395" s="34">
        <f t="shared" si="369"/>
        <v>0</v>
      </c>
      <c r="AL395" s="34">
        <f t="shared" si="370"/>
        <v>0</v>
      </c>
      <c r="AM395" s="34">
        <f t="shared" si="371"/>
        <v>0</v>
      </c>
      <c r="AN395" s="34">
        <f t="shared" si="372"/>
        <v>0</v>
      </c>
      <c r="AO395" s="34">
        <f t="shared" si="373"/>
        <v>0</v>
      </c>
      <c r="AP395" s="34">
        <f t="shared" si="374"/>
        <v>0</v>
      </c>
      <c r="AQ395" s="34">
        <f t="shared" si="375"/>
        <v>0</v>
      </c>
      <c r="AR395" s="34">
        <f t="shared" si="376"/>
        <v>0</v>
      </c>
      <c r="AS395" s="30">
        <f t="shared" si="377"/>
        <v>1.3829445349057765</v>
      </c>
      <c r="AT395" s="29">
        <f t="shared" si="378"/>
        <v>0</v>
      </c>
      <c r="AU395" s="29">
        <f t="shared" si="379"/>
        <v>0</v>
      </c>
      <c r="AV395" s="34">
        <f t="shared" si="380"/>
        <v>0</v>
      </c>
      <c r="AW395" s="34">
        <f t="shared" si="381"/>
        <v>0</v>
      </c>
      <c r="AX395" s="29">
        <f t="shared" si="382"/>
        <v>0</v>
      </c>
      <c r="AY395" s="34">
        <f t="shared" si="383"/>
        <v>0</v>
      </c>
      <c r="AZ395" s="37">
        <f t="shared" si="384"/>
        <v>0</v>
      </c>
      <c r="BA395" s="37">
        <f t="shared" si="385"/>
        <v>0</v>
      </c>
      <c r="BB395" s="35">
        <f t="shared" si="386"/>
        <v>1.0975173757448164E-3</v>
      </c>
      <c r="BC395" s="31">
        <f t="shared" si="387"/>
        <v>0.65122897034813465</v>
      </c>
      <c r="BD395" s="34">
        <f t="shared" si="388"/>
        <v>0</v>
      </c>
    </row>
    <row r="396" spans="1:56" x14ac:dyDescent="0.2">
      <c r="A396" s="27">
        <f t="shared" si="389"/>
        <v>392</v>
      </c>
      <c r="B396" s="28">
        <f t="shared" si="336"/>
        <v>392</v>
      </c>
      <c r="C396" s="27">
        <f t="shared" si="337"/>
        <v>32</v>
      </c>
      <c r="D396" s="28">
        <f t="shared" si="338"/>
        <v>52</v>
      </c>
      <c r="E396" s="29">
        <f t="shared" si="339"/>
        <v>0</v>
      </c>
      <c r="F396" s="30">
        <f t="shared" si="340"/>
        <v>1.4290066029087241E-3</v>
      </c>
      <c r="G396" s="31">
        <f t="shared" si="341"/>
        <v>1.1916195020023057E-4</v>
      </c>
      <c r="H396" s="32">
        <f t="shared" si="342"/>
        <v>0.02</v>
      </c>
      <c r="I396" s="32">
        <f t="shared" si="343"/>
        <v>0</v>
      </c>
      <c r="J396" s="33">
        <f t="shared" si="390"/>
        <v>0</v>
      </c>
      <c r="K396" s="30">
        <f t="shared" si="344"/>
        <v>0</v>
      </c>
      <c r="L396" s="33">
        <f t="shared" si="345"/>
        <v>0</v>
      </c>
      <c r="M396" s="30">
        <f t="shared" si="346"/>
        <v>0</v>
      </c>
      <c r="N396" s="33">
        <f t="shared" si="347"/>
        <v>0</v>
      </c>
      <c r="O396" s="31">
        <f t="shared" si="348"/>
        <v>0</v>
      </c>
      <c r="P396" s="33">
        <f t="shared" si="349"/>
        <v>0</v>
      </c>
      <c r="Q396" s="34">
        <f t="shared" si="391"/>
        <v>745533.39651799679</v>
      </c>
      <c r="R396" s="29">
        <f t="shared" si="350"/>
        <v>0</v>
      </c>
      <c r="S396" s="34">
        <f t="shared" si="351"/>
        <v>745533.39651799679</v>
      </c>
      <c r="T396" s="29">
        <f t="shared" si="352"/>
        <v>621.27783043166403</v>
      </c>
      <c r="U396" s="29">
        <f t="shared" si="353"/>
        <v>0</v>
      </c>
      <c r="V396" s="35">
        <f t="shared" si="354"/>
        <v>1.3107814522025365E-4</v>
      </c>
      <c r="W396" s="34">
        <f t="shared" si="355"/>
        <v>0</v>
      </c>
      <c r="X396" s="34">
        <f t="shared" si="356"/>
        <v>744912.11868756509</v>
      </c>
      <c r="Y396" s="36">
        <f t="shared" si="357"/>
        <v>9.1735278799074393E-3</v>
      </c>
      <c r="Z396" s="34">
        <f t="shared" si="358"/>
        <v>6833.4720888612974</v>
      </c>
      <c r="AA396" s="34">
        <f t="shared" si="359"/>
        <v>748328.85473199573</v>
      </c>
      <c r="AB396" s="34">
        <f t="shared" si="360"/>
        <v>0</v>
      </c>
      <c r="AC396" s="34">
        <f t="shared" si="361"/>
        <v>0</v>
      </c>
      <c r="AD396" s="34">
        <f t="shared" si="362"/>
        <v>0</v>
      </c>
      <c r="AE396" s="34">
        <f t="shared" si="363"/>
        <v>0</v>
      </c>
      <c r="AF396" s="34">
        <f t="shared" si="364"/>
        <v>0</v>
      </c>
      <c r="AG396" s="29">
        <f t="shared" si="365"/>
        <v>748328.85473199573</v>
      </c>
      <c r="AH396" s="34">
        <f t="shared" si="366"/>
        <v>0</v>
      </c>
      <c r="AI396" s="34">
        <f t="shared" si="367"/>
        <v>0</v>
      </c>
      <c r="AJ396" s="34">
        <f t="shared" si="368"/>
        <v>0</v>
      </c>
      <c r="AK396" s="34">
        <f t="shared" si="369"/>
        <v>0</v>
      </c>
      <c r="AL396" s="34">
        <f t="shared" si="370"/>
        <v>0</v>
      </c>
      <c r="AM396" s="34">
        <f t="shared" si="371"/>
        <v>0</v>
      </c>
      <c r="AN396" s="34">
        <f t="shared" si="372"/>
        <v>0</v>
      </c>
      <c r="AO396" s="34">
        <f t="shared" si="373"/>
        <v>0</v>
      </c>
      <c r="AP396" s="34">
        <f t="shared" si="374"/>
        <v>0</v>
      </c>
      <c r="AQ396" s="34">
        <f t="shared" si="375"/>
        <v>0</v>
      </c>
      <c r="AR396" s="34">
        <f t="shared" si="376"/>
        <v>0</v>
      </c>
      <c r="AS396" s="30">
        <f t="shared" si="377"/>
        <v>1.3840917401075077</v>
      </c>
      <c r="AT396" s="29">
        <f t="shared" si="378"/>
        <v>0</v>
      </c>
      <c r="AU396" s="29">
        <f t="shared" si="379"/>
        <v>0</v>
      </c>
      <c r="AV396" s="34">
        <f t="shared" si="380"/>
        <v>0</v>
      </c>
      <c r="AW396" s="34">
        <f t="shared" si="381"/>
        <v>0</v>
      </c>
      <c r="AX396" s="29">
        <f t="shared" si="382"/>
        <v>0</v>
      </c>
      <c r="AY396" s="34">
        <f t="shared" si="383"/>
        <v>0</v>
      </c>
      <c r="AZ396" s="37">
        <f t="shared" si="384"/>
        <v>0</v>
      </c>
      <c r="BA396" s="37">
        <f t="shared" si="385"/>
        <v>0</v>
      </c>
      <c r="BB396" s="35">
        <f t="shared" si="386"/>
        <v>1.0975173757448164E-3</v>
      </c>
      <c r="BC396" s="31">
        <f t="shared" si="387"/>
        <v>0.65051501881180585</v>
      </c>
      <c r="BD396" s="34">
        <f t="shared" si="388"/>
        <v>0</v>
      </c>
    </row>
    <row r="397" spans="1:56" x14ac:dyDescent="0.2">
      <c r="A397" s="27">
        <f t="shared" si="389"/>
        <v>393</v>
      </c>
      <c r="B397" s="28">
        <f t="shared" si="336"/>
        <v>393</v>
      </c>
      <c r="C397" s="27">
        <f t="shared" si="337"/>
        <v>32</v>
      </c>
      <c r="D397" s="28">
        <f t="shared" si="338"/>
        <v>52</v>
      </c>
      <c r="E397" s="29">
        <f t="shared" si="339"/>
        <v>0</v>
      </c>
      <c r="F397" s="30">
        <f t="shared" si="340"/>
        <v>1.4290066029087241E-3</v>
      </c>
      <c r="G397" s="31">
        <f t="shared" si="341"/>
        <v>1.1916195020023057E-4</v>
      </c>
      <c r="H397" s="32">
        <f t="shared" si="342"/>
        <v>0.02</v>
      </c>
      <c r="I397" s="32">
        <f t="shared" si="343"/>
        <v>0</v>
      </c>
      <c r="J397" s="33">
        <f t="shared" si="390"/>
        <v>0</v>
      </c>
      <c r="K397" s="30">
        <f t="shared" si="344"/>
        <v>0</v>
      </c>
      <c r="L397" s="33">
        <f t="shared" si="345"/>
        <v>0</v>
      </c>
      <c r="M397" s="30">
        <f t="shared" si="346"/>
        <v>0</v>
      </c>
      <c r="N397" s="33">
        <f t="shared" si="347"/>
        <v>0</v>
      </c>
      <c r="O397" s="31">
        <f t="shared" si="348"/>
        <v>0</v>
      </c>
      <c r="P397" s="33">
        <f t="shared" si="349"/>
        <v>0</v>
      </c>
      <c r="Q397" s="34">
        <f t="shared" si="391"/>
        <v>751745.59077642637</v>
      </c>
      <c r="R397" s="29">
        <f t="shared" si="350"/>
        <v>0</v>
      </c>
      <c r="S397" s="34">
        <f t="shared" si="351"/>
        <v>751745.59077642637</v>
      </c>
      <c r="T397" s="29">
        <f t="shared" si="352"/>
        <v>626.45465898035536</v>
      </c>
      <c r="U397" s="29">
        <f t="shared" si="353"/>
        <v>0</v>
      </c>
      <c r="V397" s="35">
        <f t="shared" si="354"/>
        <v>1.3107814522025365E-4</v>
      </c>
      <c r="W397" s="34">
        <f t="shared" si="355"/>
        <v>0</v>
      </c>
      <c r="X397" s="34">
        <f t="shared" si="356"/>
        <v>751119.136117446</v>
      </c>
      <c r="Y397" s="36">
        <f t="shared" si="357"/>
        <v>1.3817660287228639E-2</v>
      </c>
      <c r="Z397" s="34">
        <f t="shared" si="358"/>
        <v>10378.709058107515</v>
      </c>
      <c r="AA397" s="34">
        <f t="shared" si="359"/>
        <v>756308.49064649979</v>
      </c>
      <c r="AB397" s="34">
        <f t="shared" si="360"/>
        <v>0</v>
      </c>
      <c r="AC397" s="34">
        <f t="shared" si="361"/>
        <v>0</v>
      </c>
      <c r="AD397" s="34">
        <f t="shared" si="362"/>
        <v>0</v>
      </c>
      <c r="AE397" s="34">
        <f t="shared" si="363"/>
        <v>0</v>
      </c>
      <c r="AF397" s="34">
        <f t="shared" si="364"/>
        <v>0</v>
      </c>
      <c r="AG397" s="29">
        <f t="shared" si="365"/>
        <v>756308.49064649979</v>
      </c>
      <c r="AH397" s="34">
        <f t="shared" si="366"/>
        <v>0</v>
      </c>
      <c r="AI397" s="34">
        <f t="shared" si="367"/>
        <v>0</v>
      </c>
      <c r="AJ397" s="34">
        <f t="shared" si="368"/>
        <v>0</v>
      </c>
      <c r="AK397" s="34">
        <f t="shared" si="369"/>
        <v>0</v>
      </c>
      <c r="AL397" s="34">
        <f t="shared" si="370"/>
        <v>0</v>
      </c>
      <c r="AM397" s="34">
        <f t="shared" si="371"/>
        <v>0</v>
      </c>
      <c r="AN397" s="34">
        <f t="shared" si="372"/>
        <v>0</v>
      </c>
      <c r="AO397" s="34">
        <f t="shared" si="373"/>
        <v>0</v>
      </c>
      <c r="AP397" s="34">
        <f t="shared" si="374"/>
        <v>0</v>
      </c>
      <c r="AQ397" s="34">
        <f t="shared" si="375"/>
        <v>0</v>
      </c>
      <c r="AR397" s="34">
        <f t="shared" si="376"/>
        <v>0</v>
      </c>
      <c r="AS397" s="30">
        <f t="shared" si="377"/>
        <v>1.3852398969596786</v>
      </c>
      <c r="AT397" s="29">
        <f t="shared" si="378"/>
        <v>0</v>
      </c>
      <c r="AU397" s="29">
        <f t="shared" si="379"/>
        <v>0</v>
      </c>
      <c r="AV397" s="34">
        <f t="shared" si="380"/>
        <v>0</v>
      </c>
      <c r="AW397" s="34">
        <f t="shared" si="381"/>
        <v>0</v>
      </c>
      <c r="AX397" s="29">
        <f t="shared" si="382"/>
        <v>0</v>
      </c>
      <c r="AY397" s="34">
        <f t="shared" si="383"/>
        <v>0</v>
      </c>
      <c r="AZ397" s="37">
        <f t="shared" si="384"/>
        <v>0</v>
      </c>
      <c r="BA397" s="37">
        <f t="shared" si="385"/>
        <v>0</v>
      </c>
      <c r="BB397" s="35">
        <f t="shared" si="386"/>
        <v>1.0975173757448164E-3</v>
      </c>
      <c r="BC397" s="31">
        <f t="shared" si="387"/>
        <v>0.64980184999065005</v>
      </c>
      <c r="BD397" s="34">
        <f t="shared" si="388"/>
        <v>0</v>
      </c>
    </row>
    <row r="398" spans="1:56" x14ac:dyDescent="0.2">
      <c r="A398" s="27">
        <f t="shared" si="389"/>
        <v>394</v>
      </c>
      <c r="B398" s="28">
        <f t="shared" si="336"/>
        <v>394</v>
      </c>
      <c r="C398" s="27">
        <f t="shared" si="337"/>
        <v>32</v>
      </c>
      <c r="D398" s="28">
        <f t="shared" si="338"/>
        <v>52</v>
      </c>
      <c r="E398" s="29">
        <f t="shared" si="339"/>
        <v>0</v>
      </c>
      <c r="F398" s="30">
        <f t="shared" si="340"/>
        <v>1.4290066029087241E-3</v>
      </c>
      <c r="G398" s="31">
        <f t="shared" si="341"/>
        <v>1.1916195020023057E-4</v>
      </c>
      <c r="H398" s="32">
        <f t="shared" si="342"/>
        <v>0.02</v>
      </c>
      <c r="I398" s="32">
        <f t="shared" si="343"/>
        <v>0</v>
      </c>
      <c r="J398" s="33">
        <f t="shared" si="390"/>
        <v>0</v>
      </c>
      <c r="K398" s="30">
        <f t="shared" si="344"/>
        <v>0</v>
      </c>
      <c r="L398" s="33">
        <f t="shared" si="345"/>
        <v>0</v>
      </c>
      <c r="M398" s="30">
        <f t="shared" si="346"/>
        <v>0</v>
      </c>
      <c r="N398" s="33">
        <f t="shared" si="347"/>
        <v>0</v>
      </c>
      <c r="O398" s="31">
        <f t="shared" si="348"/>
        <v>0</v>
      </c>
      <c r="P398" s="33">
        <f t="shared" si="349"/>
        <v>0</v>
      </c>
      <c r="Q398" s="34">
        <f t="shared" si="391"/>
        <v>761497.84517555346</v>
      </c>
      <c r="R398" s="29">
        <f t="shared" si="350"/>
        <v>0</v>
      </c>
      <c r="S398" s="34">
        <f t="shared" si="351"/>
        <v>761497.84517555346</v>
      </c>
      <c r="T398" s="29">
        <f t="shared" si="352"/>
        <v>634.58153764629458</v>
      </c>
      <c r="U398" s="29">
        <f t="shared" si="353"/>
        <v>0</v>
      </c>
      <c r="V398" s="35">
        <f t="shared" si="354"/>
        <v>1.3107814522025365E-4</v>
      </c>
      <c r="W398" s="34">
        <f t="shared" si="355"/>
        <v>0</v>
      </c>
      <c r="X398" s="34">
        <f t="shared" si="356"/>
        <v>760863.26363790722</v>
      </c>
      <c r="Y398" s="36">
        <f t="shared" si="357"/>
        <v>-7.636210308353153E-3</v>
      </c>
      <c r="Z398" s="34">
        <f t="shared" si="358"/>
        <v>-5810.1118970390098</v>
      </c>
      <c r="AA398" s="34">
        <f t="shared" si="359"/>
        <v>757958.20768938772</v>
      </c>
      <c r="AB398" s="34">
        <f t="shared" si="360"/>
        <v>0</v>
      </c>
      <c r="AC398" s="34">
        <f t="shared" si="361"/>
        <v>0</v>
      </c>
      <c r="AD398" s="34">
        <f t="shared" si="362"/>
        <v>0</v>
      </c>
      <c r="AE398" s="34">
        <f t="shared" si="363"/>
        <v>0</v>
      </c>
      <c r="AF398" s="34">
        <f t="shared" si="364"/>
        <v>0</v>
      </c>
      <c r="AG398" s="29">
        <f t="shared" si="365"/>
        <v>757958.20768938772</v>
      </c>
      <c r="AH398" s="34">
        <f t="shared" si="366"/>
        <v>0</v>
      </c>
      <c r="AI398" s="34">
        <f t="shared" si="367"/>
        <v>0</v>
      </c>
      <c r="AJ398" s="34">
        <f t="shared" si="368"/>
        <v>0</v>
      </c>
      <c r="AK398" s="34">
        <f t="shared" si="369"/>
        <v>0</v>
      </c>
      <c r="AL398" s="34">
        <f t="shared" si="370"/>
        <v>0</v>
      </c>
      <c r="AM398" s="34">
        <f t="shared" si="371"/>
        <v>0</v>
      </c>
      <c r="AN398" s="34">
        <f t="shared" si="372"/>
        <v>0</v>
      </c>
      <c r="AO398" s="34">
        <f t="shared" si="373"/>
        <v>0</v>
      </c>
      <c r="AP398" s="34">
        <f t="shared" si="374"/>
        <v>0</v>
      </c>
      <c r="AQ398" s="34">
        <f t="shared" si="375"/>
        <v>0</v>
      </c>
      <c r="AR398" s="34">
        <f t="shared" si="376"/>
        <v>0</v>
      </c>
      <c r="AS398" s="30">
        <f t="shared" si="377"/>
        <v>1.3863890062517197</v>
      </c>
      <c r="AT398" s="29">
        <f t="shared" si="378"/>
        <v>0</v>
      </c>
      <c r="AU398" s="29">
        <f t="shared" si="379"/>
        <v>0</v>
      </c>
      <c r="AV398" s="34">
        <f t="shared" si="380"/>
        <v>0</v>
      </c>
      <c r="AW398" s="34">
        <f t="shared" si="381"/>
        <v>0</v>
      </c>
      <c r="AX398" s="29">
        <f t="shared" si="382"/>
        <v>0</v>
      </c>
      <c r="AY398" s="34">
        <f t="shared" si="383"/>
        <v>0</v>
      </c>
      <c r="AZ398" s="37">
        <f t="shared" si="384"/>
        <v>0</v>
      </c>
      <c r="BA398" s="37">
        <f t="shared" si="385"/>
        <v>0</v>
      </c>
      <c r="BB398" s="35">
        <f t="shared" si="386"/>
        <v>1.0975173757448164E-3</v>
      </c>
      <c r="BC398" s="31">
        <f t="shared" si="387"/>
        <v>0.64908946302656556</v>
      </c>
      <c r="BD398" s="34">
        <f t="shared" si="388"/>
        <v>0</v>
      </c>
    </row>
    <row r="399" spans="1:56" x14ac:dyDescent="0.2">
      <c r="A399" s="27">
        <f t="shared" si="389"/>
        <v>395</v>
      </c>
      <c r="B399" s="28">
        <f t="shared" si="336"/>
        <v>395</v>
      </c>
      <c r="C399" s="27">
        <f t="shared" si="337"/>
        <v>32</v>
      </c>
      <c r="D399" s="28">
        <f t="shared" si="338"/>
        <v>52</v>
      </c>
      <c r="E399" s="29">
        <f t="shared" si="339"/>
        <v>0</v>
      </c>
      <c r="F399" s="30">
        <f t="shared" si="340"/>
        <v>1.4290066029087241E-3</v>
      </c>
      <c r="G399" s="31">
        <f t="shared" si="341"/>
        <v>1.1916195020023057E-4</v>
      </c>
      <c r="H399" s="32">
        <f t="shared" si="342"/>
        <v>0.02</v>
      </c>
      <c r="I399" s="32">
        <f t="shared" si="343"/>
        <v>0</v>
      </c>
      <c r="J399" s="33">
        <f t="shared" si="390"/>
        <v>0</v>
      </c>
      <c r="K399" s="30">
        <f t="shared" si="344"/>
        <v>0</v>
      </c>
      <c r="L399" s="33">
        <f t="shared" si="345"/>
        <v>0</v>
      </c>
      <c r="M399" s="30">
        <f t="shared" si="346"/>
        <v>0</v>
      </c>
      <c r="N399" s="33">
        <f t="shared" si="347"/>
        <v>0</v>
      </c>
      <c r="O399" s="31">
        <f t="shared" si="348"/>
        <v>0</v>
      </c>
      <c r="P399" s="33">
        <f t="shared" si="349"/>
        <v>0</v>
      </c>
      <c r="Q399" s="34">
        <f t="shared" si="391"/>
        <v>755053.15174086823</v>
      </c>
      <c r="R399" s="29">
        <f t="shared" si="350"/>
        <v>0</v>
      </c>
      <c r="S399" s="34">
        <f t="shared" si="351"/>
        <v>755053.15174086823</v>
      </c>
      <c r="T399" s="29">
        <f t="shared" si="352"/>
        <v>629.21095978405685</v>
      </c>
      <c r="U399" s="29">
        <f t="shared" si="353"/>
        <v>0</v>
      </c>
      <c r="V399" s="35">
        <f t="shared" si="354"/>
        <v>1.3107814522025365E-4</v>
      </c>
      <c r="W399" s="34">
        <f t="shared" si="355"/>
        <v>0</v>
      </c>
      <c r="X399" s="34">
        <f t="shared" si="356"/>
        <v>754423.94078108412</v>
      </c>
      <c r="Y399" s="36">
        <f t="shared" si="357"/>
        <v>1.3955225763719881E-2</v>
      </c>
      <c r="Z399" s="34">
        <f t="shared" si="358"/>
        <v>10528.156415155267</v>
      </c>
      <c r="AA399" s="34">
        <f t="shared" si="359"/>
        <v>759688.0189886617</v>
      </c>
      <c r="AB399" s="34">
        <f t="shared" si="360"/>
        <v>0</v>
      </c>
      <c r="AC399" s="34">
        <f t="shared" si="361"/>
        <v>0</v>
      </c>
      <c r="AD399" s="34">
        <f t="shared" si="362"/>
        <v>0</v>
      </c>
      <c r="AE399" s="34">
        <f t="shared" si="363"/>
        <v>0</v>
      </c>
      <c r="AF399" s="34">
        <f t="shared" si="364"/>
        <v>0</v>
      </c>
      <c r="AG399" s="29">
        <f t="shared" si="365"/>
        <v>759688.0189886617</v>
      </c>
      <c r="AH399" s="34">
        <f t="shared" si="366"/>
        <v>0</v>
      </c>
      <c r="AI399" s="34">
        <f t="shared" si="367"/>
        <v>0</v>
      </c>
      <c r="AJ399" s="34">
        <f t="shared" si="368"/>
        <v>0</v>
      </c>
      <c r="AK399" s="34">
        <f t="shared" si="369"/>
        <v>0</v>
      </c>
      <c r="AL399" s="34">
        <f t="shared" si="370"/>
        <v>0</v>
      </c>
      <c r="AM399" s="34">
        <f t="shared" si="371"/>
        <v>0</v>
      </c>
      <c r="AN399" s="34">
        <f t="shared" si="372"/>
        <v>0</v>
      </c>
      <c r="AO399" s="34">
        <f t="shared" si="373"/>
        <v>0</v>
      </c>
      <c r="AP399" s="34">
        <f t="shared" si="374"/>
        <v>0</v>
      </c>
      <c r="AQ399" s="34">
        <f t="shared" si="375"/>
        <v>0</v>
      </c>
      <c r="AR399" s="34">
        <f t="shared" si="376"/>
        <v>0</v>
      </c>
      <c r="AS399" s="30">
        <f t="shared" si="377"/>
        <v>1.3875390687737161</v>
      </c>
      <c r="AT399" s="29">
        <f t="shared" si="378"/>
        <v>0</v>
      </c>
      <c r="AU399" s="29">
        <f t="shared" si="379"/>
        <v>0</v>
      </c>
      <c r="AV399" s="34">
        <f t="shared" si="380"/>
        <v>0</v>
      </c>
      <c r="AW399" s="34">
        <f t="shared" si="381"/>
        <v>0</v>
      </c>
      <c r="AX399" s="29">
        <f t="shared" si="382"/>
        <v>0</v>
      </c>
      <c r="AY399" s="34">
        <f t="shared" si="383"/>
        <v>0</v>
      </c>
      <c r="AZ399" s="37">
        <f t="shared" si="384"/>
        <v>0</v>
      </c>
      <c r="BA399" s="37">
        <f t="shared" si="385"/>
        <v>0</v>
      </c>
      <c r="BB399" s="35">
        <f t="shared" si="386"/>
        <v>1.0975173757448164E-3</v>
      </c>
      <c r="BC399" s="31">
        <f t="shared" si="387"/>
        <v>0.64837785706239137</v>
      </c>
      <c r="BD399" s="34">
        <f t="shared" si="388"/>
        <v>0</v>
      </c>
    </row>
    <row r="400" spans="1:56" x14ac:dyDescent="0.2">
      <c r="A400" s="27">
        <f t="shared" si="389"/>
        <v>396</v>
      </c>
      <c r="B400" s="28">
        <f t="shared" si="336"/>
        <v>396</v>
      </c>
      <c r="C400" s="27">
        <f t="shared" si="337"/>
        <v>33</v>
      </c>
      <c r="D400" s="28">
        <f t="shared" si="338"/>
        <v>53</v>
      </c>
      <c r="E400" s="29">
        <f t="shared" si="339"/>
        <v>0</v>
      </c>
      <c r="F400" s="30">
        <f t="shared" si="340"/>
        <v>1.523089084577873E-3</v>
      </c>
      <c r="G400" s="31">
        <f t="shared" si="341"/>
        <v>1.2701278018201201E-4</v>
      </c>
      <c r="H400" s="32">
        <f t="shared" si="342"/>
        <v>0.02</v>
      </c>
      <c r="I400" s="32">
        <f t="shared" si="343"/>
        <v>0</v>
      </c>
      <c r="J400" s="33">
        <f t="shared" si="390"/>
        <v>0</v>
      </c>
      <c r="K400" s="30">
        <f t="shared" si="344"/>
        <v>0</v>
      </c>
      <c r="L400" s="33">
        <f t="shared" si="345"/>
        <v>0</v>
      </c>
      <c r="M400" s="30">
        <f t="shared" si="346"/>
        <v>0</v>
      </c>
      <c r="N400" s="33">
        <f t="shared" si="347"/>
        <v>0</v>
      </c>
      <c r="O400" s="31">
        <f t="shared" si="348"/>
        <v>0</v>
      </c>
      <c r="P400" s="33">
        <f t="shared" si="349"/>
        <v>0</v>
      </c>
      <c r="Q400" s="34">
        <f t="shared" si="391"/>
        <v>764952.0971962394</v>
      </c>
      <c r="R400" s="29">
        <f t="shared" si="350"/>
        <v>0</v>
      </c>
      <c r="S400" s="34">
        <f t="shared" si="351"/>
        <v>764952.0971962394</v>
      </c>
      <c r="T400" s="29">
        <f t="shared" si="352"/>
        <v>637.46008099686617</v>
      </c>
      <c r="U400" s="29">
        <f t="shared" si="353"/>
        <v>0</v>
      </c>
      <c r="V400" s="35">
        <f t="shared" si="354"/>
        <v>1.3971405820021321E-4</v>
      </c>
      <c r="W400" s="34">
        <f t="shared" si="355"/>
        <v>0</v>
      </c>
      <c r="X400" s="34">
        <f t="shared" si="356"/>
        <v>764314.63711524254</v>
      </c>
      <c r="Y400" s="36">
        <f t="shared" si="357"/>
        <v>1.2107414648854675E-2</v>
      </c>
      <c r="Z400" s="34">
        <f t="shared" si="358"/>
        <v>9253.8742337431322</v>
      </c>
      <c r="AA400" s="34">
        <f t="shared" si="359"/>
        <v>768941.57423211413</v>
      </c>
      <c r="AB400" s="34">
        <f t="shared" si="360"/>
        <v>0</v>
      </c>
      <c r="AC400" s="34">
        <f t="shared" si="361"/>
        <v>0</v>
      </c>
      <c r="AD400" s="34">
        <f t="shared" si="362"/>
        <v>0</v>
      </c>
      <c r="AE400" s="34">
        <f t="shared" si="363"/>
        <v>0</v>
      </c>
      <c r="AF400" s="34">
        <f t="shared" si="364"/>
        <v>0</v>
      </c>
      <c r="AG400" s="29">
        <f t="shared" si="365"/>
        <v>768941.57423211413</v>
      </c>
      <c r="AH400" s="34">
        <f t="shared" si="366"/>
        <v>0</v>
      </c>
      <c r="AI400" s="34">
        <f t="shared" si="367"/>
        <v>0</v>
      </c>
      <c r="AJ400" s="34">
        <f t="shared" si="368"/>
        <v>0</v>
      </c>
      <c r="AK400" s="34">
        <f t="shared" si="369"/>
        <v>0</v>
      </c>
      <c r="AL400" s="34">
        <f t="shared" si="370"/>
        <v>0</v>
      </c>
      <c r="AM400" s="34">
        <f t="shared" si="371"/>
        <v>0</v>
      </c>
      <c r="AN400" s="34">
        <f t="shared" si="372"/>
        <v>0</v>
      </c>
      <c r="AO400" s="34">
        <f t="shared" si="373"/>
        <v>0</v>
      </c>
      <c r="AP400" s="34">
        <f t="shared" si="374"/>
        <v>0</v>
      </c>
      <c r="AQ400" s="34">
        <f t="shared" si="375"/>
        <v>0</v>
      </c>
      <c r="AR400" s="34">
        <f t="shared" si="376"/>
        <v>0</v>
      </c>
      <c r="AS400" s="30">
        <f t="shared" si="377"/>
        <v>1.3886900853164086</v>
      </c>
      <c r="AT400" s="29">
        <f t="shared" si="378"/>
        <v>0</v>
      </c>
      <c r="AU400" s="29">
        <f t="shared" si="379"/>
        <v>0</v>
      </c>
      <c r="AV400" s="34">
        <f t="shared" si="380"/>
        <v>0</v>
      </c>
      <c r="AW400" s="34">
        <f t="shared" si="381"/>
        <v>0</v>
      </c>
      <c r="AX400" s="29">
        <f t="shared" si="382"/>
        <v>0</v>
      </c>
      <c r="AY400" s="34">
        <f t="shared" si="383"/>
        <v>0</v>
      </c>
      <c r="AZ400" s="37">
        <f t="shared" si="384"/>
        <v>0</v>
      </c>
      <c r="BA400" s="37">
        <f t="shared" si="385"/>
        <v>0</v>
      </c>
      <c r="BB400" s="35">
        <f t="shared" si="386"/>
        <v>1.0901070258191314E-3</v>
      </c>
      <c r="BC400" s="31">
        <f t="shared" si="387"/>
        <v>0.64956831786733604</v>
      </c>
      <c r="BD400" s="34">
        <f t="shared" si="388"/>
        <v>0</v>
      </c>
    </row>
    <row r="401" spans="1:56" x14ac:dyDescent="0.2">
      <c r="A401" s="27">
        <f t="shared" si="389"/>
        <v>397</v>
      </c>
      <c r="B401" s="28">
        <f t="shared" si="336"/>
        <v>397</v>
      </c>
      <c r="C401" s="27">
        <f t="shared" si="337"/>
        <v>33</v>
      </c>
      <c r="D401" s="28">
        <f t="shared" si="338"/>
        <v>53</v>
      </c>
      <c r="E401" s="29">
        <f t="shared" si="339"/>
        <v>0</v>
      </c>
      <c r="F401" s="30">
        <f t="shared" si="340"/>
        <v>1.523089084577873E-3</v>
      </c>
      <c r="G401" s="31">
        <f t="shared" si="341"/>
        <v>1.2701278018201201E-4</v>
      </c>
      <c r="H401" s="32">
        <f t="shared" si="342"/>
        <v>0.02</v>
      </c>
      <c r="I401" s="32">
        <f t="shared" si="343"/>
        <v>0</v>
      </c>
      <c r="J401" s="33">
        <f t="shared" si="390"/>
        <v>0</v>
      </c>
      <c r="K401" s="30">
        <f t="shared" si="344"/>
        <v>0</v>
      </c>
      <c r="L401" s="33">
        <f t="shared" si="345"/>
        <v>0</v>
      </c>
      <c r="M401" s="30">
        <f t="shared" si="346"/>
        <v>0</v>
      </c>
      <c r="N401" s="33">
        <f t="shared" si="347"/>
        <v>0</v>
      </c>
      <c r="O401" s="31">
        <f t="shared" si="348"/>
        <v>0</v>
      </c>
      <c r="P401" s="33">
        <f t="shared" si="349"/>
        <v>0</v>
      </c>
      <c r="Q401" s="34">
        <f t="shared" si="391"/>
        <v>773568.51134898572</v>
      </c>
      <c r="R401" s="29">
        <f t="shared" si="350"/>
        <v>0</v>
      </c>
      <c r="S401" s="34">
        <f t="shared" si="351"/>
        <v>773568.51134898572</v>
      </c>
      <c r="T401" s="29">
        <f t="shared" si="352"/>
        <v>644.64042612415483</v>
      </c>
      <c r="U401" s="29">
        <f t="shared" si="353"/>
        <v>0</v>
      </c>
      <c r="V401" s="35">
        <f t="shared" si="354"/>
        <v>1.3971405820021321E-4</v>
      </c>
      <c r="W401" s="34">
        <f t="shared" si="355"/>
        <v>0</v>
      </c>
      <c r="X401" s="34">
        <f t="shared" si="356"/>
        <v>772923.87092286162</v>
      </c>
      <c r="Y401" s="36">
        <f t="shared" si="357"/>
        <v>-1.4577723262076958E-5</v>
      </c>
      <c r="Z401" s="34">
        <f t="shared" si="358"/>
        <v>-11.267470292966768</v>
      </c>
      <c r="AA401" s="34">
        <f t="shared" si="359"/>
        <v>772918.23718771513</v>
      </c>
      <c r="AB401" s="34">
        <f t="shared" si="360"/>
        <v>0</v>
      </c>
      <c r="AC401" s="34">
        <f t="shared" si="361"/>
        <v>0</v>
      </c>
      <c r="AD401" s="34">
        <f t="shared" si="362"/>
        <v>0</v>
      </c>
      <c r="AE401" s="34">
        <f t="shared" si="363"/>
        <v>0</v>
      </c>
      <c r="AF401" s="34">
        <f t="shared" si="364"/>
        <v>0</v>
      </c>
      <c r="AG401" s="29">
        <f t="shared" si="365"/>
        <v>772918.23718771513</v>
      </c>
      <c r="AH401" s="34">
        <f t="shared" si="366"/>
        <v>0</v>
      </c>
      <c r="AI401" s="34">
        <f t="shared" si="367"/>
        <v>0</v>
      </c>
      <c r="AJ401" s="34">
        <f t="shared" si="368"/>
        <v>0</v>
      </c>
      <c r="AK401" s="34">
        <f t="shared" si="369"/>
        <v>0</v>
      </c>
      <c r="AL401" s="34">
        <f t="shared" si="370"/>
        <v>0</v>
      </c>
      <c r="AM401" s="34">
        <f t="shared" si="371"/>
        <v>0</v>
      </c>
      <c r="AN401" s="34">
        <f t="shared" si="372"/>
        <v>0</v>
      </c>
      <c r="AO401" s="34">
        <f t="shared" si="373"/>
        <v>0</v>
      </c>
      <c r="AP401" s="34">
        <f t="shared" si="374"/>
        <v>0</v>
      </c>
      <c r="AQ401" s="34">
        <f t="shared" si="375"/>
        <v>0</v>
      </c>
      <c r="AR401" s="34">
        <f t="shared" si="376"/>
        <v>0</v>
      </c>
      <c r="AS401" s="30">
        <f t="shared" si="377"/>
        <v>1.3898420566711931</v>
      </c>
      <c r="AT401" s="29">
        <f t="shared" si="378"/>
        <v>0</v>
      </c>
      <c r="AU401" s="29">
        <f t="shared" si="379"/>
        <v>0</v>
      </c>
      <c r="AV401" s="34">
        <f t="shared" si="380"/>
        <v>0</v>
      </c>
      <c r="AW401" s="34">
        <f t="shared" si="381"/>
        <v>0</v>
      </c>
      <c r="AX401" s="29">
        <f t="shared" si="382"/>
        <v>0</v>
      </c>
      <c r="AY401" s="34">
        <f t="shared" si="383"/>
        <v>0</v>
      </c>
      <c r="AZ401" s="37">
        <f t="shared" si="384"/>
        <v>0</v>
      </c>
      <c r="BA401" s="37">
        <f t="shared" si="385"/>
        <v>0</v>
      </c>
      <c r="BB401" s="35">
        <f t="shared" si="386"/>
        <v>1.0901070258191314E-3</v>
      </c>
      <c r="BC401" s="31">
        <f t="shared" si="387"/>
        <v>0.64886098994341879</v>
      </c>
      <c r="BD401" s="34">
        <f t="shared" si="388"/>
        <v>0</v>
      </c>
    </row>
    <row r="402" spans="1:56" x14ac:dyDescent="0.2">
      <c r="A402" s="27">
        <f t="shared" si="389"/>
        <v>398</v>
      </c>
      <c r="B402" s="28">
        <f t="shared" si="336"/>
        <v>398</v>
      </c>
      <c r="C402" s="27">
        <f t="shared" si="337"/>
        <v>33</v>
      </c>
      <c r="D402" s="28">
        <f t="shared" si="338"/>
        <v>53</v>
      </c>
      <c r="E402" s="29">
        <f t="shared" si="339"/>
        <v>0</v>
      </c>
      <c r="F402" s="30">
        <f t="shared" si="340"/>
        <v>1.523089084577873E-3</v>
      </c>
      <c r="G402" s="31">
        <f t="shared" si="341"/>
        <v>1.2701278018201201E-4</v>
      </c>
      <c r="H402" s="32">
        <f t="shared" si="342"/>
        <v>0.02</v>
      </c>
      <c r="I402" s="32">
        <f t="shared" si="343"/>
        <v>0</v>
      </c>
      <c r="J402" s="33">
        <f t="shared" si="390"/>
        <v>0</v>
      </c>
      <c r="K402" s="30">
        <f t="shared" si="344"/>
        <v>0</v>
      </c>
      <c r="L402" s="33">
        <f t="shared" si="345"/>
        <v>0</v>
      </c>
      <c r="M402" s="30">
        <f t="shared" si="346"/>
        <v>0</v>
      </c>
      <c r="N402" s="33">
        <f t="shared" si="347"/>
        <v>0</v>
      </c>
      <c r="O402" s="31">
        <f t="shared" si="348"/>
        <v>0</v>
      </c>
      <c r="P402" s="33">
        <f t="shared" si="349"/>
        <v>0</v>
      </c>
      <c r="Q402" s="34">
        <f t="shared" si="391"/>
        <v>772912.60345256864</v>
      </c>
      <c r="R402" s="29">
        <f t="shared" si="350"/>
        <v>0</v>
      </c>
      <c r="S402" s="34">
        <f t="shared" si="351"/>
        <v>772912.60345256864</v>
      </c>
      <c r="T402" s="29">
        <f t="shared" si="352"/>
        <v>644.09383621047391</v>
      </c>
      <c r="U402" s="29">
        <f t="shared" si="353"/>
        <v>0</v>
      </c>
      <c r="V402" s="35">
        <f t="shared" si="354"/>
        <v>1.3971405820021321E-4</v>
      </c>
      <c r="W402" s="34">
        <f t="shared" si="355"/>
        <v>0</v>
      </c>
      <c r="X402" s="34">
        <f t="shared" si="356"/>
        <v>772268.50961635821</v>
      </c>
      <c r="Y402" s="36">
        <f t="shared" si="357"/>
        <v>-2.1888382331257672E-3</v>
      </c>
      <c r="Z402" s="34">
        <f t="shared" si="358"/>
        <v>-1690.370840087339</v>
      </c>
      <c r="AA402" s="34">
        <f t="shared" si="359"/>
        <v>771423.32419631456</v>
      </c>
      <c r="AB402" s="34">
        <f t="shared" si="360"/>
        <v>0</v>
      </c>
      <c r="AC402" s="34">
        <f t="shared" si="361"/>
        <v>0</v>
      </c>
      <c r="AD402" s="34">
        <f t="shared" si="362"/>
        <v>0</v>
      </c>
      <c r="AE402" s="34">
        <f t="shared" si="363"/>
        <v>0</v>
      </c>
      <c r="AF402" s="34">
        <f t="shared" si="364"/>
        <v>0</v>
      </c>
      <c r="AG402" s="29">
        <f t="shared" si="365"/>
        <v>771423.32419631456</v>
      </c>
      <c r="AH402" s="34">
        <f t="shared" si="366"/>
        <v>0</v>
      </c>
      <c r="AI402" s="34">
        <f t="shared" si="367"/>
        <v>0</v>
      </c>
      <c r="AJ402" s="34">
        <f t="shared" si="368"/>
        <v>0</v>
      </c>
      <c r="AK402" s="34">
        <f t="shared" si="369"/>
        <v>0</v>
      </c>
      <c r="AL402" s="34">
        <f t="shared" si="370"/>
        <v>0</v>
      </c>
      <c r="AM402" s="34">
        <f t="shared" si="371"/>
        <v>0</v>
      </c>
      <c r="AN402" s="34">
        <f t="shared" si="372"/>
        <v>0</v>
      </c>
      <c r="AO402" s="34">
        <f t="shared" si="373"/>
        <v>0</v>
      </c>
      <c r="AP402" s="34">
        <f t="shared" si="374"/>
        <v>0</v>
      </c>
      <c r="AQ402" s="34">
        <f t="shared" si="375"/>
        <v>0</v>
      </c>
      <c r="AR402" s="34">
        <f t="shared" si="376"/>
        <v>0</v>
      </c>
      <c r="AS402" s="30">
        <f t="shared" si="377"/>
        <v>1.3909949836301232</v>
      </c>
      <c r="AT402" s="29">
        <f t="shared" si="378"/>
        <v>0</v>
      </c>
      <c r="AU402" s="29">
        <f t="shared" si="379"/>
        <v>0</v>
      </c>
      <c r="AV402" s="34">
        <f t="shared" si="380"/>
        <v>0</v>
      </c>
      <c r="AW402" s="34">
        <f t="shared" si="381"/>
        <v>0</v>
      </c>
      <c r="AX402" s="29">
        <f t="shared" si="382"/>
        <v>0</v>
      </c>
      <c r="AY402" s="34">
        <f t="shared" si="383"/>
        <v>0</v>
      </c>
      <c r="AZ402" s="37">
        <f t="shared" si="384"/>
        <v>0</v>
      </c>
      <c r="BA402" s="37">
        <f t="shared" si="385"/>
        <v>0</v>
      </c>
      <c r="BB402" s="35">
        <f t="shared" si="386"/>
        <v>1.0901070258191314E-3</v>
      </c>
      <c r="BC402" s="31">
        <f t="shared" si="387"/>
        <v>0.64815443224301483</v>
      </c>
      <c r="BD402" s="34">
        <f t="shared" si="388"/>
        <v>0</v>
      </c>
    </row>
    <row r="403" spans="1:56" x14ac:dyDescent="0.2">
      <c r="A403" s="27">
        <f t="shared" si="389"/>
        <v>399</v>
      </c>
      <c r="B403" s="28">
        <f t="shared" si="336"/>
        <v>399</v>
      </c>
      <c r="C403" s="27">
        <f t="shared" si="337"/>
        <v>33</v>
      </c>
      <c r="D403" s="28">
        <f t="shared" si="338"/>
        <v>53</v>
      </c>
      <c r="E403" s="29">
        <f t="shared" si="339"/>
        <v>0</v>
      </c>
      <c r="F403" s="30">
        <f t="shared" si="340"/>
        <v>1.523089084577873E-3</v>
      </c>
      <c r="G403" s="31">
        <f t="shared" si="341"/>
        <v>1.2701278018201201E-4</v>
      </c>
      <c r="H403" s="32">
        <f t="shared" si="342"/>
        <v>0.02</v>
      </c>
      <c r="I403" s="32">
        <f t="shared" si="343"/>
        <v>0</v>
      </c>
      <c r="J403" s="33">
        <f t="shared" si="390"/>
        <v>0</v>
      </c>
      <c r="K403" s="30">
        <f t="shared" si="344"/>
        <v>0</v>
      </c>
      <c r="L403" s="33">
        <f t="shared" si="345"/>
        <v>0</v>
      </c>
      <c r="M403" s="30">
        <f t="shared" si="346"/>
        <v>0</v>
      </c>
      <c r="N403" s="33">
        <f t="shared" si="347"/>
        <v>0</v>
      </c>
      <c r="O403" s="31">
        <f t="shared" si="348"/>
        <v>0</v>
      </c>
      <c r="P403" s="33">
        <f t="shared" si="349"/>
        <v>0</v>
      </c>
      <c r="Q403" s="34">
        <f t="shared" si="391"/>
        <v>770578.13877627091</v>
      </c>
      <c r="R403" s="29">
        <f t="shared" si="350"/>
        <v>0</v>
      </c>
      <c r="S403" s="34">
        <f t="shared" si="351"/>
        <v>770578.13877627091</v>
      </c>
      <c r="T403" s="29">
        <f t="shared" si="352"/>
        <v>642.14844898022579</v>
      </c>
      <c r="U403" s="29">
        <f t="shared" si="353"/>
        <v>0</v>
      </c>
      <c r="V403" s="35">
        <f t="shared" si="354"/>
        <v>1.3971405820021321E-4</v>
      </c>
      <c r="W403" s="34">
        <f t="shared" si="355"/>
        <v>0</v>
      </c>
      <c r="X403" s="34">
        <f t="shared" si="356"/>
        <v>769935.99032729072</v>
      </c>
      <c r="Y403" s="36">
        <f t="shared" si="357"/>
        <v>3.8581446827481436E-3</v>
      </c>
      <c r="Z403" s="34">
        <f t="shared" si="358"/>
        <v>2970.5244471376627</v>
      </c>
      <c r="AA403" s="34">
        <f t="shared" si="359"/>
        <v>771421.25255085959</v>
      </c>
      <c r="AB403" s="34">
        <f t="shared" si="360"/>
        <v>0</v>
      </c>
      <c r="AC403" s="34">
        <f t="shared" si="361"/>
        <v>0</v>
      </c>
      <c r="AD403" s="34">
        <f t="shared" si="362"/>
        <v>0</v>
      </c>
      <c r="AE403" s="34">
        <f t="shared" si="363"/>
        <v>0</v>
      </c>
      <c r="AF403" s="34">
        <f t="shared" si="364"/>
        <v>0</v>
      </c>
      <c r="AG403" s="29">
        <f t="shared" si="365"/>
        <v>771421.25255085959</v>
      </c>
      <c r="AH403" s="34">
        <f t="shared" si="366"/>
        <v>0</v>
      </c>
      <c r="AI403" s="34">
        <f t="shared" si="367"/>
        <v>0</v>
      </c>
      <c r="AJ403" s="34">
        <f t="shared" si="368"/>
        <v>0</v>
      </c>
      <c r="AK403" s="34">
        <f t="shared" si="369"/>
        <v>0</v>
      </c>
      <c r="AL403" s="34">
        <f t="shared" si="370"/>
        <v>0</v>
      </c>
      <c r="AM403" s="34">
        <f t="shared" si="371"/>
        <v>0</v>
      </c>
      <c r="AN403" s="34">
        <f t="shared" si="372"/>
        <v>0</v>
      </c>
      <c r="AO403" s="34">
        <f t="shared" si="373"/>
        <v>0</v>
      </c>
      <c r="AP403" s="34">
        <f t="shared" si="374"/>
        <v>0</v>
      </c>
      <c r="AQ403" s="34">
        <f t="shared" si="375"/>
        <v>0</v>
      </c>
      <c r="AR403" s="34">
        <f t="shared" si="376"/>
        <v>0</v>
      </c>
      <c r="AS403" s="30">
        <f t="shared" si="377"/>
        <v>1.3921488669859088</v>
      </c>
      <c r="AT403" s="29">
        <f t="shared" si="378"/>
        <v>0</v>
      </c>
      <c r="AU403" s="29">
        <f t="shared" si="379"/>
        <v>0</v>
      </c>
      <c r="AV403" s="34">
        <f t="shared" si="380"/>
        <v>0</v>
      </c>
      <c r="AW403" s="34">
        <f t="shared" si="381"/>
        <v>0</v>
      </c>
      <c r="AX403" s="29">
        <f t="shared" si="382"/>
        <v>0</v>
      </c>
      <c r="AY403" s="34">
        <f t="shared" si="383"/>
        <v>0</v>
      </c>
      <c r="AZ403" s="37">
        <f t="shared" si="384"/>
        <v>0</v>
      </c>
      <c r="BA403" s="37">
        <f t="shared" si="385"/>
        <v>0</v>
      </c>
      <c r="BB403" s="35">
        <f t="shared" si="386"/>
        <v>1.0901070258191314E-3</v>
      </c>
      <c r="BC403" s="31">
        <f t="shared" si="387"/>
        <v>0.64744864392741253</v>
      </c>
      <c r="BD403" s="34">
        <f t="shared" si="388"/>
        <v>0</v>
      </c>
    </row>
    <row r="404" spans="1:56" x14ac:dyDescent="0.2">
      <c r="A404" s="27">
        <f t="shared" si="389"/>
        <v>400</v>
      </c>
      <c r="B404" s="28">
        <f t="shared" si="336"/>
        <v>400</v>
      </c>
      <c r="C404" s="27">
        <f t="shared" si="337"/>
        <v>33</v>
      </c>
      <c r="D404" s="28">
        <f t="shared" si="338"/>
        <v>53</v>
      </c>
      <c r="E404" s="29">
        <f t="shared" si="339"/>
        <v>0</v>
      </c>
      <c r="F404" s="30">
        <f t="shared" si="340"/>
        <v>1.523089084577873E-3</v>
      </c>
      <c r="G404" s="31">
        <f t="shared" si="341"/>
        <v>1.2701278018201201E-4</v>
      </c>
      <c r="H404" s="32">
        <f t="shared" si="342"/>
        <v>0.02</v>
      </c>
      <c r="I404" s="32">
        <f t="shared" si="343"/>
        <v>0</v>
      </c>
      <c r="J404" s="33">
        <f t="shared" si="390"/>
        <v>0</v>
      </c>
      <c r="K404" s="30">
        <f t="shared" si="344"/>
        <v>0</v>
      </c>
      <c r="L404" s="33">
        <f t="shared" si="345"/>
        <v>0</v>
      </c>
      <c r="M404" s="30">
        <f t="shared" si="346"/>
        <v>0</v>
      </c>
      <c r="N404" s="33">
        <f t="shared" si="347"/>
        <v>0</v>
      </c>
      <c r="O404" s="31">
        <f t="shared" si="348"/>
        <v>0</v>
      </c>
      <c r="P404" s="33">
        <f t="shared" si="349"/>
        <v>0</v>
      </c>
      <c r="Q404" s="34">
        <f t="shared" si="391"/>
        <v>772906.51477442833</v>
      </c>
      <c r="R404" s="29">
        <f t="shared" si="350"/>
        <v>0</v>
      </c>
      <c r="S404" s="34">
        <f t="shared" si="351"/>
        <v>772906.51477442833</v>
      </c>
      <c r="T404" s="29">
        <f t="shared" si="352"/>
        <v>644.08876231202362</v>
      </c>
      <c r="U404" s="29">
        <f t="shared" si="353"/>
        <v>0</v>
      </c>
      <c r="V404" s="35">
        <f t="shared" si="354"/>
        <v>1.3971405820021321E-4</v>
      </c>
      <c r="W404" s="34">
        <f t="shared" si="355"/>
        <v>0</v>
      </c>
      <c r="X404" s="34">
        <f t="shared" si="356"/>
        <v>772262.42601211625</v>
      </c>
      <c r="Y404" s="36">
        <f t="shared" si="357"/>
        <v>-1.1901328823542223E-2</v>
      </c>
      <c r="Z404" s="34">
        <f t="shared" si="358"/>
        <v>-9190.9490700366423</v>
      </c>
      <c r="AA404" s="34">
        <f t="shared" si="359"/>
        <v>767666.95147709793</v>
      </c>
      <c r="AB404" s="34">
        <f t="shared" si="360"/>
        <v>0</v>
      </c>
      <c r="AC404" s="34">
        <f t="shared" si="361"/>
        <v>0</v>
      </c>
      <c r="AD404" s="34">
        <f t="shared" si="362"/>
        <v>0</v>
      </c>
      <c r="AE404" s="34">
        <f t="shared" si="363"/>
        <v>0</v>
      </c>
      <c r="AF404" s="34">
        <f t="shared" si="364"/>
        <v>0</v>
      </c>
      <c r="AG404" s="29">
        <f t="shared" si="365"/>
        <v>767666.95147709793</v>
      </c>
      <c r="AH404" s="34">
        <f t="shared" si="366"/>
        <v>0</v>
      </c>
      <c r="AI404" s="34">
        <f t="shared" si="367"/>
        <v>0</v>
      </c>
      <c r="AJ404" s="34">
        <f t="shared" si="368"/>
        <v>0</v>
      </c>
      <c r="AK404" s="34">
        <f t="shared" si="369"/>
        <v>0</v>
      </c>
      <c r="AL404" s="34">
        <f t="shared" si="370"/>
        <v>0</v>
      </c>
      <c r="AM404" s="34">
        <f t="shared" si="371"/>
        <v>0</v>
      </c>
      <c r="AN404" s="34">
        <f t="shared" si="372"/>
        <v>0</v>
      </c>
      <c r="AO404" s="34">
        <f t="shared" si="373"/>
        <v>0</v>
      </c>
      <c r="AP404" s="34">
        <f t="shared" si="374"/>
        <v>0</v>
      </c>
      <c r="AQ404" s="34">
        <f t="shared" si="375"/>
        <v>0</v>
      </c>
      <c r="AR404" s="34">
        <f t="shared" si="376"/>
        <v>0</v>
      </c>
      <c r="AS404" s="30">
        <f t="shared" si="377"/>
        <v>1.3933037075319177</v>
      </c>
      <c r="AT404" s="29">
        <f t="shared" si="378"/>
        <v>0</v>
      </c>
      <c r="AU404" s="29">
        <f t="shared" si="379"/>
        <v>0</v>
      </c>
      <c r="AV404" s="34">
        <f t="shared" si="380"/>
        <v>0</v>
      </c>
      <c r="AW404" s="34">
        <f t="shared" si="381"/>
        <v>0</v>
      </c>
      <c r="AX404" s="29">
        <f t="shared" si="382"/>
        <v>0</v>
      </c>
      <c r="AY404" s="34">
        <f t="shared" si="383"/>
        <v>0</v>
      </c>
      <c r="AZ404" s="37">
        <f t="shared" si="384"/>
        <v>0</v>
      </c>
      <c r="BA404" s="37">
        <f t="shared" si="385"/>
        <v>0</v>
      </c>
      <c r="BB404" s="35">
        <f t="shared" si="386"/>
        <v>1.0901070258191314E-3</v>
      </c>
      <c r="BC404" s="31">
        <f t="shared" si="387"/>
        <v>0.64674362415881315</v>
      </c>
      <c r="BD404" s="34">
        <f t="shared" si="388"/>
        <v>0</v>
      </c>
    </row>
    <row r="405" spans="1:56" x14ac:dyDescent="0.2">
      <c r="A405" s="27">
        <f t="shared" si="389"/>
        <v>401</v>
      </c>
      <c r="B405" s="28">
        <f t="shared" si="336"/>
        <v>401</v>
      </c>
      <c r="C405" s="27">
        <f t="shared" si="337"/>
        <v>33</v>
      </c>
      <c r="D405" s="28">
        <f t="shared" si="338"/>
        <v>53</v>
      </c>
      <c r="E405" s="29">
        <f t="shared" si="339"/>
        <v>0</v>
      </c>
      <c r="F405" s="30">
        <f t="shared" si="340"/>
        <v>1.523089084577873E-3</v>
      </c>
      <c r="G405" s="31">
        <f t="shared" si="341"/>
        <v>1.2701278018201201E-4</v>
      </c>
      <c r="H405" s="32">
        <f t="shared" si="342"/>
        <v>0.02</v>
      </c>
      <c r="I405" s="32">
        <f t="shared" si="343"/>
        <v>0</v>
      </c>
      <c r="J405" s="33">
        <f t="shared" si="390"/>
        <v>0</v>
      </c>
      <c r="K405" s="30">
        <f t="shared" si="344"/>
        <v>0</v>
      </c>
      <c r="L405" s="33">
        <f t="shared" si="345"/>
        <v>0</v>
      </c>
      <c r="M405" s="30">
        <f t="shared" si="346"/>
        <v>0</v>
      </c>
      <c r="N405" s="33">
        <f t="shared" si="347"/>
        <v>0</v>
      </c>
      <c r="O405" s="31">
        <f t="shared" si="348"/>
        <v>0</v>
      </c>
      <c r="P405" s="33">
        <f t="shared" si="349"/>
        <v>0</v>
      </c>
      <c r="Q405" s="34">
        <f t="shared" si="391"/>
        <v>763071.47694207961</v>
      </c>
      <c r="R405" s="29">
        <f t="shared" si="350"/>
        <v>0</v>
      </c>
      <c r="S405" s="34">
        <f t="shared" si="351"/>
        <v>763071.47694207961</v>
      </c>
      <c r="T405" s="29">
        <f t="shared" si="352"/>
        <v>635.89289745173301</v>
      </c>
      <c r="U405" s="29">
        <f t="shared" si="353"/>
        <v>0</v>
      </c>
      <c r="V405" s="35">
        <f t="shared" si="354"/>
        <v>1.3971405820021321E-4</v>
      </c>
      <c r="W405" s="34">
        <f t="shared" si="355"/>
        <v>0</v>
      </c>
      <c r="X405" s="34">
        <f t="shared" si="356"/>
        <v>762435.58404462785</v>
      </c>
      <c r="Y405" s="36">
        <f t="shared" si="357"/>
        <v>9.0497755725029716E-3</v>
      </c>
      <c r="Z405" s="34">
        <f t="shared" si="358"/>
        <v>6899.8709240941098</v>
      </c>
      <c r="AA405" s="34">
        <f t="shared" si="359"/>
        <v>765885.51950667496</v>
      </c>
      <c r="AB405" s="34">
        <f t="shared" si="360"/>
        <v>0</v>
      </c>
      <c r="AC405" s="34">
        <f t="shared" si="361"/>
        <v>0</v>
      </c>
      <c r="AD405" s="34">
        <f t="shared" si="362"/>
        <v>0</v>
      </c>
      <c r="AE405" s="34">
        <f t="shared" si="363"/>
        <v>0</v>
      </c>
      <c r="AF405" s="34">
        <f t="shared" si="364"/>
        <v>0</v>
      </c>
      <c r="AG405" s="29">
        <f t="shared" si="365"/>
        <v>765885.51950667496</v>
      </c>
      <c r="AH405" s="34">
        <f t="shared" si="366"/>
        <v>0</v>
      </c>
      <c r="AI405" s="34">
        <f t="shared" si="367"/>
        <v>0</v>
      </c>
      <c r="AJ405" s="34">
        <f t="shared" si="368"/>
        <v>0</v>
      </c>
      <c r="AK405" s="34">
        <f t="shared" si="369"/>
        <v>0</v>
      </c>
      <c r="AL405" s="34">
        <f t="shared" si="370"/>
        <v>0</v>
      </c>
      <c r="AM405" s="34">
        <f t="shared" si="371"/>
        <v>0</v>
      </c>
      <c r="AN405" s="34">
        <f t="shared" si="372"/>
        <v>0</v>
      </c>
      <c r="AO405" s="34">
        <f t="shared" si="373"/>
        <v>0</v>
      </c>
      <c r="AP405" s="34">
        <f t="shared" si="374"/>
        <v>0</v>
      </c>
      <c r="AQ405" s="34">
        <f t="shared" si="375"/>
        <v>0</v>
      </c>
      <c r="AR405" s="34">
        <f t="shared" si="376"/>
        <v>0</v>
      </c>
      <c r="AS405" s="30">
        <f t="shared" si="377"/>
        <v>1.3944595060621752</v>
      </c>
      <c r="AT405" s="29">
        <f t="shared" si="378"/>
        <v>0</v>
      </c>
      <c r="AU405" s="29">
        <f t="shared" si="379"/>
        <v>0</v>
      </c>
      <c r="AV405" s="34">
        <f t="shared" si="380"/>
        <v>0</v>
      </c>
      <c r="AW405" s="34">
        <f t="shared" si="381"/>
        <v>0</v>
      </c>
      <c r="AX405" s="29">
        <f t="shared" si="382"/>
        <v>0</v>
      </c>
      <c r="AY405" s="34">
        <f t="shared" si="383"/>
        <v>0</v>
      </c>
      <c r="AZ405" s="37">
        <f t="shared" si="384"/>
        <v>0</v>
      </c>
      <c r="BA405" s="37">
        <f t="shared" si="385"/>
        <v>0</v>
      </c>
      <c r="BB405" s="35">
        <f t="shared" si="386"/>
        <v>1.0901070258191314E-3</v>
      </c>
      <c r="BC405" s="31">
        <f t="shared" si="387"/>
        <v>0.6460393721003308</v>
      </c>
      <c r="BD405" s="34">
        <f t="shared" si="388"/>
        <v>0</v>
      </c>
    </row>
    <row r="406" spans="1:56" x14ac:dyDescent="0.2">
      <c r="A406" s="27">
        <f t="shared" si="389"/>
        <v>402</v>
      </c>
      <c r="B406" s="28">
        <f t="shared" si="336"/>
        <v>402</v>
      </c>
      <c r="C406" s="27">
        <f t="shared" si="337"/>
        <v>33</v>
      </c>
      <c r="D406" s="28">
        <f t="shared" si="338"/>
        <v>53</v>
      </c>
      <c r="E406" s="29">
        <f t="shared" si="339"/>
        <v>0</v>
      </c>
      <c r="F406" s="30">
        <f t="shared" si="340"/>
        <v>1.523089084577873E-3</v>
      </c>
      <c r="G406" s="31">
        <f t="shared" si="341"/>
        <v>1.2701278018201201E-4</v>
      </c>
      <c r="H406" s="32">
        <f t="shared" si="342"/>
        <v>0.02</v>
      </c>
      <c r="I406" s="32">
        <f t="shared" si="343"/>
        <v>0</v>
      </c>
      <c r="J406" s="33">
        <f t="shared" si="390"/>
        <v>0</v>
      </c>
      <c r="K406" s="30">
        <f t="shared" si="344"/>
        <v>0</v>
      </c>
      <c r="L406" s="33">
        <f t="shared" si="345"/>
        <v>0</v>
      </c>
      <c r="M406" s="30">
        <f t="shared" si="346"/>
        <v>0</v>
      </c>
      <c r="N406" s="33">
        <f t="shared" si="347"/>
        <v>0</v>
      </c>
      <c r="O406" s="31">
        <f t="shared" si="348"/>
        <v>0</v>
      </c>
      <c r="P406" s="33">
        <f t="shared" si="349"/>
        <v>0</v>
      </c>
      <c r="Q406" s="34">
        <f t="shared" si="391"/>
        <v>769335.45496872196</v>
      </c>
      <c r="R406" s="29">
        <f t="shared" si="350"/>
        <v>0</v>
      </c>
      <c r="S406" s="34">
        <f t="shared" si="351"/>
        <v>769335.45496872196</v>
      </c>
      <c r="T406" s="29">
        <f t="shared" si="352"/>
        <v>641.11287914060165</v>
      </c>
      <c r="U406" s="29">
        <f t="shared" si="353"/>
        <v>0</v>
      </c>
      <c r="V406" s="35">
        <f t="shared" si="354"/>
        <v>1.3971405820021321E-4</v>
      </c>
      <c r="W406" s="34">
        <f t="shared" si="355"/>
        <v>0</v>
      </c>
      <c r="X406" s="34">
        <f t="shared" si="356"/>
        <v>768694.3420895813</v>
      </c>
      <c r="Y406" s="36">
        <f t="shared" si="357"/>
        <v>1.2058995319432775E-2</v>
      </c>
      <c r="Z406" s="34">
        <f t="shared" si="358"/>
        <v>9269.6814733327174</v>
      </c>
      <c r="AA406" s="34">
        <f t="shared" si="359"/>
        <v>773329.18282624765</v>
      </c>
      <c r="AB406" s="34">
        <f t="shared" si="360"/>
        <v>0</v>
      </c>
      <c r="AC406" s="34">
        <f t="shared" si="361"/>
        <v>0</v>
      </c>
      <c r="AD406" s="34">
        <f t="shared" si="362"/>
        <v>0</v>
      </c>
      <c r="AE406" s="34">
        <f t="shared" si="363"/>
        <v>0</v>
      </c>
      <c r="AF406" s="34">
        <f t="shared" si="364"/>
        <v>0</v>
      </c>
      <c r="AG406" s="29">
        <f t="shared" si="365"/>
        <v>773329.18282624765</v>
      </c>
      <c r="AH406" s="34">
        <f t="shared" si="366"/>
        <v>0</v>
      </c>
      <c r="AI406" s="34">
        <f t="shared" si="367"/>
        <v>0</v>
      </c>
      <c r="AJ406" s="34">
        <f t="shared" si="368"/>
        <v>0</v>
      </c>
      <c r="AK406" s="34">
        <f t="shared" si="369"/>
        <v>0</v>
      </c>
      <c r="AL406" s="34">
        <f t="shared" si="370"/>
        <v>0</v>
      </c>
      <c r="AM406" s="34">
        <f t="shared" si="371"/>
        <v>0</v>
      </c>
      <c r="AN406" s="34">
        <f t="shared" si="372"/>
        <v>0</v>
      </c>
      <c r="AO406" s="34">
        <f t="shared" si="373"/>
        <v>0</v>
      </c>
      <c r="AP406" s="34">
        <f t="shared" si="374"/>
        <v>0</v>
      </c>
      <c r="AQ406" s="34">
        <f t="shared" si="375"/>
        <v>0</v>
      </c>
      <c r="AR406" s="34">
        <f t="shared" si="376"/>
        <v>0</v>
      </c>
      <c r="AS406" s="30">
        <f t="shared" si="377"/>
        <v>1.3956162633713662</v>
      </c>
      <c r="AT406" s="29">
        <f t="shared" si="378"/>
        <v>0</v>
      </c>
      <c r="AU406" s="29">
        <f t="shared" si="379"/>
        <v>0</v>
      </c>
      <c r="AV406" s="34">
        <f t="shared" si="380"/>
        <v>0</v>
      </c>
      <c r="AW406" s="34">
        <f t="shared" si="381"/>
        <v>0</v>
      </c>
      <c r="AX406" s="29">
        <f t="shared" si="382"/>
        <v>0</v>
      </c>
      <c r="AY406" s="34">
        <f t="shared" si="383"/>
        <v>0</v>
      </c>
      <c r="AZ406" s="37">
        <f t="shared" si="384"/>
        <v>0</v>
      </c>
      <c r="BA406" s="37">
        <f t="shared" si="385"/>
        <v>0</v>
      </c>
      <c r="BB406" s="35">
        <f t="shared" si="386"/>
        <v>1.0901070258191314E-3</v>
      </c>
      <c r="BC406" s="31">
        <f t="shared" si="387"/>
        <v>0.64533588691599042</v>
      </c>
      <c r="BD406" s="34">
        <f t="shared" si="388"/>
        <v>0</v>
      </c>
    </row>
    <row r="407" spans="1:56" x14ac:dyDescent="0.2">
      <c r="A407" s="27">
        <f t="shared" si="389"/>
        <v>403</v>
      </c>
      <c r="B407" s="28">
        <f t="shared" si="336"/>
        <v>403</v>
      </c>
      <c r="C407" s="27">
        <f t="shared" si="337"/>
        <v>33</v>
      </c>
      <c r="D407" s="28">
        <f t="shared" si="338"/>
        <v>53</v>
      </c>
      <c r="E407" s="29">
        <f t="shared" si="339"/>
        <v>0</v>
      </c>
      <c r="F407" s="30">
        <f t="shared" si="340"/>
        <v>1.523089084577873E-3</v>
      </c>
      <c r="G407" s="31">
        <f t="shared" si="341"/>
        <v>1.2701278018201201E-4</v>
      </c>
      <c r="H407" s="32">
        <f t="shared" si="342"/>
        <v>0.02</v>
      </c>
      <c r="I407" s="32">
        <f t="shared" si="343"/>
        <v>0</v>
      </c>
      <c r="J407" s="33">
        <f t="shared" si="390"/>
        <v>0</v>
      </c>
      <c r="K407" s="30">
        <f t="shared" si="344"/>
        <v>0</v>
      </c>
      <c r="L407" s="33">
        <f t="shared" si="345"/>
        <v>0</v>
      </c>
      <c r="M407" s="30">
        <f t="shared" si="346"/>
        <v>0</v>
      </c>
      <c r="N407" s="33">
        <f t="shared" si="347"/>
        <v>0</v>
      </c>
      <c r="O407" s="31">
        <f t="shared" si="348"/>
        <v>0</v>
      </c>
      <c r="P407" s="33">
        <f t="shared" si="349"/>
        <v>0</v>
      </c>
      <c r="Q407" s="34">
        <f t="shared" si="391"/>
        <v>777964.02356291399</v>
      </c>
      <c r="R407" s="29">
        <f t="shared" si="350"/>
        <v>0</v>
      </c>
      <c r="S407" s="34">
        <f t="shared" si="351"/>
        <v>777964.02356291399</v>
      </c>
      <c r="T407" s="29">
        <f t="shared" si="352"/>
        <v>648.30335296909504</v>
      </c>
      <c r="U407" s="29">
        <f t="shared" si="353"/>
        <v>0</v>
      </c>
      <c r="V407" s="35">
        <f t="shared" si="354"/>
        <v>1.3971405820021321E-4</v>
      </c>
      <c r="W407" s="34">
        <f t="shared" si="355"/>
        <v>0</v>
      </c>
      <c r="X407" s="34">
        <f t="shared" si="356"/>
        <v>777315.72020994488</v>
      </c>
      <c r="Y407" s="36">
        <f t="shared" si="357"/>
        <v>-1.7361647389713131E-2</v>
      </c>
      <c r="Z407" s="34">
        <f t="shared" si="358"/>
        <v>-13495.481444765972</v>
      </c>
      <c r="AA407" s="34">
        <f t="shared" si="359"/>
        <v>770567.97948756185</v>
      </c>
      <c r="AB407" s="34">
        <f t="shared" si="360"/>
        <v>0</v>
      </c>
      <c r="AC407" s="34">
        <f t="shared" si="361"/>
        <v>0</v>
      </c>
      <c r="AD407" s="34">
        <f t="shared" si="362"/>
        <v>0</v>
      </c>
      <c r="AE407" s="34">
        <f t="shared" si="363"/>
        <v>0</v>
      </c>
      <c r="AF407" s="34">
        <f t="shared" si="364"/>
        <v>0</v>
      </c>
      <c r="AG407" s="29">
        <f t="shared" si="365"/>
        <v>770567.97948756185</v>
      </c>
      <c r="AH407" s="34">
        <f t="shared" si="366"/>
        <v>0</v>
      </c>
      <c r="AI407" s="34">
        <f t="shared" si="367"/>
        <v>0</v>
      </c>
      <c r="AJ407" s="34">
        <f t="shared" si="368"/>
        <v>0</v>
      </c>
      <c r="AK407" s="34">
        <f t="shared" si="369"/>
        <v>0</v>
      </c>
      <c r="AL407" s="34">
        <f t="shared" si="370"/>
        <v>0</v>
      </c>
      <c r="AM407" s="34">
        <f t="shared" si="371"/>
        <v>0</v>
      </c>
      <c r="AN407" s="34">
        <f t="shared" si="372"/>
        <v>0</v>
      </c>
      <c r="AO407" s="34">
        <f t="shared" si="373"/>
        <v>0</v>
      </c>
      <c r="AP407" s="34">
        <f t="shared" si="374"/>
        <v>0</v>
      </c>
      <c r="AQ407" s="34">
        <f t="shared" si="375"/>
        <v>0</v>
      </c>
      <c r="AR407" s="34">
        <f t="shared" si="376"/>
        <v>0</v>
      </c>
      <c r="AS407" s="30">
        <f t="shared" si="377"/>
        <v>1.3967739802548342</v>
      </c>
      <c r="AT407" s="29">
        <f t="shared" si="378"/>
        <v>0</v>
      </c>
      <c r="AU407" s="29">
        <f t="shared" si="379"/>
        <v>0</v>
      </c>
      <c r="AV407" s="34">
        <f t="shared" si="380"/>
        <v>0</v>
      </c>
      <c r="AW407" s="34">
        <f t="shared" si="381"/>
        <v>0</v>
      </c>
      <c r="AX407" s="29">
        <f t="shared" si="382"/>
        <v>0</v>
      </c>
      <c r="AY407" s="34">
        <f t="shared" si="383"/>
        <v>0</v>
      </c>
      <c r="AZ407" s="37">
        <f t="shared" si="384"/>
        <v>0</v>
      </c>
      <c r="BA407" s="37">
        <f t="shared" si="385"/>
        <v>0</v>
      </c>
      <c r="BB407" s="35">
        <f t="shared" si="386"/>
        <v>1.0901070258191314E-3</v>
      </c>
      <c r="BC407" s="31">
        <f t="shared" si="387"/>
        <v>0.64463316777072754</v>
      </c>
      <c r="BD407" s="34">
        <f t="shared" si="388"/>
        <v>0</v>
      </c>
    </row>
    <row r="408" spans="1:56" x14ac:dyDescent="0.2">
      <c r="A408" s="27">
        <f t="shared" si="389"/>
        <v>404</v>
      </c>
      <c r="B408" s="28">
        <f t="shared" si="336"/>
        <v>404</v>
      </c>
      <c r="C408" s="27">
        <f t="shared" si="337"/>
        <v>33</v>
      </c>
      <c r="D408" s="28">
        <f t="shared" si="338"/>
        <v>53</v>
      </c>
      <c r="E408" s="29">
        <f t="shared" si="339"/>
        <v>0</v>
      </c>
      <c r="F408" s="30">
        <f t="shared" si="340"/>
        <v>1.523089084577873E-3</v>
      </c>
      <c r="G408" s="31">
        <f t="shared" si="341"/>
        <v>1.2701278018201201E-4</v>
      </c>
      <c r="H408" s="32">
        <f t="shared" si="342"/>
        <v>0.02</v>
      </c>
      <c r="I408" s="32">
        <f t="shared" si="343"/>
        <v>0</v>
      </c>
      <c r="J408" s="33">
        <f t="shared" si="390"/>
        <v>0</v>
      </c>
      <c r="K408" s="30">
        <f t="shared" si="344"/>
        <v>0</v>
      </c>
      <c r="L408" s="33">
        <f t="shared" si="345"/>
        <v>0</v>
      </c>
      <c r="M408" s="30">
        <f t="shared" si="346"/>
        <v>0</v>
      </c>
      <c r="N408" s="33">
        <f t="shared" si="347"/>
        <v>0</v>
      </c>
      <c r="O408" s="31">
        <f t="shared" si="348"/>
        <v>0</v>
      </c>
      <c r="P408" s="33">
        <f t="shared" si="349"/>
        <v>0</v>
      </c>
      <c r="Q408" s="34">
        <f t="shared" si="391"/>
        <v>763820.23876517895</v>
      </c>
      <c r="R408" s="29">
        <f t="shared" si="350"/>
        <v>0</v>
      </c>
      <c r="S408" s="34">
        <f t="shared" si="351"/>
        <v>763820.23876517895</v>
      </c>
      <c r="T408" s="29">
        <f t="shared" si="352"/>
        <v>636.51686563764918</v>
      </c>
      <c r="U408" s="29">
        <f t="shared" si="353"/>
        <v>0</v>
      </c>
      <c r="V408" s="35">
        <f t="shared" si="354"/>
        <v>1.3971405820021321E-4</v>
      </c>
      <c r="W408" s="34">
        <f t="shared" si="355"/>
        <v>0</v>
      </c>
      <c r="X408" s="34">
        <f t="shared" si="356"/>
        <v>763183.72189954133</v>
      </c>
      <c r="Y408" s="36">
        <f t="shared" si="357"/>
        <v>2.6959345299459869E-4</v>
      </c>
      <c r="Z408" s="34">
        <f t="shared" si="358"/>
        <v>205.74933485616688</v>
      </c>
      <c r="AA408" s="34">
        <f t="shared" si="359"/>
        <v>763286.59656696941</v>
      </c>
      <c r="AB408" s="34">
        <f t="shared" si="360"/>
        <v>0</v>
      </c>
      <c r="AC408" s="34">
        <f t="shared" si="361"/>
        <v>0</v>
      </c>
      <c r="AD408" s="34">
        <f t="shared" si="362"/>
        <v>0</v>
      </c>
      <c r="AE408" s="34">
        <f t="shared" si="363"/>
        <v>0</v>
      </c>
      <c r="AF408" s="34">
        <f t="shared" si="364"/>
        <v>0</v>
      </c>
      <c r="AG408" s="29">
        <f t="shared" si="365"/>
        <v>763286.59656696941</v>
      </c>
      <c r="AH408" s="34">
        <f t="shared" si="366"/>
        <v>0</v>
      </c>
      <c r="AI408" s="34">
        <f t="shared" si="367"/>
        <v>0</v>
      </c>
      <c r="AJ408" s="34">
        <f t="shared" si="368"/>
        <v>0</v>
      </c>
      <c r="AK408" s="34">
        <f t="shared" si="369"/>
        <v>0</v>
      </c>
      <c r="AL408" s="34">
        <f t="shared" si="370"/>
        <v>0</v>
      </c>
      <c r="AM408" s="34">
        <f t="shared" si="371"/>
        <v>0</v>
      </c>
      <c r="AN408" s="34">
        <f t="shared" si="372"/>
        <v>0</v>
      </c>
      <c r="AO408" s="34">
        <f t="shared" si="373"/>
        <v>0</v>
      </c>
      <c r="AP408" s="34">
        <f t="shared" si="374"/>
        <v>0</v>
      </c>
      <c r="AQ408" s="34">
        <f t="shared" si="375"/>
        <v>0</v>
      </c>
      <c r="AR408" s="34">
        <f t="shared" si="376"/>
        <v>0</v>
      </c>
      <c r="AS408" s="30">
        <f t="shared" si="377"/>
        <v>1.3979326575085826</v>
      </c>
      <c r="AT408" s="29">
        <f t="shared" si="378"/>
        <v>0</v>
      </c>
      <c r="AU408" s="29">
        <f t="shared" si="379"/>
        <v>0</v>
      </c>
      <c r="AV408" s="34">
        <f t="shared" si="380"/>
        <v>0</v>
      </c>
      <c r="AW408" s="34">
        <f t="shared" si="381"/>
        <v>0</v>
      </c>
      <c r="AX408" s="29">
        <f t="shared" si="382"/>
        <v>0</v>
      </c>
      <c r="AY408" s="34">
        <f t="shared" si="383"/>
        <v>0</v>
      </c>
      <c r="AZ408" s="37">
        <f t="shared" si="384"/>
        <v>0</v>
      </c>
      <c r="BA408" s="37">
        <f t="shared" si="385"/>
        <v>0</v>
      </c>
      <c r="BB408" s="35">
        <f t="shared" si="386"/>
        <v>1.0901070258191314E-3</v>
      </c>
      <c r="BC408" s="31">
        <f t="shared" si="387"/>
        <v>0.64393121383038665</v>
      </c>
      <c r="BD408" s="34">
        <f t="shared" si="388"/>
        <v>0</v>
      </c>
    </row>
    <row r="409" spans="1:56" x14ac:dyDescent="0.2">
      <c r="A409" s="27">
        <f t="shared" si="389"/>
        <v>405</v>
      </c>
      <c r="B409" s="28">
        <f t="shared" si="336"/>
        <v>405</v>
      </c>
      <c r="C409" s="27">
        <f t="shared" si="337"/>
        <v>33</v>
      </c>
      <c r="D409" s="28">
        <f t="shared" si="338"/>
        <v>53</v>
      </c>
      <c r="E409" s="29">
        <f t="shared" si="339"/>
        <v>0</v>
      </c>
      <c r="F409" s="30">
        <f t="shared" si="340"/>
        <v>1.523089084577873E-3</v>
      </c>
      <c r="G409" s="31">
        <f t="shared" si="341"/>
        <v>1.2701278018201201E-4</v>
      </c>
      <c r="H409" s="32">
        <f t="shared" si="342"/>
        <v>0.02</v>
      </c>
      <c r="I409" s="32">
        <f t="shared" si="343"/>
        <v>0</v>
      </c>
      <c r="J409" s="33">
        <f t="shared" si="390"/>
        <v>0</v>
      </c>
      <c r="K409" s="30">
        <f t="shared" si="344"/>
        <v>0</v>
      </c>
      <c r="L409" s="33">
        <f t="shared" si="345"/>
        <v>0</v>
      </c>
      <c r="M409" s="30">
        <f t="shared" si="346"/>
        <v>0</v>
      </c>
      <c r="N409" s="33">
        <f t="shared" si="347"/>
        <v>0</v>
      </c>
      <c r="O409" s="31">
        <f t="shared" si="348"/>
        <v>0</v>
      </c>
      <c r="P409" s="33">
        <f t="shared" si="349"/>
        <v>0</v>
      </c>
      <c r="Q409" s="34">
        <f t="shared" si="391"/>
        <v>763389.4712343975</v>
      </c>
      <c r="R409" s="29">
        <f t="shared" si="350"/>
        <v>0</v>
      </c>
      <c r="S409" s="34">
        <f t="shared" si="351"/>
        <v>763389.4712343975</v>
      </c>
      <c r="T409" s="29">
        <f t="shared" si="352"/>
        <v>636.15789269533127</v>
      </c>
      <c r="U409" s="29">
        <f t="shared" si="353"/>
        <v>0</v>
      </c>
      <c r="V409" s="35">
        <f t="shared" si="354"/>
        <v>1.3971405820021321E-4</v>
      </c>
      <c r="W409" s="34">
        <f t="shared" si="355"/>
        <v>0</v>
      </c>
      <c r="X409" s="34">
        <f t="shared" si="356"/>
        <v>762753.31334170222</v>
      </c>
      <c r="Y409" s="36">
        <f t="shared" si="357"/>
        <v>1.4870000492482882E-2</v>
      </c>
      <c r="Z409" s="34">
        <f t="shared" si="358"/>
        <v>11342.142145034062</v>
      </c>
      <c r="AA409" s="34">
        <f t="shared" si="359"/>
        <v>768424.3844142193</v>
      </c>
      <c r="AB409" s="34">
        <f t="shared" si="360"/>
        <v>0</v>
      </c>
      <c r="AC409" s="34">
        <f t="shared" si="361"/>
        <v>0</v>
      </c>
      <c r="AD409" s="34">
        <f t="shared" si="362"/>
        <v>0</v>
      </c>
      <c r="AE409" s="34">
        <f t="shared" si="363"/>
        <v>0</v>
      </c>
      <c r="AF409" s="34">
        <f t="shared" si="364"/>
        <v>0</v>
      </c>
      <c r="AG409" s="29">
        <f t="shared" si="365"/>
        <v>768424.3844142193</v>
      </c>
      <c r="AH409" s="34">
        <f t="shared" si="366"/>
        <v>0</v>
      </c>
      <c r="AI409" s="34">
        <f t="shared" si="367"/>
        <v>0</v>
      </c>
      <c r="AJ409" s="34">
        <f t="shared" si="368"/>
        <v>0</v>
      </c>
      <c r="AK409" s="34">
        <f t="shared" si="369"/>
        <v>0</v>
      </c>
      <c r="AL409" s="34">
        <f t="shared" si="370"/>
        <v>0</v>
      </c>
      <c r="AM409" s="34">
        <f t="shared" si="371"/>
        <v>0</v>
      </c>
      <c r="AN409" s="34">
        <f t="shared" si="372"/>
        <v>0</v>
      </c>
      <c r="AO409" s="34">
        <f t="shared" si="373"/>
        <v>0</v>
      </c>
      <c r="AP409" s="34">
        <f t="shared" si="374"/>
        <v>0</v>
      </c>
      <c r="AQ409" s="34">
        <f t="shared" si="375"/>
        <v>0</v>
      </c>
      <c r="AR409" s="34">
        <f t="shared" si="376"/>
        <v>0</v>
      </c>
      <c r="AS409" s="30">
        <f t="shared" si="377"/>
        <v>1.3990922959292755</v>
      </c>
      <c r="AT409" s="29">
        <f t="shared" si="378"/>
        <v>0</v>
      </c>
      <c r="AU409" s="29">
        <f t="shared" si="379"/>
        <v>0</v>
      </c>
      <c r="AV409" s="34">
        <f t="shared" si="380"/>
        <v>0</v>
      </c>
      <c r="AW409" s="34">
        <f t="shared" si="381"/>
        <v>0</v>
      </c>
      <c r="AX409" s="29">
        <f t="shared" si="382"/>
        <v>0</v>
      </c>
      <c r="AY409" s="34">
        <f t="shared" si="383"/>
        <v>0</v>
      </c>
      <c r="AZ409" s="37">
        <f t="shared" si="384"/>
        <v>0</v>
      </c>
      <c r="BA409" s="37">
        <f t="shared" si="385"/>
        <v>0</v>
      </c>
      <c r="BB409" s="35">
        <f t="shared" si="386"/>
        <v>1.0901070258191314E-3</v>
      </c>
      <c r="BC409" s="31">
        <f t="shared" si="387"/>
        <v>0.64323002426172127</v>
      </c>
      <c r="BD409" s="34">
        <f t="shared" si="388"/>
        <v>0</v>
      </c>
    </row>
    <row r="410" spans="1:56" x14ac:dyDescent="0.2">
      <c r="A410" s="27">
        <f t="shared" si="389"/>
        <v>406</v>
      </c>
      <c r="B410" s="28">
        <f t="shared" si="336"/>
        <v>406</v>
      </c>
      <c r="C410" s="27">
        <f t="shared" si="337"/>
        <v>33</v>
      </c>
      <c r="D410" s="28">
        <f t="shared" si="338"/>
        <v>53</v>
      </c>
      <c r="E410" s="29">
        <f t="shared" si="339"/>
        <v>0</v>
      </c>
      <c r="F410" s="30">
        <f t="shared" si="340"/>
        <v>1.523089084577873E-3</v>
      </c>
      <c r="G410" s="31">
        <f t="shared" si="341"/>
        <v>1.2701278018201201E-4</v>
      </c>
      <c r="H410" s="32">
        <f t="shared" si="342"/>
        <v>0.02</v>
      </c>
      <c r="I410" s="32">
        <f t="shared" si="343"/>
        <v>0</v>
      </c>
      <c r="J410" s="33">
        <f t="shared" si="390"/>
        <v>0</v>
      </c>
      <c r="K410" s="30">
        <f t="shared" si="344"/>
        <v>0</v>
      </c>
      <c r="L410" s="33">
        <f t="shared" si="345"/>
        <v>0</v>
      </c>
      <c r="M410" s="30">
        <f t="shared" si="346"/>
        <v>0</v>
      </c>
      <c r="N410" s="33">
        <f t="shared" si="347"/>
        <v>0</v>
      </c>
      <c r="O410" s="31">
        <f t="shared" si="348"/>
        <v>0</v>
      </c>
      <c r="P410" s="33">
        <f t="shared" si="349"/>
        <v>0</v>
      </c>
      <c r="Q410" s="34">
        <f t="shared" si="391"/>
        <v>774095.45548673626</v>
      </c>
      <c r="R410" s="29">
        <f t="shared" si="350"/>
        <v>0</v>
      </c>
      <c r="S410" s="34">
        <f t="shared" si="351"/>
        <v>774095.45548673626</v>
      </c>
      <c r="T410" s="29">
        <f t="shared" si="352"/>
        <v>645.07954623894693</v>
      </c>
      <c r="U410" s="29">
        <f t="shared" si="353"/>
        <v>0</v>
      </c>
      <c r="V410" s="35">
        <f t="shared" si="354"/>
        <v>1.3971405820021321E-4</v>
      </c>
      <c r="W410" s="34">
        <f t="shared" si="355"/>
        <v>0</v>
      </c>
      <c r="X410" s="34">
        <f t="shared" si="356"/>
        <v>773450.37594049727</v>
      </c>
      <c r="Y410" s="36">
        <f t="shared" si="357"/>
        <v>4.5934007517467457E-3</v>
      </c>
      <c r="Z410" s="34">
        <f t="shared" si="358"/>
        <v>3552.7675382838834</v>
      </c>
      <c r="AA410" s="34">
        <f t="shared" si="359"/>
        <v>775226.75970963924</v>
      </c>
      <c r="AB410" s="34">
        <f t="shared" si="360"/>
        <v>0</v>
      </c>
      <c r="AC410" s="34">
        <f t="shared" si="361"/>
        <v>0</v>
      </c>
      <c r="AD410" s="34">
        <f t="shared" si="362"/>
        <v>0</v>
      </c>
      <c r="AE410" s="34">
        <f t="shared" si="363"/>
        <v>0</v>
      </c>
      <c r="AF410" s="34">
        <f t="shared" si="364"/>
        <v>0</v>
      </c>
      <c r="AG410" s="29">
        <f t="shared" si="365"/>
        <v>775226.75970963924</v>
      </c>
      <c r="AH410" s="34">
        <f t="shared" si="366"/>
        <v>0</v>
      </c>
      <c r="AI410" s="34">
        <f t="shared" si="367"/>
        <v>0</v>
      </c>
      <c r="AJ410" s="34">
        <f t="shared" si="368"/>
        <v>0</v>
      </c>
      <c r="AK410" s="34">
        <f t="shared" si="369"/>
        <v>0</v>
      </c>
      <c r="AL410" s="34">
        <f t="shared" si="370"/>
        <v>0</v>
      </c>
      <c r="AM410" s="34">
        <f t="shared" si="371"/>
        <v>0</v>
      </c>
      <c r="AN410" s="34">
        <f t="shared" si="372"/>
        <v>0</v>
      </c>
      <c r="AO410" s="34">
        <f t="shared" si="373"/>
        <v>0</v>
      </c>
      <c r="AP410" s="34">
        <f t="shared" si="374"/>
        <v>0</v>
      </c>
      <c r="AQ410" s="34">
        <f t="shared" si="375"/>
        <v>0</v>
      </c>
      <c r="AR410" s="34">
        <f t="shared" si="376"/>
        <v>0</v>
      </c>
      <c r="AS410" s="30">
        <f t="shared" si="377"/>
        <v>1.4002528963142369</v>
      </c>
      <c r="AT410" s="29">
        <f t="shared" si="378"/>
        <v>0</v>
      </c>
      <c r="AU410" s="29">
        <f t="shared" si="379"/>
        <v>0</v>
      </c>
      <c r="AV410" s="34">
        <f t="shared" si="380"/>
        <v>0</v>
      </c>
      <c r="AW410" s="34">
        <f t="shared" si="381"/>
        <v>0</v>
      </c>
      <c r="AX410" s="29">
        <f t="shared" si="382"/>
        <v>0</v>
      </c>
      <c r="AY410" s="34">
        <f t="shared" si="383"/>
        <v>0</v>
      </c>
      <c r="AZ410" s="37">
        <f t="shared" si="384"/>
        <v>0</v>
      </c>
      <c r="BA410" s="37">
        <f t="shared" si="385"/>
        <v>0</v>
      </c>
      <c r="BB410" s="35">
        <f t="shared" si="386"/>
        <v>1.0901070258191314E-3</v>
      </c>
      <c r="BC410" s="31">
        <f t="shared" si="387"/>
        <v>0.64252959823239142</v>
      </c>
      <c r="BD410" s="34">
        <f t="shared" si="388"/>
        <v>0</v>
      </c>
    </row>
    <row r="411" spans="1:56" x14ac:dyDescent="0.2">
      <c r="A411" s="27">
        <f t="shared" si="389"/>
        <v>407</v>
      </c>
      <c r="B411" s="28">
        <f t="shared" si="336"/>
        <v>407</v>
      </c>
      <c r="C411" s="27">
        <f t="shared" si="337"/>
        <v>33</v>
      </c>
      <c r="D411" s="28">
        <f t="shared" si="338"/>
        <v>53</v>
      </c>
      <c r="E411" s="29">
        <f t="shared" si="339"/>
        <v>0</v>
      </c>
      <c r="F411" s="30">
        <f t="shared" si="340"/>
        <v>1.523089084577873E-3</v>
      </c>
      <c r="G411" s="31">
        <f t="shared" si="341"/>
        <v>1.2701278018201201E-4</v>
      </c>
      <c r="H411" s="32">
        <f t="shared" si="342"/>
        <v>0.02</v>
      </c>
      <c r="I411" s="32">
        <f t="shared" si="343"/>
        <v>0</v>
      </c>
      <c r="J411" s="33">
        <f t="shared" si="390"/>
        <v>0</v>
      </c>
      <c r="K411" s="30">
        <f t="shared" si="344"/>
        <v>0</v>
      </c>
      <c r="L411" s="33">
        <f t="shared" si="345"/>
        <v>0</v>
      </c>
      <c r="M411" s="30">
        <f t="shared" si="346"/>
        <v>0</v>
      </c>
      <c r="N411" s="33">
        <f t="shared" si="347"/>
        <v>0</v>
      </c>
      <c r="O411" s="31">
        <f t="shared" si="348"/>
        <v>0</v>
      </c>
      <c r="P411" s="33">
        <f t="shared" si="349"/>
        <v>0</v>
      </c>
      <c r="Q411" s="34">
        <f t="shared" si="391"/>
        <v>777003.1434787811</v>
      </c>
      <c r="R411" s="29">
        <f t="shared" si="350"/>
        <v>0</v>
      </c>
      <c r="S411" s="34">
        <f t="shared" si="351"/>
        <v>777003.1434787811</v>
      </c>
      <c r="T411" s="29">
        <f t="shared" si="352"/>
        <v>647.502619565651</v>
      </c>
      <c r="U411" s="29">
        <f t="shared" si="353"/>
        <v>0</v>
      </c>
      <c r="V411" s="35">
        <f t="shared" si="354"/>
        <v>1.3971405820021321E-4</v>
      </c>
      <c r="W411" s="34">
        <f t="shared" si="355"/>
        <v>0</v>
      </c>
      <c r="X411" s="34">
        <f t="shared" si="356"/>
        <v>776355.6408592154</v>
      </c>
      <c r="Y411" s="36">
        <f t="shared" si="357"/>
        <v>-1.2058794719074895E-2</v>
      </c>
      <c r="Z411" s="34">
        <f t="shared" si="358"/>
        <v>-9361.9133021171128</v>
      </c>
      <c r="AA411" s="34">
        <f t="shared" si="359"/>
        <v>771674.68420815689</v>
      </c>
      <c r="AB411" s="34">
        <f t="shared" si="360"/>
        <v>0</v>
      </c>
      <c r="AC411" s="34">
        <f t="shared" si="361"/>
        <v>0</v>
      </c>
      <c r="AD411" s="34">
        <f t="shared" si="362"/>
        <v>0</v>
      </c>
      <c r="AE411" s="34">
        <f t="shared" si="363"/>
        <v>0</v>
      </c>
      <c r="AF411" s="34">
        <f t="shared" si="364"/>
        <v>0</v>
      </c>
      <c r="AG411" s="29">
        <f t="shared" si="365"/>
        <v>771674.68420815689</v>
      </c>
      <c r="AH411" s="34">
        <f t="shared" si="366"/>
        <v>0</v>
      </c>
      <c r="AI411" s="34">
        <f t="shared" si="367"/>
        <v>0</v>
      </c>
      <c r="AJ411" s="34">
        <f t="shared" si="368"/>
        <v>0</v>
      </c>
      <c r="AK411" s="34">
        <f t="shared" si="369"/>
        <v>0</v>
      </c>
      <c r="AL411" s="34">
        <f t="shared" si="370"/>
        <v>0</v>
      </c>
      <c r="AM411" s="34">
        <f t="shared" si="371"/>
        <v>0</v>
      </c>
      <c r="AN411" s="34">
        <f t="shared" si="372"/>
        <v>0</v>
      </c>
      <c r="AO411" s="34">
        <f t="shared" si="373"/>
        <v>0</v>
      </c>
      <c r="AP411" s="34">
        <f t="shared" si="374"/>
        <v>0</v>
      </c>
      <c r="AQ411" s="34">
        <f t="shared" si="375"/>
        <v>0</v>
      </c>
      <c r="AR411" s="34">
        <f t="shared" si="376"/>
        <v>0</v>
      </c>
      <c r="AS411" s="30">
        <f t="shared" si="377"/>
        <v>1.4014144594614533</v>
      </c>
      <c r="AT411" s="29">
        <f t="shared" si="378"/>
        <v>0</v>
      </c>
      <c r="AU411" s="29">
        <f t="shared" si="379"/>
        <v>0</v>
      </c>
      <c r="AV411" s="34">
        <f t="shared" si="380"/>
        <v>0</v>
      </c>
      <c r="AW411" s="34">
        <f t="shared" si="381"/>
        <v>0</v>
      </c>
      <c r="AX411" s="29">
        <f t="shared" si="382"/>
        <v>0</v>
      </c>
      <c r="AY411" s="34">
        <f t="shared" si="383"/>
        <v>0</v>
      </c>
      <c r="AZ411" s="37">
        <f t="shared" si="384"/>
        <v>0</v>
      </c>
      <c r="BA411" s="37">
        <f t="shared" si="385"/>
        <v>0</v>
      </c>
      <c r="BB411" s="35">
        <f t="shared" si="386"/>
        <v>1.0901070258191314E-3</v>
      </c>
      <c r="BC411" s="31">
        <f t="shared" si="387"/>
        <v>0.64182993491096396</v>
      </c>
      <c r="BD411" s="34">
        <f t="shared" si="388"/>
        <v>0</v>
      </c>
    </row>
    <row r="412" spans="1:56" x14ac:dyDescent="0.2">
      <c r="A412" s="27">
        <f t="shared" si="389"/>
        <v>408</v>
      </c>
      <c r="B412" s="28">
        <f t="shared" si="336"/>
        <v>408</v>
      </c>
      <c r="C412" s="27">
        <f t="shared" si="337"/>
        <v>34</v>
      </c>
      <c r="D412" s="28">
        <f t="shared" si="338"/>
        <v>54</v>
      </c>
      <c r="E412" s="29">
        <f t="shared" si="339"/>
        <v>0</v>
      </c>
      <c r="F412" s="30">
        <f t="shared" si="340"/>
        <v>1.625737825257762E-3</v>
      </c>
      <c r="G412" s="31">
        <f t="shared" si="341"/>
        <v>1.3557920589468697E-4</v>
      </c>
      <c r="H412" s="32">
        <f t="shared" si="342"/>
        <v>0.02</v>
      </c>
      <c r="I412" s="32">
        <f t="shared" si="343"/>
        <v>0</v>
      </c>
      <c r="J412" s="33">
        <f t="shared" si="390"/>
        <v>0</v>
      </c>
      <c r="K412" s="30">
        <f t="shared" si="344"/>
        <v>0</v>
      </c>
      <c r="L412" s="33">
        <f t="shared" si="345"/>
        <v>0</v>
      </c>
      <c r="M412" s="30">
        <f t="shared" si="346"/>
        <v>0</v>
      </c>
      <c r="N412" s="33">
        <f t="shared" si="347"/>
        <v>0</v>
      </c>
      <c r="O412" s="31">
        <f t="shared" si="348"/>
        <v>0</v>
      </c>
      <c r="P412" s="33">
        <f t="shared" si="349"/>
        <v>0</v>
      </c>
      <c r="Q412" s="34">
        <f t="shared" si="391"/>
        <v>766993.72755709826</v>
      </c>
      <c r="R412" s="29">
        <f t="shared" si="350"/>
        <v>0</v>
      </c>
      <c r="S412" s="34">
        <f t="shared" si="351"/>
        <v>766993.72755709826</v>
      </c>
      <c r="T412" s="29">
        <f t="shared" si="352"/>
        <v>639.16143963091531</v>
      </c>
      <c r="U412" s="29">
        <f t="shared" si="353"/>
        <v>0</v>
      </c>
      <c r="V412" s="35">
        <f t="shared" si="354"/>
        <v>1.4913712648415567E-4</v>
      </c>
      <c r="W412" s="34">
        <f t="shared" si="355"/>
        <v>0</v>
      </c>
      <c r="X412" s="34">
        <f t="shared" si="356"/>
        <v>766354.56611746736</v>
      </c>
      <c r="Y412" s="36">
        <f t="shared" si="357"/>
        <v>8.2087015290355225E-4</v>
      </c>
      <c r="Z412" s="34">
        <f t="shared" si="358"/>
        <v>629.0775898671809</v>
      </c>
      <c r="AA412" s="34">
        <f t="shared" si="359"/>
        <v>766669.10491240094</v>
      </c>
      <c r="AB412" s="34">
        <f t="shared" si="360"/>
        <v>0</v>
      </c>
      <c r="AC412" s="34">
        <f t="shared" si="361"/>
        <v>0</v>
      </c>
      <c r="AD412" s="34">
        <f t="shared" si="362"/>
        <v>0</v>
      </c>
      <c r="AE412" s="34">
        <f t="shared" si="363"/>
        <v>0</v>
      </c>
      <c r="AF412" s="34">
        <f t="shared" si="364"/>
        <v>0</v>
      </c>
      <c r="AG412" s="29">
        <f t="shared" si="365"/>
        <v>766669.10491240094</v>
      </c>
      <c r="AH412" s="34">
        <f t="shared" si="366"/>
        <v>0</v>
      </c>
      <c r="AI412" s="34">
        <f t="shared" si="367"/>
        <v>0</v>
      </c>
      <c r="AJ412" s="34">
        <f t="shared" si="368"/>
        <v>0</v>
      </c>
      <c r="AK412" s="34">
        <f t="shared" si="369"/>
        <v>0</v>
      </c>
      <c r="AL412" s="34">
        <f t="shared" si="370"/>
        <v>0</v>
      </c>
      <c r="AM412" s="34">
        <f t="shared" si="371"/>
        <v>0</v>
      </c>
      <c r="AN412" s="34">
        <f t="shared" si="372"/>
        <v>0</v>
      </c>
      <c r="AO412" s="34">
        <f t="shared" si="373"/>
        <v>0</v>
      </c>
      <c r="AP412" s="34">
        <f t="shared" si="374"/>
        <v>0</v>
      </c>
      <c r="AQ412" s="34">
        <f t="shared" si="375"/>
        <v>0</v>
      </c>
      <c r="AR412" s="34">
        <f t="shared" si="376"/>
        <v>0</v>
      </c>
      <c r="AS412" s="30">
        <f t="shared" si="377"/>
        <v>1.4025769861695727</v>
      </c>
      <c r="AT412" s="29">
        <f t="shared" si="378"/>
        <v>0</v>
      </c>
      <c r="AU412" s="29">
        <f t="shared" si="379"/>
        <v>0</v>
      </c>
      <c r="AV412" s="34">
        <f t="shared" si="380"/>
        <v>0</v>
      </c>
      <c r="AW412" s="34">
        <f t="shared" si="381"/>
        <v>0</v>
      </c>
      <c r="AX412" s="29">
        <f t="shared" si="382"/>
        <v>0</v>
      </c>
      <c r="AY412" s="34">
        <f t="shared" si="383"/>
        <v>0</v>
      </c>
      <c r="AZ412" s="37">
        <f t="shared" si="384"/>
        <v>0</v>
      </c>
      <c r="BA412" s="37">
        <f t="shared" si="385"/>
        <v>0</v>
      </c>
      <c r="BB412" s="35">
        <f t="shared" si="386"/>
        <v>1.0818725959396147E-3</v>
      </c>
      <c r="BC412" s="31">
        <f t="shared" si="387"/>
        <v>0.64328628550736322</v>
      </c>
      <c r="BD412" s="34">
        <f t="shared" si="388"/>
        <v>0</v>
      </c>
    </row>
    <row r="413" spans="1:56" x14ac:dyDescent="0.2">
      <c r="A413" s="27">
        <f t="shared" si="389"/>
        <v>409</v>
      </c>
      <c r="B413" s="28">
        <f t="shared" si="336"/>
        <v>409</v>
      </c>
      <c r="C413" s="27">
        <f t="shared" si="337"/>
        <v>34</v>
      </c>
      <c r="D413" s="28">
        <f t="shared" si="338"/>
        <v>54</v>
      </c>
      <c r="E413" s="29">
        <f t="shared" si="339"/>
        <v>0</v>
      </c>
      <c r="F413" s="30">
        <f t="shared" si="340"/>
        <v>1.625737825257762E-3</v>
      </c>
      <c r="G413" s="31">
        <f t="shared" si="341"/>
        <v>1.3557920589468697E-4</v>
      </c>
      <c r="H413" s="32">
        <f t="shared" si="342"/>
        <v>0.02</v>
      </c>
      <c r="I413" s="32">
        <f t="shared" si="343"/>
        <v>0</v>
      </c>
      <c r="J413" s="33">
        <f t="shared" si="390"/>
        <v>0</v>
      </c>
      <c r="K413" s="30">
        <f t="shared" si="344"/>
        <v>0</v>
      </c>
      <c r="L413" s="33">
        <f t="shared" si="345"/>
        <v>0</v>
      </c>
      <c r="M413" s="30">
        <f t="shared" si="346"/>
        <v>0</v>
      </c>
      <c r="N413" s="33">
        <f t="shared" si="347"/>
        <v>0</v>
      </c>
      <c r="O413" s="31">
        <f t="shared" si="348"/>
        <v>0</v>
      </c>
      <c r="P413" s="33">
        <f t="shared" si="349"/>
        <v>0</v>
      </c>
      <c r="Q413" s="34">
        <f t="shared" si="391"/>
        <v>766983.64370733453</v>
      </c>
      <c r="R413" s="29">
        <f t="shared" si="350"/>
        <v>0</v>
      </c>
      <c r="S413" s="34">
        <f t="shared" si="351"/>
        <v>766983.64370733453</v>
      </c>
      <c r="T413" s="29">
        <f t="shared" si="352"/>
        <v>639.15303642277877</v>
      </c>
      <c r="U413" s="29">
        <f t="shared" si="353"/>
        <v>0</v>
      </c>
      <c r="V413" s="35">
        <f t="shared" si="354"/>
        <v>1.4913712648415567E-4</v>
      </c>
      <c r="W413" s="34">
        <f t="shared" si="355"/>
        <v>0</v>
      </c>
      <c r="X413" s="34">
        <f t="shared" si="356"/>
        <v>766344.49067091173</v>
      </c>
      <c r="Y413" s="36">
        <f t="shared" si="357"/>
        <v>3.1488669540813419E-3</v>
      </c>
      <c r="Z413" s="34">
        <f t="shared" si="358"/>
        <v>2413.1168421159309</v>
      </c>
      <c r="AA413" s="34">
        <f t="shared" si="359"/>
        <v>767551.04909196973</v>
      </c>
      <c r="AB413" s="34">
        <f t="shared" si="360"/>
        <v>0</v>
      </c>
      <c r="AC413" s="34">
        <f t="shared" si="361"/>
        <v>0</v>
      </c>
      <c r="AD413" s="34">
        <f t="shared" si="362"/>
        <v>0</v>
      </c>
      <c r="AE413" s="34">
        <f t="shared" si="363"/>
        <v>0</v>
      </c>
      <c r="AF413" s="34">
        <f t="shared" si="364"/>
        <v>0</v>
      </c>
      <c r="AG413" s="29">
        <f t="shared" si="365"/>
        <v>767551.04909196973</v>
      </c>
      <c r="AH413" s="34">
        <f t="shared" si="366"/>
        <v>0</v>
      </c>
      <c r="AI413" s="34">
        <f t="shared" si="367"/>
        <v>0</v>
      </c>
      <c r="AJ413" s="34">
        <f t="shared" si="368"/>
        <v>0</v>
      </c>
      <c r="AK413" s="34">
        <f t="shared" si="369"/>
        <v>0</v>
      </c>
      <c r="AL413" s="34">
        <f t="shared" si="370"/>
        <v>0</v>
      </c>
      <c r="AM413" s="34">
        <f t="shared" si="371"/>
        <v>0</v>
      </c>
      <c r="AN413" s="34">
        <f t="shared" si="372"/>
        <v>0</v>
      </c>
      <c r="AO413" s="34">
        <f t="shared" si="373"/>
        <v>0</v>
      </c>
      <c r="AP413" s="34">
        <f t="shared" si="374"/>
        <v>0</v>
      </c>
      <c r="AQ413" s="34">
        <f t="shared" si="375"/>
        <v>0</v>
      </c>
      <c r="AR413" s="34">
        <f t="shared" si="376"/>
        <v>0</v>
      </c>
      <c r="AS413" s="30">
        <f t="shared" si="377"/>
        <v>1.4037404772379052</v>
      </c>
      <c r="AT413" s="29">
        <f t="shared" si="378"/>
        <v>0</v>
      </c>
      <c r="AU413" s="29">
        <f t="shared" si="379"/>
        <v>0</v>
      </c>
      <c r="AV413" s="34">
        <f t="shared" si="380"/>
        <v>0</v>
      </c>
      <c r="AW413" s="34">
        <f t="shared" si="381"/>
        <v>0</v>
      </c>
      <c r="AX413" s="29">
        <f t="shared" si="382"/>
        <v>0</v>
      </c>
      <c r="AY413" s="34">
        <f t="shared" si="383"/>
        <v>0</v>
      </c>
      <c r="AZ413" s="37">
        <f t="shared" si="384"/>
        <v>0</v>
      </c>
      <c r="BA413" s="37">
        <f t="shared" si="385"/>
        <v>0</v>
      </c>
      <c r="BB413" s="35">
        <f t="shared" si="386"/>
        <v>1.0818725959396147E-3</v>
      </c>
      <c r="BC413" s="31">
        <f t="shared" si="387"/>
        <v>0.64259108382337948</v>
      </c>
      <c r="BD413" s="34">
        <f t="shared" si="388"/>
        <v>0</v>
      </c>
    </row>
    <row r="414" spans="1:56" x14ac:dyDescent="0.2">
      <c r="A414" s="27">
        <f t="shared" si="389"/>
        <v>410</v>
      </c>
      <c r="B414" s="28">
        <f t="shared" si="336"/>
        <v>410</v>
      </c>
      <c r="C414" s="27">
        <f t="shared" si="337"/>
        <v>34</v>
      </c>
      <c r="D414" s="28">
        <f t="shared" si="338"/>
        <v>54</v>
      </c>
      <c r="E414" s="29">
        <f t="shared" si="339"/>
        <v>0</v>
      </c>
      <c r="F414" s="30">
        <f t="shared" si="340"/>
        <v>1.625737825257762E-3</v>
      </c>
      <c r="G414" s="31">
        <f t="shared" si="341"/>
        <v>1.3557920589468697E-4</v>
      </c>
      <c r="H414" s="32">
        <f t="shared" si="342"/>
        <v>0.02</v>
      </c>
      <c r="I414" s="32">
        <f t="shared" si="343"/>
        <v>0</v>
      </c>
      <c r="J414" s="33">
        <f t="shared" si="390"/>
        <v>0</v>
      </c>
      <c r="K414" s="30">
        <f t="shared" si="344"/>
        <v>0</v>
      </c>
      <c r="L414" s="33">
        <f t="shared" si="345"/>
        <v>0</v>
      </c>
      <c r="M414" s="30">
        <f t="shared" si="346"/>
        <v>0</v>
      </c>
      <c r="N414" s="33">
        <f t="shared" si="347"/>
        <v>0</v>
      </c>
      <c r="O414" s="31">
        <f t="shared" si="348"/>
        <v>0</v>
      </c>
      <c r="P414" s="33">
        <f t="shared" si="349"/>
        <v>0</v>
      </c>
      <c r="Q414" s="34">
        <f t="shared" si="391"/>
        <v>768757.60751302761</v>
      </c>
      <c r="R414" s="29">
        <f t="shared" si="350"/>
        <v>0</v>
      </c>
      <c r="S414" s="34">
        <f t="shared" si="351"/>
        <v>768757.60751302761</v>
      </c>
      <c r="T414" s="29">
        <f t="shared" si="352"/>
        <v>640.63133959418974</v>
      </c>
      <c r="U414" s="29">
        <f t="shared" si="353"/>
        <v>0</v>
      </c>
      <c r="V414" s="35">
        <f t="shared" si="354"/>
        <v>1.4913712648415567E-4</v>
      </c>
      <c r="W414" s="34">
        <f t="shared" si="355"/>
        <v>0</v>
      </c>
      <c r="X414" s="34">
        <f t="shared" si="356"/>
        <v>768116.97617343348</v>
      </c>
      <c r="Y414" s="36">
        <f t="shared" si="357"/>
        <v>8.2715635698016321E-4</v>
      </c>
      <c r="Z414" s="34">
        <f t="shared" si="358"/>
        <v>635.3528397462361</v>
      </c>
      <c r="AA414" s="34">
        <f t="shared" si="359"/>
        <v>768434.65259330662</v>
      </c>
      <c r="AB414" s="34">
        <f t="shared" si="360"/>
        <v>0</v>
      </c>
      <c r="AC414" s="34">
        <f t="shared" si="361"/>
        <v>0</v>
      </c>
      <c r="AD414" s="34">
        <f t="shared" si="362"/>
        <v>0</v>
      </c>
      <c r="AE414" s="34">
        <f t="shared" si="363"/>
        <v>0</v>
      </c>
      <c r="AF414" s="34">
        <f t="shared" si="364"/>
        <v>0</v>
      </c>
      <c r="AG414" s="29">
        <f t="shared" si="365"/>
        <v>768434.65259330662</v>
      </c>
      <c r="AH414" s="34">
        <f t="shared" si="366"/>
        <v>0</v>
      </c>
      <c r="AI414" s="34">
        <f t="shared" si="367"/>
        <v>0</v>
      </c>
      <c r="AJ414" s="34">
        <f t="shared" si="368"/>
        <v>0</v>
      </c>
      <c r="AK414" s="34">
        <f t="shared" si="369"/>
        <v>0</v>
      </c>
      <c r="AL414" s="34">
        <f t="shared" si="370"/>
        <v>0</v>
      </c>
      <c r="AM414" s="34">
        <f t="shared" si="371"/>
        <v>0</v>
      </c>
      <c r="AN414" s="34">
        <f t="shared" si="372"/>
        <v>0</v>
      </c>
      <c r="AO414" s="34">
        <f t="shared" si="373"/>
        <v>0</v>
      </c>
      <c r="AP414" s="34">
        <f t="shared" si="374"/>
        <v>0</v>
      </c>
      <c r="AQ414" s="34">
        <f t="shared" si="375"/>
        <v>0</v>
      </c>
      <c r="AR414" s="34">
        <f t="shared" si="376"/>
        <v>0</v>
      </c>
      <c r="AS414" s="30">
        <f t="shared" si="377"/>
        <v>1.4049049334664245</v>
      </c>
      <c r="AT414" s="29">
        <f t="shared" si="378"/>
        <v>0</v>
      </c>
      <c r="AU414" s="29">
        <f t="shared" si="379"/>
        <v>0</v>
      </c>
      <c r="AV414" s="34">
        <f t="shared" si="380"/>
        <v>0</v>
      </c>
      <c r="AW414" s="34">
        <f t="shared" si="381"/>
        <v>0</v>
      </c>
      <c r="AX414" s="29">
        <f t="shared" si="382"/>
        <v>0</v>
      </c>
      <c r="AY414" s="34">
        <f t="shared" si="383"/>
        <v>0</v>
      </c>
      <c r="AZ414" s="37">
        <f t="shared" si="384"/>
        <v>0</v>
      </c>
      <c r="BA414" s="37">
        <f t="shared" si="385"/>
        <v>0</v>
      </c>
      <c r="BB414" s="35">
        <f t="shared" si="386"/>
        <v>1.0818725959396147E-3</v>
      </c>
      <c r="BC414" s="31">
        <f t="shared" si="387"/>
        <v>0.64189663344622838</v>
      </c>
      <c r="BD414" s="34">
        <f t="shared" si="388"/>
        <v>0</v>
      </c>
    </row>
    <row r="415" spans="1:56" x14ac:dyDescent="0.2">
      <c r="A415" s="27">
        <f t="shared" si="389"/>
        <v>411</v>
      </c>
      <c r="B415" s="28">
        <f t="shared" si="336"/>
        <v>411</v>
      </c>
      <c r="C415" s="27">
        <f t="shared" si="337"/>
        <v>34</v>
      </c>
      <c r="D415" s="28">
        <f t="shared" si="338"/>
        <v>54</v>
      </c>
      <c r="E415" s="29">
        <f t="shared" si="339"/>
        <v>0</v>
      </c>
      <c r="F415" s="30">
        <f t="shared" si="340"/>
        <v>1.625737825257762E-3</v>
      </c>
      <c r="G415" s="31">
        <f t="shared" si="341"/>
        <v>1.3557920589468697E-4</v>
      </c>
      <c r="H415" s="32">
        <f t="shared" si="342"/>
        <v>0.02</v>
      </c>
      <c r="I415" s="32">
        <f t="shared" si="343"/>
        <v>0</v>
      </c>
      <c r="J415" s="33">
        <f t="shared" si="390"/>
        <v>0</v>
      </c>
      <c r="K415" s="30">
        <f t="shared" si="344"/>
        <v>0</v>
      </c>
      <c r="L415" s="33">
        <f t="shared" si="345"/>
        <v>0</v>
      </c>
      <c r="M415" s="30">
        <f t="shared" si="346"/>
        <v>0</v>
      </c>
      <c r="N415" s="33">
        <f t="shared" si="347"/>
        <v>0</v>
      </c>
      <c r="O415" s="31">
        <f t="shared" si="348"/>
        <v>0</v>
      </c>
      <c r="P415" s="33">
        <f t="shared" si="349"/>
        <v>0</v>
      </c>
      <c r="Q415" s="34">
        <f t="shared" si="391"/>
        <v>768752.32901317975</v>
      </c>
      <c r="R415" s="29">
        <f t="shared" si="350"/>
        <v>0</v>
      </c>
      <c r="S415" s="34">
        <f t="shared" si="351"/>
        <v>768752.32901317975</v>
      </c>
      <c r="T415" s="29">
        <f t="shared" si="352"/>
        <v>640.62694084431655</v>
      </c>
      <c r="U415" s="29">
        <f t="shared" si="353"/>
        <v>0</v>
      </c>
      <c r="V415" s="35">
        <f t="shared" si="354"/>
        <v>1.4913712648415567E-4</v>
      </c>
      <c r="W415" s="34">
        <f t="shared" si="355"/>
        <v>0</v>
      </c>
      <c r="X415" s="34">
        <f t="shared" si="356"/>
        <v>768111.70207233541</v>
      </c>
      <c r="Y415" s="36">
        <f t="shared" si="357"/>
        <v>-5.7201801747678305E-3</v>
      </c>
      <c r="Z415" s="34">
        <f t="shared" si="358"/>
        <v>-4393.7373302013475</v>
      </c>
      <c r="AA415" s="34">
        <f t="shared" si="359"/>
        <v>765914.83340723475</v>
      </c>
      <c r="AB415" s="34">
        <f t="shared" si="360"/>
        <v>0</v>
      </c>
      <c r="AC415" s="34">
        <f t="shared" si="361"/>
        <v>0</v>
      </c>
      <c r="AD415" s="34">
        <f t="shared" si="362"/>
        <v>0</v>
      </c>
      <c r="AE415" s="34">
        <f t="shared" si="363"/>
        <v>0</v>
      </c>
      <c r="AF415" s="34">
        <f t="shared" si="364"/>
        <v>0</v>
      </c>
      <c r="AG415" s="29">
        <f t="shared" si="365"/>
        <v>765914.83340723475</v>
      </c>
      <c r="AH415" s="34">
        <f t="shared" si="366"/>
        <v>0</v>
      </c>
      <c r="AI415" s="34">
        <f t="shared" si="367"/>
        <v>0</v>
      </c>
      <c r="AJ415" s="34">
        <f t="shared" si="368"/>
        <v>0</v>
      </c>
      <c r="AK415" s="34">
        <f t="shared" si="369"/>
        <v>0</v>
      </c>
      <c r="AL415" s="34">
        <f t="shared" si="370"/>
        <v>0</v>
      </c>
      <c r="AM415" s="34">
        <f t="shared" si="371"/>
        <v>0</v>
      </c>
      <c r="AN415" s="34">
        <f t="shared" si="372"/>
        <v>0</v>
      </c>
      <c r="AO415" s="34">
        <f t="shared" si="373"/>
        <v>0</v>
      </c>
      <c r="AP415" s="34">
        <f t="shared" si="374"/>
        <v>0</v>
      </c>
      <c r="AQ415" s="34">
        <f t="shared" si="375"/>
        <v>0</v>
      </c>
      <c r="AR415" s="34">
        <f t="shared" si="376"/>
        <v>0</v>
      </c>
      <c r="AS415" s="30">
        <f t="shared" si="377"/>
        <v>1.4060703556557679</v>
      </c>
      <c r="AT415" s="29">
        <f t="shared" si="378"/>
        <v>0</v>
      </c>
      <c r="AU415" s="29">
        <f t="shared" si="379"/>
        <v>0</v>
      </c>
      <c r="AV415" s="34">
        <f t="shared" si="380"/>
        <v>0</v>
      </c>
      <c r="AW415" s="34">
        <f t="shared" si="381"/>
        <v>0</v>
      </c>
      <c r="AX415" s="29">
        <f t="shared" si="382"/>
        <v>0</v>
      </c>
      <c r="AY415" s="34">
        <f t="shared" si="383"/>
        <v>0</v>
      </c>
      <c r="AZ415" s="37">
        <f t="shared" si="384"/>
        <v>0</v>
      </c>
      <c r="BA415" s="37">
        <f t="shared" si="385"/>
        <v>0</v>
      </c>
      <c r="BB415" s="35">
        <f t="shared" si="386"/>
        <v>1.0818725959396147E-3</v>
      </c>
      <c r="BC415" s="31">
        <f t="shared" si="387"/>
        <v>0.64120293356396929</v>
      </c>
      <c r="BD415" s="34">
        <f t="shared" si="388"/>
        <v>0</v>
      </c>
    </row>
    <row r="416" spans="1:56" x14ac:dyDescent="0.2">
      <c r="A416" s="27">
        <f t="shared" si="389"/>
        <v>412</v>
      </c>
      <c r="B416" s="28">
        <f t="shared" si="336"/>
        <v>412</v>
      </c>
      <c r="C416" s="27">
        <f t="shared" si="337"/>
        <v>34</v>
      </c>
      <c r="D416" s="28">
        <f t="shared" si="338"/>
        <v>54</v>
      </c>
      <c r="E416" s="29">
        <f t="shared" si="339"/>
        <v>0</v>
      </c>
      <c r="F416" s="30">
        <f t="shared" si="340"/>
        <v>1.625737825257762E-3</v>
      </c>
      <c r="G416" s="31">
        <f t="shared" si="341"/>
        <v>1.3557920589468697E-4</v>
      </c>
      <c r="H416" s="32">
        <f t="shared" si="342"/>
        <v>0.02</v>
      </c>
      <c r="I416" s="32">
        <f t="shared" si="343"/>
        <v>0</v>
      </c>
      <c r="J416" s="33">
        <f t="shared" si="390"/>
        <v>0</v>
      </c>
      <c r="K416" s="30">
        <f t="shared" si="344"/>
        <v>0</v>
      </c>
      <c r="L416" s="33">
        <f t="shared" si="345"/>
        <v>0</v>
      </c>
      <c r="M416" s="30">
        <f t="shared" si="346"/>
        <v>0</v>
      </c>
      <c r="N416" s="33">
        <f t="shared" si="347"/>
        <v>0</v>
      </c>
      <c r="O416" s="31">
        <f t="shared" si="348"/>
        <v>0</v>
      </c>
      <c r="P416" s="33">
        <f t="shared" si="349"/>
        <v>0</v>
      </c>
      <c r="Q416" s="34">
        <f t="shared" si="391"/>
        <v>763717.96474213409</v>
      </c>
      <c r="R416" s="29">
        <f t="shared" si="350"/>
        <v>0</v>
      </c>
      <c r="S416" s="34">
        <f t="shared" si="351"/>
        <v>763717.96474213409</v>
      </c>
      <c r="T416" s="29">
        <f t="shared" si="352"/>
        <v>636.43163728511183</v>
      </c>
      <c r="U416" s="29">
        <f t="shared" si="353"/>
        <v>0</v>
      </c>
      <c r="V416" s="35">
        <f t="shared" si="354"/>
        <v>1.4913712648415567E-4</v>
      </c>
      <c r="W416" s="34">
        <f t="shared" si="355"/>
        <v>0</v>
      </c>
      <c r="X416" s="34">
        <f t="shared" si="356"/>
        <v>763081.53310484893</v>
      </c>
      <c r="Y416" s="36">
        <f t="shared" si="357"/>
        <v>-4.1556514154650337E-4</v>
      </c>
      <c r="Z416" s="34">
        <f t="shared" si="358"/>
        <v>-317.11008531623935</v>
      </c>
      <c r="AA416" s="34">
        <f t="shared" si="359"/>
        <v>762922.97806219081</v>
      </c>
      <c r="AB416" s="34">
        <f t="shared" si="360"/>
        <v>0</v>
      </c>
      <c r="AC416" s="34">
        <f t="shared" si="361"/>
        <v>0</v>
      </c>
      <c r="AD416" s="34">
        <f t="shared" si="362"/>
        <v>0</v>
      </c>
      <c r="AE416" s="34">
        <f t="shared" si="363"/>
        <v>0</v>
      </c>
      <c r="AF416" s="34">
        <f t="shared" si="364"/>
        <v>0</v>
      </c>
      <c r="AG416" s="29">
        <f t="shared" si="365"/>
        <v>762922.97806219081</v>
      </c>
      <c r="AH416" s="34">
        <f t="shared" si="366"/>
        <v>0</v>
      </c>
      <c r="AI416" s="34">
        <f t="shared" si="367"/>
        <v>0</v>
      </c>
      <c r="AJ416" s="34">
        <f t="shared" si="368"/>
        <v>0</v>
      </c>
      <c r="AK416" s="34">
        <f t="shared" si="369"/>
        <v>0</v>
      </c>
      <c r="AL416" s="34">
        <f t="shared" si="370"/>
        <v>0</v>
      </c>
      <c r="AM416" s="34">
        <f t="shared" si="371"/>
        <v>0</v>
      </c>
      <c r="AN416" s="34">
        <f t="shared" si="372"/>
        <v>0</v>
      </c>
      <c r="AO416" s="34">
        <f t="shared" si="373"/>
        <v>0</v>
      </c>
      <c r="AP416" s="34">
        <f t="shared" si="374"/>
        <v>0</v>
      </c>
      <c r="AQ416" s="34">
        <f t="shared" si="375"/>
        <v>0</v>
      </c>
      <c r="AR416" s="34">
        <f t="shared" si="376"/>
        <v>0</v>
      </c>
      <c r="AS416" s="30">
        <f t="shared" si="377"/>
        <v>1.4072367446072369</v>
      </c>
      <c r="AT416" s="29">
        <f t="shared" si="378"/>
        <v>0</v>
      </c>
      <c r="AU416" s="29">
        <f t="shared" si="379"/>
        <v>0</v>
      </c>
      <c r="AV416" s="34">
        <f t="shared" si="380"/>
        <v>0</v>
      </c>
      <c r="AW416" s="34">
        <f t="shared" si="381"/>
        <v>0</v>
      </c>
      <c r="AX416" s="29">
        <f t="shared" si="382"/>
        <v>0</v>
      </c>
      <c r="AY416" s="34">
        <f t="shared" si="383"/>
        <v>0</v>
      </c>
      <c r="AZ416" s="37">
        <f t="shared" si="384"/>
        <v>0</v>
      </c>
      <c r="BA416" s="37">
        <f t="shared" si="385"/>
        <v>0</v>
      </c>
      <c r="BB416" s="35">
        <f t="shared" si="386"/>
        <v>1.0818725959396147E-3</v>
      </c>
      <c r="BC416" s="31">
        <f t="shared" si="387"/>
        <v>0.6405099833655401</v>
      </c>
      <c r="BD416" s="34">
        <f t="shared" si="388"/>
        <v>0</v>
      </c>
    </row>
    <row r="417" spans="1:56" x14ac:dyDescent="0.2">
      <c r="A417" s="27">
        <f t="shared" si="389"/>
        <v>413</v>
      </c>
      <c r="B417" s="28">
        <f t="shared" si="336"/>
        <v>413</v>
      </c>
      <c r="C417" s="27">
        <f t="shared" si="337"/>
        <v>34</v>
      </c>
      <c r="D417" s="28">
        <f t="shared" si="338"/>
        <v>54</v>
      </c>
      <c r="E417" s="29">
        <f t="shared" si="339"/>
        <v>0</v>
      </c>
      <c r="F417" s="30">
        <f t="shared" si="340"/>
        <v>1.625737825257762E-3</v>
      </c>
      <c r="G417" s="31">
        <f t="shared" si="341"/>
        <v>1.3557920589468697E-4</v>
      </c>
      <c r="H417" s="32">
        <f t="shared" si="342"/>
        <v>0.02</v>
      </c>
      <c r="I417" s="32">
        <f t="shared" si="343"/>
        <v>0</v>
      </c>
      <c r="J417" s="33">
        <f t="shared" si="390"/>
        <v>0</v>
      </c>
      <c r="K417" s="30">
        <f t="shared" si="344"/>
        <v>0</v>
      </c>
      <c r="L417" s="33">
        <f t="shared" si="345"/>
        <v>0</v>
      </c>
      <c r="M417" s="30">
        <f t="shared" si="346"/>
        <v>0</v>
      </c>
      <c r="N417" s="33">
        <f t="shared" si="347"/>
        <v>0</v>
      </c>
      <c r="O417" s="31">
        <f t="shared" si="348"/>
        <v>0</v>
      </c>
      <c r="P417" s="33">
        <f t="shared" si="349"/>
        <v>0</v>
      </c>
      <c r="Q417" s="34">
        <f t="shared" si="391"/>
        <v>762764.4230195327</v>
      </c>
      <c r="R417" s="29">
        <f t="shared" si="350"/>
        <v>0</v>
      </c>
      <c r="S417" s="34">
        <f t="shared" si="351"/>
        <v>762764.4230195327</v>
      </c>
      <c r="T417" s="29">
        <f t="shared" si="352"/>
        <v>635.63701918294396</v>
      </c>
      <c r="U417" s="29">
        <f t="shared" si="353"/>
        <v>0</v>
      </c>
      <c r="V417" s="35">
        <f t="shared" si="354"/>
        <v>1.4913712648415567E-4</v>
      </c>
      <c r="W417" s="34">
        <f t="shared" si="355"/>
        <v>0</v>
      </c>
      <c r="X417" s="34">
        <f t="shared" si="356"/>
        <v>762128.78600034979</v>
      </c>
      <c r="Y417" s="36">
        <f t="shared" si="357"/>
        <v>-2.9067020545125999E-4</v>
      </c>
      <c r="Z417" s="34">
        <f t="shared" si="358"/>
        <v>-221.52813080704104</v>
      </c>
      <c r="AA417" s="34">
        <f t="shared" si="359"/>
        <v>762018.0219349463</v>
      </c>
      <c r="AB417" s="34">
        <f t="shared" si="360"/>
        <v>0</v>
      </c>
      <c r="AC417" s="34">
        <f t="shared" si="361"/>
        <v>0</v>
      </c>
      <c r="AD417" s="34">
        <f t="shared" si="362"/>
        <v>0</v>
      </c>
      <c r="AE417" s="34">
        <f t="shared" si="363"/>
        <v>0</v>
      </c>
      <c r="AF417" s="34">
        <f t="shared" si="364"/>
        <v>0</v>
      </c>
      <c r="AG417" s="29">
        <f t="shared" si="365"/>
        <v>762018.0219349463</v>
      </c>
      <c r="AH417" s="34">
        <f t="shared" si="366"/>
        <v>0</v>
      </c>
      <c r="AI417" s="34">
        <f t="shared" si="367"/>
        <v>0</v>
      </c>
      <c r="AJ417" s="34">
        <f t="shared" si="368"/>
        <v>0</v>
      </c>
      <c r="AK417" s="34">
        <f t="shared" si="369"/>
        <v>0</v>
      </c>
      <c r="AL417" s="34">
        <f t="shared" si="370"/>
        <v>0</v>
      </c>
      <c r="AM417" s="34">
        <f t="shared" si="371"/>
        <v>0</v>
      </c>
      <c r="AN417" s="34">
        <f t="shared" si="372"/>
        <v>0</v>
      </c>
      <c r="AO417" s="34">
        <f t="shared" si="373"/>
        <v>0</v>
      </c>
      <c r="AP417" s="34">
        <f t="shared" si="374"/>
        <v>0</v>
      </c>
      <c r="AQ417" s="34">
        <f t="shared" si="375"/>
        <v>0</v>
      </c>
      <c r="AR417" s="34">
        <f t="shared" si="376"/>
        <v>0</v>
      </c>
      <c r="AS417" s="30">
        <f t="shared" si="377"/>
        <v>1.408404101122797</v>
      </c>
      <c r="AT417" s="29">
        <f t="shared" si="378"/>
        <v>0</v>
      </c>
      <c r="AU417" s="29">
        <f t="shared" si="379"/>
        <v>0</v>
      </c>
      <c r="AV417" s="34">
        <f t="shared" si="380"/>
        <v>0</v>
      </c>
      <c r="AW417" s="34">
        <f t="shared" si="381"/>
        <v>0</v>
      </c>
      <c r="AX417" s="29">
        <f t="shared" si="382"/>
        <v>0</v>
      </c>
      <c r="AY417" s="34">
        <f t="shared" si="383"/>
        <v>0</v>
      </c>
      <c r="AZ417" s="37">
        <f t="shared" si="384"/>
        <v>0</v>
      </c>
      <c r="BA417" s="37">
        <f t="shared" si="385"/>
        <v>0</v>
      </c>
      <c r="BB417" s="35">
        <f t="shared" si="386"/>
        <v>1.0818725959396147E-3</v>
      </c>
      <c r="BC417" s="31">
        <f t="shared" si="387"/>
        <v>0.63981778204075546</v>
      </c>
      <c r="BD417" s="34">
        <f t="shared" si="388"/>
        <v>0</v>
      </c>
    </row>
    <row r="418" spans="1:56" x14ac:dyDescent="0.2">
      <c r="A418" s="27">
        <f t="shared" si="389"/>
        <v>414</v>
      </c>
      <c r="B418" s="28">
        <f t="shared" si="336"/>
        <v>414</v>
      </c>
      <c r="C418" s="27">
        <f t="shared" si="337"/>
        <v>34</v>
      </c>
      <c r="D418" s="28">
        <f t="shared" si="338"/>
        <v>54</v>
      </c>
      <c r="E418" s="29">
        <f t="shared" si="339"/>
        <v>0</v>
      </c>
      <c r="F418" s="30">
        <f t="shared" si="340"/>
        <v>1.625737825257762E-3</v>
      </c>
      <c r="G418" s="31">
        <f t="shared" si="341"/>
        <v>1.3557920589468697E-4</v>
      </c>
      <c r="H418" s="32">
        <f t="shared" si="342"/>
        <v>0.02</v>
      </c>
      <c r="I418" s="32">
        <f t="shared" si="343"/>
        <v>0</v>
      </c>
      <c r="J418" s="33">
        <f t="shared" si="390"/>
        <v>0</v>
      </c>
      <c r="K418" s="30">
        <f t="shared" si="344"/>
        <v>0</v>
      </c>
      <c r="L418" s="33">
        <f t="shared" si="345"/>
        <v>0</v>
      </c>
      <c r="M418" s="30">
        <f t="shared" si="346"/>
        <v>0</v>
      </c>
      <c r="N418" s="33">
        <f t="shared" si="347"/>
        <v>0</v>
      </c>
      <c r="O418" s="31">
        <f t="shared" si="348"/>
        <v>0</v>
      </c>
      <c r="P418" s="33">
        <f t="shared" si="349"/>
        <v>0</v>
      </c>
      <c r="Q418" s="34">
        <f t="shared" si="391"/>
        <v>761907.25786954269</v>
      </c>
      <c r="R418" s="29">
        <f t="shared" si="350"/>
        <v>0</v>
      </c>
      <c r="S418" s="34">
        <f t="shared" si="351"/>
        <v>761907.25786954269</v>
      </c>
      <c r="T418" s="29">
        <f t="shared" si="352"/>
        <v>634.92271489128564</v>
      </c>
      <c r="U418" s="29">
        <f t="shared" si="353"/>
        <v>0</v>
      </c>
      <c r="V418" s="35">
        <f t="shared" si="354"/>
        <v>1.4913712648415567E-4</v>
      </c>
      <c r="W418" s="34">
        <f t="shared" si="355"/>
        <v>0</v>
      </c>
      <c r="X418" s="34">
        <f t="shared" si="356"/>
        <v>761272.33515465143</v>
      </c>
      <c r="Y418" s="36">
        <f t="shared" si="357"/>
        <v>-9.7162960879870752E-3</v>
      </c>
      <c r="Z418" s="34">
        <f t="shared" si="358"/>
        <v>-7396.7474119559256</v>
      </c>
      <c r="AA418" s="34">
        <f t="shared" si="359"/>
        <v>757573.96144867351</v>
      </c>
      <c r="AB418" s="34">
        <f t="shared" si="360"/>
        <v>0</v>
      </c>
      <c r="AC418" s="34">
        <f t="shared" si="361"/>
        <v>0</v>
      </c>
      <c r="AD418" s="34">
        <f t="shared" si="362"/>
        <v>0</v>
      </c>
      <c r="AE418" s="34">
        <f t="shared" si="363"/>
        <v>0</v>
      </c>
      <c r="AF418" s="34">
        <f t="shared" si="364"/>
        <v>0</v>
      </c>
      <c r="AG418" s="29">
        <f t="shared" si="365"/>
        <v>757573.96144867351</v>
      </c>
      <c r="AH418" s="34">
        <f t="shared" si="366"/>
        <v>0</v>
      </c>
      <c r="AI418" s="34">
        <f t="shared" si="367"/>
        <v>0</v>
      </c>
      <c r="AJ418" s="34">
        <f t="shared" si="368"/>
        <v>0</v>
      </c>
      <c r="AK418" s="34">
        <f t="shared" si="369"/>
        <v>0</v>
      </c>
      <c r="AL418" s="34">
        <f t="shared" si="370"/>
        <v>0</v>
      </c>
      <c r="AM418" s="34">
        <f t="shared" si="371"/>
        <v>0</v>
      </c>
      <c r="AN418" s="34">
        <f t="shared" si="372"/>
        <v>0</v>
      </c>
      <c r="AO418" s="34">
        <f t="shared" si="373"/>
        <v>0</v>
      </c>
      <c r="AP418" s="34">
        <f t="shared" si="374"/>
        <v>0</v>
      </c>
      <c r="AQ418" s="34">
        <f t="shared" si="375"/>
        <v>0</v>
      </c>
      <c r="AR418" s="34">
        <f t="shared" si="376"/>
        <v>0</v>
      </c>
      <c r="AS418" s="30">
        <f t="shared" si="377"/>
        <v>1.4095724260050799</v>
      </c>
      <c r="AT418" s="29">
        <f t="shared" si="378"/>
        <v>0</v>
      </c>
      <c r="AU418" s="29">
        <f t="shared" si="379"/>
        <v>0</v>
      </c>
      <c r="AV418" s="34">
        <f t="shared" si="380"/>
        <v>0</v>
      </c>
      <c r="AW418" s="34">
        <f t="shared" si="381"/>
        <v>0</v>
      </c>
      <c r="AX418" s="29">
        <f t="shared" si="382"/>
        <v>0</v>
      </c>
      <c r="AY418" s="34">
        <f t="shared" si="383"/>
        <v>0</v>
      </c>
      <c r="AZ418" s="37">
        <f t="shared" si="384"/>
        <v>0</v>
      </c>
      <c r="BA418" s="37">
        <f t="shared" si="385"/>
        <v>0</v>
      </c>
      <c r="BB418" s="35">
        <f t="shared" si="386"/>
        <v>1.0818725959396147E-3</v>
      </c>
      <c r="BC418" s="31">
        <f t="shared" si="387"/>
        <v>0.63912632878030484</v>
      </c>
      <c r="BD418" s="34">
        <f t="shared" si="388"/>
        <v>0</v>
      </c>
    </row>
    <row r="419" spans="1:56" x14ac:dyDescent="0.2">
      <c r="A419" s="27">
        <f t="shared" si="389"/>
        <v>415</v>
      </c>
      <c r="B419" s="28">
        <f t="shared" si="336"/>
        <v>415</v>
      </c>
      <c r="C419" s="27">
        <f t="shared" si="337"/>
        <v>34</v>
      </c>
      <c r="D419" s="28">
        <f t="shared" si="338"/>
        <v>54</v>
      </c>
      <c r="E419" s="29">
        <f t="shared" si="339"/>
        <v>0</v>
      </c>
      <c r="F419" s="30">
        <f t="shared" si="340"/>
        <v>1.625737825257762E-3</v>
      </c>
      <c r="G419" s="31">
        <f t="shared" si="341"/>
        <v>1.3557920589468697E-4</v>
      </c>
      <c r="H419" s="32">
        <f t="shared" si="342"/>
        <v>0.02</v>
      </c>
      <c r="I419" s="32">
        <f t="shared" si="343"/>
        <v>0</v>
      </c>
      <c r="J419" s="33">
        <f t="shared" si="390"/>
        <v>0</v>
      </c>
      <c r="K419" s="30">
        <f t="shared" si="344"/>
        <v>0</v>
      </c>
      <c r="L419" s="33">
        <f t="shared" si="345"/>
        <v>0</v>
      </c>
      <c r="M419" s="30">
        <f t="shared" si="346"/>
        <v>0</v>
      </c>
      <c r="N419" s="33">
        <f t="shared" si="347"/>
        <v>0</v>
      </c>
      <c r="O419" s="31">
        <f t="shared" si="348"/>
        <v>0</v>
      </c>
      <c r="P419" s="33">
        <f t="shared" si="349"/>
        <v>0</v>
      </c>
      <c r="Q419" s="34">
        <f t="shared" si="391"/>
        <v>753875.58774269547</v>
      </c>
      <c r="R419" s="29">
        <f t="shared" si="350"/>
        <v>0</v>
      </c>
      <c r="S419" s="34">
        <f t="shared" si="351"/>
        <v>753875.58774269547</v>
      </c>
      <c r="T419" s="29">
        <f t="shared" si="352"/>
        <v>628.22965645224622</v>
      </c>
      <c r="U419" s="29">
        <f t="shared" si="353"/>
        <v>0</v>
      </c>
      <c r="V419" s="35">
        <f t="shared" si="354"/>
        <v>1.4913712648415567E-4</v>
      </c>
      <c r="W419" s="34">
        <f t="shared" si="355"/>
        <v>0</v>
      </c>
      <c r="X419" s="34">
        <f t="shared" si="356"/>
        <v>753247.35808624327</v>
      </c>
      <c r="Y419" s="36">
        <f t="shared" si="357"/>
        <v>-2.8952910796047338E-3</v>
      </c>
      <c r="Z419" s="34">
        <f t="shared" si="358"/>
        <v>-2180.8703566029326</v>
      </c>
      <c r="AA419" s="34">
        <f t="shared" si="359"/>
        <v>752156.92290794186</v>
      </c>
      <c r="AB419" s="34">
        <f t="shared" si="360"/>
        <v>0</v>
      </c>
      <c r="AC419" s="34">
        <f t="shared" si="361"/>
        <v>0</v>
      </c>
      <c r="AD419" s="34">
        <f t="shared" si="362"/>
        <v>0</v>
      </c>
      <c r="AE419" s="34">
        <f t="shared" si="363"/>
        <v>0</v>
      </c>
      <c r="AF419" s="34">
        <f t="shared" si="364"/>
        <v>0</v>
      </c>
      <c r="AG419" s="29">
        <f t="shared" si="365"/>
        <v>752156.92290794186</v>
      </c>
      <c r="AH419" s="34">
        <f t="shared" si="366"/>
        <v>0</v>
      </c>
      <c r="AI419" s="34">
        <f t="shared" si="367"/>
        <v>0</v>
      </c>
      <c r="AJ419" s="34">
        <f t="shared" si="368"/>
        <v>0</v>
      </c>
      <c r="AK419" s="34">
        <f t="shared" si="369"/>
        <v>0</v>
      </c>
      <c r="AL419" s="34">
        <f t="shared" si="370"/>
        <v>0</v>
      </c>
      <c r="AM419" s="34">
        <f t="shared" si="371"/>
        <v>0</v>
      </c>
      <c r="AN419" s="34">
        <f t="shared" si="372"/>
        <v>0</v>
      </c>
      <c r="AO419" s="34">
        <f t="shared" si="373"/>
        <v>0</v>
      </c>
      <c r="AP419" s="34">
        <f t="shared" si="374"/>
        <v>0</v>
      </c>
      <c r="AQ419" s="34">
        <f t="shared" si="375"/>
        <v>0</v>
      </c>
      <c r="AR419" s="34">
        <f t="shared" si="376"/>
        <v>0</v>
      </c>
      <c r="AS419" s="30">
        <f t="shared" si="377"/>
        <v>1.4107417200573826</v>
      </c>
      <c r="AT419" s="29">
        <f t="shared" si="378"/>
        <v>0</v>
      </c>
      <c r="AU419" s="29">
        <f t="shared" si="379"/>
        <v>0</v>
      </c>
      <c r="AV419" s="34">
        <f t="shared" si="380"/>
        <v>0</v>
      </c>
      <c r="AW419" s="34">
        <f t="shared" si="381"/>
        <v>0</v>
      </c>
      <c r="AX419" s="29">
        <f t="shared" si="382"/>
        <v>0</v>
      </c>
      <c r="AY419" s="34">
        <f t="shared" si="383"/>
        <v>0</v>
      </c>
      <c r="AZ419" s="37">
        <f t="shared" si="384"/>
        <v>0</v>
      </c>
      <c r="BA419" s="37">
        <f t="shared" si="385"/>
        <v>0</v>
      </c>
      <c r="BB419" s="35">
        <f t="shared" si="386"/>
        <v>1.0818725959396147E-3</v>
      </c>
      <c r="BC419" s="31">
        <f t="shared" si="387"/>
        <v>0.63843562277575194</v>
      </c>
      <c r="BD419" s="34">
        <f t="shared" si="388"/>
        <v>0</v>
      </c>
    </row>
    <row r="420" spans="1:56" x14ac:dyDescent="0.2">
      <c r="A420" s="27">
        <f t="shared" si="389"/>
        <v>416</v>
      </c>
      <c r="B420" s="28">
        <f t="shared" si="336"/>
        <v>416</v>
      </c>
      <c r="C420" s="27">
        <f t="shared" si="337"/>
        <v>34</v>
      </c>
      <c r="D420" s="28">
        <f t="shared" si="338"/>
        <v>54</v>
      </c>
      <c r="E420" s="29">
        <f t="shared" si="339"/>
        <v>0</v>
      </c>
      <c r="F420" s="30">
        <f t="shared" si="340"/>
        <v>1.625737825257762E-3</v>
      </c>
      <c r="G420" s="31">
        <f t="shared" si="341"/>
        <v>1.3557920589468697E-4</v>
      </c>
      <c r="H420" s="32">
        <f t="shared" si="342"/>
        <v>0.02</v>
      </c>
      <c r="I420" s="32">
        <f t="shared" si="343"/>
        <v>0</v>
      </c>
      <c r="J420" s="33">
        <f t="shared" si="390"/>
        <v>0</v>
      </c>
      <c r="K420" s="30">
        <f t="shared" si="344"/>
        <v>0</v>
      </c>
      <c r="L420" s="33">
        <f t="shared" si="345"/>
        <v>0</v>
      </c>
      <c r="M420" s="30">
        <f t="shared" si="346"/>
        <v>0</v>
      </c>
      <c r="N420" s="33">
        <f t="shared" si="347"/>
        <v>0</v>
      </c>
      <c r="O420" s="31">
        <f t="shared" si="348"/>
        <v>0</v>
      </c>
      <c r="P420" s="33">
        <f t="shared" si="349"/>
        <v>0</v>
      </c>
      <c r="Q420" s="34">
        <f t="shared" si="391"/>
        <v>751066.48772964033</v>
      </c>
      <c r="R420" s="29">
        <f t="shared" si="350"/>
        <v>0</v>
      </c>
      <c r="S420" s="34">
        <f t="shared" si="351"/>
        <v>751066.48772964033</v>
      </c>
      <c r="T420" s="29">
        <f t="shared" si="352"/>
        <v>625.8887397747003</v>
      </c>
      <c r="U420" s="29">
        <f t="shared" si="353"/>
        <v>0</v>
      </c>
      <c r="V420" s="35">
        <f t="shared" si="354"/>
        <v>1.4913712648415567E-4</v>
      </c>
      <c r="W420" s="34">
        <f t="shared" si="355"/>
        <v>0</v>
      </c>
      <c r="X420" s="34">
        <f t="shared" si="356"/>
        <v>750440.59898986563</v>
      </c>
      <c r="Y420" s="36">
        <f t="shared" si="357"/>
        <v>3.861396600853384E-3</v>
      </c>
      <c r="Z420" s="34">
        <f t="shared" si="358"/>
        <v>2897.7487780818446</v>
      </c>
      <c r="AA420" s="34">
        <f t="shared" si="359"/>
        <v>751889.47337890649</v>
      </c>
      <c r="AB420" s="34">
        <f t="shared" si="360"/>
        <v>0</v>
      </c>
      <c r="AC420" s="34">
        <f t="shared" si="361"/>
        <v>0</v>
      </c>
      <c r="AD420" s="34">
        <f t="shared" si="362"/>
        <v>0</v>
      </c>
      <c r="AE420" s="34">
        <f t="shared" si="363"/>
        <v>0</v>
      </c>
      <c r="AF420" s="34">
        <f t="shared" si="364"/>
        <v>0</v>
      </c>
      <c r="AG420" s="29">
        <f t="shared" si="365"/>
        <v>751889.47337890649</v>
      </c>
      <c r="AH420" s="34">
        <f t="shared" si="366"/>
        <v>0</v>
      </c>
      <c r="AI420" s="34">
        <f t="shared" si="367"/>
        <v>0</v>
      </c>
      <c r="AJ420" s="34">
        <f t="shared" si="368"/>
        <v>0</v>
      </c>
      <c r="AK420" s="34">
        <f t="shared" si="369"/>
        <v>0</v>
      </c>
      <c r="AL420" s="34">
        <f t="shared" si="370"/>
        <v>0</v>
      </c>
      <c r="AM420" s="34">
        <f t="shared" si="371"/>
        <v>0</v>
      </c>
      <c r="AN420" s="34">
        <f t="shared" si="372"/>
        <v>0</v>
      </c>
      <c r="AO420" s="34">
        <f t="shared" si="373"/>
        <v>0</v>
      </c>
      <c r="AP420" s="34">
        <f t="shared" si="374"/>
        <v>0</v>
      </c>
      <c r="AQ420" s="34">
        <f t="shared" si="375"/>
        <v>0</v>
      </c>
      <c r="AR420" s="34">
        <f t="shared" si="376"/>
        <v>0</v>
      </c>
      <c r="AS420" s="30">
        <f t="shared" si="377"/>
        <v>1.4119119840836685</v>
      </c>
      <c r="AT420" s="29">
        <f t="shared" si="378"/>
        <v>0</v>
      </c>
      <c r="AU420" s="29">
        <f t="shared" si="379"/>
        <v>0</v>
      </c>
      <c r="AV420" s="34">
        <f t="shared" si="380"/>
        <v>0</v>
      </c>
      <c r="AW420" s="34">
        <f t="shared" si="381"/>
        <v>0</v>
      </c>
      <c r="AX420" s="29">
        <f t="shared" si="382"/>
        <v>0</v>
      </c>
      <c r="AY420" s="34">
        <f t="shared" si="383"/>
        <v>0</v>
      </c>
      <c r="AZ420" s="37">
        <f t="shared" si="384"/>
        <v>0</v>
      </c>
      <c r="BA420" s="37">
        <f t="shared" si="385"/>
        <v>0</v>
      </c>
      <c r="BB420" s="35">
        <f t="shared" si="386"/>
        <v>1.0818725959396147E-3</v>
      </c>
      <c r="BC420" s="31">
        <f t="shared" si="387"/>
        <v>0.63774566321953552</v>
      </c>
      <c r="BD420" s="34">
        <f t="shared" si="388"/>
        <v>0</v>
      </c>
    </row>
    <row r="421" spans="1:56" x14ac:dyDescent="0.2">
      <c r="A421" s="27">
        <f t="shared" si="389"/>
        <v>417</v>
      </c>
      <c r="B421" s="28">
        <f t="shared" si="336"/>
        <v>417</v>
      </c>
      <c r="C421" s="27">
        <f t="shared" si="337"/>
        <v>34</v>
      </c>
      <c r="D421" s="28">
        <f t="shared" si="338"/>
        <v>54</v>
      </c>
      <c r="E421" s="29">
        <f t="shared" si="339"/>
        <v>0</v>
      </c>
      <c r="F421" s="30">
        <f t="shared" si="340"/>
        <v>1.625737825257762E-3</v>
      </c>
      <c r="G421" s="31">
        <f t="shared" si="341"/>
        <v>1.3557920589468697E-4</v>
      </c>
      <c r="H421" s="32">
        <f t="shared" si="342"/>
        <v>0.02</v>
      </c>
      <c r="I421" s="32">
        <f t="shared" si="343"/>
        <v>0</v>
      </c>
      <c r="J421" s="33">
        <f t="shared" si="390"/>
        <v>0</v>
      </c>
      <c r="K421" s="30">
        <f t="shared" si="344"/>
        <v>0</v>
      </c>
      <c r="L421" s="33">
        <f t="shared" si="345"/>
        <v>0</v>
      </c>
      <c r="M421" s="30">
        <f t="shared" si="346"/>
        <v>0</v>
      </c>
      <c r="N421" s="33">
        <f t="shared" si="347"/>
        <v>0</v>
      </c>
      <c r="O421" s="31">
        <f t="shared" si="348"/>
        <v>0</v>
      </c>
      <c r="P421" s="33">
        <f t="shared" si="349"/>
        <v>0</v>
      </c>
      <c r="Q421" s="34">
        <f t="shared" si="391"/>
        <v>753338.34776794747</v>
      </c>
      <c r="R421" s="29">
        <f t="shared" si="350"/>
        <v>0</v>
      </c>
      <c r="S421" s="34">
        <f t="shared" si="351"/>
        <v>753338.34776794747</v>
      </c>
      <c r="T421" s="29">
        <f t="shared" si="352"/>
        <v>627.7819564732896</v>
      </c>
      <c r="U421" s="29">
        <f t="shared" si="353"/>
        <v>0</v>
      </c>
      <c r="V421" s="35">
        <f t="shared" si="354"/>
        <v>1.4913712648415567E-4</v>
      </c>
      <c r="W421" s="34">
        <f t="shared" si="355"/>
        <v>0</v>
      </c>
      <c r="X421" s="34">
        <f t="shared" si="356"/>
        <v>752710.56581147423</v>
      </c>
      <c r="Y421" s="36">
        <f t="shared" si="357"/>
        <v>7.012412834629167E-3</v>
      </c>
      <c r="Z421" s="34">
        <f t="shared" si="358"/>
        <v>5278.3172324573643</v>
      </c>
      <c r="AA421" s="34">
        <f t="shared" si="359"/>
        <v>755349.72442770295</v>
      </c>
      <c r="AB421" s="34">
        <f t="shared" si="360"/>
        <v>0</v>
      </c>
      <c r="AC421" s="34">
        <f t="shared" si="361"/>
        <v>0</v>
      </c>
      <c r="AD421" s="34">
        <f t="shared" si="362"/>
        <v>0</v>
      </c>
      <c r="AE421" s="34">
        <f t="shared" si="363"/>
        <v>0</v>
      </c>
      <c r="AF421" s="34">
        <f t="shared" si="364"/>
        <v>0</v>
      </c>
      <c r="AG421" s="29">
        <f t="shared" si="365"/>
        <v>755349.72442770295</v>
      </c>
      <c r="AH421" s="34">
        <f t="shared" si="366"/>
        <v>0</v>
      </c>
      <c r="AI421" s="34">
        <f t="shared" si="367"/>
        <v>0</v>
      </c>
      <c r="AJ421" s="34">
        <f t="shared" si="368"/>
        <v>0</v>
      </c>
      <c r="AK421" s="34">
        <f t="shared" si="369"/>
        <v>0</v>
      </c>
      <c r="AL421" s="34">
        <f t="shared" si="370"/>
        <v>0</v>
      </c>
      <c r="AM421" s="34">
        <f t="shared" si="371"/>
        <v>0</v>
      </c>
      <c r="AN421" s="34">
        <f t="shared" si="372"/>
        <v>0</v>
      </c>
      <c r="AO421" s="34">
        <f t="shared" si="373"/>
        <v>0</v>
      </c>
      <c r="AP421" s="34">
        <f t="shared" si="374"/>
        <v>0</v>
      </c>
      <c r="AQ421" s="34">
        <f t="shared" si="375"/>
        <v>0</v>
      </c>
      <c r="AR421" s="34">
        <f t="shared" si="376"/>
        <v>0</v>
      </c>
      <c r="AS421" s="30">
        <f t="shared" si="377"/>
        <v>1.4130832188885682</v>
      </c>
      <c r="AT421" s="29">
        <f t="shared" si="378"/>
        <v>0</v>
      </c>
      <c r="AU421" s="29">
        <f t="shared" si="379"/>
        <v>0</v>
      </c>
      <c r="AV421" s="34">
        <f t="shared" si="380"/>
        <v>0</v>
      </c>
      <c r="AW421" s="34">
        <f t="shared" si="381"/>
        <v>0</v>
      </c>
      <c r="AX421" s="29">
        <f t="shared" si="382"/>
        <v>0</v>
      </c>
      <c r="AY421" s="34">
        <f t="shared" si="383"/>
        <v>0</v>
      </c>
      <c r="AZ421" s="37">
        <f t="shared" si="384"/>
        <v>0</v>
      </c>
      <c r="BA421" s="37">
        <f t="shared" si="385"/>
        <v>0</v>
      </c>
      <c r="BB421" s="35">
        <f t="shared" si="386"/>
        <v>1.0818725959396147E-3</v>
      </c>
      <c r="BC421" s="31">
        <f t="shared" si="387"/>
        <v>0.63705644930496597</v>
      </c>
      <c r="BD421" s="34">
        <f t="shared" si="388"/>
        <v>0</v>
      </c>
    </row>
    <row r="422" spans="1:56" x14ac:dyDescent="0.2">
      <c r="A422" s="27">
        <f t="shared" si="389"/>
        <v>418</v>
      </c>
      <c r="B422" s="28">
        <f t="shared" si="336"/>
        <v>418</v>
      </c>
      <c r="C422" s="27">
        <f t="shared" si="337"/>
        <v>34</v>
      </c>
      <c r="D422" s="28">
        <f t="shared" si="338"/>
        <v>54</v>
      </c>
      <c r="E422" s="29">
        <f t="shared" si="339"/>
        <v>0</v>
      </c>
      <c r="F422" s="30">
        <f t="shared" si="340"/>
        <v>1.625737825257762E-3</v>
      </c>
      <c r="G422" s="31">
        <f t="shared" si="341"/>
        <v>1.3557920589468697E-4</v>
      </c>
      <c r="H422" s="32">
        <f t="shared" si="342"/>
        <v>0.02</v>
      </c>
      <c r="I422" s="32">
        <f t="shared" si="343"/>
        <v>0</v>
      </c>
      <c r="J422" s="33">
        <f t="shared" si="390"/>
        <v>0</v>
      </c>
      <c r="K422" s="30">
        <f t="shared" si="344"/>
        <v>0</v>
      </c>
      <c r="L422" s="33">
        <f t="shared" si="345"/>
        <v>0</v>
      </c>
      <c r="M422" s="30">
        <f t="shared" si="346"/>
        <v>0</v>
      </c>
      <c r="N422" s="33">
        <f t="shared" si="347"/>
        <v>0</v>
      </c>
      <c r="O422" s="31">
        <f t="shared" si="348"/>
        <v>0</v>
      </c>
      <c r="P422" s="33">
        <f t="shared" si="349"/>
        <v>0</v>
      </c>
      <c r="Q422" s="34">
        <f t="shared" si="391"/>
        <v>757988.88304393156</v>
      </c>
      <c r="R422" s="29">
        <f t="shared" si="350"/>
        <v>0</v>
      </c>
      <c r="S422" s="34">
        <f t="shared" si="351"/>
        <v>757988.88304393156</v>
      </c>
      <c r="T422" s="29">
        <f t="shared" si="352"/>
        <v>631.65740253660965</v>
      </c>
      <c r="U422" s="29">
        <f t="shared" si="353"/>
        <v>0</v>
      </c>
      <c r="V422" s="35">
        <f t="shared" si="354"/>
        <v>1.4913712648415567E-4</v>
      </c>
      <c r="W422" s="34">
        <f t="shared" si="355"/>
        <v>0</v>
      </c>
      <c r="X422" s="34">
        <f t="shared" si="356"/>
        <v>757357.22564139497</v>
      </c>
      <c r="Y422" s="36">
        <f t="shared" si="357"/>
        <v>-4.5346647889669134E-3</v>
      </c>
      <c r="Z422" s="34">
        <f t="shared" si="358"/>
        <v>-3434.3611437857035</v>
      </c>
      <c r="AA422" s="34">
        <f t="shared" si="359"/>
        <v>755640.04506950208</v>
      </c>
      <c r="AB422" s="34">
        <f t="shared" si="360"/>
        <v>0</v>
      </c>
      <c r="AC422" s="34">
        <f t="shared" si="361"/>
        <v>0</v>
      </c>
      <c r="AD422" s="34">
        <f t="shared" si="362"/>
        <v>0</v>
      </c>
      <c r="AE422" s="34">
        <f t="shared" si="363"/>
        <v>0</v>
      </c>
      <c r="AF422" s="34">
        <f t="shared" si="364"/>
        <v>0</v>
      </c>
      <c r="AG422" s="29">
        <f t="shared" si="365"/>
        <v>755640.04506950208</v>
      </c>
      <c r="AH422" s="34">
        <f t="shared" si="366"/>
        <v>0</v>
      </c>
      <c r="AI422" s="34">
        <f t="shared" si="367"/>
        <v>0</v>
      </c>
      <c r="AJ422" s="34">
        <f t="shared" si="368"/>
        <v>0</v>
      </c>
      <c r="AK422" s="34">
        <f t="shared" si="369"/>
        <v>0</v>
      </c>
      <c r="AL422" s="34">
        <f t="shared" si="370"/>
        <v>0</v>
      </c>
      <c r="AM422" s="34">
        <f t="shared" si="371"/>
        <v>0</v>
      </c>
      <c r="AN422" s="34">
        <f t="shared" si="372"/>
        <v>0</v>
      </c>
      <c r="AO422" s="34">
        <f t="shared" si="373"/>
        <v>0</v>
      </c>
      <c r="AP422" s="34">
        <f t="shared" si="374"/>
        <v>0</v>
      </c>
      <c r="AQ422" s="34">
        <f t="shared" si="375"/>
        <v>0</v>
      </c>
      <c r="AR422" s="34">
        <f t="shared" si="376"/>
        <v>0</v>
      </c>
      <c r="AS422" s="30">
        <f t="shared" si="377"/>
        <v>1.4142554252773794</v>
      </c>
      <c r="AT422" s="29">
        <f t="shared" si="378"/>
        <v>0</v>
      </c>
      <c r="AU422" s="29">
        <f t="shared" si="379"/>
        <v>0</v>
      </c>
      <c r="AV422" s="34">
        <f t="shared" si="380"/>
        <v>0</v>
      </c>
      <c r="AW422" s="34">
        <f t="shared" si="381"/>
        <v>0</v>
      </c>
      <c r="AX422" s="29">
        <f t="shared" si="382"/>
        <v>0</v>
      </c>
      <c r="AY422" s="34">
        <f t="shared" si="383"/>
        <v>0</v>
      </c>
      <c r="AZ422" s="37">
        <f t="shared" si="384"/>
        <v>0</v>
      </c>
      <c r="BA422" s="37">
        <f t="shared" si="385"/>
        <v>0</v>
      </c>
      <c r="BB422" s="35">
        <f t="shared" si="386"/>
        <v>1.0818725959396147E-3</v>
      </c>
      <c r="BC422" s="31">
        <f t="shared" si="387"/>
        <v>0.63636798022622576</v>
      </c>
      <c r="BD422" s="34">
        <f t="shared" si="388"/>
        <v>0</v>
      </c>
    </row>
    <row r="423" spans="1:56" x14ac:dyDescent="0.2">
      <c r="A423" s="27">
        <f t="shared" si="389"/>
        <v>419</v>
      </c>
      <c r="B423" s="28">
        <f t="shared" si="336"/>
        <v>419</v>
      </c>
      <c r="C423" s="27">
        <f t="shared" si="337"/>
        <v>34</v>
      </c>
      <c r="D423" s="28">
        <f t="shared" si="338"/>
        <v>54</v>
      </c>
      <c r="E423" s="29">
        <f t="shared" si="339"/>
        <v>0</v>
      </c>
      <c r="F423" s="30">
        <f t="shared" si="340"/>
        <v>1.625737825257762E-3</v>
      </c>
      <c r="G423" s="31">
        <f t="shared" si="341"/>
        <v>1.3557920589468697E-4</v>
      </c>
      <c r="H423" s="32">
        <f t="shared" si="342"/>
        <v>0.02</v>
      </c>
      <c r="I423" s="32">
        <f t="shared" si="343"/>
        <v>0</v>
      </c>
      <c r="J423" s="33">
        <f t="shared" si="390"/>
        <v>0</v>
      </c>
      <c r="K423" s="30">
        <f t="shared" si="344"/>
        <v>0</v>
      </c>
      <c r="L423" s="33">
        <f t="shared" si="345"/>
        <v>0</v>
      </c>
      <c r="M423" s="30">
        <f t="shared" si="346"/>
        <v>0</v>
      </c>
      <c r="N423" s="33">
        <f t="shared" si="347"/>
        <v>0</v>
      </c>
      <c r="O423" s="31">
        <f t="shared" si="348"/>
        <v>0</v>
      </c>
      <c r="P423" s="33">
        <f t="shared" si="349"/>
        <v>0</v>
      </c>
      <c r="Q423" s="34">
        <f t="shared" si="391"/>
        <v>753922.8644976092</v>
      </c>
      <c r="R423" s="29">
        <f t="shared" si="350"/>
        <v>0</v>
      </c>
      <c r="S423" s="34">
        <f t="shared" si="351"/>
        <v>753922.8644976092</v>
      </c>
      <c r="T423" s="29">
        <f t="shared" si="352"/>
        <v>628.26905374800776</v>
      </c>
      <c r="U423" s="29">
        <f t="shared" si="353"/>
        <v>0</v>
      </c>
      <c r="V423" s="35">
        <f t="shared" si="354"/>
        <v>1.4913712648415567E-4</v>
      </c>
      <c r="W423" s="34">
        <f t="shared" si="355"/>
        <v>0</v>
      </c>
      <c r="X423" s="34">
        <f t="shared" si="356"/>
        <v>753294.59544386121</v>
      </c>
      <c r="Y423" s="36">
        <f t="shared" si="357"/>
        <v>1.9897726843891572E-3</v>
      </c>
      <c r="Z423" s="34">
        <f t="shared" si="358"/>
        <v>1498.885009312176</v>
      </c>
      <c r="AA423" s="34">
        <f t="shared" si="359"/>
        <v>754044.03794851725</v>
      </c>
      <c r="AB423" s="34">
        <f t="shared" si="360"/>
        <v>0</v>
      </c>
      <c r="AC423" s="34">
        <f t="shared" si="361"/>
        <v>0</v>
      </c>
      <c r="AD423" s="34">
        <f t="shared" si="362"/>
        <v>0</v>
      </c>
      <c r="AE423" s="34">
        <f t="shared" si="363"/>
        <v>0</v>
      </c>
      <c r="AF423" s="34">
        <f t="shared" si="364"/>
        <v>0</v>
      </c>
      <c r="AG423" s="29">
        <f t="shared" si="365"/>
        <v>754044.03794851725</v>
      </c>
      <c r="AH423" s="34">
        <f t="shared" si="366"/>
        <v>0</v>
      </c>
      <c r="AI423" s="34">
        <f t="shared" si="367"/>
        <v>0</v>
      </c>
      <c r="AJ423" s="34">
        <f t="shared" si="368"/>
        <v>0</v>
      </c>
      <c r="AK423" s="34">
        <f t="shared" si="369"/>
        <v>0</v>
      </c>
      <c r="AL423" s="34">
        <f t="shared" si="370"/>
        <v>0</v>
      </c>
      <c r="AM423" s="34">
        <f t="shared" si="371"/>
        <v>0</v>
      </c>
      <c r="AN423" s="34">
        <f t="shared" si="372"/>
        <v>0</v>
      </c>
      <c r="AO423" s="34">
        <f t="shared" si="373"/>
        <v>0</v>
      </c>
      <c r="AP423" s="34">
        <f t="shared" si="374"/>
        <v>0</v>
      </c>
      <c r="AQ423" s="34">
        <f t="shared" si="375"/>
        <v>0</v>
      </c>
      <c r="AR423" s="34">
        <f t="shared" si="376"/>
        <v>0</v>
      </c>
      <c r="AS423" s="30">
        <f t="shared" si="377"/>
        <v>1.4154286040560677</v>
      </c>
      <c r="AT423" s="29">
        <f t="shared" si="378"/>
        <v>0</v>
      </c>
      <c r="AU423" s="29">
        <f t="shared" si="379"/>
        <v>0</v>
      </c>
      <c r="AV423" s="34">
        <f t="shared" si="380"/>
        <v>0</v>
      </c>
      <c r="AW423" s="34">
        <f t="shared" si="381"/>
        <v>0</v>
      </c>
      <c r="AX423" s="29">
        <f t="shared" si="382"/>
        <v>0</v>
      </c>
      <c r="AY423" s="34">
        <f t="shared" si="383"/>
        <v>0</v>
      </c>
      <c r="AZ423" s="37">
        <f t="shared" si="384"/>
        <v>0</v>
      </c>
      <c r="BA423" s="37">
        <f t="shared" si="385"/>
        <v>0</v>
      </c>
      <c r="BB423" s="35">
        <f t="shared" si="386"/>
        <v>1.0818725959396147E-3</v>
      </c>
      <c r="BC423" s="31">
        <f t="shared" si="387"/>
        <v>0.63568025517836835</v>
      </c>
      <c r="BD423" s="34">
        <f t="shared" si="388"/>
        <v>0</v>
      </c>
    </row>
    <row r="424" spans="1:56" x14ac:dyDescent="0.2">
      <c r="A424" s="27">
        <f t="shared" si="389"/>
        <v>420</v>
      </c>
      <c r="B424" s="28">
        <f t="shared" si="336"/>
        <v>420</v>
      </c>
      <c r="C424" s="27">
        <f t="shared" si="337"/>
        <v>35</v>
      </c>
      <c r="D424" s="28">
        <f t="shared" si="338"/>
        <v>55</v>
      </c>
      <c r="E424" s="29">
        <f t="shared" si="339"/>
        <v>0</v>
      </c>
      <c r="F424" s="30">
        <f t="shared" si="340"/>
        <v>1.737849745827682E-3</v>
      </c>
      <c r="G424" s="31">
        <f t="shared" si="341"/>
        <v>1.4493629226119964E-4</v>
      </c>
      <c r="H424" s="32">
        <f t="shared" si="342"/>
        <v>0.02</v>
      </c>
      <c r="I424" s="32">
        <f t="shared" si="343"/>
        <v>0</v>
      </c>
      <c r="J424" s="33">
        <f t="shared" si="390"/>
        <v>0</v>
      </c>
      <c r="K424" s="30">
        <f t="shared" si="344"/>
        <v>0</v>
      </c>
      <c r="L424" s="33">
        <f t="shared" si="345"/>
        <v>0</v>
      </c>
      <c r="M424" s="30">
        <f t="shared" si="346"/>
        <v>0</v>
      </c>
      <c r="N424" s="33">
        <f t="shared" si="347"/>
        <v>0</v>
      </c>
      <c r="O424" s="31">
        <f t="shared" si="348"/>
        <v>0</v>
      </c>
      <c r="P424" s="33">
        <f t="shared" si="349"/>
        <v>0</v>
      </c>
      <c r="Q424" s="34">
        <f t="shared" si="391"/>
        <v>754793.4804531734</v>
      </c>
      <c r="R424" s="29">
        <f t="shared" si="350"/>
        <v>0</v>
      </c>
      <c r="S424" s="34">
        <f t="shared" si="351"/>
        <v>754793.4804531734</v>
      </c>
      <c r="T424" s="29">
        <f t="shared" si="352"/>
        <v>628.99456704431122</v>
      </c>
      <c r="U424" s="29">
        <f t="shared" si="353"/>
        <v>0</v>
      </c>
      <c r="V424" s="35">
        <f t="shared" si="354"/>
        <v>1.594299214873196E-4</v>
      </c>
      <c r="W424" s="34">
        <f t="shared" si="355"/>
        <v>0</v>
      </c>
      <c r="X424" s="34">
        <f t="shared" si="356"/>
        <v>754164.48588612908</v>
      </c>
      <c r="Y424" s="36">
        <f t="shared" si="357"/>
        <v>4.9043829425217123E-3</v>
      </c>
      <c r="Z424" s="34">
        <f t="shared" si="358"/>
        <v>3698.711440435588</v>
      </c>
      <c r="AA424" s="34">
        <f t="shared" si="359"/>
        <v>756013.84160634689</v>
      </c>
      <c r="AB424" s="34">
        <f t="shared" si="360"/>
        <v>0</v>
      </c>
      <c r="AC424" s="34">
        <f t="shared" si="361"/>
        <v>0</v>
      </c>
      <c r="AD424" s="34">
        <f t="shared" si="362"/>
        <v>0</v>
      </c>
      <c r="AE424" s="34">
        <f t="shared" si="363"/>
        <v>0</v>
      </c>
      <c r="AF424" s="34">
        <f t="shared" si="364"/>
        <v>0</v>
      </c>
      <c r="AG424" s="29">
        <f t="shared" si="365"/>
        <v>756013.84160634689</v>
      </c>
      <c r="AH424" s="34">
        <f t="shared" si="366"/>
        <v>0</v>
      </c>
      <c r="AI424" s="34">
        <f t="shared" si="367"/>
        <v>0</v>
      </c>
      <c r="AJ424" s="34">
        <f t="shared" si="368"/>
        <v>0</v>
      </c>
      <c r="AK424" s="34">
        <f t="shared" si="369"/>
        <v>0</v>
      </c>
      <c r="AL424" s="34">
        <f t="shared" si="370"/>
        <v>0</v>
      </c>
      <c r="AM424" s="34">
        <f t="shared" si="371"/>
        <v>0</v>
      </c>
      <c r="AN424" s="34">
        <f t="shared" si="372"/>
        <v>0</v>
      </c>
      <c r="AO424" s="34">
        <f t="shared" si="373"/>
        <v>0</v>
      </c>
      <c r="AP424" s="34">
        <f t="shared" si="374"/>
        <v>0</v>
      </c>
      <c r="AQ424" s="34">
        <f t="shared" si="375"/>
        <v>0</v>
      </c>
      <c r="AR424" s="34">
        <f t="shared" si="376"/>
        <v>0</v>
      </c>
      <c r="AS424" s="30">
        <f t="shared" si="377"/>
        <v>1.4166027560312682</v>
      </c>
      <c r="AT424" s="29">
        <f t="shared" si="378"/>
        <v>0</v>
      </c>
      <c r="AU424" s="29">
        <f t="shared" si="379"/>
        <v>0</v>
      </c>
      <c r="AV424" s="34">
        <f t="shared" si="380"/>
        <v>0</v>
      </c>
      <c r="AW424" s="34">
        <f t="shared" si="381"/>
        <v>0</v>
      </c>
      <c r="AX424" s="29">
        <f t="shared" si="382"/>
        <v>0</v>
      </c>
      <c r="AY424" s="34">
        <f t="shared" si="383"/>
        <v>0</v>
      </c>
      <c r="AZ424" s="37">
        <f t="shared" si="384"/>
        <v>0</v>
      </c>
      <c r="BA424" s="37">
        <f t="shared" si="385"/>
        <v>0</v>
      </c>
      <c r="BB424" s="35">
        <f t="shared" si="386"/>
        <v>1.0728138624467309E-3</v>
      </c>
      <c r="BC424" s="31">
        <f t="shared" si="387"/>
        <v>0.63741120384406302</v>
      </c>
      <c r="BD424" s="34">
        <f t="shared" si="388"/>
        <v>0</v>
      </c>
    </row>
    <row r="425" spans="1:56" x14ac:dyDescent="0.2">
      <c r="A425" s="27">
        <f t="shared" si="389"/>
        <v>421</v>
      </c>
      <c r="B425" s="28">
        <f t="shared" si="336"/>
        <v>421</v>
      </c>
      <c r="C425" s="27">
        <f t="shared" si="337"/>
        <v>35</v>
      </c>
      <c r="D425" s="28">
        <f t="shared" si="338"/>
        <v>55</v>
      </c>
      <c r="E425" s="29">
        <f t="shared" si="339"/>
        <v>0</v>
      </c>
      <c r="F425" s="30">
        <f t="shared" si="340"/>
        <v>1.737849745827682E-3</v>
      </c>
      <c r="G425" s="31">
        <f t="shared" si="341"/>
        <v>1.4493629226119964E-4</v>
      </c>
      <c r="H425" s="32">
        <f t="shared" si="342"/>
        <v>0.02</v>
      </c>
      <c r="I425" s="32">
        <f t="shared" si="343"/>
        <v>0</v>
      </c>
      <c r="J425" s="33">
        <f t="shared" si="390"/>
        <v>0</v>
      </c>
      <c r="K425" s="30">
        <f t="shared" si="344"/>
        <v>0</v>
      </c>
      <c r="L425" s="33">
        <f t="shared" si="345"/>
        <v>0</v>
      </c>
      <c r="M425" s="30">
        <f t="shared" si="346"/>
        <v>0</v>
      </c>
      <c r="N425" s="33">
        <f t="shared" si="347"/>
        <v>0</v>
      </c>
      <c r="O425" s="31">
        <f t="shared" si="348"/>
        <v>0</v>
      </c>
      <c r="P425" s="33">
        <f t="shared" si="349"/>
        <v>0</v>
      </c>
      <c r="Q425" s="34">
        <f t="shared" si="391"/>
        <v>757863.1973265647</v>
      </c>
      <c r="R425" s="29">
        <f t="shared" si="350"/>
        <v>0</v>
      </c>
      <c r="S425" s="34">
        <f t="shared" si="351"/>
        <v>757863.1973265647</v>
      </c>
      <c r="T425" s="29">
        <f t="shared" si="352"/>
        <v>631.55266443880396</v>
      </c>
      <c r="U425" s="29">
        <f t="shared" si="353"/>
        <v>0</v>
      </c>
      <c r="V425" s="35">
        <f t="shared" si="354"/>
        <v>1.594299214873196E-4</v>
      </c>
      <c r="W425" s="34">
        <f t="shared" si="355"/>
        <v>0</v>
      </c>
      <c r="X425" s="34">
        <f t="shared" si="356"/>
        <v>757231.64466212585</v>
      </c>
      <c r="Y425" s="36">
        <f t="shared" si="357"/>
        <v>3.1459160313128232E-2</v>
      </c>
      <c r="Z425" s="34">
        <f t="shared" si="358"/>
        <v>23821.871703599569</v>
      </c>
      <c r="AA425" s="34">
        <f t="shared" si="359"/>
        <v>769142.58051392564</v>
      </c>
      <c r="AB425" s="34">
        <f t="shared" si="360"/>
        <v>0</v>
      </c>
      <c r="AC425" s="34">
        <f t="shared" si="361"/>
        <v>0</v>
      </c>
      <c r="AD425" s="34">
        <f t="shared" si="362"/>
        <v>0</v>
      </c>
      <c r="AE425" s="34">
        <f t="shared" si="363"/>
        <v>0</v>
      </c>
      <c r="AF425" s="34">
        <f t="shared" si="364"/>
        <v>0</v>
      </c>
      <c r="AG425" s="29">
        <f t="shared" si="365"/>
        <v>769142.58051392564</v>
      </c>
      <c r="AH425" s="34">
        <f t="shared" si="366"/>
        <v>0</v>
      </c>
      <c r="AI425" s="34">
        <f t="shared" si="367"/>
        <v>0</v>
      </c>
      <c r="AJ425" s="34">
        <f t="shared" si="368"/>
        <v>0</v>
      </c>
      <c r="AK425" s="34">
        <f t="shared" si="369"/>
        <v>0</v>
      </c>
      <c r="AL425" s="34">
        <f t="shared" si="370"/>
        <v>0</v>
      </c>
      <c r="AM425" s="34">
        <f t="shared" si="371"/>
        <v>0</v>
      </c>
      <c r="AN425" s="34">
        <f t="shared" si="372"/>
        <v>0</v>
      </c>
      <c r="AO425" s="34">
        <f t="shared" si="373"/>
        <v>0</v>
      </c>
      <c r="AP425" s="34">
        <f t="shared" si="374"/>
        <v>0</v>
      </c>
      <c r="AQ425" s="34">
        <f t="shared" si="375"/>
        <v>0</v>
      </c>
      <c r="AR425" s="34">
        <f t="shared" si="376"/>
        <v>0</v>
      </c>
      <c r="AS425" s="30">
        <f t="shared" si="377"/>
        <v>1.4177778820102842</v>
      </c>
      <c r="AT425" s="29">
        <f t="shared" si="378"/>
        <v>0</v>
      </c>
      <c r="AU425" s="29">
        <f t="shared" si="379"/>
        <v>0</v>
      </c>
      <c r="AV425" s="34">
        <f t="shared" si="380"/>
        <v>0</v>
      </c>
      <c r="AW425" s="34">
        <f t="shared" si="381"/>
        <v>0</v>
      </c>
      <c r="AX425" s="29">
        <f t="shared" si="382"/>
        <v>0</v>
      </c>
      <c r="AY425" s="34">
        <f t="shared" si="383"/>
        <v>0</v>
      </c>
      <c r="AZ425" s="37">
        <f t="shared" si="384"/>
        <v>0</v>
      </c>
      <c r="BA425" s="37">
        <f t="shared" si="385"/>
        <v>0</v>
      </c>
      <c r="BB425" s="35">
        <f t="shared" si="386"/>
        <v>1.0728138624467309E-3</v>
      </c>
      <c r="BC425" s="31">
        <f t="shared" si="387"/>
        <v>0.63672811309772226</v>
      </c>
      <c r="BD425" s="34">
        <f t="shared" si="388"/>
        <v>0</v>
      </c>
    </row>
    <row r="426" spans="1:56" x14ac:dyDescent="0.2">
      <c r="A426" s="27">
        <f t="shared" si="389"/>
        <v>422</v>
      </c>
      <c r="B426" s="28">
        <f t="shared" si="336"/>
        <v>422</v>
      </c>
      <c r="C426" s="27">
        <f t="shared" si="337"/>
        <v>35</v>
      </c>
      <c r="D426" s="28">
        <f t="shared" si="338"/>
        <v>55</v>
      </c>
      <c r="E426" s="29">
        <f t="shared" si="339"/>
        <v>0</v>
      </c>
      <c r="F426" s="30">
        <f t="shared" si="340"/>
        <v>1.737849745827682E-3</v>
      </c>
      <c r="G426" s="31">
        <f t="shared" si="341"/>
        <v>1.4493629226119964E-4</v>
      </c>
      <c r="H426" s="32">
        <f t="shared" si="342"/>
        <v>0.02</v>
      </c>
      <c r="I426" s="32">
        <f t="shared" si="343"/>
        <v>0</v>
      </c>
      <c r="J426" s="33">
        <f t="shared" si="390"/>
        <v>0</v>
      </c>
      <c r="K426" s="30">
        <f t="shared" si="344"/>
        <v>0</v>
      </c>
      <c r="L426" s="33">
        <f t="shared" si="345"/>
        <v>0</v>
      </c>
      <c r="M426" s="30">
        <f t="shared" si="346"/>
        <v>0</v>
      </c>
      <c r="N426" s="33">
        <f t="shared" si="347"/>
        <v>0</v>
      </c>
      <c r="O426" s="31">
        <f t="shared" si="348"/>
        <v>0</v>
      </c>
      <c r="P426" s="33">
        <f t="shared" si="349"/>
        <v>0</v>
      </c>
      <c r="Q426" s="34">
        <f t="shared" si="391"/>
        <v>781053.51636572543</v>
      </c>
      <c r="R426" s="29">
        <f t="shared" si="350"/>
        <v>0</v>
      </c>
      <c r="S426" s="34">
        <f t="shared" si="351"/>
        <v>781053.51636572543</v>
      </c>
      <c r="T426" s="29">
        <f t="shared" si="352"/>
        <v>650.87793030477121</v>
      </c>
      <c r="U426" s="29">
        <f t="shared" si="353"/>
        <v>0</v>
      </c>
      <c r="V426" s="35">
        <f t="shared" si="354"/>
        <v>1.594299214873196E-4</v>
      </c>
      <c r="W426" s="34">
        <f t="shared" si="355"/>
        <v>0</v>
      </c>
      <c r="X426" s="34">
        <f t="shared" si="356"/>
        <v>780402.6384354207</v>
      </c>
      <c r="Y426" s="36">
        <f t="shared" si="357"/>
        <v>3.4186998601808627E-2</v>
      </c>
      <c r="Z426" s="34">
        <f t="shared" si="358"/>
        <v>26679.623909039492</v>
      </c>
      <c r="AA426" s="34">
        <f t="shared" si="359"/>
        <v>793742.45038994041</v>
      </c>
      <c r="AB426" s="34">
        <f t="shared" si="360"/>
        <v>0</v>
      </c>
      <c r="AC426" s="34">
        <f t="shared" si="361"/>
        <v>0</v>
      </c>
      <c r="AD426" s="34">
        <f t="shared" si="362"/>
        <v>0</v>
      </c>
      <c r="AE426" s="34">
        <f t="shared" si="363"/>
        <v>0</v>
      </c>
      <c r="AF426" s="34">
        <f t="shared" si="364"/>
        <v>0</v>
      </c>
      <c r="AG426" s="29">
        <f t="shared" si="365"/>
        <v>793742.45038994041</v>
      </c>
      <c r="AH426" s="34">
        <f t="shared" si="366"/>
        <v>0</v>
      </c>
      <c r="AI426" s="34">
        <f t="shared" si="367"/>
        <v>0</v>
      </c>
      <c r="AJ426" s="34">
        <f t="shared" si="368"/>
        <v>0</v>
      </c>
      <c r="AK426" s="34">
        <f t="shared" si="369"/>
        <v>0</v>
      </c>
      <c r="AL426" s="34">
        <f t="shared" si="370"/>
        <v>0</v>
      </c>
      <c r="AM426" s="34">
        <f t="shared" si="371"/>
        <v>0</v>
      </c>
      <c r="AN426" s="34">
        <f t="shared" si="372"/>
        <v>0</v>
      </c>
      <c r="AO426" s="34">
        <f t="shared" si="373"/>
        <v>0</v>
      </c>
      <c r="AP426" s="34">
        <f t="shared" si="374"/>
        <v>0</v>
      </c>
      <c r="AQ426" s="34">
        <f t="shared" si="375"/>
        <v>0</v>
      </c>
      <c r="AR426" s="34">
        <f t="shared" si="376"/>
        <v>0</v>
      </c>
      <c r="AS426" s="30">
        <f t="shared" si="377"/>
        <v>1.4189539828010886</v>
      </c>
      <c r="AT426" s="29">
        <f t="shared" si="378"/>
        <v>0</v>
      </c>
      <c r="AU426" s="29">
        <f t="shared" si="379"/>
        <v>0</v>
      </c>
      <c r="AV426" s="34">
        <f t="shared" si="380"/>
        <v>0</v>
      </c>
      <c r="AW426" s="34">
        <f t="shared" si="381"/>
        <v>0</v>
      </c>
      <c r="AX426" s="29">
        <f t="shared" si="382"/>
        <v>0</v>
      </c>
      <c r="AY426" s="34">
        <f t="shared" si="383"/>
        <v>0</v>
      </c>
      <c r="AZ426" s="37">
        <f t="shared" si="384"/>
        <v>0</v>
      </c>
      <c r="BA426" s="37">
        <f t="shared" si="385"/>
        <v>0</v>
      </c>
      <c r="BB426" s="35">
        <f t="shared" si="386"/>
        <v>1.0728138624467309E-3</v>
      </c>
      <c r="BC426" s="31">
        <f t="shared" si="387"/>
        <v>0.63604575439525679</v>
      </c>
      <c r="BD426" s="34">
        <f t="shared" si="388"/>
        <v>0</v>
      </c>
    </row>
    <row r="427" spans="1:56" x14ac:dyDescent="0.2">
      <c r="A427" s="27">
        <f t="shared" si="389"/>
        <v>423</v>
      </c>
      <c r="B427" s="28">
        <f t="shared" si="336"/>
        <v>423</v>
      </c>
      <c r="C427" s="27">
        <f t="shared" si="337"/>
        <v>35</v>
      </c>
      <c r="D427" s="28">
        <f t="shared" si="338"/>
        <v>55</v>
      </c>
      <c r="E427" s="29">
        <f t="shared" si="339"/>
        <v>0</v>
      </c>
      <c r="F427" s="30">
        <f t="shared" si="340"/>
        <v>1.737849745827682E-3</v>
      </c>
      <c r="G427" s="31">
        <f t="shared" si="341"/>
        <v>1.4493629226119964E-4</v>
      </c>
      <c r="H427" s="32">
        <f t="shared" si="342"/>
        <v>0.02</v>
      </c>
      <c r="I427" s="32">
        <f t="shared" si="343"/>
        <v>0</v>
      </c>
      <c r="J427" s="33">
        <f t="shared" si="390"/>
        <v>0</v>
      </c>
      <c r="K427" s="30">
        <f t="shared" si="344"/>
        <v>0</v>
      </c>
      <c r="L427" s="33">
        <f t="shared" si="345"/>
        <v>0</v>
      </c>
      <c r="M427" s="30">
        <f t="shared" si="346"/>
        <v>0</v>
      </c>
      <c r="N427" s="33">
        <f t="shared" si="347"/>
        <v>0</v>
      </c>
      <c r="O427" s="31">
        <f t="shared" si="348"/>
        <v>0</v>
      </c>
      <c r="P427" s="33">
        <f t="shared" si="349"/>
        <v>0</v>
      </c>
      <c r="Q427" s="34">
        <f t="shared" si="391"/>
        <v>807082.26234446024</v>
      </c>
      <c r="R427" s="29">
        <f t="shared" si="350"/>
        <v>0</v>
      </c>
      <c r="S427" s="34">
        <f t="shared" si="351"/>
        <v>807082.26234446024</v>
      </c>
      <c r="T427" s="29">
        <f t="shared" si="352"/>
        <v>672.56855195371691</v>
      </c>
      <c r="U427" s="29">
        <f t="shared" si="353"/>
        <v>0</v>
      </c>
      <c r="V427" s="35">
        <f t="shared" si="354"/>
        <v>1.594299214873196E-4</v>
      </c>
      <c r="W427" s="34">
        <f t="shared" si="355"/>
        <v>0</v>
      </c>
      <c r="X427" s="34">
        <f t="shared" si="356"/>
        <v>806409.69379250647</v>
      </c>
      <c r="Y427" s="36">
        <f t="shared" si="357"/>
        <v>-7.8480262847478999E-3</v>
      </c>
      <c r="Z427" s="34">
        <f t="shared" si="358"/>
        <v>-6328.7244731590963</v>
      </c>
      <c r="AA427" s="34">
        <f t="shared" si="359"/>
        <v>803245.33155592694</v>
      </c>
      <c r="AB427" s="34">
        <f t="shared" si="360"/>
        <v>0</v>
      </c>
      <c r="AC427" s="34">
        <f t="shared" si="361"/>
        <v>0</v>
      </c>
      <c r="AD427" s="34">
        <f t="shared" si="362"/>
        <v>0</v>
      </c>
      <c r="AE427" s="34">
        <f t="shared" si="363"/>
        <v>0</v>
      </c>
      <c r="AF427" s="34">
        <f t="shared" si="364"/>
        <v>0</v>
      </c>
      <c r="AG427" s="29">
        <f t="shared" si="365"/>
        <v>803245.33155592694</v>
      </c>
      <c r="AH427" s="34">
        <f t="shared" si="366"/>
        <v>0</v>
      </c>
      <c r="AI427" s="34">
        <f t="shared" si="367"/>
        <v>0</v>
      </c>
      <c r="AJ427" s="34">
        <f t="shared" si="368"/>
        <v>0</v>
      </c>
      <c r="AK427" s="34">
        <f t="shared" si="369"/>
        <v>0</v>
      </c>
      <c r="AL427" s="34">
        <f t="shared" si="370"/>
        <v>0</v>
      </c>
      <c r="AM427" s="34">
        <f t="shared" si="371"/>
        <v>0</v>
      </c>
      <c r="AN427" s="34">
        <f t="shared" si="372"/>
        <v>0</v>
      </c>
      <c r="AO427" s="34">
        <f t="shared" si="373"/>
        <v>0</v>
      </c>
      <c r="AP427" s="34">
        <f t="shared" si="374"/>
        <v>0</v>
      </c>
      <c r="AQ427" s="34">
        <f t="shared" si="375"/>
        <v>0</v>
      </c>
      <c r="AR427" s="34">
        <f t="shared" si="376"/>
        <v>0</v>
      </c>
      <c r="AS427" s="30">
        <f t="shared" si="377"/>
        <v>1.4201310592123257</v>
      </c>
      <c r="AT427" s="29">
        <f t="shared" si="378"/>
        <v>0</v>
      </c>
      <c r="AU427" s="29">
        <f t="shared" si="379"/>
        <v>0</v>
      </c>
      <c r="AV427" s="34">
        <f t="shared" si="380"/>
        <v>0</v>
      </c>
      <c r="AW427" s="34">
        <f t="shared" si="381"/>
        <v>0</v>
      </c>
      <c r="AX427" s="29">
        <f t="shared" si="382"/>
        <v>0</v>
      </c>
      <c r="AY427" s="34">
        <f t="shared" si="383"/>
        <v>0</v>
      </c>
      <c r="AZ427" s="37">
        <f t="shared" si="384"/>
        <v>0</v>
      </c>
      <c r="BA427" s="37">
        <f t="shared" si="385"/>
        <v>0</v>
      </c>
      <c r="BB427" s="35">
        <f t="shared" si="386"/>
        <v>1.0728138624467309E-3</v>
      </c>
      <c r="BC427" s="31">
        <f t="shared" si="387"/>
        <v>0.63536412695216105</v>
      </c>
      <c r="BD427" s="34">
        <f t="shared" si="388"/>
        <v>0</v>
      </c>
    </row>
    <row r="428" spans="1:56" x14ac:dyDescent="0.2">
      <c r="A428" s="27">
        <f t="shared" si="389"/>
        <v>424</v>
      </c>
      <c r="B428" s="28">
        <f t="shared" si="336"/>
        <v>424</v>
      </c>
      <c r="C428" s="27">
        <f t="shared" si="337"/>
        <v>35</v>
      </c>
      <c r="D428" s="28">
        <f t="shared" si="338"/>
        <v>55</v>
      </c>
      <c r="E428" s="29">
        <f t="shared" si="339"/>
        <v>0</v>
      </c>
      <c r="F428" s="30">
        <f t="shared" si="340"/>
        <v>1.737849745827682E-3</v>
      </c>
      <c r="G428" s="31">
        <f t="shared" si="341"/>
        <v>1.4493629226119964E-4</v>
      </c>
      <c r="H428" s="32">
        <f t="shared" si="342"/>
        <v>0.02</v>
      </c>
      <c r="I428" s="32">
        <f t="shared" si="343"/>
        <v>0</v>
      </c>
      <c r="J428" s="33">
        <f t="shared" si="390"/>
        <v>0</v>
      </c>
      <c r="K428" s="30">
        <f t="shared" si="344"/>
        <v>0</v>
      </c>
      <c r="L428" s="33">
        <f t="shared" si="345"/>
        <v>0</v>
      </c>
      <c r="M428" s="30">
        <f t="shared" si="346"/>
        <v>0</v>
      </c>
      <c r="N428" s="33">
        <f t="shared" si="347"/>
        <v>0</v>
      </c>
      <c r="O428" s="31">
        <f t="shared" si="348"/>
        <v>0</v>
      </c>
      <c r="P428" s="33">
        <f t="shared" si="349"/>
        <v>0</v>
      </c>
      <c r="Q428" s="34">
        <f t="shared" si="391"/>
        <v>800080.96931934741</v>
      </c>
      <c r="R428" s="29">
        <f t="shared" si="350"/>
        <v>0</v>
      </c>
      <c r="S428" s="34">
        <f t="shared" si="351"/>
        <v>800080.96931934741</v>
      </c>
      <c r="T428" s="29">
        <f t="shared" si="352"/>
        <v>666.73414109945622</v>
      </c>
      <c r="U428" s="29">
        <f t="shared" si="353"/>
        <v>0</v>
      </c>
      <c r="V428" s="35">
        <f t="shared" si="354"/>
        <v>1.594299214873196E-4</v>
      </c>
      <c r="W428" s="34">
        <f t="shared" si="355"/>
        <v>0</v>
      </c>
      <c r="X428" s="34">
        <f t="shared" si="356"/>
        <v>799414.23517824791</v>
      </c>
      <c r="Y428" s="36">
        <f t="shared" si="357"/>
        <v>9.0965022991973399E-3</v>
      </c>
      <c r="Z428" s="34">
        <f t="shared" si="358"/>
        <v>7271.8734283100148</v>
      </c>
      <c r="AA428" s="34">
        <f t="shared" si="359"/>
        <v>803050.17189240293</v>
      </c>
      <c r="AB428" s="34">
        <f t="shared" si="360"/>
        <v>0</v>
      </c>
      <c r="AC428" s="34">
        <f t="shared" si="361"/>
        <v>0</v>
      </c>
      <c r="AD428" s="34">
        <f t="shared" si="362"/>
        <v>0</v>
      </c>
      <c r="AE428" s="34">
        <f t="shared" si="363"/>
        <v>0</v>
      </c>
      <c r="AF428" s="34">
        <f t="shared" si="364"/>
        <v>0</v>
      </c>
      <c r="AG428" s="29">
        <f t="shared" si="365"/>
        <v>803050.17189240293</v>
      </c>
      <c r="AH428" s="34">
        <f t="shared" si="366"/>
        <v>0</v>
      </c>
      <c r="AI428" s="34">
        <f t="shared" si="367"/>
        <v>0</v>
      </c>
      <c r="AJ428" s="34">
        <f t="shared" si="368"/>
        <v>0</v>
      </c>
      <c r="AK428" s="34">
        <f t="shared" si="369"/>
        <v>0</v>
      </c>
      <c r="AL428" s="34">
        <f t="shared" si="370"/>
        <v>0</v>
      </c>
      <c r="AM428" s="34">
        <f t="shared" si="371"/>
        <v>0</v>
      </c>
      <c r="AN428" s="34">
        <f t="shared" si="372"/>
        <v>0</v>
      </c>
      <c r="AO428" s="34">
        <f t="shared" si="373"/>
        <v>0</v>
      </c>
      <c r="AP428" s="34">
        <f t="shared" si="374"/>
        <v>0</v>
      </c>
      <c r="AQ428" s="34">
        <f t="shared" si="375"/>
        <v>0</v>
      </c>
      <c r="AR428" s="34">
        <f t="shared" si="376"/>
        <v>0</v>
      </c>
      <c r="AS428" s="30">
        <f t="shared" si="377"/>
        <v>1.4213091120533092</v>
      </c>
      <c r="AT428" s="29">
        <f t="shared" si="378"/>
        <v>0</v>
      </c>
      <c r="AU428" s="29">
        <f t="shared" si="379"/>
        <v>0</v>
      </c>
      <c r="AV428" s="34">
        <f t="shared" si="380"/>
        <v>0</v>
      </c>
      <c r="AW428" s="34">
        <f t="shared" si="381"/>
        <v>0</v>
      </c>
      <c r="AX428" s="29">
        <f t="shared" si="382"/>
        <v>0</v>
      </c>
      <c r="AY428" s="34">
        <f t="shared" si="383"/>
        <v>0</v>
      </c>
      <c r="AZ428" s="37">
        <f t="shared" si="384"/>
        <v>0</v>
      </c>
      <c r="BA428" s="37">
        <f t="shared" si="385"/>
        <v>0</v>
      </c>
      <c r="BB428" s="35">
        <f t="shared" si="386"/>
        <v>1.0728138624467309E-3</v>
      </c>
      <c r="BC428" s="31">
        <f t="shared" si="387"/>
        <v>0.63468322998477078</v>
      </c>
      <c r="BD428" s="34">
        <f t="shared" si="388"/>
        <v>0</v>
      </c>
    </row>
    <row r="429" spans="1:56" x14ac:dyDescent="0.2">
      <c r="A429" s="27">
        <f t="shared" si="389"/>
        <v>425</v>
      </c>
      <c r="B429" s="28">
        <f t="shared" si="336"/>
        <v>425</v>
      </c>
      <c r="C429" s="27">
        <f t="shared" si="337"/>
        <v>35</v>
      </c>
      <c r="D429" s="28">
        <f t="shared" si="338"/>
        <v>55</v>
      </c>
      <c r="E429" s="29">
        <f t="shared" si="339"/>
        <v>0</v>
      </c>
      <c r="F429" s="30">
        <f t="shared" si="340"/>
        <v>1.737849745827682E-3</v>
      </c>
      <c r="G429" s="31">
        <f t="shared" si="341"/>
        <v>1.4493629226119964E-4</v>
      </c>
      <c r="H429" s="32">
        <f t="shared" si="342"/>
        <v>0.02</v>
      </c>
      <c r="I429" s="32">
        <f t="shared" si="343"/>
        <v>0</v>
      </c>
      <c r="J429" s="33">
        <f t="shared" si="390"/>
        <v>0</v>
      </c>
      <c r="K429" s="30">
        <f t="shared" si="344"/>
        <v>0</v>
      </c>
      <c r="L429" s="33">
        <f t="shared" si="345"/>
        <v>0</v>
      </c>
      <c r="M429" s="30">
        <f t="shared" si="346"/>
        <v>0</v>
      </c>
      <c r="N429" s="33">
        <f t="shared" si="347"/>
        <v>0</v>
      </c>
      <c r="O429" s="31">
        <f t="shared" si="348"/>
        <v>0</v>
      </c>
      <c r="P429" s="33">
        <f t="shared" si="349"/>
        <v>0</v>
      </c>
      <c r="Q429" s="34">
        <f t="shared" si="391"/>
        <v>806686.10860655794</v>
      </c>
      <c r="R429" s="29">
        <f t="shared" si="350"/>
        <v>0</v>
      </c>
      <c r="S429" s="34">
        <f t="shared" si="351"/>
        <v>806686.10860655794</v>
      </c>
      <c r="T429" s="29">
        <f t="shared" si="352"/>
        <v>672.23842383879833</v>
      </c>
      <c r="U429" s="29">
        <f t="shared" si="353"/>
        <v>0</v>
      </c>
      <c r="V429" s="35">
        <f t="shared" si="354"/>
        <v>1.594299214873196E-4</v>
      </c>
      <c r="W429" s="34">
        <f t="shared" si="355"/>
        <v>0</v>
      </c>
      <c r="X429" s="34">
        <f t="shared" si="356"/>
        <v>806013.8701827192</v>
      </c>
      <c r="Y429" s="36">
        <f t="shared" si="357"/>
        <v>1.6028278528088524E-3</v>
      </c>
      <c r="Z429" s="34">
        <f t="shared" si="358"/>
        <v>1291.901480879121</v>
      </c>
      <c r="AA429" s="34">
        <f t="shared" si="359"/>
        <v>806659.82092315878</v>
      </c>
      <c r="AB429" s="34">
        <f t="shared" si="360"/>
        <v>0</v>
      </c>
      <c r="AC429" s="34">
        <f t="shared" si="361"/>
        <v>0</v>
      </c>
      <c r="AD429" s="34">
        <f t="shared" si="362"/>
        <v>0</v>
      </c>
      <c r="AE429" s="34">
        <f t="shared" si="363"/>
        <v>0</v>
      </c>
      <c r="AF429" s="34">
        <f t="shared" si="364"/>
        <v>0</v>
      </c>
      <c r="AG429" s="29">
        <f t="shared" si="365"/>
        <v>806659.82092315878</v>
      </c>
      <c r="AH429" s="34">
        <f t="shared" si="366"/>
        <v>0</v>
      </c>
      <c r="AI429" s="34">
        <f t="shared" si="367"/>
        <v>0</v>
      </c>
      <c r="AJ429" s="34">
        <f t="shared" si="368"/>
        <v>0</v>
      </c>
      <c r="AK429" s="34">
        <f t="shared" si="369"/>
        <v>0</v>
      </c>
      <c r="AL429" s="34">
        <f t="shared" si="370"/>
        <v>0</v>
      </c>
      <c r="AM429" s="34">
        <f t="shared" si="371"/>
        <v>0</v>
      </c>
      <c r="AN429" s="34">
        <f t="shared" si="372"/>
        <v>0</v>
      </c>
      <c r="AO429" s="34">
        <f t="shared" si="373"/>
        <v>0</v>
      </c>
      <c r="AP429" s="34">
        <f t="shared" si="374"/>
        <v>0</v>
      </c>
      <c r="AQ429" s="34">
        <f t="shared" si="375"/>
        <v>0</v>
      </c>
      <c r="AR429" s="34">
        <f t="shared" si="376"/>
        <v>0</v>
      </c>
      <c r="AS429" s="30">
        <f t="shared" si="377"/>
        <v>1.422488142134025</v>
      </c>
      <c r="AT429" s="29">
        <f t="shared" si="378"/>
        <v>0</v>
      </c>
      <c r="AU429" s="29">
        <f t="shared" si="379"/>
        <v>0</v>
      </c>
      <c r="AV429" s="34">
        <f t="shared" si="380"/>
        <v>0</v>
      </c>
      <c r="AW429" s="34">
        <f t="shared" si="381"/>
        <v>0</v>
      </c>
      <c r="AX429" s="29">
        <f t="shared" si="382"/>
        <v>0</v>
      </c>
      <c r="AY429" s="34">
        <f t="shared" si="383"/>
        <v>0</v>
      </c>
      <c r="AZ429" s="37">
        <f t="shared" si="384"/>
        <v>0</v>
      </c>
      <c r="BA429" s="37">
        <f t="shared" si="385"/>
        <v>0</v>
      </c>
      <c r="BB429" s="35">
        <f t="shared" si="386"/>
        <v>1.0728138624467309E-3</v>
      </c>
      <c r="BC429" s="31">
        <f t="shared" si="387"/>
        <v>0.63400306271026152</v>
      </c>
      <c r="BD429" s="34">
        <f t="shared" si="388"/>
        <v>0</v>
      </c>
    </row>
    <row r="430" spans="1:56" x14ac:dyDescent="0.2">
      <c r="A430" s="27">
        <f t="shared" si="389"/>
        <v>426</v>
      </c>
      <c r="B430" s="28">
        <f t="shared" si="336"/>
        <v>426</v>
      </c>
      <c r="C430" s="27">
        <f t="shared" si="337"/>
        <v>35</v>
      </c>
      <c r="D430" s="28">
        <f t="shared" si="338"/>
        <v>55</v>
      </c>
      <c r="E430" s="29">
        <f t="shared" si="339"/>
        <v>0</v>
      </c>
      <c r="F430" s="30">
        <f t="shared" si="340"/>
        <v>1.737849745827682E-3</v>
      </c>
      <c r="G430" s="31">
        <f t="shared" si="341"/>
        <v>1.4493629226119964E-4</v>
      </c>
      <c r="H430" s="32">
        <f t="shared" si="342"/>
        <v>0.02</v>
      </c>
      <c r="I430" s="32">
        <f t="shared" si="343"/>
        <v>0</v>
      </c>
      <c r="J430" s="33">
        <f t="shared" si="390"/>
        <v>0</v>
      </c>
      <c r="K430" s="30">
        <f t="shared" si="344"/>
        <v>0</v>
      </c>
      <c r="L430" s="33">
        <f t="shared" si="345"/>
        <v>0</v>
      </c>
      <c r="M430" s="30">
        <f t="shared" si="346"/>
        <v>0</v>
      </c>
      <c r="N430" s="33">
        <f t="shared" si="347"/>
        <v>0</v>
      </c>
      <c r="O430" s="31">
        <f t="shared" si="348"/>
        <v>0</v>
      </c>
      <c r="P430" s="33">
        <f t="shared" si="349"/>
        <v>0</v>
      </c>
      <c r="Q430" s="34">
        <f t="shared" si="391"/>
        <v>807305.77166359837</v>
      </c>
      <c r="R430" s="29">
        <f t="shared" si="350"/>
        <v>0</v>
      </c>
      <c r="S430" s="34">
        <f t="shared" si="351"/>
        <v>807305.77166359837</v>
      </c>
      <c r="T430" s="29">
        <f t="shared" si="352"/>
        <v>672.75480971966533</v>
      </c>
      <c r="U430" s="29">
        <f t="shared" si="353"/>
        <v>0</v>
      </c>
      <c r="V430" s="35">
        <f t="shared" si="354"/>
        <v>1.594299214873196E-4</v>
      </c>
      <c r="W430" s="34">
        <f t="shared" si="355"/>
        <v>0</v>
      </c>
      <c r="X430" s="34">
        <f t="shared" si="356"/>
        <v>806633.01685387874</v>
      </c>
      <c r="Y430" s="36">
        <f t="shared" si="357"/>
        <v>-1.6813940603491728E-2</v>
      </c>
      <c r="Z430" s="34">
        <f t="shared" si="358"/>
        <v>-13562.67963419646</v>
      </c>
      <c r="AA430" s="34">
        <f t="shared" si="359"/>
        <v>799851.67703678051</v>
      </c>
      <c r="AB430" s="34">
        <f t="shared" si="360"/>
        <v>0</v>
      </c>
      <c r="AC430" s="34">
        <f t="shared" si="361"/>
        <v>0</v>
      </c>
      <c r="AD430" s="34">
        <f t="shared" si="362"/>
        <v>0</v>
      </c>
      <c r="AE430" s="34">
        <f t="shared" si="363"/>
        <v>0</v>
      </c>
      <c r="AF430" s="34">
        <f t="shared" si="364"/>
        <v>0</v>
      </c>
      <c r="AG430" s="29">
        <f t="shared" si="365"/>
        <v>799851.67703678051</v>
      </c>
      <c r="AH430" s="34">
        <f t="shared" si="366"/>
        <v>0</v>
      </c>
      <c r="AI430" s="34">
        <f t="shared" si="367"/>
        <v>0</v>
      </c>
      <c r="AJ430" s="34">
        <f t="shared" si="368"/>
        <v>0</v>
      </c>
      <c r="AK430" s="34">
        <f t="shared" si="369"/>
        <v>0</v>
      </c>
      <c r="AL430" s="34">
        <f t="shared" si="370"/>
        <v>0</v>
      </c>
      <c r="AM430" s="34">
        <f t="shared" si="371"/>
        <v>0</v>
      </c>
      <c r="AN430" s="34">
        <f t="shared" si="372"/>
        <v>0</v>
      </c>
      <c r="AO430" s="34">
        <f t="shared" si="373"/>
        <v>0</v>
      </c>
      <c r="AP430" s="34">
        <f t="shared" si="374"/>
        <v>0</v>
      </c>
      <c r="AQ430" s="34">
        <f t="shared" si="375"/>
        <v>0</v>
      </c>
      <c r="AR430" s="34">
        <f t="shared" si="376"/>
        <v>0</v>
      </c>
      <c r="AS430" s="30">
        <f t="shared" si="377"/>
        <v>1.4236681502651307</v>
      </c>
      <c r="AT430" s="29">
        <f t="shared" si="378"/>
        <v>0</v>
      </c>
      <c r="AU430" s="29">
        <f t="shared" si="379"/>
        <v>0</v>
      </c>
      <c r="AV430" s="34">
        <f t="shared" si="380"/>
        <v>0</v>
      </c>
      <c r="AW430" s="34">
        <f t="shared" si="381"/>
        <v>0</v>
      </c>
      <c r="AX430" s="29">
        <f t="shared" si="382"/>
        <v>0</v>
      </c>
      <c r="AY430" s="34">
        <f t="shared" si="383"/>
        <v>0</v>
      </c>
      <c r="AZ430" s="37">
        <f t="shared" si="384"/>
        <v>0</v>
      </c>
      <c r="BA430" s="37">
        <f t="shared" si="385"/>
        <v>0</v>
      </c>
      <c r="BB430" s="35">
        <f t="shared" si="386"/>
        <v>1.0728138624467309E-3</v>
      </c>
      <c r="BC430" s="31">
        <f t="shared" si="387"/>
        <v>0.63332362434664746</v>
      </c>
      <c r="BD430" s="34">
        <f t="shared" si="388"/>
        <v>0</v>
      </c>
    </row>
    <row r="431" spans="1:56" x14ac:dyDescent="0.2">
      <c r="A431" s="27">
        <f t="shared" si="389"/>
        <v>427</v>
      </c>
      <c r="B431" s="28">
        <f t="shared" si="336"/>
        <v>427</v>
      </c>
      <c r="C431" s="27">
        <f t="shared" si="337"/>
        <v>35</v>
      </c>
      <c r="D431" s="28">
        <f t="shared" si="338"/>
        <v>55</v>
      </c>
      <c r="E431" s="29">
        <f t="shared" si="339"/>
        <v>0</v>
      </c>
      <c r="F431" s="30">
        <f t="shared" si="340"/>
        <v>1.737849745827682E-3</v>
      </c>
      <c r="G431" s="31">
        <f t="shared" si="341"/>
        <v>1.4493629226119964E-4</v>
      </c>
      <c r="H431" s="32">
        <f t="shared" si="342"/>
        <v>0.02</v>
      </c>
      <c r="I431" s="32">
        <f t="shared" si="343"/>
        <v>0</v>
      </c>
      <c r="J431" s="33">
        <f t="shared" si="390"/>
        <v>0</v>
      </c>
      <c r="K431" s="30">
        <f t="shared" si="344"/>
        <v>0</v>
      </c>
      <c r="L431" s="33">
        <f t="shared" si="345"/>
        <v>0</v>
      </c>
      <c r="M431" s="30">
        <f t="shared" si="346"/>
        <v>0</v>
      </c>
      <c r="N431" s="33">
        <f t="shared" si="347"/>
        <v>0</v>
      </c>
      <c r="O431" s="31">
        <f t="shared" si="348"/>
        <v>0</v>
      </c>
      <c r="P431" s="33">
        <f t="shared" si="349"/>
        <v>0</v>
      </c>
      <c r="Q431" s="34">
        <f t="shared" si="391"/>
        <v>793070.33721968229</v>
      </c>
      <c r="R431" s="29">
        <f t="shared" si="350"/>
        <v>0</v>
      </c>
      <c r="S431" s="34">
        <f t="shared" si="351"/>
        <v>793070.33721968229</v>
      </c>
      <c r="T431" s="29">
        <f t="shared" si="352"/>
        <v>660.89194768306857</v>
      </c>
      <c r="U431" s="29">
        <f t="shared" si="353"/>
        <v>0</v>
      </c>
      <c r="V431" s="35">
        <f t="shared" si="354"/>
        <v>1.594299214873196E-4</v>
      </c>
      <c r="W431" s="34">
        <f t="shared" si="355"/>
        <v>0</v>
      </c>
      <c r="X431" s="34">
        <f t="shared" si="356"/>
        <v>792409.44527199923</v>
      </c>
      <c r="Y431" s="36">
        <f t="shared" si="357"/>
        <v>5.7488635646940622E-3</v>
      </c>
      <c r="Z431" s="34">
        <f t="shared" si="358"/>
        <v>4555.4537882436298</v>
      </c>
      <c r="AA431" s="34">
        <f t="shared" si="359"/>
        <v>794687.17216612108</v>
      </c>
      <c r="AB431" s="34">
        <f t="shared" si="360"/>
        <v>0</v>
      </c>
      <c r="AC431" s="34">
        <f t="shared" si="361"/>
        <v>0</v>
      </c>
      <c r="AD431" s="34">
        <f t="shared" si="362"/>
        <v>0</v>
      </c>
      <c r="AE431" s="34">
        <f t="shared" si="363"/>
        <v>0</v>
      </c>
      <c r="AF431" s="34">
        <f t="shared" si="364"/>
        <v>0</v>
      </c>
      <c r="AG431" s="29">
        <f t="shared" si="365"/>
        <v>794687.17216612108</v>
      </c>
      <c r="AH431" s="34">
        <f t="shared" si="366"/>
        <v>0</v>
      </c>
      <c r="AI431" s="34">
        <f t="shared" si="367"/>
        <v>0</v>
      </c>
      <c r="AJ431" s="34">
        <f t="shared" si="368"/>
        <v>0</v>
      </c>
      <c r="AK431" s="34">
        <f t="shared" si="369"/>
        <v>0</v>
      </c>
      <c r="AL431" s="34">
        <f t="shared" si="370"/>
        <v>0</v>
      </c>
      <c r="AM431" s="34">
        <f t="shared" si="371"/>
        <v>0</v>
      </c>
      <c r="AN431" s="34">
        <f t="shared" si="372"/>
        <v>0</v>
      </c>
      <c r="AO431" s="34">
        <f t="shared" si="373"/>
        <v>0</v>
      </c>
      <c r="AP431" s="34">
        <f t="shared" si="374"/>
        <v>0</v>
      </c>
      <c r="AQ431" s="34">
        <f t="shared" si="375"/>
        <v>0</v>
      </c>
      <c r="AR431" s="34">
        <f t="shared" si="376"/>
        <v>0</v>
      </c>
      <c r="AS431" s="30">
        <f t="shared" si="377"/>
        <v>1.4248491372579566</v>
      </c>
      <c r="AT431" s="29">
        <f t="shared" si="378"/>
        <v>0</v>
      </c>
      <c r="AU431" s="29">
        <f t="shared" si="379"/>
        <v>0</v>
      </c>
      <c r="AV431" s="34">
        <f t="shared" si="380"/>
        <v>0</v>
      </c>
      <c r="AW431" s="34">
        <f t="shared" si="381"/>
        <v>0</v>
      </c>
      <c r="AX431" s="29">
        <f t="shared" si="382"/>
        <v>0</v>
      </c>
      <c r="AY431" s="34">
        <f t="shared" si="383"/>
        <v>0</v>
      </c>
      <c r="AZ431" s="37">
        <f t="shared" si="384"/>
        <v>0</v>
      </c>
      <c r="BA431" s="37">
        <f t="shared" si="385"/>
        <v>0</v>
      </c>
      <c r="BB431" s="35">
        <f t="shared" si="386"/>
        <v>1.0728138624467309E-3</v>
      </c>
      <c r="BC431" s="31">
        <f t="shared" si="387"/>
        <v>0.6326449141127809</v>
      </c>
      <c r="BD431" s="34">
        <f t="shared" si="388"/>
        <v>0</v>
      </c>
    </row>
    <row r="432" spans="1:56" x14ac:dyDescent="0.2">
      <c r="A432" s="27">
        <f t="shared" si="389"/>
        <v>428</v>
      </c>
      <c r="B432" s="28">
        <f t="shared" si="336"/>
        <v>428</v>
      </c>
      <c r="C432" s="27">
        <f t="shared" si="337"/>
        <v>35</v>
      </c>
      <c r="D432" s="28">
        <f t="shared" si="338"/>
        <v>55</v>
      </c>
      <c r="E432" s="29">
        <f t="shared" si="339"/>
        <v>0</v>
      </c>
      <c r="F432" s="30">
        <f t="shared" si="340"/>
        <v>1.737849745827682E-3</v>
      </c>
      <c r="G432" s="31">
        <f t="shared" si="341"/>
        <v>1.4493629226119964E-4</v>
      </c>
      <c r="H432" s="32">
        <f t="shared" si="342"/>
        <v>0.02</v>
      </c>
      <c r="I432" s="32">
        <f t="shared" si="343"/>
        <v>0</v>
      </c>
      <c r="J432" s="33">
        <f t="shared" si="390"/>
        <v>0</v>
      </c>
      <c r="K432" s="30">
        <f t="shared" si="344"/>
        <v>0</v>
      </c>
      <c r="L432" s="33">
        <f t="shared" si="345"/>
        <v>0</v>
      </c>
      <c r="M432" s="30">
        <f t="shared" si="346"/>
        <v>0</v>
      </c>
      <c r="N432" s="33">
        <f t="shared" si="347"/>
        <v>0</v>
      </c>
      <c r="O432" s="31">
        <f t="shared" si="348"/>
        <v>0</v>
      </c>
      <c r="P432" s="33">
        <f t="shared" si="349"/>
        <v>0</v>
      </c>
      <c r="Q432" s="34">
        <f t="shared" si="391"/>
        <v>796964.89906024281</v>
      </c>
      <c r="R432" s="29">
        <f t="shared" si="350"/>
        <v>0</v>
      </c>
      <c r="S432" s="34">
        <f t="shared" si="351"/>
        <v>796964.89906024281</v>
      </c>
      <c r="T432" s="29">
        <f t="shared" si="352"/>
        <v>664.13741588353571</v>
      </c>
      <c r="U432" s="29">
        <f t="shared" si="353"/>
        <v>0</v>
      </c>
      <c r="V432" s="35">
        <f t="shared" si="354"/>
        <v>1.594299214873196E-4</v>
      </c>
      <c r="W432" s="34">
        <f t="shared" si="355"/>
        <v>0</v>
      </c>
      <c r="X432" s="34">
        <f t="shared" si="356"/>
        <v>796300.76164435933</v>
      </c>
      <c r="Y432" s="36">
        <f t="shared" si="357"/>
        <v>3.6976639861054927E-3</v>
      </c>
      <c r="Z432" s="34">
        <f t="shared" si="358"/>
        <v>2944.4526484407215</v>
      </c>
      <c r="AA432" s="34">
        <f t="shared" si="359"/>
        <v>797772.98796857963</v>
      </c>
      <c r="AB432" s="34">
        <f t="shared" si="360"/>
        <v>0</v>
      </c>
      <c r="AC432" s="34">
        <f t="shared" si="361"/>
        <v>0</v>
      </c>
      <c r="AD432" s="34">
        <f t="shared" si="362"/>
        <v>0</v>
      </c>
      <c r="AE432" s="34">
        <f t="shared" si="363"/>
        <v>0</v>
      </c>
      <c r="AF432" s="34">
        <f t="shared" si="364"/>
        <v>0</v>
      </c>
      <c r="AG432" s="29">
        <f t="shared" si="365"/>
        <v>797772.98796857963</v>
      </c>
      <c r="AH432" s="34">
        <f t="shared" si="366"/>
        <v>0</v>
      </c>
      <c r="AI432" s="34">
        <f t="shared" si="367"/>
        <v>0</v>
      </c>
      <c r="AJ432" s="34">
        <f t="shared" si="368"/>
        <v>0</v>
      </c>
      <c r="AK432" s="34">
        <f t="shared" si="369"/>
        <v>0</v>
      </c>
      <c r="AL432" s="34">
        <f t="shared" si="370"/>
        <v>0</v>
      </c>
      <c r="AM432" s="34">
        <f t="shared" si="371"/>
        <v>0</v>
      </c>
      <c r="AN432" s="34">
        <f t="shared" si="372"/>
        <v>0</v>
      </c>
      <c r="AO432" s="34">
        <f t="shared" si="373"/>
        <v>0</v>
      </c>
      <c r="AP432" s="34">
        <f t="shared" si="374"/>
        <v>0</v>
      </c>
      <c r="AQ432" s="34">
        <f t="shared" si="375"/>
        <v>0</v>
      </c>
      <c r="AR432" s="34">
        <f t="shared" si="376"/>
        <v>0</v>
      </c>
      <c r="AS432" s="30">
        <f t="shared" si="377"/>
        <v>1.4260311039245053</v>
      </c>
      <c r="AT432" s="29">
        <f t="shared" si="378"/>
        <v>0</v>
      </c>
      <c r="AU432" s="29">
        <f t="shared" si="379"/>
        <v>0</v>
      </c>
      <c r="AV432" s="34">
        <f t="shared" si="380"/>
        <v>0</v>
      </c>
      <c r="AW432" s="34">
        <f t="shared" si="381"/>
        <v>0</v>
      </c>
      <c r="AX432" s="29">
        <f t="shared" si="382"/>
        <v>0</v>
      </c>
      <c r="AY432" s="34">
        <f t="shared" si="383"/>
        <v>0</v>
      </c>
      <c r="AZ432" s="37">
        <f t="shared" si="384"/>
        <v>0</v>
      </c>
      <c r="BA432" s="37">
        <f t="shared" si="385"/>
        <v>0</v>
      </c>
      <c r="BB432" s="35">
        <f t="shared" si="386"/>
        <v>1.0728138624467309E-3</v>
      </c>
      <c r="BC432" s="31">
        <f t="shared" si="387"/>
        <v>0.63196693122835101</v>
      </c>
      <c r="BD432" s="34">
        <f t="shared" si="388"/>
        <v>0</v>
      </c>
    </row>
    <row r="433" spans="1:56" x14ac:dyDescent="0.2">
      <c r="A433" s="27">
        <f t="shared" si="389"/>
        <v>429</v>
      </c>
      <c r="B433" s="28">
        <f t="shared" si="336"/>
        <v>429</v>
      </c>
      <c r="C433" s="27">
        <f t="shared" si="337"/>
        <v>35</v>
      </c>
      <c r="D433" s="28">
        <f t="shared" si="338"/>
        <v>55</v>
      </c>
      <c r="E433" s="29">
        <f t="shared" si="339"/>
        <v>0</v>
      </c>
      <c r="F433" s="30">
        <f t="shared" si="340"/>
        <v>1.737849745827682E-3</v>
      </c>
      <c r="G433" s="31">
        <f t="shared" si="341"/>
        <v>1.4493629226119964E-4</v>
      </c>
      <c r="H433" s="32">
        <f t="shared" si="342"/>
        <v>0.02</v>
      </c>
      <c r="I433" s="32">
        <f t="shared" si="343"/>
        <v>0</v>
      </c>
      <c r="J433" s="33">
        <f t="shared" si="390"/>
        <v>0</v>
      </c>
      <c r="K433" s="30">
        <f t="shared" si="344"/>
        <v>0</v>
      </c>
      <c r="L433" s="33">
        <f t="shared" si="345"/>
        <v>0</v>
      </c>
      <c r="M433" s="30">
        <f t="shared" si="346"/>
        <v>0</v>
      </c>
      <c r="N433" s="33">
        <f t="shared" si="347"/>
        <v>0</v>
      </c>
      <c r="O433" s="31">
        <f t="shared" si="348"/>
        <v>0</v>
      </c>
      <c r="P433" s="33">
        <f t="shared" si="349"/>
        <v>0</v>
      </c>
      <c r="Q433" s="34">
        <f t="shared" si="391"/>
        <v>799245.21429280005</v>
      </c>
      <c r="R433" s="29">
        <f t="shared" si="350"/>
        <v>0</v>
      </c>
      <c r="S433" s="34">
        <f t="shared" si="351"/>
        <v>799245.21429280005</v>
      </c>
      <c r="T433" s="29">
        <f t="shared" si="352"/>
        <v>666.03767857733339</v>
      </c>
      <c r="U433" s="29">
        <f t="shared" si="353"/>
        <v>0</v>
      </c>
      <c r="V433" s="35">
        <f t="shared" si="354"/>
        <v>1.594299214873196E-4</v>
      </c>
      <c r="W433" s="34">
        <f t="shared" si="355"/>
        <v>0</v>
      </c>
      <c r="X433" s="34">
        <f t="shared" si="356"/>
        <v>798579.1766142227</v>
      </c>
      <c r="Y433" s="36">
        <f t="shared" si="357"/>
        <v>1.025791912563534E-2</v>
      </c>
      <c r="Z433" s="34">
        <f t="shared" si="358"/>
        <v>8191.7606091251564</v>
      </c>
      <c r="AA433" s="34">
        <f t="shared" si="359"/>
        <v>802675.05691878533</v>
      </c>
      <c r="AB433" s="34">
        <f t="shared" si="360"/>
        <v>0</v>
      </c>
      <c r="AC433" s="34">
        <f t="shared" si="361"/>
        <v>0</v>
      </c>
      <c r="AD433" s="34">
        <f t="shared" si="362"/>
        <v>0</v>
      </c>
      <c r="AE433" s="34">
        <f t="shared" si="363"/>
        <v>0</v>
      </c>
      <c r="AF433" s="34">
        <f t="shared" si="364"/>
        <v>0</v>
      </c>
      <c r="AG433" s="29">
        <f t="shared" si="365"/>
        <v>802675.05691878533</v>
      </c>
      <c r="AH433" s="34">
        <f t="shared" si="366"/>
        <v>0</v>
      </c>
      <c r="AI433" s="34">
        <f t="shared" si="367"/>
        <v>0</v>
      </c>
      <c r="AJ433" s="34">
        <f t="shared" si="368"/>
        <v>0</v>
      </c>
      <c r="AK433" s="34">
        <f t="shared" si="369"/>
        <v>0</v>
      </c>
      <c r="AL433" s="34">
        <f t="shared" si="370"/>
        <v>0</v>
      </c>
      <c r="AM433" s="34">
        <f t="shared" si="371"/>
        <v>0</v>
      </c>
      <c r="AN433" s="34">
        <f t="shared" si="372"/>
        <v>0</v>
      </c>
      <c r="AO433" s="34">
        <f t="shared" si="373"/>
        <v>0</v>
      </c>
      <c r="AP433" s="34">
        <f t="shared" si="374"/>
        <v>0</v>
      </c>
      <c r="AQ433" s="34">
        <f t="shared" si="375"/>
        <v>0</v>
      </c>
      <c r="AR433" s="34">
        <f t="shared" si="376"/>
        <v>0</v>
      </c>
      <c r="AS433" s="30">
        <f t="shared" si="377"/>
        <v>1.427214051077454</v>
      </c>
      <c r="AT433" s="29">
        <f t="shared" si="378"/>
        <v>0</v>
      </c>
      <c r="AU433" s="29">
        <f t="shared" si="379"/>
        <v>0</v>
      </c>
      <c r="AV433" s="34">
        <f t="shared" si="380"/>
        <v>0</v>
      </c>
      <c r="AW433" s="34">
        <f t="shared" si="381"/>
        <v>0</v>
      </c>
      <c r="AX433" s="29">
        <f t="shared" si="382"/>
        <v>0</v>
      </c>
      <c r="AY433" s="34">
        <f t="shared" si="383"/>
        <v>0</v>
      </c>
      <c r="AZ433" s="37">
        <f t="shared" si="384"/>
        <v>0</v>
      </c>
      <c r="BA433" s="37">
        <f t="shared" si="385"/>
        <v>0</v>
      </c>
      <c r="BB433" s="35">
        <f t="shared" si="386"/>
        <v>1.0728138624467309E-3</v>
      </c>
      <c r="BC433" s="31">
        <f t="shared" si="387"/>
        <v>0.63128967491388399</v>
      </c>
      <c r="BD433" s="34">
        <f t="shared" si="388"/>
        <v>0</v>
      </c>
    </row>
    <row r="434" spans="1:56" x14ac:dyDescent="0.2">
      <c r="A434" s="27">
        <f t="shared" si="389"/>
        <v>430</v>
      </c>
      <c r="B434" s="28">
        <f t="shared" si="336"/>
        <v>430</v>
      </c>
      <c r="C434" s="27">
        <f t="shared" si="337"/>
        <v>35</v>
      </c>
      <c r="D434" s="28">
        <f t="shared" si="338"/>
        <v>55</v>
      </c>
      <c r="E434" s="29">
        <f t="shared" si="339"/>
        <v>0</v>
      </c>
      <c r="F434" s="30">
        <f t="shared" si="340"/>
        <v>1.737849745827682E-3</v>
      </c>
      <c r="G434" s="31">
        <f t="shared" si="341"/>
        <v>1.4493629226119964E-4</v>
      </c>
      <c r="H434" s="32">
        <f t="shared" si="342"/>
        <v>0.02</v>
      </c>
      <c r="I434" s="32">
        <f t="shared" si="343"/>
        <v>0</v>
      </c>
      <c r="J434" s="33">
        <f t="shared" si="390"/>
        <v>0</v>
      </c>
      <c r="K434" s="30">
        <f t="shared" si="344"/>
        <v>0</v>
      </c>
      <c r="L434" s="33">
        <f t="shared" si="345"/>
        <v>0</v>
      </c>
      <c r="M434" s="30">
        <f t="shared" si="346"/>
        <v>0</v>
      </c>
      <c r="N434" s="33">
        <f t="shared" si="347"/>
        <v>0</v>
      </c>
      <c r="O434" s="31">
        <f t="shared" si="348"/>
        <v>0</v>
      </c>
      <c r="P434" s="33">
        <f t="shared" si="349"/>
        <v>0</v>
      </c>
      <c r="Q434" s="34">
        <f t="shared" si="391"/>
        <v>806770.93722334784</v>
      </c>
      <c r="R434" s="29">
        <f t="shared" si="350"/>
        <v>0</v>
      </c>
      <c r="S434" s="34">
        <f t="shared" si="351"/>
        <v>806770.93722334784</v>
      </c>
      <c r="T434" s="29">
        <f t="shared" si="352"/>
        <v>672.30911435278995</v>
      </c>
      <c r="U434" s="29">
        <f t="shared" si="353"/>
        <v>0</v>
      </c>
      <c r="V434" s="35">
        <f t="shared" si="354"/>
        <v>1.594299214873196E-4</v>
      </c>
      <c r="W434" s="34">
        <f t="shared" si="355"/>
        <v>0</v>
      </c>
      <c r="X434" s="34">
        <f t="shared" si="356"/>
        <v>806098.62810899504</v>
      </c>
      <c r="Y434" s="36">
        <f t="shared" si="357"/>
        <v>-1.8212320496897583E-2</v>
      </c>
      <c r="Z434" s="34">
        <f t="shared" si="358"/>
        <v>-14680.926567230472</v>
      </c>
      <c r="AA434" s="34">
        <f t="shared" si="359"/>
        <v>798758.16482537985</v>
      </c>
      <c r="AB434" s="34">
        <f t="shared" si="360"/>
        <v>0</v>
      </c>
      <c r="AC434" s="34">
        <f t="shared" si="361"/>
        <v>0</v>
      </c>
      <c r="AD434" s="34">
        <f t="shared" si="362"/>
        <v>0</v>
      </c>
      <c r="AE434" s="34">
        <f t="shared" si="363"/>
        <v>0</v>
      </c>
      <c r="AF434" s="34">
        <f t="shared" si="364"/>
        <v>0</v>
      </c>
      <c r="AG434" s="29">
        <f t="shared" si="365"/>
        <v>798758.16482537985</v>
      </c>
      <c r="AH434" s="34">
        <f t="shared" si="366"/>
        <v>0</v>
      </c>
      <c r="AI434" s="34">
        <f t="shared" si="367"/>
        <v>0</v>
      </c>
      <c r="AJ434" s="34">
        <f t="shared" si="368"/>
        <v>0</v>
      </c>
      <c r="AK434" s="34">
        <f t="shared" si="369"/>
        <v>0</v>
      </c>
      <c r="AL434" s="34">
        <f t="shared" si="370"/>
        <v>0</v>
      </c>
      <c r="AM434" s="34">
        <f t="shared" si="371"/>
        <v>0</v>
      </c>
      <c r="AN434" s="34">
        <f t="shared" si="372"/>
        <v>0</v>
      </c>
      <c r="AO434" s="34">
        <f t="shared" si="373"/>
        <v>0</v>
      </c>
      <c r="AP434" s="34">
        <f t="shared" si="374"/>
        <v>0</v>
      </c>
      <c r="AQ434" s="34">
        <f t="shared" si="375"/>
        <v>0</v>
      </c>
      <c r="AR434" s="34">
        <f t="shared" si="376"/>
        <v>0</v>
      </c>
      <c r="AS434" s="30">
        <f t="shared" si="377"/>
        <v>1.4283979795301531</v>
      </c>
      <c r="AT434" s="29">
        <f t="shared" si="378"/>
        <v>0</v>
      </c>
      <c r="AU434" s="29">
        <f t="shared" si="379"/>
        <v>0</v>
      </c>
      <c r="AV434" s="34">
        <f t="shared" si="380"/>
        <v>0</v>
      </c>
      <c r="AW434" s="34">
        <f t="shared" si="381"/>
        <v>0</v>
      </c>
      <c r="AX434" s="29">
        <f t="shared" si="382"/>
        <v>0</v>
      </c>
      <c r="AY434" s="34">
        <f t="shared" si="383"/>
        <v>0</v>
      </c>
      <c r="AZ434" s="37">
        <f t="shared" si="384"/>
        <v>0</v>
      </c>
      <c r="BA434" s="37">
        <f t="shared" si="385"/>
        <v>0</v>
      </c>
      <c r="BB434" s="35">
        <f t="shared" si="386"/>
        <v>1.0728138624467309E-3</v>
      </c>
      <c r="BC434" s="31">
        <f t="shared" si="387"/>
        <v>0.63061314439074068</v>
      </c>
      <c r="BD434" s="34">
        <f t="shared" si="388"/>
        <v>0</v>
      </c>
    </row>
    <row r="435" spans="1:56" x14ac:dyDescent="0.2">
      <c r="A435" s="27">
        <f t="shared" si="389"/>
        <v>431</v>
      </c>
      <c r="B435" s="28">
        <f t="shared" si="336"/>
        <v>431</v>
      </c>
      <c r="C435" s="27">
        <f t="shared" si="337"/>
        <v>35</v>
      </c>
      <c r="D435" s="28">
        <f t="shared" si="338"/>
        <v>55</v>
      </c>
      <c r="E435" s="29">
        <f t="shared" si="339"/>
        <v>0</v>
      </c>
      <c r="F435" s="30">
        <f t="shared" si="340"/>
        <v>1.737849745827682E-3</v>
      </c>
      <c r="G435" s="31">
        <f t="shared" si="341"/>
        <v>1.4493629226119964E-4</v>
      </c>
      <c r="H435" s="32">
        <f t="shared" si="342"/>
        <v>0.02</v>
      </c>
      <c r="I435" s="32">
        <f t="shared" si="343"/>
        <v>0</v>
      </c>
      <c r="J435" s="33">
        <f t="shared" si="390"/>
        <v>0</v>
      </c>
      <c r="K435" s="30">
        <f t="shared" si="344"/>
        <v>0</v>
      </c>
      <c r="L435" s="33">
        <f t="shared" si="345"/>
        <v>0</v>
      </c>
      <c r="M435" s="30">
        <f t="shared" si="346"/>
        <v>0</v>
      </c>
      <c r="N435" s="33">
        <f t="shared" si="347"/>
        <v>0</v>
      </c>
      <c r="O435" s="31">
        <f t="shared" si="348"/>
        <v>0</v>
      </c>
      <c r="P435" s="33">
        <f t="shared" si="349"/>
        <v>0</v>
      </c>
      <c r="Q435" s="34">
        <f t="shared" si="391"/>
        <v>791417.70154176455</v>
      </c>
      <c r="R435" s="29">
        <f t="shared" si="350"/>
        <v>0</v>
      </c>
      <c r="S435" s="34">
        <f t="shared" si="351"/>
        <v>791417.70154176455</v>
      </c>
      <c r="T435" s="29">
        <f t="shared" si="352"/>
        <v>659.51475128480388</v>
      </c>
      <c r="U435" s="29">
        <f t="shared" si="353"/>
        <v>0</v>
      </c>
      <c r="V435" s="35">
        <f t="shared" si="354"/>
        <v>1.594299214873196E-4</v>
      </c>
      <c r="W435" s="34">
        <f t="shared" si="355"/>
        <v>0</v>
      </c>
      <c r="X435" s="34">
        <f t="shared" si="356"/>
        <v>790758.1867904797</v>
      </c>
      <c r="Y435" s="36">
        <f t="shared" si="357"/>
        <v>1.2149304835201047E-2</v>
      </c>
      <c r="Z435" s="34">
        <f t="shared" si="358"/>
        <v>9607.1622622483883</v>
      </c>
      <c r="AA435" s="34">
        <f t="shared" si="359"/>
        <v>795561.76792160387</v>
      </c>
      <c r="AB435" s="34">
        <f t="shared" si="360"/>
        <v>0</v>
      </c>
      <c r="AC435" s="34">
        <f t="shared" si="361"/>
        <v>0</v>
      </c>
      <c r="AD435" s="34">
        <f t="shared" si="362"/>
        <v>0</v>
      </c>
      <c r="AE435" s="34">
        <f t="shared" si="363"/>
        <v>0</v>
      </c>
      <c r="AF435" s="34">
        <f t="shared" si="364"/>
        <v>0</v>
      </c>
      <c r="AG435" s="29">
        <f t="shared" si="365"/>
        <v>795561.76792160387</v>
      </c>
      <c r="AH435" s="34">
        <f t="shared" si="366"/>
        <v>0</v>
      </c>
      <c r="AI435" s="34">
        <f t="shared" si="367"/>
        <v>0</v>
      </c>
      <c r="AJ435" s="34">
        <f t="shared" si="368"/>
        <v>0</v>
      </c>
      <c r="AK435" s="34">
        <f t="shared" si="369"/>
        <v>0</v>
      </c>
      <c r="AL435" s="34">
        <f t="shared" si="370"/>
        <v>0</v>
      </c>
      <c r="AM435" s="34">
        <f t="shared" si="371"/>
        <v>0</v>
      </c>
      <c r="AN435" s="34">
        <f t="shared" si="372"/>
        <v>0</v>
      </c>
      <c r="AO435" s="34">
        <f t="shared" si="373"/>
        <v>0</v>
      </c>
      <c r="AP435" s="34">
        <f t="shared" si="374"/>
        <v>0</v>
      </c>
      <c r="AQ435" s="34">
        <f t="shared" si="375"/>
        <v>0</v>
      </c>
      <c r="AR435" s="34">
        <f t="shared" si="376"/>
        <v>0</v>
      </c>
      <c r="AS435" s="30">
        <f t="shared" si="377"/>
        <v>1.4295828900966285</v>
      </c>
      <c r="AT435" s="29">
        <f t="shared" si="378"/>
        <v>0</v>
      </c>
      <c r="AU435" s="29">
        <f t="shared" si="379"/>
        <v>0</v>
      </c>
      <c r="AV435" s="34">
        <f t="shared" si="380"/>
        <v>0</v>
      </c>
      <c r="AW435" s="34">
        <f t="shared" si="381"/>
        <v>0</v>
      </c>
      <c r="AX435" s="29">
        <f t="shared" si="382"/>
        <v>0</v>
      </c>
      <c r="AY435" s="34">
        <f t="shared" si="383"/>
        <v>0</v>
      </c>
      <c r="AZ435" s="37">
        <f t="shared" si="384"/>
        <v>0</v>
      </c>
      <c r="BA435" s="37">
        <f t="shared" si="385"/>
        <v>0</v>
      </c>
      <c r="BB435" s="35">
        <f t="shared" si="386"/>
        <v>1.0728138624467309E-3</v>
      </c>
      <c r="BC435" s="31">
        <f t="shared" si="387"/>
        <v>0.62993733888111592</v>
      </c>
      <c r="BD435" s="34">
        <f t="shared" si="388"/>
        <v>0</v>
      </c>
    </row>
    <row r="436" spans="1:56" x14ac:dyDescent="0.2">
      <c r="A436" s="27">
        <f t="shared" si="389"/>
        <v>432</v>
      </c>
      <c r="B436" s="28">
        <f t="shared" si="336"/>
        <v>432</v>
      </c>
      <c r="C436" s="27">
        <f t="shared" si="337"/>
        <v>36</v>
      </c>
      <c r="D436" s="28">
        <f t="shared" si="338"/>
        <v>56</v>
      </c>
      <c r="E436" s="29">
        <f t="shared" si="339"/>
        <v>0</v>
      </c>
      <c r="F436" s="30">
        <f t="shared" si="340"/>
        <v>1.8604276652855909E-3</v>
      </c>
      <c r="G436" s="31">
        <f t="shared" si="341"/>
        <v>1.5516799439008189E-4</v>
      </c>
      <c r="H436" s="32">
        <f t="shared" si="342"/>
        <v>0.02</v>
      </c>
      <c r="I436" s="32">
        <f t="shared" si="343"/>
        <v>0</v>
      </c>
      <c r="J436" s="33">
        <f t="shared" si="390"/>
        <v>0</v>
      </c>
      <c r="K436" s="30">
        <f t="shared" si="344"/>
        <v>0</v>
      </c>
      <c r="L436" s="33">
        <f t="shared" si="345"/>
        <v>0</v>
      </c>
      <c r="M436" s="30">
        <f t="shared" si="346"/>
        <v>0</v>
      </c>
      <c r="N436" s="33">
        <f t="shared" si="347"/>
        <v>0</v>
      </c>
      <c r="O436" s="31">
        <f t="shared" si="348"/>
        <v>0</v>
      </c>
      <c r="P436" s="33">
        <f t="shared" si="349"/>
        <v>0</v>
      </c>
      <c r="Q436" s="34">
        <f t="shared" si="391"/>
        <v>800365.34905272804</v>
      </c>
      <c r="R436" s="29">
        <f t="shared" si="350"/>
        <v>0</v>
      </c>
      <c r="S436" s="34">
        <f t="shared" si="351"/>
        <v>800365.34905272804</v>
      </c>
      <c r="T436" s="29">
        <f t="shared" si="352"/>
        <v>666.97112421060672</v>
      </c>
      <c r="U436" s="29">
        <f t="shared" si="353"/>
        <v>0</v>
      </c>
      <c r="V436" s="35">
        <f t="shared" si="354"/>
        <v>1.706847938290901E-4</v>
      </c>
      <c r="W436" s="34">
        <f t="shared" si="355"/>
        <v>0</v>
      </c>
      <c r="X436" s="34">
        <f t="shared" si="356"/>
        <v>799698.37792851741</v>
      </c>
      <c r="Y436" s="36">
        <f t="shared" si="357"/>
        <v>3.9426407626992344E-3</v>
      </c>
      <c r="Z436" s="34">
        <f t="shared" si="358"/>
        <v>3152.9234226854305</v>
      </c>
      <c r="AA436" s="34">
        <f t="shared" si="359"/>
        <v>801274.83963986009</v>
      </c>
      <c r="AB436" s="34">
        <f t="shared" si="360"/>
        <v>0</v>
      </c>
      <c r="AC436" s="34">
        <f t="shared" si="361"/>
        <v>0</v>
      </c>
      <c r="AD436" s="34">
        <f t="shared" si="362"/>
        <v>0</v>
      </c>
      <c r="AE436" s="34">
        <f t="shared" si="363"/>
        <v>0</v>
      </c>
      <c r="AF436" s="34">
        <f t="shared" si="364"/>
        <v>0</v>
      </c>
      <c r="AG436" s="29">
        <f t="shared" si="365"/>
        <v>801274.83963986009</v>
      </c>
      <c r="AH436" s="34">
        <f t="shared" si="366"/>
        <v>0</v>
      </c>
      <c r="AI436" s="34">
        <f t="shared" si="367"/>
        <v>0</v>
      </c>
      <c r="AJ436" s="34">
        <f t="shared" si="368"/>
        <v>0</v>
      </c>
      <c r="AK436" s="34">
        <f t="shared" si="369"/>
        <v>0</v>
      </c>
      <c r="AL436" s="34">
        <f t="shared" si="370"/>
        <v>0</v>
      </c>
      <c r="AM436" s="34">
        <f t="shared" si="371"/>
        <v>0</v>
      </c>
      <c r="AN436" s="34">
        <f t="shared" si="372"/>
        <v>0</v>
      </c>
      <c r="AO436" s="34">
        <f t="shared" si="373"/>
        <v>0</v>
      </c>
      <c r="AP436" s="34">
        <f t="shared" si="374"/>
        <v>0</v>
      </c>
      <c r="AQ436" s="34">
        <f t="shared" si="375"/>
        <v>0</v>
      </c>
      <c r="AR436" s="34">
        <f t="shared" si="376"/>
        <v>0</v>
      </c>
      <c r="AS436" s="30">
        <f t="shared" si="377"/>
        <v>1.430768783591581</v>
      </c>
      <c r="AT436" s="29">
        <f t="shared" si="378"/>
        <v>0</v>
      </c>
      <c r="AU436" s="29">
        <f t="shared" si="379"/>
        <v>0</v>
      </c>
      <c r="AV436" s="34">
        <f t="shared" si="380"/>
        <v>0</v>
      </c>
      <c r="AW436" s="34">
        <f t="shared" si="381"/>
        <v>0</v>
      </c>
      <c r="AX436" s="29">
        <f t="shared" si="382"/>
        <v>0</v>
      </c>
      <c r="AY436" s="34">
        <f t="shared" si="383"/>
        <v>0</v>
      </c>
      <c r="AZ436" s="37">
        <f t="shared" si="384"/>
        <v>0</v>
      </c>
      <c r="BA436" s="37">
        <f t="shared" si="385"/>
        <v>0</v>
      </c>
      <c r="BB436" s="35">
        <f t="shared" si="386"/>
        <v>1.0629305792335675E-3</v>
      </c>
      <c r="BC436" s="31">
        <f t="shared" si="387"/>
        <v>0.63195180756350433</v>
      </c>
      <c r="BD436" s="34">
        <f t="shared" si="388"/>
        <v>0</v>
      </c>
    </row>
    <row r="437" spans="1:56" x14ac:dyDescent="0.2">
      <c r="A437" s="27">
        <f t="shared" si="389"/>
        <v>433</v>
      </c>
      <c r="B437" s="28">
        <f t="shared" si="336"/>
        <v>433</v>
      </c>
      <c r="C437" s="27">
        <f t="shared" si="337"/>
        <v>36</v>
      </c>
      <c r="D437" s="28">
        <f t="shared" si="338"/>
        <v>56</v>
      </c>
      <c r="E437" s="29">
        <f t="shared" si="339"/>
        <v>0</v>
      </c>
      <c r="F437" s="30">
        <f t="shared" si="340"/>
        <v>1.8604276652855909E-3</v>
      </c>
      <c r="G437" s="31">
        <f t="shared" si="341"/>
        <v>1.5516799439008189E-4</v>
      </c>
      <c r="H437" s="32">
        <f t="shared" si="342"/>
        <v>0.02</v>
      </c>
      <c r="I437" s="32">
        <f t="shared" si="343"/>
        <v>0</v>
      </c>
      <c r="J437" s="33">
        <f t="shared" si="390"/>
        <v>0</v>
      </c>
      <c r="K437" s="30">
        <f t="shared" si="344"/>
        <v>0</v>
      </c>
      <c r="L437" s="33">
        <f t="shared" si="345"/>
        <v>0</v>
      </c>
      <c r="M437" s="30">
        <f t="shared" si="346"/>
        <v>0</v>
      </c>
      <c r="N437" s="33">
        <f t="shared" si="347"/>
        <v>0</v>
      </c>
      <c r="O437" s="31">
        <f t="shared" si="348"/>
        <v>0</v>
      </c>
      <c r="P437" s="33">
        <f t="shared" si="349"/>
        <v>0</v>
      </c>
      <c r="Q437" s="34">
        <f t="shared" si="391"/>
        <v>802851.30135120288</v>
      </c>
      <c r="R437" s="29">
        <f t="shared" si="350"/>
        <v>0</v>
      </c>
      <c r="S437" s="34">
        <f t="shared" si="351"/>
        <v>802851.30135120288</v>
      </c>
      <c r="T437" s="29">
        <f t="shared" si="352"/>
        <v>669.04275112600249</v>
      </c>
      <c r="U437" s="29">
        <f t="shared" si="353"/>
        <v>0</v>
      </c>
      <c r="V437" s="35">
        <f t="shared" si="354"/>
        <v>1.706847938290901E-4</v>
      </c>
      <c r="W437" s="34">
        <f t="shared" si="355"/>
        <v>0</v>
      </c>
      <c r="X437" s="34">
        <f t="shared" si="356"/>
        <v>802182.25860007689</v>
      </c>
      <c r="Y437" s="36">
        <f t="shared" si="357"/>
        <v>7.972073152268333E-3</v>
      </c>
      <c r="Z437" s="34">
        <f t="shared" si="358"/>
        <v>6395.0556470116462</v>
      </c>
      <c r="AA437" s="34">
        <f t="shared" si="359"/>
        <v>805379.7864235827</v>
      </c>
      <c r="AB437" s="34">
        <f t="shared" si="360"/>
        <v>0</v>
      </c>
      <c r="AC437" s="34">
        <f t="shared" si="361"/>
        <v>0</v>
      </c>
      <c r="AD437" s="34">
        <f t="shared" si="362"/>
        <v>0</v>
      </c>
      <c r="AE437" s="34">
        <f t="shared" si="363"/>
        <v>0</v>
      </c>
      <c r="AF437" s="34">
        <f t="shared" si="364"/>
        <v>0</v>
      </c>
      <c r="AG437" s="29">
        <f t="shared" si="365"/>
        <v>805379.7864235827</v>
      </c>
      <c r="AH437" s="34">
        <f t="shared" si="366"/>
        <v>0</v>
      </c>
      <c r="AI437" s="34">
        <f t="shared" si="367"/>
        <v>0</v>
      </c>
      <c r="AJ437" s="34">
        <f t="shared" si="368"/>
        <v>0</v>
      </c>
      <c r="AK437" s="34">
        <f t="shared" si="369"/>
        <v>0</v>
      </c>
      <c r="AL437" s="34">
        <f t="shared" si="370"/>
        <v>0</v>
      </c>
      <c r="AM437" s="34">
        <f t="shared" si="371"/>
        <v>0</v>
      </c>
      <c r="AN437" s="34">
        <f t="shared" si="372"/>
        <v>0</v>
      </c>
      <c r="AO437" s="34">
        <f t="shared" si="373"/>
        <v>0</v>
      </c>
      <c r="AP437" s="34">
        <f t="shared" si="374"/>
        <v>0</v>
      </c>
      <c r="AQ437" s="34">
        <f t="shared" si="375"/>
        <v>0</v>
      </c>
      <c r="AR437" s="34">
        <f t="shared" si="376"/>
        <v>0</v>
      </c>
      <c r="AS437" s="30">
        <f t="shared" si="377"/>
        <v>1.4319556608303869</v>
      </c>
      <c r="AT437" s="29">
        <f t="shared" si="378"/>
        <v>0</v>
      </c>
      <c r="AU437" s="29">
        <f t="shared" si="379"/>
        <v>0</v>
      </c>
      <c r="AV437" s="34">
        <f t="shared" si="380"/>
        <v>0</v>
      </c>
      <c r="AW437" s="34">
        <f t="shared" si="381"/>
        <v>0</v>
      </c>
      <c r="AX437" s="29">
        <f t="shared" si="382"/>
        <v>0</v>
      </c>
      <c r="AY437" s="34">
        <f t="shared" si="383"/>
        <v>0</v>
      </c>
      <c r="AZ437" s="37">
        <f t="shared" si="384"/>
        <v>0</v>
      </c>
      <c r="BA437" s="37">
        <f t="shared" si="385"/>
        <v>0</v>
      </c>
      <c r="BB437" s="35">
        <f t="shared" si="386"/>
        <v>1.0629305792335675E-3</v>
      </c>
      <c r="BC437" s="31">
        <f t="shared" si="387"/>
        <v>0.63128079989721064</v>
      </c>
      <c r="BD437" s="34">
        <f t="shared" si="388"/>
        <v>0</v>
      </c>
    </row>
    <row r="438" spans="1:56" x14ac:dyDescent="0.2">
      <c r="A438" s="27">
        <f t="shared" si="389"/>
        <v>434</v>
      </c>
      <c r="B438" s="28">
        <f t="shared" si="336"/>
        <v>434</v>
      </c>
      <c r="C438" s="27">
        <f t="shared" si="337"/>
        <v>36</v>
      </c>
      <c r="D438" s="28">
        <f t="shared" si="338"/>
        <v>56</v>
      </c>
      <c r="E438" s="29">
        <f t="shared" si="339"/>
        <v>0</v>
      </c>
      <c r="F438" s="30">
        <f t="shared" si="340"/>
        <v>1.8604276652855909E-3</v>
      </c>
      <c r="G438" s="31">
        <f t="shared" si="341"/>
        <v>1.5516799439008189E-4</v>
      </c>
      <c r="H438" s="32">
        <f t="shared" si="342"/>
        <v>0.02</v>
      </c>
      <c r="I438" s="32">
        <f t="shared" si="343"/>
        <v>0</v>
      </c>
      <c r="J438" s="33">
        <f t="shared" si="390"/>
        <v>0</v>
      </c>
      <c r="K438" s="30">
        <f t="shared" si="344"/>
        <v>0</v>
      </c>
      <c r="L438" s="33">
        <f t="shared" si="345"/>
        <v>0</v>
      </c>
      <c r="M438" s="30">
        <f t="shared" si="346"/>
        <v>0</v>
      </c>
      <c r="N438" s="33">
        <f t="shared" si="347"/>
        <v>0</v>
      </c>
      <c r="O438" s="31">
        <f t="shared" si="348"/>
        <v>0</v>
      </c>
      <c r="P438" s="33">
        <f t="shared" si="349"/>
        <v>0</v>
      </c>
      <c r="Q438" s="34">
        <f t="shared" si="391"/>
        <v>808577.31424708851</v>
      </c>
      <c r="R438" s="29">
        <f t="shared" si="350"/>
        <v>0</v>
      </c>
      <c r="S438" s="34">
        <f t="shared" si="351"/>
        <v>808577.31424708851</v>
      </c>
      <c r="T438" s="29">
        <f t="shared" si="352"/>
        <v>673.81442853924045</v>
      </c>
      <c r="U438" s="29">
        <f t="shared" si="353"/>
        <v>0</v>
      </c>
      <c r="V438" s="35">
        <f t="shared" si="354"/>
        <v>1.706847938290901E-4</v>
      </c>
      <c r="W438" s="34">
        <f t="shared" si="355"/>
        <v>0</v>
      </c>
      <c r="X438" s="34">
        <f t="shared" si="356"/>
        <v>807903.49981854926</v>
      </c>
      <c r="Y438" s="36">
        <f t="shared" si="357"/>
        <v>-6.6332380827156534E-3</v>
      </c>
      <c r="Z438" s="34">
        <f t="shared" si="358"/>
        <v>-5359.0162621556601</v>
      </c>
      <c r="AA438" s="34">
        <f t="shared" si="359"/>
        <v>805223.9916874714</v>
      </c>
      <c r="AB438" s="34">
        <f t="shared" si="360"/>
        <v>0</v>
      </c>
      <c r="AC438" s="34">
        <f t="shared" si="361"/>
        <v>0</v>
      </c>
      <c r="AD438" s="34">
        <f t="shared" si="362"/>
        <v>0</v>
      </c>
      <c r="AE438" s="34">
        <f t="shared" si="363"/>
        <v>0</v>
      </c>
      <c r="AF438" s="34">
        <f t="shared" si="364"/>
        <v>0</v>
      </c>
      <c r="AG438" s="29">
        <f t="shared" si="365"/>
        <v>805223.9916874714</v>
      </c>
      <c r="AH438" s="34">
        <f t="shared" si="366"/>
        <v>0</v>
      </c>
      <c r="AI438" s="34">
        <f t="shared" si="367"/>
        <v>0</v>
      </c>
      <c r="AJ438" s="34">
        <f t="shared" si="368"/>
        <v>0</v>
      </c>
      <c r="AK438" s="34">
        <f t="shared" si="369"/>
        <v>0</v>
      </c>
      <c r="AL438" s="34">
        <f t="shared" si="370"/>
        <v>0</v>
      </c>
      <c r="AM438" s="34">
        <f t="shared" si="371"/>
        <v>0</v>
      </c>
      <c r="AN438" s="34">
        <f t="shared" si="372"/>
        <v>0</v>
      </c>
      <c r="AO438" s="34">
        <f t="shared" si="373"/>
        <v>0</v>
      </c>
      <c r="AP438" s="34">
        <f t="shared" si="374"/>
        <v>0</v>
      </c>
      <c r="AQ438" s="34">
        <f t="shared" si="375"/>
        <v>0</v>
      </c>
      <c r="AR438" s="34">
        <f t="shared" si="376"/>
        <v>0</v>
      </c>
      <c r="AS438" s="30">
        <f t="shared" si="377"/>
        <v>1.4331435226290996</v>
      </c>
      <c r="AT438" s="29">
        <f t="shared" si="378"/>
        <v>0</v>
      </c>
      <c r="AU438" s="29">
        <f t="shared" si="379"/>
        <v>0</v>
      </c>
      <c r="AV438" s="34">
        <f t="shared" si="380"/>
        <v>0</v>
      </c>
      <c r="AW438" s="34">
        <f t="shared" si="381"/>
        <v>0</v>
      </c>
      <c r="AX438" s="29">
        <f t="shared" si="382"/>
        <v>0</v>
      </c>
      <c r="AY438" s="34">
        <f t="shared" si="383"/>
        <v>0</v>
      </c>
      <c r="AZ438" s="37">
        <f t="shared" si="384"/>
        <v>0</v>
      </c>
      <c r="BA438" s="37">
        <f t="shared" si="385"/>
        <v>0</v>
      </c>
      <c r="BB438" s="35">
        <f t="shared" si="386"/>
        <v>1.0629305792335675E-3</v>
      </c>
      <c r="BC438" s="31">
        <f t="shared" si="387"/>
        <v>0.63061050470817026</v>
      </c>
      <c r="BD438" s="34">
        <f t="shared" si="388"/>
        <v>0</v>
      </c>
    </row>
    <row r="439" spans="1:56" x14ac:dyDescent="0.2">
      <c r="A439" s="27">
        <f t="shared" si="389"/>
        <v>435</v>
      </c>
      <c r="B439" s="28">
        <f t="shared" si="336"/>
        <v>435</v>
      </c>
      <c r="C439" s="27">
        <f t="shared" si="337"/>
        <v>36</v>
      </c>
      <c r="D439" s="28">
        <f t="shared" si="338"/>
        <v>56</v>
      </c>
      <c r="E439" s="29">
        <f t="shared" si="339"/>
        <v>0</v>
      </c>
      <c r="F439" s="30">
        <f t="shared" si="340"/>
        <v>1.8604276652855909E-3</v>
      </c>
      <c r="G439" s="31">
        <f t="shared" si="341"/>
        <v>1.5516799439008189E-4</v>
      </c>
      <c r="H439" s="32">
        <f t="shared" si="342"/>
        <v>0.02</v>
      </c>
      <c r="I439" s="32">
        <f t="shared" si="343"/>
        <v>0</v>
      </c>
      <c r="J439" s="33">
        <f t="shared" si="390"/>
        <v>0</v>
      </c>
      <c r="K439" s="30">
        <f t="shared" si="344"/>
        <v>0</v>
      </c>
      <c r="L439" s="33">
        <f t="shared" si="345"/>
        <v>0</v>
      </c>
      <c r="M439" s="30">
        <f t="shared" si="346"/>
        <v>0</v>
      </c>
      <c r="N439" s="33">
        <f t="shared" si="347"/>
        <v>0</v>
      </c>
      <c r="O439" s="31">
        <f t="shared" si="348"/>
        <v>0</v>
      </c>
      <c r="P439" s="33">
        <f t="shared" si="349"/>
        <v>0</v>
      </c>
      <c r="Q439" s="34">
        <f t="shared" si="391"/>
        <v>802544.48355639365</v>
      </c>
      <c r="R439" s="29">
        <f t="shared" si="350"/>
        <v>0</v>
      </c>
      <c r="S439" s="34">
        <f t="shared" si="351"/>
        <v>802544.48355639365</v>
      </c>
      <c r="T439" s="29">
        <f t="shared" si="352"/>
        <v>668.78706963032812</v>
      </c>
      <c r="U439" s="29">
        <f t="shared" si="353"/>
        <v>0</v>
      </c>
      <c r="V439" s="35">
        <f t="shared" si="354"/>
        <v>1.706847938290901E-4</v>
      </c>
      <c r="W439" s="34">
        <f t="shared" si="355"/>
        <v>0</v>
      </c>
      <c r="X439" s="34">
        <f t="shared" si="356"/>
        <v>801875.69648676331</v>
      </c>
      <c r="Y439" s="36">
        <f t="shared" si="357"/>
        <v>-5.1467223402668072E-4</v>
      </c>
      <c r="Z439" s="34">
        <f t="shared" si="358"/>
        <v>-412.70315612254302</v>
      </c>
      <c r="AA439" s="34">
        <f t="shared" si="359"/>
        <v>801669.34490870207</v>
      </c>
      <c r="AB439" s="34">
        <f t="shared" si="360"/>
        <v>0</v>
      </c>
      <c r="AC439" s="34">
        <f t="shared" si="361"/>
        <v>0</v>
      </c>
      <c r="AD439" s="34">
        <f t="shared" si="362"/>
        <v>0</v>
      </c>
      <c r="AE439" s="34">
        <f t="shared" si="363"/>
        <v>0</v>
      </c>
      <c r="AF439" s="34">
        <f t="shared" si="364"/>
        <v>0</v>
      </c>
      <c r="AG439" s="29">
        <f t="shared" si="365"/>
        <v>801669.34490870207</v>
      </c>
      <c r="AH439" s="34">
        <f t="shared" si="366"/>
        <v>0</v>
      </c>
      <c r="AI439" s="34">
        <f t="shared" si="367"/>
        <v>0</v>
      </c>
      <c r="AJ439" s="34">
        <f t="shared" si="368"/>
        <v>0</v>
      </c>
      <c r="AK439" s="34">
        <f t="shared" si="369"/>
        <v>0</v>
      </c>
      <c r="AL439" s="34">
        <f t="shared" si="370"/>
        <v>0</v>
      </c>
      <c r="AM439" s="34">
        <f t="shared" si="371"/>
        <v>0</v>
      </c>
      <c r="AN439" s="34">
        <f t="shared" si="372"/>
        <v>0</v>
      </c>
      <c r="AO439" s="34">
        <f t="shared" si="373"/>
        <v>0</v>
      </c>
      <c r="AP439" s="34">
        <f t="shared" si="374"/>
        <v>0</v>
      </c>
      <c r="AQ439" s="34">
        <f t="shared" si="375"/>
        <v>0</v>
      </c>
      <c r="AR439" s="34">
        <f t="shared" si="376"/>
        <v>0</v>
      </c>
      <c r="AS439" s="30">
        <f t="shared" si="377"/>
        <v>1.4343323698044488</v>
      </c>
      <c r="AT439" s="29">
        <f t="shared" si="378"/>
        <v>0</v>
      </c>
      <c r="AU439" s="29">
        <f t="shared" si="379"/>
        <v>0</v>
      </c>
      <c r="AV439" s="34">
        <f t="shared" si="380"/>
        <v>0</v>
      </c>
      <c r="AW439" s="34">
        <f t="shared" si="381"/>
        <v>0</v>
      </c>
      <c r="AX439" s="29">
        <f t="shared" si="382"/>
        <v>0</v>
      </c>
      <c r="AY439" s="34">
        <f t="shared" si="383"/>
        <v>0</v>
      </c>
      <c r="AZ439" s="37">
        <f t="shared" si="384"/>
        <v>0</v>
      </c>
      <c r="BA439" s="37">
        <f t="shared" si="385"/>
        <v>0</v>
      </c>
      <c r="BB439" s="35">
        <f t="shared" si="386"/>
        <v>1.0629305792335675E-3</v>
      </c>
      <c r="BC439" s="31">
        <f t="shared" si="387"/>
        <v>0.629940921239874</v>
      </c>
      <c r="BD439" s="34">
        <f t="shared" si="388"/>
        <v>0</v>
      </c>
    </row>
    <row r="440" spans="1:56" x14ac:dyDescent="0.2">
      <c r="A440" s="27">
        <f t="shared" si="389"/>
        <v>436</v>
      </c>
      <c r="B440" s="28">
        <f t="shared" si="336"/>
        <v>436</v>
      </c>
      <c r="C440" s="27">
        <f t="shared" si="337"/>
        <v>36</v>
      </c>
      <c r="D440" s="28">
        <f t="shared" si="338"/>
        <v>56</v>
      </c>
      <c r="E440" s="29">
        <f t="shared" si="339"/>
        <v>0</v>
      </c>
      <c r="F440" s="30">
        <f t="shared" si="340"/>
        <v>1.8604276652855909E-3</v>
      </c>
      <c r="G440" s="31">
        <f t="shared" si="341"/>
        <v>1.5516799439008189E-4</v>
      </c>
      <c r="H440" s="32">
        <f t="shared" si="342"/>
        <v>0.02</v>
      </c>
      <c r="I440" s="32">
        <f t="shared" si="343"/>
        <v>0</v>
      </c>
      <c r="J440" s="33">
        <f t="shared" si="390"/>
        <v>0</v>
      </c>
      <c r="K440" s="30">
        <f t="shared" si="344"/>
        <v>0</v>
      </c>
      <c r="L440" s="33">
        <f t="shared" si="345"/>
        <v>0</v>
      </c>
      <c r="M440" s="30">
        <f t="shared" si="346"/>
        <v>0</v>
      </c>
      <c r="N440" s="33">
        <f t="shared" si="347"/>
        <v>0</v>
      </c>
      <c r="O440" s="31">
        <f t="shared" si="348"/>
        <v>0</v>
      </c>
      <c r="P440" s="33">
        <f t="shared" si="349"/>
        <v>0</v>
      </c>
      <c r="Q440" s="34">
        <f t="shared" si="391"/>
        <v>801462.99333064072</v>
      </c>
      <c r="R440" s="29">
        <f t="shared" si="350"/>
        <v>0</v>
      </c>
      <c r="S440" s="34">
        <f t="shared" si="351"/>
        <v>801462.99333064072</v>
      </c>
      <c r="T440" s="29">
        <f t="shared" si="352"/>
        <v>667.88582777553393</v>
      </c>
      <c r="U440" s="29">
        <f t="shared" si="353"/>
        <v>0</v>
      </c>
      <c r="V440" s="35">
        <f t="shared" si="354"/>
        <v>1.706847938290901E-4</v>
      </c>
      <c r="W440" s="34">
        <f t="shared" si="355"/>
        <v>0</v>
      </c>
      <c r="X440" s="34">
        <f t="shared" si="356"/>
        <v>800795.10750286514</v>
      </c>
      <c r="Y440" s="36">
        <f t="shared" si="357"/>
        <v>1.0626790775896122E-3</v>
      </c>
      <c r="Z440" s="34">
        <f t="shared" si="358"/>
        <v>850.98820617941908</v>
      </c>
      <c r="AA440" s="34">
        <f t="shared" si="359"/>
        <v>801220.60160595481</v>
      </c>
      <c r="AB440" s="34">
        <f t="shared" si="360"/>
        <v>0</v>
      </c>
      <c r="AC440" s="34">
        <f t="shared" si="361"/>
        <v>0</v>
      </c>
      <c r="AD440" s="34">
        <f t="shared" si="362"/>
        <v>0</v>
      </c>
      <c r="AE440" s="34">
        <f t="shared" si="363"/>
        <v>0</v>
      </c>
      <c r="AF440" s="34">
        <f t="shared" si="364"/>
        <v>0</v>
      </c>
      <c r="AG440" s="29">
        <f t="shared" si="365"/>
        <v>801220.60160595481</v>
      </c>
      <c r="AH440" s="34">
        <f t="shared" si="366"/>
        <v>0</v>
      </c>
      <c r="AI440" s="34">
        <f t="shared" si="367"/>
        <v>0</v>
      </c>
      <c r="AJ440" s="34">
        <f t="shared" si="368"/>
        <v>0</v>
      </c>
      <c r="AK440" s="34">
        <f t="shared" si="369"/>
        <v>0</v>
      </c>
      <c r="AL440" s="34">
        <f t="shared" si="370"/>
        <v>0</v>
      </c>
      <c r="AM440" s="34">
        <f t="shared" si="371"/>
        <v>0</v>
      </c>
      <c r="AN440" s="34">
        <f t="shared" si="372"/>
        <v>0</v>
      </c>
      <c r="AO440" s="34">
        <f t="shared" si="373"/>
        <v>0</v>
      </c>
      <c r="AP440" s="34">
        <f t="shared" si="374"/>
        <v>0</v>
      </c>
      <c r="AQ440" s="34">
        <f t="shared" si="375"/>
        <v>0</v>
      </c>
      <c r="AR440" s="34">
        <f t="shared" si="376"/>
        <v>0</v>
      </c>
      <c r="AS440" s="30">
        <f t="shared" si="377"/>
        <v>1.4355222031738424</v>
      </c>
      <c r="AT440" s="29">
        <f t="shared" si="378"/>
        <v>0</v>
      </c>
      <c r="AU440" s="29">
        <f t="shared" si="379"/>
        <v>0</v>
      </c>
      <c r="AV440" s="34">
        <f t="shared" si="380"/>
        <v>0</v>
      </c>
      <c r="AW440" s="34">
        <f t="shared" si="381"/>
        <v>0</v>
      </c>
      <c r="AX440" s="29">
        <f t="shared" si="382"/>
        <v>0</v>
      </c>
      <c r="AY440" s="34">
        <f t="shared" si="383"/>
        <v>0</v>
      </c>
      <c r="AZ440" s="37">
        <f t="shared" si="384"/>
        <v>0</v>
      </c>
      <c r="BA440" s="37">
        <f t="shared" si="385"/>
        <v>0</v>
      </c>
      <c r="BB440" s="35">
        <f t="shared" si="386"/>
        <v>1.0629305792335675E-3</v>
      </c>
      <c r="BC440" s="31">
        <f t="shared" si="387"/>
        <v>0.6292720487366148</v>
      </c>
      <c r="BD440" s="34">
        <f t="shared" si="388"/>
        <v>0</v>
      </c>
    </row>
    <row r="441" spans="1:56" x14ac:dyDescent="0.2">
      <c r="A441" s="27">
        <f t="shared" si="389"/>
        <v>437</v>
      </c>
      <c r="B441" s="28">
        <f t="shared" si="336"/>
        <v>437</v>
      </c>
      <c r="C441" s="27">
        <f t="shared" si="337"/>
        <v>36</v>
      </c>
      <c r="D441" s="28">
        <f t="shared" si="338"/>
        <v>56</v>
      </c>
      <c r="E441" s="29">
        <f t="shared" si="339"/>
        <v>0</v>
      </c>
      <c r="F441" s="30">
        <f t="shared" si="340"/>
        <v>1.8604276652855909E-3</v>
      </c>
      <c r="G441" s="31">
        <f t="shared" si="341"/>
        <v>1.5516799439008189E-4</v>
      </c>
      <c r="H441" s="32">
        <f t="shared" si="342"/>
        <v>0.02</v>
      </c>
      <c r="I441" s="32">
        <f t="shared" si="343"/>
        <v>0</v>
      </c>
      <c r="J441" s="33">
        <f t="shared" si="390"/>
        <v>0</v>
      </c>
      <c r="K441" s="30">
        <f t="shared" si="344"/>
        <v>0</v>
      </c>
      <c r="L441" s="33">
        <f t="shared" si="345"/>
        <v>0</v>
      </c>
      <c r="M441" s="30">
        <f t="shared" si="346"/>
        <v>0</v>
      </c>
      <c r="N441" s="33">
        <f t="shared" si="347"/>
        <v>0</v>
      </c>
      <c r="O441" s="31">
        <f t="shared" si="348"/>
        <v>0</v>
      </c>
      <c r="P441" s="33">
        <f t="shared" si="349"/>
        <v>0</v>
      </c>
      <c r="Q441" s="34">
        <f t="shared" si="391"/>
        <v>801646.0957090446</v>
      </c>
      <c r="R441" s="29">
        <f t="shared" si="350"/>
        <v>0</v>
      </c>
      <c r="S441" s="34">
        <f t="shared" si="351"/>
        <v>801646.0957090446</v>
      </c>
      <c r="T441" s="29">
        <f t="shared" si="352"/>
        <v>668.03841309087056</v>
      </c>
      <c r="U441" s="29">
        <f t="shared" si="353"/>
        <v>0</v>
      </c>
      <c r="V441" s="35">
        <f t="shared" si="354"/>
        <v>1.706847938290901E-4</v>
      </c>
      <c r="W441" s="34">
        <f t="shared" si="355"/>
        <v>0</v>
      </c>
      <c r="X441" s="34">
        <f t="shared" si="356"/>
        <v>800978.05729595374</v>
      </c>
      <c r="Y441" s="36">
        <f t="shared" si="357"/>
        <v>-2.0712021746305265E-3</v>
      </c>
      <c r="Z441" s="34">
        <f t="shared" si="358"/>
        <v>-1658.9874941027138</v>
      </c>
      <c r="AA441" s="34">
        <f t="shared" si="359"/>
        <v>800148.5635489024</v>
      </c>
      <c r="AB441" s="34">
        <f t="shared" si="360"/>
        <v>0</v>
      </c>
      <c r="AC441" s="34">
        <f t="shared" si="361"/>
        <v>0</v>
      </c>
      <c r="AD441" s="34">
        <f t="shared" si="362"/>
        <v>0</v>
      </c>
      <c r="AE441" s="34">
        <f t="shared" si="363"/>
        <v>0</v>
      </c>
      <c r="AF441" s="34">
        <f t="shared" si="364"/>
        <v>0</v>
      </c>
      <c r="AG441" s="29">
        <f t="shared" si="365"/>
        <v>800148.5635489024</v>
      </c>
      <c r="AH441" s="34">
        <f t="shared" si="366"/>
        <v>0</v>
      </c>
      <c r="AI441" s="34">
        <f t="shared" si="367"/>
        <v>0</v>
      </c>
      <c r="AJ441" s="34">
        <f t="shared" si="368"/>
        <v>0</v>
      </c>
      <c r="AK441" s="34">
        <f t="shared" si="369"/>
        <v>0</v>
      </c>
      <c r="AL441" s="34">
        <f t="shared" si="370"/>
        <v>0</v>
      </c>
      <c r="AM441" s="34">
        <f t="shared" si="371"/>
        <v>0</v>
      </c>
      <c r="AN441" s="34">
        <f t="shared" si="372"/>
        <v>0</v>
      </c>
      <c r="AO441" s="34">
        <f t="shared" si="373"/>
        <v>0</v>
      </c>
      <c r="AP441" s="34">
        <f t="shared" si="374"/>
        <v>0</v>
      </c>
      <c r="AQ441" s="34">
        <f t="shared" si="375"/>
        <v>0</v>
      </c>
      <c r="AR441" s="34">
        <f t="shared" si="376"/>
        <v>0</v>
      </c>
      <c r="AS441" s="30">
        <f t="shared" si="377"/>
        <v>1.4367130235553651</v>
      </c>
      <c r="AT441" s="29">
        <f t="shared" si="378"/>
        <v>0</v>
      </c>
      <c r="AU441" s="29">
        <f t="shared" si="379"/>
        <v>0</v>
      </c>
      <c r="AV441" s="34">
        <f t="shared" si="380"/>
        <v>0</v>
      </c>
      <c r="AW441" s="34">
        <f t="shared" si="381"/>
        <v>0</v>
      </c>
      <c r="AX441" s="29">
        <f t="shared" si="382"/>
        <v>0</v>
      </c>
      <c r="AY441" s="34">
        <f t="shared" si="383"/>
        <v>0</v>
      </c>
      <c r="AZ441" s="37">
        <f t="shared" si="384"/>
        <v>0</v>
      </c>
      <c r="BA441" s="37">
        <f t="shared" si="385"/>
        <v>0</v>
      </c>
      <c r="BB441" s="35">
        <f t="shared" si="386"/>
        <v>1.0629305792335675E-3</v>
      </c>
      <c r="BC441" s="31">
        <f t="shared" si="387"/>
        <v>0.62860388644348897</v>
      </c>
      <c r="BD441" s="34">
        <f t="shared" si="388"/>
        <v>0</v>
      </c>
    </row>
    <row r="442" spans="1:56" x14ac:dyDescent="0.2">
      <c r="A442" s="27">
        <f t="shared" si="389"/>
        <v>438</v>
      </c>
      <c r="B442" s="28">
        <f t="shared" si="336"/>
        <v>438</v>
      </c>
      <c r="C442" s="27">
        <f t="shared" si="337"/>
        <v>36</v>
      </c>
      <c r="D442" s="28">
        <f t="shared" si="338"/>
        <v>56</v>
      </c>
      <c r="E442" s="29">
        <f t="shared" si="339"/>
        <v>0</v>
      </c>
      <c r="F442" s="30">
        <f t="shared" si="340"/>
        <v>1.8604276652855909E-3</v>
      </c>
      <c r="G442" s="31">
        <f t="shared" si="341"/>
        <v>1.5516799439008189E-4</v>
      </c>
      <c r="H442" s="32">
        <f t="shared" si="342"/>
        <v>0.02</v>
      </c>
      <c r="I442" s="32">
        <f t="shared" si="343"/>
        <v>0</v>
      </c>
      <c r="J442" s="33">
        <f t="shared" si="390"/>
        <v>0</v>
      </c>
      <c r="K442" s="30">
        <f t="shared" si="344"/>
        <v>0</v>
      </c>
      <c r="L442" s="33">
        <f t="shared" si="345"/>
        <v>0</v>
      </c>
      <c r="M442" s="30">
        <f t="shared" si="346"/>
        <v>0</v>
      </c>
      <c r="N442" s="33">
        <f t="shared" si="347"/>
        <v>0</v>
      </c>
      <c r="O442" s="31">
        <f t="shared" si="348"/>
        <v>0</v>
      </c>
      <c r="P442" s="33">
        <f t="shared" si="349"/>
        <v>0</v>
      </c>
      <c r="Q442" s="34">
        <f t="shared" si="391"/>
        <v>799319.06980185106</v>
      </c>
      <c r="R442" s="29">
        <f t="shared" si="350"/>
        <v>0</v>
      </c>
      <c r="S442" s="34">
        <f t="shared" si="351"/>
        <v>799319.06980185106</v>
      </c>
      <c r="T442" s="29">
        <f t="shared" si="352"/>
        <v>666.09922483487594</v>
      </c>
      <c r="U442" s="29">
        <f t="shared" si="353"/>
        <v>0</v>
      </c>
      <c r="V442" s="35">
        <f t="shared" si="354"/>
        <v>1.706847938290901E-4</v>
      </c>
      <c r="W442" s="34">
        <f t="shared" si="355"/>
        <v>0</v>
      </c>
      <c r="X442" s="34">
        <f t="shared" si="356"/>
        <v>798652.97057701624</v>
      </c>
      <c r="Y442" s="36">
        <f t="shared" si="357"/>
        <v>7.0651944437982728E-4</v>
      </c>
      <c r="Z442" s="34">
        <f t="shared" si="358"/>
        <v>564.26385302437211</v>
      </c>
      <c r="AA442" s="34">
        <f t="shared" si="359"/>
        <v>798935.10250352847</v>
      </c>
      <c r="AB442" s="34">
        <f t="shared" si="360"/>
        <v>0</v>
      </c>
      <c r="AC442" s="34">
        <f t="shared" si="361"/>
        <v>0</v>
      </c>
      <c r="AD442" s="34">
        <f t="shared" si="362"/>
        <v>0</v>
      </c>
      <c r="AE442" s="34">
        <f t="shared" si="363"/>
        <v>0</v>
      </c>
      <c r="AF442" s="34">
        <f t="shared" si="364"/>
        <v>0</v>
      </c>
      <c r="AG442" s="29">
        <f t="shared" si="365"/>
        <v>798935.10250352847</v>
      </c>
      <c r="AH442" s="34">
        <f t="shared" si="366"/>
        <v>0</v>
      </c>
      <c r="AI442" s="34">
        <f t="shared" si="367"/>
        <v>0</v>
      </c>
      <c r="AJ442" s="34">
        <f t="shared" si="368"/>
        <v>0</v>
      </c>
      <c r="AK442" s="34">
        <f t="shared" si="369"/>
        <v>0</v>
      </c>
      <c r="AL442" s="34">
        <f t="shared" si="370"/>
        <v>0</v>
      </c>
      <c r="AM442" s="34">
        <f t="shared" si="371"/>
        <v>0</v>
      </c>
      <c r="AN442" s="34">
        <f t="shared" si="372"/>
        <v>0</v>
      </c>
      <c r="AO442" s="34">
        <f t="shared" si="373"/>
        <v>0</v>
      </c>
      <c r="AP442" s="34">
        <f t="shared" si="374"/>
        <v>0</v>
      </c>
      <c r="AQ442" s="34">
        <f t="shared" si="375"/>
        <v>0</v>
      </c>
      <c r="AR442" s="34">
        <f t="shared" si="376"/>
        <v>0</v>
      </c>
      <c r="AS442" s="30">
        <f t="shared" si="377"/>
        <v>1.4379048317677821</v>
      </c>
      <c r="AT442" s="29">
        <f t="shared" si="378"/>
        <v>0</v>
      </c>
      <c r="AU442" s="29">
        <f t="shared" si="379"/>
        <v>0</v>
      </c>
      <c r="AV442" s="34">
        <f t="shared" si="380"/>
        <v>0</v>
      </c>
      <c r="AW442" s="34">
        <f t="shared" si="381"/>
        <v>0</v>
      </c>
      <c r="AX442" s="29">
        <f t="shared" si="382"/>
        <v>0</v>
      </c>
      <c r="AY442" s="34">
        <f t="shared" si="383"/>
        <v>0</v>
      </c>
      <c r="AZ442" s="37">
        <f t="shared" si="384"/>
        <v>0</v>
      </c>
      <c r="BA442" s="37">
        <f t="shared" si="385"/>
        <v>0</v>
      </c>
      <c r="BB442" s="35">
        <f t="shared" si="386"/>
        <v>1.0629305792335675E-3</v>
      </c>
      <c r="BC442" s="31">
        <f t="shared" si="387"/>
        <v>0.62793643360639395</v>
      </c>
      <c r="BD442" s="34">
        <f t="shared" si="388"/>
        <v>0</v>
      </c>
    </row>
    <row r="443" spans="1:56" x14ac:dyDescent="0.2">
      <c r="A443" s="27">
        <f t="shared" si="389"/>
        <v>439</v>
      </c>
      <c r="B443" s="28">
        <f t="shared" si="336"/>
        <v>439</v>
      </c>
      <c r="C443" s="27">
        <f t="shared" si="337"/>
        <v>36</v>
      </c>
      <c r="D443" s="28">
        <f t="shared" si="338"/>
        <v>56</v>
      </c>
      <c r="E443" s="29">
        <f t="shared" si="339"/>
        <v>0</v>
      </c>
      <c r="F443" s="30">
        <f t="shared" si="340"/>
        <v>1.8604276652855909E-3</v>
      </c>
      <c r="G443" s="31">
        <f t="shared" si="341"/>
        <v>1.5516799439008189E-4</v>
      </c>
      <c r="H443" s="32">
        <f t="shared" si="342"/>
        <v>0.02</v>
      </c>
      <c r="I443" s="32">
        <f t="shared" si="343"/>
        <v>0</v>
      </c>
      <c r="J443" s="33">
        <f t="shared" si="390"/>
        <v>0</v>
      </c>
      <c r="K443" s="30">
        <f t="shared" si="344"/>
        <v>0</v>
      </c>
      <c r="L443" s="33">
        <f t="shared" si="345"/>
        <v>0</v>
      </c>
      <c r="M443" s="30">
        <f t="shared" si="346"/>
        <v>0</v>
      </c>
      <c r="N443" s="33">
        <f t="shared" si="347"/>
        <v>0</v>
      </c>
      <c r="O443" s="31">
        <f t="shared" si="348"/>
        <v>0</v>
      </c>
      <c r="P443" s="33">
        <f t="shared" si="349"/>
        <v>0</v>
      </c>
      <c r="Q443" s="34">
        <f t="shared" si="391"/>
        <v>799217.23443004058</v>
      </c>
      <c r="R443" s="29">
        <f t="shared" si="350"/>
        <v>0</v>
      </c>
      <c r="S443" s="34">
        <f t="shared" si="351"/>
        <v>799217.23443004058</v>
      </c>
      <c r="T443" s="29">
        <f t="shared" si="352"/>
        <v>666.01436202503385</v>
      </c>
      <c r="U443" s="29">
        <f t="shared" si="353"/>
        <v>0</v>
      </c>
      <c r="V443" s="35">
        <f t="shared" si="354"/>
        <v>1.706847938290901E-4</v>
      </c>
      <c r="W443" s="34">
        <f t="shared" si="355"/>
        <v>0</v>
      </c>
      <c r="X443" s="34">
        <f t="shared" si="356"/>
        <v>798551.22006801551</v>
      </c>
      <c r="Y443" s="36">
        <f t="shared" si="357"/>
        <v>1.0071339404864599E-2</v>
      </c>
      <c r="Z443" s="34">
        <f t="shared" si="358"/>
        <v>8042.4803694737066</v>
      </c>
      <c r="AA443" s="34">
        <f t="shared" si="359"/>
        <v>802572.46025275241</v>
      </c>
      <c r="AB443" s="34">
        <f t="shared" si="360"/>
        <v>0</v>
      </c>
      <c r="AC443" s="34">
        <f t="shared" si="361"/>
        <v>0</v>
      </c>
      <c r="AD443" s="34">
        <f t="shared" si="362"/>
        <v>0</v>
      </c>
      <c r="AE443" s="34">
        <f t="shared" si="363"/>
        <v>0</v>
      </c>
      <c r="AF443" s="34">
        <f t="shared" si="364"/>
        <v>0</v>
      </c>
      <c r="AG443" s="29">
        <f t="shared" si="365"/>
        <v>802572.46025275241</v>
      </c>
      <c r="AH443" s="34">
        <f t="shared" si="366"/>
        <v>0</v>
      </c>
      <c r="AI443" s="34">
        <f t="shared" si="367"/>
        <v>0</v>
      </c>
      <c r="AJ443" s="34">
        <f t="shared" si="368"/>
        <v>0</v>
      </c>
      <c r="AK443" s="34">
        <f t="shared" si="369"/>
        <v>0</v>
      </c>
      <c r="AL443" s="34">
        <f t="shared" si="370"/>
        <v>0</v>
      </c>
      <c r="AM443" s="34">
        <f t="shared" si="371"/>
        <v>0</v>
      </c>
      <c r="AN443" s="34">
        <f t="shared" si="372"/>
        <v>0</v>
      </c>
      <c r="AO443" s="34">
        <f t="shared" si="373"/>
        <v>0</v>
      </c>
      <c r="AP443" s="34">
        <f t="shared" si="374"/>
        <v>0</v>
      </c>
      <c r="AQ443" s="34">
        <f t="shared" si="375"/>
        <v>0</v>
      </c>
      <c r="AR443" s="34">
        <f t="shared" si="376"/>
        <v>0</v>
      </c>
      <c r="AS443" s="30">
        <f t="shared" si="377"/>
        <v>1.4390976286305361</v>
      </c>
      <c r="AT443" s="29">
        <f t="shared" si="378"/>
        <v>0</v>
      </c>
      <c r="AU443" s="29">
        <f t="shared" si="379"/>
        <v>0</v>
      </c>
      <c r="AV443" s="34">
        <f t="shared" si="380"/>
        <v>0</v>
      </c>
      <c r="AW443" s="34">
        <f t="shared" si="381"/>
        <v>0</v>
      </c>
      <c r="AX443" s="29">
        <f t="shared" si="382"/>
        <v>0</v>
      </c>
      <c r="AY443" s="34">
        <f t="shared" si="383"/>
        <v>0</v>
      </c>
      <c r="AZ443" s="37">
        <f t="shared" si="384"/>
        <v>0</v>
      </c>
      <c r="BA443" s="37">
        <f t="shared" si="385"/>
        <v>0</v>
      </c>
      <c r="BB443" s="35">
        <f t="shared" si="386"/>
        <v>1.0629305792335675E-3</v>
      </c>
      <c r="BC443" s="31">
        <f t="shared" si="387"/>
        <v>0.62726968947202788</v>
      </c>
      <c r="BD443" s="34">
        <f t="shared" si="388"/>
        <v>0</v>
      </c>
    </row>
    <row r="444" spans="1:56" x14ac:dyDescent="0.2">
      <c r="A444" s="27">
        <f t="shared" si="389"/>
        <v>440</v>
      </c>
      <c r="B444" s="28">
        <f t="shared" si="336"/>
        <v>440</v>
      </c>
      <c r="C444" s="27">
        <f t="shared" si="337"/>
        <v>36</v>
      </c>
      <c r="D444" s="28">
        <f t="shared" si="338"/>
        <v>56</v>
      </c>
      <c r="E444" s="29">
        <f t="shared" si="339"/>
        <v>0</v>
      </c>
      <c r="F444" s="30">
        <f t="shared" si="340"/>
        <v>1.8604276652855909E-3</v>
      </c>
      <c r="G444" s="31">
        <f t="shared" si="341"/>
        <v>1.5516799439008189E-4</v>
      </c>
      <c r="H444" s="32">
        <f t="shared" si="342"/>
        <v>0.02</v>
      </c>
      <c r="I444" s="32">
        <f t="shared" si="343"/>
        <v>0</v>
      </c>
      <c r="J444" s="33">
        <f t="shared" si="390"/>
        <v>0</v>
      </c>
      <c r="K444" s="30">
        <f t="shared" si="344"/>
        <v>0</v>
      </c>
      <c r="L444" s="33">
        <f t="shared" si="345"/>
        <v>0</v>
      </c>
      <c r="M444" s="30">
        <f t="shared" si="346"/>
        <v>0</v>
      </c>
      <c r="N444" s="33">
        <f t="shared" si="347"/>
        <v>0</v>
      </c>
      <c r="O444" s="31">
        <f t="shared" si="348"/>
        <v>0</v>
      </c>
      <c r="P444" s="33">
        <f t="shared" si="349"/>
        <v>0</v>
      </c>
      <c r="Q444" s="34">
        <f t="shared" si="391"/>
        <v>806593.7004374892</v>
      </c>
      <c r="R444" s="29">
        <f t="shared" si="350"/>
        <v>0</v>
      </c>
      <c r="S444" s="34">
        <f t="shared" si="351"/>
        <v>806593.7004374892</v>
      </c>
      <c r="T444" s="29">
        <f t="shared" si="352"/>
        <v>672.16141703124106</v>
      </c>
      <c r="U444" s="29">
        <f t="shared" si="353"/>
        <v>0</v>
      </c>
      <c r="V444" s="35">
        <f t="shared" si="354"/>
        <v>1.706847938290901E-4</v>
      </c>
      <c r="W444" s="34">
        <f t="shared" si="355"/>
        <v>0</v>
      </c>
      <c r="X444" s="34">
        <f t="shared" si="356"/>
        <v>805921.539020458</v>
      </c>
      <c r="Y444" s="36">
        <f t="shared" si="357"/>
        <v>-4.646921428949069E-4</v>
      </c>
      <c r="Z444" s="34">
        <f t="shared" si="358"/>
        <v>-374.50540697257799</v>
      </c>
      <c r="AA444" s="34">
        <f t="shared" si="359"/>
        <v>805734.28631697176</v>
      </c>
      <c r="AB444" s="34">
        <f t="shared" si="360"/>
        <v>0</v>
      </c>
      <c r="AC444" s="34">
        <f t="shared" si="361"/>
        <v>0</v>
      </c>
      <c r="AD444" s="34">
        <f t="shared" si="362"/>
        <v>0</v>
      </c>
      <c r="AE444" s="34">
        <f t="shared" si="363"/>
        <v>0</v>
      </c>
      <c r="AF444" s="34">
        <f t="shared" si="364"/>
        <v>0</v>
      </c>
      <c r="AG444" s="29">
        <f t="shared" si="365"/>
        <v>805734.28631697176</v>
      </c>
      <c r="AH444" s="34">
        <f t="shared" si="366"/>
        <v>0</v>
      </c>
      <c r="AI444" s="34">
        <f t="shared" si="367"/>
        <v>0</v>
      </c>
      <c r="AJ444" s="34">
        <f t="shared" si="368"/>
        <v>0</v>
      </c>
      <c r="AK444" s="34">
        <f t="shared" si="369"/>
        <v>0</v>
      </c>
      <c r="AL444" s="34">
        <f t="shared" si="370"/>
        <v>0</v>
      </c>
      <c r="AM444" s="34">
        <f t="shared" si="371"/>
        <v>0</v>
      </c>
      <c r="AN444" s="34">
        <f t="shared" si="372"/>
        <v>0</v>
      </c>
      <c r="AO444" s="34">
        <f t="shared" si="373"/>
        <v>0</v>
      </c>
      <c r="AP444" s="34">
        <f t="shared" si="374"/>
        <v>0</v>
      </c>
      <c r="AQ444" s="34">
        <f t="shared" si="375"/>
        <v>0</v>
      </c>
      <c r="AR444" s="34">
        <f t="shared" si="376"/>
        <v>0</v>
      </c>
      <c r="AS444" s="30">
        <f t="shared" si="377"/>
        <v>1.4402914149637502</v>
      </c>
      <c r="AT444" s="29">
        <f t="shared" si="378"/>
        <v>0</v>
      </c>
      <c r="AU444" s="29">
        <f t="shared" si="379"/>
        <v>0</v>
      </c>
      <c r="AV444" s="34">
        <f t="shared" si="380"/>
        <v>0</v>
      </c>
      <c r="AW444" s="34">
        <f t="shared" si="381"/>
        <v>0</v>
      </c>
      <c r="AX444" s="29">
        <f t="shared" si="382"/>
        <v>0</v>
      </c>
      <c r="AY444" s="34">
        <f t="shared" si="383"/>
        <v>0</v>
      </c>
      <c r="AZ444" s="37">
        <f t="shared" si="384"/>
        <v>0</v>
      </c>
      <c r="BA444" s="37">
        <f t="shared" si="385"/>
        <v>0</v>
      </c>
      <c r="BB444" s="35">
        <f t="shared" si="386"/>
        <v>1.0629305792335675E-3</v>
      </c>
      <c r="BC444" s="31">
        <f t="shared" si="387"/>
        <v>0.62660365328788847</v>
      </c>
      <c r="BD444" s="34">
        <f t="shared" si="388"/>
        <v>0</v>
      </c>
    </row>
    <row r="445" spans="1:56" x14ac:dyDescent="0.2">
      <c r="A445" s="27">
        <f t="shared" si="389"/>
        <v>441</v>
      </c>
      <c r="B445" s="28">
        <f t="shared" si="336"/>
        <v>441</v>
      </c>
      <c r="C445" s="27">
        <f t="shared" si="337"/>
        <v>36</v>
      </c>
      <c r="D445" s="28">
        <f t="shared" si="338"/>
        <v>56</v>
      </c>
      <c r="E445" s="29">
        <f t="shared" si="339"/>
        <v>0</v>
      </c>
      <c r="F445" s="30">
        <f t="shared" si="340"/>
        <v>1.8604276652855909E-3</v>
      </c>
      <c r="G445" s="31">
        <f t="shared" si="341"/>
        <v>1.5516799439008189E-4</v>
      </c>
      <c r="H445" s="32">
        <f t="shared" si="342"/>
        <v>0.02</v>
      </c>
      <c r="I445" s="32">
        <f t="shared" si="343"/>
        <v>0</v>
      </c>
      <c r="J445" s="33">
        <f t="shared" si="390"/>
        <v>0</v>
      </c>
      <c r="K445" s="30">
        <f t="shared" si="344"/>
        <v>0</v>
      </c>
      <c r="L445" s="33">
        <f t="shared" si="345"/>
        <v>0</v>
      </c>
      <c r="M445" s="30">
        <f t="shared" si="346"/>
        <v>0</v>
      </c>
      <c r="N445" s="33">
        <f t="shared" si="347"/>
        <v>0</v>
      </c>
      <c r="O445" s="31">
        <f t="shared" si="348"/>
        <v>0</v>
      </c>
      <c r="P445" s="33">
        <f t="shared" si="349"/>
        <v>0</v>
      </c>
      <c r="Q445" s="34">
        <f t="shared" si="391"/>
        <v>805547.0336134854</v>
      </c>
      <c r="R445" s="29">
        <f t="shared" si="350"/>
        <v>0</v>
      </c>
      <c r="S445" s="34">
        <f t="shared" si="351"/>
        <v>805547.0336134854</v>
      </c>
      <c r="T445" s="29">
        <f t="shared" si="352"/>
        <v>671.28919467790456</v>
      </c>
      <c r="U445" s="29">
        <f t="shared" si="353"/>
        <v>0</v>
      </c>
      <c r="V445" s="35">
        <f t="shared" si="354"/>
        <v>1.706847938290901E-4</v>
      </c>
      <c r="W445" s="34">
        <f t="shared" si="355"/>
        <v>0</v>
      </c>
      <c r="X445" s="34">
        <f t="shared" si="356"/>
        <v>804875.74441880744</v>
      </c>
      <c r="Y445" s="36">
        <f t="shared" si="357"/>
        <v>1.3357507829015791E-2</v>
      </c>
      <c r="Z445" s="34">
        <f t="shared" si="358"/>
        <v>10751.134057459134</v>
      </c>
      <c r="AA445" s="34">
        <f t="shared" si="359"/>
        <v>810251.31144753704</v>
      </c>
      <c r="AB445" s="34">
        <f t="shared" si="360"/>
        <v>0</v>
      </c>
      <c r="AC445" s="34">
        <f t="shared" si="361"/>
        <v>0</v>
      </c>
      <c r="AD445" s="34">
        <f t="shared" si="362"/>
        <v>0</v>
      </c>
      <c r="AE445" s="34">
        <f t="shared" si="363"/>
        <v>0</v>
      </c>
      <c r="AF445" s="34">
        <f t="shared" si="364"/>
        <v>0</v>
      </c>
      <c r="AG445" s="29">
        <f t="shared" si="365"/>
        <v>810251.31144753704</v>
      </c>
      <c r="AH445" s="34">
        <f t="shared" si="366"/>
        <v>0</v>
      </c>
      <c r="AI445" s="34">
        <f t="shared" si="367"/>
        <v>0</v>
      </c>
      <c r="AJ445" s="34">
        <f t="shared" si="368"/>
        <v>0</v>
      </c>
      <c r="AK445" s="34">
        <f t="shared" si="369"/>
        <v>0</v>
      </c>
      <c r="AL445" s="34">
        <f t="shared" si="370"/>
        <v>0</v>
      </c>
      <c r="AM445" s="34">
        <f t="shared" si="371"/>
        <v>0</v>
      </c>
      <c r="AN445" s="34">
        <f t="shared" si="372"/>
        <v>0</v>
      </c>
      <c r="AO445" s="34">
        <f t="shared" si="373"/>
        <v>0</v>
      </c>
      <c r="AP445" s="34">
        <f t="shared" si="374"/>
        <v>0</v>
      </c>
      <c r="AQ445" s="34">
        <f t="shared" si="375"/>
        <v>0</v>
      </c>
      <c r="AR445" s="34">
        <f t="shared" si="376"/>
        <v>0</v>
      </c>
      <c r="AS445" s="30">
        <f t="shared" si="377"/>
        <v>1.4414861915882284</v>
      </c>
      <c r="AT445" s="29">
        <f t="shared" si="378"/>
        <v>0</v>
      </c>
      <c r="AU445" s="29">
        <f t="shared" si="379"/>
        <v>0</v>
      </c>
      <c r="AV445" s="34">
        <f t="shared" si="380"/>
        <v>0</v>
      </c>
      <c r="AW445" s="34">
        <f t="shared" si="381"/>
        <v>0</v>
      </c>
      <c r="AX445" s="29">
        <f t="shared" si="382"/>
        <v>0</v>
      </c>
      <c r="AY445" s="34">
        <f t="shared" si="383"/>
        <v>0</v>
      </c>
      <c r="AZ445" s="37">
        <f t="shared" si="384"/>
        <v>0</v>
      </c>
      <c r="BA445" s="37">
        <f t="shared" si="385"/>
        <v>0</v>
      </c>
      <c r="BB445" s="35">
        <f t="shared" si="386"/>
        <v>1.0629305792335675E-3</v>
      </c>
      <c r="BC445" s="31">
        <f t="shared" si="387"/>
        <v>0.62593832430227325</v>
      </c>
      <c r="BD445" s="34">
        <f t="shared" si="388"/>
        <v>0</v>
      </c>
    </row>
    <row r="446" spans="1:56" x14ac:dyDescent="0.2">
      <c r="A446" s="27">
        <f t="shared" si="389"/>
        <v>442</v>
      </c>
      <c r="B446" s="28">
        <f t="shared" si="336"/>
        <v>442</v>
      </c>
      <c r="C446" s="27">
        <f t="shared" si="337"/>
        <v>36</v>
      </c>
      <c r="D446" s="28">
        <f t="shared" si="338"/>
        <v>56</v>
      </c>
      <c r="E446" s="29">
        <f t="shared" si="339"/>
        <v>0</v>
      </c>
      <c r="F446" s="30">
        <f t="shared" si="340"/>
        <v>1.8604276652855909E-3</v>
      </c>
      <c r="G446" s="31">
        <f t="shared" si="341"/>
        <v>1.5516799439008189E-4</v>
      </c>
      <c r="H446" s="32">
        <f t="shared" si="342"/>
        <v>0.02</v>
      </c>
      <c r="I446" s="32">
        <f t="shared" si="343"/>
        <v>0</v>
      </c>
      <c r="J446" s="33">
        <f t="shared" si="390"/>
        <v>0</v>
      </c>
      <c r="K446" s="30">
        <f t="shared" si="344"/>
        <v>0</v>
      </c>
      <c r="L446" s="33">
        <f t="shared" si="345"/>
        <v>0</v>
      </c>
      <c r="M446" s="30">
        <f t="shared" si="346"/>
        <v>0</v>
      </c>
      <c r="N446" s="33">
        <f t="shared" si="347"/>
        <v>0</v>
      </c>
      <c r="O446" s="31">
        <f t="shared" si="348"/>
        <v>0</v>
      </c>
      <c r="P446" s="33">
        <f t="shared" si="349"/>
        <v>0</v>
      </c>
      <c r="Q446" s="34">
        <f t="shared" si="391"/>
        <v>815626.87847626663</v>
      </c>
      <c r="R446" s="29">
        <f t="shared" si="350"/>
        <v>0</v>
      </c>
      <c r="S446" s="34">
        <f t="shared" si="351"/>
        <v>815626.87847626663</v>
      </c>
      <c r="T446" s="29">
        <f t="shared" si="352"/>
        <v>679.68906539688885</v>
      </c>
      <c r="U446" s="29">
        <f t="shared" si="353"/>
        <v>0</v>
      </c>
      <c r="V446" s="35">
        <f t="shared" si="354"/>
        <v>1.706847938290901E-4</v>
      </c>
      <c r="W446" s="34">
        <f t="shared" si="355"/>
        <v>0</v>
      </c>
      <c r="X446" s="34">
        <f t="shared" si="356"/>
        <v>814947.18941086973</v>
      </c>
      <c r="Y446" s="36">
        <f t="shared" si="357"/>
        <v>1.7989046618827054E-3</v>
      </c>
      <c r="Z446" s="34">
        <f t="shared" si="358"/>
        <v>1466.0122982194216</v>
      </c>
      <c r="AA446" s="34">
        <f t="shared" si="359"/>
        <v>815680.19555997942</v>
      </c>
      <c r="AB446" s="34">
        <f t="shared" si="360"/>
        <v>0</v>
      </c>
      <c r="AC446" s="34">
        <f t="shared" si="361"/>
        <v>0</v>
      </c>
      <c r="AD446" s="34">
        <f t="shared" si="362"/>
        <v>0</v>
      </c>
      <c r="AE446" s="34">
        <f t="shared" si="363"/>
        <v>0</v>
      </c>
      <c r="AF446" s="34">
        <f t="shared" si="364"/>
        <v>0</v>
      </c>
      <c r="AG446" s="29">
        <f t="shared" si="365"/>
        <v>815680.19555997942</v>
      </c>
      <c r="AH446" s="34">
        <f t="shared" si="366"/>
        <v>0</v>
      </c>
      <c r="AI446" s="34">
        <f t="shared" si="367"/>
        <v>0</v>
      </c>
      <c r="AJ446" s="34">
        <f t="shared" si="368"/>
        <v>0</v>
      </c>
      <c r="AK446" s="34">
        <f t="shared" si="369"/>
        <v>0</v>
      </c>
      <c r="AL446" s="34">
        <f t="shared" si="370"/>
        <v>0</v>
      </c>
      <c r="AM446" s="34">
        <f t="shared" si="371"/>
        <v>0</v>
      </c>
      <c r="AN446" s="34">
        <f t="shared" si="372"/>
        <v>0</v>
      </c>
      <c r="AO446" s="34">
        <f t="shared" si="373"/>
        <v>0</v>
      </c>
      <c r="AP446" s="34">
        <f t="shared" si="374"/>
        <v>0</v>
      </c>
      <c r="AQ446" s="34">
        <f t="shared" si="375"/>
        <v>0</v>
      </c>
      <c r="AR446" s="34">
        <f t="shared" si="376"/>
        <v>0</v>
      </c>
      <c r="AS446" s="30">
        <f t="shared" si="377"/>
        <v>1.4426819593254547</v>
      </c>
      <c r="AT446" s="29">
        <f t="shared" si="378"/>
        <v>0</v>
      </c>
      <c r="AU446" s="29">
        <f t="shared" si="379"/>
        <v>0</v>
      </c>
      <c r="AV446" s="34">
        <f t="shared" si="380"/>
        <v>0</v>
      </c>
      <c r="AW446" s="34">
        <f t="shared" si="381"/>
        <v>0</v>
      </c>
      <c r="AX446" s="29">
        <f t="shared" si="382"/>
        <v>0</v>
      </c>
      <c r="AY446" s="34">
        <f t="shared" si="383"/>
        <v>0</v>
      </c>
      <c r="AZ446" s="37">
        <f t="shared" si="384"/>
        <v>0</v>
      </c>
      <c r="BA446" s="37">
        <f t="shared" si="385"/>
        <v>0</v>
      </c>
      <c r="BB446" s="35">
        <f t="shared" si="386"/>
        <v>1.0629305792335675E-3</v>
      </c>
      <c r="BC446" s="31">
        <f t="shared" si="387"/>
        <v>0.62527370176427777</v>
      </c>
      <c r="BD446" s="34">
        <f t="shared" si="388"/>
        <v>0</v>
      </c>
    </row>
    <row r="447" spans="1:56" x14ac:dyDescent="0.2">
      <c r="A447" s="27">
        <f t="shared" si="389"/>
        <v>443</v>
      </c>
      <c r="B447" s="28">
        <f t="shared" si="336"/>
        <v>443</v>
      </c>
      <c r="C447" s="27">
        <f t="shared" si="337"/>
        <v>36</v>
      </c>
      <c r="D447" s="28">
        <f t="shared" si="338"/>
        <v>56</v>
      </c>
      <c r="E447" s="29">
        <f t="shared" si="339"/>
        <v>0</v>
      </c>
      <c r="F447" s="30">
        <f t="shared" si="340"/>
        <v>1.8604276652855909E-3</v>
      </c>
      <c r="G447" s="31">
        <f t="shared" si="341"/>
        <v>1.5516799439008189E-4</v>
      </c>
      <c r="H447" s="32">
        <f t="shared" si="342"/>
        <v>0.02</v>
      </c>
      <c r="I447" s="32">
        <f t="shared" si="343"/>
        <v>0</v>
      </c>
      <c r="J447" s="33">
        <f t="shared" si="390"/>
        <v>0</v>
      </c>
      <c r="K447" s="30">
        <f t="shared" si="344"/>
        <v>0</v>
      </c>
      <c r="L447" s="33">
        <f t="shared" si="345"/>
        <v>0</v>
      </c>
      <c r="M447" s="30">
        <f t="shared" si="346"/>
        <v>0</v>
      </c>
      <c r="N447" s="33">
        <f t="shared" si="347"/>
        <v>0</v>
      </c>
      <c r="O447" s="31">
        <f t="shared" si="348"/>
        <v>0</v>
      </c>
      <c r="P447" s="33">
        <f t="shared" si="349"/>
        <v>0</v>
      </c>
      <c r="Q447" s="34">
        <f t="shared" si="391"/>
        <v>816413.2017090891</v>
      </c>
      <c r="R447" s="29">
        <f t="shared" si="350"/>
        <v>0</v>
      </c>
      <c r="S447" s="34">
        <f t="shared" si="351"/>
        <v>816413.2017090891</v>
      </c>
      <c r="T447" s="29">
        <f t="shared" si="352"/>
        <v>680.3443347575743</v>
      </c>
      <c r="U447" s="29">
        <f t="shared" si="353"/>
        <v>0</v>
      </c>
      <c r="V447" s="35">
        <f t="shared" si="354"/>
        <v>1.706847938290901E-4</v>
      </c>
      <c r="W447" s="34">
        <f t="shared" si="355"/>
        <v>0</v>
      </c>
      <c r="X447" s="34">
        <f t="shared" si="356"/>
        <v>815732.85737433156</v>
      </c>
      <c r="Y447" s="36">
        <f t="shared" si="357"/>
        <v>-1.3634702167327983E-2</v>
      </c>
      <c r="Z447" s="34">
        <f t="shared" si="358"/>
        <v>-11122.274558402447</v>
      </c>
      <c r="AA447" s="34">
        <f t="shared" si="359"/>
        <v>810171.72009513038</v>
      </c>
      <c r="AB447" s="34">
        <f t="shared" si="360"/>
        <v>0</v>
      </c>
      <c r="AC447" s="34">
        <f t="shared" si="361"/>
        <v>0</v>
      </c>
      <c r="AD447" s="34">
        <f t="shared" si="362"/>
        <v>0</v>
      </c>
      <c r="AE447" s="34">
        <f t="shared" si="363"/>
        <v>0</v>
      </c>
      <c r="AF447" s="34">
        <f t="shared" si="364"/>
        <v>0</v>
      </c>
      <c r="AG447" s="29">
        <f t="shared" si="365"/>
        <v>810171.72009513038</v>
      </c>
      <c r="AH447" s="34">
        <f t="shared" si="366"/>
        <v>0</v>
      </c>
      <c r="AI447" s="34">
        <f t="shared" si="367"/>
        <v>0</v>
      </c>
      <c r="AJ447" s="34">
        <f t="shared" si="368"/>
        <v>0</v>
      </c>
      <c r="AK447" s="34">
        <f t="shared" si="369"/>
        <v>0</v>
      </c>
      <c r="AL447" s="34">
        <f t="shared" si="370"/>
        <v>0</v>
      </c>
      <c r="AM447" s="34">
        <f t="shared" si="371"/>
        <v>0</v>
      </c>
      <c r="AN447" s="34">
        <f t="shared" si="372"/>
        <v>0</v>
      </c>
      <c r="AO447" s="34">
        <f t="shared" si="373"/>
        <v>0</v>
      </c>
      <c r="AP447" s="34">
        <f t="shared" si="374"/>
        <v>0</v>
      </c>
      <c r="AQ447" s="34">
        <f t="shared" si="375"/>
        <v>0</v>
      </c>
      <c r="AR447" s="34">
        <f t="shared" si="376"/>
        <v>0</v>
      </c>
      <c r="AS447" s="30">
        <f t="shared" si="377"/>
        <v>1.4438787189975948</v>
      </c>
      <c r="AT447" s="29">
        <f t="shared" si="378"/>
        <v>0</v>
      </c>
      <c r="AU447" s="29">
        <f t="shared" si="379"/>
        <v>0</v>
      </c>
      <c r="AV447" s="34">
        <f t="shared" si="380"/>
        <v>0</v>
      </c>
      <c r="AW447" s="34">
        <f t="shared" si="381"/>
        <v>0</v>
      </c>
      <c r="AX447" s="29">
        <f t="shared" si="382"/>
        <v>0</v>
      </c>
      <c r="AY447" s="34">
        <f t="shared" si="383"/>
        <v>0</v>
      </c>
      <c r="AZ447" s="37">
        <f t="shared" si="384"/>
        <v>0</v>
      </c>
      <c r="BA447" s="37">
        <f t="shared" si="385"/>
        <v>0</v>
      </c>
      <c r="BB447" s="35">
        <f t="shared" si="386"/>
        <v>1.0629305792335675E-3</v>
      </c>
      <c r="BC447" s="31">
        <f t="shared" si="387"/>
        <v>0.6246097849237936</v>
      </c>
      <c r="BD447" s="34">
        <f t="shared" si="388"/>
        <v>0</v>
      </c>
    </row>
    <row r="448" spans="1:56" x14ac:dyDescent="0.2">
      <c r="A448" s="27">
        <f t="shared" si="389"/>
        <v>444</v>
      </c>
      <c r="B448" s="28">
        <f t="shared" si="336"/>
        <v>444</v>
      </c>
      <c r="C448" s="27">
        <f t="shared" si="337"/>
        <v>37</v>
      </c>
      <c r="D448" s="28">
        <f t="shared" si="338"/>
        <v>57</v>
      </c>
      <c r="E448" s="29">
        <f t="shared" si="339"/>
        <v>0</v>
      </c>
      <c r="F448" s="30">
        <f t="shared" si="340"/>
        <v>1.9945940067129741E-3</v>
      </c>
      <c r="G448" s="31">
        <f t="shared" si="341"/>
        <v>1.6636831412386588E-4</v>
      </c>
      <c r="H448" s="32">
        <f t="shared" si="342"/>
        <v>0.02</v>
      </c>
      <c r="I448" s="32">
        <f t="shared" si="343"/>
        <v>0</v>
      </c>
      <c r="J448" s="33">
        <f t="shared" si="390"/>
        <v>0</v>
      </c>
      <c r="K448" s="30">
        <f t="shared" si="344"/>
        <v>0</v>
      </c>
      <c r="L448" s="33">
        <f t="shared" si="345"/>
        <v>0</v>
      </c>
      <c r="M448" s="30">
        <f t="shared" si="346"/>
        <v>0</v>
      </c>
      <c r="N448" s="33">
        <f t="shared" si="347"/>
        <v>0</v>
      </c>
      <c r="O448" s="31">
        <f t="shared" si="348"/>
        <v>0</v>
      </c>
      <c r="P448" s="33">
        <f t="shared" si="349"/>
        <v>0</v>
      </c>
      <c r="Q448" s="34">
        <f t="shared" si="391"/>
        <v>804610.58281592908</v>
      </c>
      <c r="R448" s="29">
        <f t="shared" si="350"/>
        <v>0</v>
      </c>
      <c r="S448" s="34">
        <f t="shared" si="351"/>
        <v>804610.58281592908</v>
      </c>
      <c r="T448" s="29">
        <f t="shared" si="352"/>
        <v>670.50881901327432</v>
      </c>
      <c r="U448" s="29">
        <f t="shared" si="353"/>
        <v>0</v>
      </c>
      <c r="V448" s="35">
        <f t="shared" si="354"/>
        <v>1.8300514553625248E-4</v>
      </c>
      <c r="W448" s="34">
        <f t="shared" si="355"/>
        <v>0</v>
      </c>
      <c r="X448" s="34">
        <f t="shared" si="356"/>
        <v>803940.07399691583</v>
      </c>
      <c r="Y448" s="36">
        <f t="shared" si="357"/>
        <v>-4.4308343048710119E-3</v>
      </c>
      <c r="Z448" s="34">
        <f t="shared" si="358"/>
        <v>-3562.1252589260744</v>
      </c>
      <c r="AA448" s="34">
        <f t="shared" si="359"/>
        <v>802159.0113674528</v>
      </c>
      <c r="AB448" s="34">
        <f t="shared" si="360"/>
        <v>0</v>
      </c>
      <c r="AC448" s="34">
        <f t="shared" si="361"/>
        <v>0</v>
      </c>
      <c r="AD448" s="34">
        <f t="shared" si="362"/>
        <v>0</v>
      </c>
      <c r="AE448" s="34">
        <f t="shared" si="363"/>
        <v>0</v>
      </c>
      <c r="AF448" s="34">
        <f t="shared" si="364"/>
        <v>0</v>
      </c>
      <c r="AG448" s="29">
        <f t="shared" si="365"/>
        <v>802159.0113674528</v>
      </c>
      <c r="AH448" s="34">
        <f t="shared" si="366"/>
        <v>0</v>
      </c>
      <c r="AI448" s="34">
        <f t="shared" si="367"/>
        <v>0</v>
      </c>
      <c r="AJ448" s="34">
        <f t="shared" si="368"/>
        <v>0</v>
      </c>
      <c r="AK448" s="34">
        <f t="shared" si="369"/>
        <v>0</v>
      </c>
      <c r="AL448" s="34">
        <f t="shared" si="370"/>
        <v>0</v>
      </c>
      <c r="AM448" s="34">
        <f t="shared" si="371"/>
        <v>0</v>
      </c>
      <c r="AN448" s="34">
        <f t="shared" si="372"/>
        <v>0</v>
      </c>
      <c r="AO448" s="34">
        <f t="shared" si="373"/>
        <v>0</v>
      </c>
      <c r="AP448" s="34">
        <f t="shared" si="374"/>
        <v>0</v>
      </c>
      <c r="AQ448" s="34">
        <f t="shared" si="375"/>
        <v>0</v>
      </c>
      <c r="AR448" s="34">
        <f t="shared" si="376"/>
        <v>0</v>
      </c>
      <c r="AS448" s="30">
        <f t="shared" si="377"/>
        <v>1.4450764714274968</v>
      </c>
      <c r="AT448" s="29">
        <f t="shared" si="378"/>
        <v>0</v>
      </c>
      <c r="AU448" s="29">
        <f t="shared" si="379"/>
        <v>0</v>
      </c>
      <c r="AV448" s="34">
        <f t="shared" si="380"/>
        <v>0</v>
      </c>
      <c r="AW448" s="34">
        <f t="shared" si="381"/>
        <v>0</v>
      </c>
      <c r="AX448" s="29">
        <f t="shared" si="382"/>
        <v>0</v>
      </c>
      <c r="AY448" s="34">
        <f t="shared" si="383"/>
        <v>0</v>
      </c>
      <c r="AZ448" s="37">
        <f t="shared" si="384"/>
        <v>0</v>
      </c>
      <c r="BA448" s="37">
        <f t="shared" si="385"/>
        <v>0</v>
      </c>
      <c r="BB448" s="35">
        <f t="shared" si="386"/>
        <v>1.0530462225726289E-3</v>
      </c>
      <c r="BC448" s="31">
        <f t="shared" si="387"/>
        <v>0.62668796963798923</v>
      </c>
      <c r="BD448" s="34">
        <f t="shared" si="388"/>
        <v>0</v>
      </c>
    </row>
    <row r="449" spans="1:56" x14ac:dyDescent="0.2">
      <c r="A449" s="27">
        <f t="shared" si="389"/>
        <v>445</v>
      </c>
      <c r="B449" s="28">
        <f t="shared" si="336"/>
        <v>445</v>
      </c>
      <c r="C449" s="27">
        <f t="shared" si="337"/>
        <v>37</v>
      </c>
      <c r="D449" s="28">
        <f t="shared" si="338"/>
        <v>57</v>
      </c>
      <c r="E449" s="29">
        <f t="shared" si="339"/>
        <v>0</v>
      </c>
      <c r="F449" s="30">
        <f t="shared" si="340"/>
        <v>1.9945940067129741E-3</v>
      </c>
      <c r="G449" s="31">
        <f t="shared" si="341"/>
        <v>1.6636831412386588E-4</v>
      </c>
      <c r="H449" s="32">
        <f t="shared" si="342"/>
        <v>0.02</v>
      </c>
      <c r="I449" s="32">
        <f t="shared" si="343"/>
        <v>0</v>
      </c>
      <c r="J449" s="33">
        <f t="shared" si="390"/>
        <v>0</v>
      </c>
      <c r="K449" s="30">
        <f t="shared" si="344"/>
        <v>0</v>
      </c>
      <c r="L449" s="33">
        <f t="shared" si="345"/>
        <v>0</v>
      </c>
      <c r="M449" s="30">
        <f t="shared" si="346"/>
        <v>0</v>
      </c>
      <c r="N449" s="33">
        <f t="shared" si="347"/>
        <v>0</v>
      </c>
      <c r="O449" s="31">
        <f t="shared" si="348"/>
        <v>0</v>
      </c>
      <c r="P449" s="33">
        <f t="shared" si="349"/>
        <v>0</v>
      </c>
      <c r="Q449" s="34">
        <f t="shared" si="391"/>
        <v>800377.94873798976</v>
      </c>
      <c r="R449" s="29">
        <f t="shared" si="350"/>
        <v>0</v>
      </c>
      <c r="S449" s="34">
        <f t="shared" si="351"/>
        <v>800377.94873798976</v>
      </c>
      <c r="T449" s="29">
        <f t="shared" si="352"/>
        <v>666.9816239483248</v>
      </c>
      <c r="U449" s="29">
        <f t="shared" si="353"/>
        <v>0</v>
      </c>
      <c r="V449" s="35">
        <f t="shared" si="354"/>
        <v>1.8300514553625248E-4</v>
      </c>
      <c r="W449" s="34">
        <f t="shared" si="355"/>
        <v>0</v>
      </c>
      <c r="X449" s="34">
        <f t="shared" si="356"/>
        <v>799710.96711404144</v>
      </c>
      <c r="Y449" s="36">
        <f t="shared" si="357"/>
        <v>-6.974131325664934E-3</v>
      </c>
      <c r="Z449" s="34">
        <f t="shared" si="358"/>
        <v>-5577.2893072278366</v>
      </c>
      <c r="AA449" s="34">
        <f t="shared" si="359"/>
        <v>796922.32246042753</v>
      </c>
      <c r="AB449" s="34">
        <f t="shared" si="360"/>
        <v>0</v>
      </c>
      <c r="AC449" s="34">
        <f t="shared" si="361"/>
        <v>0</v>
      </c>
      <c r="AD449" s="34">
        <f t="shared" si="362"/>
        <v>0</v>
      </c>
      <c r="AE449" s="34">
        <f t="shared" si="363"/>
        <v>0</v>
      </c>
      <c r="AF449" s="34">
        <f t="shared" si="364"/>
        <v>0</v>
      </c>
      <c r="AG449" s="29">
        <f t="shared" si="365"/>
        <v>796922.32246042753</v>
      </c>
      <c r="AH449" s="34">
        <f t="shared" si="366"/>
        <v>0</v>
      </c>
      <c r="AI449" s="34">
        <f t="shared" si="367"/>
        <v>0</v>
      </c>
      <c r="AJ449" s="34">
        <f t="shared" si="368"/>
        <v>0</v>
      </c>
      <c r="AK449" s="34">
        <f t="shared" si="369"/>
        <v>0</v>
      </c>
      <c r="AL449" s="34">
        <f t="shared" si="370"/>
        <v>0</v>
      </c>
      <c r="AM449" s="34">
        <f t="shared" si="371"/>
        <v>0</v>
      </c>
      <c r="AN449" s="34">
        <f t="shared" si="372"/>
        <v>0</v>
      </c>
      <c r="AO449" s="34">
        <f t="shared" si="373"/>
        <v>0</v>
      </c>
      <c r="AP449" s="34">
        <f t="shared" si="374"/>
        <v>0</v>
      </c>
      <c r="AQ449" s="34">
        <f t="shared" si="375"/>
        <v>0</v>
      </c>
      <c r="AR449" s="34">
        <f t="shared" si="376"/>
        <v>0</v>
      </c>
      <c r="AS449" s="30">
        <f t="shared" si="377"/>
        <v>1.446275217438691</v>
      </c>
      <c r="AT449" s="29">
        <f t="shared" si="378"/>
        <v>0</v>
      </c>
      <c r="AU449" s="29">
        <f t="shared" si="379"/>
        <v>0</v>
      </c>
      <c r="AV449" s="34">
        <f t="shared" si="380"/>
        <v>0</v>
      </c>
      <c r="AW449" s="34">
        <f t="shared" si="381"/>
        <v>0</v>
      </c>
      <c r="AX449" s="29">
        <f t="shared" si="382"/>
        <v>0</v>
      </c>
      <c r="AY449" s="34">
        <f t="shared" si="383"/>
        <v>0</v>
      </c>
      <c r="AZ449" s="37">
        <f t="shared" si="384"/>
        <v>0</v>
      </c>
      <c r="BA449" s="37">
        <f t="shared" si="385"/>
        <v>0</v>
      </c>
      <c r="BB449" s="35">
        <f t="shared" si="386"/>
        <v>1.0530462225726289E-3</v>
      </c>
      <c r="BC449" s="31">
        <f t="shared" si="387"/>
        <v>0.62602873244606483</v>
      </c>
      <c r="BD449" s="34">
        <f t="shared" si="388"/>
        <v>0</v>
      </c>
    </row>
    <row r="450" spans="1:56" x14ac:dyDescent="0.2">
      <c r="A450" s="27">
        <f t="shared" si="389"/>
        <v>446</v>
      </c>
      <c r="B450" s="28">
        <f t="shared" si="336"/>
        <v>446</v>
      </c>
      <c r="C450" s="27">
        <f t="shared" si="337"/>
        <v>37</v>
      </c>
      <c r="D450" s="28">
        <f t="shared" si="338"/>
        <v>57</v>
      </c>
      <c r="E450" s="29">
        <f t="shared" si="339"/>
        <v>0</v>
      </c>
      <c r="F450" s="30">
        <f t="shared" si="340"/>
        <v>1.9945940067129741E-3</v>
      </c>
      <c r="G450" s="31">
        <f t="shared" si="341"/>
        <v>1.6636831412386588E-4</v>
      </c>
      <c r="H450" s="32">
        <f t="shared" si="342"/>
        <v>0.02</v>
      </c>
      <c r="I450" s="32">
        <f t="shared" si="343"/>
        <v>0</v>
      </c>
      <c r="J450" s="33">
        <f t="shared" si="390"/>
        <v>0</v>
      </c>
      <c r="K450" s="30">
        <f t="shared" si="344"/>
        <v>0</v>
      </c>
      <c r="L450" s="33">
        <f t="shared" si="345"/>
        <v>0</v>
      </c>
      <c r="M450" s="30">
        <f t="shared" si="346"/>
        <v>0</v>
      </c>
      <c r="N450" s="33">
        <f t="shared" si="347"/>
        <v>0</v>
      </c>
      <c r="O450" s="31">
        <f t="shared" si="348"/>
        <v>0</v>
      </c>
      <c r="P450" s="33">
        <f t="shared" si="349"/>
        <v>0</v>
      </c>
      <c r="Q450" s="34">
        <f t="shared" si="391"/>
        <v>794133.67780681362</v>
      </c>
      <c r="R450" s="29">
        <f t="shared" si="350"/>
        <v>0</v>
      </c>
      <c r="S450" s="34">
        <f t="shared" si="351"/>
        <v>794133.67780681362</v>
      </c>
      <c r="T450" s="29">
        <f t="shared" si="352"/>
        <v>661.77806483901134</v>
      </c>
      <c r="U450" s="29">
        <f t="shared" si="353"/>
        <v>0</v>
      </c>
      <c r="V450" s="35">
        <f t="shared" si="354"/>
        <v>1.8300514553625248E-4</v>
      </c>
      <c r="W450" s="34">
        <f t="shared" si="355"/>
        <v>0</v>
      </c>
      <c r="X450" s="34">
        <f t="shared" si="356"/>
        <v>793471.89974197466</v>
      </c>
      <c r="Y450" s="36">
        <f t="shared" si="357"/>
        <v>6.6828198165422847E-3</v>
      </c>
      <c r="Z450" s="34">
        <f t="shared" si="358"/>
        <v>5302.6297354651215</v>
      </c>
      <c r="AA450" s="34">
        <f t="shared" si="359"/>
        <v>796123.21460970724</v>
      </c>
      <c r="AB450" s="34">
        <f t="shared" si="360"/>
        <v>0</v>
      </c>
      <c r="AC450" s="34">
        <f t="shared" si="361"/>
        <v>0</v>
      </c>
      <c r="AD450" s="34">
        <f t="shared" si="362"/>
        <v>0</v>
      </c>
      <c r="AE450" s="34">
        <f t="shared" si="363"/>
        <v>0</v>
      </c>
      <c r="AF450" s="34">
        <f t="shared" si="364"/>
        <v>0</v>
      </c>
      <c r="AG450" s="29">
        <f t="shared" si="365"/>
        <v>796123.21460970724</v>
      </c>
      <c r="AH450" s="34">
        <f t="shared" si="366"/>
        <v>0</v>
      </c>
      <c r="AI450" s="34">
        <f t="shared" si="367"/>
        <v>0</v>
      </c>
      <c r="AJ450" s="34">
        <f t="shared" si="368"/>
        <v>0</v>
      </c>
      <c r="AK450" s="34">
        <f t="shared" si="369"/>
        <v>0</v>
      </c>
      <c r="AL450" s="34">
        <f t="shared" si="370"/>
        <v>0</v>
      </c>
      <c r="AM450" s="34">
        <f t="shared" si="371"/>
        <v>0</v>
      </c>
      <c r="AN450" s="34">
        <f t="shared" si="372"/>
        <v>0</v>
      </c>
      <c r="AO450" s="34">
        <f t="shared" si="373"/>
        <v>0</v>
      </c>
      <c r="AP450" s="34">
        <f t="shared" si="374"/>
        <v>0</v>
      </c>
      <c r="AQ450" s="34">
        <f t="shared" si="375"/>
        <v>0</v>
      </c>
      <c r="AR450" s="34">
        <f t="shared" si="376"/>
        <v>0</v>
      </c>
      <c r="AS450" s="30">
        <f t="shared" si="377"/>
        <v>1.4474749578553907</v>
      </c>
      <c r="AT450" s="29">
        <f t="shared" si="378"/>
        <v>0</v>
      </c>
      <c r="AU450" s="29">
        <f t="shared" si="379"/>
        <v>0</v>
      </c>
      <c r="AV450" s="34">
        <f t="shared" si="380"/>
        <v>0</v>
      </c>
      <c r="AW450" s="34">
        <f t="shared" si="381"/>
        <v>0</v>
      </c>
      <c r="AX450" s="29">
        <f t="shared" si="382"/>
        <v>0</v>
      </c>
      <c r="AY450" s="34">
        <f t="shared" si="383"/>
        <v>0</v>
      </c>
      <c r="AZ450" s="37">
        <f t="shared" si="384"/>
        <v>0</v>
      </c>
      <c r="BA450" s="37">
        <f t="shared" si="385"/>
        <v>0</v>
      </c>
      <c r="BB450" s="35">
        <f t="shared" si="386"/>
        <v>1.0530462225726289E-3</v>
      </c>
      <c r="BC450" s="31">
        <f t="shared" si="387"/>
        <v>0.62537018873111205</v>
      </c>
      <c r="BD450" s="34">
        <f t="shared" si="388"/>
        <v>0</v>
      </c>
    </row>
    <row r="451" spans="1:56" x14ac:dyDescent="0.2">
      <c r="A451" s="27">
        <f t="shared" si="389"/>
        <v>447</v>
      </c>
      <c r="B451" s="28">
        <f t="shared" si="336"/>
        <v>447</v>
      </c>
      <c r="C451" s="27">
        <f t="shared" si="337"/>
        <v>37</v>
      </c>
      <c r="D451" s="28">
        <f t="shared" si="338"/>
        <v>57</v>
      </c>
      <c r="E451" s="29">
        <f t="shared" si="339"/>
        <v>0</v>
      </c>
      <c r="F451" s="30">
        <f t="shared" si="340"/>
        <v>1.9945940067129741E-3</v>
      </c>
      <c r="G451" s="31">
        <f t="shared" si="341"/>
        <v>1.6636831412386588E-4</v>
      </c>
      <c r="H451" s="32">
        <f t="shared" si="342"/>
        <v>0.02</v>
      </c>
      <c r="I451" s="32">
        <f t="shared" si="343"/>
        <v>0</v>
      </c>
      <c r="J451" s="33">
        <f t="shared" si="390"/>
        <v>0</v>
      </c>
      <c r="K451" s="30">
        <f t="shared" si="344"/>
        <v>0</v>
      </c>
      <c r="L451" s="33">
        <f t="shared" si="345"/>
        <v>0</v>
      </c>
      <c r="M451" s="30">
        <f t="shared" si="346"/>
        <v>0</v>
      </c>
      <c r="N451" s="33">
        <f t="shared" si="347"/>
        <v>0</v>
      </c>
      <c r="O451" s="31">
        <f t="shared" si="348"/>
        <v>0</v>
      </c>
      <c r="P451" s="33">
        <f t="shared" si="349"/>
        <v>0</v>
      </c>
      <c r="Q451" s="34">
        <f t="shared" si="391"/>
        <v>798774.52947743982</v>
      </c>
      <c r="R451" s="29">
        <f t="shared" si="350"/>
        <v>0</v>
      </c>
      <c r="S451" s="34">
        <f t="shared" si="351"/>
        <v>798774.52947743982</v>
      </c>
      <c r="T451" s="29">
        <f t="shared" si="352"/>
        <v>665.64544123119992</v>
      </c>
      <c r="U451" s="29">
        <f t="shared" si="353"/>
        <v>0</v>
      </c>
      <c r="V451" s="35">
        <f t="shared" si="354"/>
        <v>1.8300514553625248E-4</v>
      </c>
      <c r="W451" s="34">
        <f t="shared" si="355"/>
        <v>0</v>
      </c>
      <c r="X451" s="34">
        <f t="shared" si="356"/>
        <v>798108.88403620862</v>
      </c>
      <c r="Y451" s="36">
        <f t="shared" si="357"/>
        <v>7.9305723236671177E-3</v>
      </c>
      <c r="Z451" s="34">
        <f t="shared" si="358"/>
        <v>6329.4602270104051</v>
      </c>
      <c r="AA451" s="34">
        <f t="shared" si="359"/>
        <v>801273.61414971377</v>
      </c>
      <c r="AB451" s="34">
        <f t="shared" si="360"/>
        <v>0</v>
      </c>
      <c r="AC451" s="34">
        <f t="shared" si="361"/>
        <v>0</v>
      </c>
      <c r="AD451" s="34">
        <f t="shared" si="362"/>
        <v>0</v>
      </c>
      <c r="AE451" s="34">
        <f t="shared" si="363"/>
        <v>0</v>
      </c>
      <c r="AF451" s="34">
        <f t="shared" si="364"/>
        <v>0</v>
      </c>
      <c r="AG451" s="29">
        <f t="shared" si="365"/>
        <v>801273.61414971377</v>
      </c>
      <c r="AH451" s="34">
        <f t="shared" si="366"/>
        <v>0</v>
      </c>
      <c r="AI451" s="34">
        <f t="shared" si="367"/>
        <v>0</v>
      </c>
      <c r="AJ451" s="34">
        <f t="shared" si="368"/>
        <v>0</v>
      </c>
      <c r="AK451" s="34">
        <f t="shared" si="369"/>
        <v>0</v>
      </c>
      <c r="AL451" s="34">
        <f t="shared" si="370"/>
        <v>0</v>
      </c>
      <c r="AM451" s="34">
        <f t="shared" si="371"/>
        <v>0</v>
      </c>
      <c r="AN451" s="34">
        <f t="shared" si="372"/>
        <v>0</v>
      </c>
      <c r="AO451" s="34">
        <f t="shared" si="373"/>
        <v>0</v>
      </c>
      <c r="AP451" s="34">
        <f t="shared" si="374"/>
        <v>0</v>
      </c>
      <c r="AQ451" s="34">
        <f t="shared" si="375"/>
        <v>0</v>
      </c>
      <c r="AR451" s="34">
        <f t="shared" si="376"/>
        <v>0</v>
      </c>
      <c r="AS451" s="30">
        <f t="shared" si="377"/>
        <v>1.4486756935024934</v>
      </c>
      <c r="AT451" s="29">
        <f t="shared" si="378"/>
        <v>0</v>
      </c>
      <c r="AU451" s="29">
        <f t="shared" si="379"/>
        <v>0</v>
      </c>
      <c r="AV451" s="34">
        <f t="shared" si="380"/>
        <v>0</v>
      </c>
      <c r="AW451" s="34">
        <f t="shared" si="381"/>
        <v>0</v>
      </c>
      <c r="AX451" s="29">
        <f t="shared" si="382"/>
        <v>0</v>
      </c>
      <c r="AY451" s="34">
        <f t="shared" si="383"/>
        <v>0</v>
      </c>
      <c r="AZ451" s="37">
        <f t="shared" si="384"/>
        <v>0</v>
      </c>
      <c r="BA451" s="37">
        <f t="shared" si="385"/>
        <v>0</v>
      </c>
      <c r="BB451" s="35">
        <f t="shared" si="386"/>
        <v>1.0530462225726289E-3</v>
      </c>
      <c r="BC451" s="31">
        <f t="shared" si="387"/>
        <v>0.62471233776363555</v>
      </c>
      <c r="BD451" s="34">
        <f t="shared" si="388"/>
        <v>0</v>
      </c>
    </row>
    <row r="452" spans="1:56" x14ac:dyDescent="0.2">
      <c r="A452" s="27">
        <f t="shared" si="389"/>
        <v>448</v>
      </c>
      <c r="B452" s="28">
        <f t="shared" ref="B452:B515" si="392">Duration0+A452</f>
        <v>448</v>
      </c>
      <c r="C452" s="27">
        <f t="shared" ref="C452:C515" si="393">INT(B452/12)</f>
        <v>37</v>
      </c>
      <c r="D452" s="28">
        <f t="shared" ref="D452:D515" si="394">AgeAtEntry+C452</f>
        <v>57</v>
      </c>
      <c r="E452" s="29">
        <f t="shared" ref="E452:E515" si="395">IF(PremiumType="SINGLE",IF(B452=0,PremiumPPInput,0),IF(B452&lt;12*PolicyTerm,PremiumPPInput,0))</f>
        <v>0</v>
      </c>
      <c r="F452" s="30">
        <f t="shared" ref="F452:F515" si="396">INDEX(MortRates,MATCH(MIN(D452,120),MortAges,0),MAX(MIN(C452,5),0)+1)</f>
        <v>1.9945940067129741E-3</v>
      </c>
      <c r="G452" s="31">
        <f t="shared" ref="G452:G515" si="397">1-(1-F452)^(1/12)</f>
        <v>1.6636831412386588E-4</v>
      </c>
      <c r="H452" s="32">
        <f t="shared" ref="H452:H515" si="398">MAX(LapseBase-LapseStep*C452,LapseFloor)</f>
        <v>0.02</v>
      </c>
      <c r="I452" s="32">
        <f t="shared" ref="I452:I515" si="399">IF(HasSurrCharge,INDEX(SurrRates,MIN(C452,SurrDurMax)+1,MATCH(SurrChargeID,SurrTypes,0)),0)</f>
        <v>0</v>
      </c>
      <c r="J452" s="33">
        <f t="shared" si="390"/>
        <v>0</v>
      </c>
      <c r="K452" s="30">
        <f t="shared" ref="K452:K515" si="400">IF(B452=12*PolicyTerm,J452,0)</f>
        <v>0</v>
      </c>
      <c r="L452" s="33">
        <f t="shared" ref="L452:L515" si="401">J452-K452</f>
        <v>0</v>
      </c>
      <c r="M452" s="30">
        <f t="shared" ref="M452:M515" si="402">IF(B452=0,PolicyCount,0)</f>
        <v>0</v>
      </c>
      <c r="N452" s="33">
        <f t="shared" ref="N452:N515" si="403">L452+M452</f>
        <v>0</v>
      </c>
      <c r="O452" s="31">
        <f t="shared" ref="O452:O515" si="404">N452*G452</f>
        <v>0</v>
      </c>
      <c r="P452" s="33">
        <f t="shared" ref="P452:P515" si="405">(N452-O452)*(1-(1-H452)^(1/12))</f>
        <v>0</v>
      </c>
      <c r="Q452" s="34">
        <f t="shared" si="391"/>
        <v>804438.34426321904</v>
      </c>
      <c r="R452" s="29">
        <f t="shared" ref="R452:R515" si="406">(1-LoadPremRate)*E452</f>
        <v>0</v>
      </c>
      <c r="S452" s="34">
        <f t="shared" ref="S452:S515" si="407">Q452+R452</f>
        <v>804438.34426321904</v>
      </c>
      <c r="T452" s="29">
        <f t="shared" ref="T452:T515" si="408">MaintFeeRateAnn/12*S452</f>
        <v>670.36528688601595</v>
      </c>
      <c r="U452" s="29">
        <f t="shared" ref="U452:U515" si="409">MAX(SumAssured-S452,0)</f>
        <v>0</v>
      </c>
      <c r="V452" s="35">
        <f t="shared" ref="V452:V515" si="410">CoiMultiple*G452</f>
        <v>1.8300514553625248E-4</v>
      </c>
      <c r="W452" s="34">
        <f t="shared" ref="W452:W515" si="411">V452*U452</f>
        <v>0</v>
      </c>
      <c r="X452" s="34">
        <f t="shared" ref="X452:X515" si="412">S452-T452-W452</f>
        <v>803767.97897633305</v>
      </c>
      <c r="Y452" s="36">
        <f t="shared" ref="Y452:Y515" si="413">EXP((Mu-0.5*Sigma^2)/12+Sigma*SQRT(1/12)*INDEX(NormRand,ScenID,A452+1))-1</f>
        <v>6.3686300379592886E-3</v>
      </c>
      <c r="Z452" s="34">
        <f t="shared" ref="Z452:Z515" si="414">Y452*X452</f>
        <v>5118.9008944585048</v>
      </c>
      <c r="AA452" s="34">
        <f t="shared" ref="AA452:AA515" si="415">X452+0.5*Z452</f>
        <v>806327.42942356225</v>
      </c>
      <c r="AB452" s="34">
        <f t="shared" ref="AB452:AB515" si="416">Q452*J452</f>
        <v>0</v>
      </c>
      <c r="AC452" s="34">
        <f t="shared" ref="AC452:AC515" si="417">Q452*L452</f>
        <v>0</v>
      </c>
      <c r="AD452" s="34">
        <f t="shared" ref="AD452:AD515" si="418">S452*N452</f>
        <v>0</v>
      </c>
      <c r="AE452" s="34">
        <f t="shared" ref="AE452:AE515" si="419">E452*N452</f>
        <v>0</v>
      </c>
      <c r="AF452" s="34">
        <f t="shared" ref="AF452:AF515" si="420">R452*N452</f>
        <v>0</v>
      </c>
      <c r="AG452" s="29">
        <f t="shared" ref="AG452:AG515" si="421">MAX(SumAssured,AA452)</f>
        <v>806327.42942356225</v>
      </c>
      <c r="AH452" s="34">
        <f t="shared" ref="AH452:AH515" si="422">AG452*O452</f>
        <v>0</v>
      </c>
      <c r="AI452" s="34">
        <f t="shared" ref="AI452:AI515" si="423">AA452*O452</f>
        <v>0</v>
      </c>
      <c r="AJ452" s="34">
        <f t="shared" ref="AJ452:AJ515" si="424">AA452*P452</f>
        <v>0</v>
      </c>
      <c r="AK452" s="34">
        <f t="shared" ref="AK452:AK515" si="425">I452*AA452*P452</f>
        <v>0</v>
      </c>
      <c r="AL452" s="34">
        <f t="shared" ref="AL452:AL515" si="426">AJ452-AK452</f>
        <v>0</v>
      </c>
      <c r="AM452" s="34">
        <f t="shared" ref="AM452:AM515" si="427">Q452*K452</f>
        <v>0</v>
      </c>
      <c r="AN452" s="34">
        <f t="shared" ref="AN452:AN515" si="428">AH452+AL452+AM452</f>
        <v>0</v>
      </c>
      <c r="AO452" s="34">
        <f t="shared" ref="AO452:AO515" si="429">(AG452-AA452)*O452</f>
        <v>0</v>
      </c>
      <c r="AP452" s="34">
        <f t="shared" ref="AP452:AP515" si="430">W452*N452</f>
        <v>0</v>
      </c>
      <c r="AQ452" s="34">
        <f t="shared" ref="AQ452:AQ515" si="431">T452*N452</f>
        <v>0</v>
      </c>
      <c r="AR452" s="34">
        <f t="shared" ref="AR452:AR515" si="432">Z452*J453+0.5*Z452*(O452+P452)</f>
        <v>0</v>
      </c>
      <c r="AS452" s="30">
        <f t="shared" ref="AS452:AS515" si="433">(1+InflationRate)^(A452/12)</f>
        <v>1.4498774252055808</v>
      </c>
      <c r="AT452" s="29">
        <f t="shared" ref="AT452:AT515" si="434">ExpenseAcq*M452+N452*ExpenseMaint/12*AS452</f>
        <v>0</v>
      </c>
      <c r="AU452" s="29">
        <f t="shared" ref="AU452:AU515" si="435">CommissionRate*AE452</f>
        <v>0</v>
      </c>
      <c r="AV452" s="34">
        <f t="shared" ref="AV452:AV515" si="436">AB453-AB452</f>
        <v>0</v>
      </c>
      <c r="AW452" s="34">
        <f t="shared" ref="AW452:AW515" si="437">AE452+AR452-AN452-AT452-AU452-AV452</f>
        <v>0</v>
      </c>
      <c r="AX452" s="29">
        <f t="shared" ref="AX452:AX515" si="438">LoadPremRate*E452*N452+AK452+AQ452-AU452-AT452</f>
        <v>0</v>
      </c>
      <c r="AY452" s="34">
        <f t="shared" ref="AY452:AY515" si="439">AP452-AO452</f>
        <v>0</v>
      </c>
      <c r="AZ452" s="37">
        <f t="shared" ref="AZ452:AZ515" si="440">(AW452-AX452-AY452)/MAX(1,ABS(AW452),ABS(AX452),ABS(AY452))</f>
        <v>0</v>
      </c>
      <c r="BA452" s="37">
        <f t="shared" ref="BA452:BA515" si="441">IF(OR(K452&gt;0,K453&gt;0),0,(AC453-(AC452+AF452-AQ452-AP452+AR452-AI452-AJ452-AM452))/MAX(1,ABS(AC452),ABS(AC453)))</f>
        <v>0</v>
      </c>
      <c r="BB452" s="35">
        <f t="shared" ref="BB452:BB515" si="442">(1+INDEX(DiscRateAnn,INT(A452/12)+1))^(1/12)-1</f>
        <v>1.0530462225726289E-3</v>
      </c>
      <c r="BC452" s="31">
        <f t="shared" ref="BC452:BC515" si="443">(1+BB452)^-A452</f>
        <v>0.62405517881490757</v>
      </c>
      <c r="BD452" s="34">
        <f t="shared" ref="BD452:BD515" si="444">AW452*BC452</f>
        <v>0</v>
      </c>
    </row>
    <row r="453" spans="1:56" x14ac:dyDescent="0.2">
      <c r="A453" s="27">
        <f t="shared" ref="A453:A516" si="445">A452+1</f>
        <v>449</v>
      </c>
      <c r="B453" s="28">
        <f t="shared" si="392"/>
        <v>449</v>
      </c>
      <c r="C453" s="27">
        <f t="shared" si="393"/>
        <v>37</v>
      </c>
      <c r="D453" s="28">
        <f t="shared" si="394"/>
        <v>57</v>
      </c>
      <c r="E453" s="29">
        <f t="shared" si="395"/>
        <v>0</v>
      </c>
      <c r="F453" s="30">
        <f t="shared" si="396"/>
        <v>1.9945940067129741E-3</v>
      </c>
      <c r="G453" s="31">
        <f t="shared" si="397"/>
        <v>1.6636831412386588E-4</v>
      </c>
      <c r="H453" s="32">
        <f t="shared" si="398"/>
        <v>0.02</v>
      </c>
      <c r="I453" s="32">
        <f t="shared" si="399"/>
        <v>0</v>
      </c>
      <c r="J453" s="33">
        <f t="shared" ref="J453:J516" si="446">N452-P452-O452</f>
        <v>0</v>
      </c>
      <c r="K453" s="30">
        <f t="shared" si="400"/>
        <v>0</v>
      </c>
      <c r="L453" s="33">
        <f t="shared" si="401"/>
        <v>0</v>
      </c>
      <c r="M453" s="30">
        <f t="shared" si="402"/>
        <v>0</v>
      </c>
      <c r="N453" s="33">
        <f t="shared" si="403"/>
        <v>0</v>
      </c>
      <c r="O453" s="31">
        <f t="shared" si="404"/>
        <v>0</v>
      </c>
      <c r="P453" s="33">
        <f t="shared" si="405"/>
        <v>0</v>
      </c>
      <c r="Q453" s="34">
        <f t="shared" ref="Q453:Q516" si="447">X452+Z452</f>
        <v>808886.87987079157</v>
      </c>
      <c r="R453" s="29">
        <f t="shared" si="406"/>
        <v>0</v>
      </c>
      <c r="S453" s="34">
        <f t="shared" si="407"/>
        <v>808886.87987079157</v>
      </c>
      <c r="T453" s="29">
        <f t="shared" si="408"/>
        <v>674.0723998923263</v>
      </c>
      <c r="U453" s="29">
        <f t="shared" si="409"/>
        <v>0</v>
      </c>
      <c r="V453" s="35">
        <f t="shared" si="410"/>
        <v>1.8300514553625248E-4</v>
      </c>
      <c r="W453" s="34">
        <f t="shared" si="411"/>
        <v>0</v>
      </c>
      <c r="X453" s="34">
        <f t="shared" si="412"/>
        <v>808212.80747089919</v>
      </c>
      <c r="Y453" s="36">
        <f t="shared" si="413"/>
        <v>-1.0772865174811019E-2</v>
      </c>
      <c r="Z453" s="34">
        <f t="shared" si="414"/>
        <v>-8706.7676074394931</v>
      </c>
      <c r="AA453" s="34">
        <f t="shared" si="415"/>
        <v>803859.42366717942</v>
      </c>
      <c r="AB453" s="34">
        <f t="shared" si="416"/>
        <v>0</v>
      </c>
      <c r="AC453" s="34">
        <f t="shared" si="417"/>
        <v>0</v>
      </c>
      <c r="AD453" s="34">
        <f t="shared" si="418"/>
        <v>0</v>
      </c>
      <c r="AE453" s="34">
        <f t="shared" si="419"/>
        <v>0</v>
      </c>
      <c r="AF453" s="34">
        <f t="shared" si="420"/>
        <v>0</v>
      </c>
      <c r="AG453" s="29">
        <f t="shared" si="421"/>
        <v>803859.42366717942</v>
      </c>
      <c r="AH453" s="34">
        <f t="shared" si="422"/>
        <v>0</v>
      </c>
      <c r="AI453" s="34">
        <f t="shared" si="423"/>
        <v>0</v>
      </c>
      <c r="AJ453" s="34">
        <f t="shared" si="424"/>
        <v>0</v>
      </c>
      <c r="AK453" s="34">
        <f t="shared" si="425"/>
        <v>0</v>
      </c>
      <c r="AL453" s="34">
        <f t="shared" si="426"/>
        <v>0</v>
      </c>
      <c r="AM453" s="34">
        <f t="shared" si="427"/>
        <v>0</v>
      </c>
      <c r="AN453" s="34">
        <f t="shared" si="428"/>
        <v>0</v>
      </c>
      <c r="AO453" s="34">
        <f t="shared" si="429"/>
        <v>0</v>
      </c>
      <c r="AP453" s="34">
        <f t="shared" si="430"/>
        <v>0</v>
      </c>
      <c r="AQ453" s="34">
        <f t="shared" si="431"/>
        <v>0</v>
      </c>
      <c r="AR453" s="34">
        <f t="shared" si="432"/>
        <v>0</v>
      </c>
      <c r="AS453" s="30">
        <f t="shared" si="433"/>
        <v>1.4510801537909188</v>
      </c>
      <c r="AT453" s="29">
        <f t="shared" si="434"/>
        <v>0</v>
      </c>
      <c r="AU453" s="29">
        <f t="shared" si="435"/>
        <v>0</v>
      </c>
      <c r="AV453" s="34">
        <f t="shared" si="436"/>
        <v>0</v>
      </c>
      <c r="AW453" s="34">
        <f t="shared" si="437"/>
        <v>0</v>
      </c>
      <c r="AX453" s="29">
        <f t="shared" si="438"/>
        <v>0</v>
      </c>
      <c r="AY453" s="34">
        <f t="shared" si="439"/>
        <v>0</v>
      </c>
      <c r="AZ453" s="37">
        <f t="shared" si="440"/>
        <v>0</v>
      </c>
      <c r="BA453" s="37">
        <f t="shared" si="441"/>
        <v>0</v>
      </c>
      <c r="BB453" s="35">
        <f t="shared" si="442"/>
        <v>1.0530462225726289E-3</v>
      </c>
      <c r="BC453" s="31">
        <f t="shared" si="443"/>
        <v>0.6233987111569671</v>
      </c>
      <c r="BD453" s="34">
        <f t="shared" si="444"/>
        <v>0</v>
      </c>
    </row>
    <row r="454" spans="1:56" x14ac:dyDescent="0.2">
      <c r="A454" s="27">
        <f t="shared" si="445"/>
        <v>450</v>
      </c>
      <c r="B454" s="28">
        <f t="shared" si="392"/>
        <v>450</v>
      </c>
      <c r="C454" s="27">
        <f t="shared" si="393"/>
        <v>37</v>
      </c>
      <c r="D454" s="28">
        <f t="shared" si="394"/>
        <v>57</v>
      </c>
      <c r="E454" s="29">
        <f t="shared" si="395"/>
        <v>0</v>
      </c>
      <c r="F454" s="30">
        <f t="shared" si="396"/>
        <v>1.9945940067129741E-3</v>
      </c>
      <c r="G454" s="31">
        <f t="shared" si="397"/>
        <v>1.6636831412386588E-4</v>
      </c>
      <c r="H454" s="32">
        <f t="shared" si="398"/>
        <v>0.02</v>
      </c>
      <c r="I454" s="32">
        <f t="shared" si="399"/>
        <v>0</v>
      </c>
      <c r="J454" s="33">
        <f t="shared" si="446"/>
        <v>0</v>
      </c>
      <c r="K454" s="30">
        <f t="shared" si="400"/>
        <v>0</v>
      </c>
      <c r="L454" s="33">
        <f t="shared" si="401"/>
        <v>0</v>
      </c>
      <c r="M454" s="30">
        <f t="shared" si="402"/>
        <v>0</v>
      </c>
      <c r="N454" s="33">
        <f t="shared" si="403"/>
        <v>0</v>
      </c>
      <c r="O454" s="31">
        <f t="shared" si="404"/>
        <v>0</v>
      </c>
      <c r="P454" s="33">
        <f t="shared" si="405"/>
        <v>0</v>
      </c>
      <c r="Q454" s="34">
        <f t="shared" si="447"/>
        <v>799506.03986345965</v>
      </c>
      <c r="R454" s="29">
        <f t="shared" si="406"/>
        <v>0</v>
      </c>
      <c r="S454" s="34">
        <f t="shared" si="407"/>
        <v>799506.03986345965</v>
      </c>
      <c r="T454" s="29">
        <f t="shared" si="408"/>
        <v>666.25503321954977</v>
      </c>
      <c r="U454" s="29">
        <f t="shared" si="409"/>
        <v>0</v>
      </c>
      <c r="V454" s="35">
        <f t="shared" si="410"/>
        <v>1.8300514553625248E-4</v>
      </c>
      <c r="W454" s="34">
        <f t="shared" si="411"/>
        <v>0</v>
      </c>
      <c r="X454" s="34">
        <f t="shared" si="412"/>
        <v>798839.78483024007</v>
      </c>
      <c r="Y454" s="36">
        <f t="shared" si="413"/>
        <v>2.3743073512114687E-3</v>
      </c>
      <c r="Z454" s="34">
        <f t="shared" si="414"/>
        <v>1896.691173562627</v>
      </c>
      <c r="AA454" s="34">
        <f t="shared" si="415"/>
        <v>799788.13041702134</v>
      </c>
      <c r="AB454" s="34">
        <f t="shared" si="416"/>
        <v>0</v>
      </c>
      <c r="AC454" s="34">
        <f t="shared" si="417"/>
        <v>0</v>
      </c>
      <c r="AD454" s="34">
        <f t="shared" si="418"/>
        <v>0</v>
      </c>
      <c r="AE454" s="34">
        <f t="shared" si="419"/>
        <v>0</v>
      </c>
      <c r="AF454" s="34">
        <f t="shared" si="420"/>
        <v>0</v>
      </c>
      <c r="AG454" s="29">
        <f t="shared" si="421"/>
        <v>799788.13041702134</v>
      </c>
      <c r="AH454" s="34">
        <f t="shared" si="422"/>
        <v>0</v>
      </c>
      <c r="AI454" s="34">
        <f t="shared" si="423"/>
        <v>0</v>
      </c>
      <c r="AJ454" s="34">
        <f t="shared" si="424"/>
        <v>0</v>
      </c>
      <c r="AK454" s="34">
        <f t="shared" si="425"/>
        <v>0</v>
      </c>
      <c r="AL454" s="34">
        <f t="shared" si="426"/>
        <v>0</v>
      </c>
      <c r="AM454" s="34">
        <f t="shared" si="427"/>
        <v>0</v>
      </c>
      <c r="AN454" s="34">
        <f t="shared" si="428"/>
        <v>0</v>
      </c>
      <c r="AO454" s="34">
        <f t="shared" si="429"/>
        <v>0</v>
      </c>
      <c r="AP454" s="34">
        <f t="shared" si="430"/>
        <v>0</v>
      </c>
      <c r="AQ454" s="34">
        <f t="shared" si="431"/>
        <v>0</v>
      </c>
      <c r="AR454" s="34">
        <f t="shared" si="432"/>
        <v>0</v>
      </c>
      <c r="AS454" s="30">
        <f t="shared" si="433"/>
        <v>1.4522838800854598</v>
      </c>
      <c r="AT454" s="29">
        <f t="shared" si="434"/>
        <v>0</v>
      </c>
      <c r="AU454" s="29">
        <f t="shared" si="435"/>
        <v>0</v>
      </c>
      <c r="AV454" s="34">
        <f t="shared" si="436"/>
        <v>0</v>
      </c>
      <c r="AW454" s="34">
        <f t="shared" si="437"/>
        <v>0</v>
      </c>
      <c r="AX454" s="29">
        <f t="shared" si="438"/>
        <v>0</v>
      </c>
      <c r="AY454" s="34">
        <f t="shared" si="439"/>
        <v>0</v>
      </c>
      <c r="AZ454" s="37">
        <f t="shared" si="440"/>
        <v>0</v>
      </c>
      <c r="BA454" s="37">
        <f t="shared" si="441"/>
        <v>0</v>
      </c>
      <c r="BB454" s="35">
        <f t="shared" si="442"/>
        <v>1.0530462225726289E-3</v>
      </c>
      <c r="BC454" s="31">
        <f t="shared" si="443"/>
        <v>0.6227429340626186</v>
      </c>
      <c r="BD454" s="34">
        <f t="shared" si="444"/>
        <v>0</v>
      </c>
    </row>
    <row r="455" spans="1:56" x14ac:dyDescent="0.2">
      <c r="A455" s="27">
        <f t="shared" si="445"/>
        <v>451</v>
      </c>
      <c r="B455" s="28">
        <f t="shared" si="392"/>
        <v>451</v>
      </c>
      <c r="C455" s="27">
        <f t="shared" si="393"/>
        <v>37</v>
      </c>
      <c r="D455" s="28">
        <f t="shared" si="394"/>
        <v>57</v>
      </c>
      <c r="E455" s="29">
        <f t="shared" si="395"/>
        <v>0</v>
      </c>
      <c r="F455" s="30">
        <f t="shared" si="396"/>
        <v>1.9945940067129741E-3</v>
      </c>
      <c r="G455" s="31">
        <f t="shared" si="397"/>
        <v>1.6636831412386588E-4</v>
      </c>
      <c r="H455" s="32">
        <f t="shared" si="398"/>
        <v>0.02</v>
      </c>
      <c r="I455" s="32">
        <f t="shared" si="399"/>
        <v>0</v>
      </c>
      <c r="J455" s="33">
        <f t="shared" si="446"/>
        <v>0</v>
      </c>
      <c r="K455" s="30">
        <f t="shared" si="400"/>
        <v>0</v>
      </c>
      <c r="L455" s="33">
        <f t="shared" si="401"/>
        <v>0</v>
      </c>
      <c r="M455" s="30">
        <f t="shared" si="402"/>
        <v>0</v>
      </c>
      <c r="N455" s="33">
        <f t="shared" si="403"/>
        <v>0</v>
      </c>
      <c r="O455" s="31">
        <f t="shared" si="404"/>
        <v>0</v>
      </c>
      <c r="P455" s="33">
        <f t="shared" si="405"/>
        <v>0</v>
      </c>
      <c r="Q455" s="34">
        <f t="shared" si="447"/>
        <v>800736.47600380273</v>
      </c>
      <c r="R455" s="29">
        <f t="shared" si="406"/>
        <v>0</v>
      </c>
      <c r="S455" s="34">
        <f t="shared" si="407"/>
        <v>800736.47600380273</v>
      </c>
      <c r="T455" s="29">
        <f t="shared" si="408"/>
        <v>667.28039666983568</v>
      </c>
      <c r="U455" s="29">
        <f t="shared" si="409"/>
        <v>0</v>
      </c>
      <c r="V455" s="35">
        <f t="shared" si="410"/>
        <v>1.8300514553625248E-4</v>
      </c>
      <c r="W455" s="34">
        <f t="shared" si="411"/>
        <v>0</v>
      </c>
      <c r="X455" s="34">
        <f t="shared" si="412"/>
        <v>800069.19560713286</v>
      </c>
      <c r="Y455" s="36">
        <f t="shared" si="413"/>
        <v>1.6669441378280192E-2</v>
      </c>
      <c r="Z455" s="34">
        <f t="shared" si="414"/>
        <v>13336.706554740889</v>
      </c>
      <c r="AA455" s="34">
        <f t="shared" si="415"/>
        <v>806737.54888450331</v>
      </c>
      <c r="AB455" s="34">
        <f t="shared" si="416"/>
        <v>0</v>
      </c>
      <c r="AC455" s="34">
        <f t="shared" si="417"/>
        <v>0</v>
      </c>
      <c r="AD455" s="34">
        <f t="shared" si="418"/>
        <v>0</v>
      </c>
      <c r="AE455" s="34">
        <f t="shared" si="419"/>
        <v>0</v>
      </c>
      <c r="AF455" s="34">
        <f t="shared" si="420"/>
        <v>0</v>
      </c>
      <c r="AG455" s="29">
        <f t="shared" si="421"/>
        <v>806737.54888450331</v>
      </c>
      <c r="AH455" s="34">
        <f t="shared" si="422"/>
        <v>0</v>
      </c>
      <c r="AI455" s="34">
        <f t="shared" si="423"/>
        <v>0</v>
      </c>
      <c r="AJ455" s="34">
        <f t="shared" si="424"/>
        <v>0</v>
      </c>
      <c r="AK455" s="34">
        <f t="shared" si="425"/>
        <v>0</v>
      </c>
      <c r="AL455" s="34">
        <f t="shared" si="426"/>
        <v>0</v>
      </c>
      <c r="AM455" s="34">
        <f t="shared" si="427"/>
        <v>0</v>
      </c>
      <c r="AN455" s="34">
        <f t="shared" si="428"/>
        <v>0</v>
      </c>
      <c r="AO455" s="34">
        <f t="shared" si="429"/>
        <v>0</v>
      </c>
      <c r="AP455" s="34">
        <f t="shared" si="430"/>
        <v>0</v>
      </c>
      <c r="AQ455" s="34">
        <f t="shared" si="431"/>
        <v>0</v>
      </c>
      <c r="AR455" s="34">
        <f t="shared" si="432"/>
        <v>0</v>
      </c>
      <c r="AS455" s="30">
        <f t="shared" si="433"/>
        <v>1.4534886049168414</v>
      </c>
      <c r="AT455" s="29">
        <f t="shared" si="434"/>
        <v>0</v>
      </c>
      <c r="AU455" s="29">
        <f t="shared" si="435"/>
        <v>0</v>
      </c>
      <c r="AV455" s="34">
        <f t="shared" si="436"/>
        <v>0</v>
      </c>
      <c r="AW455" s="34">
        <f t="shared" si="437"/>
        <v>0</v>
      </c>
      <c r="AX455" s="29">
        <f t="shared" si="438"/>
        <v>0</v>
      </c>
      <c r="AY455" s="34">
        <f t="shared" si="439"/>
        <v>0</v>
      </c>
      <c r="AZ455" s="37">
        <f t="shared" si="440"/>
        <v>0</v>
      </c>
      <c r="BA455" s="37">
        <f t="shared" si="441"/>
        <v>0</v>
      </c>
      <c r="BB455" s="35">
        <f t="shared" si="442"/>
        <v>1.0530462225726289E-3</v>
      </c>
      <c r="BC455" s="31">
        <f t="shared" si="443"/>
        <v>0.62208784680543172</v>
      </c>
      <c r="BD455" s="34">
        <f t="shared" si="444"/>
        <v>0</v>
      </c>
    </row>
    <row r="456" spans="1:56" x14ac:dyDescent="0.2">
      <c r="A456" s="27">
        <f t="shared" si="445"/>
        <v>452</v>
      </c>
      <c r="B456" s="28">
        <f t="shared" si="392"/>
        <v>452</v>
      </c>
      <c r="C456" s="27">
        <f t="shared" si="393"/>
        <v>37</v>
      </c>
      <c r="D456" s="28">
        <f t="shared" si="394"/>
        <v>57</v>
      </c>
      <c r="E456" s="29">
        <f t="shared" si="395"/>
        <v>0</v>
      </c>
      <c r="F456" s="30">
        <f t="shared" si="396"/>
        <v>1.9945940067129741E-3</v>
      </c>
      <c r="G456" s="31">
        <f t="shared" si="397"/>
        <v>1.6636831412386588E-4</v>
      </c>
      <c r="H456" s="32">
        <f t="shared" si="398"/>
        <v>0.02</v>
      </c>
      <c r="I456" s="32">
        <f t="shared" si="399"/>
        <v>0</v>
      </c>
      <c r="J456" s="33">
        <f t="shared" si="446"/>
        <v>0</v>
      </c>
      <c r="K456" s="30">
        <f t="shared" si="400"/>
        <v>0</v>
      </c>
      <c r="L456" s="33">
        <f t="shared" si="401"/>
        <v>0</v>
      </c>
      <c r="M456" s="30">
        <f t="shared" si="402"/>
        <v>0</v>
      </c>
      <c r="N456" s="33">
        <f t="shared" si="403"/>
        <v>0</v>
      </c>
      <c r="O456" s="31">
        <f t="shared" si="404"/>
        <v>0</v>
      </c>
      <c r="P456" s="33">
        <f t="shared" si="405"/>
        <v>0</v>
      </c>
      <c r="Q456" s="34">
        <f t="shared" si="447"/>
        <v>813405.90216187376</v>
      </c>
      <c r="R456" s="29">
        <f t="shared" si="406"/>
        <v>0</v>
      </c>
      <c r="S456" s="34">
        <f t="shared" si="407"/>
        <v>813405.90216187376</v>
      </c>
      <c r="T456" s="29">
        <f t="shared" si="408"/>
        <v>677.83825180156146</v>
      </c>
      <c r="U456" s="29">
        <f t="shared" si="409"/>
        <v>0</v>
      </c>
      <c r="V456" s="35">
        <f t="shared" si="410"/>
        <v>1.8300514553625248E-4</v>
      </c>
      <c r="W456" s="34">
        <f t="shared" si="411"/>
        <v>0</v>
      </c>
      <c r="X456" s="34">
        <f t="shared" si="412"/>
        <v>812728.0639100722</v>
      </c>
      <c r="Y456" s="36">
        <f t="shared" si="413"/>
        <v>2.7271000809068191E-3</v>
      </c>
      <c r="Z456" s="34">
        <f t="shared" si="414"/>
        <v>2216.3907688444006</v>
      </c>
      <c r="AA456" s="34">
        <f t="shared" si="415"/>
        <v>813836.2592944944</v>
      </c>
      <c r="AB456" s="34">
        <f t="shared" si="416"/>
        <v>0</v>
      </c>
      <c r="AC456" s="34">
        <f t="shared" si="417"/>
        <v>0</v>
      </c>
      <c r="AD456" s="34">
        <f t="shared" si="418"/>
        <v>0</v>
      </c>
      <c r="AE456" s="34">
        <f t="shared" si="419"/>
        <v>0</v>
      </c>
      <c r="AF456" s="34">
        <f t="shared" si="420"/>
        <v>0</v>
      </c>
      <c r="AG456" s="29">
        <f t="shared" si="421"/>
        <v>813836.2592944944</v>
      </c>
      <c r="AH456" s="34">
        <f t="shared" si="422"/>
        <v>0</v>
      </c>
      <c r="AI456" s="34">
        <f t="shared" si="423"/>
        <v>0</v>
      </c>
      <c r="AJ456" s="34">
        <f t="shared" si="424"/>
        <v>0</v>
      </c>
      <c r="AK456" s="34">
        <f t="shared" si="425"/>
        <v>0</v>
      </c>
      <c r="AL456" s="34">
        <f t="shared" si="426"/>
        <v>0</v>
      </c>
      <c r="AM456" s="34">
        <f t="shared" si="427"/>
        <v>0</v>
      </c>
      <c r="AN456" s="34">
        <f t="shared" si="428"/>
        <v>0</v>
      </c>
      <c r="AO456" s="34">
        <f t="shared" si="429"/>
        <v>0</v>
      </c>
      <c r="AP456" s="34">
        <f t="shared" si="430"/>
        <v>0</v>
      </c>
      <c r="AQ456" s="34">
        <f t="shared" si="431"/>
        <v>0</v>
      </c>
      <c r="AR456" s="34">
        <f t="shared" si="432"/>
        <v>0</v>
      </c>
      <c r="AS456" s="30">
        <f t="shared" si="433"/>
        <v>1.4546943291133878</v>
      </c>
      <c r="AT456" s="29">
        <f t="shared" si="434"/>
        <v>0</v>
      </c>
      <c r="AU456" s="29">
        <f t="shared" si="435"/>
        <v>0</v>
      </c>
      <c r="AV456" s="34">
        <f t="shared" si="436"/>
        <v>0</v>
      </c>
      <c r="AW456" s="34">
        <f t="shared" si="437"/>
        <v>0</v>
      </c>
      <c r="AX456" s="29">
        <f t="shared" si="438"/>
        <v>0</v>
      </c>
      <c r="AY456" s="34">
        <f t="shared" si="439"/>
        <v>0</v>
      </c>
      <c r="AZ456" s="37">
        <f t="shared" si="440"/>
        <v>0</v>
      </c>
      <c r="BA456" s="37">
        <f t="shared" si="441"/>
        <v>0</v>
      </c>
      <c r="BB456" s="35">
        <f t="shared" si="442"/>
        <v>1.0530462225726289E-3</v>
      </c>
      <c r="BC456" s="31">
        <f t="shared" si="443"/>
        <v>0.62143344865974026</v>
      </c>
      <c r="BD456" s="34">
        <f t="shared" si="444"/>
        <v>0</v>
      </c>
    </row>
    <row r="457" spans="1:56" x14ac:dyDescent="0.2">
      <c r="A457" s="27">
        <f t="shared" si="445"/>
        <v>453</v>
      </c>
      <c r="B457" s="28">
        <f t="shared" si="392"/>
        <v>453</v>
      </c>
      <c r="C457" s="27">
        <f t="shared" si="393"/>
        <v>37</v>
      </c>
      <c r="D457" s="28">
        <f t="shared" si="394"/>
        <v>57</v>
      </c>
      <c r="E457" s="29">
        <f t="shared" si="395"/>
        <v>0</v>
      </c>
      <c r="F457" s="30">
        <f t="shared" si="396"/>
        <v>1.9945940067129741E-3</v>
      </c>
      <c r="G457" s="31">
        <f t="shared" si="397"/>
        <v>1.6636831412386588E-4</v>
      </c>
      <c r="H457" s="32">
        <f t="shared" si="398"/>
        <v>0.02</v>
      </c>
      <c r="I457" s="32">
        <f t="shared" si="399"/>
        <v>0</v>
      </c>
      <c r="J457" s="33">
        <f t="shared" si="446"/>
        <v>0</v>
      </c>
      <c r="K457" s="30">
        <f t="shared" si="400"/>
        <v>0</v>
      </c>
      <c r="L457" s="33">
        <f t="shared" si="401"/>
        <v>0</v>
      </c>
      <c r="M457" s="30">
        <f t="shared" si="402"/>
        <v>0</v>
      </c>
      <c r="N457" s="33">
        <f t="shared" si="403"/>
        <v>0</v>
      </c>
      <c r="O457" s="31">
        <f t="shared" si="404"/>
        <v>0</v>
      </c>
      <c r="P457" s="33">
        <f t="shared" si="405"/>
        <v>0</v>
      </c>
      <c r="Q457" s="34">
        <f t="shared" si="447"/>
        <v>814944.45467891661</v>
      </c>
      <c r="R457" s="29">
        <f t="shared" si="406"/>
        <v>0</v>
      </c>
      <c r="S457" s="34">
        <f t="shared" si="407"/>
        <v>814944.45467891661</v>
      </c>
      <c r="T457" s="29">
        <f t="shared" si="408"/>
        <v>679.1203788990972</v>
      </c>
      <c r="U457" s="29">
        <f t="shared" si="409"/>
        <v>0</v>
      </c>
      <c r="V457" s="35">
        <f t="shared" si="410"/>
        <v>1.8300514553625248E-4</v>
      </c>
      <c r="W457" s="34">
        <f t="shared" si="411"/>
        <v>0</v>
      </c>
      <c r="X457" s="34">
        <f t="shared" si="412"/>
        <v>814265.33430001745</v>
      </c>
      <c r="Y457" s="36">
        <f t="shared" si="413"/>
        <v>2.1277029842414752E-3</v>
      </c>
      <c r="Z457" s="34">
        <f t="shared" si="414"/>
        <v>1732.5147817545296</v>
      </c>
      <c r="AA457" s="34">
        <f t="shared" si="415"/>
        <v>815131.59169089468</v>
      </c>
      <c r="AB457" s="34">
        <f t="shared" si="416"/>
        <v>0</v>
      </c>
      <c r="AC457" s="34">
        <f t="shared" si="417"/>
        <v>0</v>
      </c>
      <c r="AD457" s="34">
        <f t="shared" si="418"/>
        <v>0</v>
      </c>
      <c r="AE457" s="34">
        <f t="shared" si="419"/>
        <v>0</v>
      </c>
      <c r="AF457" s="34">
        <f t="shared" si="420"/>
        <v>0</v>
      </c>
      <c r="AG457" s="29">
        <f t="shared" si="421"/>
        <v>815131.59169089468</v>
      </c>
      <c r="AH457" s="34">
        <f t="shared" si="422"/>
        <v>0</v>
      </c>
      <c r="AI457" s="34">
        <f t="shared" si="423"/>
        <v>0</v>
      </c>
      <c r="AJ457" s="34">
        <f t="shared" si="424"/>
        <v>0</v>
      </c>
      <c r="AK457" s="34">
        <f t="shared" si="425"/>
        <v>0</v>
      </c>
      <c r="AL457" s="34">
        <f t="shared" si="426"/>
        <v>0</v>
      </c>
      <c r="AM457" s="34">
        <f t="shared" si="427"/>
        <v>0</v>
      </c>
      <c r="AN457" s="34">
        <f t="shared" si="428"/>
        <v>0</v>
      </c>
      <c r="AO457" s="34">
        <f t="shared" si="429"/>
        <v>0</v>
      </c>
      <c r="AP457" s="34">
        <f t="shared" si="430"/>
        <v>0</v>
      </c>
      <c r="AQ457" s="34">
        <f t="shared" si="431"/>
        <v>0</v>
      </c>
      <c r="AR457" s="34">
        <f t="shared" si="432"/>
        <v>0</v>
      </c>
      <c r="AS457" s="30">
        <f t="shared" si="433"/>
        <v>1.4559010535041108</v>
      </c>
      <c r="AT457" s="29">
        <f t="shared" si="434"/>
        <v>0</v>
      </c>
      <c r="AU457" s="29">
        <f t="shared" si="435"/>
        <v>0</v>
      </c>
      <c r="AV457" s="34">
        <f t="shared" si="436"/>
        <v>0</v>
      </c>
      <c r="AW457" s="34">
        <f t="shared" si="437"/>
        <v>0</v>
      </c>
      <c r="AX457" s="29">
        <f t="shared" si="438"/>
        <v>0</v>
      </c>
      <c r="AY457" s="34">
        <f t="shared" si="439"/>
        <v>0</v>
      </c>
      <c r="AZ457" s="37">
        <f t="shared" si="440"/>
        <v>0</v>
      </c>
      <c r="BA457" s="37">
        <f t="shared" si="441"/>
        <v>0</v>
      </c>
      <c r="BB457" s="35">
        <f t="shared" si="442"/>
        <v>1.0530462225726289E-3</v>
      </c>
      <c r="BC457" s="31">
        <f t="shared" si="443"/>
        <v>0.62077973890064131</v>
      </c>
      <c r="BD457" s="34">
        <f t="shared" si="444"/>
        <v>0</v>
      </c>
    </row>
    <row r="458" spans="1:56" x14ac:dyDescent="0.2">
      <c r="A458" s="27">
        <f t="shared" si="445"/>
        <v>454</v>
      </c>
      <c r="B458" s="28">
        <f t="shared" si="392"/>
        <v>454</v>
      </c>
      <c r="C458" s="27">
        <f t="shared" si="393"/>
        <v>37</v>
      </c>
      <c r="D458" s="28">
        <f t="shared" si="394"/>
        <v>57</v>
      </c>
      <c r="E458" s="29">
        <f t="shared" si="395"/>
        <v>0</v>
      </c>
      <c r="F458" s="30">
        <f t="shared" si="396"/>
        <v>1.9945940067129741E-3</v>
      </c>
      <c r="G458" s="31">
        <f t="shared" si="397"/>
        <v>1.6636831412386588E-4</v>
      </c>
      <c r="H458" s="32">
        <f t="shared" si="398"/>
        <v>0.02</v>
      </c>
      <c r="I458" s="32">
        <f t="shared" si="399"/>
        <v>0</v>
      </c>
      <c r="J458" s="33">
        <f t="shared" si="446"/>
        <v>0</v>
      </c>
      <c r="K458" s="30">
        <f t="shared" si="400"/>
        <v>0</v>
      </c>
      <c r="L458" s="33">
        <f t="shared" si="401"/>
        <v>0</v>
      </c>
      <c r="M458" s="30">
        <f t="shared" si="402"/>
        <v>0</v>
      </c>
      <c r="N458" s="33">
        <f t="shared" si="403"/>
        <v>0</v>
      </c>
      <c r="O458" s="31">
        <f t="shared" si="404"/>
        <v>0</v>
      </c>
      <c r="P458" s="33">
        <f t="shared" si="405"/>
        <v>0</v>
      </c>
      <c r="Q458" s="34">
        <f t="shared" si="447"/>
        <v>815997.84908177203</v>
      </c>
      <c r="R458" s="29">
        <f t="shared" si="406"/>
        <v>0</v>
      </c>
      <c r="S458" s="34">
        <f t="shared" si="407"/>
        <v>815997.84908177203</v>
      </c>
      <c r="T458" s="29">
        <f t="shared" si="408"/>
        <v>679.99820756814336</v>
      </c>
      <c r="U458" s="29">
        <f t="shared" si="409"/>
        <v>0</v>
      </c>
      <c r="V458" s="35">
        <f t="shared" si="410"/>
        <v>1.8300514553625248E-4</v>
      </c>
      <c r="W458" s="34">
        <f t="shared" si="411"/>
        <v>0</v>
      </c>
      <c r="X458" s="34">
        <f t="shared" si="412"/>
        <v>815317.85087420384</v>
      </c>
      <c r="Y458" s="36">
        <f t="shared" si="413"/>
        <v>-1.1374055706270814E-2</v>
      </c>
      <c r="Z458" s="34">
        <f t="shared" si="414"/>
        <v>-9273.4706541601936</v>
      </c>
      <c r="AA458" s="34">
        <f t="shared" si="415"/>
        <v>810681.11554712371</v>
      </c>
      <c r="AB458" s="34">
        <f t="shared" si="416"/>
        <v>0</v>
      </c>
      <c r="AC458" s="34">
        <f t="shared" si="417"/>
        <v>0</v>
      </c>
      <c r="AD458" s="34">
        <f t="shared" si="418"/>
        <v>0</v>
      </c>
      <c r="AE458" s="34">
        <f t="shared" si="419"/>
        <v>0</v>
      </c>
      <c r="AF458" s="34">
        <f t="shared" si="420"/>
        <v>0</v>
      </c>
      <c r="AG458" s="29">
        <f t="shared" si="421"/>
        <v>810681.11554712371</v>
      </c>
      <c r="AH458" s="34">
        <f t="shared" si="422"/>
        <v>0</v>
      </c>
      <c r="AI458" s="34">
        <f t="shared" si="423"/>
        <v>0</v>
      </c>
      <c r="AJ458" s="34">
        <f t="shared" si="424"/>
        <v>0</v>
      </c>
      <c r="AK458" s="34">
        <f t="shared" si="425"/>
        <v>0</v>
      </c>
      <c r="AL458" s="34">
        <f t="shared" si="426"/>
        <v>0</v>
      </c>
      <c r="AM458" s="34">
        <f t="shared" si="427"/>
        <v>0</v>
      </c>
      <c r="AN458" s="34">
        <f t="shared" si="428"/>
        <v>0</v>
      </c>
      <c r="AO458" s="34">
        <f t="shared" si="429"/>
        <v>0</v>
      </c>
      <c r="AP458" s="34">
        <f t="shared" si="430"/>
        <v>0</v>
      </c>
      <c r="AQ458" s="34">
        <f t="shared" si="431"/>
        <v>0</v>
      </c>
      <c r="AR458" s="34">
        <f t="shared" si="432"/>
        <v>0</v>
      </c>
      <c r="AS458" s="30">
        <f t="shared" si="433"/>
        <v>1.4571087789187094</v>
      </c>
      <c r="AT458" s="29">
        <f t="shared" si="434"/>
        <v>0</v>
      </c>
      <c r="AU458" s="29">
        <f t="shared" si="435"/>
        <v>0</v>
      </c>
      <c r="AV458" s="34">
        <f t="shared" si="436"/>
        <v>0</v>
      </c>
      <c r="AW458" s="34">
        <f t="shared" si="437"/>
        <v>0</v>
      </c>
      <c r="AX458" s="29">
        <f t="shared" si="438"/>
        <v>0</v>
      </c>
      <c r="AY458" s="34">
        <f t="shared" si="439"/>
        <v>0</v>
      </c>
      <c r="AZ458" s="37">
        <f t="shared" si="440"/>
        <v>0</v>
      </c>
      <c r="BA458" s="37">
        <f t="shared" si="441"/>
        <v>0</v>
      </c>
      <c r="BB458" s="35">
        <f t="shared" si="442"/>
        <v>1.0530462225726289E-3</v>
      </c>
      <c r="BC458" s="31">
        <f t="shared" si="443"/>
        <v>0.62012671680399456</v>
      </c>
      <c r="BD458" s="34">
        <f t="shared" si="444"/>
        <v>0</v>
      </c>
    </row>
    <row r="459" spans="1:56" x14ac:dyDescent="0.2">
      <c r="A459" s="27">
        <f t="shared" si="445"/>
        <v>455</v>
      </c>
      <c r="B459" s="28">
        <f t="shared" si="392"/>
        <v>455</v>
      </c>
      <c r="C459" s="27">
        <f t="shared" si="393"/>
        <v>37</v>
      </c>
      <c r="D459" s="28">
        <f t="shared" si="394"/>
        <v>57</v>
      </c>
      <c r="E459" s="29">
        <f t="shared" si="395"/>
        <v>0</v>
      </c>
      <c r="F459" s="30">
        <f t="shared" si="396"/>
        <v>1.9945940067129741E-3</v>
      </c>
      <c r="G459" s="31">
        <f t="shared" si="397"/>
        <v>1.6636831412386588E-4</v>
      </c>
      <c r="H459" s="32">
        <f t="shared" si="398"/>
        <v>0.02</v>
      </c>
      <c r="I459" s="32">
        <f t="shared" si="399"/>
        <v>0</v>
      </c>
      <c r="J459" s="33">
        <f t="shared" si="446"/>
        <v>0</v>
      </c>
      <c r="K459" s="30">
        <f t="shared" si="400"/>
        <v>0</v>
      </c>
      <c r="L459" s="33">
        <f t="shared" si="401"/>
        <v>0</v>
      </c>
      <c r="M459" s="30">
        <f t="shared" si="402"/>
        <v>0</v>
      </c>
      <c r="N459" s="33">
        <f t="shared" si="403"/>
        <v>0</v>
      </c>
      <c r="O459" s="31">
        <f t="shared" si="404"/>
        <v>0</v>
      </c>
      <c r="P459" s="33">
        <f t="shared" si="405"/>
        <v>0</v>
      </c>
      <c r="Q459" s="34">
        <f t="shared" si="447"/>
        <v>806044.38022004359</v>
      </c>
      <c r="R459" s="29">
        <f t="shared" si="406"/>
        <v>0</v>
      </c>
      <c r="S459" s="34">
        <f t="shared" si="407"/>
        <v>806044.38022004359</v>
      </c>
      <c r="T459" s="29">
        <f t="shared" si="408"/>
        <v>671.70365018336975</v>
      </c>
      <c r="U459" s="29">
        <f t="shared" si="409"/>
        <v>0</v>
      </c>
      <c r="V459" s="35">
        <f t="shared" si="410"/>
        <v>1.8300514553625248E-4</v>
      </c>
      <c r="W459" s="34">
        <f t="shared" si="411"/>
        <v>0</v>
      </c>
      <c r="X459" s="34">
        <f t="shared" si="412"/>
        <v>805372.6765698602</v>
      </c>
      <c r="Y459" s="36">
        <f t="shared" si="413"/>
        <v>4.3405039460500117E-3</v>
      </c>
      <c r="Z459" s="34">
        <f t="shared" si="414"/>
        <v>3495.723280692338</v>
      </c>
      <c r="AA459" s="34">
        <f t="shared" si="415"/>
        <v>807120.53821020632</v>
      </c>
      <c r="AB459" s="34">
        <f t="shared" si="416"/>
        <v>0</v>
      </c>
      <c r="AC459" s="34">
        <f t="shared" si="417"/>
        <v>0</v>
      </c>
      <c r="AD459" s="34">
        <f t="shared" si="418"/>
        <v>0</v>
      </c>
      <c r="AE459" s="34">
        <f t="shared" si="419"/>
        <v>0</v>
      </c>
      <c r="AF459" s="34">
        <f t="shared" si="420"/>
        <v>0</v>
      </c>
      <c r="AG459" s="29">
        <f t="shared" si="421"/>
        <v>807120.53821020632</v>
      </c>
      <c r="AH459" s="34">
        <f t="shared" si="422"/>
        <v>0</v>
      </c>
      <c r="AI459" s="34">
        <f t="shared" si="423"/>
        <v>0</v>
      </c>
      <c r="AJ459" s="34">
        <f t="shared" si="424"/>
        <v>0</v>
      </c>
      <c r="AK459" s="34">
        <f t="shared" si="425"/>
        <v>0</v>
      </c>
      <c r="AL459" s="34">
        <f t="shared" si="426"/>
        <v>0</v>
      </c>
      <c r="AM459" s="34">
        <f t="shared" si="427"/>
        <v>0</v>
      </c>
      <c r="AN459" s="34">
        <f t="shared" si="428"/>
        <v>0</v>
      </c>
      <c r="AO459" s="34">
        <f t="shared" si="429"/>
        <v>0</v>
      </c>
      <c r="AP459" s="34">
        <f t="shared" si="430"/>
        <v>0</v>
      </c>
      <c r="AQ459" s="34">
        <f t="shared" si="431"/>
        <v>0</v>
      </c>
      <c r="AR459" s="34">
        <f t="shared" si="432"/>
        <v>0</v>
      </c>
      <c r="AS459" s="30">
        <f t="shared" si="433"/>
        <v>1.4583175061875708</v>
      </c>
      <c r="AT459" s="29">
        <f t="shared" si="434"/>
        <v>0</v>
      </c>
      <c r="AU459" s="29">
        <f t="shared" si="435"/>
        <v>0</v>
      </c>
      <c r="AV459" s="34">
        <f t="shared" si="436"/>
        <v>0</v>
      </c>
      <c r="AW459" s="34">
        <f t="shared" si="437"/>
        <v>0</v>
      </c>
      <c r="AX459" s="29">
        <f t="shared" si="438"/>
        <v>0</v>
      </c>
      <c r="AY459" s="34">
        <f t="shared" si="439"/>
        <v>0</v>
      </c>
      <c r="AZ459" s="37">
        <f t="shared" si="440"/>
        <v>0</v>
      </c>
      <c r="BA459" s="37">
        <f t="shared" si="441"/>
        <v>0</v>
      </c>
      <c r="BB459" s="35">
        <f t="shared" si="442"/>
        <v>1.0530462225726289E-3</v>
      </c>
      <c r="BC459" s="31">
        <f t="shared" si="443"/>
        <v>0.61947438164642121</v>
      </c>
      <c r="BD459" s="34">
        <f t="shared" si="444"/>
        <v>0</v>
      </c>
    </row>
    <row r="460" spans="1:56" x14ac:dyDescent="0.2">
      <c r="A460" s="27">
        <f t="shared" si="445"/>
        <v>456</v>
      </c>
      <c r="B460" s="28">
        <f t="shared" si="392"/>
        <v>456</v>
      </c>
      <c r="C460" s="27">
        <f t="shared" si="393"/>
        <v>38</v>
      </c>
      <c r="D460" s="28">
        <f t="shared" si="394"/>
        <v>58</v>
      </c>
      <c r="E460" s="29">
        <f t="shared" si="395"/>
        <v>0</v>
      </c>
      <c r="F460" s="30">
        <f t="shared" si="396"/>
        <v>2.1416064229359548E-3</v>
      </c>
      <c r="G460" s="31">
        <f t="shared" si="397"/>
        <v>1.7864261995514941E-4</v>
      </c>
      <c r="H460" s="32">
        <f t="shared" si="398"/>
        <v>0.02</v>
      </c>
      <c r="I460" s="32">
        <f t="shared" si="399"/>
        <v>0</v>
      </c>
      <c r="J460" s="33">
        <f t="shared" si="446"/>
        <v>0</v>
      </c>
      <c r="K460" s="30">
        <f t="shared" si="400"/>
        <v>0</v>
      </c>
      <c r="L460" s="33">
        <f t="shared" si="401"/>
        <v>0</v>
      </c>
      <c r="M460" s="30">
        <f t="shared" si="402"/>
        <v>0</v>
      </c>
      <c r="N460" s="33">
        <f t="shared" si="403"/>
        <v>0</v>
      </c>
      <c r="O460" s="31">
        <f t="shared" si="404"/>
        <v>0</v>
      </c>
      <c r="P460" s="33">
        <f t="shared" si="405"/>
        <v>0</v>
      </c>
      <c r="Q460" s="34">
        <f t="shared" si="447"/>
        <v>808868.39985055255</v>
      </c>
      <c r="R460" s="29">
        <f t="shared" si="406"/>
        <v>0</v>
      </c>
      <c r="S460" s="34">
        <f t="shared" si="407"/>
        <v>808868.39985055255</v>
      </c>
      <c r="T460" s="29">
        <f t="shared" si="408"/>
        <v>674.05699987546052</v>
      </c>
      <c r="U460" s="29">
        <f t="shared" si="409"/>
        <v>0</v>
      </c>
      <c r="V460" s="35">
        <f t="shared" si="410"/>
        <v>1.9650688195066437E-4</v>
      </c>
      <c r="W460" s="34">
        <f t="shared" si="411"/>
        <v>0</v>
      </c>
      <c r="X460" s="34">
        <f t="shared" si="412"/>
        <v>808194.34285067709</v>
      </c>
      <c r="Y460" s="36">
        <f t="shared" si="413"/>
        <v>1.2648855283665217E-2</v>
      </c>
      <c r="Z460" s="34">
        <f t="shared" si="414"/>
        <v>10222.733283795125</v>
      </c>
      <c r="AA460" s="34">
        <f t="shared" si="415"/>
        <v>813305.70949257468</v>
      </c>
      <c r="AB460" s="34">
        <f t="shared" si="416"/>
        <v>0</v>
      </c>
      <c r="AC460" s="34">
        <f t="shared" si="417"/>
        <v>0</v>
      </c>
      <c r="AD460" s="34">
        <f t="shared" si="418"/>
        <v>0</v>
      </c>
      <c r="AE460" s="34">
        <f t="shared" si="419"/>
        <v>0</v>
      </c>
      <c r="AF460" s="34">
        <f t="shared" si="420"/>
        <v>0</v>
      </c>
      <c r="AG460" s="29">
        <f t="shared" si="421"/>
        <v>813305.70949257468</v>
      </c>
      <c r="AH460" s="34">
        <f t="shared" si="422"/>
        <v>0</v>
      </c>
      <c r="AI460" s="34">
        <f t="shared" si="423"/>
        <v>0</v>
      </c>
      <c r="AJ460" s="34">
        <f t="shared" si="424"/>
        <v>0</v>
      </c>
      <c r="AK460" s="34">
        <f t="shared" si="425"/>
        <v>0</v>
      </c>
      <c r="AL460" s="34">
        <f t="shared" si="426"/>
        <v>0</v>
      </c>
      <c r="AM460" s="34">
        <f t="shared" si="427"/>
        <v>0</v>
      </c>
      <c r="AN460" s="34">
        <f t="shared" si="428"/>
        <v>0</v>
      </c>
      <c r="AO460" s="34">
        <f t="shared" si="429"/>
        <v>0</v>
      </c>
      <c r="AP460" s="34">
        <f t="shared" si="430"/>
        <v>0</v>
      </c>
      <c r="AQ460" s="34">
        <f t="shared" si="431"/>
        <v>0</v>
      </c>
      <c r="AR460" s="34">
        <f t="shared" si="432"/>
        <v>0</v>
      </c>
      <c r="AS460" s="30">
        <f t="shared" si="433"/>
        <v>1.4595272361417719</v>
      </c>
      <c r="AT460" s="29">
        <f t="shared" si="434"/>
        <v>0</v>
      </c>
      <c r="AU460" s="29">
        <f t="shared" si="435"/>
        <v>0</v>
      </c>
      <c r="AV460" s="34">
        <f t="shared" si="436"/>
        <v>0</v>
      </c>
      <c r="AW460" s="34">
        <f t="shared" si="437"/>
        <v>0</v>
      </c>
      <c r="AX460" s="29">
        <f t="shared" si="438"/>
        <v>0</v>
      </c>
      <c r="AY460" s="34">
        <f t="shared" si="439"/>
        <v>0</v>
      </c>
      <c r="AZ460" s="37">
        <f t="shared" si="440"/>
        <v>0</v>
      </c>
      <c r="BA460" s="37">
        <f t="shared" si="441"/>
        <v>0</v>
      </c>
      <c r="BB460" s="35">
        <f t="shared" si="442"/>
        <v>1.0439846190974933E-3</v>
      </c>
      <c r="BC460" s="31">
        <f t="shared" si="443"/>
        <v>0.62138236552948378</v>
      </c>
      <c r="BD460" s="34">
        <f t="shared" si="444"/>
        <v>0</v>
      </c>
    </row>
    <row r="461" spans="1:56" x14ac:dyDescent="0.2">
      <c r="A461" s="27">
        <f t="shared" si="445"/>
        <v>457</v>
      </c>
      <c r="B461" s="28">
        <f t="shared" si="392"/>
        <v>457</v>
      </c>
      <c r="C461" s="27">
        <f t="shared" si="393"/>
        <v>38</v>
      </c>
      <c r="D461" s="28">
        <f t="shared" si="394"/>
        <v>58</v>
      </c>
      <c r="E461" s="29">
        <f t="shared" si="395"/>
        <v>0</v>
      </c>
      <c r="F461" s="30">
        <f t="shared" si="396"/>
        <v>2.1416064229359548E-3</v>
      </c>
      <c r="G461" s="31">
        <f t="shared" si="397"/>
        <v>1.7864261995514941E-4</v>
      </c>
      <c r="H461" s="32">
        <f t="shared" si="398"/>
        <v>0.02</v>
      </c>
      <c r="I461" s="32">
        <f t="shared" si="399"/>
        <v>0</v>
      </c>
      <c r="J461" s="33">
        <f t="shared" si="446"/>
        <v>0</v>
      </c>
      <c r="K461" s="30">
        <f t="shared" si="400"/>
        <v>0</v>
      </c>
      <c r="L461" s="33">
        <f t="shared" si="401"/>
        <v>0</v>
      </c>
      <c r="M461" s="30">
        <f t="shared" si="402"/>
        <v>0</v>
      </c>
      <c r="N461" s="33">
        <f t="shared" si="403"/>
        <v>0</v>
      </c>
      <c r="O461" s="31">
        <f t="shared" si="404"/>
        <v>0</v>
      </c>
      <c r="P461" s="33">
        <f t="shared" si="405"/>
        <v>0</v>
      </c>
      <c r="Q461" s="34">
        <f t="shared" si="447"/>
        <v>818417.07613447215</v>
      </c>
      <c r="R461" s="29">
        <f t="shared" si="406"/>
        <v>0</v>
      </c>
      <c r="S461" s="34">
        <f t="shared" si="407"/>
        <v>818417.07613447215</v>
      </c>
      <c r="T461" s="29">
        <f t="shared" si="408"/>
        <v>682.0142301120602</v>
      </c>
      <c r="U461" s="29">
        <f t="shared" si="409"/>
        <v>0</v>
      </c>
      <c r="V461" s="35">
        <f t="shared" si="410"/>
        <v>1.9650688195066437E-4</v>
      </c>
      <c r="W461" s="34">
        <f t="shared" si="411"/>
        <v>0</v>
      </c>
      <c r="X461" s="34">
        <f t="shared" si="412"/>
        <v>817735.06190436007</v>
      </c>
      <c r="Y461" s="36">
        <f t="shared" si="413"/>
        <v>-5.0607175516450553E-3</v>
      </c>
      <c r="Z461" s="34">
        <f t="shared" si="414"/>
        <v>-4138.326180374951</v>
      </c>
      <c r="AA461" s="34">
        <f t="shared" si="415"/>
        <v>815665.8988141726</v>
      </c>
      <c r="AB461" s="34">
        <f t="shared" si="416"/>
        <v>0</v>
      </c>
      <c r="AC461" s="34">
        <f t="shared" si="417"/>
        <v>0</v>
      </c>
      <c r="AD461" s="34">
        <f t="shared" si="418"/>
        <v>0</v>
      </c>
      <c r="AE461" s="34">
        <f t="shared" si="419"/>
        <v>0</v>
      </c>
      <c r="AF461" s="34">
        <f t="shared" si="420"/>
        <v>0</v>
      </c>
      <c r="AG461" s="29">
        <f t="shared" si="421"/>
        <v>815665.8988141726</v>
      </c>
      <c r="AH461" s="34">
        <f t="shared" si="422"/>
        <v>0</v>
      </c>
      <c r="AI461" s="34">
        <f t="shared" si="423"/>
        <v>0</v>
      </c>
      <c r="AJ461" s="34">
        <f t="shared" si="424"/>
        <v>0</v>
      </c>
      <c r="AK461" s="34">
        <f t="shared" si="425"/>
        <v>0</v>
      </c>
      <c r="AL461" s="34">
        <f t="shared" si="426"/>
        <v>0</v>
      </c>
      <c r="AM461" s="34">
        <f t="shared" si="427"/>
        <v>0</v>
      </c>
      <c r="AN461" s="34">
        <f t="shared" si="428"/>
        <v>0</v>
      </c>
      <c r="AO461" s="34">
        <f t="shared" si="429"/>
        <v>0</v>
      </c>
      <c r="AP461" s="34">
        <f t="shared" si="430"/>
        <v>0</v>
      </c>
      <c r="AQ461" s="34">
        <f t="shared" si="431"/>
        <v>0</v>
      </c>
      <c r="AR461" s="34">
        <f t="shared" si="432"/>
        <v>0</v>
      </c>
      <c r="AS461" s="30">
        <f t="shared" si="433"/>
        <v>1.4607379696130778</v>
      </c>
      <c r="AT461" s="29">
        <f t="shared" si="434"/>
        <v>0</v>
      </c>
      <c r="AU461" s="29">
        <f t="shared" si="435"/>
        <v>0</v>
      </c>
      <c r="AV461" s="34">
        <f t="shared" si="436"/>
        <v>0</v>
      </c>
      <c r="AW461" s="34">
        <f t="shared" si="437"/>
        <v>0</v>
      </c>
      <c r="AX461" s="29">
        <f t="shared" si="438"/>
        <v>0</v>
      </c>
      <c r="AY461" s="34">
        <f t="shared" si="439"/>
        <v>0</v>
      </c>
      <c r="AZ461" s="37">
        <f t="shared" si="440"/>
        <v>0</v>
      </c>
      <c r="BA461" s="37">
        <f t="shared" si="441"/>
        <v>0</v>
      </c>
      <c r="BB461" s="35">
        <f t="shared" si="442"/>
        <v>1.0439846190974933E-3</v>
      </c>
      <c r="BC461" s="31">
        <f t="shared" si="443"/>
        <v>0.62073432843804877</v>
      </c>
      <c r="BD461" s="34">
        <f t="shared" si="444"/>
        <v>0</v>
      </c>
    </row>
    <row r="462" spans="1:56" x14ac:dyDescent="0.2">
      <c r="A462" s="27">
        <f t="shared" si="445"/>
        <v>458</v>
      </c>
      <c r="B462" s="28">
        <f t="shared" si="392"/>
        <v>458</v>
      </c>
      <c r="C462" s="27">
        <f t="shared" si="393"/>
        <v>38</v>
      </c>
      <c r="D462" s="28">
        <f t="shared" si="394"/>
        <v>58</v>
      </c>
      <c r="E462" s="29">
        <f t="shared" si="395"/>
        <v>0</v>
      </c>
      <c r="F462" s="30">
        <f t="shared" si="396"/>
        <v>2.1416064229359548E-3</v>
      </c>
      <c r="G462" s="31">
        <f t="shared" si="397"/>
        <v>1.7864261995514941E-4</v>
      </c>
      <c r="H462" s="32">
        <f t="shared" si="398"/>
        <v>0.02</v>
      </c>
      <c r="I462" s="32">
        <f t="shared" si="399"/>
        <v>0</v>
      </c>
      <c r="J462" s="33">
        <f t="shared" si="446"/>
        <v>0</v>
      </c>
      <c r="K462" s="30">
        <f t="shared" si="400"/>
        <v>0</v>
      </c>
      <c r="L462" s="33">
        <f t="shared" si="401"/>
        <v>0</v>
      </c>
      <c r="M462" s="30">
        <f t="shared" si="402"/>
        <v>0</v>
      </c>
      <c r="N462" s="33">
        <f t="shared" si="403"/>
        <v>0</v>
      </c>
      <c r="O462" s="31">
        <f t="shared" si="404"/>
        <v>0</v>
      </c>
      <c r="P462" s="33">
        <f t="shared" si="405"/>
        <v>0</v>
      </c>
      <c r="Q462" s="34">
        <f t="shared" si="447"/>
        <v>813596.73572398513</v>
      </c>
      <c r="R462" s="29">
        <f t="shared" si="406"/>
        <v>0</v>
      </c>
      <c r="S462" s="34">
        <f t="shared" si="407"/>
        <v>813596.73572398513</v>
      </c>
      <c r="T462" s="29">
        <f t="shared" si="408"/>
        <v>677.9972797699877</v>
      </c>
      <c r="U462" s="29">
        <f t="shared" si="409"/>
        <v>0</v>
      </c>
      <c r="V462" s="35">
        <f t="shared" si="410"/>
        <v>1.9650688195066437E-4</v>
      </c>
      <c r="W462" s="34">
        <f t="shared" si="411"/>
        <v>0</v>
      </c>
      <c r="X462" s="34">
        <f t="shared" si="412"/>
        <v>812918.73844421515</v>
      </c>
      <c r="Y462" s="36">
        <f t="shared" si="413"/>
        <v>6.2128385734916414E-4</v>
      </c>
      <c r="Z462" s="34">
        <f t="shared" si="414"/>
        <v>505.05328953203826</v>
      </c>
      <c r="AA462" s="34">
        <f t="shared" si="415"/>
        <v>813171.26508898113</v>
      </c>
      <c r="AB462" s="34">
        <f t="shared" si="416"/>
        <v>0</v>
      </c>
      <c r="AC462" s="34">
        <f t="shared" si="417"/>
        <v>0</v>
      </c>
      <c r="AD462" s="34">
        <f t="shared" si="418"/>
        <v>0</v>
      </c>
      <c r="AE462" s="34">
        <f t="shared" si="419"/>
        <v>0</v>
      </c>
      <c r="AF462" s="34">
        <f t="shared" si="420"/>
        <v>0</v>
      </c>
      <c r="AG462" s="29">
        <f t="shared" si="421"/>
        <v>813171.26508898113</v>
      </c>
      <c r="AH462" s="34">
        <f t="shared" si="422"/>
        <v>0</v>
      </c>
      <c r="AI462" s="34">
        <f t="shared" si="423"/>
        <v>0</v>
      </c>
      <c r="AJ462" s="34">
        <f t="shared" si="424"/>
        <v>0</v>
      </c>
      <c r="AK462" s="34">
        <f t="shared" si="425"/>
        <v>0</v>
      </c>
      <c r="AL462" s="34">
        <f t="shared" si="426"/>
        <v>0</v>
      </c>
      <c r="AM462" s="34">
        <f t="shared" si="427"/>
        <v>0</v>
      </c>
      <c r="AN462" s="34">
        <f t="shared" si="428"/>
        <v>0</v>
      </c>
      <c r="AO462" s="34">
        <f t="shared" si="429"/>
        <v>0</v>
      </c>
      <c r="AP462" s="34">
        <f t="shared" si="430"/>
        <v>0</v>
      </c>
      <c r="AQ462" s="34">
        <f t="shared" si="431"/>
        <v>0</v>
      </c>
      <c r="AR462" s="34">
        <f t="shared" si="432"/>
        <v>0</v>
      </c>
      <c r="AS462" s="30">
        <f t="shared" si="433"/>
        <v>1.4619497074339445</v>
      </c>
      <c r="AT462" s="29">
        <f t="shared" si="434"/>
        <v>0</v>
      </c>
      <c r="AU462" s="29">
        <f t="shared" si="435"/>
        <v>0</v>
      </c>
      <c r="AV462" s="34">
        <f t="shared" si="436"/>
        <v>0</v>
      </c>
      <c r="AW462" s="34">
        <f t="shared" si="437"/>
        <v>0</v>
      </c>
      <c r="AX462" s="29">
        <f t="shared" si="438"/>
        <v>0</v>
      </c>
      <c r="AY462" s="34">
        <f t="shared" si="439"/>
        <v>0</v>
      </c>
      <c r="AZ462" s="37">
        <f t="shared" si="440"/>
        <v>0</v>
      </c>
      <c r="BA462" s="37">
        <f t="shared" si="441"/>
        <v>0</v>
      </c>
      <c r="BB462" s="35">
        <f t="shared" si="442"/>
        <v>1.0439846190974933E-3</v>
      </c>
      <c r="BC462" s="31">
        <f t="shared" si="443"/>
        <v>0.62008696718180811</v>
      </c>
      <c r="BD462" s="34">
        <f t="shared" si="444"/>
        <v>0</v>
      </c>
    </row>
    <row r="463" spans="1:56" x14ac:dyDescent="0.2">
      <c r="A463" s="27">
        <f t="shared" si="445"/>
        <v>459</v>
      </c>
      <c r="B463" s="28">
        <f t="shared" si="392"/>
        <v>459</v>
      </c>
      <c r="C463" s="27">
        <f t="shared" si="393"/>
        <v>38</v>
      </c>
      <c r="D463" s="28">
        <f t="shared" si="394"/>
        <v>58</v>
      </c>
      <c r="E463" s="29">
        <f t="shared" si="395"/>
        <v>0</v>
      </c>
      <c r="F463" s="30">
        <f t="shared" si="396"/>
        <v>2.1416064229359548E-3</v>
      </c>
      <c r="G463" s="31">
        <f t="shared" si="397"/>
        <v>1.7864261995514941E-4</v>
      </c>
      <c r="H463" s="32">
        <f t="shared" si="398"/>
        <v>0.02</v>
      </c>
      <c r="I463" s="32">
        <f t="shared" si="399"/>
        <v>0</v>
      </c>
      <c r="J463" s="33">
        <f t="shared" si="446"/>
        <v>0</v>
      </c>
      <c r="K463" s="30">
        <f t="shared" si="400"/>
        <v>0</v>
      </c>
      <c r="L463" s="33">
        <f t="shared" si="401"/>
        <v>0</v>
      </c>
      <c r="M463" s="30">
        <f t="shared" si="402"/>
        <v>0</v>
      </c>
      <c r="N463" s="33">
        <f t="shared" si="403"/>
        <v>0</v>
      </c>
      <c r="O463" s="31">
        <f t="shared" si="404"/>
        <v>0</v>
      </c>
      <c r="P463" s="33">
        <f t="shared" si="405"/>
        <v>0</v>
      </c>
      <c r="Q463" s="34">
        <f t="shared" si="447"/>
        <v>813423.79173374723</v>
      </c>
      <c r="R463" s="29">
        <f t="shared" si="406"/>
        <v>0</v>
      </c>
      <c r="S463" s="34">
        <f t="shared" si="407"/>
        <v>813423.79173374723</v>
      </c>
      <c r="T463" s="29">
        <f t="shared" si="408"/>
        <v>677.85315977812274</v>
      </c>
      <c r="U463" s="29">
        <f t="shared" si="409"/>
        <v>0</v>
      </c>
      <c r="V463" s="35">
        <f t="shared" si="410"/>
        <v>1.9650688195066437E-4</v>
      </c>
      <c r="W463" s="34">
        <f t="shared" si="411"/>
        <v>0</v>
      </c>
      <c r="X463" s="34">
        <f t="shared" si="412"/>
        <v>812745.93857396906</v>
      </c>
      <c r="Y463" s="36">
        <f t="shared" si="413"/>
        <v>1.0608933830917211E-2</v>
      </c>
      <c r="Z463" s="34">
        <f t="shared" si="414"/>
        <v>8622.3678836779418</v>
      </c>
      <c r="AA463" s="34">
        <f t="shared" si="415"/>
        <v>817057.12251580798</v>
      </c>
      <c r="AB463" s="34">
        <f t="shared" si="416"/>
        <v>0</v>
      </c>
      <c r="AC463" s="34">
        <f t="shared" si="417"/>
        <v>0</v>
      </c>
      <c r="AD463" s="34">
        <f t="shared" si="418"/>
        <v>0</v>
      </c>
      <c r="AE463" s="34">
        <f t="shared" si="419"/>
        <v>0</v>
      </c>
      <c r="AF463" s="34">
        <f t="shared" si="420"/>
        <v>0</v>
      </c>
      <c r="AG463" s="29">
        <f t="shared" si="421"/>
        <v>817057.12251580798</v>
      </c>
      <c r="AH463" s="34">
        <f t="shared" si="422"/>
        <v>0</v>
      </c>
      <c r="AI463" s="34">
        <f t="shared" si="423"/>
        <v>0</v>
      </c>
      <c r="AJ463" s="34">
        <f t="shared" si="424"/>
        <v>0</v>
      </c>
      <c r="AK463" s="34">
        <f t="shared" si="425"/>
        <v>0</v>
      </c>
      <c r="AL463" s="34">
        <f t="shared" si="426"/>
        <v>0</v>
      </c>
      <c r="AM463" s="34">
        <f t="shared" si="427"/>
        <v>0</v>
      </c>
      <c r="AN463" s="34">
        <f t="shared" si="428"/>
        <v>0</v>
      </c>
      <c r="AO463" s="34">
        <f t="shared" si="429"/>
        <v>0</v>
      </c>
      <c r="AP463" s="34">
        <f t="shared" si="430"/>
        <v>0</v>
      </c>
      <c r="AQ463" s="34">
        <f t="shared" si="431"/>
        <v>0</v>
      </c>
      <c r="AR463" s="34">
        <f t="shared" si="432"/>
        <v>0</v>
      </c>
      <c r="AS463" s="30">
        <f t="shared" si="433"/>
        <v>1.4631624504375182</v>
      </c>
      <c r="AT463" s="29">
        <f t="shared" si="434"/>
        <v>0</v>
      </c>
      <c r="AU463" s="29">
        <f t="shared" si="435"/>
        <v>0</v>
      </c>
      <c r="AV463" s="34">
        <f t="shared" si="436"/>
        <v>0</v>
      </c>
      <c r="AW463" s="34">
        <f t="shared" si="437"/>
        <v>0</v>
      </c>
      <c r="AX463" s="29">
        <f t="shared" si="438"/>
        <v>0</v>
      </c>
      <c r="AY463" s="34">
        <f t="shared" si="439"/>
        <v>0</v>
      </c>
      <c r="AZ463" s="37">
        <f t="shared" si="440"/>
        <v>0</v>
      </c>
      <c r="BA463" s="37">
        <f t="shared" si="441"/>
        <v>0</v>
      </c>
      <c r="BB463" s="35">
        <f t="shared" si="442"/>
        <v>1.0439846190974933E-3</v>
      </c>
      <c r="BC463" s="31">
        <f t="shared" si="443"/>
        <v>0.61944028105593629</v>
      </c>
      <c r="BD463" s="34">
        <f t="shared" si="444"/>
        <v>0</v>
      </c>
    </row>
    <row r="464" spans="1:56" x14ac:dyDescent="0.2">
      <c r="A464" s="27">
        <f t="shared" si="445"/>
        <v>460</v>
      </c>
      <c r="B464" s="28">
        <f t="shared" si="392"/>
        <v>460</v>
      </c>
      <c r="C464" s="27">
        <f t="shared" si="393"/>
        <v>38</v>
      </c>
      <c r="D464" s="28">
        <f t="shared" si="394"/>
        <v>58</v>
      </c>
      <c r="E464" s="29">
        <f t="shared" si="395"/>
        <v>0</v>
      </c>
      <c r="F464" s="30">
        <f t="shared" si="396"/>
        <v>2.1416064229359548E-3</v>
      </c>
      <c r="G464" s="31">
        <f t="shared" si="397"/>
        <v>1.7864261995514941E-4</v>
      </c>
      <c r="H464" s="32">
        <f t="shared" si="398"/>
        <v>0.02</v>
      </c>
      <c r="I464" s="32">
        <f t="shared" si="399"/>
        <v>0</v>
      </c>
      <c r="J464" s="33">
        <f t="shared" si="446"/>
        <v>0</v>
      </c>
      <c r="K464" s="30">
        <f t="shared" si="400"/>
        <v>0</v>
      </c>
      <c r="L464" s="33">
        <f t="shared" si="401"/>
        <v>0</v>
      </c>
      <c r="M464" s="30">
        <f t="shared" si="402"/>
        <v>0</v>
      </c>
      <c r="N464" s="33">
        <f t="shared" si="403"/>
        <v>0</v>
      </c>
      <c r="O464" s="31">
        <f t="shared" si="404"/>
        <v>0</v>
      </c>
      <c r="P464" s="33">
        <f t="shared" si="405"/>
        <v>0</v>
      </c>
      <c r="Q464" s="34">
        <f t="shared" si="447"/>
        <v>821368.30645764701</v>
      </c>
      <c r="R464" s="29">
        <f t="shared" si="406"/>
        <v>0</v>
      </c>
      <c r="S464" s="34">
        <f t="shared" si="407"/>
        <v>821368.30645764701</v>
      </c>
      <c r="T464" s="29">
        <f t="shared" si="408"/>
        <v>684.4735887147059</v>
      </c>
      <c r="U464" s="29">
        <f t="shared" si="409"/>
        <v>0</v>
      </c>
      <c r="V464" s="35">
        <f t="shared" si="410"/>
        <v>1.9650688195066437E-4</v>
      </c>
      <c r="W464" s="34">
        <f t="shared" si="411"/>
        <v>0</v>
      </c>
      <c r="X464" s="34">
        <f t="shared" si="412"/>
        <v>820683.83286893228</v>
      </c>
      <c r="Y464" s="36">
        <f t="shared" si="413"/>
        <v>-3.7644484572396664E-3</v>
      </c>
      <c r="Z464" s="34">
        <f t="shared" si="414"/>
        <v>-3089.4219885249881</v>
      </c>
      <c r="AA464" s="34">
        <f t="shared" si="415"/>
        <v>819139.1218746698</v>
      </c>
      <c r="AB464" s="34">
        <f t="shared" si="416"/>
        <v>0</v>
      </c>
      <c r="AC464" s="34">
        <f t="shared" si="417"/>
        <v>0</v>
      </c>
      <c r="AD464" s="34">
        <f t="shared" si="418"/>
        <v>0</v>
      </c>
      <c r="AE464" s="34">
        <f t="shared" si="419"/>
        <v>0</v>
      </c>
      <c r="AF464" s="34">
        <f t="shared" si="420"/>
        <v>0</v>
      </c>
      <c r="AG464" s="29">
        <f t="shared" si="421"/>
        <v>819139.1218746698</v>
      </c>
      <c r="AH464" s="34">
        <f t="shared" si="422"/>
        <v>0</v>
      </c>
      <c r="AI464" s="34">
        <f t="shared" si="423"/>
        <v>0</v>
      </c>
      <c r="AJ464" s="34">
        <f t="shared" si="424"/>
        <v>0</v>
      </c>
      <c r="AK464" s="34">
        <f t="shared" si="425"/>
        <v>0</v>
      </c>
      <c r="AL464" s="34">
        <f t="shared" si="426"/>
        <v>0</v>
      </c>
      <c r="AM464" s="34">
        <f t="shared" si="427"/>
        <v>0</v>
      </c>
      <c r="AN464" s="34">
        <f t="shared" si="428"/>
        <v>0</v>
      </c>
      <c r="AO464" s="34">
        <f t="shared" si="429"/>
        <v>0</v>
      </c>
      <c r="AP464" s="34">
        <f t="shared" si="430"/>
        <v>0</v>
      </c>
      <c r="AQ464" s="34">
        <f t="shared" si="431"/>
        <v>0</v>
      </c>
      <c r="AR464" s="34">
        <f t="shared" si="432"/>
        <v>0</v>
      </c>
      <c r="AS464" s="30">
        <f t="shared" si="433"/>
        <v>1.4643761994576365</v>
      </c>
      <c r="AT464" s="29">
        <f t="shared" si="434"/>
        <v>0</v>
      </c>
      <c r="AU464" s="29">
        <f t="shared" si="435"/>
        <v>0</v>
      </c>
      <c r="AV464" s="34">
        <f t="shared" si="436"/>
        <v>0</v>
      </c>
      <c r="AW464" s="34">
        <f t="shared" si="437"/>
        <v>0</v>
      </c>
      <c r="AX464" s="29">
        <f t="shared" si="438"/>
        <v>0</v>
      </c>
      <c r="AY464" s="34">
        <f t="shared" si="439"/>
        <v>0</v>
      </c>
      <c r="AZ464" s="37">
        <f t="shared" si="440"/>
        <v>0</v>
      </c>
      <c r="BA464" s="37">
        <f t="shared" si="441"/>
        <v>0</v>
      </c>
      <c r="BB464" s="35">
        <f t="shared" si="442"/>
        <v>1.0439846190974933E-3</v>
      </c>
      <c r="BC464" s="31">
        <f t="shared" si="443"/>
        <v>0.61879426935634263</v>
      </c>
      <c r="BD464" s="34">
        <f t="shared" si="444"/>
        <v>0</v>
      </c>
    </row>
    <row r="465" spans="1:56" x14ac:dyDescent="0.2">
      <c r="A465" s="27">
        <f t="shared" si="445"/>
        <v>461</v>
      </c>
      <c r="B465" s="28">
        <f t="shared" si="392"/>
        <v>461</v>
      </c>
      <c r="C465" s="27">
        <f t="shared" si="393"/>
        <v>38</v>
      </c>
      <c r="D465" s="28">
        <f t="shared" si="394"/>
        <v>58</v>
      </c>
      <c r="E465" s="29">
        <f t="shared" si="395"/>
        <v>0</v>
      </c>
      <c r="F465" s="30">
        <f t="shared" si="396"/>
        <v>2.1416064229359548E-3</v>
      </c>
      <c r="G465" s="31">
        <f t="shared" si="397"/>
        <v>1.7864261995514941E-4</v>
      </c>
      <c r="H465" s="32">
        <f t="shared" si="398"/>
        <v>0.02</v>
      </c>
      <c r="I465" s="32">
        <f t="shared" si="399"/>
        <v>0</v>
      </c>
      <c r="J465" s="33">
        <f t="shared" si="446"/>
        <v>0</v>
      </c>
      <c r="K465" s="30">
        <f t="shared" si="400"/>
        <v>0</v>
      </c>
      <c r="L465" s="33">
        <f t="shared" si="401"/>
        <v>0</v>
      </c>
      <c r="M465" s="30">
        <f t="shared" si="402"/>
        <v>0</v>
      </c>
      <c r="N465" s="33">
        <f t="shared" si="403"/>
        <v>0</v>
      </c>
      <c r="O465" s="31">
        <f t="shared" si="404"/>
        <v>0</v>
      </c>
      <c r="P465" s="33">
        <f t="shared" si="405"/>
        <v>0</v>
      </c>
      <c r="Q465" s="34">
        <f t="shared" si="447"/>
        <v>817594.41088040732</v>
      </c>
      <c r="R465" s="29">
        <f t="shared" si="406"/>
        <v>0</v>
      </c>
      <c r="S465" s="34">
        <f t="shared" si="407"/>
        <v>817594.41088040732</v>
      </c>
      <c r="T465" s="29">
        <f t="shared" si="408"/>
        <v>681.32867573367275</v>
      </c>
      <c r="U465" s="29">
        <f t="shared" si="409"/>
        <v>0</v>
      </c>
      <c r="V465" s="35">
        <f t="shared" si="410"/>
        <v>1.9650688195066437E-4</v>
      </c>
      <c r="W465" s="34">
        <f t="shared" si="411"/>
        <v>0</v>
      </c>
      <c r="X465" s="34">
        <f t="shared" si="412"/>
        <v>816913.08220467367</v>
      </c>
      <c r="Y465" s="36">
        <f t="shared" si="413"/>
        <v>-1.6651227994154638E-2</v>
      </c>
      <c r="Z465" s="34">
        <f t="shared" si="414"/>
        <v>-13602.605983197611</v>
      </c>
      <c r="AA465" s="34">
        <f t="shared" si="415"/>
        <v>810111.77921307483</v>
      </c>
      <c r="AB465" s="34">
        <f t="shared" si="416"/>
        <v>0</v>
      </c>
      <c r="AC465" s="34">
        <f t="shared" si="417"/>
        <v>0</v>
      </c>
      <c r="AD465" s="34">
        <f t="shared" si="418"/>
        <v>0</v>
      </c>
      <c r="AE465" s="34">
        <f t="shared" si="419"/>
        <v>0</v>
      </c>
      <c r="AF465" s="34">
        <f t="shared" si="420"/>
        <v>0</v>
      </c>
      <c r="AG465" s="29">
        <f t="shared" si="421"/>
        <v>810111.77921307483</v>
      </c>
      <c r="AH465" s="34">
        <f t="shared" si="422"/>
        <v>0</v>
      </c>
      <c r="AI465" s="34">
        <f t="shared" si="423"/>
        <v>0</v>
      </c>
      <c r="AJ465" s="34">
        <f t="shared" si="424"/>
        <v>0</v>
      </c>
      <c r="AK465" s="34">
        <f t="shared" si="425"/>
        <v>0</v>
      </c>
      <c r="AL465" s="34">
        <f t="shared" si="426"/>
        <v>0</v>
      </c>
      <c r="AM465" s="34">
        <f t="shared" si="427"/>
        <v>0</v>
      </c>
      <c r="AN465" s="34">
        <f t="shared" si="428"/>
        <v>0</v>
      </c>
      <c r="AO465" s="34">
        <f t="shared" si="429"/>
        <v>0</v>
      </c>
      <c r="AP465" s="34">
        <f t="shared" si="430"/>
        <v>0</v>
      </c>
      <c r="AQ465" s="34">
        <f t="shared" si="431"/>
        <v>0</v>
      </c>
      <c r="AR465" s="34">
        <f t="shared" si="432"/>
        <v>0</v>
      </c>
      <c r="AS465" s="30">
        <f t="shared" si="433"/>
        <v>1.4655909553288282</v>
      </c>
      <c r="AT465" s="29">
        <f t="shared" si="434"/>
        <v>0</v>
      </c>
      <c r="AU465" s="29">
        <f t="shared" si="435"/>
        <v>0</v>
      </c>
      <c r="AV465" s="34">
        <f t="shared" si="436"/>
        <v>0</v>
      </c>
      <c r="AW465" s="34">
        <f t="shared" si="437"/>
        <v>0</v>
      </c>
      <c r="AX465" s="29">
        <f t="shared" si="438"/>
        <v>0</v>
      </c>
      <c r="AY465" s="34">
        <f t="shared" si="439"/>
        <v>0</v>
      </c>
      <c r="AZ465" s="37">
        <f t="shared" si="440"/>
        <v>0</v>
      </c>
      <c r="BA465" s="37">
        <f t="shared" si="441"/>
        <v>0</v>
      </c>
      <c r="BB465" s="35">
        <f t="shared" si="442"/>
        <v>1.0439846190974933E-3</v>
      </c>
      <c r="BC465" s="31">
        <f t="shared" si="443"/>
        <v>0.61814893137967053</v>
      </c>
      <c r="BD465" s="34">
        <f t="shared" si="444"/>
        <v>0</v>
      </c>
    </row>
    <row r="466" spans="1:56" x14ac:dyDescent="0.2">
      <c r="A466" s="27">
        <f t="shared" si="445"/>
        <v>462</v>
      </c>
      <c r="B466" s="28">
        <f t="shared" si="392"/>
        <v>462</v>
      </c>
      <c r="C466" s="27">
        <f t="shared" si="393"/>
        <v>38</v>
      </c>
      <c r="D466" s="28">
        <f t="shared" si="394"/>
        <v>58</v>
      </c>
      <c r="E466" s="29">
        <f t="shared" si="395"/>
        <v>0</v>
      </c>
      <c r="F466" s="30">
        <f t="shared" si="396"/>
        <v>2.1416064229359548E-3</v>
      </c>
      <c r="G466" s="31">
        <f t="shared" si="397"/>
        <v>1.7864261995514941E-4</v>
      </c>
      <c r="H466" s="32">
        <f t="shared" si="398"/>
        <v>0.02</v>
      </c>
      <c r="I466" s="32">
        <f t="shared" si="399"/>
        <v>0</v>
      </c>
      <c r="J466" s="33">
        <f t="shared" si="446"/>
        <v>0</v>
      </c>
      <c r="K466" s="30">
        <f t="shared" si="400"/>
        <v>0</v>
      </c>
      <c r="L466" s="33">
        <f t="shared" si="401"/>
        <v>0</v>
      </c>
      <c r="M466" s="30">
        <f t="shared" si="402"/>
        <v>0</v>
      </c>
      <c r="N466" s="33">
        <f t="shared" si="403"/>
        <v>0</v>
      </c>
      <c r="O466" s="31">
        <f t="shared" si="404"/>
        <v>0</v>
      </c>
      <c r="P466" s="33">
        <f t="shared" si="405"/>
        <v>0</v>
      </c>
      <c r="Q466" s="34">
        <f t="shared" si="447"/>
        <v>803310.4762214761</v>
      </c>
      <c r="R466" s="29">
        <f t="shared" si="406"/>
        <v>0</v>
      </c>
      <c r="S466" s="34">
        <f t="shared" si="407"/>
        <v>803310.4762214761</v>
      </c>
      <c r="T466" s="29">
        <f t="shared" si="408"/>
        <v>669.42539685123018</v>
      </c>
      <c r="U466" s="29">
        <f t="shared" si="409"/>
        <v>0</v>
      </c>
      <c r="V466" s="35">
        <f t="shared" si="410"/>
        <v>1.9650688195066437E-4</v>
      </c>
      <c r="W466" s="34">
        <f t="shared" si="411"/>
        <v>0</v>
      </c>
      <c r="X466" s="34">
        <f t="shared" si="412"/>
        <v>802641.05082462484</v>
      </c>
      <c r="Y466" s="36">
        <f t="shared" si="413"/>
        <v>-7.7561457582653315E-3</v>
      </c>
      <c r="Z466" s="34">
        <f t="shared" si="414"/>
        <v>-6225.4009817630422</v>
      </c>
      <c r="AA466" s="34">
        <f t="shared" si="415"/>
        <v>799528.35033374326</v>
      </c>
      <c r="AB466" s="34">
        <f t="shared" si="416"/>
        <v>0</v>
      </c>
      <c r="AC466" s="34">
        <f t="shared" si="417"/>
        <v>0</v>
      </c>
      <c r="AD466" s="34">
        <f t="shared" si="418"/>
        <v>0</v>
      </c>
      <c r="AE466" s="34">
        <f t="shared" si="419"/>
        <v>0</v>
      </c>
      <c r="AF466" s="34">
        <f t="shared" si="420"/>
        <v>0</v>
      </c>
      <c r="AG466" s="29">
        <f t="shared" si="421"/>
        <v>799528.35033374326</v>
      </c>
      <c r="AH466" s="34">
        <f t="shared" si="422"/>
        <v>0</v>
      </c>
      <c r="AI466" s="34">
        <f t="shared" si="423"/>
        <v>0</v>
      </c>
      <c r="AJ466" s="34">
        <f t="shared" si="424"/>
        <v>0</v>
      </c>
      <c r="AK466" s="34">
        <f t="shared" si="425"/>
        <v>0</v>
      </c>
      <c r="AL466" s="34">
        <f t="shared" si="426"/>
        <v>0</v>
      </c>
      <c r="AM466" s="34">
        <f t="shared" si="427"/>
        <v>0</v>
      </c>
      <c r="AN466" s="34">
        <f t="shared" si="428"/>
        <v>0</v>
      </c>
      <c r="AO466" s="34">
        <f t="shared" si="429"/>
        <v>0</v>
      </c>
      <c r="AP466" s="34">
        <f t="shared" si="430"/>
        <v>0</v>
      </c>
      <c r="AQ466" s="34">
        <f t="shared" si="431"/>
        <v>0</v>
      </c>
      <c r="AR466" s="34">
        <f t="shared" si="432"/>
        <v>0</v>
      </c>
      <c r="AS466" s="30">
        <f t="shared" si="433"/>
        <v>1.4668067188863145</v>
      </c>
      <c r="AT466" s="29">
        <f t="shared" si="434"/>
        <v>0</v>
      </c>
      <c r="AU466" s="29">
        <f t="shared" si="435"/>
        <v>0</v>
      </c>
      <c r="AV466" s="34">
        <f t="shared" si="436"/>
        <v>0</v>
      </c>
      <c r="AW466" s="34">
        <f t="shared" si="437"/>
        <v>0</v>
      </c>
      <c r="AX466" s="29">
        <f t="shared" si="438"/>
        <v>0</v>
      </c>
      <c r="AY466" s="34">
        <f t="shared" si="439"/>
        <v>0</v>
      </c>
      <c r="AZ466" s="37">
        <f t="shared" si="440"/>
        <v>0</v>
      </c>
      <c r="BA466" s="37">
        <f t="shared" si="441"/>
        <v>0</v>
      </c>
      <c r="BB466" s="35">
        <f t="shared" si="442"/>
        <v>1.0439846190974933E-3</v>
      </c>
      <c r="BC466" s="31">
        <f t="shared" si="443"/>
        <v>0.61750426642329781</v>
      </c>
      <c r="BD466" s="34">
        <f t="shared" si="444"/>
        <v>0</v>
      </c>
    </row>
    <row r="467" spans="1:56" x14ac:dyDescent="0.2">
      <c r="A467" s="27">
        <f t="shared" si="445"/>
        <v>463</v>
      </c>
      <c r="B467" s="28">
        <f t="shared" si="392"/>
        <v>463</v>
      </c>
      <c r="C467" s="27">
        <f t="shared" si="393"/>
        <v>38</v>
      </c>
      <c r="D467" s="28">
        <f t="shared" si="394"/>
        <v>58</v>
      </c>
      <c r="E467" s="29">
        <f t="shared" si="395"/>
        <v>0</v>
      </c>
      <c r="F467" s="30">
        <f t="shared" si="396"/>
        <v>2.1416064229359548E-3</v>
      </c>
      <c r="G467" s="31">
        <f t="shared" si="397"/>
        <v>1.7864261995514941E-4</v>
      </c>
      <c r="H467" s="32">
        <f t="shared" si="398"/>
        <v>0.02</v>
      </c>
      <c r="I467" s="32">
        <f t="shared" si="399"/>
        <v>0</v>
      </c>
      <c r="J467" s="33">
        <f t="shared" si="446"/>
        <v>0</v>
      </c>
      <c r="K467" s="30">
        <f t="shared" si="400"/>
        <v>0</v>
      </c>
      <c r="L467" s="33">
        <f t="shared" si="401"/>
        <v>0</v>
      </c>
      <c r="M467" s="30">
        <f t="shared" si="402"/>
        <v>0</v>
      </c>
      <c r="N467" s="33">
        <f t="shared" si="403"/>
        <v>0</v>
      </c>
      <c r="O467" s="31">
        <f t="shared" si="404"/>
        <v>0</v>
      </c>
      <c r="P467" s="33">
        <f t="shared" si="405"/>
        <v>0</v>
      </c>
      <c r="Q467" s="34">
        <f t="shared" si="447"/>
        <v>796415.64984286181</v>
      </c>
      <c r="R467" s="29">
        <f t="shared" si="406"/>
        <v>0</v>
      </c>
      <c r="S467" s="34">
        <f t="shared" si="407"/>
        <v>796415.64984286181</v>
      </c>
      <c r="T467" s="29">
        <f t="shared" si="408"/>
        <v>663.67970820238486</v>
      </c>
      <c r="U467" s="29">
        <f t="shared" si="409"/>
        <v>0</v>
      </c>
      <c r="V467" s="35">
        <f t="shared" si="410"/>
        <v>1.9650688195066437E-4</v>
      </c>
      <c r="W467" s="34">
        <f t="shared" si="411"/>
        <v>0</v>
      </c>
      <c r="X467" s="34">
        <f t="shared" si="412"/>
        <v>795751.97013465944</v>
      </c>
      <c r="Y467" s="36">
        <f t="shared" si="413"/>
        <v>1.2157255668975964E-2</v>
      </c>
      <c r="Z467" s="34">
        <f t="shared" si="414"/>
        <v>9674.1601500183806</v>
      </c>
      <c r="AA467" s="34">
        <f t="shared" si="415"/>
        <v>800589.05020966858</v>
      </c>
      <c r="AB467" s="34">
        <f t="shared" si="416"/>
        <v>0</v>
      </c>
      <c r="AC467" s="34">
        <f t="shared" si="417"/>
        <v>0</v>
      </c>
      <c r="AD467" s="34">
        <f t="shared" si="418"/>
        <v>0</v>
      </c>
      <c r="AE467" s="34">
        <f t="shared" si="419"/>
        <v>0</v>
      </c>
      <c r="AF467" s="34">
        <f t="shared" si="420"/>
        <v>0</v>
      </c>
      <c r="AG467" s="29">
        <f t="shared" si="421"/>
        <v>800589.05020966858</v>
      </c>
      <c r="AH467" s="34">
        <f t="shared" si="422"/>
        <v>0</v>
      </c>
      <c r="AI467" s="34">
        <f t="shared" si="423"/>
        <v>0</v>
      </c>
      <c r="AJ467" s="34">
        <f t="shared" si="424"/>
        <v>0</v>
      </c>
      <c r="AK467" s="34">
        <f t="shared" si="425"/>
        <v>0</v>
      </c>
      <c r="AL467" s="34">
        <f t="shared" si="426"/>
        <v>0</v>
      </c>
      <c r="AM467" s="34">
        <f t="shared" si="427"/>
        <v>0</v>
      </c>
      <c r="AN467" s="34">
        <f t="shared" si="428"/>
        <v>0</v>
      </c>
      <c r="AO467" s="34">
        <f t="shared" si="429"/>
        <v>0</v>
      </c>
      <c r="AP467" s="34">
        <f t="shared" si="430"/>
        <v>0</v>
      </c>
      <c r="AQ467" s="34">
        <f t="shared" si="431"/>
        <v>0</v>
      </c>
      <c r="AR467" s="34">
        <f t="shared" si="432"/>
        <v>0</v>
      </c>
      <c r="AS467" s="30">
        <f t="shared" si="433"/>
        <v>1.4680234909660099</v>
      </c>
      <c r="AT467" s="29">
        <f t="shared" si="434"/>
        <v>0</v>
      </c>
      <c r="AU467" s="29">
        <f t="shared" si="435"/>
        <v>0</v>
      </c>
      <c r="AV467" s="34">
        <f t="shared" si="436"/>
        <v>0</v>
      </c>
      <c r="AW467" s="34">
        <f t="shared" si="437"/>
        <v>0</v>
      </c>
      <c r="AX467" s="29">
        <f t="shared" si="438"/>
        <v>0</v>
      </c>
      <c r="AY467" s="34">
        <f t="shared" si="439"/>
        <v>0</v>
      </c>
      <c r="AZ467" s="37">
        <f t="shared" si="440"/>
        <v>0</v>
      </c>
      <c r="BA467" s="37">
        <f t="shared" si="441"/>
        <v>0</v>
      </c>
      <c r="BB467" s="35">
        <f t="shared" si="442"/>
        <v>1.0439846190974933E-3</v>
      </c>
      <c r="BC467" s="31">
        <f t="shared" si="443"/>
        <v>0.61686027378533359</v>
      </c>
      <c r="BD467" s="34">
        <f t="shared" si="444"/>
        <v>0</v>
      </c>
    </row>
    <row r="468" spans="1:56" x14ac:dyDescent="0.2">
      <c r="A468" s="27">
        <f t="shared" si="445"/>
        <v>464</v>
      </c>
      <c r="B468" s="28">
        <f t="shared" si="392"/>
        <v>464</v>
      </c>
      <c r="C468" s="27">
        <f t="shared" si="393"/>
        <v>38</v>
      </c>
      <c r="D468" s="28">
        <f t="shared" si="394"/>
        <v>58</v>
      </c>
      <c r="E468" s="29">
        <f t="shared" si="395"/>
        <v>0</v>
      </c>
      <c r="F468" s="30">
        <f t="shared" si="396"/>
        <v>2.1416064229359548E-3</v>
      </c>
      <c r="G468" s="31">
        <f t="shared" si="397"/>
        <v>1.7864261995514941E-4</v>
      </c>
      <c r="H468" s="32">
        <f t="shared" si="398"/>
        <v>0.02</v>
      </c>
      <c r="I468" s="32">
        <f t="shared" si="399"/>
        <v>0</v>
      </c>
      <c r="J468" s="33">
        <f t="shared" si="446"/>
        <v>0</v>
      </c>
      <c r="K468" s="30">
        <f t="shared" si="400"/>
        <v>0</v>
      </c>
      <c r="L468" s="33">
        <f t="shared" si="401"/>
        <v>0</v>
      </c>
      <c r="M468" s="30">
        <f t="shared" si="402"/>
        <v>0</v>
      </c>
      <c r="N468" s="33">
        <f t="shared" si="403"/>
        <v>0</v>
      </c>
      <c r="O468" s="31">
        <f t="shared" si="404"/>
        <v>0</v>
      </c>
      <c r="P468" s="33">
        <f t="shared" si="405"/>
        <v>0</v>
      </c>
      <c r="Q468" s="34">
        <f t="shared" si="447"/>
        <v>805426.13028467784</v>
      </c>
      <c r="R468" s="29">
        <f t="shared" si="406"/>
        <v>0</v>
      </c>
      <c r="S468" s="34">
        <f t="shared" si="407"/>
        <v>805426.13028467784</v>
      </c>
      <c r="T468" s="29">
        <f t="shared" si="408"/>
        <v>671.18844190389825</v>
      </c>
      <c r="U468" s="29">
        <f t="shared" si="409"/>
        <v>0</v>
      </c>
      <c r="V468" s="35">
        <f t="shared" si="410"/>
        <v>1.9650688195066437E-4</v>
      </c>
      <c r="W468" s="34">
        <f t="shared" si="411"/>
        <v>0</v>
      </c>
      <c r="X468" s="34">
        <f t="shared" si="412"/>
        <v>804754.94184277393</v>
      </c>
      <c r="Y468" s="36">
        <f t="shared" si="413"/>
        <v>7.8041266073369808E-3</v>
      </c>
      <c r="Z468" s="34">
        <f t="shared" si="414"/>
        <v>6280.4094540211163</v>
      </c>
      <c r="AA468" s="34">
        <f t="shared" si="415"/>
        <v>807895.1465697845</v>
      </c>
      <c r="AB468" s="34">
        <f t="shared" si="416"/>
        <v>0</v>
      </c>
      <c r="AC468" s="34">
        <f t="shared" si="417"/>
        <v>0</v>
      </c>
      <c r="AD468" s="34">
        <f t="shared" si="418"/>
        <v>0</v>
      </c>
      <c r="AE468" s="34">
        <f t="shared" si="419"/>
        <v>0</v>
      </c>
      <c r="AF468" s="34">
        <f t="shared" si="420"/>
        <v>0</v>
      </c>
      <c r="AG468" s="29">
        <f t="shared" si="421"/>
        <v>807895.1465697845</v>
      </c>
      <c r="AH468" s="34">
        <f t="shared" si="422"/>
        <v>0</v>
      </c>
      <c r="AI468" s="34">
        <f t="shared" si="423"/>
        <v>0</v>
      </c>
      <c r="AJ468" s="34">
        <f t="shared" si="424"/>
        <v>0</v>
      </c>
      <c r="AK468" s="34">
        <f t="shared" si="425"/>
        <v>0</v>
      </c>
      <c r="AL468" s="34">
        <f t="shared" si="426"/>
        <v>0</v>
      </c>
      <c r="AM468" s="34">
        <f t="shared" si="427"/>
        <v>0</v>
      </c>
      <c r="AN468" s="34">
        <f t="shared" si="428"/>
        <v>0</v>
      </c>
      <c r="AO468" s="34">
        <f t="shared" si="429"/>
        <v>0</v>
      </c>
      <c r="AP468" s="34">
        <f t="shared" si="430"/>
        <v>0</v>
      </c>
      <c r="AQ468" s="34">
        <f t="shared" si="431"/>
        <v>0</v>
      </c>
      <c r="AR468" s="34">
        <f t="shared" si="432"/>
        <v>0</v>
      </c>
      <c r="AS468" s="30">
        <f t="shared" si="433"/>
        <v>1.4692412724045218</v>
      </c>
      <c r="AT468" s="29">
        <f t="shared" si="434"/>
        <v>0</v>
      </c>
      <c r="AU468" s="29">
        <f t="shared" si="435"/>
        <v>0</v>
      </c>
      <c r="AV468" s="34">
        <f t="shared" si="436"/>
        <v>0</v>
      </c>
      <c r="AW468" s="34">
        <f t="shared" si="437"/>
        <v>0</v>
      </c>
      <c r="AX468" s="29">
        <f t="shared" si="438"/>
        <v>0</v>
      </c>
      <c r="AY468" s="34">
        <f t="shared" si="439"/>
        <v>0</v>
      </c>
      <c r="AZ468" s="37">
        <f t="shared" si="440"/>
        <v>0</v>
      </c>
      <c r="BA468" s="37">
        <f t="shared" si="441"/>
        <v>0</v>
      </c>
      <c r="BB468" s="35">
        <f t="shared" si="442"/>
        <v>1.0439846190974933E-3</v>
      </c>
      <c r="BC468" s="31">
        <f t="shared" si="443"/>
        <v>0.61621695276462018</v>
      </c>
      <c r="BD468" s="34">
        <f t="shared" si="444"/>
        <v>0</v>
      </c>
    </row>
    <row r="469" spans="1:56" x14ac:dyDescent="0.2">
      <c r="A469" s="27">
        <f t="shared" si="445"/>
        <v>465</v>
      </c>
      <c r="B469" s="28">
        <f t="shared" si="392"/>
        <v>465</v>
      </c>
      <c r="C469" s="27">
        <f t="shared" si="393"/>
        <v>38</v>
      </c>
      <c r="D469" s="28">
        <f t="shared" si="394"/>
        <v>58</v>
      </c>
      <c r="E469" s="29">
        <f t="shared" si="395"/>
        <v>0</v>
      </c>
      <c r="F469" s="30">
        <f t="shared" si="396"/>
        <v>2.1416064229359548E-3</v>
      </c>
      <c r="G469" s="31">
        <f t="shared" si="397"/>
        <v>1.7864261995514941E-4</v>
      </c>
      <c r="H469" s="32">
        <f t="shared" si="398"/>
        <v>0.02</v>
      </c>
      <c r="I469" s="32">
        <f t="shared" si="399"/>
        <v>0</v>
      </c>
      <c r="J469" s="33">
        <f t="shared" si="446"/>
        <v>0</v>
      </c>
      <c r="K469" s="30">
        <f t="shared" si="400"/>
        <v>0</v>
      </c>
      <c r="L469" s="33">
        <f t="shared" si="401"/>
        <v>0</v>
      </c>
      <c r="M469" s="30">
        <f t="shared" si="402"/>
        <v>0</v>
      </c>
      <c r="N469" s="33">
        <f t="shared" si="403"/>
        <v>0</v>
      </c>
      <c r="O469" s="31">
        <f t="shared" si="404"/>
        <v>0</v>
      </c>
      <c r="P469" s="33">
        <f t="shared" si="405"/>
        <v>0</v>
      </c>
      <c r="Q469" s="34">
        <f t="shared" si="447"/>
        <v>811035.35129679507</v>
      </c>
      <c r="R469" s="29">
        <f t="shared" si="406"/>
        <v>0</v>
      </c>
      <c r="S469" s="34">
        <f t="shared" si="407"/>
        <v>811035.35129679507</v>
      </c>
      <c r="T469" s="29">
        <f t="shared" si="408"/>
        <v>675.86279274732931</v>
      </c>
      <c r="U469" s="29">
        <f t="shared" si="409"/>
        <v>0</v>
      </c>
      <c r="V469" s="35">
        <f t="shared" si="410"/>
        <v>1.9650688195066437E-4</v>
      </c>
      <c r="W469" s="34">
        <f t="shared" si="411"/>
        <v>0</v>
      </c>
      <c r="X469" s="34">
        <f t="shared" si="412"/>
        <v>810359.48850404774</v>
      </c>
      <c r="Y469" s="36">
        <f t="shared" si="413"/>
        <v>3.9912025992634437E-3</v>
      </c>
      <c r="Z469" s="34">
        <f t="shared" si="414"/>
        <v>3234.3088968551501</v>
      </c>
      <c r="AA469" s="34">
        <f t="shared" si="415"/>
        <v>811976.64295247535</v>
      </c>
      <c r="AB469" s="34">
        <f t="shared" si="416"/>
        <v>0</v>
      </c>
      <c r="AC469" s="34">
        <f t="shared" si="417"/>
        <v>0</v>
      </c>
      <c r="AD469" s="34">
        <f t="shared" si="418"/>
        <v>0</v>
      </c>
      <c r="AE469" s="34">
        <f t="shared" si="419"/>
        <v>0</v>
      </c>
      <c r="AF469" s="34">
        <f t="shared" si="420"/>
        <v>0</v>
      </c>
      <c r="AG469" s="29">
        <f t="shared" si="421"/>
        <v>811976.64295247535</v>
      </c>
      <c r="AH469" s="34">
        <f t="shared" si="422"/>
        <v>0</v>
      </c>
      <c r="AI469" s="34">
        <f t="shared" si="423"/>
        <v>0</v>
      </c>
      <c r="AJ469" s="34">
        <f t="shared" si="424"/>
        <v>0</v>
      </c>
      <c r="AK469" s="34">
        <f t="shared" si="425"/>
        <v>0</v>
      </c>
      <c r="AL469" s="34">
        <f t="shared" si="426"/>
        <v>0</v>
      </c>
      <c r="AM469" s="34">
        <f t="shared" si="427"/>
        <v>0</v>
      </c>
      <c r="AN469" s="34">
        <f t="shared" si="428"/>
        <v>0</v>
      </c>
      <c r="AO469" s="34">
        <f t="shared" si="429"/>
        <v>0</v>
      </c>
      <c r="AP469" s="34">
        <f t="shared" si="430"/>
        <v>0</v>
      </c>
      <c r="AQ469" s="34">
        <f t="shared" si="431"/>
        <v>0</v>
      </c>
      <c r="AR469" s="34">
        <f t="shared" si="432"/>
        <v>0</v>
      </c>
      <c r="AS469" s="30">
        <f t="shared" si="433"/>
        <v>1.4704600640391519</v>
      </c>
      <c r="AT469" s="29">
        <f t="shared" si="434"/>
        <v>0</v>
      </c>
      <c r="AU469" s="29">
        <f t="shared" si="435"/>
        <v>0</v>
      </c>
      <c r="AV469" s="34">
        <f t="shared" si="436"/>
        <v>0</v>
      </c>
      <c r="AW469" s="34">
        <f t="shared" si="437"/>
        <v>0</v>
      </c>
      <c r="AX469" s="29">
        <f t="shared" si="438"/>
        <v>0</v>
      </c>
      <c r="AY469" s="34">
        <f t="shared" si="439"/>
        <v>0</v>
      </c>
      <c r="AZ469" s="37">
        <f t="shared" si="440"/>
        <v>0</v>
      </c>
      <c r="BA469" s="37">
        <f t="shared" si="441"/>
        <v>0</v>
      </c>
      <c r="BB469" s="35">
        <f t="shared" si="442"/>
        <v>1.0439846190974933E-3</v>
      </c>
      <c r="BC469" s="31">
        <f t="shared" si="443"/>
        <v>0.61557430266073088</v>
      </c>
      <c r="BD469" s="34">
        <f t="shared" si="444"/>
        <v>0</v>
      </c>
    </row>
    <row r="470" spans="1:56" x14ac:dyDescent="0.2">
      <c r="A470" s="27">
        <f t="shared" si="445"/>
        <v>466</v>
      </c>
      <c r="B470" s="28">
        <f t="shared" si="392"/>
        <v>466</v>
      </c>
      <c r="C470" s="27">
        <f t="shared" si="393"/>
        <v>38</v>
      </c>
      <c r="D470" s="28">
        <f t="shared" si="394"/>
        <v>58</v>
      </c>
      <c r="E470" s="29">
        <f t="shared" si="395"/>
        <v>0</v>
      </c>
      <c r="F470" s="30">
        <f t="shared" si="396"/>
        <v>2.1416064229359548E-3</v>
      </c>
      <c r="G470" s="31">
        <f t="shared" si="397"/>
        <v>1.7864261995514941E-4</v>
      </c>
      <c r="H470" s="32">
        <f t="shared" si="398"/>
        <v>0.02</v>
      </c>
      <c r="I470" s="32">
        <f t="shared" si="399"/>
        <v>0</v>
      </c>
      <c r="J470" s="33">
        <f t="shared" si="446"/>
        <v>0</v>
      </c>
      <c r="K470" s="30">
        <f t="shared" si="400"/>
        <v>0</v>
      </c>
      <c r="L470" s="33">
        <f t="shared" si="401"/>
        <v>0</v>
      </c>
      <c r="M470" s="30">
        <f t="shared" si="402"/>
        <v>0</v>
      </c>
      <c r="N470" s="33">
        <f t="shared" si="403"/>
        <v>0</v>
      </c>
      <c r="O470" s="31">
        <f t="shared" si="404"/>
        <v>0</v>
      </c>
      <c r="P470" s="33">
        <f t="shared" si="405"/>
        <v>0</v>
      </c>
      <c r="Q470" s="34">
        <f t="shared" si="447"/>
        <v>813593.79740090284</v>
      </c>
      <c r="R470" s="29">
        <f t="shared" si="406"/>
        <v>0</v>
      </c>
      <c r="S470" s="34">
        <f t="shared" si="407"/>
        <v>813593.79740090284</v>
      </c>
      <c r="T470" s="29">
        <f t="shared" si="408"/>
        <v>677.99483116741908</v>
      </c>
      <c r="U470" s="29">
        <f t="shared" si="409"/>
        <v>0</v>
      </c>
      <c r="V470" s="35">
        <f t="shared" si="410"/>
        <v>1.9650688195066437E-4</v>
      </c>
      <c r="W470" s="34">
        <f t="shared" si="411"/>
        <v>0</v>
      </c>
      <c r="X470" s="34">
        <f t="shared" si="412"/>
        <v>812915.80256973545</v>
      </c>
      <c r="Y470" s="36">
        <f t="shared" si="413"/>
        <v>-1.3530853339035476E-3</v>
      </c>
      <c r="Z470" s="34">
        <f t="shared" si="414"/>
        <v>-1099.9444501555408</v>
      </c>
      <c r="AA470" s="34">
        <f t="shared" si="415"/>
        <v>812365.83034465765</v>
      </c>
      <c r="AB470" s="34">
        <f t="shared" si="416"/>
        <v>0</v>
      </c>
      <c r="AC470" s="34">
        <f t="shared" si="417"/>
        <v>0</v>
      </c>
      <c r="AD470" s="34">
        <f t="shared" si="418"/>
        <v>0</v>
      </c>
      <c r="AE470" s="34">
        <f t="shared" si="419"/>
        <v>0</v>
      </c>
      <c r="AF470" s="34">
        <f t="shared" si="420"/>
        <v>0</v>
      </c>
      <c r="AG470" s="29">
        <f t="shared" si="421"/>
        <v>812365.83034465765</v>
      </c>
      <c r="AH470" s="34">
        <f t="shared" si="422"/>
        <v>0</v>
      </c>
      <c r="AI470" s="34">
        <f t="shared" si="423"/>
        <v>0</v>
      </c>
      <c r="AJ470" s="34">
        <f t="shared" si="424"/>
        <v>0</v>
      </c>
      <c r="AK470" s="34">
        <f t="shared" si="425"/>
        <v>0</v>
      </c>
      <c r="AL470" s="34">
        <f t="shared" si="426"/>
        <v>0</v>
      </c>
      <c r="AM470" s="34">
        <f t="shared" si="427"/>
        <v>0</v>
      </c>
      <c r="AN470" s="34">
        <f t="shared" si="428"/>
        <v>0</v>
      </c>
      <c r="AO470" s="34">
        <f t="shared" si="429"/>
        <v>0</v>
      </c>
      <c r="AP470" s="34">
        <f t="shared" si="430"/>
        <v>0</v>
      </c>
      <c r="AQ470" s="34">
        <f t="shared" si="431"/>
        <v>0</v>
      </c>
      <c r="AR470" s="34">
        <f t="shared" si="432"/>
        <v>0</v>
      </c>
      <c r="AS470" s="30">
        <f t="shared" si="433"/>
        <v>1.4716798667078965</v>
      </c>
      <c r="AT470" s="29">
        <f t="shared" si="434"/>
        <v>0</v>
      </c>
      <c r="AU470" s="29">
        <f t="shared" si="435"/>
        <v>0</v>
      </c>
      <c r="AV470" s="34">
        <f t="shared" si="436"/>
        <v>0</v>
      </c>
      <c r="AW470" s="34">
        <f t="shared" si="437"/>
        <v>0</v>
      </c>
      <c r="AX470" s="29">
        <f t="shared" si="438"/>
        <v>0</v>
      </c>
      <c r="AY470" s="34">
        <f t="shared" si="439"/>
        <v>0</v>
      </c>
      <c r="AZ470" s="37">
        <f t="shared" si="440"/>
        <v>0</v>
      </c>
      <c r="BA470" s="37">
        <f t="shared" si="441"/>
        <v>0</v>
      </c>
      <c r="BB470" s="35">
        <f t="shared" si="442"/>
        <v>1.0439846190974933E-3</v>
      </c>
      <c r="BC470" s="31">
        <f t="shared" si="443"/>
        <v>0.61493232277396881</v>
      </c>
      <c r="BD470" s="34">
        <f t="shared" si="444"/>
        <v>0</v>
      </c>
    </row>
    <row r="471" spans="1:56" x14ac:dyDescent="0.2">
      <c r="A471" s="27">
        <f t="shared" si="445"/>
        <v>467</v>
      </c>
      <c r="B471" s="28">
        <f t="shared" si="392"/>
        <v>467</v>
      </c>
      <c r="C471" s="27">
        <f t="shared" si="393"/>
        <v>38</v>
      </c>
      <c r="D471" s="28">
        <f t="shared" si="394"/>
        <v>58</v>
      </c>
      <c r="E471" s="29">
        <f t="shared" si="395"/>
        <v>0</v>
      </c>
      <c r="F471" s="30">
        <f t="shared" si="396"/>
        <v>2.1416064229359548E-3</v>
      </c>
      <c r="G471" s="31">
        <f t="shared" si="397"/>
        <v>1.7864261995514941E-4</v>
      </c>
      <c r="H471" s="32">
        <f t="shared" si="398"/>
        <v>0.02</v>
      </c>
      <c r="I471" s="32">
        <f t="shared" si="399"/>
        <v>0</v>
      </c>
      <c r="J471" s="33">
        <f t="shared" si="446"/>
        <v>0</v>
      </c>
      <c r="K471" s="30">
        <f t="shared" si="400"/>
        <v>0</v>
      </c>
      <c r="L471" s="33">
        <f t="shared" si="401"/>
        <v>0</v>
      </c>
      <c r="M471" s="30">
        <f t="shared" si="402"/>
        <v>0</v>
      </c>
      <c r="N471" s="33">
        <f t="shared" si="403"/>
        <v>0</v>
      </c>
      <c r="O471" s="31">
        <f t="shared" si="404"/>
        <v>0</v>
      </c>
      <c r="P471" s="33">
        <f t="shared" si="405"/>
        <v>0</v>
      </c>
      <c r="Q471" s="34">
        <f t="shared" si="447"/>
        <v>811815.85811957996</v>
      </c>
      <c r="R471" s="29">
        <f t="shared" si="406"/>
        <v>0</v>
      </c>
      <c r="S471" s="34">
        <f t="shared" si="407"/>
        <v>811815.85811957996</v>
      </c>
      <c r="T471" s="29">
        <f t="shared" si="408"/>
        <v>676.51321509964998</v>
      </c>
      <c r="U471" s="29">
        <f t="shared" si="409"/>
        <v>0</v>
      </c>
      <c r="V471" s="35">
        <f t="shared" si="410"/>
        <v>1.9650688195066437E-4</v>
      </c>
      <c r="W471" s="34">
        <f t="shared" si="411"/>
        <v>0</v>
      </c>
      <c r="X471" s="34">
        <f t="shared" si="412"/>
        <v>811139.34490448027</v>
      </c>
      <c r="Y471" s="36">
        <f t="shared" si="413"/>
        <v>1.6588627261195477E-2</v>
      </c>
      <c r="Z471" s="34">
        <f t="shared" si="414"/>
        <v>13455.688249510702</v>
      </c>
      <c r="AA471" s="34">
        <f t="shared" si="415"/>
        <v>817867.18902923563</v>
      </c>
      <c r="AB471" s="34">
        <f t="shared" si="416"/>
        <v>0</v>
      </c>
      <c r="AC471" s="34">
        <f t="shared" si="417"/>
        <v>0</v>
      </c>
      <c r="AD471" s="34">
        <f t="shared" si="418"/>
        <v>0</v>
      </c>
      <c r="AE471" s="34">
        <f t="shared" si="419"/>
        <v>0</v>
      </c>
      <c r="AF471" s="34">
        <f t="shared" si="420"/>
        <v>0</v>
      </c>
      <c r="AG471" s="29">
        <f t="shared" si="421"/>
        <v>817867.18902923563</v>
      </c>
      <c r="AH471" s="34">
        <f t="shared" si="422"/>
        <v>0</v>
      </c>
      <c r="AI471" s="34">
        <f t="shared" si="423"/>
        <v>0</v>
      </c>
      <c r="AJ471" s="34">
        <f t="shared" si="424"/>
        <v>0</v>
      </c>
      <c r="AK471" s="34">
        <f t="shared" si="425"/>
        <v>0</v>
      </c>
      <c r="AL471" s="34">
        <f t="shared" si="426"/>
        <v>0</v>
      </c>
      <c r="AM471" s="34">
        <f t="shared" si="427"/>
        <v>0</v>
      </c>
      <c r="AN471" s="34">
        <f t="shared" si="428"/>
        <v>0</v>
      </c>
      <c r="AO471" s="34">
        <f t="shared" si="429"/>
        <v>0</v>
      </c>
      <c r="AP471" s="34">
        <f t="shared" si="430"/>
        <v>0</v>
      </c>
      <c r="AQ471" s="34">
        <f t="shared" si="431"/>
        <v>0</v>
      </c>
      <c r="AR471" s="34">
        <f t="shared" si="432"/>
        <v>0</v>
      </c>
      <c r="AS471" s="30">
        <f t="shared" si="433"/>
        <v>1.4729006812494465</v>
      </c>
      <c r="AT471" s="29">
        <f t="shared" si="434"/>
        <v>0</v>
      </c>
      <c r="AU471" s="29">
        <f t="shared" si="435"/>
        <v>0</v>
      </c>
      <c r="AV471" s="34">
        <f t="shared" si="436"/>
        <v>0</v>
      </c>
      <c r="AW471" s="34">
        <f t="shared" si="437"/>
        <v>0</v>
      </c>
      <c r="AX471" s="29">
        <f t="shared" si="438"/>
        <v>0</v>
      </c>
      <c r="AY471" s="34">
        <f t="shared" si="439"/>
        <v>0</v>
      </c>
      <c r="AZ471" s="37">
        <f t="shared" si="440"/>
        <v>0</v>
      </c>
      <c r="BA471" s="37">
        <f t="shared" si="441"/>
        <v>0</v>
      </c>
      <c r="BB471" s="35">
        <f t="shared" si="442"/>
        <v>1.0439846190974933E-3</v>
      </c>
      <c r="BC471" s="31">
        <f t="shared" si="443"/>
        <v>0.61429101240536776</v>
      </c>
      <c r="BD471" s="34">
        <f t="shared" si="444"/>
        <v>0</v>
      </c>
    </row>
    <row r="472" spans="1:56" x14ac:dyDescent="0.2">
      <c r="A472" s="27">
        <f t="shared" si="445"/>
        <v>468</v>
      </c>
      <c r="B472" s="28">
        <f t="shared" si="392"/>
        <v>468</v>
      </c>
      <c r="C472" s="27">
        <f t="shared" si="393"/>
        <v>39</v>
      </c>
      <c r="D472" s="28">
        <f t="shared" si="394"/>
        <v>59</v>
      </c>
      <c r="E472" s="29">
        <f t="shared" si="395"/>
        <v>0</v>
      </c>
      <c r="F472" s="30">
        <f t="shared" si="396"/>
        <v>2.3028756297091158E-3</v>
      </c>
      <c r="G472" s="31">
        <f t="shared" si="397"/>
        <v>1.9210915515044391E-4</v>
      </c>
      <c r="H472" s="32">
        <f t="shared" si="398"/>
        <v>0.02</v>
      </c>
      <c r="I472" s="32">
        <f t="shared" si="399"/>
        <v>0</v>
      </c>
      <c r="J472" s="33">
        <f t="shared" si="446"/>
        <v>0</v>
      </c>
      <c r="K472" s="30">
        <f t="shared" si="400"/>
        <v>0</v>
      </c>
      <c r="L472" s="33">
        <f t="shared" si="401"/>
        <v>0</v>
      </c>
      <c r="M472" s="30">
        <f t="shared" si="402"/>
        <v>0</v>
      </c>
      <c r="N472" s="33">
        <f t="shared" si="403"/>
        <v>0</v>
      </c>
      <c r="O472" s="31">
        <f t="shared" si="404"/>
        <v>0</v>
      </c>
      <c r="P472" s="33">
        <f t="shared" si="405"/>
        <v>0</v>
      </c>
      <c r="Q472" s="34">
        <f t="shared" si="447"/>
        <v>824595.03315399098</v>
      </c>
      <c r="R472" s="29">
        <f t="shared" si="406"/>
        <v>0</v>
      </c>
      <c r="S472" s="34">
        <f t="shared" si="407"/>
        <v>824595.03315399098</v>
      </c>
      <c r="T472" s="29">
        <f t="shared" si="408"/>
        <v>687.16252762832585</v>
      </c>
      <c r="U472" s="29">
        <f t="shared" si="409"/>
        <v>0</v>
      </c>
      <c r="V472" s="35">
        <f t="shared" si="410"/>
        <v>2.1132007066548833E-4</v>
      </c>
      <c r="W472" s="34">
        <f t="shared" si="411"/>
        <v>0</v>
      </c>
      <c r="X472" s="34">
        <f t="shared" si="412"/>
        <v>823907.87062636262</v>
      </c>
      <c r="Y472" s="36">
        <f t="shared" si="413"/>
        <v>-2.4517451471421925E-3</v>
      </c>
      <c r="Z472" s="34">
        <f t="shared" si="414"/>
        <v>-2020.0121235004419</v>
      </c>
      <c r="AA472" s="34">
        <f t="shared" si="415"/>
        <v>822897.86456461239</v>
      </c>
      <c r="AB472" s="34">
        <f t="shared" si="416"/>
        <v>0</v>
      </c>
      <c r="AC472" s="34">
        <f t="shared" si="417"/>
        <v>0</v>
      </c>
      <c r="AD472" s="34">
        <f t="shared" si="418"/>
        <v>0</v>
      </c>
      <c r="AE472" s="34">
        <f t="shared" si="419"/>
        <v>0</v>
      </c>
      <c r="AF472" s="34">
        <f t="shared" si="420"/>
        <v>0</v>
      </c>
      <c r="AG472" s="29">
        <f t="shared" si="421"/>
        <v>822897.86456461239</v>
      </c>
      <c r="AH472" s="34">
        <f t="shared" si="422"/>
        <v>0</v>
      </c>
      <c r="AI472" s="34">
        <f t="shared" si="423"/>
        <v>0</v>
      </c>
      <c r="AJ472" s="34">
        <f t="shared" si="424"/>
        <v>0</v>
      </c>
      <c r="AK472" s="34">
        <f t="shared" si="425"/>
        <v>0</v>
      </c>
      <c r="AL472" s="34">
        <f t="shared" si="426"/>
        <v>0</v>
      </c>
      <c r="AM472" s="34">
        <f t="shared" si="427"/>
        <v>0</v>
      </c>
      <c r="AN472" s="34">
        <f t="shared" si="428"/>
        <v>0</v>
      </c>
      <c r="AO472" s="34">
        <f t="shared" si="429"/>
        <v>0</v>
      </c>
      <c r="AP472" s="34">
        <f t="shared" si="430"/>
        <v>0</v>
      </c>
      <c r="AQ472" s="34">
        <f t="shared" si="431"/>
        <v>0</v>
      </c>
      <c r="AR472" s="34">
        <f t="shared" si="432"/>
        <v>0</v>
      </c>
      <c r="AS472" s="30">
        <f t="shared" si="433"/>
        <v>1.4741225085031893</v>
      </c>
      <c r="AT472" s="29">
        <f t="shared" si="434"/>
        <v>0</v>
      </c>
      <c r="AU472" s="29">
        <f t="shared" si="435"/>
        <v>0</v>
      </c>
      <c r="AV472" s="34">
        <f t="shared" si="436"/>
        <v>0</v>
      </c>
      <c r="AW472" s="34">
        <f t="shared" si="437"/>
        <v>0</v>
      </c>
      <c r="AX472" s="29">
        <f t="shared" si="438"/>
        <v>0</v>
      </c>
      <c r="AY472" s="34">
        <f t="shared" si="439"/>
        <v>0</v>
      </c>
      <c r="AZ472" s="37">
        <f t="shared" si="440"/>
        <v>0</v>
      </c>
      <c r="BA472" s="37">
        <f t="shared" si="441"/>
        <v>0</v>
      </c>
      <c r="BB472" s="35">
        <f t="shared" si="442"/>
        <v>1.0357460146983577E-3</v>
      </c>
      <c r="BC472" s="31">
        <f t="shared" si="443"/>
        <v>0.61601850214886256</v>
      </c>
      <c r="BD472" s="34">
        <f t="shared" si="444"/>
        <v>0</v>
      </c>
    </row>
    <row r="473" spans="1:56" x14ac:dyDescent="0.2">
      <c r="A473" s="27">
        <f t="shared" si="445"/>
        <v>469</v>
      </c>
      <c r="B473" s="28">
        <f t="shared" si="392"/>
        <v>469</v>
      </c>
      <c r="C473" s="27">
        <f t="shared" si="393"/>
        <v>39</v>
      </c>
      <c r="D473" s="28">
        <f t="shared" si="394"/>
        <v>59</v>
      </c>
      <c r="E473" s="29">
        <f t="shared" si="395"/>
        <v>0</v>
      </c>
      <c r="F473" s="30">
        <f t="shared" si="396"/>
        <v>2.3028756297091158E-3</v>
      </c>
      <c r="G473" s="31">
        <f t="shared" si="397"/>
        <v>1.9210915515044391E-4</v>
      </c>
      <c r="H473" s="32">
        <f t="shared" si="398"/>
        <v>0.02</v>
      </c>
      <c r="I473" s="32">
        <f t="shared" si="399"/>
        <v>0</v>
      </c>
      <c r="J473" s="33">
        <f t="shared" si="446"/>
        <v>0</v>
      </c>
      <c r="K473" s="30">
        <f t="shared" si="400"/>
        <v>0</v>
      </c>
      <c r="L473" s="33">
        <f t="shared" si="401"/>
        <v>0</v>
      </c>
      <c r="M473" s="30">
        <f t="shared" si="402"/>
        <v>0</v>
      </c>
      <c r="N473" s="33">
        <f t="shared" si="403"/>
        <v>0</v>
      </c>
      <c r="O473" s="31">
        <f t="shared" si="404"/>
        <v>0</v>
      </c>
      <c r="P473" s="33">
        <f t="shared" si="405"/>
        <v>0</v>
      </c>
      <c r="Q473" s="34">
        <f t="shared" si="447"/>
        <v>821887.85850286216</v>
      </c>
      <c r="R473" s="29">
        <f t="shared" si="406"/>
        <v>0</v>
      </c>
      <c r="S473" s="34">
        <f t="shared" si="407"/>
        <v>821887.85850286216</v>
      </c>
      <c r="T473" s="29">
        <f t="shared" si="408"/>
        <v>684.90654875238522</v>
      </c>
      <c r="U473" s="29">
        <f t="shared" si="409"/>
        <v>0</v>
      </c>
      <c r="V473" s="35">
        <f t="shared" si="410"/>
        <v>2.1132007066548833E-4</v>
      </c>
      <c r="W473" s="34">
        <f t="shared" si="411"/>
        <v>0</v>
      </c>
      <c r="X473" s="34">
        <f t="shared" si="412"/>
        <v>821202.95195410983</v>
      </c>
      <c r="Y473" s="36">
        <f t="shared" si="413"/>
        <v>-1.1560386865258176E-2</v>
      </c>
      <c r="Z473" s="34">
        <f t="shared" si="414"/>
        <v>-9493.4238194815334</v>
      </c>
      <c r="AA473" s="34">
        <f t="shared" si="415"/>
        <v>816456.24004436901</v>
      </c>
      <c r="AB473" s="34">
        <f t="shared" si="416"/>
        <v>0</v>
      </c>
      <c r="AC473" s="34">
        <f t="shared" si="417"/>
        <v>0</v>
      </c>
      <c r="AD473" s="34">
        <f t="shared" si="418"/>
        <v>0</v>
      </c>
      <c r="AE473" s="34">
        <f t="shared" si="419"/>
        <v>0</v>
      </c>
      <c r="AF473" s="34">
        <f t="shared" si="420"/>
        <v>0</v>
      </c>
      <c r="AG473" s="29">
        <f t="shared" si="421"/>
        <v>816456.24004436901</v>
      </c>
      <c r="AH473" s="34">
        <f t="shared" si="422"/>
        <v>0</v>
      </c>
      <c r="AI473" s="34">
        <f t="shared" si="423"/>
        <v>0</v>
      </c>
      <c r="AJ473" s="34">
        <f t="shared" si="424"/>
        <v>0</v>
      </c>
      <c r="AK473" s="34">
        <f t="shared" si="425"/>
        <v>0</v>
      </c>
      <c r="AL473" s="34">
        <f t="shared" si="426"/>
        <v>0</v>
      </c>
      <c r="AM473" s="34">
        <f t="shared" si="427"/>
        <v>0</v>
      </c>
      <c r="AN473" s="34">
        <f t="shared" si="428"/>
        <v>0</v>
      </c>
      <c r="AO473" s="34">
        <f t="shared" si="429"/>
        <v>0</v>
      </c>
      <c r="AP473" s="34">
        <f t="shared" si="430"/>
        <v>0</v>
      </c>
      <c r="AQ473" s="34">
        <f t="shared" si="431"/>
        <v>0</v>
      </c>
      <c r="AR473" s="34">
        <f t="shared" si="432"/>
        <v>0</v>
      </c>
      <c r="AS473" s="30">
        <f t="shared" si="433"/>
        <v>1.4753453493092086</v>
      </c>
      <c r="AT473" s="29">
        <f t="shared" si="434"/>
        <v>0</v>
      </c>
      <c r="AU473" s="29">
        <f t="shared" si="435"/>
        <v>0</v>
      </c>
      <c r="AV473" s="34">
        <f t="shared" si="436"/>
        <v>0</v>
      </c>
      <c r="AW473" s="34">
        <f t="shared" si="437"/>
        <v>0</v>
      </c>
      <c r="AX473" s="29">
        <f t="shared" si="438"/>
        <v>0</v>
      </c>
      <c r="AY473" s="34">
        <f t="shared" si="439"/>
        <v>0</v>
      </c>
      <c r="AZ473" s="37">
        <f t="shared" si="440"/>
        <v>0</v>
      </c>
      <c r="BA473" s="37">
        <f t="shared" si="441"/>
        <v>0</v>
      </c>
      <c r="BB473" s="35">
        <f t="shared" si="442"/>
        <v>1.0357460146983577E-3</v>
      </c>
      <c r="BC473" s="31">
        <f t="shared" si="443"/>
        <v>0.61538112360257069</v>
      </c>
      <c r="BD473" s="34">
        <f t="shared" si="444"/>
        <v>0</v>
      </c>
    </row>
    <row r="474" spans="1:56" x14ac:dyDescent="0.2">
      <c r="A474" s="27">
        <f t="shared" si="445"/>
        <v>470</v>
      </c>
      <c r="B474" s="28">
        <f t="shared" si="392"/>
        <v>470</v>
      </c>
      <c r="C474" s="27">
        <f t="shared" si="393"/>
        <v>39</v>
      </c>
      <c r="D474" s="28">
        <f t="shared" si="394"/>
        <v>59</v>
      </c>
      <c r="E474" s="29">
        <f t="shared" si="395"/>
        <v>0</v>
      </c>
      <c r="F474" s="30">
        <f t="shared" si="396"/>
        <v>2.3028756297091158E-3</v>
      </c>
      <c r="G474" s="31">
        <f t="shared" si="397"/>
        <v>1.9210915515044391E-4</v>
      </c>
      <c r="H474" s="32">
        <f t="shared" si="398"/>
        <v>0.02</v>
      </c>
      <c r="I474" s="32">
        <f t="shared" si="399"/>
        <v>0</v>
      </c>
      <c r="J474" s="33">
        <f t="shared" si="446"/>
        <v>0</v>
      </c>
      <c r="K474" s="30">
        <f t="shared" si="400"/>
        <v>0</v>
      </c>
      <c r="L474" s="33">
        <f t="shared" si="401"/>
        <v>0</v>
      </c>
      <c r="M474" s="30">
        <f t="shared" si="402"/>
        <v>0</v>
      </c>
      <c r="N474" s="33">
        <f t="shared" si="403"/>
        <v>0</v>
      </c>
      <c r="O474" s="31">
        <f t="shared" si="404"/>
        <v>0</v>
      </c>
      <c r="P474" s="33">
        <f t="shared" si="405"/>
        <v>0</v>
      </c>
      <c r="Q474" s="34">
        <f t="shared" si="447"/>
        <v>811709.52813462832</v>
      </c>
      <c r="R474" s="29">
        <f t="shared" si="406"/>
        <v>0</v>
      </c>
      <c r="S474" s="34">
        <f t="shared" si="407"/>
        <v>811709.52813462832</v>
      </c>
      <c r="T474" s="29">
        <f t="shared" si="408"/>
        <v>676.42460677885697</v>
      </c>
      <c r="U474" s="29">
        <f t="shared" si="409"/>
        <v>0</v>
      </c>
      <c r="V474" s="35">
        <f t="shared" si="410"/>
        <v>2.1132007066548833E-4</v>
      </c>
      <c r="W474" s="34">
        <f t="shared" si="411"/>
        <v>0</v>
      </c>
      <c r="X474" s="34">
        <f t="shared" si="412"/>
        <v>811033.10352784942</v>
      </c>
      <c r="Y474" s="36">
        <f t="shared" si="413"/>
        <v>1.796460968187974E-3</v>
      </c>
      <c r="Z474" s="34">
        <f t="shared" si="414"/>
        <v>1456.9893143961376</v>
      </c>
      <c r="AA474" s="34">
        <f t="shared" si="415"/>
        <v>811761.59818504751</v>
      </c>
      <c r="AB474" s="34">
        <f t="shared" si="416"/>
        <v>0</v>
      </c>
      <c r="AC474" s="34">
        <f t="shared" si="417"/>
        <v>0</v>
      </c>
      <c r="AD474" s="34">
        <f t="shared" si="418"/>
        <v>0</v>
      </c>
      <c r="AE474" s="34">
        <f t="shared" si="419"/>
        <v>0</v>
      </c>
      <c r="AF474" s="34">
        <f t="shared" si="420"/>
        <v>0</v>
      </c>
      <c r="AG474" s="29">
        <f t="shared" si="421"/>
        <v>811761.59818504751</v>
      </c>
      <c r="AH474" s="34">
        <f t="shared" si="422"/>
        <v>0</v>
      </c>
      <c r="AI474" s="34">
        <f t="shared" si="423"/>
        <v>0</v>
      </c>
      <c r="AJ474" s="34">
        <f t="shared" si="424"/>
        <v>0</v>
      </c>
      <c r="AK474" s="34">
        <f t="shared" si="425"/>
        <v>0</v>
      </c>
      <c r="AL474" s="34">
        <f t="shared" si="426"/>
        <v>0</v>
      </c>
      <c r="AM474" s="34">
        <f t="shared" si="427"/>
        <v>0</v>
      </c>
      <c r="AN474" s="34">
        <f t="shared" si="428"/>
        <v>0</v>
      </c>
      <c r="AO474" s="34">
        <f t="shared" si="429"/>
        <v>0</v>
      </c>
      <c r="AP474" s="34">
        <f t="shared" si="430"/>
        <v>0</v>
      </c>
      <c r="AQ474" s="34">
        <f t="shared" si="431"/>
        <v>0</v>
      </c>
      <c r="AR474" s="34">
        <f t="shared" si="432"/>
        <v>0</v>
      </c>
      <c r="AS474" s="30">
        <f t="shared" si="433"/>
        <v>1.4765692045082841</v>
      </c>
      <c r="AT474" s="29">
        <f t="shared" si="434"/>
        <v>0</v>
      </c>
      <c r="AU474" s="29">
        <f t="shared" si="435"/>
        <v>0</v>
      </c>
      <c r="AV474" s="34">
        <f t="shared" si="436"/>
        <v>0</v>
      </c>
      <c r="AW474" s="34">
        <f t="shared" si="437"/>
        <v>0</v>
      </c>
      <c r="AX474" s="29">
        <f t="shared" si="438"/>
        <v>0</v>
      </c>
      <c r="AY474" s="34">
        <f t="shared" si="439"/>
        <v>0</v>
      </c>
      <c r="AZ474" s="37">
        <f t="shared" si="440"/>
        <v>0</v>
      </c>
      <c r="BA474" s="37">
        <f t="shared" si="441"/>
        <v>0</v>
      </c>
      <c r="BB474" s="35">
        <f t="shared" si="442"/>
        <v>1.0357460146983577E-3</v>
      </c>
      <c r="BC474" s="31">
        <f t="shared" si="443"/>
        <v>0.61474440453551504</v>
      </c>
      <c r="BD474" s="34">
        <f t="shared" si="444"/>
        <v>0</v>
      </c>
    </row>
    <row r="475" spans="1:56" x14ac:dyDescent="0.2">
      <c r="A475" s="27">
        <f t="shared" si="445"/>
        <v>471</v>
      </c>
      <c r="B475" s="28">
        <f t="shared" si="392"/>
        <v>471</v>
      </c>
      <c r="C475" s="27">
        <f t="shared" si="393"/>
        <v>39</v>
      </c>
      <c r="D475" s="28">
        <f t="shared" si="394"/>
        <v>59</v>
      </c>
      <c r="E475" s="29">
        <f t="shared" si="395"/>
        <v>0</v>
      </c>
      <c r="F475" s="30">
        <f t="shared" si="396"/>
        <v>2.3028756297091158E-3</v>
      </c>
      <c r="G475" s="31">
        <f t="shared" si="397"/>
        <v>1.9210915515044391E-4</v>
      </c>
      <c r="H475" s="32">
        <f t="shared" si="398"/>
        <v>0.02</v>
      </c>
      <c r="I475" s="32">
        <f t="shared" si="399"/>
        <v>0</v>
      </c>
      <c r="J475" s="33">
        <f t="shared" si="446"/>
        <v>0</v>
      </c>
      <c r="K475" s="30">
        <f t="shared" si="400"/>
        <v>0</v>
      </c>
      <c r="L475" s="33">
        <f t="shared" si="401"/>
        <v>0</v>
      </c>
      <c r="M475" s="30">
        <f t="shared" si="402"/>
        <v>0</v>
      </c>
      <c r="N475" s="33">
        <f t="shared" si="403"/>
        <v>0</v>
      </c>
      <c r="O475" s="31">
        <f t="shared" si="404"/>
        <v>0</v>
      </c>
      <c r="P475" s="33">
        <f t="shared" si="405"/>
        <v>0</v>
      </c>
      <c r="Q475" s="34">
        <f t="shared" si="447"/>
        <v>812490.09284224559</v>
      </c>
      <c r="R475" s="29">
        <f t="shared" si="406"/>
        <v>0</v>
      </c>
      <c r="S475" s="34">
        <f t="shared" si="407"/>
        <v>812490.09284224559</v>
      </c>
      <c r="T475" s="29">
        <f t="shared" si="408"/>
        <v>677.07507736853802</v>
      </c>
      <c r="U475" s="29">
        <f t="shared" si="409"/>
        <v>0</v>
      </c>
      <c r="V475" s="35">
        <f t="shared" si="410"/>
        <v>2.1132007066548833E-4</v>
      </c>
      <c r="W475" s="34">
        <f t="shared" si="411"/>
        <v>0</v>
      </c>
      <c r="X475" s="34">
        <f t="shared" si="412"/>
        <v>811813.01776487706</v>
      </c>
      <c r="Y475" s="36">
        <f t="shared" si="413"/>
        <v>1.8682403636298694E-3</v>
      </c>
      <c r="Z475" s="34">
        <f t="shared" si="414"/>
        <v>1516.6618475085156</v>
      </c>
      <c r="AA475" s="34">
        <f t="shared" si="415"/>
        <v>812571.34868863132</v>
      </c>
      <c r="AB475" s="34">
        <f t="shared" si="416"/>
        <v>0</v>
      </c>
      <c r="AC475" s="34">
        <f t="shared" si="417"/>
        <v>0</v>
      </c>
      <c r="AD475" s="34">
        <f t="shared" si="418"/>
        <v>0</v>
      </c>
      <c r="AE475" s="34">
        <f t="shared" si="419"/>
        <v>0</v>
      </c>
      <c r="AF475" s="34">
        <f t="shared" si="420"/>
        <v>0</v>
      </c>
      <c r="AG475" s="29">
        <f t="shared" si="421"/>
        <v>812571.34868863132</v>
      </c>
      <c r="AH475" s="34">
        <f t="shared" si="422"/>
        <v>0</v>
      </c>
      <c r="AI475" s="34">
        <f t="shared" si="423"/>
        <v>0</v>
      </c>
      <c r="AJ475" s="34">
        <f t="shared" si="424"/>
        <v>0</v>
      </c>
      <c r="AK475" s="34">
        <f t="shared" si="425"/>
        <v>0</v>
      </c>
      <c r="AL475" s="34">
        <f t="shared" si="426"/>
        <v>0</v>
      </c>
      <c r="AM475" s="34">
        <f t="shared" si="427"/>
        <v>0</v>
      </c>
      <c r="AN475" s="34">
        <f t="shared" si="428"/>
        <v>0</v>
      </c>
      <c r="AO475" s="34">
        <f t="shared" si="429"/>
        <v>0</v>
      </c>
      <c r="AP475" s="34">
        <f t="shared" si="430"/>
        <v>0</v>
      </c>
      <c r="AQ475" s="34">
        <f t="shared" si="431"/>
        <v>0</v>
      </c>
      <c r="AR475" s="34">
        <f t="shared" si="432"/>
        <v>0</v>
      </c>
      <c r="AS475" s="30">
        <f t="shared" si="433"/>
        <v>1.4777940749418936</v>
      </c>
      <c r="AT475" s="29">
        <f t="shared" si="434"/>
        <v>0</v>
      </c>
      <c r="AU475" s="29">
        <f t="shared" si="435"/>
        <v>0</v>
      </c>
      <c r="AV475" s="34">
        <f t="shared" si="436"/>
        <v>0</v>
      </c>
      <c r="AW475" s="34">
        <f t="shared" si="437"/>
        <v>0</v>
      </c>
      <c r="AX475" s="29">
        <f t="shared" si="438"/>
        <v>0</v>
      </c>
      <c r="AY475" s="34">
        <f t="shared" si="439"/>
        <v>0</v>
      </c>
      <c r="AZ475" s="37">
        <f t="shared" si="440"/>
        <v>0</v>
      </c>
      <c r="BA475" s="37">
        <f t="shared" si="441"/>
        <v>0</v>
      </c>
      <c r="BB475" s="35">
        <f t="shared" si="442"/>
        <v>1.0357460146983577E-3</v>
      </c>
      <c r="BC475" s="31">
        <f t="shared" si="443"/>
        <v>0.61410834426534922</v>
      </c>
      <c r="BD475" s="34">
        <f t="shared" si="444"/>
        <v>0</v>
      </c>
    </row>
    <row r="476" spans="1:56" x14ac:dyDescent="0.2">
      <c r="A476" s="27">
        <f t="shared" si="445"/>
        <v>472</v>
      </c>
      <c r="B476" s="28">
        <f t="shared" si="392"/>
        <v>472</v>
      </c>
      <c r="C476" s="27">
        <f t="shared" si="393"/>
        <v>39</v>
      </c>
      <c r="D476" s="28">
        <f t="shared" si="394"/>
        <v>59</v>
      </c>
      <c r="E476" s="29">
        <f t="shared" si="395"/>
        <v>0</v>
      </c>
      <c r="F476" s="30">
        <f t="shared" si="396"/>
        <v>2.3028756297091158E-3</v>
      </c>
      <c r="G476" s="31">
        <f t="shared" si="397"/>
        <v>1.9210915515044391E-4</v>
      </c>
      <c r="H476" s="32">
        <f t="shared" si="398"/>
        <v>0.02</v>
      </c>
      <c r="I476" s="32">
        <f t="shared" si="399"/>
        <v>0</v>
      </c>
      <c r="J476" s="33">
        <f t="shared" si="446"/>
        <v>0</v>
      </c>
      <c r="K476" s="30">
        <f t="shared" si="400"/>
        <v>0</v>
      </c>
      <c r="L476" s="33">
        <f t="shared" si="401"/>
        <v>0</v>
      </c>
      <c r="M476" s="30">
        <f t="shared" si="402"/>
        <v>0</v>
      </c>
      <c r="N476" s="33">
        <f t="shared" si="403"/>
        <v>0</v>
      </c>
      <c r="O476" s="31">
        <f t="shared" si="404"/>
        <v>0</v>
      </c>
      <c r="P476" s="33">
        <f t="shared" si="405"/>
        <v>0</v>
      </c>
      <c r="Q476" s="34">
        <f t="shared" si="447"/>
        <v>813329.67961238557</v>
      </c>
      <c r="R476" s="29">
        <f t="shared" si="406"/>
        <v>0</v>
      </c>
      <c r="S476" s="34">
        <f t="shared" si="407"/>
        <v>813329.67961238557</v>
      </c>
      <c r="T476" s="29">
        <f t="shared" si="408"/>
        <v>677.77473301032137</v>
      </c>
      <c r="U476" s="29">
        <f t="shared" si="409"/>
        <v>0</v>
      </c>
      <c r="V476" s="35">
        <f t="shared" si="410"/>
        <v>2.1132007066548833E-4</v>
      </c>
      <c r="W476" s="34">
        <f t="shared" si="411"/>
        <v>0</v>
      </c>
      <c r="X476" s="34">
        <f t="shared" si="412"/>
        <v>812651.90487937524</v>
      </c>
      <c r="Y476" s="36">
        <f t="shared" si="413"/>
        <v>-4.5255793948233425E-3</v>
      </c>
      <c r="Z476" s="34">
        <f t="shared" si="414"/>
        <v>-3677.7207158860397</v>
      </c>
      <c r="AA476" s="34">
        <f t="shared" si="415"/>
        <v>810813.04452143225</v>
      </c>
      <c r="AB476" s="34">
        <f t="shared" si="416"/>
        <v>0</v>
      </c>
      <c r="AC476" s="34">
        <f t="shared" si="417"/>
        <v>0</v>
      </c>
      <c r="AD476" s="34">
        <f t="shared" si="418"/>
        <v>0</v>
      </c>
      <c r="AE476" s="34">
        <f t="shared" si="419"/>
        <v>0</v>
      </c>
      <c r="AF476" s="34">
        <f t="shared" si="420"/>
        <v>0</v>
      </c>
      <c r="AG476" s="29">
        <f t="shared" si="421"/>
        <v>810813.04452143225</v>
      </c>
      <c r="AH476" s="34">
        <f t="shared" si="422"/>
        <v>0</v>
      </c>
      <c r="AI476" s="34">
        <f t="shared" si="423"/>
        <v>0</v>
      </c>
      <c r="AJ476" s="34">
        <f t="shared" si="424"/>
        <v>0</v>
      </c>
      <c r="AK476" s="34">
        <f t="shared" si="425"/>
        <v>0</v>
      </c>
      <c r="AL476" s="34">
        <f t="shared" si="426"/>
        <v>0</v>
      </c>
      <c r="AM476" s="34">
        <f t="shared" si="427"/>
        <v>0</v>
      </c>
      <c r="AN476" s="34">
        <f t="shared" si="428"/>
        <v>0</v>
      </c>
      <c r="AO476" s="34">
        <f t="shared" si="429"/>
        <v>0</v>
      </c>
      <c r="AP476" s="34">
        <f t="shared" si="430"/>
        <v>0</v>
      </c>
      <c r="AQ476" s="34">
        <f t="shared" si="431"/>
        <v>0</v>
      </c>
      <c r="AR476" s="34">
        <f t="shared" si="432"/>
        <v>0</v>
      </c>
      <c r="AS476" s="30">
        <f t="shared" si="433"/>
        <v>1.479019961452213</v>
      </c>
      <c r="AT476" s="29">
        <f t="shared" si="434"/>
        <v>0</v>
      </c>
      <c r="AU476" s="29">
        <f t="shared" si="435"/>
        <v>0</v>
      </c>
      <c r="AV476" s="34">
        <f t="shared" si="436"/>
        <v>0</v>
      </c>
      <c r="AW476" s="34">
        <f t="shared" si="437"/>
        <v>0</v>
      </c>
      <c r="AX476" s="29">
        <f t="shared" si="438"/>
        <v>0</v>
      </c>
      <c r="AY476" s="34">
        <f t="shared" si="439"/>
        <v>0</v>
      </c>
      <c r="AZ476" s="37">
        <f t="shared" si="440"/>
        <v>0</v>
      </c>
      <c r="BA476" s="37">
        <f t="shared" si="441"/>
        <v>0</v>
      </c>
      <c r="BB476" s="35">
        <f t="shared" si="442"/>
        <v>1.0357460146983577E-3</v>
      </c>
      <c r="BC476" s="31">
        <f t="shared" si="443"/>
        <v>0.61347294211043291</v>
      </c>
      <c r="BD476" s="34">
        <f t="shared" si="444"/>
        <v>0</v>
      </c>
    </row>
    <row r="477" spans="1:56" x14ac:dyDescent="0.2">
      <c r="A477" s="27">
        <f t="shared" si="445"/>
        <v>473</v>
      </c>
      <c r="B477" s="28">
        <f t="shared" si="392"/>
        <v>473</v>
      </c>
      <c r="C477" s="27">
        <f t="shared" si="393"/>
        <v>39</v>
      </c>
      <c r="D477" s="28">
        <f t="shared" si="394"/>
        <v>59</v>
      </c>
      <c r="E477" s="29">
        <f t="shared" si="395"/>
        <v>0</v>
      </c>
      <c r="F477" s="30">
        <f t="shared" si="396"/>
        <v>2.3028756297091158E-3</v>
      </c>
      <c r="G477" s="31">
        <f t="shared" si="397"/>
        <v>1.9210915515044391E-4</v>
      </c>
      <c r="H477" s="32">
        <f t="shared" si="398"/>
        <v>0.02</v>
      </c>
      <c r="I477" s="32">
        <f t="shared" si="399"/>
        <v>0</v>
      </c>
      <c r="J477" s="33">
        <f t="shared" si="446"/>
        <v>0</v>
      </c>
      <c r="K477" s="30">
        <f t="shared" si="400"/>
        <v>0</v>
      </c>
      <c r="L477" s="33">
        <f t="shared" si="401"/>
        <v>0</v>
      </c>
      <c r="M477" s="30">
        <f t="shared" si="402"/>
        <v>0</v>
      </c>
      <c r="N477" s="33">
        <f t="shared" si="403"/>
        <v>0</v>
      </c>
      <c r="O477" s="31">
        <f t="shared" si="404"/>
        <v>0</v>
      </c>
      <c r="P477" s="33">
        <f t="shared" si="405"/>
        <v>0</v>
      </c>
      <c r="Q477" s="34">
        <f t="shared" si="447"/>
        <v>808974.18416348926</v>
      </c>
      <c r="R477" s="29">
        <f t="shared" si="406"/>
        <v>0</v>
      </c>
      <c r="S477" s="34">
        <f t="shared" si="407"/>
        <v>808974.18416348926</v>
      </c>
      <c r="T477" s="29">
        <f t="shared" si="408"/>
        <v>674.14515346957444</v>
      </c>
      <c r="U477" s="29">
        <f t="shared" si="409"/>
        <v>0</v>
      </c>
      <c r="V477" s="35">
        <f t="shared" si="410"/>
        <v>2.1132007066548833E-4</v>
      </c>
      <c r="W477" s="34">
        <f t="shared" si="411"/>
        <v>0</v>
      </c>
      <c r="X477" s="34">
        <f t="shared" si="412"/>
        <v>808300.03901001974</v>
      </c>
      <c r="Y477" s="36">
        <f t="shared" si="413"/>
        <v>1.7172965372710625E-2</v>
      </c>
      <c r="Z477" s="34">
        <f t="shared" si="414"/>
        <v>13880.908580679716</v>
      </c>
      <c r="AA477" s="34">
        <f t="shared" si="415"/>
        <v>815240.49330035958</v>
      </c>
      <c r="AB477" s="34">
        <f t="shared" si="416"/>
        <v>0</v>
      </c>
      <c r="AC477" s="34">
        <f t="shared" si="417"/>
        <v>0</v>
      </c>
      <c r="AD477" s="34">
        <f t="shared" si="418"/>
        <v>0</v>
      </c>
      <c r="AE477" s="34">
        <f t="shared" si="419"/>
        <v>0</v>
      </c>
      <c r="AF477" s="34">
        <f t="shared" si="420"/>
        <v>0</v>
      </c>
      <c r="AG477" s="29">
        <f t="shared" si="421"/>
        <v>815240.49330035958</v>
      </c>
      <c r="AH477" s="34">
        <f t="shared" si="422"/>
        <v>0</v>
      </c>
      <c r="AI477" s="34">
        <f t="shared" si="423"/>
        <v>0</v>
      </c>
      <c r="AJ477" s="34">
        <f t="shared" si="424"/>
        <v>0</v>
      </c>
      <c r="AK477" s="34">
        <f t="shared" si="425"/>
        <v>0</v>
      </c>
      <c r="AL477" s="34">
        <f t="shared" si="426"/>
        <v>0</v>
      </c>
      <c r="AM477" s="34">
        <f t="shared" si="427"/>
        <v>0</v>
      </c>
      <c r="AN477" s="34">
        <f t="shared" si="428"/>
        <v>0</v>
      </c>
      <c r="AO477" s="34">
        <f t="shared" si="429"/>
        <v>0</v>
      </c>
      <c r="AP477" s="34">
        <f t="shared" si="430"/>
        <v>0</v>
      </c>
      <c r="AQ477" s="34">
        <f t="shared" si="431"/>
        <v>0</v>
      </c>
      <c r="AR477" s="34">
        <f t="shared" si="432"/>
        <v>0</v>
      </c>
      <c r="AS477" s="30">
        <f t="shared" si="433"/>
        <v>1.4802468648821163</v>
      </c>
      <c r="AT477" s="29">
        <f t="shared" si="434"/>
        <v>0</v>
      </c>
      <c r="AU477" s="29">
        <f t="shared" si="435"/>
        <v>0</v>
      </c>
      <c r="AV477" s="34">
        <f t="shared" si="436"/>
        <v>0</v>
      </c>
      <c r="AW477" s="34">
        <f t="shared" si="437"/>
        <v>0</v>
      </c>
      <c r="AX477" s="29">
        <f t="shared" si="438"/>
        <v>0</v>
      </c>
      <c r="AY477" s="34">
        <f t="shared" si="439"/>
        <v>0</v>
      </c>
      <c r="AZ477" s="37">
        <f t="shared" si="440"/>
        <v>0</v>
      </c>
      <c r="BA477" s="37">
        <f t="shared" si="441"/>
        <v>0</v>
      </c>
      <c r="BB477" s="35">
        <f t="shared" si="442"/>
        <v>1.0357460146983577E-3</v>
      </c>
      <c r="BC477" s="31">
        <f t="shared" si="443"/>
        <v>0.61283819738983158</v>
      </c>
      <c r="BD477" s="34">
        <f t="shared" si="444"/>
        <v>0</v>
      </c>
    </row>
    <row r="478" spans="1:56" x14ac:dyDescent="0.2">
      <c r="A478" s="27">
        <f t="shared" si="445"/>
        <v>474</v>
      </c>
      <c r="B478" s="28">
        <f t="shared" si="392"/>
        <v>474</v>
      </c>
      <c r="C478" s="27">
        <f t="shared" si="393"/>
        <v>39</v>
      </c>
      <c r="D478" s="28">
        <f t="shared" si="394"/>
        <v>59</v>
      </c>
      <c r="E478" s="29">
        <f t="shared" si="395"/>
        <v>0</v>
      </c>
      <c r="F478" s="30">
        <f t="shared" si="396"/>
        <v>2.3028756297091158E-3</v>
      </c>
      <c r="G478" s="31">
        <f t="shared" si="397"/>
        <v>1.9210915515044391E-4</v>
      </c>
      <c r="H478" s="32">
        <f t="shared" si="398"/>
        <v>0.02</v>
      </c>
      <c r="I478" s="32">
        <f t="shared" si="399"/>
        <v>0</v>
      </c>
      <c r="J478" s="33">
        <f t="shared" si="446"/>
        <v>0</v>
      </c>
      <c r="K478" s="30">
        <f t="shared" si="400"/>
        <v>0</v>
      </c>
      <c r="L478" s="33">
        <f t="shared" si="401"/>
        <v>0</v>
      </c>
      <c r="M478" s="30">
        <f t="shared" si="402"/>
        <v>0</v>
      </c>
      <c r="N478" s="33">
        <f t="shared" si="403"/>
        <v>0</v>
      </c>
      <c r="O478" s="31">
        <f t="shared" si="404"/>
        <v>0</v>
      </c>
      <c r="P478" s="33">
        <f t="shared" si="405"/>
        <v>0</v>
      </c>
      <c r="Q478" s="34">
        <f t="shared" si="447"/>
        <v>822180.94759069942</v>
      </c>
      <c r="R478" s="29">
        <f t="shared" si="406"/>
        <v>0</v>
      </c>
      <c r="S478" s="34">
        <f t="shared" si="407"/>
        <v>822180.94759069942</v>
      </c>
      <c r="T478" s="29">
        <f t="shared" si="408"/>
        <v>685.15078965891621</v>
      </c>
      <c r="U478" s="29">
        <f t="shared" si="409"/>
        <v>0</v>
      </c>
      <c r="V478" s="35">
        <f t="shared" si="410"/>
        <v>2.1132007066548833E-4</v>
      </c>
      <c r="W478" s="34">
        <f t="shared" si="411"/>
        <v>0</v>
      </c>
      <c r="X478" s="34">
        <f t="shared" si="412"/>
        <v>821495.79680104053</v>
      </c>
      <c r="Y478" s="36">
        <f t="shared" si="413"/>
        <v>4.2435290706643869E-4</v>
      </c>
      <c r="Z478" s="34">
        <f t="shared" si="414"/>
        <v>348.60412951538194</v>
      </c>
      <c r="AA478" s="34">
        <f t="shared" si="415"/>
        <v>821670.09886579821</v>
      </c>
      <c r="AB478" s="34">
        <f t="shared" si="416"/>
        <v>0</v>
      </c>
      <c r="AC478" s="34">
        <f t="shared" si="417"/>
        <v>0</v>
      </c>
      <c r="AD478" s="34">
        <f t="shared" si="418"/>
        <v>0</v>
      </c>
      <c r="AE478" s="34">
        <f t="shared" si="419"/>
        <v>0</v>
      </c>
      <c r="AF478" s="34">
        <f t="shared" si="420"/>
        <v>0</v>
      </c>
      <c r="AG478" s="29">
        <f t="shared" si="421"/>
        <v>821670.09886579821</v>
      </c>
      <c r="AH478" s="34">
        <f t="shared" si="422"/>
        <v>0</v>
      </c>
      <c r="AI478" s="34">
        <f t="shared" si="423"/>
        <v>0</v>
      </c>
      <c r="AJ478" s="34">
        <f t="shared" si="424"/>
        <v>0</v>
      </c>
      <c r="AK478" s="34">
        <f t="shared" si="425"/>
        <v>0</v>
      </c>
      <c r="AL478" s="34">
        <f t="shared" si="426"/>
        <v>0</v>
      </c>
      <c r="AM478" s="34">
        <f t="shared" si="427"/>
        <v>0</v>
      </c>
      <c r="AN478" s="34">
        <f t="shared" si="428"/>
        <v>0</v>
      </c>
      <c r="AO478" s="34">
        <f t="shared" si="429"/>
        <v>0</v>
      </c>
      <c r="AP478" s="34">
        <f t="shared" si="430"/>
        <v>0</v>
      </c>
      <c r="AQ478" s="34">
        <f t="shared" si="431"/>
        <v>0</v>
      </c>
      <c r="AR478" s="34">
        <f t="shared" si="432"/>
        <v>0</v>
      </c>
      <c r="AS478" s="30">
        <f t="shared" si="433"/>
        <v>1.4814747860751776</v>
      </c>
      <c r="AT478" s="29">
        <f t="shared" si="434"/>
        <v>0</v>
      </c>
      <c r="AU478" s="29">
        <f t="shared" si="435"/>
        <v>0</v>
      </c>
      <c r="AV478" s="34">
        <f t="shared" si="436"/>
        <v>0</v>
      </c>
      <c r="AW478" s="34">
        <f t="shared" si="437"/>
        <v>0</v>
      </c>
      <c r="AX478" s="29">
        <f t="shared" si="438"/>
        <v>0</v>
      </c>
      <c r="AY478" s="34">
        <f t="shared" si="439"/>
        <v>0</v>
      </c>
      <c r="AZ478" s="37">
        <f t="shared" si="440"/>
        <v>0</v>
      </c>
      <c r="BA478" s="37">
        <f t="shared" si="441"/>
        <v>0</v>
      </c>
      <c r="BB478" s="35">
        <f t="shared" si="442"/>
        <v>1.0357460146983577E-3</v>
      </c>
      <c r="BC478" s="31">
        <f t="shared" si="443"/>
        <v>0.61220410942331438</v>
      </c>
      <c r="BD478" s="34">
        <f t="shared" si="444"/>
        <v>0</v>
      </c>
    </row>
    <row r="479" spans="1:56" x14ac:dyDescent="0.2">
      <c r="A479" s="27">
        <f t="shared" si="445"/>
        <v>475</v>
      </c>
      <c r="B479" s="28">
        <f t="shared" si="392"/>
        <v>475</v>
      </c>
      <c r="C479" s="27">
        <f t="shared" si="393"/>
        <v>39</v>
      </c>
      <c r="D479" s="28">
        <f t="shared" si="394"/>
        <v>59</v>
      </c>
      <c r="E479" s="29">
        <f t="shared" si="395"/>
        <v>0</v>
      </c>
      <c r="F479" s="30">
        <f t="shared" si="396"/>
        <v>2.3028756297091158E-3</v>
      </c>
      <c r="G479" s="31">
        <f t="shared" si="397"/>
        <v>1.9210915515044391E-4</v>
      </c>
      <c r="H479" s="32">
        <f t="shared" si="398"/>
        <v>0.02</v>
      </c>
      <c r="I479" s="32">
        <f t="shared" si="399"/>
        <v>0</v>
      </c>
      <c r="J479" s="33">
        <f t="shared" si="446"/>
        <v>0</v>
      </c>
      <c r="K479" s="30">
        <f t="shared" si="400"/>
        <v>0</v>
      </c>
      <c r="L479" s="33">
        <f t="shared" si="401"/>
        <v>0</v>
      </c>
      <c r="M479" s="30">
        <f t="shared" si="402"/>
        <v>0</v>
      </c>
      <c r="N479" s="33">
        <f t="shared" si="403"/>
        <v>0</v>
      </c>
      <c r="O479" s="31">
        <f t="shared" si="404"/>
        <v>0</v>
      </c>
      <c r="P479" s="33">
        <f t="shared" si="405"/>
        <v>0</v>
      </c>
      <c r="Q479" s="34">
        <f t="shared" si="447"/>
        <v>821844.40093055589</v>
      </c>
      <c r="R479" s="29">
        <f t="shared" si="406"/>
        <v>0</v>
      </c>
      <c r="S479" s="34">
        <f t="shared" si="407"/>
        <v>821844.40093055589</v>
      </c>
      <c r="T479" s="29">
        <f t="shared" si="408"/>
        <v>684.87033410879667</v>
      </c>
      <c r="U479" s="29">
        <f t="shared" si="409"/>
        <v>0</v>
      </c>
      <c r="V479" s="35">
        <f t="shared" si="410"/>
        <v>2.1132007066548833E-4</v>
      </c>
      <c r="W479" s="34">
        <f t="shared" si="411"/>
        <v>0</v>
      </c>
      <c r="X479" s="34">
        <f t="shared" si="412"/>
        <v>821159.53059644706</v>
      </c>
      <c r="Y479" s="36">
        <f t="shared" si="413"/>
        <v>8.5268037721166756E-3</v>
      </c>
      <c r="Z479" s="34">
        <f t="shared" si="414"/>
        <v>7001.8661829993434</v>
      </c>
      <c r="AA479" s="34">
        <f t="shared" si="415"/>
        <v>824660.46368794679</v>
      </c>
      <c r="AB479" s="34">
        <f t="shared" si="416"/>
        <v>0</v>
      </c>
      <c r="AC479" s="34">
        <f t="shared" si="417"/>
        <v>0</v>
      </c>
      <c r="AD479" s="34">
        <f t="shared" si="418"/>
        <v>0</v>
      </c>
      <c r="AE479" s="34">
        <f t="shared" si="419"/>
        <v>0</v>
      </c>
      <c r="AF479" s="34">
        <f t="shared" si="420"/>
        <v>0</v>
      </c>
      <c r="AG479" s="29">
        <f t="shared" si="421"/>
        <v>824660.46368794679</v>
      </c>
      <c r="AH479" s="34">
        <f t="shared" si="422"/>
        <v>0</v>
      </c>
      <c r="AI479" s="34">
        <f t="shared" si="423"/>
        <v>0</v>
      </c>
      <c r="AJ479" s="34">
        <f t="shared" si="424"/>
        <v>0</v>
      </c>
      <c r="AK479" s="34">
        <f t="shared" si="425"/>
        <v>0</v>
      </c>
      <c r="AL479" s="34">
        <f t="shared" si="426"/>
        <v>0</v>
      </c>
      <c r="AM479" s="34">
        <f t="shared" si="427"/>
        <v>0</v>
      </c>
      <c r="AN479" s="34">
        <f t="shared" si="428"/>
        <v>0</v>
      </c>
      <c r="AO479" s="34">
        <f t="shared" si="429"/>
        <v>0</v>
      </c>
      <c r="AP479" s="34">
        <f t="shared" si="430"/>
        <v>0</v>
      </c>
      <c r="AQ479" s="34">
        <f t="shared" si="431"/>
        <v>0</v>
      </c>
      <c r="AR479" s="34">
        <f t="shared" si="432"/>
        <v>0</v>
      </c>
      <c r="AS479" s="30">
        <f t="shared" si="433"/>
        <v>1.4827037258756699</v>
      </c>
      <c r="AT479" s="29">
        <f t="shared" si="434"/>
        <v>0</v>
      </c>
      <c r="AU479" s="29">
        <f t="shared" si="435"/>
        <v>0</v>
      </c>
      <c r="AV479" s="34">
        <f t="shared" si="436"/>
        <v>0</v>
      </c>
      <c r="AW479" s="34">
        <f t="shared" si="437"/>
        <v>0</v>
      </c>
      <c r="AX479" s="29">
        <f t="shared" si="438"/>
        <v>0</v>
      </c>
      <c r="AY479" s="34">
        <f t="shared" si="439"/>
        <v>0</v>
      </c>
      <c r="AZ479" s="37">
        <f t="shared" si="440"/>
        <v>0</v>
      </c>
      <c r="BA479" s="37">
        <f t="shared" si="441"/>
        <v>0</v>
      </c>
      <c r="BB479" s="35">
        <f t="shared" si="442"/>
        <v>1.0357460146983577E-3</v>
      </c>
      <c r="BC479" s="31">
        <f t="shared" si="443"/>
        <v>0.61157067753135497</v>
      </c>
      <c r="BD479" s="34">
        <f t="shared" si="444"/>
        <v>0</v>
      </c>
    </row>
    <row r="480" spans="1:56" x14ac:dyDescent="0.2">
      <c r="A480" s="27">
        <f t="shared" si="445"/>
        <v>476</v>
      </c>
      <c r="B480" s="28">
        <f t="shared" si="392"/>
        <v>476</v>
      </c>
      <c r="C480" s="27">
        <f t="shared" si="393"/>
        <v>39</v>
      </c>
      <c r="D480" s="28">
        <f t="shared" si="394"/>
        <v>59</v>
      </c>
      <c r="E480" s="29">
        <f t="shared" si="395"/>
        <v>0</v>
      </c>
      <c r="F480" s="30">
        <f t="shared" si="396"/>
        <v>2.3028756297091158E-3</v>
      </c>
      <c r="G480" s="31">
        <f t="shared" si="397"/>
        <v>1.9210915515044391E-4</v>
      </c>
      <c r="H480" s="32">
        <f t="shared" si="398"/>
        <v>0.02</v>
      </c>
      <c r="I480" s="32">
        <f t="shared" si="399"/>
        <v>0</v>
      </c>
      <c r="J480" s="33">
        <f t="shared" si="446"/>
        <v>0</v>
      </c>
      <c r="K480" s="30">
        <f t="shared" si="400"/>
        <v>0</v>
      </c>
      <c r="L480" s="33">
        <f t="shared" si="401"/>
        <v>0</v>
      </c>
      <c r="M480" s="30">
        <f t="shared" si="402"/>
        <v>0</v>
      </c>
      <c r="N480" s="33">
        <f t="shared" si="403"/>
        <v>0</v>
      </c>
      <c r="O480" s="31">
        <f t="shared" si="404"/>
        <v>0</v>
      </c>
      <c r="P480" s="33">
        <f t="shared" si="405"/>
        <v>0</v>
      </c>
      <c r="Q480" s="34">
        <f t="shared" si="447"/>
        <v>828161.3967794464</v>
      </c>
      <c r="R480" s="29">
        <f t="shared" si="406"/>
        <v>0</v>
      </c>
      <c r="S480" s="34">
        <f t="shared" si="407"/>
        <v>828161.3967794464</v>
      </c>
      <c r="T480" s="29">
        <f t="shared" si="408"/>
        <v>690.1344973162054</v>
      </c>
      <c r="U480" s="29">
        <f t="shared" si="409"/>
        <v>0</v>
      </c>
      <c r="V480" s="35">
        <f t="shared" si="410"/>
        <v>2.1132007066548833E-4</v>
      </c>
      <c r="W480" s="34">
        <f t="shared" si="411"/>
        <v>0</v>
      </c>
      <c r="X480" s="34">
        <f t="shared" si="412"/>
        <v>827471.26228213019</v>
      </c>
      <c r="Y480" s="36">
        <f t="shared" si="413"/>
        <v>-1.0045916034999824E-2</v>
      </c>
      <c r="Z480" s="34">
        <f t="shared" si="414"/>
        <v>-8312.7068222615962</v>
      </c>
      <c r="AA480" s="34">
        <f t="shared" si="415"/>
        <v>823314.90887099935</v>
      </c>
      <c r="AB480" s="34">
        <f t="shared" si="416"/>
        <v>0</v>
      </c>
      <c r="AC480" s="34">
        <f t="shared" si="417"/>
        <v>0</v>
      </c>
      <c r="AD480" s="34">
        <f t="shared" si="418"/>
        <v>0</v>
      </c>
      <c r="AE480" s="34">
        <f t="shared" si="419"/>
        <v>0</v>
      </c>
      <c r="AF480" s="34">
        <f t="shared" si="420"/>
        <v>0</v>
      </c>
      <c r="AG480" s="29">
        <f t="shared" si="421"/>
        <v>823314.90887099935</v>
      </c>
      <c r="AH480" s="34">
        <f t="shared" si="422"/>
        <v>0</v>
      </c>
      <c r="AI480" s="34">
        <f t="shared" si="423"/>
        <v>0</v>
      </c>
      <c r="AJ480" s="34">
        <f t="shared" si="424"/>
        <v>0</v>
      </c>
      <c r="AK480" s="34">
        <f t="shared" si="425"/>
        <v>0</v>
      </c>
      <c r="AL480" s="34">
        <f t="shared" si="426"/>
        <v>0</v>
      </c>
      <c r="AM480" s="34">
        <f t="shared" si="427"/>
        <v>0</v>
      </c>
      <c r="AN480" s="34">
        <f t="shared" si="428"/>
        <v>0</v>
      </c>
      <c r="AO480" s="34">
        <f t="shared" si="429"/>
        <v>0</v>
      </c>
      <c r="AP480" s="34">
        <f t="shared" si="430"/>
        <v>0</v>
      </c>
      <c r="AQ480" s="34">
        <f t="shared" si="431"/>
        <v>0</v>
      </c>
      <c r="AR480" s="34">
        <f t="shared" si="432"/>
        <v>0</v>
      </c>
      <c r="AS480" s="30">
        <f t="shared" si="433"/>
        <v>1.4839336851285669</v>
      </c>
      <c r="AT480" s="29">
        <f t="shared" si="434"/>
        <v>0</v>
      </c>
      <c r="AU480" s="29">
        <f t="shared" si="435"/>
        <v>0</v>
      </c>
      <c r="AV480" s="34">
        <f t="shared" si="436"/>
        <v>0</v>
      </c>
      <c r="AW480" s="34">
        <f t="shared" si="437"/>
        <v>0</v>
      </c>
      <c r="AX480" s="29">
        <f t="shared" si="438"/>
        <v>0</v>
      </c>
      <c r="AY480" s="34">
        <f t="shared" si="439"/>
        <v>0</v>
      </c>
      <c r="AZ480" s="37">
        <f t="shared" si="440"/>
        <v>0</v>
      </c>
      <c r="BA480" s="37">
        <f t="shared" si="441"/>
        <v>0</v>
      </c>
      <c r="BB480" s="35">
        <f t="shared" si="442"/>
        <v>1.0357460146983577E-3</v>
      </c>
      <c r="BC480" s="31">
        <f t="shared" si="443"/>
        <v>0.61093790103512946</v>
      </c>
      <c r="BD480" s="34">
        <f t="shared" si="444"/>
        <v>0</v>
      </c>
    </row>
    <row r="481" spans="1:56" x14ac:dyDescent="0.2">
      <c r="A481" s="27">
        <f t="shared" si="445"/>
        <v>477</v>
      </c>
      <c r="B481" s="28">
        <f t="shared" si="392"/>
        <v>477</v>
      </c>
      <c r="C481" s="27">
        <f t="shared" si="393"/>
        <v>39</v>
      </c>
      <c r="D481" s="28">
        <f t="shared" si="394"/>
        <v>59</v>
      </c>
      <c r="E481" s="29">
        <f t="shared" si="395"/>
        <v>0</v>
      </c>
      <c r="F481" s="30">
        <f t="shared" si="396"/>
        <v>2.3028756297091158E-3</v>
      </c>
      <c r="G481" s="31">
        <f t="shared" si="397"/>
        <v>1.9210915515044391E-4</v>
      </c>
      <c r="H481" s="32">
        <f t="shared" si="398"/>
        <v>0.02</v>
      </c>
      <c r="I481" s="32">
        <f t="shared" si="399"/>
        <v>0</v>
      </c>
      <c r="J481" s="33">
        <f t="shared" si="446"/>
        <v>0</v>
      </c>
      <c r="K481" s="30">
        <f t="shared" si="400"/>
        <v>0</v>
      </c>
      <c r="L481" s="33">
        <f t="shared" si="401"/>
        <v>0</v>
      </c>
      <c r="M481" s="30">
        <f t="shared" si="402"/>
        <v>0</v>
      </c>
      <c r="N481" s="33">
        <f t="shared" si="403"/>
        <v>0</v>
      </c>
      <c r="O481" s="31">
        <f t="shared" si="404"/>
        <v>0</v>
      </c>
      <c r="P481" s="33">
        <f t="shared" si="405"/>
        <v>0</v>
      </c>
      <c r="Q481" s="34">
        <f t="shared" si="447"/>
        <v>819158.55545986863</v>
      </c>
      <c r="R481" s="29">
        <f t="shared" si="406"/>
        <v>0</v>
      </c>
      <c r="S481" s="34">
        <f t="shared" si="407"/>
        <v>819158.55545986863</v>
      </c>
      <c r="T481" s="29">
        <f t="shared" si="408"/>
        <v>682.63212954989058</v>
      </c>
      <c r="U481" s="29">
        <f t="shared" si="409"/>
        <v>0</v>
      </c>
      <c r="V481" s="35">
        <f t="shared" si="410"/>
        <v>2.1132007066548833E-4</v>
      </c>
      <c r="W481" s="34">
        <f t="shared" si="411"/>
        <v>0</v>
      </c>
      <c r="X481" s="34">
        <f t="shared" si="412"/>
        <v>818475.92333031876</v>
      </c>
      <c r="Y481" s="36">
        <f t="shared" si="413"/>
        <v>1.0867777523296818E-2</v>
      </c>
      <c r="Z481" s="34">
        <f t="shared" si="414"/>
        <v>8895.014242928848</v>
      </c>
      <c r="AA481" s="34">
        <f t="shared" si="415"/>
        <v>822923.43045178324</v>
      </c>
      <c r="AB481" s="34">
        <f t="shared" si="416"/>
        <v>0</v>
      </c>
      <c r="AC481" s="34">
        <f t="shared" si="417"/>
        <v>0</v>
      </c>
      <c r="AD481" s="34">
        <f t="shared" si="418"/>
        <v>0</v>
      </c>
      <c r="AE481" s="34">
        <f t="shared" si="419"/>
        <v>0</v>
      </c>
      <c r="AF481" s="34">
        <f t="shared" si="420"/>
        <v>0</v>
      </c>
      <c r="AG481" s="29">
        <f t="shared" si="421"/>
        <v>822923.43045178324</v>
      </c>
      <c r="AH481" s="34">
        <f t="shared" si="422"/>
        <v>0</v>
      </c>
      <c r="AI481" s="34">
        <f t="shared" si="423"/>
        <v>0</v>
      </c>
      <c r="AJ481" s="34">
        <f t="shared" si="424"/>
        <v>0</v>
      </c>
      <c r="AK481" s="34">
        <f t="shared" si="425"/>
        <v>0</v>
      </c>
      <c r="AL481" s="34">
        <f t="shared" si="426"/>
        <v>0</v>
      </c>
      <c r="AM481" s="34">
        <f t="shared" si="427"/>
        <v>0</v>
      </c>
      <c r="AN481" s="34">
        <f t="shared" si="428"/>
        <v>0</v>
      </c>
      <c r="AO481" s="34">
        <f t="shared" si="429"/>
        <v>0</v>
      </c>
      <c r="AP481" s="34">
        <f t="shared" si="430"/>
        <v>0</v>
      </c>
      <c r="AQ481" s="34">
        <f t="shared" si="431"/>
        <v>0</v>
      </c>
      <c r="AR481" s="34">
        <f t="shared" si="432"/>
        <v>0</v>
      </c>
      <c r="AS481" s="30">
        <f t="shared" si="433"/>
        <v>1.4851646646795433</v>
      </c>
      <c r="AT481" s="29">
        <f t="shared" si="434"/>
        <v>0</v>
      </c>
      <c r="AU481" s="29">
        <f t="shared" si="435"/>
        <v>0</v>
      </c>
      <c r="AV481" s="34">
        <f t="shared" si="436"/>
        <v>0</v>
      </c>
      <c r="AW481" s="34">
        <f t="shared" si="437"/>
        <v>0</v>
      </c>
      <c r="AX481" s="29">
        <f t="shared" si="438"/>
        <v>0</v>
      </c>
      <c r="AY481" s="34">
        <f t="shared" si="439"/>
        <v>0</v>
      </c>
      <c r="AZ481" s="37">
        <f t="shared" si="440"/>
        <v>0</v>
      </c>
      <c r="BA481" s="37">
        <f t="shared" si="441"/>
        <v>0</v>
      </c>
      <c r="BB481" s="35">
        <f t="shared" si="442"/>
        <v>1.0357460146983577E-3</v>
      </c>
      <c r="BC481" s="31">
        <f t="shared" si="443"/>
        <v>0.61030577925651708</v>
      </c>
      <c r="BD481" s="34">
        <f t="shared" si="444"/>
        <v>0</v>
      </c>
    </row>
    <row r="482" spans="1:56" x14ac:dyDescent="0.2">
      <c r="A482" s="27">
        <f t="shared" si="445"/>
        <v>478</v>
      </c>
      <c r="B482" s="28">
        <f t="shared" si="392"/>
        <v>478</v>
      </c>
      <c r="C482" s="27">
        <f t="shared" si="393"/>
        <v>39</v>
      </c>
      <c r="D482" s="28">
        <f t="shared" si="394"/>
        <v>59</v>
      </c>
      <c r="E482" s="29">
        <f t="shared" si="395"/>
        <v>0</v>
      </c>
      <c r="F482" s="30">
        <f t="shared" si="396"/>
        <v>2.3028756297091158E-3</v>
      </c>
      <c r="G482" s="31">
        <f t="shared" si="397"/>
        <v>1.9210915515044391E-4</v>
      </c>
      <c r="H482" s="32">
        <f t="shared" si="398"/>
        <v>0.02</v>
      </c>
      <c r="I482" s="32">
        <f t="shared" si="399"/>
        <v>0</v>
      </c>
      <c r="J482" s="33">
        <f t="shared" si="446"/>
        <v>0</v>
      </c>
      <c r="K482" s="30">
        <f t="shared" si="400"/>
        <v>0</v>
      </c>
      <c r="L482" s="33">
        <f t="shared" si="401"/>
        <v>0</v>
      </c>
      <c r="M482" s="30">
        <f t="shared" si="402"/>
        <v>0</v>
      </c>
      <c r="N482" s="33">
        <f t="shared" si="403"/>
        <v>0</v>
      </c>
      <c r="O482" s="31">
        <f t="shared" si="404"/>
        <v>0</v>
      </c>
      <c r="P482" s="33">
        <f t="shared" si="405"/>
        <v>0</v>
      </c>
      <c r="Q482" s="34">
        <f t="shared" si="447"/>
        <v>827370.93757324759</v>
      </c>
      <c r="R482" s="29">
        <f t="shared" si="406"/>
        <v>0</v>
      </c>
      <c r="S482" s="34">
        <f t="shared" si="407"/>
        <v>827370.93757324759</v>
      </c>
      <c r="T482" s="29">
        <f t="shared" si="408"/>
        <v>689.47578131103967</v>
      </c>
      <c r="U482" s="29">
        <f t="shared" si="409"/>
        <v>0</v>
      </c>
      <c r="V482" s="35">
        <f t="shared" si="410"/>
        <v>2.1132007066548833E-4</v>
      </c>
      <c r="W482" s="34">
        <f t="shared" si="411"/>
        <v>0</v>
      </c>
      <c r="X482" s="34">
        <f t="shared" si="412"/>
        <v>826681.46179193654</v>
      </c>
      <c r="Y482" s="36">
        <f t="shared" si="413"/>
        <v>-8.2723936588980918E-3</v>
      </c>
      <c r="Z482" s="34">
        <f t="shared" si="414"/>
        <v>-6838.6344824562211</v>
      </c>
      <c r="AA482" s="34">
        <f t="shared" si="415"/>
        <v>823262.14455070847</v>
      </c>
      <c r="AB482" s="34">
        <f t="shared" si="416"/>
        <v>0</v>
      </c>
      <c r="AC482" s="34">
        <f t="shared" si="417"/>
        <v>0</v>
      </c>
      <c r="AD482" s="34">
        <f t="shared" si="418"/>
        <v>0</v>
      </c>
      <c r="AE482" s="34">
        <f t="shared" si="419"/>
        <v>0</v>
      </c>
      <c r="AF482" s="34">
        <f t="shared" si="420"/>
        <v>0</v>
      </c>
      <c r="AG482" s="29">
        <f t="shared" si="421"/>
        <v>823262.14455070847</v>
      </c>
      <c r="AH482" s="34">
        <f t="shared" si="422"/>
        <v>0</v>
      </c>
      <c r="AI482" s="34">
        <f t="shared" si="423"/>
        <v>0</v>
      </c>
      <c r="AJ482" s="34">
        <f t="shared" si="424"/>
        <v>0</v>
      </c>
      <c r="AK482" s="34">
        <f t="shared" si="425"/>
        <v>0</v>
      </c>
      <c r="AL482" s="34">
        <f t="shared" si="426"/>
        <v>0</v>
      </c>
      <c r="AM482" s="34">
        <f t="shared" si="427"/>
        <v>0</v>
      </c>
      <c r="AN482" s="34">
        <f t="shared" si="428"/>
        <v>0</v>
      </c>
      <c r="AO482" s="34">
        <f t="shared" si="429"/>
        <v>0</v>
      </c>
      <c r="AP482" s="34">
        <f t="shared" si="430"/>
        <v>0</v>
      </c>
      <c r="AQ482" s="34">
        <f t="shared" si="431"/>
        <v>0</v>
      </c>
      <c r="AR482" s="34">
        <f t="shared" si="432"/>
        <v>0</v>
      </c>
      <c r="AS482" s="30">
        <f t="shared" si="433"/>
        <v>1.4863966653749754</v>
      </c>
      <c r="AT482" s="29">
        <f t="shared" si="434"/>
        <v>0</v>
      </c>
      <c r="AU482" s="29">
        <f t="shared" si="435"/>
        <v>0</v>
      </c>
      <c r="AV482" s="34">
        <f t="shared" si="436"/>
        <v>0</v>
      </c>
      <c r="AW482" s="34">
        <f t="shared" si="437"/>
        <v>0</v>
      </c>
      <c r="AX482" s="29">
        <f t="shared" si="438"/>
        <v>0</v>
      </c>
      <c r="AY482" s="34">
        <f t="shared" si="439"/>
        <v>0</v>
      </c>
      <c r="AZ482" s="37">
        <f t="shared" si="440"/>
        <v>0</v>
      </c>
      <c r="BA482" s="37">
        <f t="shared" si="441"/>
        <v>0</v>
      </c>
      <c r="BB482" s="35">
        <f t="shared" si="442"/>
        <v>1.0357460146983577E-3</v>
      </c>
      <c r="BC482" s="31">
        <f t="shared" si="443"/>
        <v>0.60967431151809837</v>
      </c>
      <c r="BD482" s="34">
        <f t="shared" si="444"/>
        <v>0</v>
      </c>
    </row>
    <row r="483" spans="1:56" x14ac:dyDescent="0.2">
      <c r="A483" s="27">
        <f t="shared" si="445"/>
        <v>479</v>
      </c>
      <c r="B483" s="28">
        <f t="shared" si="392"/>
        <v>479</v>
      </c>
      <c r="C483" s="27">
        <f t="shared" si="393"/>
        <v>39</v>
      </c>
      <c r="D483" s="28">
        <f t="shared" si="394"/>
        <v>59</v>
      </c>
      <c r="E483" s="29">
        <f t="shared" si="395"/>
        <v>0</v>
      </c>
      <c r="F483" s="30">
        <f t="shared" si="396"/>
        <v>2.3028756297091158E-3</v>
      </c>
      <c r="G483" s="31">
        <f t="shared" si="397"/>
        <v>1.9210915515044391E-4</v>
      </c>
      <c r="H483" s="32">
        <f t="shared" si="398"/>
        <v>0.02</v>
      </c>
      <c r="I483" s="32">
        <f t="shared" si="399"/>
        <v>0</v>
      </c>
      <c r="J483" s="33">
        <f t="shared" si="446"/>
        <v>0</v>
      </c>
      <c r="K483" s="30">
        <f t="shared" si="400"/>
        <v>0</v>
      </c>
      <c r="L483" s="33">
        <f t="shared" si="401"/>
        <v>0</v>
      </c>
      <c r="M483" s="30">
        <f t="shared" si="402"/>
        <v>0</v>
      </c>
      <c r="N483" s="33">
        <f t="shared" si="403"/>
        <v>0</v>
      </c>
      <c r="O483" s="31">
        <f t="shared" si="404"/>
        <v>0</v>
      </c>
      <c r="P483" s="33">
        <f t="shared" si="405"/>
        <v>0</v>
      </c>
      <c r="Q483" s="34">
        <f t="shared" si="447"/>
        <v>819842.82730948029</v>
      </c>
      <c r="R483" s="29">
        <f t="shared" si="406"/>
        <v>0</v>
      </c>
      <c r="S483" s="34">
        <f t="shared" si="407"/>
        <v>819842.82730948029</v>
      </c>
      <c r="T483" s="29">
        <f t="shared" si="408"/>
        <v>683.20235609123358</v>
      </c>
      <c r="U483" s="29">
        <f t="shared" si="409"/>
        <v>0</v>
      </c>
      <c r="V483" s="35">
        <f t="shared" si="410"/>
        <v>2.1132007066548833E-4</v>
      </c>
      <c r="W483" s="34">
        <f t="shared" si="411"/>
        <v>0</v>
      </c>
      <c r="X483" s="34">
        <f t="shared" si="412"/>
        <v>819159.62495338905</v>
      </c>
      <c r="Y483" s="36">
        <f t="shared" si="413"/>
        <v>4.1102187310855243E-3</v>
      </c>
      <c r="Z483" s="34">
        <f t="shared" si="414"/>
        <v>3366.9252342324125</v>
      </c>
      <c r="AA483" s="34">
        <f t="shared" si="415"/>
        <v>820843.08757050522</v>
      </c>
      <c r="AB483" s="34">
        <f t="shared" si="416"/>
        <v>0</v>
      </c>
      <c r="AC483" s="34">
        <f t="shared" si="417"/>
        <v>0</v>
      </c>
      <c r="AD483" s="34">
        <f t="shared" si="418"/>
        <v>0</v>
      </c>
      <c r="AE483" s="34">
        <f t="shared" si="419"/>
        <v>0</v>
      </c>
      <c r="AF483" s="34">
        <f t="shared" si="420"/>
        <v>0</v>
      </c>
      <c r="AG483" s="29">
        <f t="shared" si="421"/>
        <v>820843.08757050522</v>
      </c>
      <c r="AH483" s="34">
        <f t="shared" si="422"/>
        <v>0</v>
      </c>
      <c r="AI483" s="34">
        <f t="shared" si="423"/>
        <v>0</v>
      </c>
      <c r="AJ483" s="34">
        <f t="shared" si="424"/>
        <v>0</v>
      </c>
      <c r="AK483" s="34">
        <f t="shared" si="425"/>
        <v>0</v>
      </c>
      <c r="AL483" s="34">
        <f t="shared" si="426"/>
        <v>0</v>
      </c>
      <c r="AM483" s="34">
        <f t="shared" si="427"/>
        <v>0</v>
      </c>
      <c r="AN483" s="34">
        <f t="shared" si="428"/>
        <v>0</v>
      </c>
      <c r="AO483" s="34">
        <f t="shared" si="429"/>
        <v>0</v>
      </c>
      <c r="AP483" s="34">
        <f t="shared" si="430"/>
        <v>0</v>
      </c>
      <c r="AQ483" s="34">
        <f t="shared" si="431"/>
        <v>0</v>
      </c>
      <c r="AR483" s="34">
        <f t="shared" si="432"/>
        <v>0</v>
      </c>
      <c r="AS483" s="30">
        <f t="shared" si="433"/>
        <v>1.4876296880619411</v>
      </c>
      <c r="AT483" s="29">
        <f t="shared" si="434"/>
        <v>0</v>
      </c>
      <c r="AU483" s="29">
        <f t="shared" si="435"/>
        <v>0</v>
      </c>
      <c r="AV483" s="34">
        <f t="shared" si="436"/>
        <v>0</v>
      </c>
      <c r="AW483" s="34">
        <f t="shared" si="437"/>
        <v>0</v>
      </c>
      <c r="AX483" s="29">
        <f t="shared" si="438"/>
        <v>0</v>
      </c>
      <c r="AY483" s="34">
        <f t="shared" si="439"/>
        <v>0</v>
      </c>
      <c r="AZ483" s="37">
        <f t="shared" si="440"/>
        <v>0</v>
      </c>
      <c r="BA483" s="37">
        <f t="shared" si="441"/>
        <v>0</v>
      </c>
      <c r="BB483" s="35">
        <f t="shared" si="442"/>
        <v>1.0357460146983577E-3</v>
      </c>
      <c r="BC483" s="31">
        <f t="shared" si="443"/>
        <v>0.60904349714315453</v>
      </c>
      <c r="BD483" s="34">
        <f t="shared" si="444"/>
        <v>0</v>
      </c>
    </row>
    <row r="484" spans="1:56" x14ac:dyDescent="0.2">
      <c r="A484" s="27">
        <f t="shared" si="445"/>
        <v>480</v>
      </c>
      <c r="B484" s="28">
        <f t="shared" si="392"/>
        <v>480</v>
      </c>
      <c r="C484" s="27">
        <f t="shared" si="393"/>
        <v>40</v>
      </c>
      <c r="D484" s="28">
        <f t="shared" si="394"/>
        <v>60</v>
      </c>
      <c r="E484" s="29">
        <f t="shared" si="395"/>
        <v>0</v>
      </c>
      <c r="F484" s="30">
        <f t="shared" si="396"/>
        <v>2.4799857800929721E-3</v>
      </c>
      <c r="G484" s="31">
        <f t="shared" si="397"/>
        <v>2.0690076296325799E-4</v>
      </c>
      <c r="H484" s="32">
        <f t="shared" si="398"/>
        <v>0.02</v>
      </c>
      <c r="I484" s="32">
        <f t="shared" si="399"/>
        <v>0</v>
      </c>
      <c r="J484" s="33">
        <f t="shared" si="446"/>
        <v>0</v>
      </c>
      <c r="K484" s="30">
        <f t="shared" si="400"/>
        <v>0</v>
      </c>
      <c r="L484" s="33">
        <f t="shared" si="401"/>
        <v>0</v>
      </c>
      <c r="M484" s="30">
        <f t="shared" si="402"/>
        <v>0</v>
      </c>
      <c r="N484" s="33">
        <f t="shared" si="403"/>
        <v>0</v>
      </c>
      <c r="O484" s="31">
        <f t="shared" si="404"/>
        <v>0</v>
      </c>
      <c r="P484" s="33">
        <f t="shared" si="405"/>
        <v>0</v>
      </c>
      <c r="Q484" s="34">
        <f t="shared" si="447"/>
        <v>822526.5501876215</v>
      </c>
      <c r="R484" s="29">
        <f t="shared" si="406"/>
        <v>0</v>
      </c>
      <c r="S484" s="34">
        <f t="shared" si="407"/>
        <v>822526.5501876215</v>
      </c>
      <c r="T484" s="29">
        <f t="shared" si="408"/>
        <v>685.43879182301794</v>
      </c>
      <c r="U484" s="29">
        <f t="shared" si="409"/>
        <v>0</v>
      </c>
      <c r="V484" s="35">
        <f t="shared" si="410"/>
        <v>2.2759083925958379E-4</v>
      </c>
      <c r="W484" s="34">
        <f t="shared" si="411"/>
        <v>0</v>
      </c>
      <c r="X484" s="34">
        <f t="shared" si="412"/>
        <v>821841.11139579851</v>
      </c>
      <c r="Y484" s="36">
        <f t="shared" si="413"/>
        <v>-6.0046920851103414E-3</v>
      </c>
      <c r="Z484" s="34">
        <f t="shared" si="414"/>
        <v>-4934.9028168166378</v>
      </c>
      <c r="AA484" s="34">
        <f t="shared" si="415"/>
        <v>819373.65998739016</v>
      </c>
      <c r="AB484" s="34">
        <f t="shared" si="416"/>
        <v>0</v>
      </c>
      <c r="AC484" s="34">
        <f t="shared" si="417"/>
        <v>0</v>
      </c>
      <c r="AD484" s="34">
        <f t="shared" si="418"/>
        <v>0</v>
      </c>
      <c r="AE484" s="34">
        <f t="shared" si="419"/>
        <v>0</v>
      </c>
      <c r="AF484" s="34">
        <f t="shared" si="420"/>
        <v>0</v>
      </c>
      <c r="AG484" s="29">
        <f t="shared" si="421"/>
        <v>819373.65998739016</v>
      </c>
      <c r="AH484" s="34">
        <f t="shared" si="422"/>
        <v>0</v>
      </c>
      <c r="AI484" s="34">
        <f t="shared" si="423"/>
        <v>0</v>
      </c>
      <c r="AJ484" s="34">
        <f t="shared" si="424"/>
        <v>0</v>
      </c>
      <c r="AK484" s="34">
        <f t="shared" si="425"/>
        <v>0</v>
      </c>
      <c r="AL484" s="34">
        <f t="shared" si="426"/>
        <v>0</v>
      </c>
      <c r="AM484" s="34">
        <f t="shared" si="427"/>
        <v>0</v>
      </c>
      <c r="AN484" s="34">
        <f t="shared" si="428"/>
        <v>0</v>
      </c>
      <c r="AO484" s="34">
        <f t="shared" si="429"/>
        <v>0</v>
      </c>
      <c r="AP484" s="34">
        <f t="shared" si="430"/>
        <v>0</v>
      </c>
      <c r="AQ484" s="34">
        <f t="shared" si="431"/>
        <v>0</v>
      </c>
      <c r="AR484" s="34">
        <f t="shared" si="432"/>
        <v>0</v>
      </c>
      <c r="AS484" s="30">
        <f t="shared" si="433"/>
        <v>1.4888637335882215</v>
      </c>
      <c r="AT484" s="29">
        <f t="shared" si="434"/>
        <v>0</v>
      </c>
      <c r="AU484" s="29">
        <f t="shared" si="435"/>
        <v>0</v>
      </c>
      <c r="AV484" s="34">
        <f t="shared" si="436"/>
        <v>0</v>
      </c>
      <c r="AW484" s="34">
        <f t="shared" si="437"/>
        <v>0</v>
      </c>
      <c r="AX484" s="29">
        <f t="shared" si="438"/>
        <v>0</v>
      </c>
      <c r="AY484" s="34">
        <f t="shared" si="439"/>
        <v>0</v>
      </c>
      <c r="AZ484" s="37">
        <f t="shared" si="440"/>
        <v>0</v>
      </c>
      <c r="BA484" s="37">
        <f t="shared" si="441"/>
        <v>0</v>
      </c>
      <c r="BB484" s="35">
        <f t="shared" si="442"/>
        <v>1.0283306329852415E-3</v>
      </c>
      <c r="BC484" s="31">
        <f t="shared" si="443"/>
        <v>0.61058052969833954</v>
      </c>
      <c r="BD484" s="34">
        <f t="shared" si="444"/>
        <v>0</v>
      </c>
    </row>
    <row r="485" spans="1:56" x14ac:dyDescent="0.2">
      <c r="A485" s="27">
        <f t="shared" si="445"/>
        <v>481</v>
      </c>
      <c r="B485" s="28">
        <f t="shared" si="392"/>
        <v>481</v>
      </c>
      <c r="C485" s="27">
        <f t="shared" si="393"/>
        <v>40</v>
      </c>
      <c r="D485" s="28">
        <f t="shared" si="394"/>
        <v>60</v>
      </c>
      <c r="E485" s="29">
        <f t="shared" si="395"/>
        <v>0</v>
      </c>
      <c r="F485" s="30">
        <f t="shared" si="396"/>
        <v>2.4799857800929721E-3</v>
      </c>
      <c r="G485" s="31">
        <f t="shared" si="397"/>
        <v>2.0690076296325799E-4</v>
      </c>
      <c r="H485" s="32">
        <f t="shared" si="398"/>
        <v>0.02</v>
      </c>
      <c r="I485" s="32">
        <f t="shared" si="399"/>
        <v>0</v>
      </c>
      <c r="J485" s="33">
        <f t="shared" si="446"/>
        <v>0</v>
      </c>
      <c r="K485" s="30">
        <f t="shared" si="400"/>
        <v>0</v>
      </c>
      <c r="L485" s="33">
        <f t="shared" si="401"/>
        <v>0</v>
      </c>
      <c r="M485" s="30">
        <f t="shared" si="402"/>
        <v>0</v>
      </c>
      <c r="N485" s="33">
        <f t="shared" si="403"/>
        <v>0</v>
      </c>
      <c r="O485" s="31">
        <f t="shared" si="404"/>
        <v>0</v>
      </c>
      <c r="P485" s="33">
        <f t="shared" si="405"/>
        <v>0</v>
      </c>
      <c r="Q485" s="34">
        <f t="shared" si="447"/>
        <v>816906.20857898192</v>
      </c>
      <c r="R485" s="29">
        <f t="shared" si="406"/>
        <v>0</v>
      </c>
      <c r="S485" s="34">
        <f t="shared" si="407"/>
        <v>816906.20857898192</v>
      </c>
      <c r="T485" s="29">
        <f t="shared" si="408"/>
        <v>680.75517381581835</v>
      </c>
      <c r="U485" s="29">
        <f t="shared" si="409"/>
        <v>0</v>
      </c>
      <c r="V485" s="35">
        <f t="shared" si="410"/>
        <v>2.2759083925958379E-4</v>
      </c>
      <c r="W485" s="34">
        <f t="shared" si="411"/>
        <v>0</v>
      </c>
      <c r="X485" s="34">
        <f t="shared" si="412"/>
        <v>816225.45340516616</v>
      </c>
      <c r="Y485" s="36">
        <f t="shared" si="413"/>
        <v>-1.0874833160681385E-2</v>
      </c>
      <c r="Z485" s="34">
        <f t="shared" si="414"/>
        <v>-8876.3156272827</v>
      </c>
      <c r="AA485" s="34">
        <f t="shared" si="415"/>
        <v>811787.2955915248</v>
      </c>
      <c r="AB485" s="34">
        <f t="shared" si="416"/>
        <v>0</v>
      </c>
      <c r="AC485" s="34">
        <f t="shared" si="417"/>
        <v>0</v>
      </c>
      <c r="AD485" s="34">
        <f t="shared" si="418"/>
        <v>0</v>
      </c>
      <c r="AE485" s="34">
        <f t="shared" si="419"/>
        <v>0</v>
      </c>
      <c r="AF485" s="34">
        <f t="shared" si="420"/>
        <v>0</v>
      </c>
      <c r="AG485" s="29">
        <f t="shared" si="421"/>
        <v>811787.2955915248</v>
      </c>
      <c r="AH485" s="34">
        <f t="shared" si="422"/>
        <v>0</v>
      </c>
      <c r="AI485" s="34">
        <f t="shared" si="423"/>
        <v>0</v>
      </c>
      <c r="AJ485" s="34">
        <f t="shared" si="424"/>
        <v>0</v>
      </c>
      <c r="AK485" s="34">
        <f t="shared" si="425"/>
        <v>0</v>
      </c>
      <c r="AL485" s="34">
        <f t="shared" si="426"/>
        <v>0</v>
      </c>
      <c r="AM485" s="34">
        <f t="shared" si="427"/>
        <v>0</v>
      </c>
      <c r="AN485" s="34">
        <f t="shared" si="428"/>
        <v>0</v>
      </c>
      <c r="AO485" s="34">
        <f t="shared" si="429"/>
        <v>0</v>
      </c>
      <c r="AP485" s="34">
        <f t="shared" si="430"/>
        <v>0</v>
      </c>
      <c r="AQ485" s="34">
        <f t="shared" si="431"/>
        <v>0</v>
      </c>
      <c r="AR485" s="34">
        <f t="shared" si="432"/>
        <v>0</v>
      </c>
      <c r="AS485" s="30">
        <f t="shared" si="433"/>
        <v>1.4900988028023008</v>
      </c>
      <c r="AT485" s="29">
        <f t="shared" si="434"/>
        <v>0</v>
      </c>
      <c r="AU485" s="29">
        <f t="shared" si="435"/>
        <v>0</v>
      </c>
      <c r="AV485" s="34">
        <f t="shared" si="436"/>
        <v>0</v>
      </c>
      <c r="AW485" s="34">
        <f t="shared" si="437"/>
        <v>0</v>
      </c>
      <c r="AX485" s="29">
        <f t="shared" si="438"/>
        <v>0</v>
      </c>
      <c r="AY485" s="34">
        <f t="shared" si="439"/>
        <v>0</v>
      </c>
      <c r="AZ485" s="37">
        <f t="shared" si="440"/>
        <v>0</v>
      </c>
      <c r="BA485" s="37">
        <f t="shared" si="441"/>
        <v>0</v>
      </c>
      <c r="BB485" s="35">
        <f t="shared" si="442"/>
        <v>1.0283306329852415E-3</v>
      </c>
      <c r="BC485" s="31">
        <f t="shared" si="443"/>
        <v>0.60995329603933202</v>
      </c>
      <c r="BD485" s="34">
        <f t="shared" si="444"/>
        <v>0</v>
      </c>
    </row>
    <row r="486" spans="1:56" x14ac:dyDescent="0.2">
      <c r="A486" s="27">
        <f t="shared" si="445"/>
        <v>482</v>
      </c>
      <c r="B486" s="28">
        <f t="shared" si="392"/>
        <v>482</v>
      </c>
      <c r="C486" s="27">
        <f t="shared" si="393"/>
        <v>40</v>
      </c>
      <c r="D486" s="28">
        <f t="shared" si="394"/>
        <v>60</v>
      </c>
      <c r="E486" s="29">
        <f t="shared" si="395"/>
        <v>0</v>
      </c>
      <c r="F486" s="30">
        <f t="shared" si="396"/>
        <v>2.4799857800929721E-3</v>
      </c>
      <c r="G486" s="31">
        <f t="shared" si="397"/>
        <v>2.0690076296325799E-4</v>
      </c>
      <c r="H486" s="32">
        <f t="shared" si="398"/>
        <v>0.02</v>
      </c>
      <c r="I486" s="32">
        <f t="shared" si="399"/>
        <v>0</v>
      </c>
      <c r="J486" s="33">
        <f t="shared" si="446"/>
        <v>0</v>
      </c>
      <c r="K486" s="30">
        <f t="shared" si="400"/>
        <v>0</v>
      </c>
      <c r="L486" s="33">
        <f t="shared" si="401"/>
        <v>0</v>
      </c>
      <c r="M486" s="30">
        <f t="shared" si="402"/>
        <v>0</v>
      </c>
      <c r="N486" s="33">
        <f t="shared" si="403"/>
        <v>0</v>
      </c>
      <c r="O486" s="31">
        <f t="shared" si="404"/>
        <v>0</v>
      </c>
      <c r="P486" s="33">
        <f t="shared" si="405"/>
        <v>0</v>
      </c>
      <c r="Q486" s="34">
        <f t="shared" si="447"/>
        <v>807349.13777788344</v>
      </c>
      <c r="R486" s="29">
        <f t="shared" si="406"/>
        <v>0</v>
      </c>
      <c r="S486" s="34">
        <f t="shared" si="407"/>
        <v>807349.13777788344</v>
      </c>
      <c r="T486" s="29">
        <f t="shared" si="408"/>
        <v>672.79094814823623</v>
      </c>
      <c r="U486" s="29">
        <f t="shared" si="409"/>
        <v>0</v>
      </c>
      <c r="V486" s="35">
        <f t="shared" si="410"/>
        <v>2.2759083925958379E-4</v>
      </c>
      <c r="W486" s="34">
        <f t="shared" si="411"/>
        <v>0</v>
      </c>
      <c r="X486" s="34">
        <f t="shared" si="412"/>
        <v>806676.34682973521</v>
      </c>
      <c r="Y486" s="36">
        <f t="shared" si="413"/>
        <v>6.118516215825931E-3</v>
      </c>
      <c r="Z486" s="34">
        <f t="shared" si="414"/>
        <v>4935.662309000958</v>
      </c>
      <c r="AA486" s="34">
        <f t="shared" si="415"/>
        <v>809144.17798423569</v>
      </c>
      <c r="AB486" s="34">
        <f t="shared" si="416"/>
        <v>0</v>
      </c>
      <c r="AC486" s="34">
        <f t="shared" si="417"/>
        <v>0</v>
      </c>
      <c r="AD486" s="34">
        <f t="shared" si="418"/>
        <v>0</v>
      </c>
      <c r="AE486" s="34">
        <f t="shared" si="419"/>
        <v>0</v>
      </c>
      <c r="AF486" s="34">
        <f t="shared" si="420"/>
        <v>0</v>
      </c>
      <c r="AG486" s="29">
        <f t="shared" si="421"/>
        <v>809144.17798423569</v>
      </c>
      <c r="AH486" s="34">
        <f t="shared" si="422"/>
        <v>0</v>
      </c>
      <c r="AI486" s="34">
        <f t="shared" si="423"/>
        <v>0</v>
      </c>
      <c r="AJ486" s="34">
        <f t="shared" si="424"/>
        <v>0</v>
      </c>
      <c r="AK486" s="34">
        <f t="shared" si="425"/>
        <v>0</v>
      </c>
      <c r="AL486" s="34">
        <f t="shared" si="426"/>
        <v>0</v>
      </c>
      <c r="AM486" s="34">
        <f t="shared" si="427"/>
        <v>0</v>
      </c>
      <c r="AN486" s="34">
        <f t="shared" si="428"/>
        <v>0</v>
      </c>
      <c r="AO486" s="34">
        <f t="shared" si="429"/>
        <v>0</v>
      </c>
      <c r="AP486" s="34">
        <f t="shared" si="430"/>
        <v>0</v>
      </c>
      <c r="AQ486" s="34">
        <f t="shared" si="431"/>
        <v>0</v>
      </c>
      <c r="AR486" s="34">
        <f t="shared" si="432"/>
        <v>0</v>
      </c>
      <c r="AS486" s="30">
        <f t="shared" si="433"/>
        <v>1.4913348965533668</v>
      </c>
      <c r="AT486" s="29">
        <f t="shared" si="434"/>
        <v>0</v>
      </c>
      <c r="AU486" s="29">
        <f t="shared" si="435"/>
        <v>0</v>
      </c>
      <c r="AV486" s="34">
        <f t="shared" si="436"/>
        <v>0</v>
      </c>
      <c r="AW486" s="34">
        <f t="shared" si="437"/>
        <v>0</v>
      </c>
      <c r="AX486" s="29">
        <f t="shared" si="438"/>
        <v>0</v>
      </c>
      <c r="AY486" s="34">
        <f t="shared" si="439"/>
        <v>0</v>
      </c>
      <c r="AZ486" s="37">
        <f t="shared" si="440"/>
        <v>0</v>
      </c>
      <c r="BA486" s="37">
        <f t="shared" si="441"/>
        <v>0</v>
      </c>
      <c r="BB486" s="35">
        <f t="shared" si="442"/>
        <v>1.0283306329852415E-3</v>
      </c>
      <c r="BC486" s="31">
        <f t="shared" si="443"/>
        <v>0.6093267067213145</v>
      </c>
      <c r="BD486" s="34">
        <f t="shared" si="444"/>
        <v>0</v>
      </c>
    </row>
    <row r="487" spans="1:56" x14ac:dyDescent="0.2">
      <c r="A487" s="27">
        <f t="shared" si="445"/>
        <v>483</v>
      </c>
      <c r="B487" s="28">
        <f t="shared" si="392"/>
        <v>483</v>
      </c>
      <c r="C487" s="27">
        <f t="shared" si="393"/>
        <v>40</v>
      </c>
      <c r="D487" s="28">
        <f t="shared" si="394"/>
        <v>60</v>
      </c>
      <c r="E487" s="29">
        <f t="shared" si="395"/>
        <v>0</v>
      </c>
      <c r="F487" s="30">
        <f t="shared" si="396"/>
        <v>2.4799857800929721E-3</v>
      </c>
      <c r="G487" s="31">
        <f t="shared" si="397"/>
        <v>2.0690076296325799E-4</v>
      </c>
      <c r="H487" s="32">
        <f t="shared" si="398"/>
        <v>0.02</v>
      </c>
      <c r="I487" s="32">
        <f t="shared" si="399"/>
        <v>0</v>
      </c>
      <c r="J487" s="33">
        <f t="shared" si="446"/>
        <v>0</v>
      </c>
      <c r="K487" s="30">
        <f t="shared" si="400"/>
        <v>0</v>
      </c>
      <c r="L487" s="33">
        <f t="shared" si="401"/>
        <v>0</v>
      </c>
      <c r="M487" s="30">
        <f t="shared" si="402"/>
        <v>0</v>
      </c>
      <c r="N487" s="33">
        <f t="shared" si="403"/>
        <v>0</v>
      </c>
      <c r="O487" s="31">
        <f t="shared" si="404"/>
        <v>0</v>
      </c>
      <c r="P487" s="33">
        <f t="shared" si="405"/>
        <v>0</v>
      </c>
      <c r="Q487" s="34">
        <f t="shared" si="447"/>
        <v>811612.00913873618</v>
      </c>
      <c r="R487" s="29">
        <f t="shared" si="406"/>
        <v>0</v>
      </c>
      <c r="S487" s="34">
        <f t="shared" si="407"/>
        <v>811612.00913873618</v>
      </c>
      <c r="T487" s="29">
        <f t="shared" si="408"/>
        <v>676.34334094894689</v>
      </c>
      <c r="U487" s="29">
        <f t="shared" si="409"/>
        <v>0</v>
      </c>
      <c r="V487" s="35">
        <f t="shared" si="410"/>
        <v>2.2759083925958379E-4</v>
      </c>
      <c r="W487" s="34">
        <f t="shared" si="411"/>
        <v>0</v>
      </c>
      <c r="X487" s="34">
        <f t="shared" si="412"/>
        <v>810935.66579778725</v>
      </c>
      <c r="Y487" s="36">
        <f t="shared" si="413"/>
        <v>-6.6423963527519891E-3</v>
      </c>
      <c r="Z487" s="34">
        <f t="shared" si="414"/>
        <v>-5386.5561088117283</v>
      </c>
      <c r="AA487" s="34">
        <f t="shared" si="415"/>
        <v>808242.38774338143</v>
      </c>
      <c r="AB487" s="34">
        <f t="shared" si="416"/>
        <v>0</v>
      </c>
      <c r="AC487" s="34">
        <f t="shared" si="417"/>
        <v>0</v>
      </c>
      <c r="AD487" s="34">
        <f t="shared" si="418"/>
        <v>0</v>
      </c>
      <c r="AE487" s="34">
        <f t="shared" si="419"/>
        <v>0</v>
      </c>
      <c r="AF487" s="34">
        <f t="shared" si="420"/>
        <v>0</v>
      </c>
      <c r="AG487" s="29">
        <f t="shared" si="421"/>
        <v>808242.38774338143</v>
      </c>
      <c r="AH487" s="34">
        <f t="shared" si="422"/>
        <v>0</v>
      </c>
      <c r="AI487" s="34">
        <f t="shared" si="423"/>
        <v>0</v>
      </c>
      <c r="AJ487" s="34">
        <f t="shared" si="424"/>
        <v>0</v>
      </c>
      <c r="AK487" s="34">
        <f t="shared" si="425"/>
        <v>0</v>
      </c>
      <c r="AL487" s="34">
        <f t="shared" si="426"/>
        <v>0</v>
      </c>
      <c r="AM487" s="34">
        <f t="shared" si="427"/>
        <v>0</v>
      </c>
      <c r="AN487" s="34">
        <f t="shared" si="428"/>
        <v>0</v>
      </c>
      <c r="AO487" s="34">
        <f t="shared" si="429"/>
        <v>0</v>
      </c>
      <c r="AP487" s="34">
        <f t="shared" si="430"/>
        <v>0</v>
      </c>
      <c r="AQ487" s="34">
        <f t="shared" si="431"/>
        <v>0</v>
      </c>
      <c r="AR487" s="34">
        <f t="shared" si="432"/>
        <v>0</v>
      </c>
      <c r="AS487" s="30">
        <f t="shared" si="433"/>
        <v>1.4925720156913125</v>
      </c>
      <c r="AT487" s="29">
        <f t="shared" si="434"/>
        <v>0</v>
      </c>
      <c r="AU487" s="29">
        <f t="shared" si="435"/>
        <v>0</v>
      </c>
      <c r="AV487" s="34">
        <f t="shared" si="436"/>
        <v>0</v>
      </c>
      <c r="AW487" s="34">
        <f t="shared" si="437"/>
        <v>0</v>
      </c>
      <c r="AX487" s="29">
        <f t="shared" si="438"/>
        <v>0</v>
      </c>
      <c r="AY487" s="34">
        <f t="shared" si="439"/>
        <v>0</v>
      </c>
      <c r="AZ487" s="37">
        <f t="shared" si="440"/>
        <v>0</v>
      </c>
      <c r="BA487" s="37">
        <f t="shared" si="441"/>
        <v>0</v>
      </c>
      <c r="BB487" s="35">
        <f t="shared" si="442"/>
        <v>1.0283306329852415E-3</v>
      </c>
      <c r="BC487" s="31">
        <f t="shared" si="443"/>
        <v>0.60870076108237214</v>
      </c>
      <c r="BD487" s="34">
        <f t="shared" si="444"/>
        <v>0</v>
      </c>
    </row>
    <row r="488" spans="1:56" x14ac:dyDescent="0.2">
      <c r="A488" s="27">
        <f t="shared" si="445"/>
        <v>484</v>
      </c>
      <c r="B488" s="28">
        <f t="shared" si="392"/>
        <v>484</v>
      </c>
      <c r="C488" s="27">
        <f t="shared" si="393"/>
        <v>40</v>
      </c>
      <c r="D488" s="28">
        <f t="shared" si="394"/>
        <v>60</v>
      </c>
      <c r="E488" s="29">
        <f t="shared" si="395"/>
        <v>0</v>
      </c>
      <c r="F488" s="30">
        <f t="shared" si="396"/>
        <v>2.4799857800929721E-3</v>
      </c>
      <c r="G488" s="31">
        <f t="shared" si="397"/>
        <v>2.0690076296325799E-4</v>
      </c>
      <c r="H488" s="32">
        <f t="shared" si="398"/>
        <v>0.02</v>
      </c>
      <c r="I488" s="32">
        <f t="shared" si="399"/>
        <v>0</v>
      </c>
      <c r="J488" s="33">
        <f t="shared" si="446"/>
        <v>0</v>
      </c>
      <c r="K488" s="30">
        <f t="shared" si="400"/>
        <v>0</v>
      </c>
      <c r="L488" s="33">
        <f t="shared" si="401"/>
        <v>0</v>
      </c>
      <c r="M488" s="30">
        <f t="shared" si="402"/>
        <v>0</v>
      </c>
      <c r="N488" s="33">
        <f t="shared" si="403"/>
        <v>0</v>
      </c>
      <c r="O488" s="31">
        <f t="shared" si="404"/>
        <v>0</v>
      </c>
      <c r="P488" s="33">
        <f t="shared" si="405"/>
        <v>0</v>
      </c>
      <c r="Q488" s="34">
        <f t="shared" si="447"/>
        <v>805549.1096889755</v>
      </c>
      <c r="R488" s="29">
        <f t="shared" si="406"/>
        <v>0</v>
      </c>
      <c r="S488" s="34">
        <f t="shared" si="407"/>
        <v>805549.1096889755</v>
      </c>
      <c r="T488" s="29">
        <f t="shared" si="408"/>
        <v>671.29092474081301</v>
      </c>
      <c r="U488" s="29">
        <f t="shared" si="409"/>
        <v>0</v>
      </c>
      <c r="V488" s="35">
        <f t="shared" si="410"/>
        <v>2.2759083925958379E-4</v>
      </c>
      <c r="W488" s="34">
        <f t="shared" si="411"/>
        <v>0</v>
      </c>
      <c r="X488" s="34">
        <f t="shared" si="412"/>
        <v>804877.81876423466</v>
      </c>
      <c r="Y488" s="36">
        <f t="shared" si="413"/>
        <v>-2.5587816016807707E-3</v>
      </c>
      <c r="Z488" s="34">
        <f t="shared" si="414"/>
        <v>-2059.5065542548737</v>
      </c>
      <c r="AA488" s="34">
        <f t="shared" si="415"/>
        <v>803848.06548710726</v>
      </c>
      <c r="AB488" s="34">
        <f t="shared" si="416"/>
        <v>0</v>
      </c>
      <c r="AC488" s="34">
        <f t="shared" si="417"/>
        <v>0</v>
      </c>
      <c r="AD488" s="34">
        <f t="shared" si="418"/>
        <v>0</v>
      </c>
      <c r="AE488" s="34">
        <f t="shared" si="419"/>
        <v>0</v>
      </c>
      <c r="AF488" s="34">
        <f t="shared" si="420"/>
        <v>0</v>
      </c>
      <c r="AG488" s="29">
        <f t="shared" si="421"/>
        <v>803848.06548710726</v>
      </c>
      <c r="AH488" s="34">
        <f t="shared" si="422"/>
        <v>0</v>
      </c>
      <c r="AI488" s="34">
        <f t="shared" si="423"/>
        <v>0</v>
      </c>
      <c r="AJ488" s="34">
        <f t="shared" si="424"/>
        <v>0</v>
      </c>
      <c r="AK488" s="34">
        <f t="shared" si="425"/>
        <v>0</v>
      </c>
      <c r="AL488" s="34">
        <f t="shared" si="426"/>
        <v>0</v>
      </c>
      <c r="AM488" s="34">
        <f t="shared" si="427"/>
        <v>0</v>
      </c>
      <c r="AN488" s="34">
        <f t="shared" si="428"/>
        <v>0</v>
      </c>
      <c r="AO488" s="34">
        <f t="shared" si="429"/>
        <v>0</v>
      </c>
      <c r="AP488" s="34">
        <f t="shared" si="430"/>
        <v>0</v>
      </c>
      <c r="AQ488" s="34">
        <f t="shared" si="431"/>
        <v>0</v>
      </c>
      <c r="AR488" s="34">
        <f t="shared" si="432"/>
        <v>0</v>
      </c>
      <c r="AS488" s="30">
        <f t="shared" si="433"/>
        <v>1.4938101610667351</v>
      </c>
      <c r="AT488" s="29">
        <f t="shared" si="434"/>
        <v>0</v>
      </c>
      <c r="AU488" s="29">
        <f t="shared" si="435"/>
        <v>0</v>
      </c>
      <c r="AV488" s="34">
        <f t="shared" si="436"/>
        <v>0</v>
      </c>
      <c r="AW488" s="34">
        <f t="shared" si="437"/>
        <v>0</v>
      </c>
      <c r="AX488" s="29">
        <f t="shared" si="438"/>
        <v>0</v>
      </c>
      <c r="AY488" s="34">
        <f t="shared" si="439"/>
        <v>0</v>
      </c>
      <c r="AZ488" s="37">
        <f t="shared" si="440"/>
        <v>0</v>
      </c>
      <c r="BA488" s="37">
        <f t="shared" si="441"/>
        <v>0</v>
      </c>
      <c r="BB488" s="35">
        <f t="shared" si="442"/>
        <v>1.0283306329852415E-3</v>
      </c>
      <c r="BC488" s="31">
        <f t="shared" si="443"/>
        <v>0.60807545846126987</v>
      </c>
      <c r="BD488" s="34">
        <f t="shared" si="444"/>
        <v>0</v>
      </c>
    </row>
    <row r="489" spans="1:56" x14ac:dyDescent="0.2">
      <c r="A489" s="27">
        <f t="shared" si="445"/>
        <v>485</v>
      </c>
      <c r="B489" s="28">
        <f t="shared" si="392"/>
        <v>485</v>
      </c>
      <c r="C489" s="27">
        <f t="shared" si="393"/>
        <v>40</v>
      </c>
      <c r="D489" s="28">
        <f t="shared" si="394"/>
        <v>60</v>
      </c>
      <c r="E489" s="29">
        <f t="shared" si="395"/>
        <v>0</v>
      </c>
      <c r="F489" s="30">
        <f t="shared" si="396"/>
        <v>2.4799857800929721E-3</v>
      </c>
      <c r="G489" s="31">
        <f t="shared" si="397"/>
        <v>2.0690076296325799E-4</v>
      </c>
      <c r="H489" s="32">
        <f t="shared" si="398"/>
        <v>0.02</v>
      </c>
      <c r="I489" s="32">
        <f t="shared" si="399"/>
        <v>0</v>
      </c>
      <c r="J489" s="33">
        <f t="shared" si="446"/>
        <v>0</v>
      </c>
      <c r="K489" s="30">
        <f t="shared" si="400"/>
        <v>0</v>
      </c>
      <c r="L489" s="33">
        <f t="shared" si="401"/>
        <v>0</v>
      </c>
      <c r="M489" s="30">
        <f t="shared" si="402"/>
        <v>0</v>
      </c>
      <c r="N489" s="33">
        <f t="shared" si="403"/>
        <v>0</v>
      </c>
      <c r="O489" s="31">
        <f t="shared" si="404"/>
        <v>0</v>
      </c>
      <c r="P489" s="33">
        <f t="shared" si="405"/>
        <v>0</v>
      </c>
      <c r="Q489" s="34">
        <f t="shared" si="447"/>
        <v>802818.31220997975</v>
      </c>
      <c r="R489" s="29">
        <f t="shared" si="406"/>
        <v>0</v>
      </c>
      <c r="S489" s="34">
        <f t="shared" si="407"/>
        <v>802818.31220997975</v>
      </c>
      <c r="T489" s="29">
        <f t="shared" si="408"/>
        <v>669.01526017498315</v>
      </c>
      <c r="U489" s="29">
        <f t="shared" si="409"/>
        <v>0</v>
      </c>
      <c r="V489" s="35">
        <f t="shared" si="410"/>
        <v>2.2759083925958379E-4</v>
      </c>
      <c r="W489" s="34">
        <f t="shared" si="411"/>
        <v>0</v>
      </c>
      <c r="X489" s="34">
        <f t="shared" si="412"/>
        <v>802149.29694980476</v>
      </c>
      <c r="Y489" s="36">
        <f t="shared" si="413"/>
        <v>1.0042505376206545E-3</v>
      </c>
      <c r="Z489" s="34">
        <f t="shared" si="414"/>
        <v>805.55886271387146</v>
      </c>
      <c r="AA489" s="34">
        <f t="shared" si="415"/>
        <v>802552.07638116169</v>
      </c>
      <c r="AB489" s="34">
        <f t="shared" si="416"/>
        <v>0</v>
      </c>
      <c r="AC489" s="34">
        <f t="shared" si="417"/>
        <v>0</v>
      </c>
      <c r="AD489" s="34">
        <f t="shared" si="418"/>
        <v>0</v>
      </c>
      <c r="AE489" s="34">
        <f t="shared" si="419"/>
        <v>0</v>
      </c>
      <c r="AF489" s="34">
        <f t="shared" si="420"/>
        <v>0</v>
      </c>
      <c r="AG489" s="29">
        <f t="shared" si="421"/>
        <v>802552.07638116169</v>
      </c>
      <c r="AH489" s="34">
        <f t="shared" si="422"/>
        <v>0</v>
      </c>
      <c r="AI489" s="34">
        <f t="shared" si="423"/>
        <v>0</v>
      </c>
      <c r="AJ489" s="34">
        <f t="shared" si="424"/>
        <v>0</v>
      </c>
      <c r="AK489" s="34">
        <f t="shared" si="425"/>
        <v>0</v>
      </c>
      <c r="AL489" s="34">
        <f t="shared" si="426"/>
        <v>0</v>
      </c>
      <c r="AM489" s="34">
        <f t="shared" si="427"/>
        <v>0</v>
      </c>
      <c r="AN489" s="34">
        <f t="shared" si="428"/>
        <v>0</v>
      </c>
      <c r="AO489" s="34">
        <f t="shared" si="429"/>
        <v>0</v>
      </c>
      <c r="AP489" s="34">
        <f t="shared" si="430"/>
        <v>0</v>
      </c>
      <c r="AQ489" s="34">
        <f t="shared" si="431"/>
        <v>0</v>
      </c>
      <c r="AR489" s="34">
        <f t="shared" si="432"/>
        <v>0</v>
      </c>
      <c r="AS489" s="30">
        <f t="shared" si="433"/>
        <v>1.4950493335309376</v>
      </c>
      <c r="AT489" s="29">
        <f t="shared" si="434"/>
        <v>0</v>
      </c>
      <c r="AU489" s="29">
        <f t="shared" si="435"/>
        <v>0</v>
      </c>
      <c r="AV489" s="34">
        <f t="shared" si="436"/>
        <v>0</v>
      </c>
      <c r="AW489" s="34">
        <f t="shared" si="437"/>
        <v>0</v>
      </c>
      <c r="AX489" s="29">
        <f t="shared" si="438"/>
        <v>0</v>
      </c>
      <c r="AY489" s="34">
        <f t="shared" si="439"/>
        <v>0</v>
      </c>
      <c r="AZ489" s="37">
        <f t="shared" si="440"/>
        <v>0</v>
      </c>
      <c r="BA489" s="37">
        <f t="shared" si="441"/>
        <v>0</v>
      </c>
      <c r="BB489" s="35">
        <f t="shared" si="442"/>
        <v>1.0283306329852415E-3</v>
      </c>
      <c r="BC489" s="31">
        <f t="shared" si="443"/>
        <v>0.60745079819745207</v>
      </c>
      <c r="BD489" s="34">
        <f t="shared" si="444"/>
        <v>0</v>
      </c>
    </row>
    <row r="490" spans="1:56" x14ac:dyDescent="0.2">
      <c r="A490" s="27">
        <f t="shared" si="445"/>
        <v>486</v>
      </c>
      <c r="B490" s="28">
        <f t="shared" si="392"/>
        <v>486</v>
      </c>
      <c r="C490" s="27">
        <f t="shared" si="393"/>
        <v>40</v>
      </c>
      <c r="D490" s="28">
        <f t="shared" si="394"/>
        <v>60</v>
      </c>
      <c r="E490" s="29">
        <f t="shared" si="395"/>
        <v>0</v>
      </c>
      <c r="F490" s="30">
        <f t="shared" si="396"/>
        <v>2.4799857800929721E-3</v>
      </c>
      <c r="G490" s="31">
        <f t="shared" si="397"/>
        <v>2.0690076296325799E-4</v>
      </c>
      <c r="H490" s="32">
        <f t="shared" si="398"/>
        <v>0.02</v>
      </c>
      <c r="I490" s="32">
        <f t="shared" si="399"/>
        <v>0</v>
      </c>
      <c r="J490" s="33">
        <f t="shared" si="446"/>
        <v>0</v>
      </c>
      <c r="K490" s="30">
        <f t="shared" si="400"/>
        <v>0</v>
      </c>
      <c r="L490" s="33">
        <f t="shared" si="401"/>
        <v>0</v>
      </c>
      <c r="M490" s="30">
        <f t="shared" si="402"/>
        <v>0</v>
      </c>
      <c r="N490" s="33">
        <f t="shared" si="403"/>
        <v>0</v>
      </c>
      <c r="O490" s="31">
        <f t="shared" si="404"/>
        <v>0</v>
      </c>
      <c r="P490" s="33">
        <f t="shared" si="405"/>
        <v>0</v>
      </c>
      <c r="Q490" s="34">
        <f t="shared" si="447"/>
        <v>802954.85581251862</v>
      </c>
      <c r="R490" s="29">
        <f t="shared" si="406"/>
        <v>0</v>
      </c>
      <c r="S490" s="34">
        <f t="shared" si="407"/>
        <v>802954.85581251862</v>
      </c>
      <c r="T490" s="29">
        <f t="shared" si="408"/>
        <v>669.1290465104322</v>
      </c>
      <c r="U490" s="29">
        <f t="shared" si="409"/>
        <v>0</v>
      </c>
      <c r="V490" s="35">
        <f t="shared" si="410"/>
        <v>2.2759083925958379E-4</v>
      </c>
      <c r="W490" s="34">
        <f t="shared" si="411"/>
        <v>0</v>
      </c>
      <c r="X490" s="34">
        <f t="shared" si="412"/>
        <v>802285.72676600819</v>
      </c>
      <c r="Y490" s="36">
        <f t="shared" si="413"/>
        <v>-3.6700462798111566E-3</v>
      </c>
      <c r="Z490" s="34">
        <f t="shared" si="414"/>
        <v>-2944.4257468631786</v>
      </c>
      <c r="AA490" s="34">
        <f t="shared" si="415"/>
        <v>800813.51389257656</v>
      </c>
      <c r="AB490" s="34">
        <f t="shared" si="416"/>
        <v>0</v>
      </c>
      <c r="AC490" s="34">
        <f t="shared" si="417"/>
        <v>0</v>
      </c>
      <c r="AD490" s="34">
        <f t="shared" si="418"/>
        <v>0</v>
      </c>
      <c r="AE490" s="34">
        <f t="shared" si="419"/>
        <v>0</v>
      </c>
      <c r="AF490" s="34">
        <f t="shared" si="420"/>
        <v>0</v>
      </c>
      <c r="AG490" s="29">
        <f t="shared" si="421"/>
        <v>800813.51389257656</v>
      </c>
      <c r="AH490" s="34">
        <f t="shared" si="422"/>
        <v>0</v>
      </c>
      <c r="AI490" s="34">
        <f t="shared" si="423"/>
        <v>0</v>
      </c>
      <c r="AJ490" s="34">
        <f t="shared" si="424"/>
        <v>0</v>
      </c>
      <c r="AK490" s="34">
        <f t="shared" si="425"/>
        <v>0</v>
      </c>
      <c r="AL490" s="34">
        <f t="shared" si="426"/>
        <v>0</v>
      </c>
      <c r="AM490" s="34">
        <f t="shared" si="427"/>
        <v>0</v>
      </c>
      <c r="AN490" s="34">
        <f t="shared" si="428"/>
        <v>0</v>
      </c>
      <c r="AO490" s="34">
        <f t="shared" si="429"/>
        <v>0</v>
      </c>
      <c r="AP490" s="34">
        <f t="shared" si="430"/>
        <v>0</v>
      </c>
      <c r="AQ490" s="34">
        <f t="shared" si="431"/>
        <v>0</v>
      </c>
      <c r="AR490" s="34">
        <f t="shared" si="432"/>
        <v>0</v>
      </c>
      <c r="AS490" s="30">
        <f t="shared" si="433"/>
        <v>1.4962895339359294</v>
      </c>
      <c r="AT490" s="29">
        <f t="shared" si="434"/>
        <v>0</v>
      </c>
      <c r="AU490" s="29">
        <f t="shared" si="435"/>
        <v>0</v>
      </c>
      <c r="AV490" s="34">
        <f t="shared" si="436"/>
        <v>0</v>
      </c>
      <c r="AW490" s="34">
        <f t="shared" si="437"/>
        <v>0</v>
      </c>
      <c r="AX490" s="29">
        <f t="shared" si="438"/>
        <v>0</v>
      </c>
      <c r="AY490" s="34">
        <f t="shared" si="439"/>
        <v>0</v>
      </c>
      <c r="AZ490" s="37">
        <f t="shared" si="440"/>
        <v>0</v>
      </c>
      <c r="BA490" s="37">
        <f t="shared" si="441"/>
        <v>0</v>
      </c>
      <c r="BB490" s="35">
        <f t="shared" si="442"/>
        <v>1.0283306329852415E-3</v>
      </c>
      <c r="BC490" s="31">
        <f t="shared" si="443"/>
        <v>0.60682677963104159</v>
      </c>
      <c r="BD490" s="34">
        <f t="shared" si="444"/>
        <v>0</v>
      </c>
    </row>
    <row r="491" spans="1:56" x14ac:dyDescent="0.2">
      <c r="A491" s="27">
        <f t="shared" si="445"/>
        <v>487</v>
      </c>
      <c r="B491" s="28">
        <f t="shared" si="392"/>
        <v>487</v>
      </c>
      <c r="C491" s="27">
        <f t="shared" si="393"/>
        <v>40</v>
      </c>
      <c r="D491" s="28">
        <f t="shared" si="394"/>
        <v>60</v>
      </c>
      <c r="E491" s="29">
        <f t="shared" si="395"/>
        <v>0</v>
      </c>
      <c r="F491" s="30">
        <f t="shared" si="396"/>
        <v>2.4799857800929721E-3</v>
      </c>
      <c r="G491" s="31">
        <f t="shared" si="397"/>
        <v>2.0690076296325799E-4</v>
      </c>
      <c r="H491" s="32">
        <f t="shared" si="398"/>
        <v>0.02</v>
      </c>
      <c r="I491" s="32">
        <f t="shared" si="399"/>
        <v>0</v>
      </c>
      <c r="J491" s="33">
        <f t="shared" si="446"/>
        <v>0</v>
      </c>
      <c r="K491" s="30">
        <f t="shared" si="400"/>
        <v>0</v>
      </c>
      <c r="L491" s="33">
        <f t="shared" si="401"/>
        <v>0</v>
      </c>
      <c r="M491" s="30">
        <f t="shared" si="402"/>
        <v>0</v>
      </c>
      <c r="N491" s="33">
        <f t="shared" si="403"/>
        <v>0</v>
      </c>
      <c r="O491" s="31">
        <f t="shared" si="404"/>
        <v>0</v>
      </c>
      <c r="P491" s="33">
        <f t="shared" si="405"/>
        <v>0</v>
      </c>
      <c r="Q491" s="34">
        <f t="shared" si="447"/>
        <v>799341.30101914506</v>
      </c>
      <c r="R491" s="29">
        <f t="shared" si="406"/>
        <v>0</v>
      </c>
      <c r="S491" s="34">
        <f t="shared" si="407"/>
        <v>799341.30101914506</v>
      </c>
      <c r="T491" s="29">
        <f t="shared" si="408"/>
        <v>666.11775084928763</v>
      </c>
      <c r="U491" s="29">
        <f t="shared" si="409"/>
        <v>0</v>
      </c>
      <c r="V491" s="35">
        <f t="shared" si="410"/>
        <v>2.2759083925958379E-4</v>
      </c>
      <c r="W491" s="34">
        <f t="shared" si="411"/>
        <v>0</v>
      </c>
      <c r="X491" s="34">
        <f t="shared" si="412"/>
        <v>798675.18326829572</v>
      </c>
      <c r="Y491" s="36">
        <f t="shared" si="413"/>
        <v>-4.8281159974228327E-3</v>
      </c>
      <c r="Z491" s="34">
        <f t="shared" si="414"/>
        <v>-3856.0964290822712</v>
      </c>
      <c r="AA491" s="34">
        <f t="shared" si="415"/>
        <v>796747.13505375455</v>
      </c>
      <c r="AB491" s="34">
        <f t="shared" si="416"/>
        <v>0</v>
      </c>
      <c r="AC491" s="34">
        <f t="shared" si="417"/>
        <v>0</v>
      </c>
      <c r="AD491" s="34">
        <f t="shared" si="418"/>
        <v>0</v>
      </c>
      <c r="AE491" s="34">
        <f t="shared" si="419"/>
        <v>0</v>
      </c>
      <c r="AF491" s="34">
        <f t="shared" si="420"/>
        <v>0</v>
      </c>
      <c r="AG491" s="29">
        <f t="shared" si="421"/>
        <v>796747.13505375455</v>
      </c>
      <c r="AH491" s="34">
        <f t="shared" si="422"/>
        <v>0</v>
      </c>
      <c r="AI491" s="34">
        <f t="shared" si="423"/>
        <v>0</v>
      </c>
      <c r="AJ491" s="34">
        <f t="shared" si="424"/>
        <v>0</v>
      </c>
      <c r="AK491" s="34">
        <f t="shared" si="425"/>
        <v>0</v>
      </c>
      <c r="AL491" s="34">
        <f t="shared" si="426"/>
        <v>0</v>
      </c>
      <c r="AM491" s="34">
        <f t="shared" si="427"/>
        <v>0</v>
      </c>
      <c r="AN491" s="34">
        <f t="shared" si="428"/>
        <v>0</v>
      </c>
      <c r="AO491" s="34">
        <f t="shared" si="429"/>
        <v>0</v>
      </c>
      <c r="AP491" s="34">
        <f t="shared" si="430"/>
        <v>0</v>
      </c>
      <c r="AQ491" s="34">
        <f t="shared" si="431"/>
        <v>0</v>
      </c>
      <c r="AR491" s="34">
        <f t="shared" si="432"/>
        <v>0</v>
      </c>
      <c r="AS491" s="30">
        <f t="shared" si="433"/>
        <v>1.4975307631344266</v>
      </c>
      <c r="AT491" s="29">
        <f t="shared" si="434"/>
        <v>0</v>
      </c>
      <c r="AU491" s="29">
        <f t="shared" si="435"/>
        <v>0</v>
      </c>
      <c r="AV491" s="34">
        <f t="shared" si="436"/>
        <v>0</v>
      </c>
      <c r="AW491" s="34">
        <f t="shared" si="437"/>
        <v>0</v>
      </c>
      <c r="AX491" s="29">
        <f t="shared" si="438"/>
        <v>0</v>
      </c>
      <c r="AY491" s="34">
        <f t="shared" si="439"/>
        <v>0</v>
      </c>
      <c r="AZ491" s="37">
        <f t="shared" si="440"/>
        <v>0</v>
      </c>
      <c r="BA491" s="37">
        <f t="shared" si="441"/>
        <v>0</v>
      </c>
      <c r="BB491" s="35">
        <f t="shared" si="442"/>
        <v>1.0283306329852415E-3</v>
      </c>
      <c r="BC491" s="31">
        <f t="shared" si="443"/>
        <v>0.60620340210283952</v>
      </c>
      <c r="BD491" s="34">
        <f t="shared" si="444"/>
        <v>0</v>
      </c>
    </row>
    <row r="492" spans="1:56" x14ac:dyDescent="0.2">
      <c r="A492" s="27">
        <f t="shared" si="445"/>
        <v>488</v>
      </c>
      <c r="B492" s="28">
        <f t="shared" si="392"/>
        <v>488</v>
      </c>
      <c r="C492" s="27">
        <f t="shared" si="393"/>
        <v>40</v>
      </c>
      <c r="D492" s="28">
        <f t="shared" si="394"/>
        <v>60</v>
      </c>
      <c r="E492" s="29">
        <f t="shared" si="395"/>
        <v>0</v>
      </c>
      <c r="F492" s="30">
        <f t="shared" si="396"/>
        <v>2.4799857800929721E-3</v>
      </c>
      <c r="G492" s="31">
        <f t="shared" si="397"/>
        <v>2.0690076296325799E-4</v>
      </c>
      <c r="H492" s="32">
        <f t="shared" si="398"/>
        <v>0.02</v>
      </c>
      <c r="I492" s="32">
        <f t="shared" si="399"/>
        <v>0</v>
      </c>
      <c r="J492" s="33">
        <f t="shared" si="446"/>
        <v>0</v>
      </c>
      <c r="K492" s="30">
        <f t="shared" si="400"/>
        <v>0</v>
      </c>
      <c r="L492" s="33">
        <f t="shared" si="401"/>
        <v>0</v>
      </c>
      <c r="M492" s="30">
        <f t="shared" si="402"/>
        <v>0</v>
      </c>
      <c r="N492" s="33">
        <f t="shared" si="403"/>
        <v>0</v>
      </c>
      <c r="O492" s="31">
        <f t="shared" si="404"/>
        <v>0</v>
      </c>
      <c r="P492" s="33">
        <f t="shared" si="405"/>
        <v>0</v>
      </c>
      <c r="Q492" s="34">
        <f t="shared" si="447"/>
        <v>794819.0868392135</v>
      </c>
      <c r="R492" s="29">
        <f t="shared" si="406"/>
        <v>0</v>
      </c>
      <c r="S492" s="34">
        <f t="shared" si="407"/>
        <v>794819.0868392135</v>
      </c>
      <c r="T492" s="29">
        <f t="shared" si="408"/>
        <v>662.34923903267793</v>
      </c>
      <c r="U492" s="29">
        <f t="shared" si="409"/>
        <v>0</v>
      </c>
      <c r="V492" s="35">
        <f t="shared" si="410"/>
        <v>2.2759083925958379E-4</v>
      </c>
      <c r="W492" s="34">
        <f t="shared" si="411"/>
        <v>0</v>
      </c>
      <c r="X492" s="34">
        <f t="shared" si="412"/>
        <v>794156.73760018079</v>
      </c>
      <c r="Y492" s="36">
        <f t="shared" si="413"/>
        <v>-2.8031834406326839E-3</v>
      </c>
      <c r="Z492" s="34">
        <f t="shared" si="414"/>
        <v>-2226.1670161077022</v>
      </c>
      <c r="AA492" s="34">
        <f t="shared" si="415"/>
        <v>793043.65409212699</v>
      </c>
      <c r="AB492" s="34">
        <f t="shared" si="416"/>
        <v>0</v>
      </c>
      <c r="AC492" s="34">
        <f t="shared" si="417"/>
        <v>0</v>
      </c>
      <c r="AD492" s="34">
        <f t="shared" si="418"/>
        <v>0</v>
      </c>
      <c r="AE492" s="34">
        <f t="shared" si="419"/>
        <v>0</v>
      </c>
      <c r="AF492" s="34">
        <f t="shared" si="420"/>
        <v>0</v>
      </c>
      <c r="AG492" s="29">
        <f t="shared" si="421"/>
        <v>793043.65409212699</v>
      </c>
      <c r="AH492" s="34">
        <f t="shared" si="422"/>
        <v>0</v>
      </c>
      <c r="AI492" s="34">
        <f t="shared" si="423"/>
        <v>0</v>
      </c>
      <c r="AJ492" s="34">
        <f t="shared" si="424"/>
        <v>0</v>
      </c>
      <c r="AK492" s="34">
        <f t="shared" si="425"/>
        <v>0</v>
      </c>
      <c r="AL492" s="34">
        <f t="shared" si="426"/>
        <v>0</v>
      </c>
      <c r="AM492" s="34">
        <f t="shared" si="427"/>
        <v>0</v>
      </c>
      <c r="AN492" s="34">
        <f t="shared" si="428"/>
        <v>0</v>
      </c>
      <c r="AO492" s="34">
        <f t="shared" si="429"/>
        <v>0</v>
      </c>
      <c r="AP492" s="34">
        <f t="shared" si="430"/>
        <v>0</v>
      </c>
      <c r="AQ492" s="34">
        <f t="shared" si="431"/>
        <v>0</v>
      </c>
      <c r="AR492" s="34">
        <f t="shared" si="432"/>
        <v>0</v>
      </c>
      <c r="AS492" s="30">
        <f t="shared" si="433"/>
        <v>1.4987730219798525</v>
      </c>
      <c r="AT492" s="29">
        <f t="shared" si="434"/>
        <v>0</v>
      </c>
      <c r="AU492" s="29">
        <f t="shared" si="435"/>
        <v>0</v>
      </c>
      <c r="AV492" s="34">
        <f t="shared" si="436"/>
        <v>0</v>
      </c>
      <c r="AW492" s="34">
        <f t="shared" si="437"/>
        <v>0</v>
      </c>
      <c r="AX492" s="29">
        <f t="shared" si="438"/>
        <v>0</v>
      </c>
      <c r="AY492" s="34">
        <f t="shared" si="439"/>
        <v>0</v>
      </c>
      <c r="AZ492" s="37">
        <f t="shared" si="440"/>
        <v>0</v>
      </c>
      <c r="BA492" s="37">
        <f t="shared" si="441"/>
        <v>0</v>
      </c>
      <c r="BB492" s="35">
        <f t="shared" si="442"/>
        <v>1.0283306329852415E-3</v>
      </c>
      <c r="BC492" s="31">
        <f t="shared" si="443"/>
        <v>0.6055806649543235</v>
      </c>
      <c r="BD492" s="34">
        <f t="shared" si="444"/>
        <v>0</v>
      </c>
    </row>
    <row r="493" spans="1:56" x14ac:dyDescent="0.2">
      <c r="A493" s="27">
        <f t="shared" si="445"/>
        <v>489</v>
      </c>
      <c r="B493" s="28">
        <f t="shared" si="392"/>
        <v>489</v>
      </c>
      <c r="C493" s="27">
        <f t="shared" si="393"/>
        <v>40</v>
      </c>
      <c r="D493" s="28">
        <f t="shared" si="394"/>
        <v>60</v>
      </c>
      <c r="E493" s="29">
        <f t="shared" si="395"/>
        <v>0</v>
      </c>
      <c r="F493" s="30">
        <f t="shared" si="396"/>
        <v>2.4799857800929721E-3</v>
      </c>
      <c r="G493" s="31">
        <f t="shared" si="397"/>
        <v>2.0690076296325799E-4</v>
      </c>
      <c r="H493" s="32">
        <f t="shared" si="398"/>
        <v>0.02</v>
      </c>
      <c r="I493" s="32">
        <f t="shared" si="399"/>
        <v>0</v>
      </c>
      <c r="J493" s="33">
        <f t="shared" si="446"/>
        <v>0</v>
      </c>
      <c r="K493" s="30">
        <f t="shared" si="400"/>
        <v>0</v>
      </c>
      <c r="L493" s="33">
        <f t="shared" si="401"/>
        <v>0</v>
      </c>
      <c r="M493" s="30">
        <f t="shared" si="402"/>
        <v>0</v>
      </c>
      <c r="N493" s="33">
        <f t="shared" si="403"/>
        <v>0</v>
      </c>
      <c r="O493" s="31">
        <f t="shared" si="404"/>
        <v>0</v>
      </c>
      <c r="P493" s="33">
        <f t="shared" si="405"/>
        <v>0</v>
      </c>
      <c r="Q493" s="34">
        <f t="shared" si="447"/>
        <v>791930.57058407308</v>
      </c>
      <c r="R493" s="29">
        <f t="shared" si="406"/>
        <v>0</v>
      </c>
      <c r="S493" s="34">
        <f t="shared" si="407"/>
        <v>791930.57058407308</v>
      </c>
      <c r="T493" s="29">
        <f t="shared" si="408"/>
        <v>659.94214215339423</v>
      </c>
      <c r="U493" s="29">
        <f t="shared" si="409"/>
        <v>0</v>
      </c>
      <c r="V493" s="35">
        <f t="shared" si="410"/>
        <v>2.2759083925958379E-4</v>
      </c>
      <c r="W493" s="34">
        <f t="shared" si="411"/>
        <v>0</v>
      </c>
      <c r="X493" s="34">
        <f t="shared" si="412"/>
        <v>791270.62844191969</v>
      </c>
      <c r="Y493" s="36">
        <f t="shared" si="413"/>
        <v>2.2694858715635036E-2</v>
      </c>
      <c r="Z493" s="34">
        <f t="shared" si="414"/>
        <v>17957.775118321111</v>
      </c>
      <c r="AA493" s="34">
        <f t="shared" si="415"/>
        <v>800249.51600108028</v>
      </c>
      <c r="AB493" s="34">
        <f t="shared" si="416"/>
        <v>0</v>
      </c>
      <c r="AC493" s="34">
        <f t="shared" si="417"/>
        <v>0</v>
      </c>
      <c r="AD493" s="34">
        <f t="shared" si="418"/>
        <v>0</v>
      </c>
      <c r="AE493" s="34">
        <f t="shared" si="419"/>
        <v>0</v>
      </c>
      <c r="AF493" s="34">
        <f t="shared" si="420"/>
        <v>0</v>
      </c>
      <c r="AG493" s="29">
        <f t="shared" si="421"/>
        <v>800249.51600108028</v>
      </c>
      <c r="AH493" s="34">
        <f t="shared" si="422"/>
        <v>0</v>
      </c>
      <c r="AI493" s="34">
        <f t="shared" si="423"/>
        <v>0</v>
      </c>
      <c r="AJ493" s="34">
        <f t="shared" si="424"/>
        <v>0</v>
      </c>
      <c r="AK493" s="34">
        <f t="shared" si="425"/>
        <v>0</v>
      </c>
      <c r="AL493" s="34">
        <f t="shared" si="426"/>
        <v>0</v>
      </c>
      <c r="AM493" s="34">
        <f t="shared" si="427"/>
        <v>0</v>
      </c>
      <c r="AN493" s="34">
        <f t="shared" si="428"/>
        <v>0</v>
      </c>
      <c r="AO493" s="34">
        <f t="shared" si="429"/>
        <v>0</v>
      </c>
      <c r="AP493" s="34">
        <f t="shared" si="430"/>
        <v>0</v>
      </c>
      <c r="AQ493" s="34">
        <f t="shared" si="431"/>
        <v>0</v>
      </c>
      <c r="AR493" s="34">
        <f t="shared" si="432"/>
        <v>0</v>
      </c>
      <c r="AS493" s="30">
        <f t="shared" si="433"/>
        <v>1.5000163113263389</v>
      </c>
      <c r="AT493" s="29">
        <f t="shared" si="434"/>
        <v>0</v>
      </c>
      <c r="AU493" s="29">
        <f t="shared" si="435"/>
        <v>0</v>
      </c>
      <c r="AV493" s="34">
        <f t="shared" si="436"/>
        <v>0</v>
      </c>
      <c r="AW493" s="34">
        <f t="shared" si="437"/>
        <v>0</v>
      </c>
      <c r="AX493" s="29">
        <f t="shared" si="438"/>
        <v>0</v>
      </c>
      <c r="AY493" s="34">
        <f t="shared" si="439"/>
        <v>0</v>
      </c>
      <c r="AZ493" s="37">
        <f t="shared" si="440"/>
        <v>0</v>
      </c>
      <c r="BA493" s="37">
        <f t="shared" si="441"/>
        <v>0</v>
      </c>
      <c r="BB493" s="35">
        <f t="shared" si="442"/>
        <v>1.0283306329852415E-3</v>
      </c>
      <c r="BC493" s="31">
        <f t="shared" si="443"/>
        <v>0.60495856752764787</v>
      </c>
      <c r="BD493" s="34">
        <f t="shared" si="444"/>
        <v>0</v>
      </c>
    </row>
    <row r="494" spans="1:56" x14ac:dyDescent="0.2">
      <c r="A494" s="27">
        <f t="shared" si="445"/>
        <v>490</v>
      </c>
      <c r="B494" s="28">
        <f t="shared" si="392"/>
        <v>490</v>
      </c>
      <c r="C494" s="27">
        <f t="shared" si="393"/>
        <v>40</v>
      </c>
      <c r="D494" s="28">
        <f t="shared" si="394"/>
        <v>60</v>
      </c>
      <c r="E494" s="29">
        <f t="shared" si="395"/>
        <v>0</v>
      </c>
      <c r="F494" s="30">
        <f t="shared" si="396"/>
        <v>2.4799857800929721E-3</v>
      </c>
      <c r="G494" s="31">
        <f t="shared" si="397"/>
        <v>2.0690076296325799E-4</v>
      </c>
      <c r="H494" s="32">
        <f t="shared" si="398"/>
        <v>0.02</v>
      </c>
      <c r="I494" s="32">
        <f t="shared" si="399"/>
        <v>0</v>
      </c>
      <c r="J494" s="33">
        <f t="shared" si="446"/>
        <v>0</v>
      </c>
      <c r="K494" s="30">
        <f t="shared" si="400"/>
        <v>0</v>
      </c>
      <c r="L494" s="33">
        <f t="shared" si="401"/>
        <v>0</v>
      </c>
      <c r="M494" s="30">
        <f t="shared" si="402"/>
        <v>0</v>
      </c>
      <c r="N494" s="33">
        <f t="shared" si="403"/>
        <v>0</v>
      </c>
      <c r="O494" s="31">
        <f t="shared" si="404"/>
        <v>0</v>
      </c>
      <c r="P494" s="33">
        <f t="shared" si="405"/>
        <v>0</v>
      </c>
      <c r="Q494" s="34">
        <f t="shared" si="447"/>
        <v>809228.40356024075</v>
      </c>
      <c r="R494" s="29">
        <f t="shared" si="406"/>
        <v>0</v>
      </c>
      <c r="S494" s="34">
        <f t="shared" si="407"/>
        <v>809228.40356024075</v>
      </c>
      <c r="T494" s="29">
        <f t="shared" si="408"/>
        <v>674.3570029668673</v>
      </c>
      <c r="U494" s="29">
        <f t="shared" si="409"/>
        <v>0</v>
      </c>
      <c r="V494" s="35">
        <f t="shared" si="410"/>
        <v>2.2759083925958379E-4</v>
      </c>
      <c r="W494" s="34">
        <f t="shared" si="411"/>
        <v>0</v>
      </c>
      <c r="X494" s="34">
        <f t="shared" si="412"/>
        <v>808554.04655727383</v>
      </c>
      <c r="Y494" s="36">
        <f t="shared" si="413"/>
        <v>-7.9553838064919669E-3</v>
      </c>
      <c r="Z494" s="34">
        <f t="shared" si="414"/>
        <v>-6432.3577686552881</v>
      </c>
      <c r="AA494" s="34">
        <f t="shared" si="415"/>
        <v>805337.86767294619</v>
      </c>
      <c r="AB494" s="34">
        <f t="shared" si="416"/>
        <v>0</v>
      </c>
      <c r="AC494" s="34">
        <f t="shared" si="417"/>
        <v>0</v>
      </c>
      <c r="AD494" s="34">
        <f t="shared" si="418"/>
        <v>0</v>
      </c>
      <c r="AE494" s="34">
        <f t="shared" si="419"/>
        <v>0</v>
      </c>
      <c r="AF494" s="34">
        <f t="shared" si="420"/>
        <v>0</v>
      </c>
      <c r="AG494" s="29">
        <f t="shared" si="421"/>
        <v>805337.86767294619</v>
      </c>
      <c r="AH494" s="34">
        <f t="shared" si="422"/>
        <v>0</v>
      </c>
      <c r="AI494" s="34">
        <f t="shared" si="423"/>
        <v>0</v>
      </c>
      <c r="AJ494" s="34">
        <f t="shared" si="424"/>
        <v>0</v>
      </c>
      <c r="AK494" s="34">
        <f t="shared" si="425"/>
        <v>0</v>
      </c>
      <c r="AL494" s="34">
        <f t="shared" si="426"/>
        <v>0</v>
      </c>
      <c r="AM494" s="34">
        <f t="shared" si="427"/>
        <v>0</v>
      </c>
      <c r="AN494" s="34">
        <f t="shared" si="428"/>
        <v>0</v>
      </c>
      <c r="AO494" s="34">
        <f t="shared" si="429"/>
        <v>0</v>
      </c>
      <c r="AP494" s="34">
        <f t="shared" si="430"/>
        <v>0</v>
      </c>
      <c r="AQ494" s="34">
        <f t="shared" si="431"/>
        <v>0</v>
      </c>
      <c r="AR494" s="34">
        <f t="shared" si="432"/>
        <v>0</v>
      </c>
      <c r="AS494" s="30">
        <f t="shared" si="433"/>
        <v>1.5012606320287252</v>
      </c>
      <c r="AT494" s="29">
        <f t="shared" si="434"/>
        <v>0</v>
      </c>
      <c r="AU494" s="29">
        <f t="shared" si="435"/>
        <v>0</v>
      </c>
      <c r="AV494" s="34">
        <f t="shared" si="436"/>
        <v>0</v>
      </c>
      <c r="AW494" s="34">
        <f t="shared" si="437"/>
        <v>0</v>
      </c>
      <c r="AX494" s="29">
        <f t="shared" si="438"/>
        <v>0</v>
      </c>
      <c r="AY494" s="34">
        <f t="shared" si="439"/>
        <v>0</v>
      </c>
      <c r="AZ494" s="37">
        <f t="shared" si="440"/>
        <v>0</v>
      </c>
      <c r="BA494" s="37">
        <f t="shared" si="441"/>
        <v>0</v>
      </c>
      <c r="BB494" s="35">
        <f t="shared" si="442"/>
        <v>1.0283306329852415E-3</v>
      </c>
      <c r="BC494" s="31">
        <f t="shared" si="443"/>
        <v>0.60433710916564309</v>
      </c>
      <c r="BD494" s="34">
        <f t="shared" si="444"/>
        <v>0</v>
      </c>
    </row>
    <row r="495" spans="1:56" x14ac:dyDescent="0.2">
      <c r="A495" s="27">
        <f t="shared" si="445"/>
        <v>491</v>
      </c>
      <c r="B495" s="28">
        <f t="shared" si="392"/>
        <v>491</v>
      </c>
      <c r="C495" s="27">
        <f t="shared" si="393"/>
        <v>40</v>
      </c>
      <c r="D495" s="28">
        <f t="shared" si="394"/>
        <v>60</v>
      </c>
      <c r="E495" s="29">
        <f t="shared" si="395"/>
        <v>0</v>
      </c>
      <c r="F495" s="30">
        <f t="shared" si="396"/>
        <v>2.4799857800929721E-3</v>
      </c>
      <c r="G495" s="31">
        <f t="shared" si="397"/>
        <v>2.0690076296325799E-4</v>
      </c>
      <c r="H495" s="32">
        <f t="shared" si="398"/>
        <v>0.02</v>
      </c>
      <c r="I495" s="32">
        <f t="shared" si="399"/>
        <v>0</v>
      </c>
      <c r="J495" s="33">
        <f t="shared" si="446"/>
        <v>0</v>
      </c>
      <c r="K495" s="30">
        <f t="shared" si="400"/>
        <v>0</v>
      </c>
      <c r="L495" s="33">
        <f t="shared" si="401"/>
        <v>0</v>
      </c>
      <c r="M495" s="30">
        <f t="shared" si="402"/>
        <v>0</v>
      </c>
      <c r="N495" s="33">
        <f t="shared" si="403"/>
        <v>0</v>
      </c>
      <c r="O495" s="31">
        <f t="shared" si="404"/>
        <v>0</v>
      </c>
      <c r="P495" s="33">
        <f t="shared" si="405"/>
        <v>0</v>
      </c>
      <c r="Q495" s="34">
        <f t="shared" si="447"/>
        <v>802121.68878861854</v>
      </c>
      <c r="R495" s="29">
        <f t="shared" si="406"/>
        <v>0</v>
      </c>
      <c r="S495" s="34">
        <f t="shared" si="407"/>
        <v>802121.68878861854</v>
      </c>
      <c r="T495" s="29">
        <f t="shared" si="408"/>
        <v>668.43474065718215</v>
      </c>
      <c r="U495" s="29">
        <f t="shared" si="409"/>
        <v>0</v>
      </c>
      <c r="V495" s="35">
        <f t="shared" si="410"/>
        <v>2.2759083925958379E-4</v>
      </c>
      <c r="W495" s="34">
        <f t="shared" si="411"/>
        <v>0</v>
      </c>
      <c r="X495" s="34">
        <f t="shared" si="412"/>
        <v>801453.25404796132</v>
      </c>
      <c r="Y495" s="36">
        <f t="shared" si="413"/>
        <v>5.3526799319791873E-3</v>
      </c>
      <c r="Z495" s="34">
        <f t="shared" si="414"/>
        <v>4289.9227493619401</v>
      </c>
      <c r="AA495" s="34">
        <f t="shared" si="415"/>
        <v>803598.2154226423</v>
      </c>
      <c r="AB495" s="34">
        <f t="shared" si="416"/>
        <v>0</v>
      </c>
      <c r="AC495" s="34">
        <f t="shared" si="417"/>
        <v>0</v>
      </c>
      <c r="AD495" s="34">
        <f t="shared" si="418"/>
        <v>0</v>
      </c>
      <c r="AE495" s="34">
        <f t="shared" si="419"/>
        <v>0</v>
      </c>
      <c r="AF495" s="34">
        <f t="shared" si="420"/>
        <v>0</v>
      </c>
      <c r="AG495" s="29">
        <f t="shared" si="421"/>
        <v>803598.2154226423</v>
      </c>
      <c r="AH495" s="34">
        <f t="shared" si="422"/>
        <v>0</v>
      </c>
      <c r="AI495" s="34">
        <f t="shared" si="423"/>
        <v>0</v>
      </c>
      <c r="AJ495" s="34">
        <f t="shared" si="424"/>
        <v>0</v>
      </c>
      <c r="AK495" s="34">
        <f t="shared" si="425"/>
        <v>0</v>
      </c>
      <c r="AL495" s="34">
        <f t="shared" si="426"/>
        <v>0</v>
      </c>
      <c r="AM495" s="34">
        <f t="shared" si="427"/>
        <v>0</v>
      </c>
      <c r="AN495" s="34">
        <f t="shared" si="428"/>
        <v>0</v>
      </c>
      <c r="AO495" s="34">
        <f t="shared" si="429"/>
        <v>0</v>
      </c>
      <c r="AP495" s="34">
        <f t="shared" si="430"/>
        <v>0</v>
      </c>
      <c r="AQ495" s="34">
        <f t="shared" si="431"/>
        <v>0</v>
      </c>
      <c r="AR495" s="34">
        <f t="shared" si="432"/>
        <v>0</v>
      </c>
      <c r="AS495" s="30">
        <f t="shared" si="433"/>
        <v>1.5025059849425604</v>
      </c>
      <c r="AT495" s="29">
        <f t="shared" si="434"/>
        <v>0</v>
      </c>
      <c r="AU495" s="29">
        <f t="shared" si="435"/>
        <v>0</v>
      </c>
      <c r="AV495" s="34">
        <f t="shared" si="436"/>
        <v>0</v>
      </c>
      <c r="AW495" s="34">
        <f t="shared" si="437"/>
        <v>0</v>
      </c>
      <c r="AX495" s="29">
        <f t="shared" si="438"/>
        <v>0</v>
      </c>
      <c r="AY495" s="34">
        <f t="shared" si="439"/>
        <v>0</v>
      </c>
      <c r="AZ495" s="37">
        <f t="shared" si="440"/>
        <v>0</v>
      </c>
      <c r="BA495" s="37">
        <f t="shared" si="441"/>
        <v>0</v>
      </c>
      <c r="BB495" s="35">
        <f t="shared" si="442"/>
        <v>1.0283306329852415E-3</v>
      </c>
      <c r="BC495" s="31">
        <f t="shared" si="443"/>
        <v>0.60371628921181431</v>
      </c>
      <c r="BD495" s="34">
        <f t="shared" si="444"/>
        <v>0</v>
      </c>
    </row>
    <row r="496" spans="1:56" x14ac:dyDescent="0.2">
      <c r="A496" s="27">
        <f t="shared" si="445"/>
        <v>492</v>
      </c>
      <c r="B496" s="28">
        <f t="shared" si="392"/>
        <v>492</v>
      </c>
      <c r="C496" s="27">
        <f t="shared" si="393"/>
        <v>41</v>
      </c>
      <c r="D496" s="28">
        <f t="shared" si="394"/>
        <v>61</v>
      </c>
      <c r="E496" s="29">
        <f t="shared" si="395"/>
        <v>0</v>
      </c>
      <c r="F496" s="30">
        <f t="shared" si="396"/>
        <v>2.6747177672513541E-3</v>
      </c>
      <c r="G496" s="31">
        <f t="shared" si="397"/>
        <v>2.2316686257484175E-4</v>
      </c>
      <c r="H496" s="32">
        <f t="shared" si="398"/>
        <v>0.02</v>
      </c>
      <c r="I496" s="32">
        <f t="shared" si="399"/>
        <v>0</v>
      </c>
      <c r="J496" s="33">
        <f t="shared" si="446"/>
        <v>0</v>
      </c>
      <c r="K496" s="30">
        <f t="shared" si="400"/>
        <v>0</v>
      </c>
      <c r="L496" s="33">
        <f t="shared" si="401"/>
        <v>0</v>
      </c>
      <c r="M496" s="30">
        <f t="shared" si="402"/>
        <v>0</v>
      </c>
      <c r="N496" s="33">
        <f t="shared" si="403"/>
        <v>0</v>
      </c>
      <c r="O496" s="31">
        <f t="shared" si="404"/>
        <v>0</v>
      </c>
      <c r="P496" s="33">
        <f t="shared" si="405"/>
        <v>0</v>
      </c>
      <c r="Q496" s="34">
        <f t="shared" si="447"/>
        <v>805743.17679732328</v>
      </c>
      <c r="R496" s="29">
        <f t="shared" si="406"/>
        <v>0</v>
      </c>
      <c r="S496" s="34">
        <f t="shared" si="407"/>
        <v>805743.17679732328</v>
      </c>
      <c r="T496" s="29">
        <f t="shared" si="408"/>
        <v>671.45264733110275</v>
      </c>
      <c r="U496" s="29">
        <f t="shared" si="409"/>
        <v>0</v>
      </c>
      <c r="V496" s="35">
        <f t="shared" si="410"/>
        <v>2.4548354883232595E-4</v>
      </c>
      <c r="W496" s="34">
        <f t="shared" si="411"/>
        <v>0</v>
      </c>
      <c r="X496" s="34">
        <f t="shared" si="412"/>
        <v>805071.72414999222</v>
      </c>
      <c r="Y496" s="36">
        <f t="shared" si="413"/>
        <v>-4.0069817565011601E-3</v>
      </c>
      <c r="Z496" s="34">
        <f t="shared" si="414"/>
        <v>-3225.9077113439535</v>
      </c>
      <c r="AA496" s="34">
        <f t="shared" si="415"/>
        <v>803458.7702943203</v>
      </c>
      <c r="AB496" s="34">
        <f t="shared" si="416"/>
        <v>0</v>
      </c>
      <c r="AC496" s="34">
        <f t="shared" si="417"/>
        <v>0</v>
      </c>
      <c r="AD496" s="34">
        <f t="shared" si="418"/>
        <v>0</v>
      </c>
      <c r="AE496" s="34">
        <f t="shared" si="419"/>
        <v>0</v>
      </c>
      <c r="AF496" s="34">
        <f t="shared" si="420"/>
        <v>0</v>
      </c>
      <c r="AG496" s="29">
        <f t="shared" si="421"/>
        <v>803458.7702943203</v>
      </c>
      <c r="AH496" s="34">
        <f t="shared" si="422"/>
        <v>0</v>
      </c>
      <c r="AI496" s="34">
        <f t="shared" si="423"/>
        <v>0</v>
      </c>
      <c r="AJ496" s="34">
        <f t="shared" si="424"/>
        <v>0</v>
      </c>
      <c r="AK496" s="34">
        <f t="shared" si="425"/>
        <v>0</v>
      </c>
      <c r="AL496" s="34">
        <f t="shared" si="426"/>
        <v>0</v>
      </c>
      <c r="AM496" s="34">
        <f t="shared" si="427"/>
        <v>0</v>
      </c>
      <c r="AN496" s="34">
        <f t="shared" si="428"/>
        <v>0</v>
      </c>
      <c r="AO496" s="34">
        <f t="shared" si="429"/>
        <v>0</v>
      </c>
      <c r="AP496" s="34">
        <f t="shared" si="430"/>
        <v>0</v>
      </c>
      <c r="AQ496" s="34">
        <f t="shared" si="431"/>
        <v>0</v>
      </c>
      <c r="AR496" s="34">
        <f t="shared" si="432"/>
        <v>0</v>
      </c>
      <c r="AS496" s="30">
        <f t="shared" si="433"/>
        <v>1.5037523709241039</v>
      </c>
      <c r="AT496" s="29">
        <f t="shared" si="434"/>
        <v>0</v>
      </c>
      <c r="AU496" s="29">
        <f t="shared" si="435"/>
        <v>0</v>
      </c>
      <c r="AV496" s="34">
        <f t="shared" si="436"/>
        <v>0</v>
      </c>
      <c r="AW496" s="34">
        <f t="shared" si="437"/>
        <v>0</v>
      </c>
      <c r="AX496" s="29">
        <f t="shared" si="438"/>
        <v>0</v>
      </c>
      <c r="AY496" s="34">
        <f t="shared" si="439"/>
        <v>0</v>
      </c>
      <c r="AZ496" s="37">
        <f t="shared" si="440"/>
        <v>0</v>
      </c>
      <c r="BA496" s="37">
        <f t="shared" si="441"/>
        <v>0</v>
      </c>
      <c r="BB496" s="35">
        <f t="shared" si="442"/>
        <v>1.0233867094635585E-3</v>
      </c>
      <c r="BC496" s="31">
        <f t="shared" si="443"/>
        <v>0.60456336280107414</v>
      </c>
      <c r="BD496" s="34">
        <f t="shared" si="444"/>
        <v>0</v>
      </c>
    </row>
    <row r="497" spans="1:56" x14ac:dyDescent="0.2">
      <c r="A497" s="27">
        <f t="shared" si="445"/>
        <v>493</v>
      </c>
      <c r="B497" s="28">
        <f t="shared" si="392"/>
        <v>493</v>
      </c>
      <c r="C497" s="27">
        <f t="shared" si="393"/>
        <v>41</v>
      </c>
      <c r="D497" s="28">
        <f t="shared" si="394"/>
        <v>61</v>
      </c>
      <c r="E497" s="29">
        <f t="shared" si="395"/>
        <v>0</v>
      </c>
      <c r="F497" s="30">
        <f t="shared" si="396"/>
        <v>2.6747177672513541E-3</v>
      </c>
      <c r="G497" s="31">
        <f t="shared" si="397"/>
        <v>2.2316686257484175E-4</v>
      </c>
      <c r="H497" s="32">
        <f t="shared" si="398"/>
        <v>0.02</v>
      </c>
      <c r="I497" s="32">
        <f t="shared" si="399"/>
        <v>0</v>
      </c>
      <c r="J497" s="33">
        <f t="shared" si="446"/>
        <v>0</v>
      </c>
      <c r="K497" s="30">
        <f t="shared" si="400"/>
        <v>0</v>
      </c>
      <c r="L497" s="33">
        <f t="shared" si="401"/>
        <v>0</v>
      </c>
      <c r="M497" s="30">
        <f t="shared" si="402"/>
        <v>0</v>
      </c>
      <c r="N497" s="33">
        <f t="shared" si="403"/>
        <v>0</v>
      </c>
      <c r="O497" s="31">
        <f t="shared" si="404"/>
        <v>0</v>
      </c>
      <c r="P497" s="33">
        <f t="shared" si="405"/>
        <v>0</v>
      </c>
      <c r="Q497" s="34">
        <f t="shared" si="447"/>
        <v>801845.81643864827</v>
      </c>
      <c r="R497" s="29">
        <f t="shared" si="406"/>
        <v>0</v>
      </c>
      <c r="S497" s="34">
        <f t="shared" si="407"/>
        <v>801845.81643864827</v>
      </c>
      <c r="T497" s="29">
        <f t="shared" si="408"/>
        <v>668.20484703220689</v>
      </c>
      <c r="U497" s="29">
        <f t="shared" si="409"/>
        <v>0</v>
      </c>
      <c r="V497" s="35">
        <f t="shared" si="410"/>
        <v>2.4548354883232595E-4</v>
      </c>
      <c r="W497" s="34">
        <f t="shared" si="411"/>
        <v>0</v>
      </c>
      <c r="X497" s="34">
        <f t="shared" si="412"/>
        <v>801177.61159161606</v>
      </c>
      <c r="Y497" s="36">
        <f t="shared" si="413"/>
        <v>1.4190149743609215E-2</v>
      </c>
      <c r="Z497" s="34">
        <f t="shared" si="414"/>
        <v>11368.830279712214</v>
      </c>
      <c r="AA497" s="34">
        <f t="shared" si="415"/>
        <v>806862.02673147211</v>
      </c>
      <c r="AB497" s="34">
        <f t="shared" si="416"/>
        <v>0</v>
      </c>
      <c r="AC497" s="34">
        <f t="shared" si="417"/>
        <v>0</v>
      </c>
      <c r="AD497" s="34">
        <f t="shared" si="418"/>
        <v>0</v>
      </c>
      <c r="AE497" s="34">
        <f t="shared" si="419"/>
        <v>0</v>
      </c>
      <c r="AF497" s="34">
        <f t="shared" si="420"/>
        <v>0</v>
      </c>
      <c r="AG497" s="29">
        <f t="shared" si="421"/>
        <v>806862.02673147211</v>
      </c>
      <c r="AH497" s="34">
        <f t="shared" si="422"/>
        <v>0</v>
      </c>
      <c r="AI497" s="34">
        <f t="shared" si="423"/>
        <v>0</v>
      </c>
      <c r="AJ497" s="34">
        <f t="shared" si="424"/>
        <v>0</v>
      </c>
      <c r="AK497" s="34">
        <f t="shared" si="425"/>
        <v>0</v>
      </c>
      <c r="AL497" s="34">
        <f t="shared" si="426"/>
        <v>0</v>
      </c>
      <c r="AM497" s="34">
        <f t="shared" si="427"/>
        <v>0</v>
      </c>
      <c r="AN497" s="34">
        <f t="shared" si="428"/>
        <v>0</v>
      </c>
      <c r="AO497" s="34">
        <f t="shared" si="429"/>
        <v>0</v>
      </c>
      <c r="AP497" s="34">
        <f t="shared" si="430"/>
        <v>0</v>
      </c>
      <c r="AQ497" s="34">
        <f t="shared" si="431"/>
        <v>0</v>
      </c>
      <c r="AR497" s="34">
        <f t="shared" si="432"/>
        <v>0</v>
      </c>
      <c r="AS497" s="30">
        <f t="shared" si="433"/>
        <v>1.5049997908303236</v>
      </c>
      <c r="AT497" s="29">
        <f t="shared" si="434"/>
        <v>0</v>
      </c>
      <c r="AU497" s="29">
        <f t="shared" si="435"/>
        <v>0</v>
      </c>
      <c r="AV497" s="34">
        <f t="shared" si="436"/>
        <v>0</v>
      </c>
      <c r="AW497" s="34">
        <f t="shared" si="437"/>
        <v>0</v>
      </c>
      <c r="AX497" s="29">
        <f t="shared" si="438"/>
        <v>0</v>
      </c>
      <c r="AY497" s="34">
        <f t="shared" si="439"/>
        <v>0</v>
      </c>
      <c r="AZ497" s="37">
        <f t="shared" si="440"/>
        <v>0</v>
      </c>
      <c r="BA497" s="37">
        <f t="shared" si="441"/>
        <v>0</v>
      </c>
      <c r="BB497" s="35">
        <f t="shared" si="442"/>
        <v>1.0233867094635585E-3</v>
      </c>
      <c r="BC497" s="31">
        <f t="shared" si="443"/>
        <v>0.60394529321475521</v>
      </c>
      <c r="BD497" s="34">
        <f t="shared" si="444"/>
        <v>0</v>
      </c>
    </row>
    <row r="498" spans="1:56" x14ac:dyDescent="0.2">
      <c r="A498" s="27">
        <f t="shared" si="445"/>
        <v>494</v>
      </c>
      <c r="B498" s="28">
        <f t="shared" si="392"/>
        <v>494</v>
      </c>
      <c r="C498" s="27">
        <f t="shared" si="393"/>
        <v>41</v>
      </c>
      <c r="D498" s="28">
        <f t="shared" si="394"/>
        <v>61</v>
      </c>
      <c r="E498" s="29">
        <f t="shared" si="395"/>
        <v>0</v>
      </c>
      <c r="F498" s="30">
        <f t="shared" si="396"/>
        <v>2.6747177672513541E-3</v>
      </c>
      <c r="G498" s="31">
        <f t="shared" si="397"/>
        <v>2.2316686257484175E-4</v>
      </c>
      <c r="H498" s="32">
        <f t="shared" si="398"/>
        <v>0.02</v>
      </c>
      <c r="I498" s="32">
        <f t="shared" si="399"/>
        <v>0</v>
      </c>
      <c r="J498" s="33">
        <f t="shared" si="446"/>
        <v>0</v>
      </c>
      <c r="K498" s="30">
        <f t="shared" si="400"/>
        <v>0</v>
      </c>
      <c r="L498" s="33">
        <f t="shared" si="401"/>
        <v>0</v>
      </c>
      <c r="M498" s="30">
        <f t="shared" si="402"/>
        <v>0</v>
      </c>
      <c r="N498" s="33">
        <f t="shared" si="403"/>
        <v>0</v>
      </c>
      <c r="O498" s="31">
        <f t="shared" si="404"/>
        <v>0</v>
      </c>
      <c r="P498" s="33">
        <f t="shared" si="405"/>
        <v>0</v>
      </c>
      <c r="Q498" s="34">
        <f t="shared" si="447"/>
        <v>812546.44187132828</v>
      </c>
      <c r="R498" s="29">
        <f t="shared" si="406"/>
        <v>0</v>
      </c>
      <c r="S498" s="34">
        <f t="shared" si="407"/>
        <v>812546.44187132828</v>
      </c>
      <c r="T498" s="29">
        <f t="shared" si="408"/>
        <v>677.12203489277363</v>
      </c>
      <c r="U498" s="29">
        <f t="shared" si="409"/>
        <v>0</v>
      </c>
      <c r="V498" s="35">
        <f t="shared" si="410"/>
        <v>2.4548354883232595E-4</v>
      </c>
      <c r="W498" s="34">
        <f t="shared" si="411"/>
        <v>0</v>
      </c>
      <c r="X498" s="34">
        <f t="shared" si="412"/>
        <v>811869.31983643549</v>
      </c>
      <c r="Y498" s="36">
        <f t="shared" si="413"/>
        <v>-1.0417035330766544E-2</v>
      </c>
      <c r="Z498" s="34">
        <f t="shared" si="414"/>
        <v>-8457.2713887015525</v>
      </c>
      <c r="AA498" s="34">
        <f t="shared" si="415"/>
        <v>807640.68414208468</v>
      </c>
      <c r="AB498" s="34">
        <f t="shared" si="416"/>
        <v>0</v>
      </c>
      <c r="AC498" s="34">
        <f t="shared" si="417"/>
        <v>0</v>
      </c>
      <c r="AD498" s="34">
        <f t="shared" si="418"/>
        <v>0</v>
      </c>
      <c r="AE498" s="34">
        <f t="shared" si="419"/>
        <v>0</v>
      </c>
      <c r="AF498" s="34">
        <f t="shared" si="420"/>
        <v>0</v>
      </c>
      <c r="AG498" s="29">
        <f t="shared" si="421"/>
        <v>807640.68414208468</v>
      </c>
      <c r="AH498" s="34">
        <f t="shared" si="422"/>
        <v>0</v>
      </c>
      <c r="AI498" s="34">
        <f t="shared" si="423"/>
        <v>0</v>
      </c>
      <c r="AJ498" s="34">
        <f t="shared" si="424"/>
        <v>0</v>
      </c>
      <c r="AK498" s="34">
        <f t="shared" si="425"/>
        <v>0</v>
      </c>
      <c r="AL498" s="34">
        <f t="shared" si="426"/>
        <v>0</v>
      </c>
      <c r="AM498" s="34">
        <f t="shared" si="427"/>
        <v>0</v>
      </c>
      <c r="AN498" s="34">
        <f t="shared" si="428"/>
        <v>0</v>
      </c>
      <c r="AO498" s="34">
        <f t="shared" si="429"/>
        <v>0</v>
      </c>
      <c r="AP498" s="34">
        <f t="shared" si="430"/>
        <v>0</v>
      </c>
      <c r="AQ498" s="34">
        <f t="shared" si="431"/>
        <v>0</v>
      </c>
      <c r="AR498" s="34">
        <f t="shared" si="432"/>
        <v>0</v>
      </c>
      <c r="AS498" s="30">
        <f t="shared" si="433"/>
        <v>1.5062482455189006</v>
      </c>
      <c r="AT498" s="29">
        <f t="shared" si="434"/>
        <v>0</v>
      </c>
      <c r="AU498" s="29">
        <f t="shared" si="435"/>
        <v>0</v>
      </c>
      <c r="AV498" s="34">
        <f t="shared" si="436"/>
        <v>0</v>
      </c>
      <c r="AW498" s="34">
        <f t="shared" si="437"/>
        <v>0</v>
      </c>
      <c r="AX498" s="29">
        <f t="shared" si="438"/>
        <v>0</v>
      </c>
      <c r="AY498" s="34">
        <f t="shared" si="439"/>
        <v>0</v>
      </c>
      <c r="AZ498" s="37">
        <f t="shared" si="440"/>
        <v>0</v>
      </c>
      <c r="BA498" s="37">
        <f t="shared" si="441"/>
        <v>0</v>
      </c>
      <c r="BB498" s="35">
        <f t="shared" si="442"/>
        <v>1.0233867094635585E-3</v>
      </c>
      <c r="BC498" s="31">
        <f t="shared" si="443"/>
        <v>0.60332785550598111</v>
      </c>
      <c r="BD498" s="34">
        <f t="shared" si="444"/>
        <v>0</v>
      </c>
    </row>
    <row r="499" spans="1:56" x14ac:dyDescent="0.2">
      <c r="A499" s="27">
        <f t="shared" si="445"/>
        <v>495</v>
      </c>
      <c r="B499" s="28">
        <f t="shared" si="392"/>
        <v>495</v>
      </c>
      <c r="C499" s="27">
        <f t="shared" si="393"/>
        <v>41</v>
      </c>
      <c r="D499" s="28">
        <f t="shared" si="394"/>
        <v>61</v>
      </c>
      <c r="E499" s="29">
        <f t="shared" si="395"/>
        <v>0</v>
      </c>
      <c r="F499" s="30">
        <f t="shared" si="396"/>
        <v>2.6747177672513541E-3</v>
      </c>
      <c r="G499" s="31">
        <f t="shared" si="397"/>
        <v>2.2316686257484175E-4</v>
      </c>
      <c r="H499" s="32">
        <f t="shared" si="398"/>
        <v>0.02</v>
      </c>
      <c r="I499" s="32">
        <f t="shared" si="399"/>
        <v>0</v>
      </c>
      <c r="J499" s="33">
        <f t="shared" si="446"/>
        <v>0</v>
      </c>
      <c r="K499" s="30">
        <f t="shared" si="400"/>
        <v>0</v>
      </c>
      <c r="L499" s="33">
        <f t="shared" si="401"/>
        <v>0</v>
      </c>
      <c r="M499" s="30">
        <f t="shared" si="402"/>
        <v>0</v>
      </c>
      <c r="N499" s="33">
        <f t="shared" si="403"/>
        <v>0</v>
      </c>
      <c r="O499" s="31">
        <f t="shared" si="404"/>
        <v>0</v>
      </c>
      <c r="P499" s="33">
        <f t="shared" si="405"/>
        <v>0</v>
      </c>
      <c r="Q499" s="34">
        <f t="shared" si="447"/>
        <v>803412.04844773398</v>
      </c>
      <c r="R499" s="29">
        <f t="shared" si="406"/>
        <v>0</v>
      </c>
      <c r="S499" s="34">
        <f t="shared" si="407"/>
        <v>803412.04844773398</v>
      </c>
      <c r="T499" s="29">
        <f t="shared" si="408"/>
        <v>669.51004037311168</v>
      </c>
      <c r="U499" s="29">
        <f t="shared" si="409"/>
        <v>0</v>
      </c>
      <c r="V499" s="35">
        <f t="shared" si="410"/>
        <v>2.4548354883232595E-4</v>
      </c>
      <c r="W499" s="34">
        <f t="shared" si="411"/>
        <v>0</v>
      </c>
      <c r="X499" s="34">
        <f t="shared" si="412"/>
        <v>802742.5384073609</v>
      </c>
      <c r="Y499" s="36">
        <f t="shared" si="413"/>
        <v>-4.0681839134072417E-3</v>
      </c>
      <c r="Z499" s="34">
        <f t="shared" si="414"/>
        <v>-3265.7042813565204</v>
      </c>
      <c r="AA499" s="34">
        <f t="shared" si="415"/>
        <v>801109.68626668269</v>
      </c>
      <c r="AB499" s="34">
        <f t="shared" si="416"/>
        <v>0</v>
      </c>
      <c r="AC499" s="34">
        <f t="shared" si="417"/>
        <v>0</v>
      </c>
      <c r="AD499" s="34">
        <f t="shared" si="418"/>
        <v>0</v>
      </c>
      <c r="AE499" s="34">
        <f t="shared" si="419"/>
        <v>0</v>
      </c>
      <c r="AF499" s="34">
        <f t="shared" si="420"/>
        <v>0</v>
      </c>
      <c r="AG499" s="29">
        <f t="shared" si="421"/>
        <v>801109.68626668269</v>
      </c>
      <c r="AH499" s="34">
        <f t="shared" si="422"/>
        <v>0</v>
      </c>
      <c r="AI499" s="34">
        <f t="shared" si="423"/>
        <v>0</v>
      </c>
      <c r="AJ499" s="34">
        <f t="shared" si="424"/>
        <v>0</v>
      </c>
      <c r="AK499" s="34">
        <f t="shared" si="425"/>
        <v>0</v>
      </c>
      <c r="AL499" s="34">
        <f t="shared" si="426"/>
        <v>0</v>
      </c>
      <c r="AM499" s="34">
        <f t="shared" si="427"/>
        <v>0</v>
      </c>
      <c r="AN499" s="34">
        <f t="shared" si="428"/>
        <v>0</v>
      </c>
      <c r="AO499" s="34">
        <f t="shared" si="429"/>
        <v>0</v>
      </c>
      <c r="AP499" s="34">
        <f t="shared" si="430"/>
        <v>0</v>
      </c>
      <c r="AQ499" s="34">
        <f t="shared" si="431"/>
        <v>0</v>
      </c>
      <c r="AR499" s="34">
        <f t="shared" si="432"/>
        <v>0</v>
      </c>
      <c r="AS499" s="30">
        <f t="shared" si="433"/>
        <v>1.5074977358482258</v>
      </c>
      <c r="AT499" s="29">
        <f t="shared" si="434"/>
        <v>0</v>
      </c>
      <c r="AU499" s="29">
        <f t="shared" si="435"/>
        <v>0</v>
      </c>
      <c r="AV499" s="34">
        <f t="shared" si="436"/>
        <v>0</v>
      </c>
      <c r="AW499" s="34">
        <f t="shared" si="437"/>
        <v>0</v>
      </c>
      <c r="AX499" s="29">
        <f t="shared" si="438"/>
        <v>0</v>
      </c>
      <c r="AY499" s="34">
        <f t="shared" si="439"/>
        <v>0</v>
      </c>
      <c r="AZ499" s="37">
        <f t="shared" si="440"/>
        <v>0</v>
      </c>
      <c r="BA499" s="37">
        <f t="shared" si="441"/>
        <v>0</v>
      </c>
      <c r="BB499" s="35">
        <f t="shared" si="442"/>
        <v>1.0233867094635585E-3</v>
      </c>
      <c r="BC499" s="31">
        <f t="shared" si="443"/>
        <v>0.60271104902875816</v>
      </c>
      <c r="BD499" s="34">
        <f t="shared" si="444"/>
        <v>0</v>
      </c>
    </row>
    <row r="500" spans="1:56" x14ac:dyDescent="0.2">
      <c r="A500" s="27">
        <f t="shared" si="445"/>
        <v>496</v>
      </c>
      <c r="B500" s="28">
        <f t="shared" si="392"/>
        <v>496</v>
      </c>
      <c r="C500" s="27">
        <f t="shared" si="393"/>
        <v>41</v>
      </c>
      <c r="D500" s="28">
        <f t="shared" si="394"/>
        <v>61</v>
      </c>
      <c r="E500" s="29">
        <f t="shared" si="395"/>
        <v>0</v>
      </c>
      <c r="F500" s="30">
        <f t="shared" si="396"/>
        <v>2.6747177672513541E-3</v>
      </c>
      <c r="G500" s="31">
        <f t="shared" si="397"/>
        <v>2.2316686257484175E-4</v>
      </c>
      <c r="H500" s="32">
        <f t="shared" si="398"/>
        <v>0.02</v>
      </c>
      <c r="I500" s="32">
        <f t="shared" si="399"/>
        <v>0</v>
      </c>
      <c r="J500" s="33">
        <f t="shared" si="446"/>
        <v>0</v>
      </c>
      <c r="K500" s="30">
        <f t="shared" si="400"/>
        <v>0</v>
      </c>
      <c r="L500" s="33">
        <f t="shared" si="401"/>
        <v>0</v>
      </c>
      <c r="M500" s="30">
        <f t="shared" si="402"/>
        <v>0</v>
      </c>
      <c r="N500" s="33">
        <f t="shared" si="403"/>
        <v>0</v>
      </c>
      <c r="O500" s="31">
        <f t="shared" si="404"/>
        <v>0</v>
      </c>
      <c r="P500" s="33">
        <f t="shared" si="405"/>
        <v>0</v>
      </c>
      <c r="Q500" s="34">
        <f t="shared" si="447"/>
        <v>799476.83412600437</v>
      </c>
      <c r="R500" s="29">
        <f t="shared" si="406"/>
        <v>0</v>
      </c>
      <c r="S500" s="34">
        <f t="shared" si="407"/>
        <v>799476.83412600437</v>
      </c>
      <c r="T500" s="29">
        <f t="shared" si="408"/>
        <v>666.23069510500363</v>
      </c>
      <c r="U500" s="29">
        <f t="shared" si="409"/>
        <v>0</v>
      </c>
      <c r="V500" s="35">
        <f t="shared" si="410"/>
        <v>2.4548354883232595E-4</v>
      </c>
      <c r="W500" s="34">
        <f t="shared" si="411"/>
        <v>0</v>
      </c>
      <c r="X500" s="34">
        <f t="shared" si="412"/>
        <v>798810.60343089933</v>
      </c>
      <c r="Y500" s="36">
        <f t="shared" si="413"/>
        <v>6.1008549621184294E-3</v>
      </c>
      <c r="Z500" s="34">
        <f t="shared" si="414"/>
        <v>4873.4276337342189</v>
      </c>
      <c r="AA500" s="34">
        <f t="shared" si="415"/>
        <v>801247.31724776642</v>
      </c>
      <c r="AB500" s="34">
        <f t="shared" si="416"/>
        <v>0</v>
      </c>
      <c r="AC500" s="34">
        <f t="shared" si="417"/>
        <v>0</v>
      </c>
      <c r="AD500" s="34">
        <f t="shared" si="418"/>
        <v>0</v>
      </c>
      <c r="AE500" s="34">
        <f t="shared" si="419"/>
        <v>0</v>
      </c>
      <c r="AF500" s="34">
        <f t="shared" si="420"/>
        <v>0</v>
      </c>
      <c r="AG500" s="29">
        <f t="shared" si="421"/>
        <v>801247.31724776642</v>
      </c>
      <c r="AH500" s="34">
        <f t="shared" si="422"/>
        <v>0</v>
      </c>
      <c r="AI500" s="34">
        <f t="shared" si="423"/>
        <v>0</v>
      </c>
      <c r="AJ500" s="34">
        <f t="shared" si="424"/>
        <v>0</v>
      </c>
      <c r="AK500" s="34">
        <f t="shared" si="425"/>
        <v>0</v>
      </c>
      <c r="AL500" s="34">
        <f t="shared" si="426"/>
        <v>0</v>
      </c>
      <c r="AM500" s="34">
        <f t="shared" si="427"/>
        <v>0</v>
      </c>
      <c r="AN500" s="34">
        <f t="shared" si="428"/>
        <v>0</v>
      </c>
      <c r="AO500" s="34">
        <f t="shared" si="429"/>
        <v>0</v>
      </c>
      <c r="AP500" s="34">
        <f t="shared" si="430"/>
        <v>0</v>
      </c>
      <c r="AQ500" s="34">
        <f t="shared" si="431"/>
        <v>0</v>
      </c>
      <c r="AR500" s="34">
        <f t="shared" si="432"/>
        <v>0</v>
      </c>
      <c r="AS500" s="30">
        <f t="shared" si="433"/>
        <v>1.5087482626774025</v>
      </c>
      <c r="AT500" s="29">
        <f t="shared" si="434"/>
        <v>0</v>
      </c>
      <c r="AU500" s="29">
        <f t="shared" si="435"/>
        <v>0</v>
      </c>
      <c r="AV500" s="34">
        <f t="shared" si="436"/>
        <v>0</v>
      </c>
      <c r="AW500" s="34">
        <f t="shared" si="437"/>
        <v>0</v>
      </c>
      <c r="AX500" s="29">
        <f t="shared" si="438"/>
        <v>0</v>
      </c>
      <c r="AY500" s="34">
        <f t="shared" si="439"/>
        <v>0</v>
      </c>
      <c r="AZ500" s="37">
        <f t="shared" si="440"/>
        <v>0</v>
      </c>
      <c r="BA500" s="37">
        <f t="shared" si="441"/>
        <v>0</v>
      </c>
      <c r="BB500" s="35">
        <f t="shared" si="442"/>
        <v>1.0233867094635585E-3</v>
      </c>
      <c r="BC500" s="31">
        <f t="shared" si="443"/>
        <v>0.60209487313775278</v>
      </c>
      <c r="BD500" s="34">
        <f t="shared" si="444"/>
        <v>0</v>
      </c>
    </row>
    <row r="501" spans="1:56" x14ac:dyDescent="0.2">
      <c r="A501" s="27">
        <f t="shared" si="445"/>
        <v>497</v>
      </c>
      <c r="B501" s="28">
        <f t="shared" si="392"/>
        <v>497</v>
      </c>
      <c r="C501" s="27">
        <f t="shared" si="393"/>
        <v>41</v>
      </c>
      <c r="D501" s="28">
        <f t="shared" si="394"/>
        <v>61</v>
      </c>
      <c r="E501" s="29">
        <f t="shared" si="395"/>
        <v>0</v>
      </c>
      <c r="F501" s="30">
        <f t="shared" si="396"/>
        <v>2.6747177672513541E-3</v>
      </c>
      <c r="G501" s="31">
        <f t="shared" si="397"/>
        <v>2.2316686257484175E-4</v>
      </c>
      <c r="H501" s="32">
        <f t="shared" si="398"/>
        <v>0.02</v>
      </c>
      <c r="I501" s="32">
        <f t="shared" si="399"/>
        <v>0</v>
      </c>
      <c r="J501" s="33">
        <f t="shared" si="446"/>
        <v>0</v>
      </c>
      <c r="K501" s="30">
        <f t="shared" si="400"/>
        <v>0</v>
      </c>
      <c r="L501" s="33">
        <f t="shared" si="401"/>
        <v>0</v>
      </c>
      <c r="M501" s="30">
        <f t="shared" si="402"/>
        <v>0</v>
      </c>
      <c r="N501" s="33">
        <f t="shared" si="403"/>
        <v>0</v>
      </c>
      <c r="O501" s="31">
        <f t="shared" si="404"/>
        <v>0</v>
      </c>
      <c r="P501" s="33">
        <f t="shared" si="405"/>
        <v>0</v>
      </c>
      <c r="Q501" s="34">
        <f t="shared" si="447"/>
        <v>803684.03106463351</v>
      </c>
      <c r="R501" s="29">
        <f t="shared" si="406"/>
        <v>0</v>
      </c>
      <c r="S501" s="34">
        <f t="shared" si="407"/>
        <v>803684.03106463351</v>
      </c>
      <c r="T501" s="29">
        <f t="shared" si="408"/>
        <v>669.7366925538613</v>
      </c>
      <c r="U501" s="29">
        <f t="shared" si="409"/>
        <v>0</v>
      </c>
      <c r="V501" s="35">
        <f t="shared" si="410"/>
        <v>2.4548354883232595E-4</v>
      </c>
      <c r="W501" s="34">
        <f t="shared" si="411"/>
        <v>0</v>
      </c>
      <c r="X501" s="34">
        <f t="shared" si="412"/>
        <v>803014.29437207966</v>
      </c>
      <c r="Y501" s="36">
        <f t="shared" si="413"/>
        <v>-6.4042898714958829E-3</v>
      </c>
      <c r="Z501" s="34">
        <f t="shared" si="414"/>
        <v>-5142.7363121135231</v>
      </c>
      <c r="AA501" s="34">
        <f t="shared" si="415"/>
        <v>800442.92621602293</v>
      </c>
      <c r="AB501" s="34">
        <f t="shared" si="416"/>
        <v>0</v>
      </c>
      <c r="AC501" s="34">
        <f t="shared" si="417"/>
        <v>0</v>
      </c>
      <c r="AD501" s="34">
        <f t="shared" si="418"/>
        <v>0</v>
      </c>
      <c r="AE501" s="34">
        <f t="shared" si="419"/>
        <v>0</v>
      </c>
      <c r="AF501" s="34">
        <f t="shared" si="420"/>
        <v>0</v>
      </c>
      <c r="AG501" s="29">
        <f t="shared" si="421"/>
        <v>800442.92621602293</v>
      </c>
      <c r="AH501" s="34">
        <f t="shared" si="422"/>
        <v>0</v>
      </c>
      <c r="AI501" s="34">
        <f t="shared" si="423"/>
        <v>0</v>
      </c>
      <c r="AJ501" s="34">
        <f t="shared" si="424"/>
        <v>0</v>
      </c>
      <c r="AK501" s="34">
        <f t="shared" si="425"/>
        <v>0</v>
      </c>
      <c r="AL501" s="34">
        <f t="shared" si="426"/>
        <v>0</v>
      </c>
      <c r="AM501" s="34">
        <f t="shared" si="427"/>
        <v>0</v>
      </c>
      <c r="AN501" s="34">
        <f t="shared" si="428"/>
        <v>0</v>
      </c>
      <c r="AO501" s="34">
        <f t="shared" si="429"/>
        <v>0</v>
      </c>
      <c r="AP501" s="34">
        <f t="shared" si="430"/>
        <v>0</v>
      </c>
      <c r="AQ501" s="34">
        <f t="shared" si="431"/>
        <v>0</v>
      </c>
      <c r="AR501" s="34">
        <f t="shared" si="432"/>
        <v>0</v>
      </c>
      <c r="AS501" s="30">
        <f t="shared" si="433"/>
        <v>1.5099998268662469</v>
      </c>
      <c r="AT501" s="29">
        <f t="shared" si="434"/>
        <v>0</v>
      </c>
      <c r="AU501" s="29">
        <f t="shared" si="435"/>
        <v>0</v>
      </c>
      <c r="AV501" s="34">
        <f t="shared" si="436"/>
        <v>0</v>
      </c>
      <c r="AW501" s="34">
        <f t="shared" si="437"/>
        <v>0</v>
      </c>
      <c r="AX501" s="29">
        <f t="shared" si="438"/>
        <v>0</v>
      </c>
      <c r="AY501" s="34">
        <f t="shared" si="439"/>
        <v>0</v>
      </c>
      <c r="AZ501" s="37">
        <f t="shared" si="440"/>
        <v>0</v>
      </c>
      <c r="BA501" s="37">
        <f t="shared" si="441"/>
        <v>0</v>
      </c>
      <c r="BB501" s="35">
        <f t="shared" si="442"/>
        <v>1.0233867094635585E-3</v>
      </c>
      <c r="BC501" s="31">
        <f t="shared" si="443"/>
        <v>0.60147932718829134</v>
      </c>
      <c r="BD501" s="34">
        <f t="shared" si="444"/>
        <v>0</v>
      </c>
    </row>
    <row r="502" spans="1:56" x14ac:dyDescent="0.2">
      <c r="A502" s="27">
        <f t="shared" si="445"/>
        <v>498</v>
      </c>
      <c r="B502" s="28">
        <f t="shared" si="392"/>
        <v>498</v>
      </c>
      <c r="C502" s="27">
        <f t="shared" si="393"/>
        <v>41</v>
      </c>
      <c r="D502" s="28">
        <f t="shared" si="394"/>
        <v>61</v>
      </c>
      <c r="E502" s="29">
        <f t="shared" si="395"/>
        <v>0</v>
      </c>
      <c r="F502" s="30">
        <f t="shared" si="396"/>
        <v>2.6747177672513541E-3</v>
      </c>
      <c r="G502" s="31">
        <f t="shared" si="397"/>
        <v>2.2316686257484175E-4</v>
      </c>
      <c r="H502" s="32">
        <f t="shared" si="398"/>
        <v>0.02</v>
      </c>
      <c r="I502" s="32">
        <f t="shared" si="399"/>
        <v>0</v>
      </c>
      <c r="J502" s="33">
        <f t="shared" si="446"/>
        <v>0</v>
      </c>
      <c r="K502" s="30">
        <f t="shared" si="400"/>
        <v>0</v>
      </c>
      <c r="L502" s="33">
        <f t="shared" si="401"/>
        <v>0</v>
      </c>
      <c r="M502" s="30">
        <f t="shared" si="402"/>
        <v>0</v>
      </c>
      <c r="N502" s="33">
        <f t="shared" si="403"/>
        <v>0</v>
      </c>
      <c r="O502" s="31">
        <f t="shared" si="404"/>
        <v>0</v>
      </c>
      <c r="P502" s="33">
        <f t="shared" si="405"/>
        <v>0</v>
      </c>
      <c r="Q502" s="34">
        <f t="shared" si="447"/>
        <v>797871.55805996619</v>
      </c>
      <c r="R502" s="29">
        <f t="shared" si="406"/>
        <v>0</v>
      </c>
      <c r="S502" s="34">
        <f t="shared" si="407"/>
        <v>797871.55805996619</v>
      </c>
      <c r="T502" s="29">
        <f t="shared" si="408"/>
        <v>664.89296504997185</v>
      </c>
      <c r="U502" s="29">
        <f t="shared" si="409"/>
        <v>0</v>
      </c>
      <c r="V502" s="35">
        <f t="shared" si="410"/>
        <v>2.4548354883232595E-4</v>
      </c>
      <c r="W502" s="34">
        <f t="shared" si="411"/>
        <v>0</v>
      </c>
      <c r="X502" s="34">
        <f t="shared" si="412"/>
        <v>797206.66509491624</v>
      </c>
      <c r="Y502" s="36">
        <f t="shared" si="413"/>
        <v>7.8567925774659653E-3</v>
      </c>
      <c r="Z502" s="34">
        <f t="shared" si="414"/>
        <v>6263.4874090241337</v>
      </c>
      <c r="AA502" s="34">
        <f t="shared" si="415"/>
        <v>800338.40879942826</v>
      </c>
      <c r="AB502" s="34">
        <f t="shared" si="416"/>
        <v>0</v>
      </c>
      <c r="AC502" s="34">
        <f t="shared" si="417"/>
        <v>0</v>
      </c>
      <c r="AD502" s="34">
        <f t="shared" si="418"/>
        <v>0</v>
      </c>
      <c r="AE502" s="34">
        <f t="shared" si="419"/>
        <v>0</v>
      </c>
      <c r="AF502" s="34">
        <f t="shared" si="420"/>
        <v>0</v>
      </c>
      <c r="AG502" s="29">
        <f t="shared" si="421"/>
        <v>800338.40879942826</v>
      </c>
      <c r="AH502" s="34">
        <f t="shared" si="422"/>
        <v>0</v>
      </c>
      <c r="AI502" s="34">
        <f t="shared" si="423"/>
        <v>0</v>
      </c>
      <c r="AJ502" s="34">
        <f t="shared" si="424"/>
        <v>0</v>
      </c>
      <c r="AK502" s="34">
        <f t="shared" si="425"/>
        <v>0</v>
      </c>
      <c r="AL502" s="34">
        <f t="shared" si="426"/>
        <v>0</v>
      </c>
      <c r="AM502" s="34">
        <f t="shared" si="427"/>
        <v>0</v>
      </c>
      <c r="AN502" s="34">
        <f t="shared" si="428"/>
        <v>0</v>
      </c>
      <c r="AO502" s="34">
        <f t="shared" si="429"/>
        <v>0</v>
      </c>
      <c r="AP502" s="34">
        <f t="shared" si="430"/>
        <v>0</v>
      </c>
      <c r="AQ502" s="34">
        <f t="shared" si="431"/>
        <v>0</v>
      </c>
      <c r="AR502" s="34">
        <f t="shared" si="432"/>
        <v>0</v>
      </c>
      <c r="AS502" s="30">
        <f t="shared" si="433"/>
        <v>1.5112524292752887</v>
      </c>
      <c r="AT502" s="29">
        <f t="shared" si="434"/>
        <v>0</v>
      </c>
      <c r="AU502" s="29">
        <f t="shared" si="435"/>
        <v>0</v>
      </c>
      <c r="AV502" s="34">
        <f t="shared" si="436"/>
        <v>0</v>
      </c>
      <c r="AW502" s="34">
        <f t="shared" si="437"/>
        <v>0</v>
      </c>
      <c r="AX502" s="29">
        <f t="shared" si="438"/>
        <v>0</v>
      </c>
      <c r="AY502" s="34">
        <f t="shared" si="439"/>
        <v>0</v>
      </c>
      <c r="AZ502" s="37">
        <f t="shared" si="440"/>
        <v>0</v>
      </c>
      <c r="BA502" s="37">
        <f t="shared" si="441"/>
        <v>0</v>
      </c>
      <c r="BB502" s="35">
        <f t="shared" si="442"/>
        <v>1.0233867094635585E-3</v>
      </c>
      <c r="BC502" s="31">
        <f t="shared" si="443"/>
        <v>0.60086441053635864</v>
      </c>
      <c r="BD502" s="34">
        <f t="shared" si="444"/>
        <v>0</v>
      </c>
    </row>
    <row r="503" spans="1:56" x14ac:dyDescent="0.2">
      <c r="A503" s="27">
        <f t="shared" si="445"/>
        <v>499</v>
      </c>
      <c r="B503" s="28">
        <f t="shared" si="392"/>
        <v>499</v>
      </c>
      <c r="C503" s="27">
        <f t="shared" si="393"/>
        <v>41</v>
      </c>
      <c r="D503" s="28">
        <f t="shared" si="394"/>
        <v>61</v>
      </c>
      <c r="E503" s="29">
        <f t="shared" si="395"/>
        <v>0</v>
      </c>
      <c r="F503" s="30">
        <f t="shared" si="396"/>
        <v>2.6747177672513541E-3</v>
      </c>
      <c r="G503" s="31">
        <f t="shared" si="397"/>
        <v>2.2316686257484175E-4</v>
      </c>
      <c r="H503" s="32">
        <f t="shared" si="398"/>
        <v>0.02</v>
      </c>
      <c r="I503" s="32">
        <f t="shared" si="399"/>
        <v>0</v>
      </c>
      <c r="J503" s="33">
        <f t="shared" si="446"/>
        <v>0</v>
      </c>
      <c r="K503" s="30">
        <f t="shared" si="400"/>
        <v>0</v>
      </c>
      <c r="L503" s="33">
        <f t="shared" si="401"/>
        <v>0</v>
      </c>
      <c r="M503" s="30">
        <f t="shared" si="402"/>
        <v>0</v>
      </c>
      <c r="N503" s="33">
        <f t="shared" si="403"/>
        <v>0</v>
      </c>
      <c r="O503" s="31">
        <f t="shared" si="404"/>
        <v>0</v>
      </c>
      <c r="P503" s="33">
        <f t="shared" si="405"/>
        <v>0</v>
      </c>
      <c r="Q503" s="34">
        <f t="shared" si="447"/>
        <v>803470.15250394039</v>
      </c>
      <c r="R503" s="29">
        <f t="shared" si="406"/>
        <v>0</v>
      </c>
      <c r="S503" s="34">
        <f t="shared" si="407"/>
        <v>803470.15250394039</v>
      </c>
      <c r="T503" s="29">
        <f t="shared" si="408"/>
        <v>669.55846041995039</v>
      </c>
      <c r="U503" s="29">
        <f t="shared" si="409"/>
        <v>0</v>
      </c>
      <c r="V503" s="35">
        <f t="shared" si="410"/>
        <v>2.4548354883232595E-4</v>
      </c>
      <c r="W503" s="34">
        <f t="shared" si="411"/>
        <v>0</v>
      </c>
      <c r="X503" s="34">
        <f t="shared" si="412"/>
        <v>802800.5940435204</v>
      </c>
      <c r="Y503" s="36">
        <f t="shared" si="413"/>
        <v>8.4195471703862879E-3</v>
      </c>
      <c r="Z503" s="34">
        <f t="shared" si="414"/>
        <v>6759.2174699635534</v>
      </c>
      <c r="AA503" s="34">
        <f t="shared" si="415"/>
        <v>806180.20277850213</v>
      </c>
      <c r="AB503" s="34">
        <f t="shared" si="416"/>
        <v>0</v>
      </c>
      <c r="AC503" s="34">
        <f t="shared" si="417"/>
        <v>0</v>
      </c>
      <c r="AD503" s="34">
        <f t="shared" si="418"/>
        <v>0</v>
      </c>
      <c r="AE503" s="34">
        <f t="shared" si="419"/>
        <v>0</v>
      </c>
      <c r="AF503" s="34">
        <f t="shared" si="420"/>
        <v>0</v>
      </c>
      <c r="AG503" s="29">
        <f t="shared" si="421"/>
        <v>806180.20277850213</v>
      </c>
      <c r="AH503" s="34">
        <f t="shared" si="422"/>
        <v>0</v>
      </c>
      <c r="AI503" s="34">
        <f t="shared" si="423"/>
        <v>0</v>
      </c>
      <c r="AJ503" s="34">
        <f t="shared" si="424"/>
        <v>0</v>
      </c>
      <c r="AK503" s="34">
        <f t="shared" si="425"/>
        <v>0</v>
      </c>
      <c r="AL503" s="34">
        <f t="shared" si="426"/>
        <v>0</v>
      </c>
      <c r="AM503" s="34">
        <f t="shared" si="427"/>
        <v>0</v>
      </c>
      <c r="AN503" s="34">
        <f t="shared" si="428"/>
        <v>0</v>
      </c>
      <c r="AO503" s="34">
        <f t="shared" si="429"/>
        <v>0</v>
      </c>
      <c r="AP503" s="34">
        <f t="shared" si="430"/>
        <v>0</v>
      </c>
      <c r="AQ503" s="34">
        <f t="shared" si="431"/>
        <v>0</v>
      </c>
      <c r="AR503" s="34">
        <f t="shared" si="432"/>
        <v>0</v>
      </c>
      <c r="AS503" s="30">
        <f t="shared" si="433"/>
        <v>1.5125060707657709</v>
      </c>
      <c r="AT503" s="29">
        <f t="shared" si="434"/>
        <v>0</v>
      </c>
      <c r="AU503" s="29">
        <f t="shared" si="435"/>
        <v>0</v>
      </c>
      <c r="AV503" s="34">
        <f t="shared" si="436"/>
        <v>0</v>
      </c>
      <c r="AW503" s="34">
        <f t="shared" si="437"/>
        <v>0</v>
      </c>
      <c r="AX503" s="29">
        <f t="shared" si="438"/>
        <v>0</v>
      </c>
      <c r="AY503" s="34">
        <f t="shared" si="439"/>
        <v>0</v>
      </c>
      <c r="AZ503" s="37">
        <f t="shared" si="440"/>
        <v>0</v>
      </c>
      <c r="BA503" s="37">
        <f t="shared" si="441"/>
        <v>0</v>
      </c>
      <c r="BB503" s="35">
        <f t="shared" si="442"/>
        <v>1.0233867094635585E-3</v>
      </c>
      <c r="BC503" s="31">
        <f t="shared" si="443"/>
        <v>0.60025012253859877</v>
      </c>
      <c r="BD503" s="34">
        <f t="shared" si="444"/>
        <v>0</v>
      </c>
    </row>
    <row r="504" spans="1:56" x14ac:dyDescent="0.2">
      <c r="A504" s="27">
        <f t="shared" si="445"/>
        <v>500</v>
      </c>
      <c r="B504" s="28">
        <f t="shared" si="392"/>
        <v>500</v>
      </c>
      <c r="C504" s="27">
        <f t="shared" si="393"/>
        <v>41</v>
      </c>
      <c r="D504" s="28">
        <f t="shared" si="394"/>
        <v>61</v>
      </c>
      <c r="E504" s="29">
        <f t="shared" si="395"/>
        <v>0</v>
      </c>
      <c r="F504" s="30">
        <f t="shared" si="396"/>
        <v>2.6747177672513541E-3</v>
      </c>
      <c r="G504" s="31">
        <f t="shared" si="397"/>
        <v>2.2316686257484175E-4</v>
      </c>
      <c r="H504" s="32">
        <f t="shared" si="398"/>
        <v>0.02</v>
      </c>
      <c r="I504" s="32">
        <f t="shared" si="399"/>
        <v>0</v>
      </c>
      <c r="J504" s="33">
        <f t="shared" si="446"/>
        <v>0</v>
      </c>
      <c r="K504" s="30">
        <f t="shared" si="400"/>
        <v>0</v>
      </c>
      <c r="L504" s="33">
        <f t="shared" si="401"/>
        <v>0</v>
      </c>
      <c r="M504" s="30">
        <f t="shared" si="402"/>
        <v>0</v>
      </c>
      <c r="N504" s="33">
        <f t="shared" si="403"/>
        <v>0</v>
      </c>
      <c r="O504" s="31">
        <f t="shared" si="404"/>
        <v>0</v>
      </c>
      <c r="P504" s="33">
        <f t="shared" si="405"/>
        <v>0</v>
      </c>
      <c r="Q504" s="34">
        <f t="shared" si="447"/>
        <v>809559.81151348399</v>
      </c>
      <c r="R504" s="29">
        <f t="shared" si="406"/>
        <v>0</v>
      </c>
      <c r="S504" s="34">
        <f t="shared" si="407"/>
        <v>809559.81151348399</v>
      </c>
      <c r="T504" s="29">
        <f t="shared" si="408"/>
        <v>674.63317626123671</v>
      </c>
      <c r="U504" s="29">
        <f t="shared" si="409"/>
        <v>0</v>
      </c>
      <c r="V504" s="35">
        <f t="shared" si="410"/>
        <v>2.4548354883232595E-4</v>
      </c>
      <c r="W504" s="34">
        <f t="shared" si="411"/>
        <v>0</v>
      </c>
      <c r="X504" s="34">
        <f t="shared" si="412"/>
        <v>808885.17833722278</v>
      </c>
      <c r="Y504" s="36">
        <f t="shared" si="413"/>
        <v>-1.0192388306779376E-2</v>
      </c>
      <c r="Z504" s="34">
        <f t="shared" si="414"/>
        <v>-8244.4718332114608</v>
      </c>
      <c r="AA504" s="34">
        <f t="shared" si="415"/>
        <v>804762.9424206171</v>
      </c>
      <c r="AB504" s="34">
        <f t="shared" si="416"/>
        <v>0</v>
      </c>
      <c r="AC504" s="34">
        <f t="shared" si="417"/>
        <v>0</v>
      </c>
      <c r="AD504" s="34">
        <f t="shared" si="418"/>
        <v>0</v>
      </c>
      <c r="AE504" s="34">
        <f t="shared" si="419"/>
        <v>0</v>
      </c>
      <c r="AF504" s="34">
        <f t="shared" si="420"/>
        <v>0</v>
      </c>
      <c r="AG504" s="29">
        <f t="shared" si="421"/>
        <v>804762.9424206171</v>
      </c>
      <c r="AH504" s="34">
        <f t="shared" si="422"/>
        <v>0</v>
      </c>
      <c r="AI504" s="34">
        <f t="shared" si="423"/>
        <v>0</v>
      </c>
      <c r="AJ504" s="34">
        <f t="shared" si="424"/>
        <v>0</v>
      </c>
      <c r="AK504" s="34">
        <f t="shared" si="425"/>
        <v>0</v>
      </c>
      <c r="AL504" s="34">
        <f t="shared" si="426"/>
        <v>0</v>
      </c>
      <c r="AM504" s="34">
        <f t="shared" si="427"/>
        <v>0</v>
      </c>
      <c r="AN504" s="34">
        <f t="shared" si="428"/>
        <v>0</v>
      </c>
      <c r="AO504" s="34">
        <f t="shared" si="429"/>
        <v>0</v>
      </c>
      <c r="AP504" s="34">
        <f t="shared" si="430"/>
        <v>0</v>
      </c>
      <c r="AQ504" s="34">
        <f t="shared" si="431"/>
        <v>0</v>
      </c>
      <c r="AR504" s="34">
        <f t="shared" si="432"/>
        <v>0</v>
      </c>
      <c r="AS504" s="30">
        <f t="shared" si="433"/>
        <v>1.5137607521996512</v>
      </c>
      <c r="AT504" s="29">
        <f t="shared" si="434"/>
        <v>0</v>
      </c>
      <c r="AU504" s="29">
        <f t="shared" si="435"/>
        <v>0</v>
      </c>
      <c r="AV504" s="34">
        <f t="shared" si="436"/>
        <v>0</v>
      </c>
      <c r="AW504" s="34">
        <f t="shared" si="437"/>
        <v>0</v>
      </c>
      <c r="AX504" s="29">
        <f t="shared" si="438"/>
        <v>0</v>
      </c>
      <c r="AY504" s="34">
        <f t="shared" si="439"/>
        <v>0</v>
      </c>
      <c r="AZ504" s="37">
        <f t="shared" si="440"/>
        <v>0</v>
      </c>
      <c r="BA504" s="37">
        <f t="shared" si="441"/>
        <v>0</v>
      </c>
      <c r="BB504" s="35">
        <f t="shared" si="442"/>
        <v>1.0233867094635585E-3</v>
      </c>
      <c r="BC504" s="31">
        <f t="shared" si="443"/>
        <v>0.59963646255231295</v>
      </c>
      <c r="BD504" s="34">
        <f t="shared" si="444"/>
        <v>0</v>
      </c>
    </row>
    <row r="505" spans="1:56" x14ac:dyDescent="0.2">
      <c r="A505" s="27">
        <f t="shared" si="445"/>
        <v>501</v>
      </c>
      <c r="B505" s="28">
        <f t="shared" si="392"/>
        <v>501</v>
      </c>
      <c r="C505" s="27">
        <f t="shared" si="393"/>
        <v>41</v>
      </c>
      <c r="D505" s="28">
        <f t="shared" si="394"/>
        <v>61</v>
      </c>
      <c r="E505" s="29">
        <f t="shared" si="395"/>
        <v>0</v>
      </c>
      <c r="F505" s="30">
        <f t="shared" si="396"/>
        <v>2.6747177672513541E-3</v>
      </c>
      <c r="G505" s="31">
        <f t="shared" si="397"/>
        <v>2.2316686257484175E-4</v>
      </c>
      <c r="H505" s="32">
        <f t="shared" si="398"/>
        <v>0.02</v>
      </c>
      <c r="I505" s="32">
        <f t="shared" si="399"/>
        <v>0</v>
      </c>
      <c r="J505" s="33">
        <f t="shared" si="446"/>
        <v>0</v>
      </c>
      <c r="K505" s="30">
        <f t="shared" si="400"/>
        <v>0</v>
      </c>
      <c r="L505" s="33">
        <f t="shared" si="401"/>
        <v>0</v>
      </c>
      <c r="M505" s="30">
        <f t="shared" si="402"/>
        <v>0</v>
      </c>
      <c r="N505" s="33">
        <f t="shared" si="403"/>
        <v>0</v>
      </c>
      <c r="O505" s="31">
        <f t="shared" si="404"/>
        <v>0</v>
      </c>
      <c r="P505" s="33">
        <f t="shared" si="405"/>
        <v>0</v>
      </c>
      <c r="Q505" s="34">
        <f t="shared" si="447"/>
        <v>800640.70650401129</v>
      </c>
      <c r="R505" s="29">
        <f t="shared" si="406"/>
        <v>0</v>
      </c>
      <c r="S505" s="34">
        <f t="shared" si="407"/>
        <v>800640.70650401129</v>
      </c>
      <c r="T505" s="29">
        <f t="shared" si="408"/>
        <v>667.2005887533428</v>
      </c>
      <c r="U505" s="29">
        <f t="shared" si="409"/>
        <v>0</v>
      </c>
      <c r="V505" s="35">
        <f t="shared" si="410"/>
        <v>2.4548354883232595E-4</v>
      </c>
      <c r="W505" s="34">
        <f t="shared" si="411"/>
        <v>0</v>
      </c>
      <c r="X505" s="34">
        <f t="shared" si="412"/>
        <v>799973.50591525796</v>
      </c>
      <c r="Y505" s="36">
        <f t="shared" si="413"/>
        <v>-2.2858396010209114E-3</v>
      </c>
      <c r="Z505" s="34">
        <f t="shared" si="414"/>
        <v>-1828.6111195886331</v>
      </c>
      <c r="AA505" s="34">
        <f t="shared" si="415"/>
        <v>799059.20035546366</v>
      </c>
      <c r="AB505" s="34">
        <f t="shared" si="416"/>
        <v>0</v>
      </c>
      <c r="AC505" s="34">
        <f t="shared" si="417"/>
        <v>0</v>
      </c>
      <c r="AD505" s="34">
        <f t="shared" si="418"/>
        <v>0</v>
      </c>
      <c r="AE505" s="34">
        <f t="shared" si="419"/>
        <v>0</v>
      </c>
      <c r="AF505" s="34">
        <f t="shared" si="420"/>
        <v>0</v>
      </c>
      <c r="AG505" s="29">
        <f t="shared" si="421"/>
        <v>799059.20035546366</v>
      </c>
      <c r="AH505" s="34">
        <f t="shared" si="422"/>
        <v>0</v>
      </c>
      <c r="AI505" s="34">
        <f t="shared" si="423"/>
        <v>0</v>
      </c>
      <c r="AJ505" s="34">
        <f t="shared" si="424"/>
        <v>0</v>
      </c>
      <c r="AK505" s="34">
        <f t="shared" si="425"/>
        <v>0</v>
      </c>
      <c r="AL505" s="34">
        <f t="shared" si="426"/>
        <v>0</v>
      </c>
      <c r="AM505" s="34">
        <f t="shared" si="427"/>
        <v>0</v>
      </c>
      <c r="AN505" s="34">
        <f t="shared" si="428"/>
        <v>0</v>
      </c>
      <c r="AO505" s="34">
        <f t="shared" si="429"/>
        <v>0</v>
      </c>
      <c r="AP505" s="34">
        <f t="shared" si="430"/>
        <v>0</v>
      </c>
      <c r="AQ505" s="34">
        <f t="shared" si="431"/>
        <v>0</v>
      </c>
      <c r="AR505" s="34">
        <f t="shared" si="432"/>
        <v>0</v>
      </c>
      <c r="AS505" s="30">
        <f t="shared" si="433"/>
        <v>1.5150164744396022</v>
      </c>
      <c r="AT505" s="29">
        <f t="shared" si="434"/>
        <v>0</v>
      </c>
      <c r="AU505" s="29">
        <f t="shared" si="435"/>
        <v>0</v>
      </c>
      <c r="AV505" s="34">
        <f t="shared" si="436"/>
        <v>0</v>
      </c>
      <c r="AW505" s="34">
        <f t="shared" si="437"/>
        <v>0</v>
      </c>
      <c r="AX505" s="29">
        <f t="shared" si="438"/>
        <v>0</v>
      </c>
      <c r="AY505" s="34">
        <f t="shared" si="439"/>
        <v>0</v>
      </c>
      <c r="AZ505" s="37">
        <f t="shared" si="440"/>
        <v>0</v>
      </c>
      <c r="BA505" s="37">
        <f t="shared" si="441"/>
        <v>0</v>
      </c>
      <c r="BB505" s="35">
        <f t="shared" si="442"/>
        <v>1.0233867094635585E-3</v>
      </c>
      <c r="BC505" s="31">
        <f t="shared" si="443"/>
        <v>0.59902342993545976</v>
      </c>
      <c r="BD505" s="34">
        <f t="shared" si="444"/>
        <v>0</v>
      </c>
    </row>
    <row r="506" spans="1:56" x14ac:dyDescent="0.2">
      <c r="A506" s="27">
        <f t="shared" si="445"/>
        <v>502</v>
      </c>
      <c r="B506" s="28">
        <f t="shared" si="392"/>
        <v>502</v>
      </c>
      <c r="C506" s="27">
        <f t="shared" si="393"/>
        <v>41</v>
      </c>
      <c r="D506" s="28">
        <f t="shared" si="394"/>
        <v>61</v>
      </c>
      <c r="E506" s="29">
        <f t="shared" si="395"/>
        <v>0</v>
      </c>
      <c r="F506" s="30">
        <f t="shared" si="396"/>
        <v>2.6747177672513541E-3</v>
      </c>
      <c r="G506" s="31">
        <f t="shared" si="397"/>
        <v>2.2316686257484175E-4</v>
      </c>
      <c r="H506" s="32">
        <f t="shared" si="398"/>
        <v>0.02</v>
      </c>
      <c r="I506" s="32">
        <f t="shared" si="399"/>
        <v>0</v>
      </c>
      <c r="J506" s="33">
        <f t="shared" si="446"/>
        <v>0</v>
      </c>
      <c r="K506" s="30">
        <f t="shared" si="400"/>
        <v>0</v>
      </c>
      <c r="L506" s="33">
        <f t="shared" si="401"/>
        <v>0</v>
      </c>
      <c r="M506" s="30">
        <f t="shared" si="402"/>
        <v>0</v>
      </c>
      <c r="N506" s="33">
        <f t="shared" si="403"/>
        <v>0</v>
      </c>
      <c r="O506" s="31">
        <f t="shared" si="404"/>
        <v>0</v>
      </c>
      <c r="P506" s="33">
        <f t="shared" si="405"/>
        <v>0</v>
      </c>
      <c r="Q506" s="34">
        <f t="shared" si="447"/>
        <v>798144.89479566936</v>
      </c>
      <c r="R506" s="29">
        <f t="shared" si="406"/>
        <v>0</v>
      </c>
      <c r="S506" s="34">
        <f t="shared" si="407"/>
        <v>798144.89479566936</v>
      </c>
      <c r="T506" s="29">
        <f t="shared" si="408"/>
        <v>665.12074566305785</v>
      </c>
      <c r="U506" s="29">
        <f t="shared" si="409"/>
        <v>0</v>
      </c>
      <c r="V506" s="35">
        <f t="shared" si="410"/>
        <v>2.4548354883232595E-4</v>
      </c>
      <c r="W506" s="34">
        <f t="shared" si="411"/>
        <v>0</v>
      </c>
      <c r="X506" s="34">
        <f t="shared" si="412"/>
        <v>797479.77405000629</v>
      </c>
      <c r="Y506" s="36">
        <f t="shared" si="413"/>
        <v>6.9948312880390162E-3</v>
      </c>
      <c r="Z506" s="34">
        <f t="shared" si="414"/>
        <v>5578.2364751032692</v>
      </c>
      <c r="AA506" s="34">
        <f t="shared" si="415"/>
        <v>800268.89228755794</v>
      </c>
      <c r="AB506" s="34">
        <f t="shared" si="416"/>
        <v>0</v>
      </c>
      <c r="AC506" s="34">
        <f t="shared" si="417"/>
        <v>0</v>
      </c>
      <c r="AD506" s="34">
        <f t="shared" si="418"/>
        <v>0</v>
      </c>
      <c r="AE506" s="34">
        <f t="shared" si="419"/>
        <v>0</v>
      </c>
      <c r="AF506" s="34">
        <f t="shared" si="420"/>
        <v>0</v>
      </c>
      <c r="AG506" s="29">
        <f t="shared" si="421"/>
        <v>800268.89228755794</v>
      </c>
      <c r="AH506" s="34">
        <f t="shared" si="422"/>
        <v>0</v>
      </c>
      <c r="AI506" s="34">
        <f t="shared" si="423"/>
        <v>0</v>
      </c>
      <c r="AJ506" s="34">
        <f t="shared" si="424"/>
        <v>0</v>
      </c>
      <c r="AK506" s="34">
        <f t="shared" si="425"/>
        <v>0</v>
      </c>
      <c r="AL506" s="34">
        <f t="shared" si="426"/>
        <v>0</v>
      </c>
      <c r="AM506" s="34">
        <f t="shared" si="427"/>
        <v>0</v>
      </c>
      <c r="AN506" s="34">
        <f t="shared" si="428"/>
        <v>0</v>
      </c>
      <c r="AO506" s="34">
        <f t="shared" si="429"/>
        <v>0</v>
      </c>
      <c r="AP506" s="34">
        <f t="shared" si="430"/>
        <v>0</v>
      </c>
      <c r="AQ506" s="34">
        <f t="shared" si="431"/>
        <v>0</v>
      </c>
      <c r="AR506" s="34">
        <f t="shared" si="432"/>
        <v>0</v>
      </c>
      <c r="AS506" s="30">
        <f t="shared" si="433"/>
        <v>1.5162732383490125</v>
      </c>
      <c r="AT506" s="29">
        <f t="shared" si="434"/>
        <v>0</v>
      </c>
      <c r="AU506" s="29">
        <f t="shared" si="435"/>
        <v>0</v>
      </c>
      <c r="AV506" s="34">
        <f t="shared" si="436"/>
        <v>0</v>
      </c>
      <c r="AW506" s="34">
        <f t="shared" si="437"/>
        <v>0</v>
      </c>
      <c r="AX506" s="29">
        <f t="shared" si="438"/>
        <v>0</v>
      </c>
      <c r="AY506" s="34">
        <f t="shared" si="439"/>
        <v>0</v>
      </c>
      <c r="AZ506" s="37">
        <f t="shared" si="440"/>
        <v>0</v>
      </c>
      <c r="BA506" s="37">
        <f t="shared" si="441"/>
        <v>0</v>
      </c>
      <c r="BB506" s="35">
        <f t="shared" si="442"/>
        <v>1.0233867094635585E-3</v>
      </c>
      <c r="BC506" s="31">
        <f t="shared" si="443"/>
        <v>0.59841102404665403</v>
      </c>
      <c r="BD506" s="34">
        <f t="shared" si="444"/>
        <v>0</v>
      </c>
    </row>
    <row r="507" spans="1:56" x14ac:dyDescent="0.2">
      <c r="A507" s="27">
        <f t="shared" si="445"/>
        <v>503</v>
      </c>
      <c r="B507" s="28">
        <f t="shared" si="392"/>
        <v>503</v>
      </c>
      <c r="C507" s="27">
        <f t="shared" si="393"/>
        <v>41</v>
      </c>
      <c r="D507" s="28">
        <f t="shared" si="394"/>
        <v>61</v>
      </c>
      <c r="E507" s="29">
        <f t="shared" si="395"/>
        <v>0</v>
      </c>
      <c r="F507" s="30">
        <f t="shared" si="396"/>
        <v>2.6747177672513541E-3</v>
      </c>
      <c r="G507" s="31">
        <f t="shared" si="397"/>
        <v>2.2316686257484175E-4</v>
      </c>
      <c r="H507" s="32">
        <f t="shared" si="398"/>
        <v>0.02</v>
      </c>
      <c r="I507" s="32">
        <f t="shared" si="399"/>
        <v>0</v>
      </c>
      <c r="J507" s="33">
        <f t="shared" si="446"/>
        <v>0</v>
      </c>
      <c r="K507" s="30">
        <f t="shared" si="400"/>
        <v>0</v>
      </c>
      <c r="L507" s="33">
        <f t="shared" si="401"/>
        <v>0</v>
      </c>
      <c r="M507" s="30">
        <f t="shared" si="402"/>
        <v>0</v>
      </c>
      <c r="N507" s="33">
        <f t="shared" si="403"/>
        <v>0</v>
      </c>
      <c r="O507" s="31">
        <f t="shared" si="404"/>
        <v>0</v>
      </c>
      <c r="P507" s="33">
        <f t="shared" si="405"/>
        <v>0</v>
      </c>
      <c r="Q507" s="34">
        <f t="shared" si="447"/>
        <v>803058.0105251096</v>
      </c>
      <c r="R507" s="29">
        <f t="shared" si="406"/>
        <v>0</v>
      </c>
      <c r="S507" s="34">
        <f t="shared" si="407"/>
        <v>803058.0105251096</v>
      </c>
      <c r="T507" s="29">
        <f t="shared" si="408"/>
        <v>669.21500877092467</v>
      </c>
      <c r="U507" s="29">
        <f t="shared" si="409"/>
        <v>0</v>
      </c>
      <c r="V507" s="35">
        <f t="shared" si="410"/>
        <v>2.4548354883232595E-4</v>
      </c>
      <c r="W507" s="34">
        <f t="shared" si="411"/>
        <v>0</v>
      </c>
      <c r="X507" s="34">
        <f t="shared" si="412"/>
        <v>802388.79551633867</v>
      </c>
      <c r="Y507" s="36">
        <f t="shared" si="413"/>
        <v>-3.9391582388942359E-3</v>
      </c>
      <c r="Z507" s="34">
        <f t="shared" si="414"/>
        <v>-3160.7364346546078</v>
      </c>
      <c r="AA507" s="34">
        <f t="shared" si="415"/>
        <v>800808.42729901138</v>
      </c>
      <c r="AB507" s="34">
        <f t="shared" si="416"/>
        <v>0</v>
      </c>
      <c r="AC507" s="34">
        <f t="shared" si="417"/>
        <v>0</v>
      </c>
      <c r="AD507" s="34">
        <f t="shared" si="418"/>
        <v>0</v>
      </c>
      <c r="AE507" s="34">
        <f t="shared" si="419"/>
        <v>0</v>
      </c>
      <c r="AF507" s="34">
        <f t="shared" si="420"/>
        <v>0</v>
      </c>
      <c r="AG507" s="29">
        <f t="shared" si="421"/>
        <v>800808.42729901138</v>
      </c>
      <c r="AH507" s="34">
        <f t="shared" si="422"/>
        <v>0</v>
      </c>
      <c r="AI507" s="34">
        <f t="shared" si="423"/>
        <v>0</v>
      </c>
      <c r="AJ507" s="34">
        <f t="shared" si="424"/>
        <v>0</v>
      </c>
      <c r="AK507" s="34">
        <f t="shared" si="425"/>
        <v>0</v>
      </c>
      <c r="AL507" s="34">
        <f t="shared" si="426"/>
        <v>0</v>
      </c>
      <c r="AM507" s="34">
        <f t="shared" si="427"/>
        <v>0</v>
      </c>
      <c r="AN507" s="34">
        <f t="shared" si="428"/>
        <v>0</v>
      </c>
      <c r="AO507" s="34">
        <f t="shared" si="429"/>
        <v>0</v>
      </c>
      <c r="AP507" s="34">
        <f t="shared" si="430"/>
        <v>0</v>
      </c>
      <c r="AQ507" s="34">
        <f t="shared" si="431"/>
        <v>0</v>
      </c>
      <c r="AR507" s="34">
        <f t="shared" si="432"/>
        <v>0</v>
      </c>
      <c r="AS507" s="30">
        <f t="shared" si="433"/>
        <v>1.5175310447919861</v>
      </c>
      <c r="AT507" s="29">
        <f t="shared" si="434"/>
        <v>0</v>
      </c>
      <c r="AU507" s="29">
        <f t="shared" si="435"/>
        <v>0</v>
      </c>
      <c r="AV507" s="34">
        <f t="shared" si="436"/>
        <v>0</v>
      </c>
      <c r="AW507" s="34">
        <f t="shared" si="437"/>
        <v>0</v>
      </c>
      <c r="AX507" s="29">
        <f t="shared" si="438"/>
        <v>0</v>
      </c>
      <c r="AY507" s="34">
        <f t="shared" si="439"/>
        <v>0</v>
      </c>
      <c r="AZ507" s="37">
        <f t="shared" si="440"/>
        <v>0</v>
      </c>
      <c r="BA507" s="37">
        <f t="shared" si="441"/>
        <v>0</v>
      </c>
      <c r="BB507" s="35">
        <f t="shared" si="442"/>
        <v>1.0233867094635585E-3</v>
      </c>
      <c r="BC507" s="31">
        <f t="shared" si="443"/>
        <v>0.59779924424516606</v>
      </c>
      <c r="BD507" s="34">
        <f t="shared" si="444"/>
        <v>0</v>
      </c>
    </row>
    <row r="508" spans="1:56" x14ac:dyDescent="0.2">
      <c r="A508" s="27">
        <f t="shared" si="445"/>
        <v>504</v>
      </c>
      <c r="B508" s="28">
        <f t="shared" si="392"/>
        <v>504</v>
      </c>
      <c r="C508" s="27">
        <f t="shared" si="393"/>
        <v>42</v>
      </c>
      <c r="D508" s="28">
        <f t="shared" si="394"/>
        <v>62</v>
      </c>
      <c r="E508" s="29">
        <f t="shared" si="395"/>
        <v>0</v>
      </c>
      <c r="F508" s="30">
        <f t="shared" si="396"/>
        <v>2.8890759055220012E-3</v>
      </c>
      <c r="G508" s="31">
        <f t="shared" si="397"/>
        <v>2.4107571498821478E-4</v>
      </c>
      <c r="H508" s="32">
        <f t="shared" si="398"/>
        <v>0.02</v>
      </c>
      <c r="I508" s="32">
        <f t="shared" si="399"/>
        <v>0</v>
      </c>
      <c r="J508" s="33">
        <f t="shared" si="446"/>
        <v>0</v>
      </c>
      <c r="K508" s="30">
        <f t="shared" si="400"/>
        <v>0</v>
      </c>
      <c r="L508" s="33">
        <f t="shared" si="401"/>
        <v>0</v>
      </c>
      <c r="M508" s="30">
        <f t="shared" si="402"/>
        <v>0</v>
      </c>
      <c r="N508" s="33">
        <f t="shared" si="403"/>
        <v>0</v>
      </c>
      <c r="O508" s="31">
        <f t="shared" si="404"/>
        <v>0</v>
      </c>
      <c r="P508" s="33">
        <f t="shared" si="405"/>
        <v>0</v>
      </c>
      <c r="Q508" s="34">
        <f t="shared" si="447"/>
        <v>799228.0590816841</v>
      </c>
      <c r="R508" s="29">
        <f t="shared" si="406"/>
        <v>0</v>
      </c>
      <c r="S508" s="34">
        <f t="shared" si="407"/>
        <v>799228.0590816841</v>
      </c>
      <c r="T508" s="29">
        <f t="shared" si="408"/>
        <v>666.02338256807013</v>
      </c>
      <c r="U508" s="29">
        <f t="shared" si="409"/>
        <v>0</v>
      </c>
      <c r="V508" s="35">
        <f t="shared" si="410"/>
        <v>2.651832864870363E-4</v>
      </c>
      <c r="W508" s="34">
        <f t="shared" si="411"/>
        <v>0</v>
      </c>
      <c r="X508" s="34">
        <f t="shared" si="412"/>
        <v>798562.03569911607</v>
      </c>
      <c r="Y508" s="36">
        <f t="shared" si="413"/>
        <v>-1.2780845445253819E-3</v>
      </c>
      <c r="Z508" s="34">
        <f t="shared" si="414"/>
        <v>-1020.6297956717665</v>
      </c>
      <c r="AA508" s="34">
        <f t="shared" si="415"/>
        <v>798051.72080128023</v>
      </c>
      <c r="AB508" s="34">
        <f t="shared" si="416"/>
        <v>0</v>
      </c>
      <c r="AC508" s="34">
        <f t="shared" si="417"/>
        <v>0</v>
      </c>
      <c r="AD508" s="34">
        <f t="shared" si="418"/>
        <v>0</v>
      </c>
      <c r="AE508" s="34">
        <f t="shared" si="419"/>
        <v>0</v>
      </c>
      <c r="AF508" s="34">
        <f t="shared" si="420"/>
        <v>0</v>
      </c>
      <c r="AG508" s="29">
        <f t="shared" si="421"/>
        <v>798051.72080128023</v>
      </c>
      <c r="AH508" s="34">
        <f t="shared" si="422"/>
        <v>0</v>
      </c>
      <c r="AI508" s="34">
        <f t="shared" si="423"/>
        <v>0</v>
      </c>
      <c r="AJ508" s="34">
        <f t="shared" si="424"/>
        <v>0</v>
      </c>
      <c r="AK508" s="34">
        <f t="shared" si="425"/>
        <v>0</v>
      </c>
      <c r="AL508" s="34">
        <f t="shared" si="426"/>
        <v>0</v>
      </c>
      <c r="AM508" s="34">
        <f t="shared" si="427"/>
        <v>0</v>
      </c>
      <c r="AN508" s="34">
        <f t="shared" si="428"/>
        <v>0</v>
      </c>
      <c r="AO508" s="34">
        <f t="shared" si="429"/>
        <v>0</v>
      </c>
      <c r="AP508" s="34">
        <f t="shared" si="430"/>
        <v>0</v>
      </c>
      <c r="AQ508" s="34">
        <f t="shared" si="431"/>
        <v>0</v>
      </c>
      <c r="AR508" s="34">
        <f t="shared" si="432"/>
        <v>0</v>
      </c>
      <c r="AS508" s="30">
        <f t="shared" si="433"/>
        <v>1.5187898946333451</v>
      </c>
      <c r="AT508" s="29">
        <f t="shared" si="434"/>
        <v>0</v>
      </c>
      <c r="AU508" s="29">
        <f t="shared" si="435"/>
        <v>0</v>
      </c>
      <c r="AV508" s="34">
        <f t="shared" si="436"/>
        <v>0</v>
      </c>
      <c r="AW508" s="34">
        <f t="shared" si="437"/>
        <v>0</v>
      </c>
      <c r="AX508" s="29">
        <f t="shared" si="438"/>
        <v>0</v>
      </c>
      <c r="AY508" s="34">
        <f t="shared" si="439"/>
        <v>0</v>
      </c>
      <c r="AZ508" s="37">
        <f t="shared" si="440"/>
        <v>0</v>
      </c>
      <c r="BA508" s="37">
        <f t="shared" si="441"/>
        <v>0</v>
      </c>
      <c r="BB508" s="35">
        <f t="shared" si="442"/>
        <v>1.0184425173360712E-3</v>
      </c>
      <c r="BC508" s="31">
        <f t="shared" si="443"/>
        <v>0.59867654083237809</v>
      </c>
      <c r="BD508" s="34">
        <f t="shared" si="444"/>
        <v>0</v>
      </c>
    </row>
    <row r="509" spans="1:56" x14ac:dyDescent="0.2">
      <c r="A509" s="27">
        <f t="shared" si="445"/>
        <v>505</v>
      </c>
      <c r="B509" s="28">
        <f t="shared" si="392"/>
        <v>505</v>
      </c>
      <c r="C509" s="27">
        <f t="shared" si="393"/>
        <v>42</v>
      </c>
      <c r="D509" s="28">
        <f t="shared" si="394"/>
        <v>62</v>
      </c>
      <c r="E509" s="29">
        <f t="shared" si="395"/>
        <v>0</v>
      </c>
      <c r="F509" s="30">
        <f t="shared" si="396"/>
        <v>2.8890759055220012E-3</v>
      </c>
      <c r="G509" s="31">
        <f t="shared" si="397"/>
        <v>2.4107571498821478E-4</v>
      </c>
      <c r="H509" s="32">
        <f t="shared" si="398"/>
        <v>0.02</v>
      </c>
      <c r="I509" s="32">
        <f t="shared" si="399"/>
        <v>0</v>
      </c>
      <c r="J509" s="33">
        <f t="shared" si="446"/>
        <v>0</v>
      </c>
      <c r="K509" s="30">
        <f t="shared" si="400"/>
        <v>0</v>
      </c>
      <c r="L509" s="33">
        <f t="shared" si="401"/>
        <v>0</v>
      </c>
      <c r="M509" s="30">
        <f t="shared" si="402"/>
        <v>0</v>
      </c>
      <c r="N509" s="33">
        <f t="shared" si="403"/>
        <v>0</v>
      </c>
      <c r="O509" s="31">
        <f t="shared" si="404"/>
        <v>0</v>
      </c>
      <c r="P509" s="33">
        <f t="shared" si="405"/>
        <v>0</v>
      </c>
      <c r="Q509" s="34">
        <f t="shared" si="447"/>
        <v>797541.40590344428</v>
      </c>
      <c r="R509" s="29">
        <f t="shared" si="406"/>
        <v>0</v>
      </c>
      <c r="S509" s="34">
        <f t="shared" si="407"/>
        <v>797541.40590344428</v>
      </c>
      <c r="T509" s="29">
        <f t="shared" si="408"/>
        <v>664.61783825287023</v>
      </c>
      <c r="U509" s="29">
        <f t="shared" si="409"/>
        <v>0</v>
      </c>
      <c r="V509" s="35">
        <f t="shared" si="410"/>
        <v>2.651832864870363E-4</v>
      </c>
      <c r="W509" s="34">
        <f t="shared" si="411"/>
        <v>0</v>
      </c>
      <c r="X509" s="34">
        <f t="shared" si="412"/>
        <v>796876.78806519136</v>
      </c>
      <c r="Y509" s="36">
        <f t="shared" si="413"/>
        <v>1.4320782879559513E-2</v>
      </c>
      <c r="Z509" s="34">
        <f t="shared" si="414"/>
        <v>11411.899463642367</v>
      </c>
      <c r="AA509" s="34">
        <f t="shared" si="415"/>
        <v>802582.73779701255</v>
      </c>
      <c r="AB509" s="34">
        <f t="shared" si="416"/>
        <v>0</v>
      </c>
      <c r="AC509" s="34">
        <f t="shared" si="417"/>
        <v>0</v>
      </c>
      <c r="AD509" s="34">
        <f t="shared" si="418"/>
        <v>0</v>
      </c>
      <c r="AE509" s="34">
        <f t="shared" si="419"/>
        <v>0</v>
      </c>
      <c r="AF509" s="34">
        <f t="shared" si="420"/>
        <v>0</v>
      </c>
      <c r="AG509" s="29">
        <f t="shared" si="421"/>
        <v>802582.73779701255</v>
      </c>
      <c r="AH509" s="34">
        <f t="shared" si="422"/>
        <v>0</v>
      </c>
      <c r="AI509" s="34">
        <f t="shared" si="423"/>
        <v>0</v>
      </c>
      <c r="AJ509" s="34">
        <f t="shared" si="424"/>
        <v>0</v>
      </c>
      <c r="AK509" s="34">
        <f t="shared" si="425"/>
        <v>0</v>
      </c>
      <c r="AL509" s="34">
        <f t="shared" si="426"/>
        <v>0</v>
      </c>
      <c r="AM509" s="34">
        <f t="shared" si="427"/>
        <v>0</v>
      </c>
      <c r="AN509" s="34">
        <f t="shared" si="428"/>
        <v>0</v>
      </c>
      <c r="AO509" s="34">
        <f t="shared" si="429"/>
        <v>0</v>
      </c>
      <c r="AP509" s="34">
        <f t="shared" si="430"/>
        <v>0</v>
      </c>
      <c r="AQ509" s="34">
        <f t="shared" si="431"/>
        <v>0</v>
      </c>
      <c r="AR509" s="34">
        <f t="shared" si="432"/>
        <v>0</v>
      </c>
      <c r="AS509" s="30">
        <f t="shared" si="433"/>
        <v>1.5200497887386271</v>
      </c>
      <c r="AT509" s="29">
        <f t="shared" si="434"/>
        <v>0</v>
      </c>
      <c r="AU509" s="29">
        <f t="shared" si="435"/>
        <v>0</v>
      </c>
      <c r="AV509" s="34">
        <f t="shared" si="436"/>
        <v>0</v>
      </c>
      <c r="AW509" s="34">
        <f t="shared" si="437"/>
        <v>0</v>
      </c>
      <c r="AX509" s="29">
        <f t="shared" si="438"/>
        <v>0</v>
      </c>
      <c r="AY509" s="34">
        <f t="shared" si="439"/>
        <v>0</v>
      </c>
      <c r="AZ509" s="37">
        <f t="shared" si="440"/>
        <v>0</v>
      </c>
      <c r="BA509" s="37">
        <f t="shared" si="441"/>
        <v>0</v>
      </c>
      <c r="BB509" s="35">
        <f t="shared" si="442"/>
        <v>1.0184425173360712E-3</v>
      </c>
      <c r="BC509" s="31">
        <f t="shared" si="443"/>
        <v>0.59806744351966312</v>
      </c>
      <c r="BD509" s="34">
        <f t="shared" si="444"/>
        <v>0</v>
      </c>
    </row>
    <row r="510" spans="1:56" x14ac:dyDescent="0.2">
      <c r="A510" s="27">
        <f t="shared" si="445"/>
        <v>506</v>
      </c>
      <c r="B510" s="28">
        <f t="shared" si="392"/>
        <v>506</v>
      </c>
      <c r="C510" s="27">
        <f t="shared" si="393"/>
        <v>42</v>
      </c>
      <c r="D510" s="28">
        <f t="shared" si="394"/>
        <v>62</v>
      </c>
      <c r="E510" s="29">
        <f t="shared" si="395"/>
        <v>0</v>
      </c>
      <c r="F510" s="30">
        <f t="shared" si="396"/>
        <v>2.8890759055220012E-3</v>
      </c>
      <c r="G510" s="31">
        <f t="shared" si="397"/>
        <v>2.4107571498821478E-4</v>
      </c>
      <c r="H510" s="32">
        <f t="shared" si="398"/>
        <v>0.02</v>
      </c>
      <c r="I510" s="32">
        <f t="shared" si="399"/>
        <v>0</v>
      </c>
      <c r="J510" s="33">
        <f t="shared" si="446"/>
        <v>0</v>
      </c>
      <c r="K510" s="30">
        <f t="shared" si="400"/>
        <v>0</v>
      </c>
      <c r="L510" s="33">
        <f t="shared" si="401"/>
        <v>0</v>
      </c>
      <c r="M510" s="30">
        <f t="shared" si="402"/>
        <v>0</v>
      </c>
      <c r="N510" s="33">
        <f t="shared" si="403"/>
        <v>0</v>
      </c>
      <c r="O510" s="31">
        <f t="shared" si="404"/>
        <v>0</v>
      </c>
      <c r="P510" s="33">
        <f t="shared" si="405"/>
        <v>0</v>
      </c>
      <c r="Q510" s="34">
        <f t="shared" si="447"/>
        <v>808288.68752883375</v>
      </c>
      <c r="R510" s="29">
        <f t="shared" si="406"/>
        <v>0</v>
      </c>
      <c r="S510" s="34">
        <f t="shared" si="407"/>
        <v>808288.68752883375</v>
      </c>
      <c r="T510" s="29">
        <f t="shared" si="408"/>
        <v>673.57390627402822</v>
      </c>
      <c r="U510" s="29">
        <f t="shared" si="409"/>
        <v>0</v>
      </c>
      <c r="V510" s="35">
        <f t="shared" si="410"/>
        <v>2.651832864870363E-4</v>
      </c>
      <c r="W510" s="34">
        <f t="shared" si="411"/>
        <v>0</v>
      </c>
      <c r="X510" s="34">
        <f t="shared" si="412"/>
        <v>807615.1136225597</v>
      </c>
      <c r="Y510" s="36">
        <f t="shared" si="413"/>
        <v>3.338781805214186E-3</v>
      </c>
      <c r="Z510" s="34">
        <f t="shared" si="414"/>
        <v>2696.4506469789899</v>
      </c>
      <c r="AA510" s="34">
        <f t="shared" si="415"/>
        <v>808963.33894604922</v>
      </c>
      <c r="AB510" s="34">
        <f t="shared" si="416"/>
        <v>0</v>
      </c>
      <c r="AC510" s="34">
        <f t="shared" si="417"/>
        <v>0</v>
      </c>
      <c r="AD510" s="34">
        <f t="shared" si="418"/>
        <v>0</v>
      </c>
      <c r="AE510" s="34">
        <f t="shared" si="419"/>
        <v>0</v>
      </c>
      <c r="AF510" s="34">
        <f t="shared" si="420"/>
        <v>0</v>
      </c>
      <c r="AG510" s="29">
        <f t="shared" si="421"/>
        <v>808963.33894604922</v>
      </c>
      <c r="AH510" s="34">
        <f t="shared" si="422"/>
        <v>0</v>
      </c>
      <c r="AI510" s="34">
        <f t="shared" si="423"/>
        <v>0</v>
      </c>
      <c r="AJ510" s="34">
        <f t="shared" si="424"/>
        <v>0</v>
      </c>
      <c r="AK510" s="34">
        <f t="shared" si="425"/>
        <v>0</v>
      </c>
      <c r="AL510" s="34">
        <f t="shared" si="426"/>
        <v>0</v>
      </c>
      <c r="AM510" s="34">
        <f t="shared" si="427"/>
        <v>0</v>
      </c>
      <c r="AN510" s="34">
        <f t="shared" si="428"/>
        <v>0</v>
      </c>
      <c r="AO510" s="34">
        <f t="shared" si="429"/>
        <v>0</v>
      </c>
      <c r="AP510" s="34">
        <f t="shared" si="430"/>
        <v>0</v>
      </c>
      <c r="AQ510" s="34">
        <f t="shared" si="431"/>
        <v>0</v>
      </c>
      <c r="AR510" s="34">
        <f t="shared" si="432"/>
        <v>0</v>
      </c>
      <c r="AS510" s="30">
        <f t="shared" si="433"/>
        <v>1.5213107279740896</v>
      </c>
      <c r="AT510" s="29">
        <f t="shared" si="434"/>
        <v>0</v>
      </c>
      <c r="AU510" s="29">
        <f t="shared" si="435"/>
        <v>0</v>
      </c>
      <c r="AV510" s="34">
        <f t="shared" si="436"/>
        <v>0</v>
      </c>
      <c r="AW510" s="34">
        <f t="shared" si="437"/>
        <v>0</v>
      </c>
      <c r="AX510" s="29">
        <f t="shared" si="438"/>
        <v>0</v>
      </c>
      <c r="AY510" s="34">
        <f t="shared" si="439"/>
        <v>0</v>
      </c>
      <c r="AZ510" s="37">
        <f t="shared" si="440"/>
        <v>0</v>
      </c>
      <c r="BA510" s="37">
        <f t="shared" si="441"/>
        <v>0</v>
      </c>
      <c r="BB510" s="35">
        <f t="shared" si="442"/>
        <v>1.0184425173360712E-3</v>
      </c>
      <c r="BC510" s="31">
        <f t="shared" si="443"/>
        <v>0.59745896590642045</v>
      </c>
      <c r="BD510" s="34">
        <f t="shared" si="444"/>
        <v>0</v>
      </c>
    </row>
    <row r="511" spans="1:56" x14ac:dyDescent="0.2">
      <c r="A511" s="27">
        <f t="shared" si="445"/>
        <v>507</v>
      </c>
      <c r="B511" s="28">
        <f t="shared" si="392"/>
        <v>507</v>
      </c>
      <c r="C511" s="27">
        <f t="shared" si="393"/>
        <v>42</v>
      </c>
      <c r="D511" s="28">
        <f t="shared" si="394"/>
        <v>62</v>
      </c>
      <c r="E511" s="29">
        <f t="shared" si="395"/>
        <v>0</v>
      </c>
      <c r="F511" s="30">
        <f t="shared" si="396"/>
        <v>2.8890759055220012E-3</v>
      </c>
      <c r="G511" s="31">
        <f t="shared" si="397"/>
        <v>2.4107571498821478E-4</v>
      </c>
      <c r="H511" s="32">
        <f t="shared" si="398"/>
        <v>0.02</v>
      </c>
      <c r="I511" s="32">
        <f t="shared" si="399"/>
        <v>0</v>
      </c>
      <c r="J511" s="33">
        <f t="shared" si="446"/>
        <v>0</v>
      </c>
      <c r="K511" s="30">
        <f t="shared" si="400"/>
        <v>0</v>
      </c>
      <c r="L511" s="33">
        <f t="shared" si="401"/>
        <v>0</v>
      </c>
      <c r="M511" s="30">
        <f t="shared" si="402"/>
        <v>0</v>
      </c>
      <c r="N511" s="33">
        <f t="shared" si="403"/>
        <v>0</v>
      </c>
      <c r="O511" s="31">
        <f t="shared" si="404"/>
        <v>0</v>
      </c>
      <c r="P511" s="33">
        <f t="shared" si="405"/>
        <v>0</v>
      </c>
      <c r="Q511" s="34">
        <f t="shared" si="447"/>
        <v>810311.56426953874</v>
      </c>
      <c r="R511" s="29">
        <f t="shared" si="406"/>
        <v>0</v>
      </c>
      <c r="S511" s="34">
        <f t="shared" si="407"/>
        <v>810311.56426953874</v>
      </c>
      <c r="T511" s="29">
        <f t="shared" si="408"/>
        <v>675.2596368912823</v>
      </c>
      <c r="U511" s="29">
        <f t="shared" si="409"/>
        <v>0</v>
      </c>
      <c r="V511" s="35">
        <f t="shared" si="410"/>
        <v>2.651832864870363E-4</v>
      </c>
      <c r="W511" s="34">
        <f t="shared" si="411"/>
        <v>0</v>
      </c>
      <c r="X511" s="34">
        <f t="shared" si="412"/>
        <v>809636.30463264743</v>
      </c>
      <c r="Y511" s="36">
        <f t="shared" si="413"/>
        <v>-3.2360463352338886E-3</v>
      </c>
      <c r="Z511" s="34">
        <f t="shared" si="414"/>
        <v>-2620.020596478787</v>
      </c>
      <c r="AA511" s="34">
        <f t="shared" si="415"/>
        <v>808326.29433440801</v>
      </c>
      <c r="AB511" s="34">
        <f t="shared" si="416"/>
        <v>0</v>
      </c>
      <c r="AC511" s="34">
        <f t="shared" si="417"/>
        <v>0</v>
      </c>
      <c r="AD511" s="34">
        <f t="shared" si="418"/>
        <v>0</v>
      </c>
      <c r="AE511" s="34">
        <f t="shared" si="419"/>
        <v>0</v>
      </c>
      <c r="AF511" s="34">
        <f t="shared" si="420"/>
        <v>0</v>
      </c>
      <c r="AG511" s="29">
        <f t="shared" si="421"/>
        <v>808326.29433440801</v>
      </c>
      <c r="AH511" s="34">
        <f t="shared" si="422"/>
        <v>0</v>
      </c>
      <c r="AI511" s="34">
        <f t="shared" si="423"/>
        <v>0</v>
      </c>
      <c r="AJ511" s="34">
        <f t="shared" si="424"/>
        <v>0</v>
      </c>
      <c r="AK511" s="34">
        <f t="shared" si="425"/>
        <v>0</v>
      </c>
      <c r="AL511" s="34">
        <f t="shared" si="426"/>
        <v>0</v>
      </c>
      <c r="AM511" s="34">
        <f t="shared" si="427"/>
        <v>0</v>
      </c>
      <c r="AN511" s="34">
        <f t="shared" si="428"/>
        <v>0</v>
      </c>
      <c r="AO511" s="34">
        <f t="shared" si="429"/>
        <v>0</v>
      </c>
      <c r="AP511" s="34">
        <f t="shared" si="430"/>
        <v>0</v>
      </c>
      <c r="AQ511" s="34">
        <f t="shared" si="431"/>
        <v>0</v>
      </c>
      <c r="AR511" s="34">
        <f t="shared" si="432"/>
        <v>0</v>
      </c>
      <c r="AS511" s="30">
        <f t="shared" si="433"/>
        <v>1.522572713206708</v>
      </c>
      <c r="AT511" s="29">
        <f t="shared" si="434"/>
        <v>0</v>
      </c>
      <c r="AU511" s="29">
        <f t="shared" si="435"/>
        <v>0</v>
      </c>
      <c r="AV511" s="34">
        <f t="shared" si="436"/>
        <v>0</v>
      </c>
      <c r="AW511" s="34">
        <f t="shared" si="437"/>
        <v>0</v>
      </c>
      <c r="AX511" s="29">
        <f t="shared" si="438"/>
        <v>0</v>
      </c>
      <c r="AY511" s="34">
        <f t="shared" si="439"/>
        <v>0</v>
      </c>
      <c r="AZ511" s="37">
        <f t="shared" si="440"/>
        <v>0</v>
      </c>
      <c r="BA511" s="37">
        <f t="shared" si="441"/>
        <v>0</v>
      </c>
      <c r="BB511" s="35">
        <f t="shared" si="442"/>
        <v>1.0184425173360712E-3</v>
      </c>
      <c r="BC511" s="31">
        <f t="shared" si="443"/>
        <v>0.59685110736216374</v>
      </c>
      <c r="BD511" s="34">
        <f t="shared" si="444"/>
        <v>0</v>
      </c>
    </row>
    <row r="512" spans="1:56" x14ac:dyDescent="0.2">
      <c r="A512" s="27">
        <f t="shared" si="445"/>
        <v>508</v>
      </c>
      <c r="B512" s="28">
        <f t="shared" si="392"/>
        <v>508</v>
      </c>
      <c r="C512" s="27">
        <f t="shared" si="393"/>
        <v>42</v>
      </c>
      <c r="D512" s="28">
        <f t="shared" si="394"/>
        <v>62</v>
      </c>
      <c r="E512" s="29">
        <f t="shared" si="395"/>
        <v>0</v>
      </c>
      <c r="F512" s="30">
        <f t="shared" si="396"/>
        <v>2.8890759055220012E-3</v>
      </c>
      <c r="G512" s="31">
        <f t="shared" si="397"/>
        <v>2.4107571498821478E-4</v>
      </c>
      <c r="H512" s="32">
        <f t="shared" si="398"/>
        <v>0.02</v>
      </c>
      <c r="I512" s="32">
        <f t="shared" si="399"/>
        <v>0</v>
      </c>
      <c r="J512" s="33">
        <f t="shared" si="446"/>
        <v>0</v>
      </c>
      <c r="K512" s="30">
        <f t="shared" si="400"/>
        <v>0</v>
      </c>
      <c r="L512" s="33">
        <f t="shared" si="401"/>
        <v>0</v>
      </c>
      <c r="M512" s="30">
        <f t="shared" si="402"/>
        <v>0</v>
      </c>
      <c r="N512" s="33">
        <f t="shared" si="403"/>
        <v>0</v>
      </c>
      <c r="O512" s="31">
        <f t="shared" si="404"/>
        <v>0</v>
      </c>
      <c r="P512" s="33">
        <f t="shared" si="405"/>
        <v>0</v>
      </c>
      <c r="Q512" s="34">
        <f t="shared" si="447"/>
        <v>807016.2840361686</v>
      </c>
      <c r="R512" s="29">
        <f t="shared" si="406"/>
        <v>0</v>
      </c>
      <c r="S512" s="34">
        <f t="shared" si="407"/>
        <v>807016.2840361686</v>
      </c>
      <c r="T512" s="29">
        <f t="shared" si="408"/>
        <v>672.5135700301405</v>
      </c>
      <c r="U512" s="29">
        <f t="shared" si="409"/>
        <v>0</v>
      </c>
      <c r="V512" s="35">
        <f t="shared" si="410"/>
        <v>2.651832864870363E-4</v>
      </c>
      <c r="W512" s="34">
        <f t="shared" si="411"/>
        <v>0</v>
      </c>
      <c r="X512" s="34">
        <f t="shared" si="412"/>
        <v>806343.77046613849</v>
      </c>
      <c r="Y512" s="36">
        <f t="shared" si="413"/>
        <v>3.2412267327202038E-3</v>
      </c>
      <c r="Z512" s="34">
        <f t="shared" si="414"/>
        <v>2613.5429845972521</v>
      </c>
      <c r="AA512" s="34">
        <f t="shared" si="415"/>
        <v>807650.54195843707</v>
      </c>
      <c r="AB512" s="34">
        <f t="shared" si="416"/>
        <v>0</v>
      </c>
      <c r="AC512" s="34">
        <f t="shared" si="417"/>
        <v>0</v>
      </c>
      <c r="AD512" s="34">
        <f t="shared" si="418"/>
        <v>0</v>
      </c>
      <c r="AE512" s="34">
        <f t="shared" si="419"/>
        <v>0</v>
      </c>
      <c r="AF512" s="34">
        <f t="shared" si="420"/>
        <v>0</v>
      </c>
      <c r="AG512" s="29">
        <f t="shared" si="421"/>
        <v>807650.54195843707</v>
      </c>
      <c r="AH512" s="34">
        <f t="shared" si="422"/>
        <v>0</v>
      </c>
      <c r="AI512" s="34">
        <f t="shared" si="423"/>
        <v>0</v>
      </c>
      <c r="AJ512" s="34">
        <f t="shared" si="424"/>
        <v>0</v>
      </c>
      <c r="AK512" s="34">
        <f t="shared" si="425"/>
        <v>0</v>
      </c>
      <c r="AL512" s="34">
        <f t="shared" si="426"/>
        <v>0</v>
      </c>
      <c r="AM512" s="34">
        <f t="shared" si="427"/>
        <v>0</v>
      </c>
      <c r="AN512" s="34">
        <f t="shared" si="428"/>
        <v>0</v>
      </c>
      <c r="AO512" s="34">
        <f t="shared" si="429"/>
        <v>0</v>
      </c>
      <c r="AP512" s="34">
        <f t="shared" si="430"/>
        <v>0</v>
      </c>
      <c r="AQ512" s="34">
        <f t="shared" si="431"/>
        <v>0</v>
      </c>
      <c r="AR512" s="34">
        <f t="shared" si="432"/>
        <v>0</v>
      </c>
      <c r="AS512" s="30">
        <f t="shared" si="433"/>
        <v>1.5238357453041764</v>
      </c>
      <c r="AT512" s="29">
        <f t="shared" si="434"/>
        <v>0</v>
      </c>
      <c r="AU512" s="29">
        <f t="shared" si="435"/>
        <v>0</v>
      </c>
      <c r="AV512" s="34">
        <f t="shared" si="436"/>
        <v>0</v>
      </c>
      <c r="AW512" s="34">
        <f t="shared" si="437"/>
        <v>0</v>
      </c>
      <c r="AX512" s="29">
        <f t="shared" si="438"/>
        <v>0</v>
      </c>
      <c r="AY512" s="34">
        <f t="shared" si="439"/>
        <v>0</v>
      </c>
      <c r="AZ512" s="37">
        <f t="shared" si="440"/>
        <v>0</v>
      </c>
      <c r="BA512" s="37">
        <f t="shared" si="441"/>
        <v>0</v>
      </c>
      <c r="BB512" s="35">
        <f t="shared" si="442"/>
        <v>1.0184425173360712E-3</v>
      </c>
      <c r="BC512" s="31">
        <f t="shared" si="443"/>
        <v>0.59624386725704814</v>
      </c>
      <c r="BD512" s="34">
        <f t="shared" si="444"/>
        <v>0</v>
      </c>
    </row>
    <row r="513" spans="1:56" x14ac:dyDescent="0.2">
      <c r="A513" s="27">
        <f t="shared" si="445"/>
        <v>509</v>
      </c>
      <c r="B513" s="28">
        <f t="shared" si="392"/>
        <v>509</v>
      </c>
      <c r="C513" s="27">
        <f t="shared" si="393"/>
        <v>42</v>
      </c>
      <c r="D513" s="28">
        <f t="shared" si="394"/>
        <v>62</v>
      </c>
      <c r="E513" s="29">
        <f t="shared" si="395"/>
        <v>0</v>
      </c>
      <c r="F513" s="30">
        <f t="shared" si="396"/>
        <v>2.8890759055220012E-3</v>
      </c>
      <c r="G513" s="31">
        <f t="shared" si="397"/>
        <v>2.4107571498821478E-4</v>
      </c>
      <c r="H513" s="32">
        <f t="shared" si="398"/>
        <v>0.02</v>
      </c>
      <c r="I513" s="32">
        <f t="shared" si="399"/>
        <v>0</v>
      </c>
      <c r="J513" s="33">
        <f t="shared" si="446"/>
        <v>0</v>
      </c>
      <c r="K513" s="30">
        <f t="shared" si="400"/>
        <v>0</v>
      </c>
      <c r="L513" s="33">
        <f t="shared" si="401"/>
        <v>0</v>
      </c>
      <c r="M513" s="30">
        <f t="shared" si="402"/>
        <v>0</v>
      </c>
      <c r="N513" s="33">
        <f t="shared" si="403"/>
        <v>0</v>
      </c>
      <c r="O513" s="31">
        <f t="shared" si="404"/>
        <v>0</v>
      </c>
      <c r="P513" s="33">
        <f t="shared" si="405"/>
        <v>0</v>
      </c>
      <c r="Q513" s="34">
        <f t="shared" si="447"/>
        <v>808957.31345073576</v>
      </c>
      <c r="R513" s="29">
        <f t="shared" si="406"/>
        <v>0</v>
      </c>
      <c r="S513" s="34">
        <f t="shared" si="407"/>
        <v>808957.31345073576</v>
      </c>
      <c r="T513" s="29">
        <f t="shared" si="408"/>
        <v>674.13109454227981</v>
      </c>
      <c r="U513" s="29">
        <f t="shared" si="409"/>
        <v>0</v>
      </c>
      <c r="V513" s="35">
        <f t="shared" si="410"/>
        <v>2.651832864870363E-4</v>
      </c>
      <c r="W513" s="34">
        <f t="shared" si="411"/>
        <v>0</v>
      </c>
      <c r="X513" s="34">
        <f t="shared" si="412"/>
        <v>808283.18235619343</v>
      </c>
      <c r="Y513" s="36">
        <f t="shared" si="413"/>
        <v>-9.0218021327755915E-3</v>
      </c>
      <c r="Z513" s="34">
        <f t="shared" si="414"/>
        <v>-7292.1709384677479</v>
      </c>
      <c r="AA513" s="34">
        <f t="shared" si="415"/>
        <v>804637.09688695951</v>
      </c>
      <c r="AB513" s="34">
        <f t="shared" si="416"/>
        <v>0</v>
      </c>
      <c r="AC513" s="34">
        <f t="shared" si="417"/>
        <v>0</v>
      </c>
      <c r="AD513" s="34">
        <f t="shared" si="418"/>
        <v>0</v>
      </c>
      <c r="AE513" s="34">
        <f t="shared" si="419"/>
        <v>0</v>
      </c>
      <c r="AF513" s="34">
        <f t="shared" si="420"/>
        <v>0</v>
      </c>
      <c r="AG513" s="29">
        <f t="shared" si="421"/>
        <v>804637.09688695951</v>
      </c>
      <c r="AH513" s="34">
        <f t="shared" si="422"/>
        <v>0</v>
      </c>
      <c r="AI513" s="34">
        <f t="shared" si="423"/>
        <v>0</v>
      </c>
      <c r="AJ513" s="34">
        <f t="shared" si="424"/>
        <v>0</v>
      </c>
      <c r="AK513" s="34">
        <f t="shared" si="425"/>
        <v>0</v>
      </c>
      <c r="AL513" s="34">
        <f t="shared" si="426"/>
        <v>0</v>
      </c>
      <c r="AM513" s="34">
        <f t="shared" si="427"/>
        <v>0</v>
      </c>
      <c r="AN513" s="34">
        <f t="shared" si="428"/>
        <v>0</v>
      </c>
      <c r="AO513" s="34">
        <f t="shared" si="429"/>
        <v>0</v>
      </c>
      <c r="AP513" s="34">
        <f t="shared" si="430"/>
        <v>0</v>
      </c>
      <c r="AQ513" s="34">
        <f t="shared" si="431"/>
        <v>0</v>
      </c>
      <c r="AR513" s="34">
        <f t="shared" si="432"/>
        <v>0</v>
      </c>
      <c r="AS513" s="30">
        <f t="shared" si="433"/>
        <v>1.5250998251349095</v>
      </c>
      <c r="AT513" s="29">
        <f t="shared" si="434"/>
        <v>0</v>
      </c>
      <c r="AU513" s="29">
        <f t="shared" si="435"/>
        <v>0</v>
      </c>
      <c r="AV513" s="34">
        <f t="shared" si="436"/>
        <v>0</v>
      </c>
      <c r="AW513" s="34">
        <f t="shared" si="437"/>
        <v>0</v>
      </c>
      <c r="AX513" s="29">
        <f t="shared" si="438"/>
        <v>0</v>
      </c>
      <c r="AY513" s="34">
        <f t="shared" si="439"/>
        <v>0</v>
      </c>
      <c r="AZ513" s="37">
        <f t="shared" si="440"/>
        <v>0</v>
      </c>
      <c r="BA513" s="37">
        <f t="shared" si="441"/>
        <v>0</v>
      </c>
      <c r="BB513" s="35">
        <f t="shared" si="442"/>
        <v>1.0184425173360712E-3</v>
      </c>
      <c r="BC513" s="31">
        <f t="shared" si="443"/>
        <v>0.59563724496187009</v>
      </c>
      <c r="BD513" s="34">
        <f t="shared" si="444"/>
        <v>0</v>
      </c>
    </row>
    <row r="514" spans="1:56" x14ac:dyDescent="0.2">
      <c r="A514" s="27">
        <f t="shared" si="445"/>
        <v>510</v>
      </c>
      <c r="B514" s="28">
        <f t="shared" si="392"/>
        <v>510</v>
      </c>
      <c r="C514" s="27">
        <f t="shared" si="393"/>
        <v>42</v>
      </c>
      <c r="D514" s="28">
        <f t="shared" si="394"/>
        <v>62</v>
      </c>
      <c r="E514" s="29">
        <f t="shared" si="395"/>
        <v>0</v>
      </c>
      <c r="F514" s="30">
        <f t="shared" si="396"/>
        <v>2.8890759055220012E-3</v>
      </c>
      <c r="G514" s="31">
        <f t="shared" si="397"/>
        <v>2.4107571498821478E-4</v>
      </c>
      <c r="H514" s="32">
        <f t="shared" si="398"/>
        <v>0.02</v>
      </c>
      <c r="I514" s="32">
        <f t="shared" si="399"/>
        <v>0</v>
      </c>
      <c r="J514" s="33">
        <f t="shared" si="446"/>
        <v>0</v>
      </c>
      <c r="K514" s="30">
        <f t="shared" si="400"/>
        <v>0</v>
      </c>
      <c r="L514" s="33">
        <f t="shared" si="401"/>
        <v>0</v>
      </c>
      <c r="M514" s="30">
        <f t="shared" si="402"/>
        <v>0</v>
      </c>
      <c r="N514" s="33">
        <f t="shared" si="403"/>
        <v>0</v>
      </c>
      <c r="O514" s="31">
        <f t="shared" si="404"/>
        <v>0</v>
      </c>
      <c r="P514" s="33">
        <f t="shared" si="405"/>
        <v>0</v>
      </c>
      <c r="Q514" s="34">
        <f t="shared" si="447"/>
        <v>800991.01141772571</v>
      </c>
      <c r="R514" s="29">
        <f t="shared" si="406"/>
        <v>0</v>
      </c>
      <c r="S514" s="34">
        <f t="shared" si="407"/>
        <v>800991.01141772571</v>
      </c>
      <c r="T514" s="29">
        <f t="shared" si="408"/>
        <v>667.49250951477143</v>
      </c>
      <c r="U514" s="29">
        <f t="shared" si="409"/>
        <v>0</v>
      </c>
      <c r="V514" s="35">
        <f t="shared" si="410"/>
        <v>2.651832864870363E-4</v>
      </c>
      <c r="W514" s="34">
        <f t="shared" si="411"/>
        <v>0</v>
      </c>
      <c r="X514" s="34">
        <f t="shared" si="412"/>
        <v>800323.51890821091</v>
      </c>
      <c r="Y514" s="36">
        <f t="shared" si="413"/>
        <v>-1.0148858649205561E-2</v>
      </c>
      <c r="Z514" s="34">
        <f t="shared" si="414"/>
        <v>-8122.3702670342263</v>
      </c>
      <c r="AA514" s="34">
        <f t="shared" si="415"/>
        <v>796262.33377469378</v>
      </c>
      <c r="AB514" s="34">
        <f t="shared" si="416"/>
        <v>0</v>
      </c>
      <c r="AC514" s="34">
        <f t="shared" si="417"/>
        <v>0</v>
      </c>
      <c r="AD514" s="34">
        <f t="shared" si="418"/>
        <v>0</v>
      </c>
      <c r="AE514" s="34">
        <f t="shared" si="419"/>
        <v>0</v>
      </c>
      <c r="AF514" s="34">
        <f t="shared" si="420"/>
        <v>0</v>
      </c>
      <c r="AG514" s="29">
        <f t="shared" si="421"/>
        <v>796262.33377469378</v>
      </c>
      <c r="AH514" s="34">
        <f t="shared" si="422"/>
        <v>0</v>
      </c>
      <c r="AI514" s="34">
        <f t="shared" si="423"/>
        <v>0</v>
      </c>
      <c r="AJ514" s="34">
        <f t="shared" si="424"/>
        <v>0</v>
      </c>
      <c r="AK514" s="34">
        <f t="shared" si="425"/>
        <v>0</v>
      </c>
      <c r="AL514" s="34">
        <f t="shared" si="426"/>
        <v>0</v>
      </c>
      <c r="AM514" s="34">
        <f t="shared" si="427"/>
        <v>0</v>
      </c>
      <c r="AN514" s="34">
        <f t="shared" si="428"/>
        <v>0</v>
      </c>
      <c r="AO514" s="34">
        <f t="shared" si="429"/>
        <v>0</v>
      </c>
      <c r="AP514" s="34">
        <f t="shared" si="430"/>
        <v>0</v>
      </c>
      <c r="AQ514" s="34">
        <f t="shared" si="431"/>
        <v>0</v>
      </c>
      <c r="AR514" s="34">
        <f t="shared" si="432"/>
        <v>0</v>
      </c>
      <c r="AS514" s="30">
        <f t="shared" si="433"/>
        <v>1.5263649535680417</v>
      </c>
      <c r="AT514" s="29">
        <f t="shared" si="434"/>
        <v>0</v>
      </c>
      <c r="AU514" s="29">
        <f t="shared" si="435"/>
        <v>0</v>
      </c>
      <c r="AV514" s="34">
        <f t="shared" si="436"/>
        <v>0</v>
      </c>
      <c r="AW514" s="34">
        <f t="shared" si="437"/>
        <v>0</v>
      </c>
      <c r="AX514" s="29">
        <f t="shared" si="438"/>
        <v>0</v>
      </c>
      <c r="AY514" s="34">
        <f t="shared" si="439"/>
        <v>0</v>
      </c>
      <c r="AZ514" s="37">
        <f t="shared" si="440"/>
        <v>0</v>
      </c>
      <c r="BA514" s="37">
        <f t="shared" si="441"/>
        <v>0</v>
      </c>
      <c r="BB514" s="35">
        <f t="shared" si="442"/>
        <v>1.0184425173360712E-3</v>
      </c>
      <c r="BC514" s="31">
        <f t="shared" si="443"/>
        <v>0.59503123984806561</v>
      </c>
      <c r="BD514" s="34">
        <f t="shared" si="444"/>
        <v>0</v>
      </c>
    </row>
    <row r="515" spans="1:56" x14ac:dyDescent="0.2">
      <c r="A515" s="27">
        <f t="shared" si="445"/>
        <v>511</v>
      </c>
      <c r="B515" s="28">
        <f t="shared" si="392"/>
        <v>511</v>
      </c>
      <c r="C515" s="27">
        <f t="shared" si="393"/>
        <v>42</v>
      </c>
      <c r="D515" s="28">
        <f t="shared" si="394"/>
        <v>62</v>
      </c>
      <c r="E515" s="29">
        <f t="shared" si="395"/>
        <v>0</v>
      </c>
      <c r="F515" s="30">
        <f t="shared" si="396"/>
        <v>2.8890759055220012E-3</v>
      </c>
      <c r="G515" s="31">
        <f t="shared" si="397"/>
        <v>2.4107571498821478E-4</v>
      </c>
      <c r="H515" s="32">
        <f t="shared" si="398"/>
        <v>0.02</v>
      </c>
      <c r="I515" s="32">
        <f t="shared" si="399"/>
        <v>0</v>
      </c>
      <c r="J515" s="33">
        <f t="shared" si="446"/>
        <v>0</v>
      </c>
      <c r="K515" s="30">
        <f t="shared" si="400"/>
        <v>0</v>
      </c>
      <c r="L515" s="33">
        <f t="shared" si="401"/>
        <v>0</v>
      </c>
      <c r="M515" s="30">
        <f t="shared" si="402"/>
        <v>0</v>
      </c>
      <c r="N515" s="33">
        <f t="shared" si="403"/>
        <v>0</v>
      </c>
      <c r="O515" s="31">
        <f t="shared" si="404"/>
        <v>0</v>
      </c>
      <c r="P515" s="33">
        <f t="shared" si="405"/>
        <v>0</v>
      </c>
      <c r="Q515" s="34">
        <f t="shared" si="447"/>
        <v>792201.14864117664</v>
      </c>
      <c r="R515" s="29">
        <f t="shared" si="406"/>
        <v>0</v>
      </c>
      <c r="S515" s="34">
        <f t="shared" si="407"/>
        <v>792201.14864117664</v>
      </c>
      <c r="T515" s="29">
        <f t="shared" si="408"/>
        <v>660.16762386764719</v>
      </c>
      <c r="U515" s="29">
        <f t="shared" si="409"/>
        <v>0</v>
      </c>
      <c r="V515" s="35">
        <f t="shared" si="410"/>
        <v>2.651832864870363E-4</v>
      </c>
      <c r="W515" s="34">
        <f t="shared" si="411"/>
        <v>0</v>
      </c>
      <c r="X515" s="34">
        <f t="shared" si="412"/>
        <v>791540.98101730901</v>
      </c>
      <c r="Y515" s="36">
        <f t="shared" si="413"/>
        <v>-5.2644616621102536E-3</v>
      </c>
      <c r="Z515" s="34">
        <f t="shared" si="414"/>
        <v>-4167.037148554763</v>
      </c>
      <c r="AA515" s="34">
        <f t="shared" si="415"/>
        <v>789457.4624430316</v>
      </c>
      <c r="AB515" s="34">
        <f t="shared" si="416"/>
        <v>0</v>
      </c>
      <c r="AC515" s="34">
        <f t="shared" si="417"/>
        <v>0</v>
      </c>
      <c r="AD515" s="34">
        <f t="shared" si="418"/>
        <v>0</v>
      </c>
      <c r="AE515" s="34">
        <f t="shared" si="419"/>
        <v>0</v>
      </c>
      <c r="AF515" s="34">
        <f t="shared" si="420"/>
        <v>0</v>
      </c>
      <c r="AG515" s="29">
        <f t="shared" si="421"/>
        <v>789457.4624430316</v>
      </c>
      <c r="AH515" s="34">
        <f t="shared" si="422"/>
        <v>0</v>
      </c>
      <c r="AI515" s="34">
        <f t="shared" si="423"/>
        <v>0</v>
      </c>
      <c r="AJ515" s="34">
        <f t="shared" si="424"/>
        <v>0</v>
      </c>
      <c r="AK515" s="34">
        <f t="shared" si="425"/>
        <v>0</v>
      </c>
      <c r="AL515" s="34">
        <f t="shared" si="426"/>
        <v>0</v>
      </c>
      <c r="AM515" s="34">
        <f t="shared" si="427"/>
        <v>0</v>
      </c>
      <c r="AN515" s="34">
        <f t="shared" si="428"/>
        <v>0</v>
      </c>
      <c r="AO515" s="34">
        <f t="shared" si="429"/>
        <v>0</v>
      </c>
      <c r="AP515" s="34">
        <f t="shared" si="430"/>
        <v>0</v>
      </c>
      <c r="AQ515" s="34">
        <f t="shared" si="431"/>
        <v>0</v>
      </c>
      <c r="AR515" s="34">
        <f t="shared" si="432"/>
        <v>0</v>
      </c>
      <c r="AS515" s="30">
        <f t="shared" si="433"/>
        <v>1.5276311314734288</v>
      </c>
      <c r="AT515" s="29">
        <f t="shared" si="434"/>
        <v>0</v>
      </c>
      <c r="AU515" s="29">
        <f t="shared" si="435"/>
        <v>0</v>
      </c>
      <c r="AV515" s="34">
        <f t="shared" si="436"/>
        <v>0</v>
      </c>
      <c r="AW515" s="34">
        <f t="shared" si="437"/>
        <v>0</v>
      </c>
      <c r="AX515" s="29">
        <f t="shared" si="438"/>
        <v>0</v>
      </c>
      <c r="AY515" s="34">
        <f t="shared" si="439"/>
        <v>0</v>
      </c>
      <c r="AZ515" s="37">
        <f t="shared" si="440"/>
        <v>0</v>
      </c>
      <c r="BA515" s="37">
        <f t="shared" si="441"/>
        <v>0</v>
      </c>
      <c r="BB515" s="35">
        <f t="shared" si="442"/>
        <v>1.0184425173360712E-3</v>
      </c>
      <c r="BC515" s="31">
        <f t="shared" si="443"/>
        <v>0.59442585128771064</v>
      </c>
      <c r="BD515" s="34">
        <f t="shared" si="444"/>
        <v>0</v>
      </c>
    </row>
    <row r="516" spans="1:56" x14ac:dyDescent="0.2">
      <c r="A516" s="27">
        <f t="shared" si="445"/>
        <v>512</v>
      </c>
      <c r="B516" s="28">
        <f t="shared" ref="B516:B579" si="448">Duration0+A516</f>
        <v>512</v>
      </c>
      <c r="C516" s="27">
        <f t="shared" ref="C516:C579" si="449">INT(B516/12)</f>
        <v>42</v>
      </c>
      <c r="D516" s="28">
        <f t="shared" ref="D516:D579" si="450">AgeAtEntry+C516</f>
        <v>62</v>
      </c>
      <c r="E516" s="29">
        <f t="shared" ref="E516:E579" si="451">IF(PremiumType="SINGLE",IF(B516=0,PremiumPPInput,0),IF(B516&lt;12*PolicyTerm,PremiumPPInput,0))</f>
        <v>0</v>
      </c>
      <c r="F516" s="30">
        <f t="shared" ref="F516:F579" si="452">INDEX(MortRates,MATCH(MIN(D516,120),MortAges,0),MAX(MIN(C516,5),0)+1)</f>
        <v>2.8890759055220012E-3</v>
      </c>
      <c r="G516" s="31">
        <f t="shared" ref="G516:G579" si="453">1-(1-F516)^(1/12)</f>
        <v>2.4107571498821478E-4</v>
      </c>
      <c r="H516" s="32">
        <f t="shared" ref="H516:H579" si="454">MAX(LapseBase-LapseStep*C516,LapseFloor)</f>
        <v>0.02</v>
      </c>
      <c r="I516" s="32">
        <f t="shared" ref="I516:I579" si="455">IF(HasSurrCharge,INDEX(SurrRates,MIN(C516,SurrDurMax)+1,MATCH(SurrChargeID,SurrTypes,0)),0)</f>
        <v>0</v>
      </c>
      <c r="J516" s="33">
        <f t="shared" si="446"/>
        <v>0</v>
      </c>
      <c r="K516" s="30">
        <f t="shared" ref="K516:K579" si="456">IF(B516=12*PolicyTerm,J516,0)</f>
        <v>0</v>
      </c>
      <c r="L516" s="33">
        <f t="shared" ref="L516:L579" si="457">J516-K516</f>
        <v>0</v>
      </c>
      <c r="M516" s="30">
        <f t="shared" ref="M516:M579" si="458">IF(B516=0,PolicyCount,0)</f>
        <v>0</v>
      </c>
      <c r="N516" s="33">
        <f t="shared" ref="N516:N579" si="459">L516+M516</f>
        <v>0</v>
      </c>
      <c r="O516" s="31">
        <f t="shared" ref="O516:O579" si="460">N516*G516</f>
        <v>0</v>
      </c>
      <c r="P516" s="33">
        <f t="shared" ref="P516:P579" si="461">(N516-O516)*(1-(1-H516)^(1/12))</f>
        <v>0</v>
      </c>
      <c r="Q516" s="34">
        <f t="shared" si="447"/>
        <v>787373.9438687542</v>
      </c>
      <c r="R516" s="29">
        <f t="shared" ref="R516:R579" si="462">(1-LoadPremRate)*E516</f>
        <v>0</v>
      </c>
      <c r="S516" s="34">
        <f t="shared" ref="S516:S579" si="463">Q516+R516</f>
        <v>787373.9438687542</v>
      </c>
      <c r="T516" s="29">
        <f t="shared" ref="T516:T579" si="464">MaintFeeRateAnn/12*S516</f>
        <v>656.14495322396192</v>
      </c>
      <c r="U516" s="29">
        <f t="shared" ref="U516:U579" si="465">MAX(SumAssured-S516,0)</f>
        <v>0</v>
      </c>
      <c r="V516" s="35">
        <f t="shared" ref="V516:V579" si="466">CoiMultiple*G516</f>
        <v>2.651832864870363E-4</v>
      </c>
      <c r="W516" s="34">
        <f t="shared" ref="W516:W579" si="467">V516*U516</f>
        <v>0</v>
      </c>
      <c r="X516" s="34">
        <f t="shared" ref="X516:X579" si="468">S516-T516-W516</f>
        <v>786717.79891553021</v>
      </c>
      <c r="Y516" s="36">
        <f t="shared" ref="Y516:Y579" si="469">EXP((Mu-0.5*Sigma^2)/12+Sigma*SQRT(1/12)*INDEX(NormRand,ScenID,A516+1))-1</f>
        <v>4.1587140545540358E-4</v>
      </c>
      <c r="Z516" s="34">
        <f t="shared" ref="Z516:Z579" si="470">Y516*X516</f>
        <v>327.17343673178311</v>
      </c>
      <c r="AA516" s="34">
        <f t="shared" ref="AA516:AA579" si="471">X516+0.5*Z516</f>
        <v>786881.3856338961</v>
      </c>
      <c r="AB516" s="34">
        <f t="shared" ref="AB516:AB579" si="472">Q516*J516</f>
        <v>0</v>
      </c>
      <c r="AC516" s="34">
        <f t="shared" ref="AC516:AC579" si="473">Q516*L516</f>
        <v>0</v>
      </c>
      <c r="AD516" s="34">
        <f t="shared" ref="AD516:AD579" si="474">S516*N516</f>
        <v>0</v>
      </c>
      <c r="AE516" s="34">
        <f t="shared" ref="AE516:AE579" si="475">E516*N516</f>
        <v>0</v>
      </c>
      <c r="AF516" s="34">
        <f t="shared" ref="AF516:AF579" si="476">R516*N516</f>
        <v>0</v>
      </c>
      <c r="AG516" s="29">
        <f t="shared" ref="AG516:AG579" si="477">MAX(SumAssured,AA516)</f>
        <v>786881.3856338961</v>
      </c>
      <c r="AH516" s="34">
        <f t="shared" ref="AH516:AH579" si="478">AG516*O516</f>
        <v>0</v>
      </c>
      <c r="AI516" s="34">
        <f t="shared" ref="AI516:AI579" si="479">AA516*O516</f>
        <v>0</v>
      </c>
      <c r="AJ516" s="34">
        <f t="shared" ref="AJ516:AJ579" si="480">AA516*P516</f>
        <v>0</v>
      </c>
      <c r="AK516" s="34">
        <f t="shared" ref="AK516:AK579" si="481">I516*AA516*P516</f>
        <v>0</v>
      </c>
      <c r="AL516" s="34">
        <f t="shared" ref="AL516:AL579" si="482">AJ516-AK516</f>
        <v>0</v>
      </c>
      <c r="AM516" s="34">
        <f t="shared" ref="AM516:AM579" si="483">Q516*K516</f>
        <v>0</v>
      </c>
      <c r="AN516" s="34">
        <f t="shared" ref="AN516:AN579" si="484">AH516+AL516+AM516</f>
        <v>0</v>
      </c>
      <c r="AO516" s="34">
        <f t="shared" ref="AO516:AO579" si="485">(AG516-AA516)*O516</f>
        <v>0</v>
      </c>
      <c r="AP516" s="34">
        <f t="shared" ref="AP516:AP579" si="486">W516*N516</f>
        <v>0</v>
      </c>
      <c r="AQ516" s="34">
        <f t="shared" ref="AQ516:AQ579" si="487">T516*N516</f>
        <v>0</v>
      </c>
      <c r="AR516" s="34">
        <f t="shared" ref="AR516:AR579" si="488">Z516*J517+0.5*Z516*(O516+P516)</f>
        <v>0</v>
      </c>
      <c r="AS516" s="30">
        <f t="shared" ref="AS516:AS579" si="489">(1+InflationRate)^(A516/12)</f>
        <v>1.5288983597216477</v>
      </c>
      <c r="AT516" s="29">
        <f t="shared" ref="AT516:AT579" si="490">ExpenseAcq*M516+N516*ExpenseMaint/12*AS516</f>
        <v>0</v>
      </c>
      <c r="AU516" s="29">
        <f t="shared" ref="AU516:AU579" si="491">CommissionRate*AE516</f>
        <v>0</v>
      </c>
      <c r="AV516" s="34">
        <f t="shared" ref="AV516:AV579" si="492">AB517-AB516</f>
        <v>0</v>
      </c>
      <c r="AW516" s="34">
        <f t="shared" ref="AW516:AW579" si="493">AE516+AR516-AN516-AT516-AU516-AV516</f>
        <v>0</v>
      </c>
      <c r="AX516" s="29">
        <f t="shared" ref="AX516:AX579" si="494">LoadPremRate*E516*N516+AK516+AQ516-AU516-AT516</f>
        <v>0</v>
      </c>
      <c r="AY516" s="34">
        <f t="shared" ref="AY516:AY579" si="495">AP516-AO516</f>
        <v>0</v>
      </c>
      <c r="AZ516" s="37">
        <f t="shared" ref="AZ516:AZ579" si="496">(AW516-AX516-AY516)/MAX(1,ABS(AW516),ABS(AX516),ABS(AY516))</f>
        <v>0</v>
      </c>
      <c r="BA516" s="37">
        <f t="shared" ref="BA516:BA579" si="497">IF(OR(K516&gt;0,K517&gt;0),0,(AC517-(AC516+AF516-AQ516-AP516+AR516-AI516-AJ516-AM516))/MAX(1,ABS(AC516),ABS(AC517)))</f>
        <v>0</v>
      </c>
      <c r="BB516" s="35">
        <f t="shared" ref="BB516:BB579" si="498">(1+INDEX(DiscRateAnn,INT(A516/12)+1))^(1/12)-1</f>
        <v>1.0184425173360712E-3</v>
      </c>
      <c r="BC516" s="31">
        <f t="shared" ref="BC516:BC579" si="499">(1+BB516)^-A516</f>
        <v>0.59382107865351952</v>
      </c>
      <c r="BD516" s="34">
        <f t="shared" ref="BD516:BD579" si="500">AW516*BC516</f>
        <v>0</v>
      </c>
    </row>
    <row r="517" spans="1:56" x14ac:dyDescent="0.2">
      <c r="A517" s="27">
        <f t="shared" ref="A517:A580" si="501">A516+1</f>
        <v>513</v>
      </c>
      <c r="B517" s="28">
        <f t="shared" si="448"/>
        <v>513</v>
      </c>
      <c r="C517" s="27">
        <f t="shared" si="449"/>
        <v>42</v>
      </c>
      <c r="D517" s="28">
        <f t="shared" si="450"/>
        <v>62</v>
      </c>
      <c r="E517" s="29">
        <f t="shared" si="451"/>
        <v>0</v>
      </c>
      <c r="F517" s="30">
        <f t="shared" si="452"/>
        <v>2.8890759055220012E-3</v>
      </c>
      <c r="G517" s="31">
        <f t="shared" si="453"/>
        <v>2.4107571498821478E-4</v>
      </c>
      <c r="H517" s="32">
        <f t="shared" si="454"/>
        <v>0.02</v>
      </c>
      <c r="I517" s="32">
        <f t="shared" si="455"/>
        <v>0</v>
      </c>
      <c r="J517" s="33">
        <f t="shared" ref="J517:J580" si="502">N516-P516-O516</f>
        <v>0</v>
      </c>
      <c r="K517" s="30">
        <f t="shared" si="456"/>
        <v>0</v>
      </c>
      <c r="L517" s="33">
        <f t="shared" si="457"/>
        <v>0</v>
      </c>
      <c r="M517" s="30">
        <f t="shared" si="458"/>
        <v>0</v>
      </c>
      <c r="N517" s="33">
        <f t="shared" si="459"/>
        <v>0</v>
      </c>
      <c r="O517" s="31">
        <f t="shared" si="460"/>
        <v>0</v>
      </c>
      <c r="P517" s="33">
        <f t="shared" si="461"/>
        <v>0</v>
      </c>
      <c r="Q517" s="34">
        <f t="shared" ref="Q517:Q580" si="503">X516+Z516</f>
        <v>787044.972352262</v>
      </c>
      <c r="R517" s="29">
        <f t="shared" si="462"/>
        <v>0</v>
      </c>
      <c r="S517" s="34">
        <f t="shared" si="463"/>
        <v>787044.972352262</v>
      </c>
      <c r="T517" s="29">
        <f t="shared" si="464"/>
        <v>655.8708102935517</v>
      </c>
      <c r="U517" s="29">
        <f t="shared" si="465"/>
        <v>0</v>
      </c>
      <c r="V517" s="35">
        <f t="shared" si="466"/>
        <v>2.651832864870363E-4</v>
      </c>
      <c r="W517" s="34">
        <f t="shared" si="467"/>
        <v>0</v>
      </c>
      <c r="X517" s="34">
        <f t="shared" si="468"/>
        <v>786389.10154196841</v>
      </c>
      <c r="Y517" s="36">
        <f t="shared" si="469"/>
        <v>1.9709533619317821E-2</v>
      </c>
      <c r="Z517" s="34">
        <f t="shared" si="470"/>
        <v>15499.362434706562</v>
      </c>
      <c r="AA517" s="34">
        <f t="shared" si="471"/>
        <v>794138.78275932174</v>
      </c>
      <c r="AB517" s="34">
        <f t="shared" si="472"/>
        <v>0</v>
      </c>
      <c r="AC517" s="34">
        <f t="shared" si="473"/>
        <v>0</v>
      </c>
      <c r="AD517" s="34">
        <f t="shared" si="474"/>
        <v>0</v>
      </c>
      <c r="AE517" s="34">
        <f t="shared" si="475"/>
        <v>0</v>
      </c>
      <c r="AF517" s="34">
        <f t="shared" si="476"/>
        <v>0</v>
      </c>
      <c r="AG517" s="29">
        <f t="shared" si="477"/>
        <v>794138.78275932174</v>
      </c>
      <c r="AH517" s="34">
        <f t="shared" si="478"/>
        <v>0</v>
      </c>
      <c r="AI517" s="34">
        <f t="shared" si="479"/>
        <v>0</v>
      </c>
      <c r="AJ517" s="34">
        <f t="shared" si="480"/>
        <v>0</v>
      </c>
      <c r="AK517" s="34">
        <f t="shared" si="481"/>
        <v>0</v>
      </c>
      <c r="AL517" s="34">
        <f t="shared" si="482"/>
        <v>0</v>
      </c>
      <c r="AM517" s="34">
        <f t="shared" si="483"/>
        <v>0</v>
      </c>
      <c r="AN517" s="34">
        <f t="shared" si="484"/>
        <v>0</v>
      </c>
      <c r="AO517" s="34">
        <f t="shared" si="485"/>
        <v>0</v>
      </c>
      <c r="AP517" s="34">
        <f t="shared" si="486"/>
        <v>0</v>
      </c>
      <c r="AQ517" s="34">
        <f t="shared" si="487"/>
        <v>0</v>
      </c>
      <c r="AR517" s="34">
        <f t="shared" si="488"/>
        <v>0</v>
      </c>
      <c r="AS517" s="30">
        <f t="shared" si="489"/>
        <v>1.5301666391839983</v>
      </c>
      <c r="AT517" s="29">
        <f t="shared" si="490"/>
        <v>0</v>
      </c>
      <c r="AU517" s="29">
        <f t="shared" si="491"/>
        <v>0</v>
      </c>
      <c r="AV517" s="34">
        <f t="shared" si="492"/>
        <v>0</v>
      </c>
      <c r="AW517" s="34">
        <f t="shared" si="493"/>
        <v>0</v>
      </c>
      <c r="AX517" s="29">
        <f t="shared" si="494"/>
        <v>0</v>
      </c>
      <c r="AY517" s="34">
        <f t="shared" si="495"/>
        <v>0</v>
      </c>
      <c r="AZ517" s="37">
        <f t="shared" si="496"/>
        <v>0</v>
      </c>
      <c r="BA517" s="37">
        <f t="shared" si="497"/>
        <v>0</v>
      </c>
      <c r="BB517" s="35">
        <f t="shared" si="498"/>
        <v>1.0184425173360712E-3</v>
      </c>
      <c r="BC517" s="31">
        <f t="shared" si="499"/>
        <v>0.59321692131884518</v>
      </c>
      <c r="BD517" s="34">
        <f t="shared" si="500"/>
        <v>0</v>
      </c>
    </row>
    <row r="518" spans="1:56" x14ac:dyDescent="0.2">
      <c r="A518" s="27">
        <f t="shared" si="501"/>
        <v>514</v>
      </c>
      <c r="B518" s="28">
        <f t="shared" si="448"/>
        <v>514</v>
      </c>
      <c r="C518" s="27">
        <f t="shared" si="449"/>
        <v>42</v>
      </c>
      <c r="D518" s="28">
        <f t="shared" si="450"/>
        <v>62</v>
      </c>
      <c r="E518" s="29">
        <f t="shared" si="451"/>
        <v>0</v>
      </c>
      <c r="F518" s="30">
        <f t="shared" si="452"/>
        <v>2.8890759055220012E-3</v>
      </c>
      <c r="G518" s="31">
        <f t="shared" si="453"/>
        <v>2.4107571498821478E-4</v>
      </c>
      <c r="H518" s="32">
        <f t="shared" si="454"/>
        <v>0.02</v>
      </c>
      <c r="I518" s="32">
        <f t="shared" si="455"/>
        <v>0</v>
      </c>
      <c r="J518" s="33">
        <f t="shared" si="502"/>
        <v>0</v>
      </c>
      <c r="K518" s="30">
        <f t="shared" si="456"/>
        <v>0</v>
      </c>
      <c r="L518" s="33">
        <f t="shared" si="457"/>
        <v>0</v>
      </c>
      <c r="M518" s="30">
        <f t="shared" si="458"/>
        <v>0</v>
      </c>
      <c r="N518" s="33">
        <f t="shared" si="459"/>
        <v>0</v>
      </c>
      <c r="O518" s="31">
        <f t="shared" si="460"/>
        <v>0</v>
      </c>
      <c r="P518" s="33">
        <f t="shared" si="461"/>
        <v>0</v>
      </c>
      <c r="Q518" s="34">
        <f t="shared" si="503"/>
        <v>801888.46397667495</v>
      </c>
      <c r="R518" s="29">
        <f t="shared" si="462"/>
        <v>0</v>
      </c>
      <c r="S518" s="34">
        <f t="shared" si="463"/>
        <v>801888.46397667495</v>
      </c>
      <c r="T518" s="29">
        <f t="shared" si="464"/>
        <v>668.24038664722912</v>
      </c>
      <c r="U518" s="29">
        <f t="shared" si="465"/>
        <v>0</v>
      </c>
      <c r="V518" s="35">
        <f t="shared" si="466"/>
        <v>2.651832864870363E-4</v>
      </c>
      <c r="W518" s="34">
        <f t="shared" si="467"/>
        <v>0</v>
      </c>
      <c r="X518" s="34">
        <f t="shared" si="468"/>
        <v>801220.22359002777</v>
      </c>
      <c r="Y518" s="36">
        <f t="shared" si="469"/>
        <v>-1.6242206629746403E-2</v>
      </c>
      <c r="Z518" s="34">
        <f t="shared" si="470"/>
        <v>-13013.584427480844</v>
      </c>
      <c r="AA518" s="34">
        <f t="shared" si="471"/>
        <v>794713.43137628736</v>
      </c>
      <c r="AB518" s="34">
        <f t="shared" si="472"/>
        <v>0</v>
      </c>
      <c r="AC518" s="34">
        <f t="shared" si="473"/>
        <v>0</v>
      </c>
      <c r="AD518" s="34">
        <f t="shared" si="474"/>
        <v>0</v>
      </c>
      <c r="AE518" s="34">
        <f t="shared" si="475"/>
        <v>0</v>
      </c>
      <c r="AF518" s="34">
        <f t="shared" si="476"/>
        <v>0</v>
      </c>
      <c r="AG518" s="29">
        <f t="shared" si="477"/>
        <v>794713.43137628736</v>
      </c>
      <c r="AH518" s="34">
        <f t="shared" si="478"/>
        <v>0</v>
      </c>
      <c r="AI518" s="34">
        <f t="shared" si="479"/>
        <v>0</v>
      </c>
      <c r="AJ518" s="34">
        <f t="shared" si="480"/>
        <v>0</v>
      </c>
      <c r="AK518" s="34">
        <f t="shared" si="481"/>
        <v>0</v>
      </c>
      <c r="AL518" s="34">
        <f t="shared" si="482"/>
        <v>0</v>
      </c>
      <c r="AM518" s="34">
        <f t="shared" si="483"/>
        <v>0</v>
      </c>
      <c r="AN518" s="34">
        <f t="shared" si="484"/>
        <v>0</v>
      </c>
      <c r="AO518" s="34">
        <f t="shared" si="485"/>
        <v>0</v>
      </c>
      <c r="AP518" s="34">
        <f t="shared" si="486"/>
        <v>0</v>
      </c>
      <c r="AQ518" s="34">
        <f t="shared" si="487"/>
        <v>0</v>
      </c>
      <c r="AR518" s="34">
        <f t="shared" si="488"/>
        <v>0</v>
      </c>
      <c r="AS518" s="30">
        <f t="shared" si="489"/>
        <v>1.5314359707325025</v>
      </c>
      <c r="AT518" s="29">
        <f t="shared" si="490"/>
        <v>0</v>
      </c>
      <c r="AU518" s="29">
        <f t="shared" si="491"/>
        <v>0</v>
      </c>
      <c r="AV518" s="34">
        <f t="shared" si="492"/>
        <v>0</v>
      </c>
      <c r="AW518" s="34">
        <f t="shared" si="493"/>
        <v>0</v>
      </c>
      <c r="AX518" s="29">
        <f t="shared" si="494"/>
        <v>0</v>
      </c>
      <c r="AY518" s="34">
        <f t="shared" si="495"/>
        <v>0</v>
      </c>
      <c r="AZ518" s="37">
        <f t="shared" si="496"/>
        <v>0</v>
      </c>
      <c r="BA518" s="37">
        <f t="shared" si="497"/>
        <v>0</v>
      </c>
      <c r="BB518" s="35">
        <f t="shared" si="498"/>
        <v>1.0184425173360712E-3</v>
      </c>
      <c r="BC518" s="31">
        <f t="shared" si="499"/>
        <v>0.59261337865767805</v>
      </c>
      <c r="BD518" s="34">
        <f t="shared" si="500"/>
        <v>0</v>
      </c>
    </row>
    <row r="519" spans="1:56" x14ac:dyDescent="0.2">
      <c r="A519" s="27">
        <f t="shared" si="501"/>
        <v>515</v>
      </c>
      <c r="B519" s="28">
        <f t="shared" si="448"/>
        <v>515</v>
      </c>
      <c r="C519" s="27">
        <f t="shared" si="449"/>
        <v>42</v>
      </c>
      <c r="D519" s="28">
        <f t="shared" si="450"/>
        <v>62</v>
      </c>
      <c r="E519" s="29">
        <f t="shared" si="451"/>
        <v>0</v>
      </c>
      <c r="F519" s="30">
        <f t="shared" si="452"/>
        <v>2.8890759055220012E-3</v>
      </c>
      <c r="G519" s="31">
        <f t="shared" si="453"/>
        <v>2.4107571498821478E-4</v>
      </c>
      <c r="H519" s="32">
        <f t="shared" si="454"/>
        <v>0.02</v>
      </c>
      <c r="I519" s="32">
        <f t="shared" si="455"/>
        <v>0</v>
      </c>
      <c r="J519" s="33">
        <f t="shared" si="502"/>
        <v>0</v>
      </c>
      <c r="K519" s="30">
        <f t="shared" si="456"/>
        <v>0</v>
      </c>
      <c r="L519" s="33">
        <f t="shared" si="457"/>
        <v>0</v>
      </c>
      <c r="M519" s="30">
        <f t="shared" si="458"/>
        <v>0</v>
      </c>
      <c r="N519" s="33">
        <f t="shared" si="459"/>
        <v>0</v>
      </c>
      <c r="O519" s="31">
        <f t="shared" si="460"/>
        <v>0</v>
      </c>
      <c r="P519" s="33">
        <f t="shared" si="461"/>
        <v>0</v>
      </c>
      <c r="Q519" s="34">
        <f t="shared" si="503"/>
        <v>788206.63916254696</v>
      </c>
      <c r="R519" s="29">
        <f t="shared" si="462"/>
        <v>0</v>
      </c>
      <c r="S519" s="34">
        <f t="shared" si="463"/>
        <v>788206.63916254696</v>
      </c>
      <c r="T519" s="29">
        <f t="shared" si="464"/>
        <v>656.83886596878915</v>
      </c>
      <c r="U519" s="29">
        <f t="shared" si="465"/>
        <v>0</v>
      </c>
      <c r="V519" s="35">
        <f t="shared" si="466"/>
        <v>2.651832864870363E-4</v>
      </c>
      <c r="W519" s="34">
        <f t="shared" si="467"/>
        <v>0</v>
      </c>
      <c r="X519" s="34">
        <f t="shared" si="468"/>
        <v>787549.80029657821</v>
      </c>
      <c r="Y519" s="36">
        <f t="shared" si="469"/>
        <v>3.1353896298424999E-4</v>
      </c>
      <c r="Z519" s="34">
        <f t="shared" si="470"/>
        <v>246.9275476834423</v>
      </c>
      <c r="AA519" s="34">
        <f t="shared" si="471"/>
        <v>787673.26407041994</v>
      </c>
      <c r="AB519" s="34">
        <f t="shared" si="472"/>
        <v>0</v>
      </c>
      <c r="AC519" s="34">
        <f t="shared" si="473"/>
        <v>0</v>
      </c>
      <c r="AD519" s="34">
        <f t="shared" si="474"/>
        <v>0</v>
      </c>
      <c r="AE519" s="34">
        <f t="shared" si="475"/>
        <v>0</v>
      </c>
      <c r="AF519" s="34">
        <f t="shared" si="476"/>
        <v>0</v>
      </c>
      <c r="AG519" s="29">
        <f t="shared" si="477"/>
        <v>787673.26407041994</v>
      </c>
      <c r="AH519" s="34">
        <f t="shared" si="478"/>
        <v>0</v>
      </c>
      <c r="AI519" s="34">
        <f t="shared" si="479"/>
        <v>0</v>
      </c>
      <c r="AJ519" s="34">
        <f t="shared" si="480"/>
        <v>0</v>
      </c>
      <c r="AK519" s="34">
        <f t="shared" si="481"/>
        <v>0</v>
      </c>
      <c r="AL519" s="34">
        <f t="shared" si="482"/>
        <v>0</v>
      </c>
      <c r="AM519" s="34">
        <f t="shared" si="483"/>
        <v>0</v>
      </c>
      <c r="AN519" s="34">
        <f t="shared" si="484"/>
        <v>0</v>
      </c>
      <c r="AO519" s="34">
        <f t="shared" si="485"/>
        <v>0</v>
      </c>
      <c r="AP519" s="34">
        <f t="shared" si="486"/>
        <v>0</v>
      </c>
      <c r="AQ519" s="34">
        <f t="shared" si="487"/>
        <v>0</v>
      </c>
      <c r="AR519" s="34">
        <f t="shared" si="488"/>
        <v>0</v>
      </c>
      <c r="AS519" s="30">
        <f t="shared" si="489"/>
        <v>1.5327063552399058</v>
      </c>
      <c r="AT519" s="29">
        <f t="shared" si="490"/>
        <v>0</v>
      </c>
      <c r="AU519" s="29">
        <f t="shared" si="491"/>
        <v>0</v>
      </c>
      <c r="AV519" s="34">
        <f t="shared" si="492"/>
        <v>0</v>
      </c>
      <c r="AW519" s="34">
        <f t="shared" si="493"/>
        <v>0</v>
      </c>
      <c r="AX519" s="29">
        <f t="shared" si="494"/>
        <v>0</v>
      </c>
      <c r="AY519" s="34">
        <f t="shared" si="495"/>
        <v>0</v>
      </c>
      <c r="AZ519" s="37">
        <f t="shared" si="496"/>
        <v>0</v>
      </c>
      <c r="BA519" s="37">
        <f t="shared" si="497"/>
        <v>0</v>
      </c>
      <c r="BB519" s="35">
        <f t="shared" si="498"/>
        <v>1.0184425173360712E-3</v>
      </c>
      <c r="BC519" s="31">
        <f t="shared" si="499"/>
        <v>0.59201045004464525</v>
      </c>
      <c r="BD519" s="34">
        <f t="shared" si="500"/>
        <v>0</v>
      </c>
    </row>
    <row r="520" spans="1:56" x14ac:dyDescent="0.2">
      <c r="A520" s="27">
        <f t="shared" si="501"/>
        <v>516</v>
      </c>
      <c r="B520" s="28">
        <f t="shared" si="448"/>
        <v>516</v>
      </c>
      <c r="C520" s="27">
        <f t="shared" si="449"/>
        <v>43</v>
      </c>
      <c r="D520" s="28">
        <f t="shared" si="450"/>
        <v>63</v>
      </c>
      <c r="E520" s="29">
        <f t="shared" si="451"/>
        <v>0</v>
      </c>
      <c r="F520" s="30">
        <f t="shared" si="452"/>
        <v>3.1253185129296781E-3</v>
      </c>
      <c r="G520" s="31">
        <f t="shared" si="453"/>
        <v>2.6081702468971901E-4</v>
      </c>
      <c r="H520" s="32">
        <f t="shared" si="454"/>
        <v>0.02</v>
      </c>
      <c r="I520" s="32">
        <f t="shared" si="455"/>
        <v>0</v>
      </c>
      <c r="J520" s="33">
        <f t="shared" si="502"/>
        <v>0</v>
      </c>
      <c r="K520" s="30">
        <f t="shared" si="456"/>
        <v>0</v>
      </c>
      <c r="L520" s="33">
        <f t="shared" si="457"/>
        <v>0</v>
      </c>
      <c r="M520" s="30">
        <f t="shared" si="458"/>
        <v>0</v>
      </c>
      <c r="N520" s="33">
        <f t="shared" si="459"/>
        <v>0</v>
      </c>
      <c r="O520" s="31">
        <f t="shared" si="460"/>
        <v>0</v>
      </c>
      <c r="P520" s="33">
        <f t="shared" si="461"/>
        <v>0</v>
      </c>
      <c r="Q520" s="34">
        <f t="shared" si="503"/>
        <v>787796.72784426168</v>
      </c>
      <c r="R520" s="29">
        <f t="shared" si="462"/>
        <v>0</v>
      </c>
      <c r="S520" s="34">
        <f t="shared" si="463"/>
        <v>787796.72784426168</v>
      </c>
      <c r="T520" s="29">
        <f t="shared" si="464"/>
        <v>656.49727320355146</v>
      </c>
      <c r="U520" s="29">
        <f t="shared" si="465"/>
        <v>0</v>
      </c>
      <c r="V520" s="35">
        <f t="shared" si="466"/>
        <v>2.8689872715869096E-4</v>
      </c>
      <c r="W520" s="34">
        <f t="shared" si="467"/>
        <v>0</v>
      </c>
      <c r="X520" s="34">
        <f t="shared" si="468"/>
        <v>787140.23057105811</v>
      </c>
      <c r="Y520" s="36">
        <f t="shared" si="469"/>
        <v>8.9350862079633497E-3</v>
      </c>
      <c r="Z520" s="34">
        <f t="shared" si="470"/>
        <v>7033.1658179085525</v>
      </c>
      <c r="AA520" s="34">
        <f t="shared" si="471"/>
        <v>790656.81348001235</v>
      </c>
      <c r="AB520" s="34">
        <f t="shared" si="472"/>
        <v>0</v>
      </c>
      <c r="AC520" s="34">
        <f t="shared" si="473"/>
        <v>0</v>
      </c>
      <c r="AD520" s="34">
        <f t="shared" si="474"/>
        <v>0</v>
      </c>
      <c r="AE520" s="34">
        <f t="shared" si="475"/>
        <v>0</v>
      </c>
      <c r="AF520" s="34">
        <f t="shared" si="476"/>
        <v>0</v>
      </c>
      <c r="AG520" s="29">
        <f t="shared" si="477"/>
        <v>790656.81348001235</v>
      </c>
      <c r="AH520" s="34">
        <f t="shared" si="478"/>
        <v>0</v>
      </c>
      <c r="AI520" s="34">
        <f t="shared" si="479"/>
        <v>0</v>
      </c>
      <c r="AJ520" s="34">
        <f t="shared" si="480"/>
        <v>0</v>
      </c>
      <c r="AK520" s="34">
        <f t="shared" si="481"/>
        <v>0</v>
      </c>
      <c r="AL520" s="34">
        <f t="shared" si="482"/>
        <v>0</v>
      </c>
      <c r="AM520" s="34">
        <f t="shared" si="483"/>
        <v>0</v>
      </c>
      <c r="AN520" s="34">
        <f t="shared" si="484"/>
        <v>0</v>
      </c>
      <c r="AO520" s="34">
        <f t="shared" si="485"/>
        <v>0</v>
      </c>
      <c r="AP520" s="34">
        <f t="shared" si="486"/>
        <v>0</v>
      </c>
      <c r="AQ520" s="34">
        <f t="shared" si="487"/>
        <v>0</v>
      </c>
      <c r="AR520" s="34">
        <f t="shared" si="488"/>
        <v>0</v>
      </c>
      <c r="AS520" s="30">
        <f t="shared" si="489"/>
        <v>1.5339777935796781</v>
      </c>
      <c r="AT520" s="29">
        <f t="shared" si="490"/>
        <v>0</v>
      </c>
      <c r="AU520" s="29">
        <f t="shared" si="491"/>
        <v>0</v>
      </c>
      <c r="AV520" s="34">
        <f t="shared" si="492"/>
        <v>0</v>
      </c>
      <c r="AW520" s="34">
        <f t="shared" si="493"/>
        <v>0</v>
      </c>
      <c r="AX520" s="29">
        <f t="shared" si="494"/>
        <v>0</v>
      </c>
      <c r="AY520" s="34">
        <f t="shared" si="495"/>
        <v>0</v>
      </c>
      <c r="AZ520" s="37">
        <f t="shared" si="496"/>
        <v>0</v>
      </c>
      <c r="BA520" s="37">
        <f t="shared" si="497"/>
        <v>0</v>
      </c>
      <c r="BB520" s="35">
        <f t="shared" si="498"/>
        <v>1.0126739536586715E-3</v>
      </c>
      <c r="BC520" s="31">
        <f t="shared" si="499"/>
        <v>0.59316933908255398</v>
      </c>
      <c r="BD520" s="34">
        <f t="shared" si="500"/>
        <v>0</v>
      </c>
    </row>
    <row r="521" spans="1:56" x14ac:dyDescent="0.2">
      <c r="A521" s="27">
        <f t="shared" si="501"/>
        <v>517</v>
      </c>
      <c r="B521" s="28">
        <f t="shared" si="448"/>
        <v>517</v>
      </c>
      <c r="C521" s="27">
        <f t="shared" si="449"/>
        <v>43</v>
      </c>
      <c r="D521" s="28">
        <f t="shared" si="450"/>
        <v>63</v>
      </c>
      <c r="E521" s="29">
        <f t="shared" si="451"/>
        <v>0</v>
      </c>
      <c r="F521" s="30">
        <f t="shared" si="452"/>
        <v>3.1253185129296781E-3</v>
      </c>
      <c r="G521" s="31">
        <f t="shared" si="453"/>
        <v>2.6081702468971901E-4</v>
      </c>
      <c r="H521" s="32">
        <f t="shared" si="454"/>
        <v>0.02</v>
      </c>
      <c r="I521" s="32">
        <f t="shared" si="455"/>
        <v>0</v>
      </c>
      <c r="J521" s="33">
        <f t="shared" si="502"/>
        <v>0</v>
      </c>
      <c r="K521" s="30">
        <f t="shared" si="456"/>
        <v>0</v>
      </c>
      <c r="L521" s="33">
        <f t="shared" si="457"/>
        <v>0</v>
      </c>
      <c r="M521" s="30">
        <f t="shared" si="458"/>
        <v>0</v>
      </c>
      <c r="N521" s="33">
        <f t="shared" si="459"/>
        <v>0</v>
      </c>
      <c r="O521" s="31">
        <f t="shared" si="460"/>
        <v>0</v>
      </c>
      <c r="P521" s="33">
        <f t="shared" si="461"/>
        <v>0</v>
      </c>
      <c r="Q521" s="34">
        <f t="shared" si="503"/>
        <v>794173.39638896671</v>
      </c>
      <c r="R521" s="29">
        <f t="shared" si="462"/>
        <v>0</v>
      </c>
      <c r="S521" s="34">
        <f t="shared" si="463"/>
        <v>794173.39638896671</v>
      </c>
      <c r="T521" s="29">
        <f t="shared" si="464"/>
        <v>661.81116365747232</v>
      </c>
      <c r="U521" s="29">
        <f t="shared" si="465"/>
        <v>0</v>
      </c>
      <c r="V521" s="35">
        <f t="shared" si="466"/>
        <v>2.8689872715869096E-4</v>
      </c>
      <c r="W521" s="34">
        <f t="shared" si="467"/>
        <v>0</v>
      </c>
      <c r="X521" s="34">
        <f t="shared" si="468"/>
        <v>793511.58522530925</v>
      </c>
      <c r="Y521" s="36">
        <f t="shared" si="469"/>
        <v>-9.1161604957074038E-3</v>
      </c>
      <c r="Z521" s="34">
        <f t="shared" si="470"/>
        <v>-7233.7789661171228</v>
      </c>
      <c r="AA521" s="34">
        <f t="shared" si="471"/>
        <v>789894.69574225065</v>
      </c>
      <c r="AB521" s="34">
        <f t="shared" si="472"/>
        <v>0</v>
      </c>
      <c r="AC521" s="34">
        <f t="shared" si="473"/>
        <v>0</v>
      </c>
      <c r="AD521" s="34">
        <f t="shared" si="474"/>
        <v>0</v>
      </c>
      <c r="AE521" s="34">
        <f t="shared" si="475"/>
        <v>0</v>
      </c>
      <c r="AF521" s="34">
        <f t="shared" si="476"/>
        <v>0</v>
      </c>
      <c r="AG521" s="29">
        <f t="shared" si="477"/>
        <v>789894.69574225065</v>
      </c>
      <c r="AH521" s="34">
        <f t="shared" si="478"/>
        <v>0</v>
      </c>
      <c r="AI521" s="34">
        <f t="shared" si="479"/>
        <v>0</v>
      </c>
      <c r="AJ521" s="34">
        <f t="shared" si="480"/>
        <v>0</v>
      </c>
      <c r="AK521" s="34">
        <f t="shared" si="481"/>
        <v>0</v>
      </c>
      <c r="AL521" s="34">
        <f t="shared" si="482"/>
        <v>0</v>
      </c>
      <c r="AM521" s="34">
        <f t="shared" si="483"/>
        <v>0</v>
      </c>
      <c r="AN521" s="34">
        <f t="shared" si="484"/>
        <v>0</v>
      </c>
      <c r="AO521" s="34">
        <f t="shared" si="485"/>
        <v>0</v>
      </c>
      <c r="AP521" s="34">
        <f t="shared" si="486"/>
        <v>0</v>
      </c>
      <c r="AQ521" s="34">
        <f t="shared" si="487"/>
        <v>0</v>
      </c>
      <c r="AR521" s="34">
        <f t="shared" si="488"/>
        <v>0</v>
      </c>
      <c r="AS521" s="30">
        <f t="shared" si="489"/>
        <v>1.5352502866260134</v>
      </c>
      <c r="AT521" s="29">
        <f t="shared" si="490"/>
        <v>0</v>
      </c>
      <c r="AU521" s="29">
        <f t="shared" si="491"/>
        <v>0</v>
      </c>
      <c r="AV521" s="34">
        <f t="shared" si="492"/>
        <v>0</v>
      </c>
      <c r="AW521" s="34">
        <f t="shared" si="493"/>
        <v>0</v>
      </c>
      <c r="AX521" s="29">
        <f t="shared" si="494"/>
        <v>0</v>
      </c>
      <c r="AY521" s="34">
        <f t="shared" si="495"/>
        <v>0</v>
      </c>
      <c r="AZ521" s="37">
        <f t="shared" si="496"/>
        <v>0</v>
      </c>
      <c r="BA521" s="37">
        <f t="shared" si="497"/>
        <v>0</v>
      </c>
      <c r="BB521" s="35">
        <f t="shared" si="498"/>
        <v>1.0126739536586715E-3</v>
      </c>
      <c r="BC521" s="31">
        <f t="shared" si="499"/>
        <v>0.59256925962759033</v>
      </c>
      <c r="BD521" s="34">
        <f t="shared" si="500"/>
        <v>0</v>
      </c>
    </row>
    <row r="522" spans="1:56" x14ac:dyDescent="0.2">
      <c r="A522" s="27">
        <f t="shared" si="501"/>
        <v>518</v>
      </c>
      <c r="B522" s="28">
        <f t="shared" si="448"/>
        <v>518</v>
      </c>
      <c r="C522" s="27">
        <f t="shared" si="449"/>
        <v>43</v>
      </c>
      <c r="D522" s="28">
        <f t="shared" si="450"/>
        <v>63</v>
      </c>
      <c r="E522" s="29">
        <f t="shared" si="451"/>
        <v>0</v>
      </c>
      <c r="F522" s="30">
        <f t="shared" si="452"/>
        <v>3.1253185129296781E-3</v>
      </c>
      <c r="G522" s="31">
        <f t="shared" si="453"/>
        <v>2.6081702468971901E-4</v>
      </c>
      <c r="H522" s="32">
        <f t="shared" si="454"/>
        <v>0.02</v>
      </c>
      <c r="I522" s="32">
        <f t="shared" si="455"/>
        <v>0</v>
      </c>
      <c r="J522" s="33">
        <f t="shared" si="502"/>
        <v>0</v>
      </c>
      <c r="K522" s="30">
        <f t="shared" si="456"/>
        <v>0</v>
      </c>
      <c r="L522" s="33">
        <f t="shared" si="457"/>
        <v>0</v>
      </c>
      <c r="M522" s="30">
        <f t="shared" si="458"/>
        <v>0</v>
      </c>
      <c r="N522" s="33">
        <f t="shared" si="459"/>
        <v>0</v>
      </c>
      <c r="O522" s="31">
        <f t="shared" si="460"/>
        <v>0</v>
      </c>
      <c r="P522" s="33">
        <f t="shared" si="461"/>
        <v>0</v>
      </c>
      <c r="Q522" s="34">
        <f t="shared" si="503"/>
        <v>786277.80625919218</v>
      </c>
      <c r="R522" s="29">
        <f t="shared" si="462"/>
        <v>0</v>
      </c>
      <c r="S522" s="34">
        <f t="shared" si="463"/>
        <v>786277.80625919218</v>
      </c>
      <c r="T522" s="29">
        <f t="shared" si="464"/>
        <v>655.23150521599348</v>
      </c>
      <c r="U522" s="29">
        <f t="shared" si="465"/>
        <v>0</v>
      </c>
      <c r="V522" s="35">
        <f t="shared" si="466"/>
        <v>2.8689872715869096E-4</v>
      </c>
      <c r="W522" s="34">
        <f t="shared" si="467"/>
        <v>0</v>
      </c>
      <c r="X522" s="34">
        <f t="shared" si="468"/>
        <v>785622.57475397619</v>
      </c>
      <c r="Y522" s="36">
        <f t="shared" si="469"/>
        <v>1.1122344326806033E-3</v>
      </c>
      <c r="Z522" s="34">
        <f t="shared" si="470"/>
        <v>873.79647873256351</v>
      </c>
      <c r="AA522" s="34">
        <f t="shared" si="471"/>
        <v>786059.47299334244</v>
      </c>
      <c r="AB522" s="34">
        <f t="shared" si="472"/>
        <v>0</v>
      </c>
      <c r="AC522" s="34">
        <f t="shared" si="473"/>
        <v>0</v>
      </c>
      <c r="AD522" s="34">
        <f t="shared" si="474"/>
        <v>0</v>
      </c>
      <c r="AE522" s="34">
        <f t="shared" si="475"/>
        <v>0</v>
      </c>
      <c r="AF522" s="34">
        <f t="shared" si="476"/>
        <v>0</v>
      </c>
      <c r="AG522" s="29">
        <f t="shared" si="477"/>
        <v>786059.47299334244</v>
      </c>
      <c r="AH522" s="34">
        <f t="shared" si="478"/>
        <v>0</v>
      </c>
      <c r="AI522" s="34">
        <f t="shared" si="479"/>
        <v>0</v>
      </c>
      <c r="AJ522" s="34">
        <f t="shared" si="480"/>
        <v>0</v>
      </c>
      <c r="AK522" s="34">
        <f t="shared" si="481"/>
        <v>0</v>
      </c>
      <c r="AL522" s="34">
        <f t="shared" si="482"/>
        <v>0</v>
      </c>
      <c r="AM522" s="34">
        <f t="shared" si="483"/>
        <v>0</v>
      </c>
      <c r="AN522" s="34">
        <f t="shared" si="484"/>
        <v>0</v>
      </c>
      <c r="AO522" s="34">
        <f t="shared" si="485"/>
        <v>0</v>
      </c>
      <c r="AP522" s="34">
        <f t="shared" si="486"/>
        <v>0</v>
      </c>
      <c r="AQ522" s="34">
        <f t="shared" si="487"/>
        <v>0</v>
      </c>
      <c r="AR522" s="34">
        <f t="shared" si="488"/>
        <v>0</v>
      </c>
      <c r="AS522" s="30">
        <f t="shared" si="489"/>
        <v>1.5365238352538304</v>
      </c>
      <c r="AT522" s="29">
        <f t="shared" si="490"/>
        <v>0</v>
      </c>
      <c r="AU522" s="29">
        <f t="shared" si="491"/>
        <v>0</v>
      </c>
      <c r="AV522" s="34">
        <f t="shared" si="492"/>
        <v>0</v>
      </c>
      <c r="AW522" s="34">
        <f t="shared" si="493"/>
        <v>0</v>
      </c>
      <c r="AX522" s="29">
        <f t="shared" si="494"/>
        <v>0</v>
      </c>
      <c r="AY522" s="34">
        <f t="shared" si="495"/>
        <v>0</v>
      </c>
      <c r="AZ522" s="37">
        <f t="shared" si="496"/>
        <v>0</v>
      </c>
      <c r="BA522" s="37">
        <f t="shared" si="497"/>
        <v>0</v>
      </c>
      <c r="BB522" s="35">
        <f t="shared" si="498"/>
        <v>1.0126739536586715E-3</v>
      </c>
      <c r="BC522" s="31">
        <f t="shared" si="499"/>
        <v>0.59196978724269678</v>
      </c>
      <c r="BD522" s="34">
        <f t="shared" si="500"/>
        <v>0</v>
      </c>
    </row>
    <row r="523" spans="1:56" x14ac:dyDescent="0.2">
      <c r="A523" s="27">
        <f t="shared" si="501"/>
        <v>519</v>
      </c>
      <c r="B523" s="28">
        <f t="shared" si="448"/>
        <v>519</v>
      </c>
      <c r="C523" s="27">
        <f t="shared" si="449"/>
        <v>43</v>
      </c>
      <c r="D523" s="28">
        <f t="shared" si="450"/>
        <v>63</v>
      </c>
      <c r="E523" s="29">
        <f t="shared" si="451"/>
        <v>0</v>
      </c>
      <c r="F523" s="30">
        <f t="shared" si="452"/>
        <v>3.1253185129296781E-3</v>
      </c>
      <c r="G523" s="31">
        <f t="shared" si="453"/>
        <v>2.6081702468971901E-4</v>
      </c>
      <c r="H523" s="32">
        <f t="shared" si="454"/>
        <v>0.02</v>
      </c>
      <c r="I523" s="32">
        <f t="shared" si="455"/>
        <v>0</v>
      </c>
      <c r="J523" s="33">
        <f t="shared" si="502"/>
        <v>0</v>
      </c>
      <c r="K523" s="30">
        <f t="shared" si="456"/>
        <v>0</v>
      </c>
      <c r="L523" s="33">
        <f t="shared" si="457"/>
        <v>0</v>
      </c>
      <c r="M523" s="30">
        <f t="shared" si="458"/>
        <v>0</v>
      </c>
      <c r="N523" s="33">
        <f t="shared" si="459"/>
        <v>0</v>
      </c>
      <c r="O523" s="31">
        <f t="shared" si="460"/>
        <v>0</v>
      </c>
      <c r="P523" s="33">
        <f t="shared" si="461"/>
        <v>0</v>
      </c>
      <c r="Q523" s="34">
        <f t="shared" si="503"/>
        <v>786496.3712327088</v>
      </c>
      <c r="R523" s="29">
        <f t="shared" si="462"/>
        <v>0</v>
      </c>
      <c r="S523" s="34">
        <f t="shared" si="463"/>
        <v>786496.3712327088</v>
      </c>
      <c r="T523" s="29">
        <f t="shared" si="464"/>
        <v>655.41364269392409</v>
      </c>
      <c r="U523" s="29">
        <f t="shared" si="465"/>
        <v>0</v>
      </c>
      <c r="V523" s="35">
        <f t="shared" si="466"/>
        <v>2.8689872715869096E-4</v>
      </c>
      <c r="W523" s="34">
        <f t="shared" si="467"/>
        <v>0</v>
      </c>
      <c r="X523" s="34">
        <f t="shared" si="468"/>
        <v>785840.95759001491</v>
      </c>
      <c r="Y523" s="36">
        <f t="shared" si="469"/>
        <v>3.8981828971791366E-3</v>
      </c>
      <c r="Z523" s="34">
        <f t="shared" si="470"/>
        <v>3063.3517807802714</v>
      </c>
      <c r="AA523" s="34">
        <f t="shared" si="471"/>
        <v>787372.63348040509</v>
      </c>
      <c r="AB523" s="34">
        <f t="shared" si="472"/>
        <v>0</v>
      </c>
      <c r="AC523" s="34">
        <f t="shared" si="473"/>
        <v>0</v>
      </c>
      <c r="AD523" s="34">
        <f t="shared" si="474"/>
        <v>0</v>
      </c>
      <c r="AE523" s="34">
        <f t="shared" si="475"/>
        <v>0</v>
      </c>
      <c r="AF523" s="34">
        <f t="shared" si="476"/>
        <v>0</v>
      </c>
      <c r="AG523" s="29">
        <f t="shared" si="477"/>
        <v>787372.63348040509</v>
      </c>
      <c r="AH523" s="34">
        <f t="shared" si="478"/>
        <v>0</v>
      </c>
      <c r="AI523" s="34">
        <f t="shared" si="479"/>
        <v>0</v>
      </c>
      <c r="AJ523" s="34">
        <f t="shared" si="480"/>
        <v>0</v>
      </c>
      <c r="AK523" s="34">
        <f t="shared" si="481"/>
        <v>0</v>
      </c>
      <c r="AL523" s="34">
        <f t="shared" si="482"/>
        <v>0</v>
      </c>
      <c r="AM523" s="34">
        <f t="shared" si="483"/>
        <v>0</v>
      </c>
      <c r="AN523" s="34">
        <f t="shared" si="484"/>
        <v>0</v>
      </c>
      <c r="AO523" s="34">
        <f t="shared" si="485"/>
        <v>0</v>
      </c>
      <c r="AP523" s="34">
        <f t="shared" si="486"/>
        <v>0</v>
      </c>
      <c r="AQ523" s="34">
        <f t="shared" si="487"/>
        <v>0</v>
      </c>
      <c r="AR523" s="34">
        <f t="shared" si="488"/>
        <v>0</v>
      </c>
      <c r="AS523" s="30">
        <f t="shared" si="489"/>
        <v>1.537798440338775</v>
      </c>
      <c r="AT523" s="29">
        <f t="shared" si="490"/>
        <v>0</v>
      </c>
      <c r="AU523" s="29">
        <f t="shared" si="491"/>
        <v>0</v>
      </c>
      <c r="AV523" s="34">
        <f t="shared" si="492"/>
        <v>0</v>
      </c>
      <c r="AW523" s="34">
        <f t="shared" si="493"/>
        <v>0</v>
      </c>
      <c r="AX523" s="29">
        <f t="shared" si="494"/>
        <v>0</v>
      </c>
      <c r="AY523" s="34">
        <f t="shared" si="495"/>
        <v>0</v>
      </c>
      <c r="AZ523" s="37">
        <f t="shared" si="496"/>
        <v>0</v>
      </c>
      <c r="BA523" s="37">
        <f t="shared" si="497"/>
        <v>0</v>
      </c>
      <c r="BB523" s="35">
        <f t="shared" si="498"/>
        <v>1.0126739536586715E-3</v>
      </c>
      <c r="BC523" s="31">
        <f t="shared" si="499"/>
        <v>0.59137092131373137</v>
      </c>
      <c r="BD523" s="34">
        <f t="shared" si="500"/>
        <v>0</v>
      </c>
    </row>
    <row r="524" spans="1:56" x14ac:dyDescent="0.2">
      <c r="A524" s="27">
        <f t="shared" si="501"/>
        <v>520</v>
      </c>
      <c r="B524" s="28">
        <f t="shared" si="448"/>
        <v>520</v>
      </c>
      <c r="C524" s="27">
        <f t="shared" si="449"/>
        <v>43</v>
      </c>
      <c r="D524" s="28">
        <f t="shared" si="450"/>
        <v>63</v>
      </c>
      <c r="E524" s="29">
        <f t="shared" si="451"/>
        <v>0</v>
      </c>
      <c r="F524" s="30">
        <f t="shared" si="452"/>
        <v>3.1253185129296781E-3</v>
      </c>
      <c r="G524" s="31">
        <f t="shared" si="453"/>
        <v>2.6081702468971901E-4</v>
      </c>
      <c r="H524" s="32">
        <f t="shared" si="454"/>
        <v>0.02</v>
      </c>
      <c r="I524" s="32">
        <f t="shared" si="455"/>
        <v>0</v>
      </c>
      <c r="J524" s="33">
        <f t="shared" si="502"/>
        <v>0</v>
      </c>
      <c r="K524" s="30">
        <f t="shared" si="456"/>
        <v>0</v>
      </c>
      <c r="L524" s="33">
        <f t="shared" si="457"/>
        <v>0</v>
      </c>
      <c r="M524" s="30">
        <f t="shared" si="458"/>
        <v>0</v>
      </c>
      <c r="N524" s="33">
        <f t="shared" si="459"/>
        <v>0</v>
      </c>
      <c r="O524" s="31">
        <f t="shared" si="460"/>
        <v>0</v>
      </c>
      <c r="P524" s="33">
        <f t="shared" si="461"/>
        <v>0</v>
      </c>
      <c r="Q524" s="34">
        <f t="shared" si="503"/>
        <v>788904.30937079515</v>
      </c>
      <c r="R524" s="29">
        <f t="shared" si="462"/>
        <v>0</v>
      </c>
      <c r="S524" s="34">
        <f t="shared" si="463"/>
        <v>788904.30937079515</v>
      </c>
      <c r="T524" s="29">
        <f t="shared" si="464"/>
        <v>657.42025780899598</v>
      </c>
      <c r="U524" s="29">
        <f t="shared" si="465"/>
        <v>0</v>
      </c>
      <c r="V524" s="35">
        <f t="shared" si="466"/>
        <v>2.8689872715869096E-4</v>
      </c>
      <c r="W524" s="34">
        <f t="shared" si="467"/>
        <v>0</v>
      </c>
      <c r="X524" s="34">
        <f t="shared" si="468"/>
        <v>788246.88911298616</v>
      </c>
      <c r="Y524" s="36">
        <f t="shared" si="469"/>
        <v>1.8901329616167084E-2</v>
      </c>
      <c r="Z524" s="34">
        <f t="shared" si="470"/>
        <v>14898.914270042857</v>
      </c>
      <c r="AA524" s="34">
        <f t="shared" si="471"/>
        <v>795696.34624800761</v>
      </c>
      <c r="AB524" s="34">
        <f t="shared" si="472"/>
        <v>0</v>
      </c>
      <c r="AC524" s="34">
        <f t="shared" si="473"/>
        <v>0</v>
      </c>
      <c r="AD524" s="34">
        <f t="shared" si="474"/>
        <v>0</v>
      </c>
      <c r="AE524" s="34">
        <f t="shared" si="475"/>
        <v>0</v>
      </c>
      <c r="AF524" s="34">
        <f t="shared" si="476"/>
        <v>0</v>
      </c>
      <c r="AG524" s="29">
        <f t="shared" si="477"/>
        <v>795696.34624800761</v>
      </c>
      <c r="AH524" s="34">
        <f t="shared" si="478"/>
        <v>0</v>
      </c>
      <c r="AI524" s="34">
        <f t="shared" si="479"/>
        <v>0</v>
      </c>
      <c r="AJ524" s="34">
        <f t="shared" si="480"/>
        <v>0</v>
      </c>
      <c r="AK524" s="34">
        <f t="shared" si="481"/>
        <v>0</v>
      </c>
      <c r="AL524" s="34">
        <f t="shared" si="482"/>
        <v>0</v>
      </c>
      <c r="AM524" s="34">
        <f t="shared" si="483"/>
        <v>0</v>
      </c>
      <c r="AN524" s="34">
        <f t="shared" si="484"/>
        <v>0</v>
      </c>
      <c r="AO524" s="34">
        <f t="shared" si="485"/>
        <v>0</v>
      </c>
      <c r="AP524" s="34">
        <f t="shared" si="486"/>
        <v>0</v>
      </c>
      <c r="AQ524" s="34">
        <f t="shared" si="487"/>
        <v>0</v>
      </c>
      <c r="AR524" s="34">
        <f t="shared" si="488"/>
        <v>0</v>
      </c>
      <c r="AS524" s="30">
        <f t="shared" si="489"/>
        <v>1.5390741027572183</v>
      </c>
      <c r="AT524" s="29">
        <f t="shared" si="490"/>
        <v>0</v>
      </c>
      <c r="AU524" s="29">
        <f t="shared" si="491"/>
        <v>0</v>
      </c>
      <c r="AV524" s="34">
        <f t="shared" si="492"/>
        <v>0</v>
      </c>
      <c r="AW524" s="34">
        <f t="shared" si="493"/>
        <v>0</v>
      </c>
      <c r="AX524" s="29">
        <f t="shared" si="494"/>
        <v>0</v>
      </c>
      <c r="AY524" s="34">
        <f t="shared" si="495"/>
        <v>0</v>
      </c>
      <c r="AZ524" s="37">
        <f t="shared" si="496"/>
        <v>0</v>
      </c>
      <c r="BA524" s="37">
        <f t="shared" si="497"/>
        <v>0</v>
      </c>
      <c r="BB524" s="35">
        <f t="shared" si="498"/>
        <v>1.0126739536586715E-3</v>
      </c>
      <c r="BC524" s="31">
        <f t="shared" si="499"/>
        <v>0.59077266122717298</v>
      </c>
      <c r="BD524" s="34">
        <f t="shared" si="500"/>
        <v>0</v>
      </c>
    </row>
    <row r="525" spans="1:56" x14ac:dyDescent="0.2">
      <c r="A525" s="27">
        <f t="shared" si="501"/>
        <v>521</v>
      </c>
      <c r="B525" s="28">
        <f t="shared" si="448"/>
        <v>521</v>
      </c>
      <c r="C525" s="27">
        <f t="shared" si="449"/>
        <v>43</v>
      </c>
      <c r="D525" s="28">
        <f t="shared" si="450"/>
        <v>63</v>
      </c>
      <c r="E525" s="29">
        <f t="shared" si="451"/>
        <v>0</v>
      </c>
      <c r="F525" s="30">
        <f t="shared" si="452"/>
        <v>3.1253185129296781E-3</v>
      </c>
      <c r="G525" s="31">
        <f t="shared" si="453"/>
        <v>2.6081702468971901E-4</v>
      </c>
      <c r="H525" s="32">
        <f t="shared" si="454"/>
        <v>0.02</v>
      </c>
      <c r="I525" s="32">
        <f t="shared" si="455"/>
        <v>0</v>
      </c>
      <c r="J525" s="33">
        <f t="shared" si="502"/>
        <v>0</v>
      </c>
      <c r="K525" s="30">
        <f t="shared" si="456"/>
        <v>0</v>
      </c>
      <c r="L525" s="33">
        <f t="shared" si="457"/>
        <v>0</v>
      </c>
      <c r="M525" s="30">
        <f t="shared" si="458"/>
        <v>0</v>
      </c>
      <c r="N525" s="33">
        <f t="shared" si="459"/>
        <v>0</v>
      </c>
      <c r="O525" s="31">
        <f t="shared" si="460"/>
        <v>0</v>
      </c>
      <c r="P525" s="33">
        <f t="shared" si="461"/>
        <v>0</v>
      </c>
      <c r="Q525" s="34">
        <f t="shared" si="503"/>
        <v>803145.80338302907</v>
      </c>
      <c r="R525" s="29">
        <f t="shared" si="462"/>
        <v>0</v>
      </c>
      <c r="S525" s="34">
        <f t="shared" si="463"/>
        <v>803145.80338302907</v>
      </c>
      <c r="T525" s="29">
        <f t="shared" si="464"/>
        <v>669.28816948585757</v>
      </c>
      <c r="U525" s="29">
        <f t="shared" si="465"/>
        <v>0</v>
      </c>
      <c r="V525" s="35">
        <f t="shared" si="466"/>
        <v>2.8689872715869096E-4</v>
      </c>
      <c r="W525" s="34">
        <f t="shared" si="467"/>
        <v>0</v>
      </c>
      <c r="X525" s="34">
        <f t="shared" si="468"/>
        <v>802476.5152135432</v>
      </c>
      <c r="Y525" s="36">
        <f t="shared" si="469"/>
        <v>1.4159682654252492E-2</v>
      </c>
      <c r="Z525" s="34">
        <f t="shared" si="470"/>
        <v>11362.812792914194</v>
      </c>
      <c r="AA525" s="34">
        <f t="shared" si="471"/>
        <v>808157.92161000031</v>
      </c>
      <c r="AB525" s="34">
        <f t="shared" si="472"/>
        <v>0</v>
      </c>
      <c r="AC525" s="34">
        <f t="shared" si="473"/>
        <v>0</v>
      </c>
      <c r="AD525" s="34">
        <f t="shared" si="474"/>
        <v>0</v>
      </c>
      <c r="AE525" s="34">
        <f t="shared" si="475"/>
        <v>0</v>
      </c>
      <c r="AF525" s="34">
        <f t="shared" si="476"/>
        <v>0</v>
      </c>
      <c r="AG525" s="29">
        <f t="shared" si="477"/>
        <v>808157.92161000031</v>
      </c>
      <c r="AH525" s="34">
        <f t="shared" si="478"/>
        <v>0</v>
      </c>
      <c r="AI525" s="34">
        <f t="shared" si="479"/>
        <v>0</v>
      </c>
      <c r="AJ525" s="34">
        <f t="shared" si="480"/>
        <v>0</v>
      </c>
      <c r="AK525" s="34">
        <f t="shared" si="481"/>
        <v>0</v>
      </c>
      <c r="AL525" s="34">
        <f t="shared" si="482"/>
        <v>0</v>
      </c>
      <c r="AM525" s="34">
        <f t="shared" si="483"/>
        <v>0</v>
      </c>
      <c r="AN525" s="34">
        <f t="shared" si="484"/>
        <v>0</v>
      </c>
      <c r="AO525" s="34">
        <f t="shared" si="485"/>
        <v>0</v>
      </c>
      <c r="AP525" s="34">
        <f t="shared" si="486"/>
        <v>0</v>
      </c>
      <c r="AQ525" s="34">
        <f t="shared" si="487"/>
        <v>0</v>
      </c>
      <c r="AR525" s="34">
        <f t="shared" si="488"/>
        <v>0</v>
      </c>
      <c r="AS525" s="30">
        <f t="shared" si="489"/>
        <v>1.5403508233862586</v>
      </c>
      <c r="AT525" s="29">
        <f t="shared" si="490"/>
        <v>0</v>
      </c>
      <c r="AU525" s="29">
        <f t="shared" si="491"/>
        <v>0</v>
      </c>
      <c r="AV525" s="34">
        <f t="shared" si="492"/>
        <v>0</v>
      </c>
      <c r="AW525" s="34">
        <f t="shared" si="493"/>
        <v>0</v>
      </c>
      <c r="AX525" s="29">
        <f t="shared" si="494"/>
        <v>0</v>
      </c>
      <c r="AY525" s="34">
        <f t="shared" si="495"/>
        <v>0</v>
      </c>
      <c r="AZ525" s="37">
        <f t="shared" si="496"/>
        <v>0</v>
      </c>
      <c r="BA525" s="37">
        <f t="shared" si="497"/>
        <v>0</v>
      </c>
      <c r="BB525" s="35">
        <f t="shared" si="498"/>
        <v>1.0126739536586715E-3</v>
      </c>
      <c r="BC525" s="31">
        <f t="shared" si="499"/>
        <v>0.59017500637012166</v>
      </c>
      <c r="BD525" s="34">
        <f t="shared" si="500"/>
        <v>0</v>
      </c>
    </row>
    <row r="526" spans="1:56" x14ac:dyDescent="0.2">
      <c r="A526" s="27">
        <f t="shared" si="501"/>
        <v>522</v>
      </c>
      <c r="B526" s="28">
        <f t="shared" si="448"/>
        <v>522</v>
      </c>
      <c r="C526" s="27">
        <f t="shared" si="449"/>
        <v>43</v>
      </c>
      <c r="D526" s="28">
        <f t="shared" si="450"/>
        <v>63</v>
      </c>
      <c r="E526" s="29">
        <f t="shared" si="451"/>
        <v>0</v>
      </c>
      <c r="F526" s="30">
        <f t="shared" si="452"/>
        <v>3.1253185129296781E-3</v>
      </c>
      <c r="G526" s="31">
        <f t="shared" si="453"/>
        <v>2.6081702468971901E-4</v>
      </c>
      <c r="H526" s="32">
        <f t="shared" si="454"/>
        <v>0.02</v>
      </c>
      <c r="I526" s="32">
        <f t="shared" si="455"/>
        <v>0</v>
      </c>
      <c r="J526" s="33">
        <f t="shared" si="502"/>
        <v>0</v>
      </c>
      <c r="K526" s="30">
        <f t="shared" si="456"/>
        <v>0</v>
      </c>
      <c r="L526" s="33">
        <f t="shared" si="457"/>
        <v>0</v>
      </c>
      <c r="M526" s="30">
        <f t="shared" si="458"/>
        <v>0</v>
      </c>
      <c r="N526" s="33">
        <f t="shared" si="459"/>
        <v>0</v>
      </c>
      <c r="O526" s="31">
        <f t="shared" si="460"/>
        <v>0</v>
      </c>
      <c r="P526" s="33">
        <f t="shared" si="461"/>
        <v>0</v>
      </c>
      <c r="Q526" s="34">
        <f t="shared" si="503"/>
        <v>813839.32800645742</v>
      </c>
      <c r="R526" s="29">
        <f t="shared" si="462"/>
        <v>0</v>
      </c>
      <c r="S526" s="34">
        <f t="shared" si="463"/>
        <v>813839.32800645742</v>
      </c>
      <c r="T526" s="29">
        <f t="shared" si="464"/>
        <v>678.19944000538123</v>
      </c>
      <c r="U526" s="29">
        <f t="shared" si="465"/>
        <v>0</v>
      </c>
      <c r="V526" s="35">
        <f t="shared" si="466"/>
        <v>2.8689872715869096E-4</v>
      </c>
      <c r="W526" s="34">
        <f t="shared" si="467"/>
        <v>0</v>
      </c>
      <c r="X526" s="34">
        <f t="shared" si="468"/>
        <v>813161.12856645207</v>
      </c>
      <c r="Y526" s="36">
        <f t="shared" si="469"/>
        <v>-4.0736381644702613E-3</v>
      </c>
      <c r="Z526" s="34">
        <f t="shared" si="470"/>
        <v>-3312.5242071920079</v>
      </c>
      <c r="AA526" s="34">
        <f t="shared" si="471"/>
        <v>811504.86646285607</v>
      </c>
      <c r="AB526" s="34">
        <f t="shared" si="472"/>
        <v>0</v>
      </c>
      <c r="AC526" s="34">
        <f t="shared" si="473"/>
        <v>0</v>
      </c>
      <c r="AD526" s="34">
        <f t="shared" si="474"/>
        <v>0</v>
      </c>
      <c r="AE526" s="34">
        <f t="shared" si="475"/>
        <v>0</v>
      </c>
      <c r="AF526" s="34">
        <f t="shared" si="476"/>
        <v>0</v>
      </c>
      <c r="AG526" s="29">
        <f t="shared" si="477"/>
        <v>811504.86646285607</v>
      </c>
      <c r="AH526" s="34">
        <f t="shared" si="478"/>
        <v>0</v>
      </c>
      <c r="AI526" s="34">
        <f t="shared" si="479"/>
        <v>0</v>
      </c>
      <c r="AJ526" s="34">
        <f t="shared" si="480"/>
        <v>0</v>
      </c>
      <c r="AK526" s="34">
        <f t="shared" si="481"/>
        <v>0</v>
      </c>
      <c r="AL526" s="34">
        <f t="shared" si="482"/>
        <v>0</v>
      </c>
      <c r="AM526" s="34">
        <f t="shared" si="483"/>
        <v>0</v>
      </c>
      <c r="AN526" s="34">
        <f t="shared" si="484"/>
        <v>0</v>
      </c>
      <c r="AO526" s="34">
        <f t="shared" si="485"/>
        <v>0</v>
      </c>
      <c r="AP526" s="34">
        <f t="shared" si="486"/>
        <v>0</v>
      </c>
      <c r="AQ526" s="34">
        <f t="shared" si="487"/>
        <v>0</v>
      </c>
      <c r="AR526" s="34">
        <f t="shared" si="488"/>
        <v>0</v>
      </c>
      <c r="AS526" s="30">
        <f t="shared" si="489"/>
        <v>1.5416286031037221</v>
      </c>
      <c r="AT526" s="29">
        <f t="shared" si="490"/>
        <v>0</v>
      </c>
      <c r="AU526" s="29">
        <f t="shared" si="491"/>
        <v>0</v>
      </c>
      <c r="AV526" s="34">
        <f t="shared" si="492"/>
        <v>0</v>
      </c>
      <c r="AW526" s="34">
        <f t="shared" si="493"/>
        <v>0</v>
      </c>
      <c r="AX526" s="29">
        <f t="shared" si="494"/>
        <v>0</v>
      </c>
      <c r="AY526" s="34">
        <f t="shared" si="495"/>
        <v>0</v>
      </c>
      <c r="AZ526" s="37">
        <f t="shared" si="496"/>
        <v>0</v>
      </c>
      <c r="BA526" s="37">
        <f t="shared" si="497"/>
        <v>0</v>
      </c>
      <c r="BB526" s="35">
        <f t="shared" si="498"/>
        <v>1.0126739536586715E-3</v>
      </c>
      <c r="BC526" s="31">
        <f t="shared" si="499"/>
        <v>0.58957795613029718</v>
      </c>
      <c r="BD526" s="34">
        <f t="shared" si="500"/>
        <v>0</v>
      </c>
    </row>
    <row r="527" spans="1:56" x14ac:dyDescent="0.2">
      <c r="A527" s="27">
        <f t="shared" si="501"/>
        <v>523</v>
      </c>
      <c r="B527" s="28">
        <f t="shared" si="448"/>
        <v>523</v>
      </c>
      <c r="C527" s="27">
        <f t="shared" si="449"/>
        <v>43</v>
      </c>
      <c r="D527" s="28">
        <f t="shared" si="450"/>
        <v>63</v>
      </c>
      <c r="E527" s="29">
        <f t="shared" si="451"/>
        <v>0</v>
      </c>
      <c r="F527" s="30">
        <f t="shared" si="452"/>
        <v>3.1253185129296781E-3</v>
      </c>
      <c r="G527" s="31">
        <f t="shared" si="453"/>
        <v>2.6081702468971901E-4</v>
      </c>
      <c r="H527" s="32">
        <f t="shared" si="454"/>
        <v>0.02</v>
      </c>
      <c r="I527" s="32">
        <f t="shared" si="455"/>
        <v>0</v>
      </c>
      <c r="J527" s="33">
        <f t="shared" si="502"/>
        <v>0</v>
      </c>
      <c r="K527" s="30">
        <f t="shared" si="456"/>
        <v>0</v>
      </c>
      <c r="L527" s="33">
        <f t="shared" si="457"/>
        <v>0</v>
      </c>
      <c r="M527" s="30">
        <f t="shared" si="458"/>
        <v>0</v>
      </c>
      <c r="N527" s="33">
        <f t="shared" si="459"/>
        <v>0</v>
      </c>
      <c r="O527" s="31">
        <f t="shared" si="460"/>
        <v>0</v>
      </c>
      <c r="P527" s="33">
        <f t="shared" si="461"/>
        <v>0</v>
      </c>
      <c r="Q527" s="34">
        <f t="shared" si="503"/>
        <v>809848.60435926006</v>
      </c>
      <c r="R527" s="29">
        <f t="shared" si="462"/>
        <v>0</v>
      </c>
      <c r="S527" s="34">
        <f t="shared" si="463"/>
        <v>809848.60435926006</v>
      </c>
      <c r="T527" s="29">
        <f t="shared" si="464"/>
        <v>674.87383696605013</v>
      </c>
      <c r="U527" s="29">
        <f t="shared" si="465"/>
        <v>0</v>
      </c>
      <c r="V527" s="35">
        <f t="shared" si="466"/>
        <v>2.8689872715869096E-4</v>
      </c>
      <c r="W527" s="34">
        <f t="shared" si="467"/>
        <v>0</v>
      </c>
      <c r="X527" s="34">
        <f t="shared" si="468"/>
        <v>809173.73052229406</v>
      </c>
      <c r="Y527" s="36">
        <f t="shared" si="469"/>
        <v>-3.453301186779667E-3</v>
      </c>
      <c r="Z527" s="34">
        <f t="shared" si="470"/>
        <v>-2794.3206039235683</v>
      </c>
      <c r="AA527" s="34">
        <f t="shared" si="471"/>
        <v>807776.57022033224</v>
      </c>
      <c r="AB527" s="34">
        <f t="shared" si="472"/>
        <v>0</v>
      </c>
      <c r="AC527" s="34">
        <f t="shared" si="473"/>
        <v>0</v>
      </c>
      <c r="AD527" s="34">
        <f t="shared" si="474"/>
        <v>0</v>
      </c>
      <c r="AE527" s="34">
        <f t="shared" si="475"/>
        <v>0</v>
      </c>
      <c r="AF527" s="34">
        <f t="shared" si="476"/>
        <v>0</v>
      </c>
      <c r="AG527" s="29">
        <f t="shared" si="477"/>
        <v>807776.57022033224</v>
      </c>
      <c r="AH527" s="34">
        <f t="shared" si="478"/>
        <v>0</v>
      </c>
      <c r="AI527" s="34">
        <f t="shared" si="479"/>
        <v>0</v>
      </c>
      <c r="AJ527" s="34">
        <f t="shared" si="480"/>
        <v>0</v>
      </c>
      <c r="AK527" s="34">
        <f t="shared" si="481"/>
        <v>0</v>
      </c>
      <c r="AL527" s="34">
        <f t="shared" si="482"/>
        <v>0</v>
      </c>
      <c r="AM527" s="34">
        <f t="shared" si="483"/>
        <v>0</v>
      </c>
      <c r="AN527" s="34">
        <f t="shared" si="484"/>
        <v>0</v>
      </c>
      <c r="AO527" s="34">
        <f t="shared" si="485"/>
        <v>0</v>
      </c>
      <c r="AP527" s="34">
        <f t="shared" si="486"/>
        <v>0</v>
      </c>
      <c r="AQ527" s="34">
        <f t="shared" si="487"/>
        <v>0</v>
      </c>
      <c r="AR527" s="34">
        <f t="shared" si="488"/>
        <v>0</v>
      </c>
      <c r="AS527" s="30">
        <f t="shared" si="489"/>
        <v>1.5429074427881631</v>
      </c>
      <c r="AT527" s="29">
        <f t="shared" si="490"/>
        <v>0</v>
      </c>
      <c r="AU527" s="29">
        <f t="shared" si="491"/>
        <v>0</v>
      </c>
      <c r="AV527" s="34">
        <f t="shared" si="492"/>
        <v>0</v>
      </c>
      <c r="AW527" s="34">
        <f t="shared" si="493"/>
        <v>0</v>
      </c>
      <c r="AX527" s="29">
        <f t="shared" si="494"/>
        <v>0</v>
      </c>
      <c r="AY527" s="34">
        <f t="shared" si="495"/>
        <v>0</v>
      </c>
      <c r="AZ527" s="37">
        <f t="shared" si="496"/>
        <v>0</v>
      </c>
      <c r="BA527" s="37">
        <f t="shared" si="497"/>
        <v>0</v>
      </c>
      <c r="BB527" s="35">
        <f t="shared" si="498"/>
        <v>1.0126739536586715E-3</v>
      </c>
      <c r="BC527" s="31">
        <f t="shared" si="499"/>
        <v>0.58898150989603892</v>
      </c>
      <c r="BD527" s="34">
        <f t="shared" si="500"/>
        <v>0</v>
      </c>
    </row>
    <row r="528" spans="1:56" x14ac:dyDescent="0.2">
      <c r="A528" s="27">
        <f t="shared" si="501"/>
        <v>524</v>
      </c>
      <c r="B528" s="28">
        <f t="shared" si="448"/>
        <v>524</v>
      </c>
      <c r="C528" s="27">
        <f t="shared" si="449"/>
        <v>43</v>
      </c>
      <c r="D528" s="28">
        <f t="shared" si="450"/>
        <v>63</v>
      </c>
      <c r="E528" s="29">
        <f t="shared" si="451"/>
        <v>0</v>
      </c>
      <c r="F528" s="30">
        <f t="shared" si="452"/>
        <v>3.1253185129296781E-3</v>
      </c>
      <c r="G528" s="31">
        <f t="shared" si="453"/>
        <v>2.6081702468971901E-4</v>
      </c>
      <c r="H528" s="32">
        <f t="shared" si="454"/>
        <v>0.02</v>
      </c>
      <c r="I528" s="32">
        <f t="shared" si="455"/>
        <v>0</v>
      </c>
      <c r="J528" s="33">
        <f t="shared" si="502"/>
        <v>0</v>
      </c>
      <c r="K528" s="30">
        <f t="shared" si="456"/>
        <v>0</v>
      </c>
      <c r="L528" s="33">
        <f t="shared" si="457"/>
        <v>0</v>
      </c>
      <c r="M528" s="30">
        <f t="shared" si="458"/>
        <v>0</v>
      </c>
      <c r="N528" s="33">
        <f t="shared" si="459"/>
        <v>0</v>
      </c>
      <c r="O528" s="31">
        <f t="shared" si="460"/>
        <v>0</v>
      </c>
      <c r="P528" s="33">
        <f t="shared" si="461"/>
        <v>0</v>
      </c>
      <c r="Q528" s="34">
        <f t="shared" si="503"/>
        <v>806379.40991837054</v>
      </c>
      <c r="R528" s="29">
        <f t="shared" si="462"/>
        <v>0</v>
      </c>
      <c r="S528" s="34">
        <f t="shared" si="463"/>
        <v>806379.40991837054</v>
      </c>
      <c r="T528" s="29">
        <f t="shared" si="464"/>
        <v>671.98284159864215</v>
      </c>
      <c r="U528" s="29">
        <f t="shared" si="465"/>
        <v>0</v>
      </c>
      <c r="V528" s="35">
        <f t="shared" si="466"/>
        <v>2.8689872715869096E-4</v>
      </c>
      <c r="W528" s="34">
        <f t="shared" si="467"/>
        <v>0</v>
      </c>
      <c r="X528" s="34">
        <f t="shared" si="468"/>
        <v>805707.42707677186</v>
      </c>
      <c r="Y528" s="36">
        <f t="shared" si="469"/>
        <v>-3.5515015228754221E-3</v>
      </c>
      <c r="Z528" s="34">
        <f t="shared" si="470"/>
        <v>-2861.4711542551931</v>
      </c>
      <c r="AA528" s="34">
        <f t="shared" si="471"/>
        <v>804276.69149964431</v>
      </c>
      <c r="AB528" s="34">
        <f t="shared" si="472"/>
        <v>0</v>
      </c>
      <c r="AC528" s="34">
        <f t="shared" si="473"/>
        <v>0</v>
      </c>
      <c r="AD528" s="34">
        <f t="shared" si="474"/>
        <v>0</v>
      </c>
      <c r="AE528" s="34">
        <f t="shared" si="475"/>
        <v>0</v>
      </c>
      <c r="AF528" s="34">
        <f t="shared" si="476"/>
        <v>0</v>
      </c>
      <c r="AG528" s="29">
        <f t="shared" si="477"/>
        <v>804276.69149964431</v>
      </c>
      <c r="AH528" s="34">
        <f t="shared" si="478"/>
        <v>0</v>
      </c>
      <c r="AI528" s="34">
        <f t="shared" si="479"/>
        <v>0</v>
      </c>
      <c r="AJ528" s="34">
        <f t="shared" si="480"/>
        <v>0</v>
      </c>
      <c r="AK528" s="34">
        <f t="shared" si="481"/>
        <v>0</v>
      </c>
      <c r="AL528" s="34">
        <f t="shared" si="482"/>
        <v>0</v>
      </c>
      <c r="AM528" s="34">
        <f t="shared" si="483"/>
        <v>0</v>
      </c>
      <c r="AN528" s="34">
        <f t="shared" si="484"/>
        <v>0</v>
      </c>
      <c r="AO528" s="34">
        <f t="shared" si="485"/>
        <v>0</v>
      </c>
      <c r="AP528" s="34">
        <f t="shared" si="486"/>
        <v>0</v>
      </c>
      <c r="AQ528" s="34">
        <f t="shared" si="487"/>
        <v>0</v>
      </c>
      <c r="AR528" s="34">
        <f t="shared" si="488"/>
        <v>0</v>
      </c>
      <c r="AS528" s="30">
        <f t="shared" si="489"/>
        <v>1.5441873433188642</v>
      </c>
      <c r="AT528" s="29">
        <f t="shared" si="490"/>
        <v>0</v>
      </c>
      <c r="AU528" s="29">
        <f t="shared" si="491"/>
        <v>0</v>
      </c>
      <c r="AV528" s="34">
        <f t="shared" si="492"/>
        <v>0</v>
      </c>
      <c r="AW528" s="34">
        <f t="shared" si="493"/>
        <v>0</v>
      </c>
      <c r="AX528" s="29">
        <f t="shared" si="494"/>
        <v>0</v>
      </c>
      <c r="AY528" s="34">
        <f t="shared" si="495"/>
        <v>0</v>
      </c>
      <c r="AZ528" s="37">
        <f t="shared" si="496"/>
        <v>0</v>
      </c>
      <c r="BA528" s="37">
        <f t="shared" si="497"/>
        <v>0</v>
      </c>
      <c r="BB528" s="35">
        <f t="shared" si="498"/>
        <v>1.0126739536586715E-3</v>
      </c>
      <c r="BC528" s="31">
        <f t="shared" si="499"/>
        <v>0.58838566705630502</v>
      </c>
      <c r="BD528" s="34">
        <f t="shared" si="500"/>
        <v>0</v>
      </c>
    </row>
    <row r="529" spans="1:56" x14ac:dyDescent="0.2">
      <c r="A529" s="27">
        <f t="shared" si="501"/>
        <v>525</v>
      </c>
      <c r="B529" s="28">
        <f t="shared" si="448"/>
        <v>525</v>
      </c>
      <c r="C529" s="27">
        <f t="shared" si="449"/>
        <v>43</v>
      </c>
      <c r="D529" s="28">
        <f t="shared" si="450"/>
        <v>63</v>
      </c>
      <c r="E529" s="29">
        <f t="shared" si="451"/>
        <v>0</v>
      </c>
      <c r="F529" s="30">
        <f t="shared" si="452"/>
        <v>3.1253185129296781E-3</v>
      </c>
      <c r="G529" s="31">
        <f t="shared" si="453"/>
        <v>2.6081702468971901E-4</v>
      </c>
      <c r="H529" s="32">
        <f t="shared" si="454"/>
        <v>0.02</v>
      </c>
      <c r="I529" s="32">
        <f t="shared" si="455"/>
        <v>0</v>
      </c>
      <c r="J529" s="33">
        <f t="shared" si="502"/>
        <v>0</v>
      </c>
      <c r="K529" s="30">
        <f t="shared" si="456"/>
        <v>0</v>
      </c>
      <c r="L529" s="33">
        <f t="shared" si="457"/>
        <v>0</v>
      </c>
      <c r="M529" s="30">
        <f t="shared" si="458"/>
        <v>0</v>
      </c>
      <c r="N529" s="33">
        <f t="shared" si="459"/>
        <v>0</v>
      </c>
      <c r="O529" s="31">
        <f t="shared" si="460"/>
        <v>0</v>
      </c>
      <c r="P529" s="33">
        <f t="shared" si="461"/>
        <v>0</v>
      </c>
      <c r="Q529" s="34">
        <f t="shared" si="503"/>
        <v>802845.95592251664</v>
      </c>
      <c r="R529" s="29">
        <f t="shared" si="462"/>
        <v>0</v>
      </c>
      <c r="S529" s="34">
        <f t="shared" si="463"/>
        <v>802845.95592251664</v>
      </c>
      <c r="T529" s="29">
        <f t="shared" si="464"/>
        <v>669.03829660209726</v>
      </c>
      <c r="U529" s="29">
        <f t="shared" si="465"/>
        <v>0</v>
      </c>
      <c r="V529" s="35">
        <f t="shared" si="466"/>
        <v>2.8689872715869096E-4</v>
      </c>
      <c r="W529" s="34">
        <f t="shared" si="467"/>
        <v>0</v>
      </c>
      <c r="X529" s="34">
        <f t="shared" si="468"/>
        <v>802176.91762591456</v>
      </c>
      <c r="Y529" s="36">
        <f t="shared" si="469"/>
        <v>1.8433338113165609E-2</v>
      </c>
      <c r="Z529" s="34">
        <f t="shared" si="470"/>
        <v>14786.79834917548</v>
      </c>
      <c r="AA529" s="34">
        <f t="shared" si="471"/>
        <v>809570.31680050225</v>
      </c>
      <c r="AB529" s="34">
        <f t="shared" si="472"/>
        <v>0</v>
      </c>
      <c r="AC529" s="34">
        <f t="shared" si="473"/>
        <v>0</v>
      </c>
      <c r="AD529" s="34">
        <f t="shared" si="474"/>
        <v>0</v>
      </c>
      <c r="AE529" s="34">
        <f t="shared" si="475"/>
        <v>0</v>
      </c>
      <c r="AF529" s="34">
        <f t="shared" si="476"/>
        <v>0</v>
      </c>
      <c r="AG529" s="29">
        <f t="shared" si="477"/>
        <v>809570.31680050225</v>
      </c>
      <c r="AH529" s="34">
        <f t="shared" si="478"/>
        <v>0</v>
      </c>
      <c r="AI529" s="34">
        <f t="shared" si="479"/>
        <v>0</v>
      </c>
      <c r="AJ529" s="34">
        <f t="shared" si="480"/>
        <v>0</v>
      </c>
      <c r="AK529" s="34">
        <f t="shared" si="481"/>
        <v>0</v>
      </c>
      <c r="AL529" s="34">
        <f t="shared" si="482"/>
        <v>0</v>
      </c>
      <c r="AM529" s="34">
        <f t="shared" si="483"/>
        <v>0</v>
      </c>
      <c r="AN529" s="34">
        <f t="shared" si="484"/>
        <v>0</v>
      </c>
      <c r="AO529" s="34">
        <f t="shared" si="485"/>
        <v>0</v>
      </c>
      <c r="AP529" s="34">
        <f t="shared" si="486"/>
        <v>0</v>
      </c>
      <c r="AQ529" s="34">
        <f t="shared" si="487"/>
        <v>0</v>
      </c>
      <c r="AR529" s="34">
        <f t="shared" si="488"/>
        <v>0</v>
      </c>
      <c r="AS529" s="30">
        <f t="shared" si="489"/>
        <v>1.5454683055758383</v>
      </c>
      <c r="AT529" s="29">
        <f t="shared" si="490"/>
        <v>0</v>
      </c>
      <c r="AU529" s="29">
        <f t="shared" si="491"/>
        <v>0</v>
      </c>
      <c r="AV529" s="34">
        <f t="shared" si="492"/>
        <v>0</v>
      </c>
      <c r="AW529" s="34">
        <f t="shared" si="493"/>
        <v>0</v>
      </c>
      <c r="AX529" s="29">
        <f t="shared" si="494"/>
        <v>0</v>
      </c>
      <c r="AY529" s="34">
        <f t="shared" si="495"/>
        <v>0</v>
      </c>
      <c r="AZ529" s="37">
        <f t="shared" si="496"/>
        <v>0</v>
      </c>
      <c r="BA529" s="37">
        <f t="shared" si="497"/>
        <v>0</v>
      </c>
      <c r="BB529" s="35">
        <f t="shared" si="498"/>
        <v>1.0126739536586715E-3</v>
      </c>
      <c r="BC529" s="31">
        <f t="shared" si="499"/>
        <v>0.58779042700067163</v>
      </c>
      <c r="BD529" s="34">
        <f t="shared" si="500"/>
        <v>0</v>
      </c>
    </row>
    <row r="530" spans="1:56" x14ac:dyDescent="0.2">
      <c r="A530" s="27">
        <f t="shared" si="501"/>
        <v>526</v>
      </c>
      <c r="B530" s="28">
        <f t="shared" si="448"/>
        <v>526</v>
      </c>
      <c r="C530" s="27">
        <f t="shared" si="449"/>
        <v>43</v>
      </c>
      <c r="D530" s="28">
        <f t="shared" si="450"/>
        <v>63</v>
      </c>
      <c r="E530" s="29">
        <f t="shared" si="451"/>
        <v>0</v>
      </c>
      <c r="F530" s="30">
        <f t="shared" si="452"/>
        <v>3.1253185129296781E-3</v>
      </c>
      <c r="G530" s="31">
        <f t="shared" si="453"/>
        <v>2.6081702468971901E-4</v>
      </c>
      <c r="H530" s="32">
        <f t="shared" si="454"/>
        <v>0.02</v>
      </c>
      <c r="I530" s="32">
        <f t="shared" si="455"/>
        <v>0</v>
      </c>
      <c r="J530" s="33">
        <f t="shared" si="502"/>
        <v>0</v>
      </c>
      <c r="K530" s="30">
        <f t="shared" si="456"/>
        <v>0</v>
      </c>
      <c r="L530" s="33">
        <f t="shared" si="457"/>
        <v>0</v>
      </c>
      <c r="M530" s="30">
        <f t="shared" si="458"/>
        <v>0</v>
      </c>
      <c r="N530" s="33">
        <f t="shared" si="459"/>
        <v>0</v>
      </c>
      <c r="O530" s="31">
        <f t="shared" si="460"/>
        <v>0</v>
      </c>
      <c r="P530" s="33">
        <f t="shared" si="461"/>
        <v>0</v>
      </c>
      <c r="Q530" s="34">
        <f t="shared" si="503"/>
        <v>816963.71597509005</v>
      </c>
      <c r="R530" s="29">
        <f t="shared" si="462"/>
        <v>0</v>
      </c>
      <c r="S530" s="34">
        <f t="shared" si="463"/>
        <v>816963.71597509005</v>
      </c>
      <c r="T530" s="29">
        <f t="shared" si="464"/>
        <v>680.80309664590845</v>
      </c>
      <c r="U530" s="29">
        <f t="shared" si="465"/>
        <v>0</v>
      </c>
      <c r="V530" s="35">
        <f t="shared" si="466"/>
        <v>2.8689872715869096E-4</v>
      </c>
      <c r="W530" s="34">
        <f t="shared" si="467"/>
        <v>0</v>
      </c>
      <c r="X530" s="34">
        <f t="shared" si="468"/>
        <v>816282.91287844419</v>
      </c>
      <c r="Y530" s="36">
        <f t="shared" si="469"/>
        <v>-1.6107845667089116E-2</v>
      </c>
      <c r="Z530" s="34">
        <f t="shared" si="470"/>
        <v>-13148.55918132793</v>
      </c>
      <c r="AA530" s="34">
        <f t="shared" si="471"/>
        <v>809708.63328778022</v>
      </c>
      <c r="AB530" s="34">
        <f t="shared" si="472"/>
        <v>0</v>
      </c>
      <c r="AC530" s="34">
        <f t="shared" si="473"/>
        <v>0</v>
      </c>
      <c r="AD530" s="34">
        <f t="shared" si="474"/>
        <v>0</v>
      </c>
      <c r="AE530" s="34">
        <f t="shared" si="475"/>
        <v>0</v>
      </c>
      <c r="AF530" s="34">
        <f t="shared" si="476"/>
        <v>0</v>
      </c>
      <c r="AG530" s="29">
        <f t="shared" si="477"/>
        <v>809708.63328778022</v>
      </c>
      <c r="AH530" s="34">
        <f t="shared" si="478"/>
        <v>0</v>
      </c>
      <c r="AI530" s="34">
        <f t="shared" si="479"/>
        <v>0</v>
      </c>
      <c r="AJ530" s="34">
        <f t="shared" si="480"/>
        <v>0</v>
      </c>
      <c r="AK530" s="34">
        <f t="shared" si="481"/>
        <v>0</v>
      </c>
      <c r="AL530" s="34">
        <f t="shared" si="482"/>
        <v>0</v>
      </c>
      <c r="AM530" s="34">
        <f t="shared" si="483"/>
        <v>0</v>
      </c>
      <c r="AN530" s="34">
        <f t="shared" si="484"/>
        <v>0</v>
      </c>
      <c r="AO530" s="34">
        <f t="shared" si="485"/>
        <v>0</v>
      </c>
      <c r="AP530" s="34">
        <f t="shared" si="486"/>
        <v>0</v>
      </c>
      <c r="AQ530" s="34">
        <f t="shared" si="487"/>
        <v>0</v>
      </c>
      <c r="AR530" s="34">
        <f t="shared" si="488"/>
        <v>0</v>
      </c>
      <c r="AS530" s="30">
        <f t="shared" si="489"/>
        <v>1.5467503304398276</v>
      </c>
      <c r="AT530" s="29">
        <f t="shared" si="490"/>
        <v>0</v>
      </c>
      <c r="AU530" s="29">
        <f t="shared" si="491"/>
        <v>0</v>
      </c>
      <c r="AV530" s="34">
        <f t="shared" si="492"/>
        <v>0</v>
      </c>
      <c r="AW530" s="34">
        <f t="shared" si="493"/>
        <v>0</v>
      </c>
      <c r="AX530" s="29">
        <f t="shared" si="494"/>
        <v>0</v>
      </c>
      <c r="AY530" s="34">
        <f t="shared" si="495"/>
        <v>0</v>
      </c>
      <c r="AZ530" s="37">
        <f t="shared" si="496"/>
        <v>0</v>
      </c>
      <c r="BA530" s="37">
        <f t="shared" si="497"/>
        <v>0</v>
      </c>
      <c r="BB530" s="35">
        <f t="shared" si="498"/>
        <v>1.0126739536586715E-3</v>
      </c>
      <c r="BC530" s="31">
        <f t="shared" si="499"/>
        <v>0.58719578911933235</v>
      </c>
      <c r="BD530" s="34">
        <f t="shared" si="500"/>
        <v>0</v>
      </c>
    </row>
    <row r="531" spans="1:56" x14ac:dyDescent="0.2">
      <c r="A531" s="27">
        <f t="shared" si="501"/>
        <v>527</v>
      </c>
      <c r="B531" s="28">
        <f t="shared" si="448"/>
        <v>527</v>
      </c>
      <c r="C531" s="27">
        <f t="shared" si="449"/>
        <v>43</v>
      </c>
      <c r="D531" s="28">
        <f t="shared" si="450"/>
        <v>63</v>
      </c>
      <c r="E531" s="29">
        <f t="shared" si="451"/>
        <v>0</v>
      </c>
      <c r="F531" s="30">
        <f t="shared" si="452"/>
        <v>3.1253185129296781E-3</v>
      </c>
      <c r="G531" s="31">
        <f t="shared" si="453"/>
        <v>2.6081702468971901E-4</v>
      </c>
      <c r="H531" s="32">
        <f t="shared" si="454"/>
        <v>0.02</v>
      </c>
      <c r="I531" s="32">
        <f t="shared" si="455"/>
        <v>0</v>
      </c>
      <c r="J531" s="33">
        <f t="shared" si="502"/>
        <v>0</v>
      </c>
      <c r="K531" s="30">
        <f t="shared" si="456"/>
        <v>0</v>
      </c>
      <c r="L531" s="33">
        <f t="shared" si="457"/>
        <v>0</v>
      </c>
      <c r="M531" s="30">
        <f t="shared" si="458"/>
        <v>0</v>
      </c>
      <c r="N531" s="33">
        <f t="shared" si="459"/>
        <v>0</v>
      </c>
      <c r="O531" s="31">
        <f t="shared" si="460"/>
        <v>0</v>
      </c>
      <c r="P531" s="33">
        <f t="shared" si="461"/>
        <v>0</v>
      </c>
      <c r="Q531" s="34">
        <f t="shared" si="503"/>
        <v>803134.35369711625</v>
      </c>
      <c r="R531" s="29">
        <f t="shared" si="462"/>
        <v>0</v>
      </c>
      <c r="S531" s="34">
        <f t="shared" si="463"/>
        <v>803134.35369711625</v>
      </c>
      <c r="T531" s="29">
        <f t="shared" si="464"/>
        <v>669.27862808093028</v>
      </c>
      <c r="U531" s="29">
        <f t="shared" si="465"/>
        <v>0</v>
      </c>
      <c r="V531" s="35">
        <f t="shared" si="466"/>
        <v>2.8689872715869096E-4</v>
      </c>
      <c r="W531" s="34">
        <f t="shared" si="467"/>
        <v>0</v>
      </c>
      <c r="X531" s="34">
        <f t="shared" si="468"/>
        <v>802465.07506903529</v>
      </c>
      <c r="Y531" s="36">
        <f t="shared" si="469"/>
        <v>1.1884731552185945E-2</v>
      </c>
      <c r="Z531" s="34">
        <f t="shared" si="470"/>
        <v>9537.0819972002264</v>
      </c>
      <c r="AA531" s="34">
        <f t="shared" si="471"/>
        <v>807233.61606763536</v>
      </c>
      <c r="AB531" s="34">
        <f t="shared" si="472"/>
        <v>0</v>
      </c>
      <c r="AC531" s="34">
        <f t="shared" si="473"/>
        <v>0</v>
      </c>
      <c r="AD531" s="34">
        <f t="shared" si="474"/>
        <v>0</v>
      </c>
      <c r="AE531" s="34">
        <f t="shared" si="475"/>
        <v>0</v>
      </c>
      <c r="AF531" s="34">
        <f t="shared" si="476"/>
        <v>0</v>
      </c>
      <c r="AG531" s="29">
        <f t="shared" si="477"/>
        <v>807233.61606763536</v>
      </c>
      <c r="AH531" s="34">
        <f t="shared" si="478"/>
        <v>0</v>
      </c>
      <c r="AI531" s="34">
        <f t="shared" si="479"/>
        <v>0</v>
      </c>
      <c r="AJ531" s="34">
        <f t="shared" si="480"/>
        <v>0</v>
      </c>
      <c r="AK531" s="34">
        <f t="shared" si="481"/>
        <v>0</v>
      </c>
      <c r="AL531" s="34">
        <f t="shared" si="482"/>
        <v>0</v>
      </c>
      <c r="AM531" s="34">
        <f t="shared" si="483"/>
        <v>0</v>
      </c>
      <c r="AN531" s="34">
        <f t="shared" si="484"/>
        <v>0</v>
      </c>
      <c r="AO531" s="34">
        <f t="shared" si="485"/>
        <v>0</v>
      </c>
      <c r="AP531" s="34">
        <f t="shared" si="486"/>
        <v>0</v>
      </c>
      <c r="AQ531" s="34">
        <f t="shared" si="487"/>
        <v>0</v>
      </c>
      <c r="AR531" s="34">
        <f t="shared" si="488"/>
        <v>0</v>
      </c>
      <c r="AS531" s="30">
        <f t="shared" si="489"/>
        <v>1.548033418792305</v>
      </c>
      <c r="AT531" s="29">
        <f t="shared" si="490"/>
        <v>0</v>
      </c>
      <c r="AU531" s="29">
        <f t="shared" si="491"/>
        <v>0</v>
      </c>
      <c r="AV531" s="34">
        <f t="shared" si="492"/>
        <v>0</v>
      </c>
      <c r="AW531" s="34">
        <f t="shared" si="493"/>
        <v>0</v>
      </c>
      <c r="AX531" s="29">
        <f t="shared" si="494"/>
        <v>0</v>
      </c>
      <c r="AY531" s="34">
        <f t="shared" si="495"/>
        <v>0</v>
      </c>
      <c r="AZ531" s="37">
        <f t="shared" si="496"/>
        <v>0</v>
      </c>
      <c r="BA531" s="37">
        <f t="shared" si="497"/>
        <v>0</v>
      </c>
      <c r="BB531" s="35">
        <f t="shared" si="498"/>
        <v>1.0126739536586715E-3</v>
      </c>
      <c r="BC531" s="31">
        <f t="shared" si="499"/>
        <v>0.58660175280309823</v>
      </c>
      <c r="BD531" s="34">
        <f t="shared" si="500"/>
        <v>0</v>
      </c>
    </row>
    <row r="532" spans="1:56" x14ac:dyDescent="0.2">
      <c r="A532" s="27">
        <f t="shared" si="501"/>
        <v>528</v>
      </c>
      <c r="B532" s="28">
        <f t="shared" si="448"/>
        <v>528</v>
      </c>
      <c r="C532" s="27">
        <f t="shared" si="449"/>
        <v>44</v>
      </c>
      <c r="D532" s="28">
        <f t="shared" si="450"/>
        <v>64</v>
      </c>
      <c r="E532" s="29">
        <f t="shared" si="451"/>
        <v>0</v>
      </c>
      <c r="F532" s="30">
        <f t="shared" si="452"/>
        <v>3.3859930042282041E-3</v>
      </c>
      <c r="G532" s="31">
        <f t="shared" si="453"/>
        <v>2.8260493066567527E-4</v>
      </c>
      <c r="H532" s="32">
        <f t="shared" si="454"/>
        <v>0.02</v>
      </c>
      <c r="I532" s="32">
        <f t="shared" si="455"/>
        <v>0</v>
      </c>
      <c r="J532" s="33">
        <f t="shared" si="502"/>
        <v>0</v>
      </c>
      <c r="K532" s="30">
        <f t="shared" si="456"/>
        <v>0</v>
      </c>
      <c r="L532" s="33">
        <f t="shared" si="457"/>
        <v>0</v>
      </c>
      <c r="M532" s="30">
        <f t="shared" si="458"/>
        <v>0</v>
      </c>
      <c r="N532" s="33">
        <f t="shared" si="459"/>
        <v>0</v>
      </c>
      <c r="O532" s="31">
        <f t="shared" si="460"/>
        <v>0</v>
      </c>
      <c r="P532" s="33">
        <f t="shared" si="461"/>
        <v>0</v>
      </c>
      <c r="Q532" s="34">
        <f t="shared" si="503"/>
        <v>812002.15706623555</v>
      </c>
      <c r="R532" s="29">
        <f t="shared" si="462"/>
        <v>0</v>
      </c>
      <c r="S532" s="34">
        <f t="shared" si="463"/>
        <v>812002.15706623555</v>
      </c>
      <c r="T532" s="29">
        <f t="shared" si="464"/>
        <v>676.66846422186302</v>
      </c>
      <c r="U532" s="29">
        <f t="shared" si="465"/>
        <v>0</v>
      </c>
      <c r="V532" s="35">
        <f t="shared" si="466"/>
        <v>3.1086542373224283E-4</v>
      </c>
      <c r="W532" s="34">
        <f t="shared" si="467"/>
        <v>0</v>
      </c>
      <c r="X532" s="34">
        <f t="shared" si="468"/>
        <v>811325.48860201368</v>
      </c>
      <c r="Y532" s="36">
        <f t="shared" si="469"/>
        <v>7.5993965755007942E-3</v>
      </c>
      <c r="Z532" s="34">
        <f t="shared" si="470"/>
        <v>6165.5841396986516</v>
      </c>
      <c r="AA532" s="34">
        <f t="shared" si="471"/>
        <v>814408.280671863</v>
      </c>
      <c r="AB532" s="34">
        <f t="shared" si="472"/>
        <v>0</v>
      </c>
      <c r="AC532" s="34">
        <f t="shared" si="473"/>
        <v>0</v>
      </c>
      <c r="AD532" s="34">
        <f t="shared" si="474"/>
        <v>0</v>
      </c>
      <c r="AE532" s="34">
        <f t="shared" si="475"/>
        <v>0</v>
      </c>
      <c r="AF532" s="34">
        <f t="shared" si="476"/>
        <v>0</v>
      </c>
      <c r="AG532" s="29">
        <f t="shared" si="477"/>
        <v>814408.280671863</v>
      </c>
      <c r="AH532" s="34">
        <f t="shared" si="478"/>
        <v>0</v>
      </c>
      <c r="AI532" s="34">
        <f t="shared" si="479"/>
        <v>0</v>
      </c>
      <c r="AJ532" s="34">
        <f t="shared" si="480"/>
        <v>0</v>
      </c>
      <c r="AK532" s="34">
        <f t="shared" si="481"/>
        <v>0</v>
      </c>
      <c r="AL532" s="34">
        <f t="shared" si="482"/>
        <v>0</v>
      </c>
      <c r="AM532" s="34">
        <f t="shared" si="483"/>
        <v>0</v>
      </c>
      <c r="AN532" s="34">
        <f t="shared" si="484"/>
        <v>0</v>
      </c>
      <c r="AO532" s="34">
        <f t="shared" si="485"/>
        <v>0</v>
      </c>
      <c r="AP532" s="34">
        <f t="shared" si="486"/>
        <v>0</v>
      </c>
      <c r="AQ532" s="34">
        <f t="shared" si="487"/>
        <v>0</v>
      </c>
      <c r="AR532" s="34">
        <f t="shared" si="488"/>
        <v>0</v>
      </c>
      <c r="AS532" s="30">
        <f t="shared" si="489"/>
        <v>1.549317571515475</v>
      </c>
      <c r="AT532" s="29">
        <f t="shared" si="490"/>
        <v>0</v>
      </c>
      <c r="AU532" s="29">
        <f t="shared" si="491"/>
        <v>0</v>
      </c>
      <c r="AV532" s="34">
        <f t="shared" si="492"/>
        <v>0</v>
      </c>
      <c r="AW532" s="34">
        <f t="shared" si="493"/>
        <v>0</v>
      </c>
      <c r="AX532" s="29">
        <f t="shared" si="494"/>
        <v>0</v>
      </c>
      <c r="AY532" s="34">
        <f t="shared" si="495"/>
        <v>0</v>
      </c>
      <c r="AZ532" s="37">
        <f t="shared" si="496"/>
        <v>0</v>
      </c>
      <c r="BA532" s="37">
        <f t="shared" si="497"/>
        <v>0</v>
      </c>
      <c r="BB532" s="35">
        <f t="shared" si="498"/>
        <v>1.0060808616663142E-3</v>
      </c>
      <c r="BC532" s="31">
        <f t="shared" si="499"/>
        <v>0.58804979246954825</v>
      </c>
      <c r="BD532" s="34">
        <f t="shared" si="500"/>
        <v>0</v>
      </c>
    </row>
    <row r="533" spans="1:56" x14ac:dyDescent="0.2">
      <c r="A533" s="27">
        <f t="shared" si="501"/>
        <v>529</v>
      </c>
      <c r="B533" s="28">
        <f t="shared" si="448"/>
        <v>529</v>
      </c>
      <c r="C533" s="27">
        <f t="shared" si="449"/>
        <v>44</v>
      </c>
      <c r="D533" s="28">
        <f t="shared" si="450"/>
        <v>64</v>
      </c>
      <c r="E533" s="29">
        <f t="shared" si="451"/>
        <v>0</v>
      </c>
      <c r="F533" s="30">
        <f t="shared" si="452"/>
        <v>3.3859930042282041E-3</v>
      </c>
      <c r="G533" s="31">
        <f t="shared" si="453"/>
        <v>2.8260493066567527E-4</v>
      </c>
      <c r="H533" s="32">
        <f t="shared" si="454"/>
        <v>0.02</v>
      </c>
      <c r="I533" s="32">
        <f t="shared" si="455"/>
        <v>0</v>
      </c>
      <c r="J533" s="33">
        <f t="shared" si="502"/>
        <v>0</v>
      </c>
      <c r="K533" s="30">
        <f t="shared" si="456"/>
        <v>0</v>
      </c>
      <c r="L533" s="33">
        <f t="shared" si="457"/>
        <v>0</v>
      </c>
      <c r="M533" s="30">
        <f t="shared" si="458"/>
        <v>0</v>
      </c>
      <c r="N533" s="33">
        <f t="shared" si="459"/>
        <v>0</v>
      </c>
      <c r="O533" s="31">
        <f t="shared" si="460"/>
        <v>0</v>
      </c>
      <c r="P533" s="33">
        <f t="shared" si="461"/>
        <v>0</v>
      </c>
      <c r="Q533" s="34">
        <f t="shared" si="503"/>
        <v>817491.07274171233</v>
      </c>
      <c r="R533" s="29">
        <f t="shared" si="462"/>
        <v>0</v>
      </c>
      <c r="S533" s="34">
        <f t="shared" si="463"/>
        <v>817491.07274171233</v>
      </c>
      <c r="T533" s="29">
        <f t="shared" si="464"/>
        <v>681.24256061809365</v>
      </c>
      <c r="U533" s="29">
        <f t="shared" si="465"/>
        <v>0</v>
      </c>
      <c r="V533" s="35">
        <f t="shared" si="466"/>
        <v>3.1086542373224283E-4</v>
      </c>
      <c r="W533" s="34">
        <f t="shared" si="467"/>
        <v>0</v>
      </c>
      <c r="X533" s="34">
        <f t="shared" si="468"/>
        <v>816809.83018109424</v>
      </c>
      <c r="Y533" s="36">
        <f t="shared" si="469"/>
        <v>9.65990620549384E-3</v>
      </c>
      <c r="Z533" s="34">
        <f t="shared" si="470"/>
        <v>7890.3063472747217</v>
      </c>
      <c r="AA533" s="34">
        <f t="shared" si="471"/>
        <v>820754.98335473158</v>
      </c>
      <c r="AB533" s="34">
        <f t="shared" si="472"/>
        <v>0</v>
      </c>
      <c r="AC533" s="34">
        <f t="shared" si="473"/>
        <v>0</v>
      </c>
      <c r="AD533" s="34">
        <f t="shared" si="474"/>
        <v>0</v>
      </c>
      <c r="AE533" s="34">
        <f t="shared" si="475"/>
        <v>0</v>
      </c>
      <c r="AF533" s="34">
        <f t="shared" si="476"/>
        <v>0</v>
      </c>
      <c r="AG533" s="29">
        <f t="shared" si="477"/>
        <v>820754.98335473158</v>
      </c>
      <c r="AH533" s="34">
        <f t="shared" si="478"/>
        <v>0</v>
      </c>
      <c r="AI533" s="34">
        <f t="shared" si="479"/>
        <v>0</v>
      </c>
      <c r="AJ533" s="34">
        <f t="shared" si="480"/>
        <v>0</v>
      </c>
      <c r="AK533" s="34">
        <f t="shared" si="481"/>
        <v>0</v>
      </c>
      <c r="AL533" s="34">
        <f t="shared" si="482"/>
        <v>0</v>
      </c>
      <c r="AM533" s="34">
        <f t="shared" si="483"/>
        <v>0</v>
      </c>
      <c r="AN533" s="34">
        <f t="shared" si="484"/>
        <v>0</v>
      </c>
      <c r="AO533" s="34">
        <f t="shared" si="485"/>
        <v>0</v>
      </c>
      <c r="AP533" s="34">
        <f t="shared" si="486"/>
        <v>0</v>
      </c>
      <c r="AQ533" s="34">
        <f t="shared" si="487"/>
        <v>0</v>
      </c>
      <c r="AR533" s="34">
        <f t="shared" si="488"/>
        <v>0</v>
      </c>
      <c r="AS533" s="30">
        <f t="shared" si="489"/>
        <v>1.5506027894922734</v>
      </c>
      <c r="AT533" s="29">
        <f t="shared" si="490"/>
        <v>0</v>
      </c>
      <c r="AU533" s="29">
        <f t="shared" si="491"/>
        <v>0</v>
      </c>
      <c r="AV533" s="34">
        <f t="shared" si="492"/>
        <v>0</v>
      </c>
      <c r="AW533" s="34">
        <f t="shared" si="493"/>
        <v>0</v>
      </c>
      <c r="AX533" s="29">
        <f t="shared" si="494"/>
        <v>0</v>
      </c>
      <c r="AY533" s="34">
        <f t="shared" si="495"/>
        <v>0</v>
      </c>
      <c r="AZ533" s="37">
        <f t="shared" si="496"/>
        <v>0</v>
      </c>
      <c r="BA533" s="37">
        <f t="shared" si="497"/>
        <v>0</v>
      </c>
      <c r="BB533" s="35">
        <f t="shared" si="498"/>
        <v>1.0060808616663142E-3</v>
      </c>
      <c r="BC533" s="31">
        <f t="shared" si="499"/>
        <v>0.58745876145263254</v>
      </c>
      <c r="BD533" s="34">
        <f t="shared" si="500"/>
        <v>0</v>
      </c>
    </row>
    <row r="534" spans="1:56" x14ac:dyDescent="0.2">
      <c r="A534" s="27">
        <f t="shared" si="501"/>
        <v>530</v>
      </c>
      <c r="B534" s="28">
        <f t="shared" si="448"/>
        <v>530</v>
      </c>
      <c r="C534" s="27">
        <f t="shared" si="449"/>
        <v>44</v>
      </c>
      <c r="D534" s="28">
        <f t="shared" si="450"/>
        <v>64</v>
      </c>
      <c r="E534" s="29">
        <f t="shared" si="451"/>
        <v>0</v>
      </c>
      <c r="F534" s="30">
        <f t="shared" si="452"/>
        <v>3.3859930042282041E-3</v>
      </c>
      <c r="G534" s="31">
        <f t="shared" si="453"/>
        <v>2.8260493066567527E-4</v>
      </c>
      <c r="H534" s="32">
        <f t="shared" si="454"/>
        <v>0.02</v>
      </c>
      <c r="I534" s="32">
        <f t="shared" si="455"/>
        <v>0</v>
      </c>
      <c r="J534" s="33">
        <f t="shared" si="502"/>
        <v>0</v>
      </c>
      <c r="K534" s="30">
        <f t="shared" si="456"/>
        <v>0</v>
      </c>
      <c r="L534" s="33">
        <f t="shared" si="457"/>
        <v>0</v>
      </c>
      <c r="M534" s="30">
        <f t="shared" si="458"/>
        <v>0</v>
      </c>
      <c r="N534" s="33">
        <f t="shared" si="459"/>
        <v>0</v>
      </c>
      <c r="O534" s="31">
        <f t="shared" si="460"/>
        <v>0</v>
      </c>
      <c r="P534" s="33">
        <f t="shared" si="461"/>
        <v>0</v>
      </c>
      <c r="Q534" s="34">
        <f t="shared" si="503"/>
        <v>824700.13652836892</v>
      </c>
      <c r="R534" s="29">
        <f t="shared" si="462"/>
        <v>0</v>
      </c>
      <c r="S534" s="34">
        <f t="shared" si="463"/>
        <v>824700.13652836892</v>
      </c>
      <c r="T534" s="29">
        <f t="shared" si="464"/>
        <v>687.25011377364081</v>
      </c>
      <c r="U534" s="29">
        <f t="shared" si="465"/>
        <v>0</v>
      </c>
      <c r="V534" s="35">
        <f t="shared" si="466"/>
        <v>3.1086542373224283E-4</v>
      </c>
      <c r="W534" s="34">
        <f t="shared" si="467"/>
        <v>0</v>
      </c>
      <c r="X534" s="34">
        <f t="shared" si="468"/>
        <v>824012.8864145953</v>
      </c>
      <c r="Y534" s="36">
        <f t="shared" si="469"/>
        <v>1.7140398722501615E-3</v>
      </c>
      <c r="Z534" s="34">
        <f t="shared" si="470"/>
        <v>1412.3909425625598</v>
      </c>
      <c r="AA534" s="34">
        <f t="shared" si="471"/>
        <v>824719.0818858766</v>
      </c>
      <c r="AB534" s="34">
        <f t="shared" si="472"/>
        <v>0</v>
      </c>
      <c r="AC534" s="34">
        <f t="shared" si="473"/>
        <v>0</v>
      </c>
      <c r="AD534" s="34">
        <f t="shared" si="474"/>
        <v>0</v>
      </c>
      <c r="AE534" s="34">
        <f t="shared" si="475"/>
        <v>0</v>
      </c>
      <c r="AF534" s="34">
        <f t="shared" si="476"/>
        <v>0</v>
      </c>
      <c r="AG534" s="29">
        <f t="shared" si="477"/>
        <v>824719.0818858766</v>
      </c>
      <c r="AH534" s="34">
        <f t="shared" si="478"/>
        <v>0</v>
      </c>
      <c r="AI534" s="34">
        <f t="shared" si="479"/>
        <v>0</v>
      </c>
      <c r="AJ534" s="34">
        <f t="shared" si="480"/>
        <v>0</v>
      </c>
      <c r="AK534" s="34">
        <f t="shared" si="481"/>
        <v>0</v>
      </c>
      <c r="AL534" s="34">
        <f t="shared" si="482"/>
        <v>0</v>
      </c>
      <c r="AM534" s="34">
        <f t="shared" si="483"/>
        <v>0</v>
      </c>
      <c r="AN534" s="34">
        <f t="shared" si="484"/>
        <v>0</v>
      </c>
      <c r="AO534" s="34">
        <f t="shared" si="485"/>
        <v>0</v>
      </c>
      <c r="AP534" s="34">
        <f t="shared" si="486"/>
        <v>0</v>
      </c>
      <c r="AQ534" s="34">
        <f t="shared" si="487"/>
        <v>0</v>
      </c>
      <c r="AR534" s="34">
        <f t="shared" si="488"/>
        <v>0</v>
      </c>
      <c r="AS534" s="30">
        <f t="shared" si="489"/>
        <v>1.5518890736063689</v>
      </c>
      <c r="AT534" s="29">
        <f t="shared" si="490"/>
        <v>0</v>
      </c>
      <c r="AU534" s="29">
        <f t="shared" si="491"/>
        <v>0</v>
      </c>
      <c r="AV534" s="34">
        <f t="shared" si="492"/>
        <v>0</v>
      </c>
      <c r="AW534" s="34">
        <f t="shared" si="493"/>
        <v>0</v>
      </c>
      <c r="AX534" s="29">
        <f t="shared" si="494"/>
        <v>0</v>
      </c>
      <c r="AY534" s="34">
        <f t="shared" si="495"/>
        <v>0</v>
      </c>
      <c r="AZ534" s="37">
        <f t="shared" si="496"/>
        <v>0</v>
      </c>
      <c r="BA534" s="37">
        <f t="shared" si="497"/>
        <v>0</v>
      </c>
      <c r="BB534" s="35">
        <f t="shared" si="498"/>
        <v>1.0060808616663142E-3</v>
      </c>
      <c r="BC534" s="31">
        <f t="shared" si="499"/>
        <v>0.58686832446307213</v>
      </c>
      <c r="BD534" s="34">
        <f t="shared" si="500"/>
        <v>0</v>
      </c>
    </row>
    <row r="535" spans="1:56" x14ac:dyDescent="0.2">
      <c r="A535" s="27">
        <f t="shared" si="501"/>
        <v>531</v>
      </c>
      <c r="B535" s="28">
        <f t="shared" si="448"/>
        <v>531</v>
      </c>
      <c r="C535" s="27">
        <f t="shared" si="449"/>
        <v>44</v>
      </c>
      <c r="D535" s="28">
        <f t="shared" si="450"/>
        <v>64</v>
      </c>
      <c r="E535" s="29">
        <f t="shared" si="451"/>
        <v>0</v>
      </c>
      <c r="F535" s="30">
        <f t="shared" si="452"/>
        <v>3.3859930042282041E-3</v>
      </c>
      <c r="G535" s="31">
        <f t="shared" si="453"/>
        <v>2.8260493066567527E-4</v>
      </c>
      <c r="H535" s="32">
        <f t="shared" si="454"/>
        <v>0.02</v>
      </c>
      <c r="I535" s="32">
        <f t="shared" si="455"/>
        <v>0</v>
      </c>
      <c r="J535" s="33">
        <f t="shared" si="502"/>
        <v>0</v>
      </c>
      <c r="K535" s="30">
        <f t="shared" si="456"/>
        <v>0</v>
      </c>
      <c r="L535" s="33">
        <f t="shared" si="457"/>
        <v>0</v>
      </c>
      <c r="M535" s="30">
        <f t="shared" si="458"/>
        <v>0</v>
      </c>
      <c r="N535" s="33">
        <f t="shared" si="459"/>
        <v>0</v>
      </c>
      <c r="O535" s="31">
        <f t="shared" si="460"/>
        <v>0</v>
      </c>
      <c r="P535" s="33">
        <f t="shared" si="461"/>
        <v>0</v>
      </c>
      <c r="Q535" s="34">
        <f t="shared" si="503"/>
        <v>825425.2773571579</v>
      </c>
      <c r="R535" s="29">
        <f t="shared" si="462"/>
        <v>0</v>
      </c>
      <c r="S535" s="34">
        <f t="shared" si="463"/>
        <v>825425.2773571579</v>
      </c>
      <c r="T535" s="29">
        <f t="shared" si="464"/>
        <v>687.85439779763158</v>
      </c>
      <c r="U535" s="29">
        <f t="shared" si="465"/>
        <v>0</v>
      </c>
      <c r="V535" s="35">
        <f t="shared" si="466"/>
        <v>3.1086542373224283E-4</v>
      </c>
      <c r="W535" s="34">
        <f t="shared" si="467"/>
        <v>0</v>
      </c>
      <c r="X535" s="34">
        <f t="shared" si="468"/>
        <v>824737.42295936029</v>
      </c>
      <c r="Y535" s="36">
        <f t="shared" si="469"/>
        <v>8.3184730519245687E-3</v>
      </c>
      <c r="Z535" s="34">
        <f t="shared" si="470"/>
        <v>6860.5560278011535</v>
      </c>
      <c r="AA535" s="34">
        <f t="shared" si="471"/>
        <v>828167.70097326091</v>
      </c>
      <c r="AB535" s="34">
        <f t="shared" si="472"/>
        <v>0</v>
      </c>
      <c r="AC535" s="34">
        <f t="shared" si="473"/>
        <v>0</v>
      </c>
      <c r="AD535" s="34">
        <f t="shared" si="474"/>
        <v>0</v>
      </c>
      <c r="AE535" s="34">
        <f t="shared" si="475"/>
        <v>0</v>
      </c>
      <c r="AF535" s="34">
        <f t="shared" si="476"/>
        <v>0</v>
      </c>
      <c r="AG535" s="29">
        <f t="shared" si="477"/>
        <v>828167.70097326091</v>
      </c>
      <c r="AH535" s="34">
        <f t="shared" si="478"/>
        <v>0</v>
      </c>
      <c r="AI535" s="34">
        <f t="shared" si="479"/>
        <v>0</v>
      </c>
      <c r="AJ535" s="34">
        <f t="shared" si="480"/>
        <v>0</v>
      </c>
      <c r="AK535" s="34">
        <f t="shared" si="481"/>
        <v>0</v>
      </c>
      <c r="AL535" s="34">
        <f t="shared" si="482"/>
        <v>0</v>
      </c>
      <c r="AM535" s="34">
        <f t="shared" si="483"/>
        <v>0</v>
      </c>
      <c r="AN535" s="34">
        <f t="shared" si="484"/>
        <v>0</v>
      </c>
      <c r="AO535" s="34">
        <f t="shared" si="485"/>
        <v>0</v>
      </c>
      <c r="AP535" s="34">
        <f t="shared" si="486"/>
        <v>0</v>
      </c>
      <c r="AQ535" s="34">
        <f t="shared" si="487"/>
        <v>0</v>
      </c>
      <c r="AR535" s="34">
        <f t="shared" si="488"/>
        <v>0</v>
      </c>
      <c r="AS535" s="30">
        <f t="shared" si="489"/>
        <v>1.5531764247421627</v>
      </c>
      <c r="AT535" s="29">
        <f t="shared" si="490"/>
        <v>0</v>
      </c>
      <c r="AU535" s="29">
        <f t="shared" si="491"/>
        <v>0</v>
      </c>
      <c r="AV535" s="34">
        <f t="shared" si="492"/>
        <v>0</v>
      </c>
      <c r="AW535" s="34">
        <f t="shared" si="493"/>
        <v>0</v>
      </c>
      <c r="AX535" s="29">
        <f t="shared" si="494"/>
        <v>0</v>
      </c>
      <c r="AY535" s="34">
        <f t="shared" si="495"/>
        <v>0</v>
      </c>
      <c r="AZ535" s="37">
        <f t="shared" si="496"/>
        <v>0</v>
      </c>
      <c r="BA535" s="37">
        <f t="shared" si="497"/>
        <v>0</v>
      </c>
      <c r="BB535" s="35">
        <f t="shared" si="498"/>
        <v>1.0060808616663142E-3</v>
      </c>
      <c r="BC535" s="31">
        <f t="shared" si="499"/>
        <v>0.58627848090382806</v>
      </c>
      <c r="BD535" s="34">
        <f t="shared" si="500"/>
        <v>0</v>
      </c>
    </row>
    <row r="536" spans="1:56" x14ac:dyDescent="0.2">
      <c r="A536" s="27">
        <f t="shared" si="501"/>
        <v>532</v>
      </c>
      <c r="B536" s="28">
        <f t="shared" si="448"/>
        <v>532</v>
      </c>
      <c r="C536" s="27">
        <f t="shared" si="449"/>
        <v>44</v>
      </c>
      <c r="D536" s="28">
        <f t="shared" si="450"/>
        <v>64</v>
      </c>
      <c r="E536" s="29">
        <f t="shared" si="451"/>
        <v>0</v>
      </c>
      <c r="F536" s="30">
        <f t="shared" si="452"/>
        <v>3.3859930042282041E-3</v>
      </c>
      <c r="G536" s="31">
        <f t="shared" si="453"/>
        <v>2.8260493066567527E-4</v>
      </c>
      <c r="H536" s="32">
        <f t="shared" si="454"/>
        <v>0.02</v>
      </c>
      <c r="I536" s="32">
        <f t="shared" si="455"/>
        <v>0</v>
      </c>
      <c r="J536" s="33">
        <f t="shared" si="502"/>
        <v>0</v>
      </c>
      <c r="K536" s="30">
        <f t="shared" si="456"/>
        <v>0</v>
      </c>
      <c r="L536" s="33">
        <f t="shared" si="457"/>
        <v>0</v>
      </c>
      <c r="M536" s="30">
        <f t="shared" si="458"/>
        <v>0</v>
      </c>
      <c r="N536" s="33">
        <f t="shared" si="459"/>
        <v>0</v>
      </c>
      <c r="O536" s="31">
        <f t="shared" si="460"/>
        <v>0</v>
      </c>
      <c r="P536" s="33">
        <f t="shared" si="461"/>
        <v>0</v>
      </c>
      <c r="Q536" s="34">
        <f t="shared" si="503"/>
        <v>831597.97898716142</v>
      </c>
      <c r="R536" s="29">
        <f t="shared" si="462"/>
        <v>0</v>
      </c>
      <c r="S536" s="34">
        <f t="shared" si="463"/>
        <v>831597.97898716142</v>
      </c>
      <c r="T536" s="29">
        <f t="shared" si="464"/>
        <v>692.99831582263459</v>
      </c>
      <c r="U536" s="29">
        <f t="shared" si="465"/>
        <v>0</v>
      </c>
      <c r="V536" s="35">
        <f t="shared" si="466"/>
        <v>3.1086542373224283E-4</v>
      </c>
      <c r="W536" s="34">
        <f t="shared" si="467"/>
        <v>0</v>
      </c>
      <c r="X536" s="34">
        <f t="shared" si="468"/>
        <v>830904.98067133874</v>
      </c>
      <c r="Y536" s="36">
        <f t="shared" si="469"/>
        <v>-5.6553839728865629E-3</v>
      </c>
      <c r="Z536" s="34">
        <f t="shared" si="470"/>
        <v>-4699.086710680308</v>
      </c>
      <c r="AA536" s="34">
        <f t="shared" si="471"/>
        <v>828555.4373159986</v>
      </c>
      <c r="AB536" s="34">
        <f t="shared" si="472"/>
        <v>0</v>
      </c>
      <c r="AC536" s="34">
        <f t="shared" si="473"/>
        <v>0</v>
      </c>
      <c r="AD536" s="34">
        <f t="shared" si="474"/>
        <v>0</v>
      </c>
      <c r="AE536" s="34">
        <f t="shared" si="475"/>
        <v>0</v>
      </c>
      <c r="AF536" s="34">
        <f t="shared" si="476"/>
        <v>0</v>
      </c>
      <c r="AG536" s="29">
        <f t="shared" si="477"/>
        <v>828555.4373159986</v>
      </c>
      <c r="AH536" s="34">
        <f t="shared" si="478"/>
        <v>0</v>
      </c>
      <c r="AI536" s="34">
        <f t="shared" si="479"/>
        <v>0</v>
      </c>
      <c r="AJ536" s="34">
        <f t="shared" si="480"/>
        <v>0</v>
      </c>
      <c r="AK536" s="34">
        <f t="shared" si="481"/>
        <v>0</v>
      </c>
      <c r="AL536" s="34">
        <f t="shared" si="482"/>
        <v>0</v>
      </c>
      <c r="AM536" s="34">
        <f t="shared" si="483"/>
        <v>0</v>
      </c>
      <c r="AN536" s="34">
        <f t="shared" si="484"/>
        <v>0</v>
      </c>
      <c r="AO536" s="34">
        <f t="shared" si="485"/>
        <v>0</v>
      </c>
      <c r="AP536" s="34">
        <f t="shared" si="486"/>
        <v>0</v>
      </c>
      <c r="AQ536" s="34">
        <f t="shared" si="487"/>
        <v>0</v>
      </c>
      <c r="AR536" s="34">
        <f t="shared" si="488"/>
        <v>0</v>
      </c>
      <c r="AS536" s="30">
        <f t="shared" si="489"/>
        <v>1.5544648437847906</v>
      </c>
      <c r="AT536" s="29">
        <f t="shared" si="490"/>
        <v>0</v>
      </c>
      <c r="AU536" s="29">
        <f t="shared" si="491"/>
        <v>0</v>
      </c>
      <c r="AV536" s="34">
        <f t="shared" si="492"/>
        <v>0</v>
      </c>
      <c r="AW536" s="34">
        <f t="shared" si="493"/>
        <v>0</v>
      </c>
      <c r="AX536" s="29">
        <f t="shared" si="494"/>
        <v>0</v>
      </c>
      <c r="AY536" s="34">
        <f t="shared" si="495"/>
        <v>0</v>
      </c>
      <c r="AZ536" s="37">
        <f t="shared" si="496"/>
        <v>0</v>
      </c>
      <c r="BA536" s="37">
        <f t="shared" si="497"/>
        <v>0</v>
      </c>
      <c r="BB536" s="35">
        <f t="shared" si="498"/>
        <v>1.0060808616663142E-3</v>
      </c>
      <c r="BC536" s="31">
        <f t="shared" si="499"/>
        <v>0.58568923017846131</v>
      </c>
      <c r="BD536" s="34">
        <f t="shared" si="500"/>
        <v>0</v>
      </c>
    </row>
    <row r="537" spans="1:56" x14ac:dyDescent="0.2">
      <c r="A537" s="27">
        <f t="shared" si="501"/>
        <v>533</v>
      </c>
      <c r="B537" s="28">
        <f t="shared" si="448"/>
        <v>533</v>
      </c>
      <c r="C537" s="27">
        <f t="shared" si="449"/>
        <v>44</v>
      </c>
      <c r="D537" s="28">
        <f t="shared" si="450"/>
        <v>64</v>
      </c>
      <c r="E537" s="29">
        <f t="shared" si="451"/>
        <v>0</v>
      </c>
      <c r="F537" s="30">
        <f t="shared" si="452"/>
        <v>3.3859930042282041E-3</v>
      </c>
      <c r="G537" s="31">
        <f t="shared" si="453"/>
        <v>2.8260493066567527E-4</v>
      </c>
      <c r="H537" s="32">
        <f t="shared" si="454"/>
        <v>0.02</v>
      </c>
      <c r="I537" s="32">
        <f t="shared" si="455"/>
        <v>0</v>
      </c>
      <c r="J537" s="33">
        <f t="shared" si="502"/>
        <v>0</v>
      </c>
      <c r="K537" s="30">
        <f t="shared" si="456"/>
        <v>0</v>
      </c>
      <c r="L537" s="33">
        <f t="shared" si="457"/>
        <v>0</v>
      </c>
      <c r="M537" s="30">
        <f t="shared" si="458"/>
        <v>0</v>
      </c>
      <c r="N537" s="33">
        <f t="shared" si="459"/>
        <v>0</v>
      </c>
      <c r="O537" s="31">
        <f t="shared" si="460"/>
        <v>0</v>
      </c>
      <c r="P537" s="33">
        <f t="shared" si="461"/>
        <v>0</v>
      </c>
      <c r="Q537" s="34">
        <f t="shared" si="503"/>
        <v>826205.89396065846</v>
      </c>
      <c r="R537" s="29">
        <f t="shared" si="462"/>
        <v>0</v>
      </c>
      <c r="S537" s="34">
        <f t="shared" si="463"/>
        <v>826205.89396065846</v>
      </c>
      <c r="T537" s="29">
        <f t="shared" si="464"/>
        <v>688.5049116338821</v>
      </c>
      <c r="U537" s="29">
        <f t="shared" si="465"/>
        <v>0</v>
      </c>
      <c r="V537" s="35">
        <f t="shared" si="466"/>
        <v>3.1086542373224283E-4</v>
      </c>
      <c r="W537" s="34">
        <f t="shared" si="467"/>
        <v>0</v>
      </c>
      <c r="X537" s="34">
        <f t="shared" si="468"/>
        <v>825517.38904902455</v>
      </c>
      <c r="Y537" s="36">
        <f t="shared" si="469"/>
        <v>8.5354854473425057E-3</v>
      </c>
      <c r="Z537" s="34">
        <f t="shared" si="470"/>
        <v>7046.1916607561307</v>
      </c>
      <c r="AA537" s="34">
        <f t="shared" si="471"/>
        <v>829040.48487940268</v>
      </c>
      <c r="AB537" s="34">
        <f t="shared" si="472"/>
        <v>0</v>
      </c>
      <c r="AC537" s="34">
        <f t="shared" si="473"/>
        <v>0</v>
      </c>
      <c r="AD537" s="34">
        <f t="shared" si="474"/>
        <v>0</v>
      </c>
      <c r="AE537" s="34">
        <f t="shared" si="475"/>
        <v>0</v>
      </c>
      <c r="AF537" s="34">
        <f t="shared" si="476"/>
        <v>0</v>
      </c>
      <c r="AG537" s="29">
        <f t="shared" si="477"/>
        <v>829040.48487940268</v>
      </c>
      <c r="AH537" s="34">
        <f t="shared" si="478"/>
        <v>0</v>
      </c>
      <c r="AI537" s="34">
        <f t="shared" si="479"/>
        <v>0</v>
      </c>
      <c r="AJ537" s="34">
        <f t="shared" si="480"/>
        <v>0</v>
      </c>
      <c r="AK537" s="34">
        <f t="shared" si="481"/>
        <v>0</v>
      </c>
      <c r="AL537" s="34">
        <f t="shared" si="482"/>
        <v>0</v>
      </c>
      <c r="AM537" s="34">
        <f t="shared" si="483"/>
        <v>0</v>
      </c>
      <c r="AN537" s="34">
        <f t="shared" si="484"/>
        <v>0</v>
      </c>
      <c r="AO537" s="34">
        <f t="shared" si="485"/>
        <v>0</v>
      </c>
      <c r="AP537" s="34">
        <f t="shared" si="486"/>
        <v>0</v>
      </c>
      <c r="AQ537" s="34">
        <f t="shared" si="487"/>
        <v>0</v>
      </c>
      <c r="AR537" s="34">
        <f t="shared" si="488"/>
        <v>0</v>
      </c>
      <c r="AS537" s="30">
        <f t="shared" si="489"/>
        <v>1.5557543316201212</v>
      </c>
      <c r="AT537" s="29">
        <f t="shared" si="490"/>
        <v>0</v>
      </c>
      <c r="AU537" s="29">
        <f t="shared" si="491"/>
        <v>0</v>
      </c>
      <c r="AV537" s="34">
        <f t="shared" si="492"/>
        <v>0</v>
      </c>
      <c r="AW537" s="34">
        <f t="shared" si="493"/>
        <v>0</v>
      </c>
      <c r="AX537" s="29">
        <f t="shared" si="494"/>
        <v>0</v>
      </c>
      <c r="AY537" s="34">
        <f t="shared" si="495"/>
        <v>0</v>
      </c>
      <c r="AZ537" s="37">
        <f t="shared" si="496"/>
        <v>0</v>
      </c>
      <c r="BA537" s="37">
        <f t="shared" si="497"/>
        <v>0</v>
      </c>
      <c r="BB537" s="35">
        <f t="shared" si="498"/>
        <v>1.0060808616663142E-3</v>
      </c>
      <c r="BC537" s="31">
        <f t="shared" si="499"/>
        <v>0.58510057169113272</v>
      </c>
      <c r="BD537" s="34">
        <f t="shared" si="500"/>
        <v>0</v>
      </c>
    </row>
    <row r="538" spans="1:56" x14ac:dyDescent="0.2">
      <c r="A538" s="27">
        <f t="shared" si="501"/>
        <v>534</v>
      </c>
      <c r="B538" s="28">
        <f t="shared" si="448"/>
        <v>534</v>
      </c>
      <c r="C538" s="27">
        <f t="shared" si="449"/>
        <v>44</v>
      </c>
      <c r="D538" s="28">
        <f t="shared" si="450"/>
        <v>64</v>
      </c>
      <c r="E538" s="29">
        <f t="shared" si="451"/>
        <v>0</v>
      </c>
      <c r="F538" s="30">
        <f t="shared" si="452"/>
        <v>3.3859930042282041E-3</v>
      </c>
      <c r="G538" s="31">
        <f t="shared" si="453"/>
        <v>2.8260493066567527E-4</v>
      </c>
      <c r="H538" s="32">
        <f t="shared" si="454"/>
        <v>0.02</v>
      </c>
      <c r="I538" s="32">
        <f t="shared" si="455"/>
        <v>0</v>
      </c>
      <c r="J538" s="33">
        <f t="shared" si="502"/>
        <v>0</v>
      </c>
      <c r="K538" s="30">
        <f t="shared" si="456"/>
        <v>0</v>
      </c>
      <c r="L538" s="33">
        <f t="shared" si="457"/>
        <v>0</v>
      </c>
      <c r="M538" s="30">
        <f t="shared" si="458"/>
        <v>0</v>
      </c>
      <c r="N538" s="33">
        <f t="shared" si="459"/>
        <v>0</v>
      </c>
      <c r="O538" s="31">
        <f t="shared" si="460"/>
        <v>0</v>
      </c>
      <c r="P538" s="33">
        <f t="shared" si="461"/>
        <v>0</v>
      </c>
      <c r="Q538" s="34">
        <f t="shared" si="503"/>
        <v>832563.58070978068</v>
      </c>
      <c r="R538" s="29">
        <f t="shared" si="462"/>
        <v>0</v>
      </c>
      <c r="S538" s="34">
        <f t="shared" si="463"/>
        <v>832563.58070978068</v>
      </c>
      <c r="T538" s="29">
        <f t="shared" si="464"/>
        <v>693.80298392481723</v>
      </c>
      <c r="U538" s="29">
        <f t="shared" si="465"/>
        <v>0</v>
      </c>
      <c r="V538" s="35">
        <f t="shared" si="466"/>
        <v>3.1086542373224283E-4</v>
      </c>
      <c r="W538" s="34">
        <f t="shared" si="467"/>
        <v>0</v>
      </c>
      <c r="X538" s="34">
        <f t="shared" si="468"/>
        <v>831869.77772585582</v>
      </c>
      <c r="Y538" s="36">
        <f t="shared" si="469"/>
        <v>4.7078870468753031E-3</v>
      </c>
      <c r="Z538" s="34">
        <f t="shared" si="470"/>
        <v>3916.348951242594</v>
      </c>
      <c r="AA538" s="34">
        <f t="shared" si="471"/>
        <v>833827.95220147714</v>
      </c>
      <c r="AB538" s="34">
        <f t="shared" si="472"/>
        <v>0</v>
      </c>
      <c r="AC538" s="34">
        <f t="shared" si="473"/>
        <v>0</v>
      </c>
      <c r="AD538" s="34">
        <f t="shared" si="474"/>
        <v>0</v>
      </c>
      <c r="AE538" s="34">
        <f t="shared" si="475"/>
        <v>0</v>
      </c>
      <c r="AF538" s="34">
        <f t="shared" si="476"/>
        <v>0</v>
      </c>
      <c r="AG538" s="29">
        <f t="shared" si="477"/>
        <v>833827.95220147714</v>
      </c>
      <c r="AH538" s="34">
        <f t="shared" si="478"/>
        <v>0</v>
      </c>
      <c r="AI538" s="34">
        <f t="shared" si="479"/>
        <v>0</v>
      </c>
      <c r="AJ538" s="34">
        <f t="shared" si="480"/>
        <v>0</v>
      </c>
      <c r="AK538" s="34">
        <f t="shared" si="481"/>
        <v>0</v>
      </c>
      <c r="AL538" s="34">
        <f t="shared" si="482"/>
        <v>0</v>
      </c>
      <c r="AM538" s="34">
        <f t="shared" si="483"/>
        <v>0</v>
      </c>
      <c r="AN538" s="34">
        <f t="shared" si="484"/>
        <v>0</v>
      </c>
      <c r="AO538" s="34">
        <f t="shared" si="485"/>
        <v>0</v>
      </c>
      <c r="AP538" s="34">
        <f t="shared" si="486"/>
        <v>0</v>
      </c>
      <c r="AQ538" s="34">
        <f t="shared" si="487"/>
        <v>0</v>
      </c>
      <c r="AR538" s="34">
        <f t="shared" si="488"/>
        <v>0</v>
      </c>
      <c r="AS538" s="30">
        <f t="shared" si="489"/>
        <v>1.5570448891347592</v>
      </c>
      <c r="AT538" s="29">
        <f t="shared" si="490"/>
        <v>0</v>
      </c>
      <c r="AU538" s="29">
        <f t="shared" si="491"/>
        <v>0</v>
      </c>
      <c r="AV538" s="34">
        <f t="shared" si="492"/>
        <v>0</v>
      </c>
      <c r="AW538" s="34">
        <f t="shared" si="493"/>
        <v>0</v>
      </c>
      <c r="AX538" s="29">
        <f t="shared" si="494"/>
        <v>0</v>
      </c>
      <c r="AY538" s="34">
        <f t="shared" si="495"/>
        <v>0</v>
      </c>
      <c r="AZ538" s="37">
        <f t="shared" si="496"/>
        <v>0</v>
      </c>
      <c r="BA538" s="37">
        <f t="shared" si="497"/>
        <v>0</v>
      </c>
      <c r="BB538" s="35">
        <f t="shared" si="498"/>
        <v>1.0060808616663142E-3</v>
      </c>
      <c r="BC538" s="31">
        <f t="shared" si="499"/>
        <v>0.584512504846602</v>
      </c>
      <c r="BD538" s="34">
        <f t="shared" si="500"/>
        <v>0</v>
      </c>
    </row>
    <row r="539" spans="1:56" x14ac:dyDescent="0.2">
      <c r="A539" s="27">
        <f t="shared" si="501"/>
        <v>535</v>
      </c>
      <c r="B539" s="28">
        <f t="shared" si="448"/>
        <v>535</v>
      </c>
      <c r="C539" s="27">
        <f t="shared" si="449"/>
        <v>44</v>
      </c>
      <c r="D539" s="28">
        <f t="shared" si="450"/>
        <v>64</v>
      </c>
      <c r="E539" s="29">
        <f t="shared" si="451"/>
        <v>0</v>
      </c>
      <c r="F539" s="30">
        <f t="shared" si="452"/>
        <v>3.3859930042282041E-3</v>
      </c>
      <c r="G539" s="31">
        <f t="shared" si="453"/>
        <v>2.8260493066567527E-4</v>
      </c>
      <c r="H539" s="32">
        <f t="shared" si="454"/>
        <v>0.02</v>
      </c>
      <c r="I539" s="32">
        <f t="shared" si="455"/>
        <v>0</v>
      </c>
      <c r="J539" s="33">
        <f t="shared" si="502"/>
        <v>0</v>
      </c>
      <c r="K539" s="30">
        <f t="shared" si="456"/>
        <v>0</v>
      </c>
      <c r="L539" s="33">
        <f t="shared" si="457"/>
        <v>0</v>
      </c>
      <c r="M539" s="30">
        <f t="shared" si="458"/>
        <v>0</v>
      </c>
      <c r="N539" s="33">
        <f t="shared" si="459"/>
        <v>0</v>
      </c>
      <c r="O539" s="31">
        <f t="shared" si="460"/>
        <v>0</v>
      </c>
      <c r="P539" s="33">
        <f t="shared" si="461"/>
        <v>0</v>
      </c>
      <c r="Q539" s="34">
        <f t="shared" si="503"/>
        <v>835786.12667709845</v>
      </c>
      <c r="R539" s="29">
        <f t="shared" si="462"/>
        <v>0</v>
      </c>
      <c r="S539" s="34">
        <f t="shared" si="463"/>
        <v>835786.12667709845</v>
      </c>
      <c r="T539" s="29">
        <f t="shared" si="464"/>
        <v>696.48843889758211</v>
      </c>
      <c r="U539" s="29">
        <f t="shared" si="465"/>
        <v>0</v>
      </c>
      <c r="V539" s="35">
        <f t="shared" si="466"/>
        <v>3.1086542373224283E-4</v>
      </c>
      <c r="W539" s="34">
        <f t="shared" si="467"/>
        <v>0</v>
      </c>
      <c r="X539" s="34">
        <f t="shared" si="468"/>
        <v>835089.63823820092</v>
      </c>
      <c r="Y539" s="36">
        <f t="shared" si="469"/>
        <v>4.4457346775756967E-3</v>
      </c>
      <c r="Z539" s="34">
        <f t="shared" si="470"/>
        <v>3712.5869635997133</v>
      </c>
      <c r="AA539" s="34">
        <f t="shared" si="471"/>
        <v>836945.93172000081</v>
      </c>
      <c r="AB539" s="34">
        <f t="shared" si="472"/>
        <v>0</v>
      </c>
      <c r="AC539" s="34">
        <f t="shared" si="473"/>
        <v>0</v>
      </c>
      <c r="AD539" s="34">
        <f t="shared" si="474"/>
        <v>0</v>
      </c>
      <c r="AE539" s="34">
        <f t="shared" si="475"/>
        <v>0</v>
      </c>
      <c r="AF539" s="34">
        <f t="shared" si="476"/>
        <v>0</v>
      </c>
      <c r="AG539" s="29">
        <f t="shared" si="477"/>
        <v>836945.93172000081</v>
      </c>
      <c r="AH539" s="34">
        <f t="shared" si="478"/>
        <v>0</v>
      </c>
      <c r="AI539" s="34">
        <f t="shared" si="479"/>
        <v>0</v>
      </c>
      <c r="AJ539" s="34">
        <f t="shared" si="480"/>
        <v>0</v>
      </c>
      <c r="AK539" s="34">
        <f t="shared" si="481"/>
        <v>0</v>
      </c>
      <c r="AL539" s="34">
        <f t="shared" si="482"/>
        <v>0</v>
      </c>
      <c r="AM539" s="34">
        <f t="shared" si="483"/>
        <v>0</v>
      </c>
      <c r="AN539" s="34">
        <f t="shared" si="484"/>
        <v>0</v>
      </c>
      <c r="AO539" s="34">
        <f t="shared" si="485"/>
        <v>0</v>
      </c>
      <c r="AP539" s="34">
        <f t="shared" si="486"/>
        <v>0</v>
      </c>
      <c r="AQ539" s="34">
        <f t="shared" si="487"/>
        <v>0</v>
      </c>
      <c r="AR539" s="34">
        <f t="shared" si="488"/>
        <v>0</v>
      </c>
      <c r="AS539" s="30">
        <f t="shared" si="489"/>
        <v>1.5583365172160446</v>
      </c>
      <c r="AT539" s="29">
        <f t="shared" si="490"/>
        <v>0</v>
      </c>
      <c r="AU539" s="29">
        <f t="shared" si="491"/>
        <v>0</v>
      </c>
      <c r="AV539" s="34">
        <f t="shared" si="492"/>
        <v>0</v>
      </c>
      <c r="AW539" s="34">
        <f t="shared" si="493"/>
        <v>0</v>
      </c>
      <c r="AX539" s="29">
        <f t="shared" si="494"/>
        <v>0</v>
      </c>
      <c r="AY539" s="34">
        <f t="shared" si="495"/>
        <v>0</v>
      </c>
      <c r="AZ539" s="37">
        <f t="shared" si="496"/>
        <v>0</v>
      </c>
      <c r="BA539" s="37">
        <f t="shared" si="497"/>
        <v>0</v>
      </c>
      <c r="BB539" s="35">
        <f t="shared" si="498"/>
        <v>1.0060808616663142E-3</v>
      </c>
      <c r="BC539" s="31">
        <f t="shared" si="499"/>
        <v>0.5839250290502267</v>
      </c>
      <c r="BD539" s="34">
        <f t="shared" si="500"/>
        <v>0</v>
      </c>
    </row>
    <row r="540" spans="1:56" x14ac:dyDescent="0.2">
      <c r="A540" s="27">
        <f t="shared" si="501"/>
        <v>536</v>
      </c>
      <c r="B540" s="28">
        <f t="shared" si="448"/>
        <v>536</v>
      </c>
      <c r="C540" s="27">
        <f t="shared" si="449"/>
        <v>44</v>
      </c>
      <c r="D540" s="28">
        <f t="shared" si="450"/>
        <v>64</v>
      </c>
      <c r="E540" s="29">
        <f t="shared" si="451"/>
        <v>0</v>
      </c>
      <c r="F540" s="30">
        <f t="shared" si="452"/>
        <v>3.3859930042282041E-3</v>
      </c>
      <c r="G540" s="31">
        <f t="shared" si="453"/>
        <v>2.8260493066567527E-4</v>
      </c>
      <c r="H540" s="32">
        <f t="shared" si="454"/>
        <v>0.02</v>
      </c>
      <c r="I540" s="32">
        <f t="shared" si="455"/>
        <v>0</v>
      </c>
      <c r="J540" s="33">
        <f t="shared" si="502"/>
        <v>0</v>
      </c>
      <c r="K540" s="30">
        <f t="shared" si="456"/>
        <v>0</v>
      </c>
      <c r="L540" s="33">
        <f t="shared" si="457"/>
        <v>0</v>
      </c>
      <c r="M540" s="30">
        <f t="shared" si="458"/>
        <v>0</v>
      </c>
      <c r="N540" s="33">
        <f t="shared" si="459"/>
        <v>0</v>
      </c>
      <c r="O540" s="31">
        <f t="shared" si="460"/>
        <v>0</v>
      </c>
      <c r="P540" s="33">
        <f t="shared" si="461"/>
        <v>0</v>
      </c>
      <c r="Q540" s="34">
        <f t="shared" si="503"/>
        <v>838802.22520180058</v>
      </c>
      <c r="R540" s="29">
        <f t="shared" si="462"/>
        <v>0</v>
      </c>
      <c r="S540" s="34">
        <f t="shared" si="463"/>
        <v>838802.22520180058</v>
      </c>
      <c r="T540" s="29">
        <f t="shared" si="464"/>
        <v>699.00185433483387</v>
      </c>
      <c r="U540" s="29">
        <f t="shared" si="465"/>
        <v>0</v>
      </c>
      <c r="V540" s="35">
        <f t="shared" si="466"/>
        <v>3.1086542373224283E-4</v>
      </c>
      <c r="W540" s="34">
        <f t="shared" si="467"/>
        <v>0</v>
      </c>
      <c r="X540" s="34">
        <f t="shared" si="468"/>
        <v>838103.22334746574</v>
      </c>
      <c r="Y540" s="36">
        <f t="shared" si="469"/>
        <v>-4.5005097472118338E-3</v>
      </c>
      <c r="Z540" s="34">
        <f t="shared" si="470"/>
        <v>-3771.891725844926</v>
      </c>
      <c r="AA540" s="34">
        <f t="shared" si="471"/>
        <v>836217.27748454327</v>
      </c>
      <c r="AB540" s="34">
        <f t="shared" si="472"/>
        <v>0</v>
      </c>
      <c r="AC540" s="34">
        <f t="shared" si="473"/>
        <v>0</v>
      </c>
      <c r="AD540" s="34">
        <f t="shared" si="474"/>
        <v>0</v>
      </c>
      <c r="AE540" s="34">
        <f t="shared" si="475"/>
        <v>0</v>
      </c>
      <c r="AF540" s="34">
        <f t="shared" si="476"/>
        <v>0</v>
      </c>
      <c r="AG540" s="29">
        <f t="shared" si="477"/>
        <v>836217.27748454327</v>
      </c>
      <c r="AH540" s="34">
        <f t="shared" si="478"/>
        <v>0</v>
      </c>
      <c r="AI540" s="34">
        <f t="shared" si="479"/>
        <v>0</v>
      </c>
      <c r="AJ540" s="34">
        <f t="shared" si="480"/>
        <v>0</v>
      </c>
      <c r="AK540" s="34">
        <f t="shared" si="481"/>
        <v>0</v>
      </c>
      <c r="AL540" s="34">
        <f t="shared" si="482"/>
        <v>0</v>
      </c>
      <c r="AM540" s="34">
        <f t="shared" si="483"/>
        <v>0</v>
      </c>
      <c r="AN540" s="34">
        <f t="shared" si="484"/>
        <v>0</v>
      </c>
      <c r="AO540" s="34">
        <f t="shared" si="485"/>
        <v>0</v>
      </c>
      <c r="AP540" s="34">
        <f t="shared" si="486"/>
        <v>0</v>
      </c>
      <c r="AQ540" s="34">
        <f t="shared" si="487"/>
        <v>0</v>
      </c>
      <c r="AR540" s="34">
        <f t="shared" si="488"/>
        <v>0</v>
      </c>
      <c r="AS540" s="30">
        <f t="shared" si="489"/>
        <v>1.5596292167520529</v>
      </c>
      <c r="AT540" s="29">
        <f t="shared" si="490"/>
        <v>0</v>
      </c>
      <c r="AU540" s="29">
        <f t="shared" si="491"/>
        <v>0</v>
      </c>
      <c r="AV540" s="34">
        <f t="shared" si="492"/>
        <v>0</v>
      </c>
      <c r="AW540" s="34">
        <f t="shared" si="493"/>
        <v>0</v>
      </c>
      <c r="AX540" s="29">
        <f t="shared" si="494"/>
        <v>0</v>
      </c>
      <c r="AY540" s="34">
        <f t="shared" si="495"/>
        <v>0</v>
      </c>
      <c r="AZ540" s="37">
        <f t="shared" si="496"/>
        <v>0</v>
      </c>
      <c r="BA540" s="37">
        <f t="shared" si="497"/>
        <v>0</v>
      </c>
      <c r="BB540" s="35">
        <f t="shared" si="498"/>
        <v>1.0060808616663142E-3</v>
      </c>
      <c r="BC540" s="31">
        <f t="shared" si="499"/>
        <v>0.58333814370796211</v>
      </c>
      <c r="BD540" s="34">
        <f t="shared" si="500"/>
        <v>0</v>
      </c>
    </row>
    <row r="541" spans="1:56" x14ac:dyDescent="0.2">
      <c r="A541" s="27">
        <f t="shared" si="501"/>
        <v>537</v>
      </c>
      <c r="B541" s="28">
        <f t="shared" si="448"/>
        <v>537</v>
      </c>
      <c r="C541" s="27">
        <f t="shared" si="449"/>
        <v>44</v>
      </c>
      <c r="D541" s="28">
        <f t="shared" si="450"/>
        <v>64</v>
      </c>
      <c r="E541" s="29">
        <f t="shared" si="451"/>
        <v>0</v>
      </c>
      <c r="F541" s="30">
        <f t="shared" si="452"/>
        <v>3.3859930042282041E-3</v>
      </c>
      <c r="G541" s="31">
        <f t="shared" si="453"/>
        <v>2.8260493066567527E-4</v>
      </c>
      <c r="H541" s="32">
        <f t="shared" si="454"/>
        <v>0.02</v>
      </c>
      <c r="I541" s="32">
        <f t="shared" si="455"/>
        <v>0</v>
      </c>
      <c r="J541" s="33">
        <f t="shared" si="502"/>
        <v>0</v>
      </c>
      <c r="K541" s="30">
        <f t="shared" si="456"/>
        <v>0</v>
      </c>
      <c r="L541" s="33">
        <f t="shared" si="457"/>
        <v>0</v>
      </c>
      <c r="M541" s="30">
        <f t="shared" si="458"/>
        <v>0</v>
      </c>
      <c r="N541" s="33">
        <f t="shared" si="459"/>
        <v>0</v>
      </c>
      <c r="O541" s="31">
        <f t="shared" si="460"/>
        <v>0</v>
      </c>
      <c r="P541" s="33">
        <f t="shared" si="461"/>
        <v>0</v>
      </c>
      <c r="Q541" s="34">
        <f t="shared" si="503"/>
        <v>834331.3316216208</v>
      </c>
      <c r="R541" s="29">
        <f t="shared" si="462"/>
        <v>0</v>
      </c>
      <c r="S541" s="34">
        <f t="shared" si="463"/>
        <v>834331.3316216208</v>
      </c>
      <c r="T541" s="29">
        <f t="shared" si="464"/>
        <v>695.276109684684</v>
      </c>
      <c r="U541" s="29">
        <f t="shared" si="465"/>
        <v>0</v>
      </c>
      <c r="V541" s="35">
        <f t="shared" si="466"/>
        <v>3.1086542373224283E-4</v>
      </c>
      <c r="W541" s="34">
        <f t="shared" si="467"/>
        <v>0</v>
      </c>
      <c r="X541" s="34">
        <f t="shared" si="468"/>
        <v>833636.05551193608</v>
      </c>
      <c r="Y541" s="36">
        <f t="shared" si="469"/>
        <v>4.1763676594974708E-3</v>
      </c>
      <c r="Z541" s="34">
        <f t="shared" si="470"/>
        <v>3481.570662031088</v>
      </c>
      <c r="AA541" s="34">
        <f t="shared" si="471"/>
        <v>835376.84084295167</v>
      </c>
      <c r="AB541" s="34">
        <f t="shared" si="472"/>
        <v>0</v>
      </c>
      <c r="AC541" s="34">
        <f t="shared" si="473"/>
        <v>0</v>
      </c>
      <c r="AD541" s="34">
        <f t="shared" si="474"/>
        <v>0</v>
      </c>
      <c r="AE541" s="34">
        <f t="shared" si="475"/>
        <v>0</v>
      </c>
      <c r="AF541" s="34">
        <f t="shared" si="476"/>
        <v>0</v>
      </c>
      <c r="AG541" s="29">
        <f t="shared" si="477"/>
        <v>835376.84084295167</v>
      </c>
      <c r="AH541" s="34">
        <f t="shared" si="478"/>
        <v>0</v>
      </c>
      <c r="AI541" s="34">
        <f t="shared" si="479"/>
        <v>0</v>
      </c>
      <c r="AJ541" s="34">
        <f t="shared" si="480"/>
        <v>0</v>
      </c>
      <c r="AK541" s="34">
        <f t="shared" si="481"/>
        <v>0</v>
      </c>
      <c r="AL541" s="34">
        <f t="shared" si="482"/>
        <v>0</v>
      </c>
      <c r="AM541" s="34">
        <f t="shared" si="483"/>
        <v>0</v>
      </c>
      <c r="AN541" s="34">
        <f t="shared" si="484"/>
        <v>0</v>
      </c>
      <c r="AO541" s="34">
        <f t="shared" si="485"/>
        <v>0</v>
      </c>
      <c r="AP541" s="34">
        <f t="shared" si="486"/>
        <v>0</v>
      </c>
      <c r="AQ541" s="34">
        <f t="shared" si="487"/>
        <v>0</v>
      </c>
      <c r="AR541" s="34">
        <f t="shared" si="488"/>
        <v>0</v>
      </c>
      <c r="AS541" s="30">
        <f t="shared" si="489"/>
        <v>1.5609229886315967</v>
      </c>
      <c r="AT541" s="29">
        <f t="shared" si="490"/>
        <v>0</v>
      </c>
      <c r="AU541" s="29">
        <f t="shared" si="491"/>
        <v>0</v>
      </c>
      <c r="AV541" s="34">
        <f t="shared" si="492"/>
        <v>0</v>
      </c>
      <c r="AW541" s="34">
        <f t="shared" si="493"/>
        <v>0</v>
      </c>
      <c r="AX541" s="29">
        <f t="shared" si="494"/>
        <v>0</v>
      </c>
      <c r="AY541" s="34">
        <f t="shared" si="495"/>
        <v>0</v>
      </c>
      <c r="AZ541" s="37">
        <f t="shared" si="496"/>
        <v>0</v>
      </c>
      <c r="BA541" s="37">
        <f t="shared" si="497"/>
        <v>0</v>
      </c>
      <c r="BB541" s="35">
        <f t="shared" si="498"/>
        <v>1.0060808616663142E-3</v>
      </c>
      <c r="BC541" s="31">
        <f t="shared" si="499"/>
        <v>0.58275184822636084</v>
      </c>
      <c r="BD541" s="34">
        <f t="shared" si="500"/>
        <v>0</v>
      </c>
    </row>
    <row r="542" spans="1:56" x14ac:dyDescent="0.2">
      <c r="A542" s="27">
        <f t="shared" si="501"/>
        <v>538</v>
      </c>
      <c r="B542" s="28">
        <f t="shared" si="448"/>
        <v>538</v>
      </c>
      <c r="C542" s="27">
        <f t="shared" si="449"/>
        <v>44</v>
      </c>
      <c r="D542" s="28">
        <f t="shared" si="450"/>
        <v>64</v>
      </c>
      <c r="E542" s="29">
        <f t="shared" si="451"/>
        <v>0</v>
      </c>
      <c r="F542" s="30">
        <f t="shared" si="452"/>
        <v>3.3859930042282041E-3</v>
      </c>
      <c r="G542" s="31">
        <f t="shared" si="453"/>
        <v>2.8260493066567527E-4</v>
      </c>
      <c r="H542" s="32">
        <f t="shared" si="454"/>
        <v>0.02</v>
      </c>
      <c r="I542" s="32">
        <f t="shared" si="455"/>
        <v>0</v>
      </c>
      <c r="J542" s="33">
        <f t="shared" si="502"/>
        <v>0</v>
      </c>
      <c r="K542" s="30">
        <f t="shared" si="456"/>
        <v>0</v>
      </c>
      <c r="L542" s="33">
        <f t="shared" si="457"/>
        <v>0</v>
      </c>
      <c r="M542" s="30">
        <f t="shared" si="458"/>
        <v>0</v>
      </c>
      <c r="N542" s="33">
        <f t="shared" si="459"/>
        <v>0</v>
      </c>
      <c r="O542" s="31">
        <f t="shared" si="460"/>
        <v>0</v>
      </c>
      <c r="P542" s="33">
        <f t="shared" si="461"/>
        <v>0</v>
      </c>
      <c r="Q542" s="34">
        <f t="shared" si="503"/>
        <v>837117.62617396715</v>
      </c>
      <c r="R542" s="29">
        <f t="shared" si="462"/>
        <v>0</v>
      </c>
      <c r="S542" s="34">
        <f t="shared" si="463"/>
        <v>837117.62617396715</v>
      </c>
      <c r="T542" s="29">
        <f t="shared" si="464"/>
        <v>697.59802181163934</v>
      </c>
      <c r="U542" s="29">
        <f t="shared" si="465"/>
        <v>0</v>
      </c>
      <c r="V542" s="35">
        <f t="shared" si="466"/>
        <v>3.1086542373224283E-4</v>
      </c>
      <c r="W542" s="34">
        <f t="shared" si="467"/>
        <v>0</v>
      </c>
      <c r="X542" s="34">
        <f t="shared" si="468"/>
        <v>836420.02815215546</v>
      </c>
      <c r="Y542" s="36">
        <f t="shared" si="469"/>
        <v>7.3677265137768178E-3</v>
      </c>
      <c r="Z542" s="34">
        <f t="shared" si="470"/>
        <v>6162.5140180705885</v>
      </c>
      <c r="AA542" s="34">
        <f t="shared" si="471"/>
        <v>839501.28516119078</v>
      </c>
      <c r="AB542" s="34">
        <f t="shared" si="472"/>
        <v>0</v>
      </c>
      <c r="AC542" s="34">
        <f t="shared" si="473"/>
        <v>0</v>
      </c>
      <c r="AD542" s="34">
        <f t="shared" si="474"/>
        <v>0</v>
      </c>
      <c r="AE542" s="34">
        <f t="shared" si="475"/>
        <v>0</v>
      </c>
      <c r="AF542" s="34">
        <f t="shared" si="476"/>
        <v>0</v>
      </c>
      <c r="AG542" s="29">
        <f t="shared" si="477"/>
        <v>839501.28516119078</v>
      </c>
      <c r="AH542" s="34">
        <f t="shared" si="478"/>
        <v>0</v>
      </c>
      <c r="AI542" s="34">
        <f t="shared" si="479"/>
        <v>0</v>
      </c>
      <c r="AJ542" s="34">
        <f t="shared" si="480"/>
        <v>0</v>
      </c>
      <c r="AK542" s="34">
        <f t="shared" si="481"/>
        <v>0</v>
      </c>
      <c r="AL542" s="34">
        <f t="shared" si="482"/>
        <v>0</v>
      </c>
      <c r="AM542" s="34">
        <f t="shared" si="483"/>
        <v>0</v>
      </c>
      <c r="AN542" s="34">
        <f t="shared" si="484"/>
        <v>0</v>
      </c>
      <c r="AO542" s="34">
        <f t="shared" si="485"/>
        <v>0</v>
      </c>
      <c r="AP542" s="34">
        <f t="shared" si="486"/>
        <v>0</v>
      </c>
      <c r="AQ542" s="34">
        <f t="shared" si="487"/>
        <v>0</v>
      </c>
      <c r="AR542" s="34">
        <f t="shared" si="488"/>
        <v>0</v>
      </c>
      <c r="AS542" s="30">
        <f t="shared" si="489"/>
        <v>1.5622178337442258</v>
      </c>
      <c r="AT542" s="29">
        <f t="shared" si="490"/>
        <v>0</v>
      </c>
      <c r="AU542" s="29">
        <f t="shared" si="491"/>
        <v>0</v>
      </c>
      <c r="AV542" s="34">
        <f t="shared" si="492"/>
        <v>0</v>
      </c>
      <c r="AW542" s="34">
        <f t="shared" si="493"/>
        <v>0</v>
      </c>
      <c r="AX542" s="29">
        <f t="shared" si="494"/>
        <v>0</v>
      </c>
      <c r="AY542" s="34">
        <f t="shared" si="495"/>
        <v>0</v>
      </c>
      <c r="AZ542" s="37">
        <f t="shared" si="496"/>
        <v>0</v>
      </c>
      <c r="BA542" s="37">
        <f t="shared" si="497"/>
        <v>0</v>
      </c>
      <c r="BB542" s="35">
        <f t="shared" si="498"/>
        <v>1.0060808616663142E-3</v>
      </c>
      <c r="BC542" s="31">
        <f t="shared" si="499"/>
        <v>0.582166142012572</v>
      </c>
      <c r="BD542" s="34">
        <f t="shared" si="500"/>
        <v>0</v>
      </c>
    </row>
    <row r="543" spans="1:56" x14ac:dyDescent="0.2">
      <c r="A543" s="27">
        <f t="shared" si="501"/>
        <v>539</v>
      </c>
      <c r="B543" s="28">
        <f t="shared" si="448"/>
        <v>539</v>
      </c>
      <c r="C543" s="27">
        <f t="shared" si="449"/>
        <v>44</v>
      </c>
      <c r="D543" s="28">
        <f t="shared" si="450"/>
        <v>64</v>
      </c>
      <c r="E543" s="29">
        <f t="shared" si="451"/>
        <v>0</v>
      </c>
      <c r="F543" s="30">
        <f t="shared" si="452"/>
        <v>3.3859930042282041E-3</v>
      </c>
      <c r="G543" s="31">
        <f t="shared" si="453"/>
        <v>2.8260493066567527E-4</v>
      </c>
      <c r="H543" s="32">
        <f t="shared" si="454"/>
        <v>0.02</v>
      </c>
      <c r="I543" s="32">
        <f t="shared" si="455"/>
        <v>0</v>
      </c>
      <c r="J543" s="33">
        <f t="shared" si="502"/>
        <v>0</v>
      </c>
      <c r="K543" s="30">
        <f t="shared" si="456"/>
        <v>0</v>
      </c>
      <c r="L543" s="33">
        <f t="shared" si="457"/>
        <v>0</v>
      </c>
      <c r="M543" s="30">
        <f t="shared" si="458"/>
        <v>0</v>
      </c>
      <c r="N543" s="33">
        <f t="shared" si="459"/>
        <v>0</v>
      </c>
      <c r="O543" s="31">
        <f t="shared" si="460"/>
        <v>0</v>
      </c>
      <c r="P543" s="33">
        <f t="shared" si="461"/>
        <v>0</v>
      </c>
      <c r="Q543" s="34">
        <f t="shared" si="503"/>
        <v>842582.54217022599</v>
      </c>
      <c r="R543" s="29">
        <f t="shared" si="462"/>
        <v>0</v>
      </c>
      <c r="S543" s="34">
        <f t="shared" si="463"/>
        <v>842582.54217022599</v>
      </c>
      <c r="T543" s="29">
        <f t="shared" si="464"/>
        <v>702.15211847518833</v>
      </c>
      <c r="U543" s="29">
        <f t="shared" si="465"/>
        <v>0</v>
      </c>
      <c r="V543" s="35">
        <f t="shared" si="466"/>
        <v>3.1086542373224283E-4</v>
      </c>
      <c r="W543" s="34">
        <f t="shared" si="467"/>
        <v>0</v>
      </c>
      <c r="X543" s="34">
        <f t="shared" si="468"/>
        <v>841880.39005175082</v>
      </c>
      <c r="Y543" s="36">
        <f t="shared" si="469"/>
        <v>-1.1888052510016789E-2</v>
      </c>
      <c r="Z543" s="34">
        <f t="shared" si="470"/>
        <v>-10008.318284088629</v>
      </c>
      <c r="AA543" s="34">
        <f t="shared" si="471"/>
        <v>836876.23090970656</v>
      </c>
      <c r="AB543" s="34">
        <f t="shared" si="472"/>
        <v>0</v>
      </c>
      <c r="AC543" s="34">
        <f t="shared" si="473"/>
        <v>0</v>
      </c>
      <c r="AD543" s="34">
        <f t="shared" si="474"/>
        <v>0</v>
      </c>
      <c r="AE543" s="34">
        <f t="shared" si="475"/>
        <v>0</v>
      </c>
      <c r="AF543" s="34">
        <f t="shared" si="476"/>
        <v>0</v>
      </c>
      <c r="AG543" s="29">
        <f t="shared" si="477"/>
        <v>836876.23090970656</v>
      </c>
      <c r="AH543" s="34">
        <f t="shared" si="478"/>
        <v>0</v>
      </c>
      <c r="AI543" s="34">
        <f t="shared" si="479"/>
        <v>0</v>
      </c>
      <c r="AJ543" s="34">
        <f t="shared" si="480"/>
        <v>0</v>
      </c>
      <c r="AK543" s="34">
        <f t="shared" si="481"/>
        <v>0</v>
      </c>
      <c r="AL543" s="34">
        <f t="shared" si="482"/>
        <v>0</v>
      </c>
      <c r="AM543" s="34">
        <f t="shared" si="483"/>
        <v>0</v>
      </c>
      <c r="AN543" s="34">
        <f t="shared" si="484"/>
        <v>0</v>
      </c>
      <c r="AO543" s="34">
        <f t="shared" si="485"/>
        <v>0</v>
      </c>
      <c r="AP543" s="34">
        <f t="shared" si="486"/>
        <v>0</v>
      </c>
      <c r="AQ543" s="34">
        <f t="shared" si="487"/>
        <v>0</v>
      </c>
      <c r="AR543" s="34">
        <f t="shared" si="488"/>
        <v>0</v>
      </c>
      <c r="AS543" s="30">
        <f t="shared" si="489"/>
        <v>1.5635137529802281</v>
      </c>
      <c r="AT543" s="29">
        <f t="shared" si="490"/>
        <v>0</v>
      </c>
      <c r="AU543" s="29">
        <f t="shared" si="491"/>
        <v>0</v>
      </c>
      <c r="AV543" s="34">
        <f t="shared" si="492"/>
        <v>0</v>
      </c>
      <c r="AW543" s="34">
        <f t="shared" si="493"/>
        <v>0</v>
      </c>
      <c r="AX543" s="29">
        <f t="shared" si="494"/>
        <v>0</v>
      </c>
      <c r="AY543" s="34">
        <f t="shared" si="495"/>
        <v>0</v>
      </c>
      <c r="AZ543" s="37">
        <f t="shared" si="496"/>
        <v>0</v>
      </c>
      <c r="BA543" s="37">
        <f t="shared" si="497"/>
        <v>0</v>
      </c>
      <c r="BB543" s="35">
        <f t="shared" si="498"/>
        <v>1.0060808616663142E-3</v>
      </c>
      <c r="BC543" s="31">
        <f t="shared" si="499"/>
        <v>0.5815810244743399</v>
      </c>
      <c r="BD543" s="34">
        <f t="shared" si="500"/>
        <v>0</v>
      </c>
    </row>
    <row r="544" spans="1:56" x14ac:dyDescent="0.2">
      <c r="A544" s="27">
        <f t="shared" si="501"/>
        <v>540</v>
      </c>
      <c r="B544" s="28">
        <f t="shared" si="448"/>
        <v>540</v>
      </c>
      <c r="C544" s="27">
        <f t="shared" si="449"/>
        <v>45</v>
      </c>
      <c r="D544" s="28">
        <f t="shared" si="450"/>
        <v>65</v>
      </c>
      <c r="E544" s="29">
        <f t="shared" si="451"/>
        <v>0</v>
      </c>
      <c r="F544" s="30">
        <f t="shared" si="452"/>
        <v>3.673976204352814E-3</v>
      </c>
      <c r="G544" s="31">
        <f t="shared" si="453"/>
        <v>3.0668144955880994E-4</v>
      </c>
      <c r="H544" s="32">
        <f t="shared" si="454"/>
        <v>0.02</v>
      </c>
      <c r="I544" s="32">
        <f t="shared" si="455"/>
        <v>0</v>
      </c>
      <c r="J544" s="33">
        <f t="shared" si="502"/>
        <v>0</v>
      </c>
      <c r="K544" s="30">
        <f t="shared" si="456"/>
        <v>0</v>
      </c>
      <c r="L544" s="33">
        <f t="shared" si="457"/>
        <v>0</v>
      </c>
      <c r="M544" s="30">
        <f t="shared" si="458"/>
        <v>0</v>
      </c>
      <c r="N544" s="33">
        <f t="shared" si="459"/>
        <v>0</v>
      </c>
      <c r="O544" s="31">
        <f t="shared" si="460"/>
        <v>0</v>
      </c>
      <c r="P544" s="33">
        <f t="shared" si="461"/>
        <v>0</v>
      </c>
      <c r="Q544" s="34">
        <f t="shared" si="503"/>
        <v>831872.07176766219</v>
      </c>
      <c r="R544" s="29">
        <f t="shared" si="462"/>
        <v>0</v>
      </c>
      <c r="S544" s="34">
        <f t="shared" si="463"/>
        <v>831872.07176766219</v>
      </c>
      <c r="T544" s="29">
        <f t="shared" si="464"/>
        <v>693.22672647305183</v>
      </c>
      <c r="U544" s="29">
        <f t="shared" si="465"/>
        <v>0</v>
      </c>
      <c r="V544" s="35">
        <f t="shared" si="466"/>
        <v>3.3734959451469097E-4</v>
      </c>
      <c r="W544" s="34">
        <f t="shared" si="467"/>
        <v>0</v>
      </c>
      <c r="X544" s="34">
        <f t="shared" si="468"/>
        <v>831178.84504118911</v>
      </c>
      <c r="Y544" s="36">
        <f t="shared" si="469"/>
        <v>-7.4567578709072713E-3</v>
      </c>
      <c r="Z544" s="34">
        <f t="shared" si="470"/>
        <v>-6197.8993948925017</v>
      </c>
      <c r="AA544" s="34">
        <f t="shared" si="471"/>
        <v>828079.89534374292</v>
      </c>
      <c r="AB544" s="34">
        <f t="shared" si="472"/>
        <v>0</v>
      </c>
      <c r="AC544" s="34">
        <f t="shared" si="473"/>
        <v>0</v>
      </c>
      <c r="AD544" s="34">
        <f t="shared" si="474"/>
        <v>0</v>
      </c>
      <c r="AE544" s="34">
        <f t="shared" si="475"/>
        <v>0</v>
      </c>
      <c r="AF544" s="34">
        <f t="shared" si="476"/>
        <v>0</v>
      </c>
      <c r="AG544" s="29">
        <f t="shared" si="477"/>
        <v>828079.89534374292</v>
      </c>
      <c r="AH544" s="34">
        <f t="shared" si="478"/>
        <v>0</v>
      </c>
      <c r="AI544" s="34">
        <f t="shared" si="479"/>
        <v>0</v>
      </c>
      <c r="AJ544" s="34">
        <f t="shared" si="480"/>
        <v>0</v>
      </c>
      <c r="AK544" s="34">
        <f t="shared" si="481"/>
        <v>0</v>
      </c>
      <c r="AL544" s="34">
        <f t="shared" si="482"/>
        <v>0</v>
      </c>
      <c r="AM544" s="34">
        <f t="shared" si="483"/>
        <v>0</v>
      </c>
      <c r="AN544" s="34">
        <f t="shared" si="484"/>
        <v>0</v>
      </c>
      <c r="AO544" s="34">
        <f t="shared" si="485"/>
        <v>0</v>
      </c>
      <c r="AP544" s="34">
        <f t="shared" si="486"/>
        <v>0</v>
      </c>
      <c r="AQ544" s="34">
        <f t="shared" si="487"/>
        <v>0</v>
      </c>
      <c r="AR544" s="34">
        <f t="shared" si="488"/>
        <v>0</v>
      </c>
      <c r="AS544" s="30">
        <f t="shared" si="489"/>
        <v>1.5648107472306299</v>
      </c>
      <c r="AT544" s="29">
        <f t="shared" si="490"/>
        <v>0</v>
      </c>
      <c r="AU544" s="29">
        <f t="shared" si="491"/>
        <v>0</v>
      </c>
      <c r="AV544" s="34">
        <f t="shared" si="492"/>
        <v>0</v>
      </c>
      <c r="AW544" s="34">
        <f t="shared" si="493"/>
        <v>0</v>
      </c>
      <c r="AX544" s="29">
        <f t="shared" si="494"/>
        <v>0</v>
      </c>
      <c r="AY544" s="34">
        <f t="shared" si="495"/>
        <v>0</v>
      </c>
      <c r="AZ544" s="37">
        <f t="shared" si="496"/>
        <v>0</v>
      </c>
      <c r="BA544" s="37">
        <f t="shared" si="497"/>
        <v>0</v>
      </c>
      <c r="BB544" s="35">
        <f t="shared" si="498"/>
        <v>9.9701458014878064E-4</v>
      </c>
      <c r="BC544" s="31">
        <f t="shared" si="499"/>
        <v>0.58384504733847198</v>
      </c>
      <c r="BD544" s="34">
        <f t="shared" si="500"/>
        <v>0</v>
      </c>
    </row>
    <row r="545" spans="1:56" x14ac:dyDescent="0.2">
      <c r="A545" s="27">
        <f t="shared" si="501"/>
        <v>541</v>
      </c>
      <c r="B545" s="28">
        <f t="shared" si="448"/>
        <v>541</v>
      </c>
      <c r="C545" s="27">
        <f t="shared" si="449"/>
        <v>45</v>
      </c>
      <c r="D545" s="28">
        <f t="shared" si="450"/>
        <v>65</v>
      </c>
      <c r="E545" s="29">
        <f t="shared" si="451"/>
        <v>0</v>
      </c>
      <c r="F545" s="30">
        <f t="shared" si="452"/>
        <v>3.673976204352814E-3</v>
      </c>
      <c r="G545" s="31">
        <f t="shared" si="453"/>
        <v>3.0668144955880994E-4</v>
      </c>
      <c r="H545" s="32">
        <f t="shared" si="454"/>
        <v>0.02</v>
      </c>
      <c r="I545" s="32">
        <f t="shared" si="455"/>
        <v>0</v>
      </c>
      <c r="J545" s="33">
        <f t="shared" si="502"/>
        <v>0</v>
      </c>
      <c r="K545" s="30">
        <f t="shared" si="456"/>
        <v>0</v>
      </c>
      <c r="L545" s="33">
        <f t="shared" si="457"/>
        <v>0</v>
      </c>
      <c r="M545" s="30">
        <f t="shared" si="458"/>
        <v>0</v>
      </c>
      <c r="N545" s="33">
        <f t="shared" si="459"/>
        <v>0</v>
      </c>
      <c r="O545" s="31">
        <f t="shared" si="460"/>
        <v>0</v>
      </c>
      <c r="P545" s="33">
        <f t="shared" si="461"/>
        <v>0</v>
      </c>
      <c r="Q545" s="34">
        <f t="shared" si="503"/>
        <v>824980.9456462966</v>
      </c>
      <c r="R545" s="29">
        <f t="shared" si="462"/>
        <v>0</v>
      </c>
      <c r="S545" s="34">
        <f t="shared" si="463"/>
        <v>824980.9456462966</v>
      </c>
      <c r="T545" s="29">
        <f t="shared" si="464"/>
        <v>687.48412137191383</v>
      </c>
      <c r="U545" s="29">
        <f t="shared" si="465"/>
        <v>0</v>
      </c>
      <c r="V545" s="35">
        <f t="shared" si="466"/>
        <v>3.3734959451469097E-4</v>
      </c>
      <c r="W545" s="34">
        <f t="shared" si="467"/>
        <v>0</v>
      </c>
      <c r="X545" s="34">
        <f t="shared" si="468"/>
        <v>824293.46152492473</v>
      </c>
      <c r="Y545" s="36">
        <f t="shared" si="469"/>
        <v>-3.8047072284396188E-3</v>
      </c>
      <c r="Z545" s="34">
        <f t="shared" si="470"/>
        <v>-3136.1952914193957</v>
      </c>
      <c r="AA545" s="34">
        <f t="shared" si="471"/>
        <v>822725.36387921509</v>
      </c>
      <c r="AB545" s="34">
        <f t="shared" si="472"/>
        <v>0</v>
      </c>
      <c r="AC545" s="34">
        <f t="shared" si="473"/>
        <v>0</v>
      </c>
      <c r="AD545" s="34">
        <f t="shared" si="474"/>
        <v>0</v>
      </c>
      <c r="AE545" s="34">
        <f t="shared" si="475"/>
        <v>0</v>
      </c>
      <c r="AF545" s="34">
        <f t="shared" si="476"/>
        <v>0</v>
      </c>
      <c r="AG545" s="29">
        <f t="shared" si="477"/>
        <v>822725.36387921509</v>
      </c>
      <c r="AH545" s="34">
        <f t="shared" si="478"/>
        <v>0</v>
      </c>
      <c r="AI545" s="34">
        <f t="shared" si="479"/>
        <v>0</v>
      </c>
      <c r="AJ545" s="34">
        <f t="shared" si="480"/>
        <v>0</v>
      </c>
      <c r="AK545" s="34">
        <f t="shared" si="481"/>
        <v>0</v>
      </c>
      <c r="AL545" s="34">
        <f t="shared" si="482"/>
        <v>0</v>
      </c>
      <c r="AM545" s="34">
        <f t="shared" si="483"/>
        <v>0</v>
      </c>
      <c r="AN545" s="34">
        <f t="shared" si="484"/>
        <v>0</v>
      </c>
      <c r="AO545" s="34">
        <f t="shared" si="485"/>
        <v>0</v>
      </c>
      <c r="AP545" s="34">
        <f t="shared" si="486"/>
        <v>0</v>
      </c>
      <c r="AQ545" s="34">
        <f t="shared" si="487"/>
        <v>0</v>
      </c>
      <c r="AR545" s="34">
        <f t="shared" si="488"/>
        <v>0</v>
      </c>
      <c r="AS545" s="30">
        <f t="shared" si="489"/>
        <v>1.5661088173871962</v>
      </c>
      <c r="AT545" s="29">
        <f t="shared" si="490"/>
        <v>0</v>
      </c>
      <c r="AU545" s="29">
        <f t="shared" si="491"/>
        <v>0</v>
      </c>
      <c r="AV545" s="34">
        <f t="shared" si="492"/>
        <v>0</v>
      </c>
      <c r="AW545" s="34">
        <f t="shared" si="493"/>
        <v>0</v>
      </c>
      <c r="AX545" s="29">
        <f t="shared" si="494"/>
        <v>0</v>
      </c>
      <c r="AY545" s="34">
        <f t="shared" si="495"/>
        <v>0</v>
      </c>
      <c r="AZ545" s="37">
        <f t="shared" si="496"/>
        <v>0</v>
      </c>
      <c r="BA545" s="37">
        <f t="shared" si="497"/>
        <v>0</v>
      </c>
      <c r="BB545" s="35">
        <f t="shared" si="498"/>
        <v>9.9701458014878064E-4</v>
      </c>
      <c r="BC545" s="31">
        <f t="shared" si="499"/>
        <v>0.58326352509987855</v>
      </c>
      <c r="BD545" s="34">
        <f t="shared" si="500"/>
        <v>0</v>
      </c>
    </row>
    <row r="546" spans="1:56" x14ac:dyDescent="0.2">
      <c r="A546" s="27">
        <f t="shared" si="501"/>
        <v>542</v>
      </c>
      <c r="B546" s="28">
        <f t="shared" si="448"/>
        <v>542</v>
      </c>
      <c r="C546" s="27">
        <f t="shared" si="449"/>
        <v>45</v>
      </c>
      <c r="D546" s="28">
        <f t="shared" si="450"/>
        <v>65</v>
      </c>
      <c r="E546" s="29">
        <f t="shared" si="451"/>
        <v>0</v>
      </c>
      <c r="F546" s="30">
        <f t="shared" si="452"/>
        <v>3.673976204352814E-3</v>
      </c>
      <c r="G546" s="31">
        <f t="shared" si="453"/>
        <v>3.0668144955880994E-4</v>
      </c>
      <c r="H546" s="32">
        <f t="shared" si="454"/>
        <v>0.02</v>
      </c>
      <c r="I546" s="32">
        <f t="shared" si="455"/>
        <v>0</v>
      </c>
      <c r="J546" s="33">
        <f t="shared" si="502"/>
        <v>0</v>
      </c>
      <c r="K546" s="30">
        <f t="shared" si="456"/>
        <v>0</v>
      </c>
      <c r="L546" s="33">
        <f t="shared" si="457"/>
        <v>0</v>
      </c>
      <c r="M546" s="30">
        <f t="shared" si="458"/>
        <v>0</v>
      </c>
      <c r="N546" s="33">
        <f t="shared" si="459"/>
        <v>0</v>
      </c>
      <c r="O546" s="31">
        <f t="shared" si="460"/>
        <v>0</v>
      </c>
      <c r="P546" s="33">
        <f t="shared" si="461"/>
        <v>0</v>
      </c>
      <c r="Q546" s="34">
        <f t="shared" si="503"/>
        <v>821157.26623350533</v>
      </c>
      <c r="R546" s="29">
        <f t="shared" si="462"/>
        <v>0</v>
      </c>
      <c r="S546" s="34">
        <f t="shared" si="463"/>
        <v>821157.26623350533</v>
      </c>
      <c r="T546" s="29">
        <f t="shared" si="464"/>
        <v>684.29772186125444</v>
      </c>
      <c r="U546" s="29">
        <f t="shared" si="465"/>
        <v>0</v>
      </c>
      <c r="V546" s="35">
        <f t="shared" si="466"/>
        <v>3.3734959451469097E-4</v>
      </c>
      <c r="W546" s="34">
        <f t="shared" si="467"/>
        <v>0</v>
      </c>
      <c r="X546" s="34">
        <f t="shared" si="468"/>
        <v>820472.96851164405</v>
      </c>
      <c r="Y546" s="36">
        <f t="shared" si="469"/>
        <v>1.2798888485631377E-2</v>
      </c>
      <c r="Z546" s="34">
        <f t="shared" si="470"/>
        <v>10501.142029455475</v>
      </c>
      <c r="AA546" s="34">
        <f t="shared" si="471"/>
        <v>825723.53952637175</v>
      </c>
      <c r="AB546" s="34">
        <f t="shared" si="472"/>
        <v>0</v>
      </c>
      <c r="AC546" s="34">
        <f t="shared" si="473"/>
        <v>0</v>
      </c>
      <c r="AD546" s="34">
        <f t="shared" si="474"/>
        <v>0</v>
      </c>
      <c r="AE546" s="34">
        <f t="shared" si="475"/>
        <v>0</v>
      </c>
      <c r="AF546" s="34">
        <f t="shared" si="476"/>
        <v>0</v>
      </c>
      <c r="AG546" s="29">
        <f t="shared" si="477"/>
        <v>825723.53952637175</v>
      </c>
      <c r="AH546" s="34">
        <f t="shared" si="478"/>
        <v>0</v>
      </c>
      <c r="AI546" s="34">
        <f t="shared" si="479"/>
        <v>0</v>
      </c>
      <c r="AJ546" s="34">
        <f t="shared" si="480"/>
        <v>0</v>
      </c>
      <c r="AK546" s="34">
        <f t="shared" si="481"/>
        <v>0</v>
      </c>
      <c r="AL546" s="34">
        <f t="shared" si="482"/>
        <v>0</v>
      </c>
      <c r="AM546" s="34">
        <f t="shared" si="483"/>
        <v>0</v>
      </c>
      <c r="AN546" s="34">
        <f t="shared" si="484"/>
        <v>0</v>
      </c>
      <c r="AO546" s="34">
        <f t="shared" si="485"/>
        <v>0</v>
      </c>
      <c r="AP546" s="34">
        <f t="shared" si="486"/>
        <v>0</v>
      </c>
      <c r="AQ546" s="34">
        <f t="shared" si="487"/>
        <v>0</v>
      </c>
      <c r="AR546" s="34">
        <f t="shared" si="488"/>
        <v>0</v>
      </c>
      <c r="AS546" s="30">
        <f t="shared" si="489"/>
        <v>1.5674079643424326</v>
      </c>
      <c r="AT546" s="29">
        <f t="shared" si="490"/>
        <v>0</v>
      </c>
      <c r="AU546" s="29">
        <f t="shared" si="491"/>
        <v>0</v>
      </c>
      <c r="AV546" s="34">
        <f t="shared" si="492"/>
        <v>0</v>
      </c>
      <c r="AW546" s="34">
        <f t="shared" si="493"/>
        <v>0</v>
      </c>
      <c r="AX546" s="29">
        <f t="shared" si="494"/>
        <v>0</v>
      </c>
      <c r="AY546" s="34">
        <f t="shared" si="495"/>
        <v>0</v>
      </c>
      <c r="AZ546" s="37">
        <f t="shared" si="496"/>
        <v>0</v>
      </c>
      <c r="BA546" s="37">
        <f t="shared" si="497"/>
        <v>0</v>
      </c>
      <c r="BB546" s="35">
        <f t="shared" si="498"/>
        <v>9.9701458014878064E-4</v>
      </c>
      <c r="BC546" s="31">
        <f t="shared" si="499"/>
        <v>0.58268258206995605</v>
      </c>
      <c r="BD546" s="34">
        <f t="shared" si="500"/>
        <v>0</v>
      </c>
    </row>
    <row r="547" spans="1:56" x14ac:dyDescent="0.2">
      <c r="A547" s="27">
        <f t="shared" si="501"/>
        <v>543</v>
      </c>
      <c r="B547" s="28">
        <f t="shared" si="448"/>
        <v>543</v>
      </c>
      <c r="C547" s="27">
        <f t="shared" si="449"/>
        <v>45</v>
      </c>
      <c r="D547" s="28">
        <f t="shared" si="450"/>
        <v>65</v>
      </c>
      <c r="E547" s="29">
        <f t="shared" si="451"/>
        <v>0</v>
      </c>
      <c r="F547" s="30">
        <f t="shared" si="452"/>
        <v>3.673976204352814E-3</v>
      </c>
      <c r="G547" s="31">
        <f t="shared" si="453"/>
        <v>3.0668144955880994E-4</v>
      </c>
      <c r="H547" s="32">
        <f t="shared" si="454"/>
        <v>0.02</v>
      </c>
      <c r="I547" s="32">
        <f t="shared" si="455"/>
        <v>0</v>
      </c>
      <c r="J547" s="33">
        <f t="shared" si="502"/>
        <v>0</v>
      </c>
      <c r="K547" s="30">
        <f t="shared" si="456"/>
        <v>0</v>
      </c>
      <c r="L547" s="33">
        <f t="shared" si="457"/>
        <v>0</v>
      </c>
      <c r="M547" s="30">
        <f t="shared" si="458"/>
        <v>0</v>
      </c>
      <c r="N547" s="33">
        <f t="shared" si="459"/>
        <v>0</v>
      </c>
      <c r="O547" s="31">
        <f t="shared" si="460"/>
        <v>0</v>
      </c>
      <c r="P547" s="33">
        <f t="shared" si="461"/>
        <v>0</v>
      </c>
      <c r="Q547" s="34">
        <f t="shared" si="503"/>
        <v>830974.11054109957</v>
      </c>
      <c r="R547" s="29">
        <f t="shared" si="462"/>
        <v>0</v>
      </c>
      <c r="S547" s="34">
        <f t="shared" si="463"/>
        <v>830974.11054109957</v>
      </c>
      <c r="T547" s="29">
        <f t="shared" si="464"/>
        <v>692.47842545091635</v>
      </c>
      <c r="U547" s="29">
        <f t="shared" si="465"/>
        <v>0</v>
      </c>
      <c r="V547" s="35">
        <f t="shared" si="466"/>
        <v>3.3734959451469097E-4</v>
      </c>
      <c r="W547" s="34">
        <f t="shared" si="467"/>
        <v>0</v>
      </c>
      <c r="X547" s="34">
        <f t="shared" si="468"/>
        <v>830281.63211564859</v>
      </c>
      <c r="Y547" s="36">
        <f t="shared" si="469"/>
        <v>5.620596639588582E-3</v>
      </c>
      <c r="Z547" s="34">
        <f t="shared" si="470"/>
        <v>4666.6781513813376</v>
      </c>
      <c r="AA547" s="34">
        <f t="shared" si="471"/>
        <v>832614.97119133931</v>
      </c>
      <c r="AB547" s="34">
        <f t="shared" si="472"/>
        <v>0</v>
      </c>
      <c r="AC547" s="34">
        <f t="shared" si="473"/>
        <v>0</v>
      </c>
      <c r="AD547" s="34">
        <f t="shared" si="474"/>
        <v>0</v>
      </c>
      <c r="AE547" s="34">
        <f t="shared" si="475"/>
        <v>0</v>
      </c>
      <c r="AF547" s="34">
        <f t="shared" si="476"/>
        <v>0</v>
      </c>
      <c r="AG547" s="29">
        <f t="shared" si="477"/>
        <v>832614.97119133931</v>
      </c>
      <c r="AH547" s="34">
        <f t="shared" si="478"/>
        <v>0</v>
      </c>
      <c r="AI547" s="34">
        <f t="shared" si="479"/>
        <v>0</v>
      </c>
      <c r="AJ547" s="34">
        <f t="shared" si="480"/>
        <v>0</v>
      </c>
      <c r="AK547" s="34">
        <f t="shared" si="481"/>
        <v>0</v>
      </c>
      <c r="AL547" s="34">
        <f t="shared" si="482"/>
        <v>0</v>
      </c>
      <c r="AM547" s="34">
        <f t="shared" si="483"/>
        <v>0</v>
      </c>
      <c r="AN547" s="34">
        <f t="shared" si="484"/>
        <v>0</v>
      </c>
      <c r="AO547" s="34">
        <f t="shared" si="485"/>
        <v>0</v>
      </c>
      <c r="AP547" s="34">
        <f t="shared" si="486"/>
        <v>0</v>
      </c>
      <c r="AQ547" s="34">
        <f t="shared" si="487"/>
        <v>0</v>
      </c>
      <c r="AR547" s="34">
        <f t="shared" si="488"/>
        <v>0</v>
      </c>
      <c r="AS547" s="30">
        <f t="shared" si="489"/>
        <v>1.5687081889895844</v>
      </c>
      <c r="AT547" s="29">
        <f t="shared" si="490"/>
        <v>0</v>
      </c>
      <c r="AU547" s="29">
        <f t="shared" si="491"/>
        <v>0</v>
      </c>
      <c r="AV547" s="34">
        <f t="shared" si="492"/>
        <v>0</v>
      </c>
      <c r="AW547" s="34">
        <f t="shared" si="493"/>
        <v>0</v>
      </c>
      <c r="AX547" s="29">
        <f t="shared" si="494"/>
        <v>0</v>
      </c>
      <c r="AY547" s="34">
        <f t="shared" si="495"/>
        <v>0</v>
      </c>
      <c r="AZ547" s="37">
        <f t="shared" si="496"/>
        <v>0</v>
      </c>
      <c r="BA547" s="37">
        <f t="shared" si="497"/>
        <v>0</v>
      </c>
      <c r="BB547" s="35">
        <f t="shared" si="498"/>
        <v>9.9701458014878064E-4</v>
      </c>
      <c r="BC547" s="31">
        <f t="shared" si="499"/>
        <v>0.58210221767180037</v>
      </c>
      <c r="BD547" s="34">
        <f t="shared" si="500"/>
        <v>0</v>
      </c>
    </row>
    <row r="548" spans="1:56" x14ac:dyDescent="0.2">
      <c r="A548" s="27">
        <f t="shared" si="501"/>
        <v>544</v>
      </c>
      <c r="B548" s="28">
        <f t="shared" si="448"/>
        <v>544</v>
      </c>
      <c r="C548" s="27">
        <f t="shared" si="449"/>
        <v>45</v>
      </c>
      <c r="D548" s="28">
        <f t="shared" si="450"/>
        <v>65</v>
      </c>
      <c r="E548" s="29">
        <f t="shared" si="451"/>
        <v>0</v>
      </c>
      <c r="F548" s="30">
        <f t="shared" si="452"/>
        <v>3.673976204352814E-3</v>
      </c>
      <c r="G548" s="31">
        <f t="shared" si="453"/>
        <v>3.0668144955880994E-4</v>
      </c>
      <c r="H548" s="32">
        <f t="shared" si="454"/>
        <v>0.02</v>
      </c>
      <c r="I548" s="32">
        <f t="shared" si="455"/>
        <v>0</v>
      </c>
      <c r="J548" s="33">
        <f t="shared" si="502"/>
        <v>0</v>
      </c>
      <c r="K548" s="30">
        <f t="shared" si="456"/>
        <v>0</v>
      </c>
      <c r="L548" s="33">
        <f t="shared" si="457"/>
        <v>0</v>
      </c>
      <c r="M548" s="30">
        <f t="shared" si="458"/>
        <v>0</v>
      </c>
      <c r="N548" s="33">
        <f t="shared" si="459"/>
        <v>0</v>
      </c>
      <c r="O548" s="31">
        <f t="shared" si="460"/>
        <v>0</v>
      </c>
      <c r="P548" s="33">
        <f t="shared" si="461"/>
        <v>0</v>
      </c>
      <c r="Q548" s="34">
        <f t="shared" si="503"/>
        <v>834948.31026702991</v>
      </c>
      <c r="R548" s="29">
        <f t="shared" si="462"/>
        <v>0</v>
      </c>
      <c r="S548" s="34">
        <f t="shared" si="463"/>
        <v>834948.31026702991</v>
      </c>
      <c r="T548" s="29">
        <f t="shared" si="464"/>
        <v>695.79025855585826</v>
      </c>
      <c r="U548" s="29">
        <f t="shared" si="465"/>
        <v>0</v>
      </c>
      <c r="V548" s="35">
        <f t="shared" si="466"/>
        <v>3.3734959451469097E-4</v>
      </c>
      <c r="W548" s="34">
        <f t="shared" si="467"/>
        <v>0</v>
      </c>
      <c r="X548" s="34">
        <f t="shared" si="468"/>
        <v>834252.52000847401</v>
      </c>
      <c r="Y548" s="36">
        <f t="shared" si="469"/>
        <v>-4.2747047696580776E-3</v>
      </c>
      <c r="Z548" s="34">
        <f t="shared" si="470"/>
        <v>-3566.1832263794945</v>
      </c>
      <c r="AA548" s="34">
        <f t="shared" si="471"/>
        <v>832469.42839528422</v>
      </c>
      <c r="AB548" s="34">
        <f t="shared" si="472"/>
        <v>0</v>
      </c>
      <c r="AC548" s="34">
        <f t="shared" si="473"/>
        <v>0</v>
      </c>
      <c r="AD548" s="34">
        <f t="shared" si="474"/>
        <v>0</v>
      </c>
      <c r="AE548" s="34">
        <f t="shared" si="475"/>
        <v>0</v>
      </c>
      <c r="AF548" s="34">
        <f t="shared" si="476"/>
        <v>0</v>
      </c>
      <c r="AG548" s="29">
        <f t="shared" si="477"/>
        <v>832469.42839528422</v>
      </c>
      <c r="AH548" s="34">
        <f t="shared" si="478"/>
        <v>0</v>
      </c>
      <c r="AI548" s="34">
        <f t="shared" si="479"/>
        <v>0</v>
      </c>
      <c r="AJ548" s="34">
        <f t="shared" si="480"/>
        <v>0</v>
      </c>
      <c r="AK548" s="34">
        <f t="shared" si="481"/>
        <v>0</v>
      </c>
      <c r="AL548" s="34">
        <f t="shared" si="482"/>
        <v>0</v>
      </c>
      <c r="AM548" s="34">
        <f t="shared" si="483"/>
        <v>0</v>
      </c>
      <c r="AN548" s="34">
        <f t="shared" si="484"/>
        <v>0</v>
      </c>
      <c r="AO548" s="34">
        <f t="shared" si="485"/>
        <v>0</v>
      </c>
      <c r="AP548" s="34">
        <f t="shared" si="486"/>
        <v>0</v>
      </c>
      <c r="AQ548" s="34">
        <f t="shared" si="487"/>
        <v>0</v>
      </c>
      <c r="AR548" s="34">
        <f t="shared" si="488"/>
        <v>0</v>
      </c>
      <c r="AS548" s="30">
        <f t="shared" si="489"/>
        <v>1.5700094922226384</v>
      </c>
      <c r="AT548" s="29">
        <f t="shared" si="490"/>
        <v>0</v>
      </c>
      <c r="AU548" s="29">
        <f t="shared" si="491"/>
        <v>0</v>
      </c>
      <c r="AV548" s="34">
        <f t="shared" si="492"/>
        <v>0</v>
      </c>
      <c r="AW548" s="34">
        <f t="shared" si="493"/>
        <v>0</v>
      </c>
      <c r="AX548" s="29">
        <f t="shared" si="494"/>
        <v>0</v>
      </c>
      <c r="AY548" s="34">
        <f t="shared" si="495"/>
        <v>0</v>
      </c>
      <c r="AZ548" s="37">
        <f t="shared" si="496"/>
        <v>0</v>
      </c>
      <c r="BA548" s="37">
        <f t="shared" si="497"/>
        <v>0</v>
      </c>
      <c r="BB548" s="35">
        <f t="shared" si="498"/>
        <v>9.9701458014878064E-4</v>
      </c>
      <c r="BC548" s="31">
        <f t="shared" si="499"/>
        <v>0.58152243132908177</v>
      </c>
      <c r="BD548" s="34">
        <f t="shared" si="500"/>
        <v>0</v>
      </c>
    </row>
    <row r="549" spans="1:56" x14ac:dyDescent="0.2">
      <c r="A549" s="27">
        <f t="shared" si="501"/>
        <v>545</v>
      </c>
      <c r="B549" s="28">
        <f t="shared" si="448"/>
        <v>545</v>
      </c>
      <c r="C549" s="27">
        <f t="shared" si="449"/>
        <v>45</v>
      </c>
      <c r="D549" s="28">
        <f t="shared" si="450"/>
        <v>65</v>
      </c>
      <c r="E549" s="29">
        <f t="shared" si="451"/>
        <v>0</v>
      </c>
      <c r="F549" s="30">
        <f t="shared" si="452"/>
        <v>3.673976204352814E-3</v>
      </c>
      <c r="G549" s="31">
        <f t="shared" si="453"/>
        <v>3.0668144955880994E-4</v>
      </c>
      <c r="H549" s="32">
        <f t="shared" si="454"/>
        <v>0.02</v>
      </c>
      <c r="I549" s="32">
        <f t="shared" si="455"/>
        <v>0</v>
      </c>
      <c r="J549" s="33">
        <f t="shared" si="502"/>
        <v>0</v>
      </c>
      <c r="K549" s="30">
        <f t="shared" si="456"/>
        <v>0</v>
      </c>
      <c r="L549" s="33">
        <f t="shared" si="457"/>
        <v>0</v>
      </c>
      <c r="M549" s="30">
        <f t="shared" si="458"/>
        <v>0</v>
      </c>
      <c r="N549" s="33">
        <f t="shared" si="459"/>
        <v>0</v>
      </c>
      <c r="O549" s="31">
        <f t="shared" si="460"/>
        <v>0</v>
      </c>
      <c r="P549" s="33">
        <f t="shared" si="461"/>
        <v>0</v>
      </c>
      <c r="Q549" s="34">
        <f t="shared" si="503"/>
        <v>830686.33678209456</v>
      </c>
      <c r="R549" s="29">
        <f t="shared" si="462"/>
        <v>0</v>
      </c>
      <c r="S549" s="34">
        <f t="shared" si="463"/>
        <v>830686.33678209456</v>
      </c>
      <c r="T549" s="29">
        <f t="shared" si="464"/>
        <v>692.23861398507881</v>
      </c>
      <c r="U549" s="29">
        <f t="shared" si="465"/>
        <v>0</v>
      </c>
      <c r="V549" s="35">
        <f t="shared" si="466"/>
        <v>3.3734959451469097E-4</v>
      </c>
      <c r="W549" s="34">
        <f t="shared" si="467"/>
        <v>0</v>
      </c>
      <c r="X549" s="34">
        <f t="shared" si="468"/>
        <v>829994.09816810943</v>
      </c>
      <c r="Y549" s="36">
        <f t="shared" si="469"/>
        <v>-9.3317020307589482E-3</v>
      </c>
      <c r="Z549" s="34">
        <f t="shared" si="470"/>
        <v>-7745.2576113932882</v>
      </c>
      <c r="AA549" s="34">
        <f t="shared" si="471"/>
        <v>826121.46936241281</v>
      </c>
      <c r="AB549" s="34">
        <f t="shared" si="472"/>
        <v>0</v>
      </c>
      <c r="AC549" s="34">
        <f t="shared" si="473"/>
        <v>0</v>
      </c>
      <c r="AD549" s="34">
        <f t="shared" si="474"/>
        <v>0</v>
      </c>
      <c r="AE549" s="34">
        <f t="shared" si="475"/>
        <v>0</v>
      </c>
      <c r="AF549" s="34">
        <f t="shared" si="476"/>
        <v>0</v>
      </c>
      <c r="AG549" s="29">
        <f t="shared" si="477"/>
        <v>826121.46936241281</v>
      </c>
      <c r="AH549" s="34">
        <f t="shared" si="478"/>
        <v>0</v>
      </c>
      <c r="AI549" s="34">
        <f t="shared" si="479"/>
        <v>0</v>
      </c>
      <c r="AJ549" s="34">
        <f t="shared" si="480"/>
        <v>0</v>
      </c>
      <c r="AK549" s="34">
        <f t="shared" si="481"/>
        <v>0</v>
      </c>
      <c r="AL549" s="34">
        <f t="shared" si="482"/>
        <v>0</v>
      </c>
      <c r="AM549" s="34">
        <f t="shared" si="483"/>
        <v>0</v>
      </c>
      <c r="AN549" s="34">
        <f t="shared" si="484"/>
        <v>0</v>
      </c>
      <c r="AO549" s="34">
        <f t="shared" si="485"/>
        <v>0</v>
      </c>
      <c r="AP549" s="34">
        <f t="shared" si="486"/>
        <v>0</v>
      </c>
      <c r="AQ549" s="34">
        <f t="shared" si="487"/>
        <v>0</v>
      </c>
      <c r="AR549" s="34">
        <f t="shared" si="488"/>
        <v>0</v>
      </c>
      <c r="AS549" s="30">
        <f t="shared" si="489"/>
        <v>1.5713118749363224</v>
      </c>
      <c r="AT549" s="29">
        <f t="shared" si="490"/>
        <v>0</v>
      </c>
      <c r="AU549" s="29">
        <f t="shared" si="491"/>
        <v>0</v>
      </c>
      <c r="AV549" s="34">
        <f t="shared" si="492"/>
        <v>0</v>
      </c>
      <c r="AW549" s="34">
        <f t="shared" si="493"/>
        <v>0</v>
      </c>
      <c r="AX549" s="29">
        <f t="shared" si="494"/>
        <v>0</v>
      </c>
      <c r="AY549" s="34">
        <f t="shared" si="495"/>
        <v>0</v>
      </c>
      <c r="AZ549" s="37">
        <f t="shared" si="496"/>
        <v>0</v>
      </c>
      <c r="BA549" s="37">
        <f t="shared" si="497"/>
        <v>0</v>
      </c>
      <c r="BB549" s="35">
        <f t="shared" si="498"/>
        <v>9.9701458014878064E-4</v>
      </c>
      <c r="BC549" s="31">
        <f t="shared" si="499"/>
        <v>0.58094322246604457</v>
      </c>
      <c r="BD549" s="34">
        <f t="shared" si="500"/>
        <v>0</v>
      </c>
    </row>
    <row r="550" spans="1:56" x14ac:dyDescent="0.2">
      <c r="A550" s="27">
        <f t="shared" si="501"/>
        <v>546</v>
      </c>
      <c r="B550" s="28">
        <f t="shared" si="448"/>
        <v>546</v>
      </c>
      <c r="C550" s="27">
        <f t="shared" si="449"/>
        <v>45</v>
      </c>
      <c r="D550" s="28">
        <f t="shared" si="450"/>
        <v>65</v>
      </c>
      <c r="E550" s="29">
        <f t="shared" si="451"/>
        <v>0</v>
      </c>
      <c r="F550" s="30">
        <f t="shared" si="452"/>
        <v>3.673976204352814E-3</v>
      </c>
      <c r="G550" s="31">
        <f t="shared" si="453"/>
        <v>3.0668144955880994E-4</v>
      </c>
      <c r="H550" s="32">
        <f t="shared" si="454"/>
        <v>0.02</v>
      </c>
      <c r="I550" s="32">
        <f t="shared" si="455"/>
        <v>0</v>
      </c>
      <c r="J550" s="33">
        <f t="shared" si="502"/>
        <v>0</v>
      </c>
      <c r="K550" s="30">
        <f t="shared" si="456"/>
        <v>0</v>
      </c>
      <c r="L550" s="33">
        <f t="shared" si="457"/>
        <v>0</v>
      </c>
      <c r="M550" s="30">
        <f t="shared" si="458"/>
        <v>0</v>
      </c>
      <c r="N550" s="33">
        <f t="shared" si="459"/>
        <v>0</v>
      </c>
      <c r="O550" s="31">
        <f t="shared" si="460"/>
        <v>0</v>
      </c>
      <c r="P550" s="33">
        <f t="shared" si="461"/>
        <v>0</v>
      </c>
      <c r="Q550" s="34">
        <f t="shared" si="503"/>
        <v>822248.84055671608</v>
      </c>
      <c r="R550" s="29">
        <f t="shared" si="462"/>
        <v>0</v>
      </c>
      <c r="S550" s="34">
        <f t="shared" si="463"/>
        <v>822248.84055671608</v>
      </c>
      <c r="T550" s="29">
        <f t="shared" si="464"/>
        <v>685.20736713059682</v>
      </c>
      <c r="U550" s="29">
        <f t="shared" si="465"/>
        <v>0</v>
      </c>
      <c r="V550" s="35">
        <f t="shared" si="466"/>
        <v>3.3734959451469097E-4</v>
      </c>
      <c r="W550" s="34">
        <f t="shared" si="467"/>
        <v>0</v>
      </c>
      <c r="X550" s="34">
        <f t="shared" si="468"/>
        <v>821563.63318958553</v>
      </c>
      <c r="Y550" s="36">
        <f t="shared" si="469"/>
        <v>-8.7953500756188241E-3</v>
      </c>
      <c r="Z550" s="34">
        <f t="shared" si="470"/>
        <v>-7225.939763299697</v>
      </c>
      <c r="AA550" s="34">
        <f t="shared" si="471"/>
        <v>817950.6633079357</v>
      </c>
      <c r="AB550" s="34">
        <f t="shared" si="472"/>
        <v>0</v>
      </c>
      <c r="AC550" s="34">
        <f t="shared" si="473"/>
        <v>0</v>
      </c>
      <c r="AD550" s="34">
        <f t="shared" si="474"/>
        <v>0</v>
      </c>
      <c r="AE550" s="34">
        <f t="shared" si="475"/>
        <v>0</v>
      </c>
      <c r="AF550" s="34">
        <f t="shared" si="476"/>
        <v>0</v>
      </c>
      <c r="AG550" s="29">
        <f t="shared" si="477"/>
        <v>817950.6633079357</v>
      </c>
      <c r="AH550" s="34">
        <f t="shared" si="478"/>
        <v>0</v>
      </c>
      <c r="AI550" s="34">
        <f t="shared" si="479"/>
        <v>0</v>
      </c>
      <c r="AJ550" s="34">
        <f t="shared" si="480"/>
        <v>0</v>
      </c>
      <c r="AK550" s="34">
        <f t="shared" si="481"/>
        <v>0</v>
      </c>
      <c r="AL550" s="34">
        <f t="shared" si="482"/>
        <v>0</v>
      </c>
      <c r="AM550" s="34">
        <f t="shared" si="483"/>
        <v>0</v>
      </c>
      <c r="AN550" s="34">
        <f t="shared" si="484"/>
        <v>0</v>
      </c>
      <c r="AO550" s="34">
        <f t="shared" si="485"/>
        <v>0</v>
      </c>
      <c r="AP550" s="34">
        <f t="shared" si="486"/>
        <v>0</v>
      </c>
      <c r="AQ550" s="34">
        <f t="shared" si="487"/>
        <v>0</v>
      </c>
      <c r="AR550" s="34">
        <f t="shared" si="488"/>
        <v>0</v>
      </c>
      <c r="AS550" s="30">
        <f t="shared" si="489"/>
        <v>1.572615338026107</v>
      </c>
      <c r="AT550" s="29">
        <f t="shared" si="490"/>
        <v>0</v>
      </c>
      <c r="AU550" s="29">
        <f t="shared" si="491"/>
        <v>0</v>
      </c>
      <c r="AV550" s="34">
        <f t="shared" si="492"/>
        <v>0</v>
      </c>
      <c r="AW550" s="34">
        <f t="shared" si="493"/>
        <v>0</v>
      </c>
      <c r="AX550" s="29">
        <f t="shared" si="494"/>
        <v>0</v>
      </c>
      <c r="AY550" s="34">
        <f t="shared" si="495"/>
        <v>0</v>
      </c>
      <c r="AZ550" s="37">
        <f t="shared" si="496"/>
        <v>0</v>
      </c>
      <c r="BA550" s="37">
        <f t="shared" si="497"/>
        <v>0</v>
      </c>
      <c r="BB550" s="35">
        <f t="shared" si="498"/>
        <v>9.9701458014878064E-4</v>
      </c>
      <c r="BC550" s="31">
        <f t="shared" si="499"/>
        <v>0.58036459050750644</v>
      </c>
      <c r="BD550" s="34">
        <f t="shared" si="500"/>
        <v>0</v>
      </c>
    </row>
    <row r="551" spans="1:56" x14ac:dyDescent="0.2">
      <c r="A551" s="27">
        <f t="shared" si="501"/>
        <v>547</v>
      </c>
      <c r="B551" s="28">
        <f t="shared" si="448"/>
        <v>547</v>
      </c>
      <c r="C551" s="27">
        <f t="shared" si="449"/>
        <v>45</v>
      </c>
      <c r="D551" s="28">
        <f t="shared" si="450"/>
        <v>65</v>
      </c>
      <c r="E551" s="29">
        <f t="shared" si="451"/>
        <v>0</v>
      </c>
      <c r="F551" s="30">
        <f t="shared" si="452"/>
        <v>3.673976204352814E-3</v>
      </c>
      <c r="G551" s="31">
        <f t="shared" si="453"/>
        <v>3.0668144955880994E-4</v>
      </c>
      <c r="H551" s="32">
        <f t="shared" si="454"/>
        <v>0.02</v>
      </c>
      <c r="I551" s="32">
        <f t="shared" si="455"/>
        <v>0</v>
      </c>
      <c r="J551" s="33">
        <f t="shared" si="502"/>
        <v>0</v>
      </c>
      <c r="K551" s="30">
        <f t="shared" si="456"/>
        <v>0</v>
      </c>
      <c r="L551" s="33">
        <f t="shared" si="457"/>
        <v>0</v>
      </c>
      <c r="M551" s="30">
        <f t="shared" si="458"/>
        <v>0</v>
      </c>
      <c r="N551" s="33">
        <f t="shared" si="459"/>
        <v>0</v>
      </c>
      <c r="O551" s="31">
        <f t="shared" si="460"/>
        <v>0</v>
      </c>
      <c r="P551" s="33">
        <f t="shared" si="461"/>
        <v>0</v>
      </c>
      <c r="Q551" s="34">
        <f t="shared" si="503"/>
        <v>814337.69342628587</v>
      </c>
      <c r="R551" s="29">
        <f t="shared" si="462"/>
        <v>0</v>
      </c>
      <c r="S551" s="34">
        <f t="shared" si="463"/>
        <v>814337.69342628587</v>
      </c>
      <c r="T551" s="29">
        <f t="shared" si="464"/>
        <v>678.61474452190498</v>
      </c>
      <c r="U551" s="29">
        <f t="shared" si="465"/>
        <v>0</v>
      </c>
      <c r="V551" s="35">
        <f t="shared" si="466"/>
        <v>3.3734959451469097E-4</v>
      </c>
      <c r="W551" s="34">
        <f t="shared" si="467"/>
        <v>0</v>
      </c>
      <c r="X551" s="34">
        <f t="shared" si="468"/>
        <v>813659.07868176396</v>
      </c>
      <c r="Y551" s="36">
        <f t="shared" si="469"/>
        <v>2.6321136021607572E-3</v>
      </c>
      <c r="Z551" s="34">
        <f t="shared" si="470"/>
        <v>2141.6431285198605</v>
      </c>
      <c r="AA551" s="34">
        <f t="shared" si="471"/>
        <v>814729.9002460239</v>
      </c>
      <c r="AB551" s="34">
        <f t="shared" si="472"/>
        <v>0</v>
      </c>
      <c r="AC551" s="34">
        <f t="shared" si="473"/>
        <v>0</v>
      </c>
      <c r="AD551" s="34">
        <f t="shared" si="474"/>
        <v>0</v>
      </c>
      <c r="AE551" s="34">
        <f t="shared" si="475"/>
        <v>0</v>
      </c>
      <c r="AF551" s="34">
        <f t="shared" si="476"/>
        <v>0</v>
      </c>
      <c r="AG551" s="29">
        <f t="shared" si="477"/>
        <v>814729.9002460239</v>
      </c>
      <c r="AH551" s="34">
        <f t="shared" si="478"/>
        <v>0</v>
      </c>
      <c r="AI551" s="34">
        <f t="shared" si="479"/>
        <v>0</v>
      </c>
      <c r="AJ551" s="34">
        <f t="shared" si="480"/>
        <v>0</v>
      </c>
      <c r="AK551" s="34">
        <f t="shared" si="481"/>
        <v>0</v>
      </c>
      <c r="AL551" s="34">
        <f t="shared" si="482"/>
        <v>0</v>
      </c>
      <c r="AM551" s="34">
        <f t="shared" si="483"/>
        <v>0</v>
      </c>
      <c r="AN551" s="34">
        <f t="shared" si="484"/>
        <v>0</v>
      </c>
      <c r="AO551" s="34">
        <f t="shared" si="485"/>
        <v>0</v>
      </c>
      <c r="AP551" s="34">
        <f t="shared" si="486"/>
        <v>0</v>
      </c>
      <c r="AQ551" s="34">
        <f t="shared" si="487"/>
        <v>0</v>
      </c>
      <c r="AR551" s="34">
        <f t="shared" si="488"/>
        <v>0</v>
      </c>
      <c r="AS551" s="30">
        <f t="shared" si="489"/>
        <v>1.5739198823882052</v>
      </c>
      <c r="AT551" s="29">
        <f t="shared" si="490"/>
        <v>0</v>
      </c>
      <c r="AU551" s="29">
        <f t="shared" si="491"/>
        <v>0</v>
      </c>
      <c r="AV551" s="34">
        <f t="shared" si="492"/>
        <v>0</v>
      </c>
      <c r="AW551" s="34">
        <f t="shared" si="493"/>
        <v>0</v>
      </c>
      <c r="AX551" s="29">
        <f t="shared" si="494"/>
        <v>0</v>
      </c>
      <c r="AY551" s="34">
        <f t="shared" si="495"/>
        <v>0</v>
      </c>
      <c r="AZ551" s="37">
        <f t="shared" si="496"/>
        <v>0</v>
      </c>
      <c r="BA551" s="37">
        <f t="shared" si="497"/>
        <v>0</v>
      </c>
      <c r="BB551" s="35">
        <f t="shared" si="498"/>
        <v>9.9701458014878064E-4</v>
      </c>
      <c r="BC551" s="31">
        <f t="shared" si="499"/>
        <v>0.57978653487885823</v>
      </c>
      <c r="BD551" s="34">
        <f t="shared" si="500"/>
        <v>0</v>
      </c>
    </row>
    <row r="552" spans="1:56" x14ac:dyDescent="0.2">
      <c r="A552" s="27">
        <f t="shared" si="501"/>
        <v>548</v>
      </c>
      <c r="B552" s="28">
        <f t="shared" si="448"/>
        <v>548</v>
      </c>
      <c r="C552" s="27">
        <f t="shared" si="449"/>
        <v>45</v>
      </c>
      <c r="D552" s="28">
        <f t="shared" si="450"/>
        <v>65</v>
      </c>
      <c r="E552" s="29">
        <f t="shared" si="451"/>
        <v>0</v>
      </c>
      <c r="F552" s="30">
        <f t="shared" si="452"/>
        <v>3.673976204352814E-3</v>
      </c>
      <c r="G552" s="31">
        <f t="shared" si="453"/>
        <v>3.0668144955880994E-4</v>
      </c>
      <c r="H552" s="32">
        <f t="shared" si="454"/>
        <v>0.02</v>
      </c>
      <c r="I552" s="32">
        <f t="shared" si="455"/>
        <v>0</v>
      </c>
      <c r="J552" s="33">
        <f t="shared" si="502"/>
        <v>0</v>
      </c>
      <c r="K552" s="30">
        <f t="shared" si="456"/>
        <v>0</v>
      </c>
      <c r="L552" s="33">
        <f t="shared" si="457"/>
        <v>0</v>
      </c>
      <c r="M552" s="30">
        <f t="shared" si="458"/>
        <v>0</v>
      </c>
      <c r="N552" s="33">
        <f t="shared" si="459"/>
        <v>0</v>
      </c>
      <c r="O552" s="31">
        <f t="shared" si="460"/>
        <v>0</v>
      </c>
      <c r="P552" s="33">
        <f t="shared" si="461"/>
        <v>0</v>
      </c>
      <c r="Q552" s="34">
        <f t="shared" si="503"/>
        <v>815800.72181028384</v>
      </c>
      <c r="R552" s="29">
        <f t="shared" si="462"/>
        <v>0</v>
      </c>
      <c r="S552" s="34">
        <f t="shared" si="463"/>
        <v>815800.72181028384</v>
      </c>
      <c r="T552" s="29">
        <f t="shared" si="464"/>
        <v>679.83393484190321</v>
      </c>
      <c r="U552" s="29">
        <f t="shared" si="465"/>
        <v>0</v>
      </c>
      <c r="V552" s="35">
        <f t="shared" si="466"/>
        <v>3.3734959451469097E-4</v>
      </c>
      <c r="W552" s="34">
        <f t="shared" si="467"/>
        <v>0</v>
      </c>
      <c r="X552" s="34">
        <f t="shared" si="468"/>
        <v>815120.88787544193</v>
      </c>
      <c r="Y552" s="36">
        <f t="shared" si="469"/>
        <v>6.553223398579E-3</v>
      </c>
      <c r="Z552" s="34">
        <f t="shared" si="470"/>
        <v>5341.6692750958355</v>
      </c>
      <c r="AA552" s="34">
        <f t="shared" si="471"/>
        <v>817791.72251298989</v>
      </c>
      <c r="AB552" s="34">
        <f t="shared" si="472"/>
        <v>0</v>
      </c>
      <c r="AC552" s="34">
        <f t="shared" si="473"/>
        <v>0</v>
      </c>
      <c r="AD552" s="34">
        <f t="shared" si="474"/>
        <v>0</v>
      </c>
      <c r="AE552" s="34">
        <f t="shared" si="475"/>
        <v>0</v>
      </c>
      <c r="AF552" s="34">
        <f t="shared" si="476"/>
        <v>0</v>
      </c>
      <c r="AG552" s="29">
        <f t="shared" si="477"/>
        <v>817791.72251298989</v>
      </c>
      <c r="AH552" s="34">
        <f t="shared" si="478"/>
        <v>0</v>
      </c>
      <c r="AI552" s="34">
        <f t="shared" si="479"/>
        <v>0</v>
      </c>
      <c r="AJ552" s="34">
        <f t="shared" si="480"/>
        <v>0</v>
      </c>
      <c r="AK552" s="34">
        <f t="shared" si="481"/>
        <v>0</v>
      </c>
      <c r="AL552" s="34">
        <f t="shared" si="482"/>
        <v>0</v>
      </c>
      <c r="AM552" s="34">
        <f t="shared" si="483"/>
        <v>0</v>
      </c>
      <c r="AN552" s="34">
        <f t="shared" si="484"/>
        <v>0</v>
      </c>
      <c r="AO552" s="34">
        <f t="shared" si="485"/>
        <v>0</v>
      </c>
      <c r="AP552" s="34">
        <f t="shared" si="486"/>
        <v>0</v>
      </c>
      <c r="AQ552" s="34">
        <f t="shared" si="487"/>
        <v>0</v>
      </c>
      <c r="AR552" s="34">
        <f t="shared" si="488"/>
        <v>0</v>
      </c>
      <c r="AS552" s="30">
        <f t="shared" si="489"/>
        <v>1.5752255089195735</v>
      </c>
      <c r="AT552" s="29">
        <f t="shared" si="490"/>
        <v>0</v>
      </c>
      <c r="AU552" s="29">
        <f t="shared" si="491"/>
        <v>0</v>
      </c>
      <c r="AV552" s="34">
        <f t="shared" si="492"/>
        <v>0</v>
      </c>
      <c r="AW552" s="34">
        <f t="shared" si="493"/>
        <v>0</v>
      </c>
      <c r="AX552" s="29">
        <f t="shared" si="494"/>
        <v>0</v>
      </c>
      <c r="AY552" s="34">
        <f t="shared" si="495"/>
        <v>0</v>
      </c>
      <c r="AZ552" s="37">
        <f t="shared" si="496"/>
        <v>0</v>
      </c>
      <c r="BA552" s="37">
        <f t="shared" si="497"/>
        <v>0</v>
      </c>
      <c r="BB552" s="35">
        <f t="shared" si="498"/>
        <v>9.9701458014878064E-4</v>
      </c>
      <c r="BC552" s="31">
        <f t="shared" si="499"/>
        <v>0.57920905500606312</v>
      </c>
      <c r="BD552" s="34">
        <f t="shared" si="500"/>
        <v>0</v>
      </c>
    </row>
    <row r="553" spans="1:56" x14ac:dyDescent="0.2">
      <c r="A553" s="27">
        <f t="shared" si="501"/>
        <v>549</v>
      </c>
      <c r="B553" s="28">
        <f t="shared" si="448"/>
        <v>549</v>
      </c>
      <c r="C553" s="27">
        <f t="shared" si="449"/>
        <v>45</v>
      </c>
      <c r="D553" s="28">
        <f t="shared" si="450"/>
        <v>65</v>
      </c>
      <c r="E553" s="29">
        <f t="shared" si="451"/>
        <v>0</v>
      </c>
      <c r="F553" s="30">
        <f t="shared" si="452"/>
        <v>3.673976204352814E-3</v>
      </c>
      <c r="G553" s="31">
        <f t="shared" si="453"/>
        <v>3.0668144955880994E-4</v>
      </c>
      <c r="H553" s="32">
        <f t="shared" si="454"/>
        <v>0.02</v>
      </c>
      <c r="I553" s="32">
        <f t="shared" si="455"/>
        <v>0</v>
      </c>
      <c r="J553" s="33">
        <f t="shared" si="502"/>
        <v>0</v>
      </c>
      <c r="K553" s="30">
        <f t="shared" si="456"/>
        <v>0</v>
      </c>
      <c r="L553" s="33">
        <f t="shared" si="457"/>
        <v>0</v>
      </c>
      <c r="M553" s="30">
        <f t="shared" si="458"/>
        <v>0</v>
      </c>
      <c r="N553" s="33">
        <f t="shared" si="459"/>
        <v>0</v>
      </c>
      <c r="O553" s="31">
        <f t="shared" si="460"/>
        <v>0</v>
      </c>
      <c r="P553" s="33">
        <f t="shared" si="461"/>
        <v>0</v>
      </c>
      <c r="Q553" s="34">
        <f t="shared" si="503"/>
        <v>820462.55715053773</v>
      </c>
      <c r="R553" s="29">
        <f t="shared" si="462"/>
        <v>0</v>
      </c>
      <c r="S553" s="34">
        <f t="shared" si="463"/>
        <v>820462.55715053773</v>
      </c>
      <c r="T553" s="29">
        <f t="shared" si="464"/>
        <v>683.71879762544813</v>
      </c>
      <c r="U553" s="29">
        <f t="shared" si="465"/>
        <v>0</v>
      </c>
      <c r="V553" s="35">
        <f t="shared" si="466"/>
        <v>3.3734959451469097E-4</v>
      </c>
      <c r="W553" s="34">
        <f t="shared" si="467"/>
        <v>0</v>
      </c>
      <c r="X553" s="34">
        <f t="shared" si="468"/>
        <v>819778.83835291234</v>
      </c>
      <c r="Y553" s="36">
        <f t="shared" si="469"/>
        <v>-2.0086753800803159E-3</v>
      </c>
      <c r="Z553" s="34">
        <f t="shared" si="470"/>
        <v>-1646.669569710336</v>
      </c>
      <c r="AA553" s="34">
        <f t="shared" si="471"/>
        <v>818955.5035680572</v>
      </c>
      <c r="AB553" s="34">
        <f t="shared" si="472"/>
        <v>0</v>
      </c>
      <c r="AC553" s="34">
        <f t="shared" si="473"/>
        <v>0</v>
      </c>
      <c r="AD553" s="34">
        <f t="shared" si="474"/>
        <v>0</v>
      </c>
      <c r="AE553" s="34">
        <f t="shared" si="475"/>
        <v>0</v>
      </c>
      <c r="AF553" s="34">
        <f t="shared" si="476"/>
        <v>0</v>
      </c>
      <c r="AG553" s="29">
        <f t="shared" si="477"/>
        <v>818955.5035680572</v>
      </c>
      <c r="AH553" s="34">
        <f t="shared" si="478"/>
        <v>0</v>
      </c>
      <c r="AI553" s="34">
        <f t="shared" si="479"/>
        <v>0</v>
      </c>
      <c r="AJ553" s="34">
        <f t="shared" si="480"/>
        <v>0</v>
      </c>
      <c r="AK553" s="34">
        <f t="shared" si="481"/>
        <v>0</v>
      </c>
      <c r="AL553" s="34">
        <f t="shared" si="482"/>
        <v>0</v>
      </c>
      <c r="AM553" s="34">
        <f t="shared" si="483"/>
        <v>0</v>
      </c>
      <c r="AN553" s="34">
        <f t="shared" si="484"/>
        <v>0</v>
      </c>
      <c r="AO553" s="34">
        <f t="shared" si="485"/>
        <v>0</v>
      </c>
      <c r="AP553" s="34">
        <f t="shared" si="486"/>
        <v>0</v>
      </c>
      <c r="AQ553" s="34">
        <f t="shared" si="487"/>
        <v>0</v>
      </c>
      <c r="AR553" s="34">
        <f t="shared" si="488"/>
        <v>0</v>
      </c>
      <c r="AS553" s="30">
        <f t="shared" si="489"/>
        <v>1.5765322185179127</v>
      </c>
      <c r="AT553" s="29">
        <f t="shared" si="490"/>
        <v>0</v>
      </c>
      <c r="AU553" s="29">
        <f t="shared" si="491"/>
        <v>0</v>
      </c>
      <c r="AV553" s="34">
        <f t="shared" si="492"/>
        <v>0</v>
      </c>
      <c r="AW553" s="34">
        <f t="shared" si="493"/>
        <v>0</v>
      </c>
      <c r="AX553" s="29">
        <f t="shared" si="494"/>
        <v>0</v>
      </c>
      <c r="AY553" s="34">
        <f t="shared" si="495"/>
        <v>0</v>
      </c>
      <c r="AZ553" s="37">
        <f t="shared" si="496"/>
        <v>0</v>
      </c>
      <c r="BA553" s="37">
        <f t="shared" si="497"/>
        <v>0</v>
      </c>
      <c r="BB553" s="35">
        <f t="shared" si="498"/>
        <v>9.9701458014878064E-4</v>
      </c>
      <c r="BC553" s="31">
        <f t="shared" si="499"/>
        <v>0.57863215031565551</v>
      </c>
      <c r="BD553" s="34">
        <f t="shared" si="500"/>
        <v>0</v>
      </c>
    </row>
    <row r="554" spans="1:56" x14ac:dyDescent="0.2">
      <c r="A554" s="27">
        <f t="shared" si="501"/>
        <v>550</v>
      </c>
      <c r="B554" s="28">
        <f t="shared" si="448"/>
        <v>550</v>
      </c>
      <c r="C554" s="27">
        <f t="shared" si="449"/>
        <v>45</v>
      </c>
      <c r="D554" s="28">
        <f t="shared" si="450"/>
        <v>65</v>
      </c>
      <c r="E554" s="29">
        <f t="shared" si="451"/>
        <v>0</v>
      </c>
      <c r="F554" s="30">
        <f t="shared" si="452"/>
        <v>3.673976204352814E-3</v>
      </c>
      <c r="G554" s="31">
        <f t="shared" si="453"/>
        <v>3.0668144955880994E-4</v>
      </c>
      <c r="H554" s="32">
        <f t="shared" si="454"/>
        <v>0.02</v>
      </c>
      <c r="I554" s="32">
        <f t="shared" si="455"/>
        <v>0</v>
      </c>
      <c r="J554" s="33">
        <f t="shared" si="502"/>
        <v>0</v>
      </c>
      <c r="K554" s="30">
        <f t="shared" si="456"/>
        <v>0</v>
      </c>
      <c r="L554" s="33">
        <f t="shared" si="457"/>
        <v>0</v>
      </c>
      <c r="M554" s="30">
        <f t="shared" si="458"/>
        <v>0</v>
      </c>
      <c r="N554" s="33">
        <f t="shared" si="459"/>
        <v>0</v>
      </c>
      <c r="O554" s="31">
        <f t="shared" si="460"/>
        <v>0</v>
      </c>
      <c r="P554" s="33">
        <f t="shared" si="461"/>
        <v>0</v>
      </c>
      <c r="Q554" s="34">
        <f t="shared" si="503"/>
        <v>818132.16878320195</v>
      </c>
      <c r="R554" s="29">
        <f t="shared" si="462"/>
        <v>0</v>
      </c>
      <c r="S554" s="34">
        <f t="shared" si="463"/>
        <v>818132.16878320195</v>
      </c>
      <c r="T554" s="29">
        <f t="shared" si="464"/>
        <v>681.77680731933503</v>
      </c>
      <c r="U554" s="29">
        <f t="shared" si="465"/>
        <v>0</v>
      </c>
      <c r="V554" s="35">
        <f t="shared" si="466"/>
        <v>3.3734959451469097E-4</v>
      </c>
      <c r="W554" s="34">
        <f t="shared" si="467"/>
        <v>0</v>
      </c>
      <c r="X554" s="34">
        <f t="shared" si="468"/>
        <v>817450.39197588258</v>
      </c>
      <c r="Y554" s="36">
        <f t="shared" si="469"/>
        <v>1.0474231645329901E-3</v>
      </c>
      <c r="Z554" s="34">
        <f t="shared" si="470"/>
        <v>856.21647641211212</v>
      </c>
      <c r="AA554" s="34">
        <f t="shared" si="471"/>
        <v>817878.50021408859</v>
      </c>
      <c r="AB554" s="34">
        <f t="shared" si="472"/>
        <v>0</v>
      </c>
      <c r="AC554" s="34">
        <f t="shared" si="473"/>
        <v>0</v>
      </c>
      <c r="AD554" s="34">
        <f t="shared" si="474"/>
        <v>0</v>
      </c>
      <c r="AE554" s="34">
        <f t="shared" si="475"/>
        <v>0</v>
      </c>
      <c r="AF554" s="34">
        <f t="shared" si="476"/>
        <v>0</v>
      </c>
      <c r="AG554" s="29">
        <f t="shared" si="477"/>
        <v>817878.50021408859</v>
      </c>
      <c r="AH554" s="34">
        <f t="shared" si="478"/>
        <v>0</v>
      </c>
      <c r="AI554" s="34">
        <f t="shared" si="479"/>
        <v>0</v>
      </c>
      <c r="AJ554" s="34">
        <f t="shared" si="480"/>
        <v>0</v>
      </c>
      <c r="AK554" s="34">
        <f t="shared" si="481"/>
        <v>0</v>
      </c>
      <c r="AL554" s="34">
        <f t="shared" si="482"/>
        <v>0</v>
      </c>
      <c r="AM554" s="34">
        <f t="shared" si="483"/>
        <v>0</v>
      </c>
      <c r="AN554" s="34">
        <f t="shared" si="484"/>
        <v>0</v>
      </c>
      <c r="AO554" s="34">
        <f t="shared" si="485"/>
        <v>0</v>
      </c>
      <c r="AP554" s="34">
        <f t="shared" si="486"/>
        <v>0</v>
      </c>
      <c r="AQ554" s="34">
        <f t="shared" si="487"/>
        <v>0</v>
      </c>
      <c r="AR554" s="34">
        <f t="shared" si="488"/>
        <v>0</v>
      </c>
      <c r="AS554" s="30">
        <f t="shared" si="489"/>
        <v>1.5778400120816682</v>
      </c>
      <c r="AT554" s="29">
        <f t="shared" si="490"/>
        <v>0</v>
      </c>
      <c r="AU554" s="29">
        <f t="shared" si="491"/>
        <v>0</v>
      </c>
      <c r="AV554" s="34">
        <f t="shared" si="492"/>
        <v>0</v>
      </c>
      <c r="AW554" s="34">
        <f t="shared" si="493"/>
        <v>0</v>
      </c>
      <c r="AX554" s="29">
        <f t="shared" si="494"/>
        <v>0</v>
      </c>
      <c r="AY554" s="34">
        <f t="shared" si="495"/>
        <v>0</v>
      </c>
      <c r="AZ554" s="37">
        <f t="shared" si="496"/>
        <v>0</v>
      </c>
      <c r="BA554" s="37">
        <f t="shared" si="497"/>
        <v>0</v>
      </c>
      <c r="BB554" s="35">
        <f t="shared" si="498"/>
        <v>9.9701458014878064E-4</v>
      </c>
      <c r="BC554" s="31">
        <f t="shared" si="499"/>
        <v>0.57805582023474167</v>
      </c>
      <c r="BD554" s="34">
        <f t="shared" si="500"/>
        <v>0</v>
      </c>
    </row>
    <row r="555" spans="1:56" x14ac:dyDescent="0.2">
      <c r="A555" s="27">
        <f t="shared" si="501"/>
        <v>551</v>
      </c>
      <c r="B555" s="28">
        <f t="shared" si="448"/>
        <v>551</v>
      </c>
      <c r="C555" s="27">
        <f t="shared" si="449"/>
        <v>45</v>
      </c>
      <c r="D555" s="28">
        <f t="shared" si="450"/>
        <v>65</v>
      </c>
      <c r="E555" s="29">
        <f t="shared" si="451"/>
        <v>0</v>
      </c>
      <c r="F555" s="30">
        <f t="shared" si="452"/>
        <v>3.673976204352814E-3</v>
      </c>
      <c r="G555" s="31">
        <f t="shared" si="453"/>
        <v>3.0668144955880994E-4</v>
      </c>
      <c r="H555" s="32">
        <f t="shared" si="454"/>
        <v>0.02</v>
      </c>
      <c r="I555" s="32">
        <f t="shared" si="455"/>
        <v>0</v>
      </c>
      <c r="J555" s="33">
        <f t="shared" si="502"/>
        <v>0</v>
      </c>
      <c r="K555" s="30">
        <f t="shared" si="456"/>
        <v>0</v>
      </c>
      <c r="L555" s="33">
        <f t="shared" si="457"/>
        <v>0</v>
      </c>
      <c r="M555" s="30">
        <f t="shared" si="458"/>
        <v>0</v>
      </c>
      <c r="N555" s="33">
        <f t="shared" si="459"/>
        <v>0</v>
      </c>
      <c r="O555" s="31">
        <f t="shared" si="460"/>
        <v>0</v>
      </c>
      <c r="P555" s="33">
        <f t="shared" si="461"/>
        <v>0</v>
      </c>
      <c r="Q555" s="34">
        <f t="shared" si="503"/>
        <v>818306.60845229472</v>
      </c>
      <c r="R555" s="29">
        <f t="shared" si="462"/>
        <v>0</v>
      </c>
      <c r="S555" s="34">
        <f t="shared" si="463"/>
        <v>818306.60845229472</v>
      </c>
      <c r="T555" s="29">
        <f t="shared" si="464"/>
        <v>681.9221737102456</v>
      </c>
      <c r="U555" s="29">
        <f t="shared" si="465"/>
        <v>0</v>
      </c>
      <c r="V555" s="35">
        <f t="shared" si="466"/>
        <v>3.3734959451469097E-4</v>
      </c>
      <c r="W555" s="34">
        <f t="shared" si="467"/>
        <v>0</v>
      </c>
      <c r="X555" s="34">
        <f t="shared" si="468"/>
        <v>817624.68627858453</v>
      </c>
      <c r="Y555" s="36">
        <f t="shared" si="469"/>
        <v>3.851678446640916E-3</v>
      </c>
      <c r="Z555" s="34">
        <f t="shared" si="470"/>
        <v>3149.2273815807648</v>
      </c>
      <c r="AA555" s="34">
        <f t="shared" si="471"/>
        <v>819199.2999693749</v>
      </c>
      <c r="AB555" s="34">
        <f t="shared" si="472"/>
        <v>0</v>
      </c>
      <c r="AC555" s="34">
        <f t="shared" si="473"/>
        <v>0</v>
      </c>
      <c r="AD555" s="34">
        <f t="shared" si="474"/>
        <v>0</v>
      </c>
      <c r="AE555" s="34">
        <f t="shared" si="475"/>
        <v>0</v>
      </c>
      <c r="AF555" s="34">
        <f t="shared" si="476"/>
        <v>0</v>
      </c>
      <c r="AG555" s="29">
        <f t="shared" si="477"/>
        <v>819199.2999693749</v>
      </c>
      <c r="AH555" s="34">
        <f t="shared" si="478"/>
        <v>0</v>
      </c>
      <c r="AI555" s="34">
        <f t="shared" si="479"/>
        <v>0</v>
      </c>
      <c r="AJ555" s="34">
        <f t="shared" si="480"/>
        <v>0</v>
      </c>
      <c r="AK555" s="34">
        <f t="shared" si="481"/>
        <v>0</v>
      </c>
      <c r="AL555" s="34">
        <f t="shared" si="482"/>
        <v>0</v>
      </c>
      <c r="AM555" s="34">
        <f t="shared" si="483"/>
        <v>0</v>
      </c>
      <c r="AN555" s="34">
        <f t="shared" si="484"/>
        <v>0</v>
      </c>
      <c r="AO555" s="34">
        <f t="shared" si="485"/>
        <v>0</v>
      </c>
      <c r="AP555" s="34">
        <f t="shared" si="486"/>
        <v>0</v>
      </c>
      <c r="AQ555" s="34">
        <f t="shared" si="487"/>
        <v>0</v>
      </c>
      <c r="AR555" s="34">
        <f t="shared" si="488"/>
        <v>0</v>
      </c>
      <c r="AS555" s="30">
        <f t="shared" si="489"/>
        <v>1.5791488905100304</v>
      </c>
      <c r="AT555" s="29">
        <f t="shared" si="490"/>
        <v>0</v>
      </c>
      <c r="AU555" s="29">
        <f t="shared" si="491"/>
        <v>0</v>
      </c>
      <c r="AV555" s="34">
        <f t="shared" si="492"/>
        <v>0</v>
      </c>
      <c r="AW555" s="34">
        <f t="shared" si="493"/>
        <v>0</v>
      </c>
      <c r="AX555" s="29">
        <f t="shared" si="494"/>
        <v>0</v>
      </c>
      <c r="AY555" s="34">
        <f t="shared" si="495"/>
        <v>0</v>
      </c>
      <c r="AZ555" s="37">
        <f t="shared" si="496"/>
        <v>0</v>
      </c>
      <c r="BA555" s="37">
        <f t="shared" si="497"/>
        <v>0</v>
      </c>
      <c r="BB555" s="35">
        <f t="shared" si="498"/>
        <v>9.9701458014878064E-4</v>
      </c>
      <c r="BC555" s="31">
        <f t="shared" si="499"/>
        <v>0.57748006419099807</v>
      </c>
      <c r="BD555" s="34">
        <f t="shared" si="500"/>
        <v>0</v>
      </c>
    </row>
    <row r="556" spans="1:56" x14ac:dyDescent="0.2">
      <c r="A556" s="27">
        <f t="shared" si="501"/>
        <v>552</v>
      </c>
      <c r="B556" s="28">
        <f t="shared" si="448"/>
        <v>552</v>
      </c>
      <c r="C556" s="27">
        <f t="shared" si="449"/>
        <v>46</v>
      </c>
      <c r="D556" s="28">
        <f t="shared" si="450"/>
        <v>66</v>
      </c>
      <c r="E556" s="29">
        <f t="shared" si="451"/>
        <v>0</v>
      </c>
      <c r="F556" s="30">
        <f t="shared" si="452"/>
        <v>3.9925207105385848E-3</v>
      </c>
      <c r="G556" s="31">
        <f t="shared" si="453"/>
        <v>3.3332044464040589E-4</v>
      </c>
      <c r="H556" s="32">
        <f t="shared" si="454"/>
        <v>0.02</v>
      </c>
      <c r="I556" s="32">
        <f t="shared" si="455"/>
        <v>0</v>
      </c>
      <c r="J556" s="33">
        <f t="shared" si="502"/>
        <v>0</v>
      </c>
      <c r="K556" s="30">
        <f t="shared" si="456"/>
        <v>0</v>
      </c>
      <c r="L556" s="33">
        <f t="shared" si="457"/>
        <v>0</v>
      </c>
      <c r="M556" s="30">
        <f t="shared" si="458"/>
        <v>0</v>
      </c>
      <c r="N556" s="33">
        <f t="shared" si="459"/>
        <v>0</v>
      </c>
      <c r="O556" s="31">
        <f t="shared" si="460"/>
        <v>0</v>
      </c>
      <c r="P556" s="33">
        <f t="shared" si="461"/>
        <v>0</v>
      </c>
      <c r="Q556" s="34">
        <f t="shared" si="503"/>
        <v>820773.91366016527</v>
      </c>
      <c r="R556" s="29">
        <f t="shared" si="462"/>
        <v>0</v>
      </c>
      <c r="S556" s="34">
        <f t="shared" si="463"/>
        <v>820773.91366016527</v>
      </c>
      <c r="T556" s="29">
        <f t="shared" si="464"/>
        <v>683.97826138347114</v>
      </c>
      <c r="U556" s="29">
        <f t="shared" si="465"/>
        <v>0</v>
      </c>
      <c r="V556" s="35">
        <f t="shared" si="466"/>
        <v>3.6665248910444653E-4</v>
      </c>
      <c r="W556" s="34">
        <f t="shared" si="467"/>
        <v>0</v>
      </c>
      <c r="X556" s="34">
        <f t="shared" si="468"/>
        <v>820089.93539878179</v>
      </c>
      <c r="Y556" s="36">
        <f t="shared" si="469"/>
        <v>1.5511307466316016E-3</v>
      </c>
      <c r="Z556" s="34">
        <f t="shared" si="470"/>
        <v>1272.0667138001743</v>
      </c>
      <c r="AA556" s="34">
        <f t="shared" si="471"/>
        <v>820725.96875568188</v>
      </c>
      <c r="AB556" s="34">
        <f t="shared" si="472"/>
        <v>0</v>
      </c>
      <c r="AC556" s="34">
        <f t="shared" si="473"/>
        <v>0</v>
      </c>
      <c r="AD556" s="34">
        <f t="shared" si="474"/>
        <v>0</v>
      </c>
      <c r="AE556" s="34">
        <f t="shared" si="475"/>
        <v>0</v>
      </c>
      <c r="AF556" s="34">
        <f t="shared" si="476"/>
        <v>0</v>
      </c>
      <c r="AG556" s="29">
        <f t="shared" si="477"/>
        <v>820725.96875568188</v>
      </c>
      <c r="AH556" s="34">
        <f t="shared" si="478"/>
        <v>0</v>
      </c>
      <c r="AI556" s="34">
        <f t="shared" si="479"/>
        <v>0</v>
      </c>
      <c r="AJ556" s="34">
        <f t="shared" si="480"/>
        <v>0</v>
      </c>
      <c r="AK556" s="34">
        <f t="shared" si="481"/>
        <v>0</v>
      </c>
      <c r="AL556" s="34">
        <f t="shared" si="482"/>
        <v>0</v>
      </c>
      <c r="AM556" s="34">
        <f t="shared" si="483"/>
        <v>0</v>
      </c>
      <c r="AN556" s="34">
        <f t="shared" si="484"/>
        <v>0</v>
      </c>
      <c r="AO556" s="34">
        <f t="shared" si="485"/>
        <v>0</v>
      </c>
      <c r="AP556" s="34">
        <f t="shared" si="486"/>
        <v>0</v>
      </c>
      <c r="AQ556" s="34">
        <f t="shared" si="487"/>
        <v>0</v>
      </c>
      <c r="AR556" s="34">
        <f t="shared" si="488"/>
        <v>0</v>
      </c>
      <c r="AS556" s="30">
        <f t="shared" si="489"/>
        <v>1.5804588547029363</v>
      </c>
      <c r="AT556" s="29">
        <f t="shared" si="490"/>
        <v>0</v>
      </c>
      <c r="AU556" s="29">
        <f t="shared" si="491"/>
        <v>0</v>
      </c>
      <c r="AV556" s="34">
        <f t="shared" si="492"/>
        <v>0</v>
      </c>
      <c r="AW556" s="34">
        <f t="shared" si="493"/>
        <v>0</v>
      </c>
      <c r="AX556" s="29">
        <f t="shared" si="494"/>
        <v>0</v>
      </c>
      <c r="AY556" s="34">
        <f t="shared" si="495"/>
        <v>0</v>
      </c>
      <c r="AZ556" s="37">
        <f t="shared" si="496"/>
        <v>0</v>
      </c>
      <c r="BA556" s="37">
        <f t="shared" si="497"/>
        <v>0</v>
      </c>
      <c r="BB556" s="35">
        <f t="shared" si="498"/>
        <v>9.86298719130696E-4</v>
      </c>
      <c r="BC556" s="31">
        <f t="shared" si="499"/>
        <v>0.58032407547571196</v>
      </c>
      <c r="BD556" s="34">
        <f t="shared" si="500"/>
        <v>0</v>
      </c>
    </row>
    <row r="557" spans="1:56" x14ac:dyDescent="0.2">
      <c r="A557" s="27">
        <f t="shared" si="501"/>
        <v>553</v>
      </c>
      <c r="B557" s="28">
        <f t="shared" si="448"/>
        <v>553</v>
      </c>
      <c r="C557" s="27">
        <f t="shared" si="449"/>
        <v>46</v>
      </c>
      <c r="D557" s="28">
        <f t="shared" si="450"/>
        <v>66</v>
      </c>
      <c r="E557" s="29">
        <f t="shared" si="451"/>
        <v>0</v>
      </c>
      <c r="F557" s="30">
        <f t="shared" si="452"/>
        <v>3.9925207105385848E-3</v>
      </c>
      <c r="G557" s="31">
        <f t="shared" si="453"/>
        <v>3.3332044464040589E-4</v>
      </c>
      <c r="H557" s="32">
        <f t="shared" si="454"/>
        <v>0.02</v>
      </c>
      <c r="I557" s="32">
        <f t="shared" si="455"/>
        <v>0</v>
      </c>
      <c r="J557" s="33">
        <f t="shared" si="502"/>
        <v>0</v>
      </c>
      <c r="K557" s="30">
        <f t="shared" si="456"/>
        <v>0</v>
      </c>
      <c r="L557" s="33">
        <f t="shared" si="457"/>
        <v>0</v>
      </c>
      <c r="M557" s="30">
        <f t="shared" si="458"/>
        <v>0</v>
      </c>
      <c r="N557" s="33">
        <f t="shared" si="459"/>
        <v>0</v>
      </c>
      <c r="O557" s="31">
        <f t="shared" si="460"/>
        <v>0</v>
      </c>
      <c r="P557" s="33">
        <f t="shared" si="461"/>
        <v>0</v>
      </c>
      <c r="Q557" s="34">
        <f t="shared" si="503"/>
        <v>821362.00211258198</v>
      </c>
      <c r="R557" s="29">
        <f t="shared" si="462"/>
        <v>0</v>
      </c>
      <c r="S557" s="34">
        <f t="shared" si="463"/>
        <v>821362.00211258198</v>
      </c>
      <c r="T557" s="29">
        <f t="shared" si="464"/>
        <v>684.46833509381838</v>
      </c>
      <c r="U557" s="29">
        <f t="shared" si="465"/>
        <v>0</v>
      </c>
      <c r="V557" s="35">
        <f t="shared" si="466"/>
        <v>3.6665248910444653E-4</v>
      </c>
      <c r="W557" s="34">
        <f t="shared" si="467"/>
        <v>0</v>
      </c>
      <c r="X557" s="34">
        <f t="shared" si="468"/>
        <v>820677.53377748816</v>
      </c>
      <c r="Y557" s="36">
        <f t="shared" si="469"/>
        <v>3.017015354688235E-3</v>
      </c>
      <c r="Z557" s="34">
        <f t="shared" si="470"/>
        <v>2475.9967206543542</v>
      </c>
      <c r="AA557" s="34">
        <f t="shared" si="471"/>
        <v>821915.53213781537</v>
      </c>
      <c r="AB557" s="34">
        <f t="shared" si="472"/>
        <v>0</v>
      </c>
      <c r="AC557" s="34">
        <f t="shared" si="473"/>
        <v>0</v>
      </c>
      <c r="AD557" s="34">
        <f t="shared" si="474"/>
        <v>0</v>
      </c>
      <c r="AE557" s="34">
        <f t="shared" si="475"/>
        <v>0</v>
      </c>
      <c r="AF557" s="34">
        <f t="shared" si="476"/>
        <v>0</v>
      </c>
      <c r="AG557" s="29">
        <f t="shared" si="477"/>
        <v>821915.53213781537</v>
      </c>
      <c r="AH557" s="34">
        <f t="shared" si="478"/>
        <v>0</v>
      </c>
      <c r="AI557" s="34">
        <f t="shared" si="479"/>
        <v>0</v>
      </c>
      <c r="AJ557" s="34">
        <f t="shared" si="480"/>
        <v>0</v>
      </c>
      <c r="AK557" s="34">
        <f t="shared" si="481"/>
        <v>0</v>
      </c>
      <c r="AL557" s="34">
        <f t="shared" si="482"/>
        <v>0</v>
      </c>
      <c r="AM557" s="34">
        <f t="shared" si="483"/>
        <v>0</v>
      </c>
      <c r="AN557" s="34">
        <f t="shared" si="484"/>
        <v>0</v>
      </c>
      <c r="AO557" s="34">
        <f t="shared" si="485"/>
        <v>0</v>
      </c>
      <c r="AP557" s="34">
        <f t="shared" si="486"/>
        <v>0</v>
      </c>
      <c r="AQ557" s="34">
        <f t="shared" si="487"/>
        <v>0</v>
      </c>
      <c r="AR557" s="34">
        <f t="shared" si="488"/>
        <v>0</v>
      </c>
      <c r="AS557" s="30">
        <f t="shared" si="489"/>
        <v>1.5817699055610681</v>
      </c>
      <c r="AT557" s="29">
        <f t="shared" si="490"/>
        <v>0</v>
      </c>
      <c r="AU557" s="29">
        <f t="shared" si="491"/>
        <v>0</v>
      </c>
      <c r="AV557" s="34">
        <f t="shared" si="492"/>
        <v>0</v>
      </c>
      <c r="AW557" s="34">
        <f t="shared" si="493"/>
        <v>0</v>
      </c>
      <c r="AX557" s="29">
        <f t="shared" si="494"/>
        <v>0</v>
      </c>
      <c r="AY557" s="34">
        <f t="shared" si="495"/>
        <v>0</v>
      </c>
      <c r="AZ557" s="37">
        <f t="shared" si="496"/>
        <v>0</v>
      </c>
      <c r="BA557" s="37">
        <f t="shared" si="497"/>
        <v>0</v>
      </c>
      <c r="BB557" s="35">
        <f t="shared" si="498"/>
        <v>9.86298719130696E-4</v>
      </c>
      <c r="BC557" s="31">
        <f t="shared" si="499"/>
        <v>0.57975226655779299</v>
      </c>
      <c r="BD557" s="34">
        <f t="shared" si="500"/>
        <v>0</v>
      </c>
    </row>
    <row r="558" spans="1:56" x14ac:dyDescent="0.2">
      <c r="A558" s="27">
        <f t="shared" si="501"/>
        <v>554</v>
      </c>
      <c r="B558" s="28">
        <f t="shared" si="448"/>
        <v>554</v>
      </c>
      <c r="C558" s="27">
        <f t="shared" si="449"/>
        <v>46</v>
      </c>
      <c r="D558" s="28">
        <f t="shared" si="450"/>
        <v>66</v>
      </c>
      <c r="E558" s="29">
        <f t="shared" si="451"/>
        <v>0</v>
      </c>
      <c r="F558" s="30">
        <f t="shared" si="452"/>
        <v>3.9925207105385848E-3</v>
      </c>
      <c r="G558" s="31">
        <f t="shared" si="453"/>
        <v>3.3332044464040589E-4</v>
      </c>
      <c r="H558" s="32">
        <f t="shared" si="454"/>
        <v>0.02</v>
      </c>
      <c r="I558" s="32">
        <f t="shared" si="455"/>
        <v>0</v>
      </c>
      <c r="J558" s="33">
        <f t="shared" si="502"/>
        <v>0</v>
      </c>
      <c r="K558" s="30">
        <f t="shared" si="456"/>
        <v>0</v>
      </c>
      <c r="L558" s="33">
        <f t="shared" si="457"/>
        <v>0</v>
      </c>
      <c r="M558" s="30">
        <f t="shared" si="458"/>
        <v>0</v>
      </c>
      <c r="N558" s="33">
        <f t="shared" si="459"/>
        <v>0</v>
      </c>
      <c r="O558" s="31">
        <f t="shared" si="460"/>
        <v>0</v>
      </c>
      <c r="P558" s="33">
        <f t="shared" si="461"/>
        <v>0</v>
      </c>
      <c r="Q558" s="34">
        <f t="shared" si="503"/>
        <v>823153.53049814247</v>
      </c>
      <c r="R558" s="29">
        <f t="shared" si="462"/>
        <v>0</v>
      </c>
      <c r="S558" s="34">
        <f t="shared" si="463"/>
        <v>823153.53049814247</v>
      </c>
      <c r="T558" s="29">
        <f t="shared" si="464"/>
        <v>685.96127541511873</v>
      </c>
      <c r="U558" s="29">
        <f t="shared" si="465"/>
        <v>0</v>
      </c>
      <c r="V558" s="35">
        <f t="shared" si="466"/>
        <v>3.6665248910444653E-4</v>
      </c>
      <c r="W558" s="34">
        <f t="shared" si="467"/>
        <v>0</v>
      </c>
      <c r="X558" s="34">
        <f t="shared" si="468"/>
        <v>822467.56922272732</v>
      </c>
      <c r="Y558" s="36">
        <f t="shared" si="469"/>
        <v>1.5599047459988746E-2</v>
      </c>
      <c r="Z558" s="34">
        <f t="shared" si="470"/>
        <v>12829.710646606904</v>
      </c>
      <c r="AA558" s="34">
        <f t="shared" si="471"/>
        <v>828882.42454603082</v>
      </c>
      <c r="AB558" s="34">
        <f t="shared" si="472"/>
        <v>0</v>
      </c>
      <c r="AC558" s="34">
        <f t="shared" si="473"/>
        <v>0</v>
      </c>
      <c r="AD558" s="34">
        <f t="shared" si="474"/>
        <v>0</v>
      </c>
      <c r="AE558" s="34">
        <f t="shared" si="475"/>
        <v>0</v>
      </c>
      <c r="AF558" s="34">
        <f t="shared" si="476"/>
        <v>0</v>
      </c>
      <c r="AG558" s="29">
        <f t="shared" si="477"/>
        <v>828882.42454603082</v>
      </c>
      <c r="AH558" s="34">
        <f t="shared" si="478"/>
        <v>0</v>
      </c>
      <c r="AI558" s="34">
        <f t="shared" si="479"/>
        <v>0</v>
      </c>
      <c r="AJ558" s="34">
        <f t="shared" si="480"/>
        <v>0</v>
      </c>
      <c r="AK558" s="34">
        <f t="shared" si="481"/>
        <v>0</v>
      </c>
      <c r="AL558" s="34">
        <f t="shared" si="482"/>
        <v>0</v>
      </c>
      <c r="AM558" s="34">
        <f t="shared" si="483"/>
        <v>0</v>
      </c>
      <c r="AN558" s="34">
        <f t="shared" si="484"/>
        <v>0</v>
      </c>
      <c r="AO558" s="34">
        <f t="shared" si="485"/>
        <v>0</v>
      </c>
      <c r="AP558" s="34">
        <f t="shared" si="486"/>
        <v>0</v>
      </c>
      <c r="AQ558" s="34">
        <f t="shared" si="487"/>
        <v>0</v>
      </c>
      <c r="AR558" s="34">
        <f t="shared" si="488"/>
        <v>0</v>
      </c>
      <c r="AS558" s="30">
        <f t="shared" si="489"/>
        <v>1.5830820439858568</v>
      </c>
      <c r="AT558" s="29">
        <f t="shared" si="490"/>
        <v>0</v>
      </c>
      <c r="AU558" s="29">
        <f t="shared" si="491"/>
        <v>0</v>
      </c>
      <c r="AV558" s="34">
        <f t="shared" si="492"/>
        <v>0</v>
      </c>
      <c r="AW558" s="34">
        <f t="shared" si="493"/>
        <v>0</v>
      </c>
      <c r="AX558" s="29">
        <f t="shared" si="494"/>
        <v>0</v>
      </c>
      <c r="AY558" s="34">
        <f t="shared" si="495"/>
        <v>0</v>
      </c>
      <c r="AZ558" s="37">
        <f t="shared" si="496"/>
        <v>0</v>
      </c>
      <c r="BA558" s="37">
        <f t="shared" si="497"/>
        <v>0</v>
      </c>
      <c r="BB558" s="35">
        <f t="shared" si="498"/>
        <v>9.86298719130696E-4</v>
      </c>
      <c r="BC558" s="31">
        <f t="shared" si="499"/>
        <v>0.57918102105857805</v>
      </c>
      <c r="BD558" s="34">
        <f t="shared" si="500"/>
        <v>0</v>
      </c>
    </row>
    <row r="559" spans="1:56" x14ac:dyDescent="0.2">
      <c r="A559" s="27">
        <f t="shared" si="501"/>
        <v>555</v>
      </c>
      <c r="B559" s="28">
        <f t="shared" si="448"/>
        <v>555</v>
      </c>
      <c r="C559" s="27">
        <f t="shared" si="449"/>
        <v>46</v>
      </c>
      <c r="D559" s="28">
        <f t="shared" si="450"/>
        <v>66</v>
      </c>
      <c r="E559" s="29">
        <f t="shared" si="451"/>
        <v>0</v>
      </c>
      <c r="F559" s="30">
        <f t="shared" si="452"/>
        <v>3.9925207105385848E-3</v>
      </c>
      <c r="G559" s="31">
        <f t="shared" si="453"/>
        <v>3.3332044464040589E-4</v>
      </c>
      <c r="H559" s="32">
        <f t="shared" si="454"/>
        <v>0.02</v>
      </c>
      <c r="I559" s="32">
        <f t="shared" si="455"/>
        <v>0</v>
      </c>
      <c r="J559" s="33">
        <f t="shared" si="502"/>
        <v>0</v>
      </c>
      <c r="K559" s="30">
        <f t="shared" si="456"/>
        <v>0</v>
      </c>
      <c r="L559" s="33">
        <f t="shared" si="457"/>
        <v>0</v>
      </c>
      <c r="M559" s="30">
        <f t="shared" si="458"/>
        <v>0</v>
      </c>
      <c r="N559" s="33">
        <f t="shared" si="459"/>
        <v>0</v>
      </c>
      <c r="O559" s="31">
        <f t="shared" si="460"/>
        <v>0</v>
      </c>
      <c r="P559" s="33">
        <f t="shared" si="461"/>
        <v>0</v>
      </c>
      <c r="Q559" s="34">
        <f t="shared" si="503"/>
        <v>835297.27986933419</v>
      </c>
      <c r="R559" s="29">
        <f t="shared" si="462"/>
        <v>0</v>
      </c>
      <c r="S559" s="34">
        <f t="shared" si="463"/>
        <v>835297.27986933419</v>
      </c>
      <c r="T559" s="29">
        <f t="shared" si="464"/>
        <v>696.08106655777851</v>
      </c>
      <c r="U559" s="29">
        <f t="shared" si="465"/>
        <v>0</v>
      </c>
      <c r="V559" s="35">
        <f t="shared" si="466"/>
        <v>3.6665248910444653E-4</v>
      </c>
      <c r="W559" s="34">
        <f t="shared" si="467"/>
        <v>0</v>
      </c>
      <c r="X559" s="34">
        <f t="shared" si="468"/>
        <v>834601.1988027764</v>
      </c>
      <c r="Y559" s="36">
        <f t="shared" si="469"/>
        <v>1.1862162149856026E-4</v>
      </c>
      <c r="Z559" s="34">
        <f t="shared" si="470"/>
        <v>99.001747506627581</v>
      </c>
      <c r="AA559" s="34">
        <f t="shared" si="471"/>
        <v>834650.69967652974</v>
      </c>
      <c r="AB559" s="34">
        <f t="shared" si="472"/>
        <v>0</v>
      </c>
      <c r="AC559" s="34">
        <f t="shared" si="473"/>
        <v>0</v>
      </c>
      <c r="AD559" s="34">
        <f t="shared" si="474"/>
        <v>0</v>
      </c>
      <c r="AE559" s="34">
        <f t="shared" si="475"/>
        <v>0</v>
      </c>
      <c r="AF559" s="34">
        <f t="shared" si="476"/>
        <v>0</v>
      </c>
      <c r="AG559" s="29">
        <f t="shared" si="477"/>
        <v>834650.69967652974</v>
      </c>
      <c r="AH559" s="34">
        <f t="shared" si="478"/>
        <v>0</v>
      </c>
      <c r="AI559" s="34">
        <f t="shared" si="479"/>
        <v>0</v>
      </c>
      <c r="AJ559" s="34">
        <f t="shared" si="480"/>
        <v>0</v>
      </c>
      <c r="AK559" s="34">
        <f t="shared" si="481"/>
        <v>0</v>
      </c>
      <c r="AL559" s="34">
        <f t="shared" si="482"/>
        <v>0</v>
      </c>
      <c r="AM559" s="34">
        <f t="shared" si="483"/>
        <v>0</v>
      </c>
      <c r="AN559" s="34">
        <f t="shared" si="484"/>
        <v>0</v>
      </c>
      <c r="AO559" s="34">
        <f t="shared" si="485"/>
        <v>0</v>
      </c>
      <c r="AP559" s="34">
        <f t="shared" si="486"/>
        <v>0</v>
      </c>
      <c r="AQ559" s="34">
        <f t="shared" si="487"/>
        <v>0</v>
      </c>
      <c r="AR559" s="34">
        <f t="shared" si="488"/>
        <v>0</v>
      </c>
      <c r="AS559" s="30">
        <f t="shared" si="489"/>
        <v>1.5843952708794802</v>
      </c>
      <c r="AT559" s="29">
        <f t="shared" si="490"/>
        <v>0</v>
      </c>
      <c r="AU559" s="29">
        <f t="shared" si="491"/>
        <v>0</v>
      </c>
      <c r="AV559" s="34">
        <f t="shared" si="492"/>
        <v>0</v>
      </c>
      <c r="AW559" s="34">
        <f t="shared" si="493"/>
        <v>0</v>
      </c>
      <c r="AX559" s="29">
        <f t="shared" si="494"/>
        <v>0</v>
      </c>
      <c r="AY559" s="34">
        <f t="shared" si="495"/>
        <v>0</v>
      </c>
      <c r="AZ559" s="37">
        <f t="shared" si="496"/>
        <v>0</v>
      </c>
      <c r="BA559" s="37">
        <f t="shared" si="497"/>
        <v>0</v>
      </c>
      <c r="BB559" s="35">
        <f t="shared" si="498"/>
        <v>9.86298719130696E-4</v>
      </c>
      <c r="BC559" s="31">
        <f t="shared" si="499"/>
        <v>0.57861033842291576</v>
      </c>
      <c r="BD559" s="34">
        <f t="shared" si="500"/>
        <v>0</v>
      </c>
    </row>
    <row r="560" spans="1:56" x14ac:dyDescent="0.2">
      <c r="A560" s="27">
        <f t="shared" si="501"/>
        <v>556</v>
      </c>
      <c r="B560" s="28">
        <f t="shared" si="448"/>
        <v>556</v>
      </c>
      <c r="C560" s="27">
        <f t="shared" si="449"/>
        <v>46</v>
      </c>
      <c r="D560" s="28">
        <f t="shared" si="450"/>
        <v>66</v>
      </c>
      <c r="E560" s="29">
        <f t="shared" si="451"/>
        <v>0</v>
      </c>
      <c r="F560" s="30">
        <f t="shared" si="452"/>
        <v>3.9925207105385848E-3</v>
      </c>
      <c r="G560" s="31">
        <f t="shared" si="453"/>
        <v>3.3332044464040589E-4</v>
      </c>
      <c r="H560" s="32">
        <f t="shared" si="454"/>
        <v>0.02</v>
      </c>
      <c r="I560" s="32">
        <f t="shared" si="455"/>
        <v>0</v>
      </c>
      <c r="J560" s="33">
        <f t="shared" si="502"/>
        <v>0</v>
      </c>
      <c r="K560" s="30">
        <f t="shared" si="456"/>
        <v>0</v>
      </c>
      <c r="L560" s="33">
        <f t="shared" si="457"/>
        <v>0</v>
      </c>
      <c r="M560" s="30">
        <f t="shared" si="458"/>
        <v>0</v>
      </c>
      <c r="N560" s="33">
        <f t="shared" si="459"/>
        <v>0</v>
      </c>
      <c r="O560" s="31">
        <f t="shared" si="460"/>
        <v>0</v>
      </c>
      <c r="P560" s="33">
        <f t="shared" si="461"/>
        <v>0</v>
      </c>
      <c r="Q560" s="34">
        <f t="shared" si="503"/>
        <v>834700.20055028307</v>
      </c>
      <c r="R560" s="29">
        <f t="shared" si="462"/>
        <v>0</v>
      </c>
      <c r="S560" s="34">
        <f t="shared" si="463"/>
        <v>834700.20055028307</v>
      </c>
      <c r="T560" s="29">
        <f t="shared" si="464"/>
        <v>695.58350045856923</v>
      </c>
      <c r="U560" s="29">
        <f t="shared" si="465"/>
        <v>0</v>
      </c>
      <c r="V560" s="35">
        <f t="shared" si="466"/>
        <v>3.6665248910444653E-4</v>
      </c>
      <c r="W560" s="34">
        <f t="shared" si="467"/>
        <v>0</v>
      </c>
      <c r="X560" s="34">
        <f t="shared" si="468"/>
        <v>834004.61704982445</v>
      </c>
      <c r="Y560" s="36">
        <f t="shared" si="469"/>
        <v>1.0712510947805898E-2</v>
      </c>
      <c r="Z560" s="34">
        <f t="shared" si="470"/>
        <v>8934.2835906669097</v>
      </c>
      <c r="AA560" s="34">
        <f t="shared" si="471"/>
        <v>838471.75884515792</v>
      </c>
      <c r="AB560" s="34">
        <f t="shared" si="472"/>
        <v>0</v>
      </c>
      <c r="AC560" s="34">
        <f t="shared" si="473"/>
        <v>0</v>
      </c>
      <c r="AD560" s="34">
        <f t="shared" si="474"/>
        <v>0</v>
      </c>
      <c r="AE560" s="34">
        <f t="shared" si="475"/>
        <v>0</v>
      </c>
      <c r="AF560" s="34">
        <f t="shared" si="476"/>
        <v>0</v>
      </c>
      <c r="AG560" s="29">
        <f t="shared" si="477"/>
        <v>838471.75884515792</v>
      </c>
      <c r="AH560" s="34">
        <f t="shared" si="478"/>
        <v>0</v>
      </c>
      <c r="AI560" s="34">
        <f t="shared" si="479"/>
        <v>0</v>
      </c>
      <c r="AJ560" s="34">
        <f t="shared" si="480"/>
        <v>0</v>
      </c>
      <c r="AK560" s="34">
        <f t="shared" si="481"/>
        <v>0</v>
      </c>
      <c r="AL560" s="34">
        <f t="shared" si="482"/>
        <v>0</v>
      </c>
      <c r="AM560" s="34">
        <f t="shared" si="483"/>
        <v>0</v>
      </c>
      <c r="AN560" s="34">
        <f t="shared" si="484"/>
        <v>0</v>
      </c>
      <c r="AO560" s="34">
        <f t="shared" si="485"/>
        <v>0</v>
      </c>
      <c r="AP560" s="34">
        <f t="shared" si="486"/>
        <v>0</v>
      </c>
      <c r="AQ560" s="34">
        <f t="shared" si="487"/>
        <v>0</v>
      </c>
      <c r="AR560" s="34">
        <f t="shared" si="488"/>
        <v>0</v>
      </c>
      <c r="AS560" s="30">
        <f t="shared" si="489"/>
        <v>1.5857095871448648</v>
      </c>
      <c r="AT560" s="29">
        <f t="shared" si="490"/>
        <v>0</v>
      </c>
      <c r="AU560" s="29">
        <f t="shared" si="491"/>
        <v>0</v>
      </c>
      <c r="AV560" s="34">
        <f t="shared" si="492"/>
        <v>0</v>
      </c>
      <c r="AW560" s="34">
        <f t="shared" si="493"/>
        <v>0</v>
      </c>
      <c r="AX560" s="29">
        <f t="shared" si="494"/>
        <v>0</v>
      </c>
      <c r="AY560" s="34">
        <f t="shared" si="495"/>
        <v>0</v>
      </c>
      <c r="AZ560" s="37">
        <f t="shared" si="496"/>
        <v>0</v>
      </c>
      <c r="BA560" s="37">
        <f t="shared" si="497"/>
        <v>0</v>
      </c>
      <c r="BB560" s="35">
        <f t="shared" si="498"/>
        <v>9.86298719130696E-4</v>
      </c>
      <c r="BC560" s="31">
        <f t="shared" si="499"/>
        <v>0.57804021809620154</v>
      </c>
      <c r="BD560" s="34">
        <f t="shared" si="500"/>
        <v>0</v>
      </c>
    </row>
    <row r="561" spans="1:56" x14ac:dyDescent="0.2">
      <c r="A561" s="27">
        <f t="shared" si="501"/>
        <v>557</v>
      </c>
      <c r="B561" s="28">
        <f t="shared" si="448"/>
        <v>557</v>
      </c>
      <c r="C561" s="27">
        <f t="shared" si="449"/>
        <v>46</v>
      </c>
      <c r="D561" s="28">
        <f t="shared" si="450"/>
        <v>66</v>
      </c>
      <c r="E561" s="29">
        <f t="shared" si="451"/>
        <v>0</v>
      </c>
      <c r="F561" s="30">
        <f t="shared" si="452"/>
        <v>3.9925207105385848E-3</v>
      </c>
      <c r="G561" s="31">
        <f t="shared" si="453"/>
        <v>3.3332044464040589E-4</v>
      </c>
      <c r="H561" s="32">
        <f t="shared" si="454"/>
        <v>0.02</v>
      </c>
      <c r="I561" s="32">
        <f t="shared" si="455"/>
        <v>0</v>
      </c>
      <c r="J561" s="33">
        <f t="shared" si="502"/>
        <v>0</v>
      </c>
      <c r="K561" s="30">
        <f t="shared" si="456"/>
        <v>0</v>
      </c>
      <c r="L561" s="33">
        <f t="shared" si="457"/>
        <v>0</v>
      </c>
      <c r="M561" s="30">
        <f t="shared" si="458"/>
        <v>0</v>
      </c>
      <c r="N561" s="33">
        <f t="shared" si="459"/>
        <v>0</v>
      </c>
      <c r="O561" s="31">
        <f t="shared" si="460"/>
        <v>0</v>
      </c>
      <c r="P561" s="33">
        <f t="shared" si="461"/>
        <v>0</v>
      </c>
      <c r="Q561" s="34">
        <f t="shared" si="503"/>
        <v>842938.9006404914</v>
      </c>
      <c r="R561" s="29">
        <f t="shared" si="462"/>
        <v>0</v>
      </c>
      <c r="S561" s="34">
        <f t="shared" si="463"/>
        <v>842938.9006404914</v>
      </c>
      <c r="T561" s="29">
        <f t="shared" si="464"/>
        <v>702.44908386707618</v>
      </c>
      <c r="U561" s="29">
        <f t="shared" si="465"/>
        <v>0</v>
      </c>
      <c r="V561" s="35">
        <f t="shared" si="466"/>
        <v>3.6665248910444653E-4</v>
      </c>
      <c r="W561" s="34">
        <f t="shared" si="467"/>
        <v>0</v>
      </c>
      <c r="X561" s="34">
        <f t="shared" si="468"/>
        <v>842236.45155662426</v>
      </c>
      <c r="Y561" s="36">
        <f t="shared" si="469"/>
        <v>-7.4195879162978207E-3</v>
      </c>
      <c r="Z561" s="34">
        <f t="shared" si="470"/>
        <v>-6249.0473986350844</v>
      </c>
      <c r="AA561" s="34">
        <f t="shared" si="471"/>
        <v>839111.92785730667</v>
      </c>
      <c r="AB561" s="34">
        <f t="shared" si="472"/>
        <v>0</v>
      </c>
      <c r="AC561" s="34">
        <f t="shared" si="473"/>
        <v>0</v>
      </c>
      <c r="AD561" s="34">
        <f t="shared" si="474"/>
        <v>0</v>
      </c>
      <c r="AE561" s="34">
        <f t="shared" si="475"/>
        <v>0</v>
      </c>
      <c r="AF561" s="34">
        <f t="shared" si="476"/>
        <v>0</v>
      </c>
      <c r="AG561" s="29">
        <f t="shared" si="477"/>
        <v>839111.92785730667</v>
      </c>
      <c r="AH561" s="34">
        <f t="shared" si="478"/>
        <v>0</v>
      </c>
      <c r="AI561" s="34">
        <f t="shared" si="479"/>
        <v>0</v>
      </c>
      <c r="AJ561" s="34">
        <f t="shared" si="480"/>
        <v>0</v>
      </c>
      <c r="AK561" s="34">
        <f t="shared" si="481"/>
        <v>0</v>
      </c>
      <c r="AL561" s="34">
        <f t="shared" si="482"/>
        <v>0</v>
      </c>
      <c r="AM561" s="34">
        <f t="shared" si="483"/>
        <v>0</v>
      </c>
      <c r="AN561" s="34">
        <f t="shared" si="484"/>
        <v>0</v>
      </c>
      <c r="AO561" s="34">
        <f t="shared" si="485"/>
        <v>0</v>
      </c>
      <c r="AP561" s="34">
        <f t="shared" si="486"/>
        <v>0</v>
      </c>
      <c r="AQ561" s="34">
        <f t="shared" si="487"/>
        <v>0</v>
      </c>
      <c r="AR561" s="34">
        <f t="shared" si="488"/>
        <v>0</v>
      </c>
      <c r="AS561" s="30">
        <f t="shared" si="489"/>
        <v>1.5870249936856857</v>
      </c>
      <c r="AT561" s="29">
        <f t="shared" si="490"/>
        <v>0</v>
      </c>
      <c r="AU561" s="29">
        <f t="shared" si="491"/>
        <v>0</v>
      </c>
      <c r="AV561" s="34">
        <f t="shared" si="492"/>
        <v>0</v>
      </c>
      <c r="AW561" s="34">
        <f t="shared" si="493"/>
        <v>0</v>
      </c>
      <c r="AX561" s="29">
        <f t="shared" si="494"/>
        <v>0</v>
      </c>
      <c r="AY561" s="34">
        <f t="shared" si="495"/>
        <v>0</v>
      </c>
      <c r="AZ561" s="37">
        <f t="shared" si="496"/>
        <v>0</v>
      </c>
      <c r="BA561" s="37">
        <f t="shared" si="497"/>
        <v>0</v>
      </c>
      <c r="BB561" s="35">
        <f t="shared" si="498"/>
        <v>9.86298719130696E-4</v>
      </c>
      <c r="BC561" s="31">
        <f t="shared" si="499"/>
        <v>0.57747065952437704</v>
      </c>
      <c r="BD561" s="34">
        <f t="shared" si="500"/>
        <v>0</v>
      </c>
    </row>
    <row r="562" spans="1:56" x14ac:dyDescent="0.2">
      <c r="A562" s="27">
        <f t="shared" si="501"/>
        <v>558</v>
      </c>
      <c r="B562" s="28">
        <f t="shared" si="448"/>
        <v>558</v>
      </c>
      <c r="C562" s="27">
        <f t="shared" si="449"/>
        <v>46</v>
      </c>
      <c r="D562" s="28">
        <f t="shared" si="450"/>
        <v>66</v>
      </c>
      <c r="E562" s="29">
        <f t="shared" si="451"/>
        <v>0</v>
      </c>
      <c r="F562" s="30">
        <f t="shared" si="452"/>
        <v>3.9925207105385848E-3</v>
      </c>
      <c r="G562" s="31">
        <f t="shared" si="453"/>
        <v>3.3332044464040589E-4</v>
      </c>
      <c r="H562" s="32">
        <f t="shared" si="454"/>
        <v>0.02</v>
      </c>
      <c r="I562" s="32">
        <f t="shared" si="455"/>
        <v>0</v>
      </c>
      <c r="J562" s="33">
        <f t="shared" si="502"/>
        <v>0</v>
      </c>
      <c r="K562" s="30">
        <f t="shared" si="456"/>
        <v>0</v>
      </c>
      <c r="L562" s="33">
        <f t="shared" si="457"/>
        <v>0</v>
      </c>
      <c r="M562" s="30">
        <f t="shared" si="458"/>
        <v>0</v>
      </c>
      <c r="N562" s="33">
        <f t="shared" si="459"/>
        <v>0</v>
      </c>
      <c r="O562" s="31">
        <f t="shared" si="460"/>
        <v>0</v>
      </c>
      <c r="P562" s="33">
        <f t="shared" si="461"/>
        <v>0</v>
      </c>
      <c r="Q562" s="34">
        <f t="shared" si="503"/>
        <v>835987.40415798919</v>
      </c>
      <c r="R562" s="29">
        <f t="shared" si="462"/>
        <v>0</v>
      </c>
      <c r="S562" s="34">
        <f t="shared" si="463"/>
        <v>835987.40415798919</v>
      </c>
      <c r="T562" s="29">
        <f t="shared" si="464"/>
        <v>696.65617013165775</v>
      </c>
      <c r="U562" s="29">
        <f t="shared" si="465"/>
        <v>0</v>
      </c>
      <c r="V562" s="35">
        <f t="shared" si="466"/>
        <v>3.6665248910444653E-4</v>
      </c>
      <c r="W562" s="34">
        <f t="shared" si="467"/>
        <v>0</v>
      </c>
      <c r="X562" s="34">
        <f t="shared" si="468"/>
        <v>835290.74798785755</v>
      </c>
      <c r="Y562" s="36">
        <f t="shared" si="469"/>
        <v>-8.9870594968221029E-3</v>
      </c>
      <c r="Z562" s="34">
        <f t="shared" si="470"/>
        <v>-7506.8076493119133</v>
      </c>
      <c r="AA562" s="34">
        <f t="shared" si="471"/>
        <v>831537.34416320163</v>
      </c>
      <c r="AB562" s="34">
        <f t="shared" si="472"/>
        <v>0</v>
      </c>
      <c r="AC562" s="34">
        <f t="shared" si="473"/>
        <v>0</v>
      </c>
      <c r="AD562" s="34">
        <f t="shared" si="474"/>
        <v>0</v>
      </c>
      <c r="AE562" s="34">
        <f t="shared" si="475"/>
        <v>0</v>
      </c>
      <c r="AF562" s="34">
        <f t="shared" si="476"/>
        <v>0</v>
      </c>
      <c r="AG562" s="29">
        <f t="shared" si="477"/>
        <v>831537.34416320163</v>
      </c>
      <c r="AH562" s="34">
        <f t="shared" si="478"/>
        <v>0</v>
      </c>
      <c r="AI562" s="34">
        <f t="shared" si="479"/>
        <v>0</v>
      </c>
      <c r="AJ562" s="34">
        <f t="shared" si="480"/>
        <v>0</v>
      </c>
      <c r="AK562" s="34">
        <f t="shared" si="481"/>
        <v>0</v>
      </c>
      <c r="AL562" s="34">
        <f t="shared" si="482"/>
        <v>0</v>
      </c>
      <c r="AM562" s="34">
        <f t="shared" si="483"/>
        <v>0</v>
      </c>
      <c r="AN562" s="34">
        <f t="shared" si="484"/>
        <v>0</v>
      </c>
      <c r="AO562" s="34">
        <f t="shared" si="485"/>
        <v>0</v>
      </c>
      <c r="AP562" s="34">
        <f t="shared" si="486"/>
        <v>0</v>
      </c>
      <c r="AQ562" s="34">
        <f t="shared" si="487"/>
        <v>0</v>
      </c>
      <c r="AR562" s="34">
        <f t="shared" si="488"/>
        <v>0</v>
      </c>
      <c r="AS562" s="30">
        <f t="shared" si="489"/>
        <v>1.588341491406368</v>
      </c>
      <c r="AT562" s="29">
        <f t="shared" si="490"/>
        <v>0</v>
      </c>
      <c r="AU562" s="29">
        <f t="shared" si="491"/>
        <v>0</v>
      </c>
      <c r="AV562" s="34">
        <f t="shared" si="492"/>
        <v>0</v>
      </c>
      <c r="AW562" s="34">
        <f t="shared" si="493"/>
        <v>0</v>
      </c>
      <c r="AX562" s="29">
        <f t="shared" si="494"/>
        <v>0</v>
      </c>
      <c r="AY562" s="34">
        <f t="shared" si="495"/>
        <v>0</v>
      </c>
      <c r="AZ562" s="37">
        <f t="shared" si="496"/>
        <v>0</v>
      </c>
      <c r="BA562" s="37">
        <f t="shared" si="497"/>
        <v>0</v>
      </c>
      <c r="BB562" s="35">
        <f t="shared" si="498"/>
        <v>9.86298719130696E-4</v>
      </c>
      <c r="BC562" s="31">
        <f t="shared" si="499"/>
        <v>0.57690166215393024</v>
      </c>
      <c r="BD562" s="34">
        <f t="shared" si="500"/>
        <v>0</v>
      </c>
    </row>
    <row r="563" spans="1:56" x14ac:dyDescent="0.2">
      <c r="A563" s="27">
        <f t="shared" si="501"/>
        <v>559</v>
      </c>
      <c r="B563" s="28">
        <f t="shared" si="448"/>
        <v>559</v>
      </c>
      <c r="C563" s="27">
        <f t="shared" si="449"/>
        <v>46</v>
      </c>
      <c r="D563" s="28">
        <f t="shared" si="450"/>
        <v>66</v>
      </c>
      <c r="E563" s="29">
        <f t="shared" si="451"/>
        <v>0</v>
      </c>
      <c r="F563" s="30">
        <f t="shared" si="452"/>
        <v>3.9925207105385848E-3</v>
      </c>
      <c r="G563" s="31">
        <f t="shared" si="453"/>
        <v>3.3332044464040589E-4</v>
      </c>
      <c r="H563" s="32">
        <f t="shared" si="454"/>
        <v>0.02</v>
      </c>
      <c r="I563" s="32">
        <f t="shared" si="455"/>
        <v>0</v>
      </c>
      <c r="J563" s="33">
        <f t="shared" si="502"/>
        <v>0</v>
      </c>
      <c r="K563" s="30">
        <f t="shared" si="456"/>
        <v>0</v>
      </c>
      <c r="L563" s="33">
        <f t="shared" si="457"/>
        <v>0</v>
      </c>
      <c r="M563" s="30">
        <f t="shared" si="458"/>
        <v>0</v>
      </c>
      <c r="N563" s="33">
        <f t="shared" si="459"/>
        <v>0</v>
      </c>
      <c r="O563" s="31">
        <f t="shared" si="460"/>
        <v>0</v>
      </c>
      <c r="P563" s="33">
        <f t="shared" si="461"/>
        <v>0</v>
      </c>
      <c r="Q563" s="34">
        <f t="shared" si="503"/>
        <v>827783.9403385456</v>
      </c>
      <c r="R563" s="29">
        <f t="shared" si="462"/>
        <v>0</v>
      </c>
      <c r="S563" s="34">
        <f t="shared" si="463"/>
        <v>827783.9403385456</v>
      </c>
      <c r="T563" s="29">
        <f t="shared" si="464"/>
        <v>689.81995028212134</v>
      </c>
      <c r="U563" s="29">
        <f t="shared" si="465"/>
        <v>0</v>
      </c>
      <c r="V563" s="35">
        <f t="shared" si="466"/>
        <v>3.6665248910444653E-4</v>
      </c>
      <c r="W563" s="34">
        <f t="shared" si="467"/>
        <v>0</v>
      </c>
      <c r="X563" s="34">
        <f t="shared" si="468"/>
        <v>827094.12038826349</v>
      </c>
      <c r="Y563" s="36">
        <f t="shared" si="469"/>
        <v>-1.2189184427014554E-2</v>
      </c>
      <c r="Z563" s="34">
        <f t="shared" si="470"/>
        <v>-10081.602771911923</v>
      </c>
      <c r="AA563" s="34">
        <f t="shared" si="471"/>
        <v>822053.31900230749</v>
      </c>
      <c r="AB563" s="34">
        <f t="shared" si="472"/>
        <v>0</v>
      </c>
      <c r="AC563" s="34">
        <f t="shared" si="473"/>
        <v>0</v>
      </c>
      <c r="AD563" s="34">
        <f t="shared" si="474"/>
        <v>0</v>
      </c>
      <c r="AE563" s="34">
        <f t="shared" si="475"/>
        <v>0</v>
      </c>
      <c r="AF563" s="34">
        <f t="shared" si="476"/>
        <v>0</v>
      </c>
      <c r="AG563" s="29">
        <f t="shared" si="477"/>
        <v>822053.31900230749</v>
      </c>
      <c r="AH563" s="34">
        <f t="shared" si="478"/>
        <v>0</v>
      </c>
      <c r="AI563" s="34">
        <f t="shared" si="479"/>
        <v>0</v>
      </c>
      <c r="AJ563" s="34">
        <f t="shared" si="480"/>
        <v>0</v>
      </c>
      <c r="AK563" s="34">
        <f t="shared" si="481"/>
        <v>0</v>
      </c>
      <c r="AL563" s="34">
        <f t="shared" si="482"/>
        <v>0</v>
      </c>
      <c r="AM563" s="34">
        <f t="shared" si="483"/>
        <v>0</v>
      </c>
      <c r="AN563" s="34">
        <f t="shared" si="484"/>
        <v>0</v>
      </c>
      <c r="AO563" s="34">
        <f t="shared" si="485"/>
        <v>0</v>
      </c>
      <c r="AP563" s="34">
        <f t="shared" si="486"/>
        <v>0</v>
      </c>
      <c r="AQ563" s="34">
        <f t="shared" si="487"/>
        <v>0</v>
      </c>
      <c r="AR563" s="34">
        <f t="shared" si="488"/>
        <v>0</v>
      </c>
      <c r="AS563" s="30">
        <f t="shared" si="489"/>
        <v>1.5896590812120872</v>
      </c>
      <c r="AT563" s="29">
        <f t="shared" si="490"/>
        <v>0</v>
      </c>
      <c r="AU563" s="29">
        <f t="shared" si="491"/>
        <v>0</v>
      </c>
      <c r="AV563" s="34">
        <f t="shared" si="492"/>
        <v>0</v>
      </c>
      <c r="AW563" s="34">
        <f t="shared" si="493"/>
        <v>0</v>
      </c>
      <c r="AX563" s="29">
        <f t="shared" si="494"/>
        <v>0</v>
      </c>
      <c r="AY563" s="34">
        <f t="shared" si="495"/>
        <v>0</v>
      </c>
      <c r="AZ563" s="37">
        <f t="shared" si="496"/>
        <v>0</v>
      </c>
      <c r="BA563" s="37">
        <f t="shared" si="497"/>
        <v>0</v>
      </c>
      <c r="BB563" s="35">
        <f t="shared" si="498"/>
        <v>9.86298719130696E-4</v>
      </c>
      <c r="BC563" s="31">
        <f t="shared" si="499"/>
        <v>0.57633322543189414</v>
      </c>
      <c r="BD563" s="34">
        <f t="shared" si="500"/>
        <v>0</v>
      </c>
    </row>
    <row r="564" spans="1:56" x14ac:dyDescent="0.2">
      <c r="A564" s="27">
        <f t="shared" si="501"/>
        <v>560</v>
      </c>
      <c r="B564" s="28">
        <f t="shared" si="448"/>
        <v>560</v>
      </c>
      <c r="C564" s="27">
        <f t="shared" si="449"/>
        <v>46</v>
      </c>
      <c r="D564" s="28">
        <f t="shared" si="450"/>
        <v>66</v>
      </c>
      <c r="E564" s="29">
        <f t="shared" si="451"/>
        <v>0</v>
      </c>
      <c r="F564" s="30">
        <f t="shared" si="452"/>
        <v>3.9925207105385848E-3</v>
      </c>
      <c r="G564" s="31">
        <f t="shared" si="453"/>
        <v>3.3332044464040589E-4</v>
      </c>
      <c r="H564" s="32">
        <f t="shared" si="454"/>
        <v>0.02</v>
      </c>
      <c r="I564" s="32">
        <f t="shared" si="455"/>
        <v>0</v>
      </c>
      <c r="J564" s="33">
        <f t="shared" si="502"/>
        <v>0</v>
      </c>
      <c r="K564" s="30">
        <f t="shared" si="456"/>
        <v>0</v>
      </c>
      <c r="L564" s="33">
        <f t="shared" si="457"/>
        <v>0</v>
      </c>
      <c r="M564" s="30">
        <f t="shared" si="458"/>
        <v>0</v>
      </c>
      <c r="N564" s="33">
        <f t="shared" si="459"/>
        <v>0</v>
      </c>
      <c r="O564" s="31">
        <f t="shared" si="460"/>
        <v>0</v>
      </c>
      <c r="P564" s="33">
        <f t="shared" si="461"/>
        <v>0</v>
      </c>
      <c r="Q564" s="34">
        <f t="shared" si="503"/>
        <v>817012.5176163516</v>
      </c>
      <c r="R564" s="29">
        <f t="shared" si="462"/>
        <v>0</v>
      </c>
      <c r="S564" s="34">
        <f t="shared" si="463"/>
        <v>817012.5176163516</v>
      </c>
      <c r="T564" s="29">
        <f t="shared" si="464"/>
        <v>680.84376468029302</v>
      </c>
      <c r="U564" s="29">
        <f t="shared" si="465"/>
        <v>0</v>
      </c>
      <c r="V564" s="35">
        <f t="shared" si="466"/>
        <v>3.6665248910444653E-4</v>
      </c>
      <c r="W564" s="34">
        <f t="shared" si="467"/>
        <v>0</v>
      </c>
      <c r="X564" s="34">
        <f t="shared" si="468"/>
        <v>816331.67385167128</v>
      </c>
      <c r="Y564" s="36">
        <f t="shared" si="469"/>
        <v>-1.9614269572454379E-3</v>
      </c>
      <c r="Z564" s="34">
        <f t="shared" si="470"/>
        <v>-1601.1749511459589</v>
      </c>
      <c r="AA564" s="34">
        <f t="shared" si="471"/>
        <v>815531.08637609833</v>
      </c>
      <c r="AB564" s="34">
        <f t="shared" si="472"/>
        <v>0</v>
      </c>
      <c r="AC564" s="34">
        <f t="shared" si="473"/>
        <v>0</v>
      </c>
      <c r="AD564" s="34">
        <f t="shared" si="474"/>
        <v>0</v>
      </c>
      <c r="AE564" s="34">
        <f t="shared" si="475"/>
        <v>0</v>
      </c>
      <c r="AF564" s="34">
        <f t="shared" si="476"/>
        <v>0</v>
      </c>
      <c r="AG564" s="29">
        <f t="shared" si="477"/>
        <v>815531.08637609833</v>
      </c>
      <c r="AH564" s="34">
        <f t="shared" si="478"/>
        <v>0</v>
      </c>
      <c r="AI564" s="34">
        <f t="shared" si="479"/>
        <v>0</v>
      </c>
      <c r="AJ564" s="34">
        <f t="shared" si="480"/>
        <v>0</v>
      </c>
      <c r="AK564" s="34">
        <f t="shared" si="481"/>
        <v>0</v>
      </c>
      <c r="AL564" s="34">
        <f t="shared" si="482"/>
        <v>0</v>
      </c>
      <c r="AM564" s="34">
        <f t="shared" si="483"/>
        <v>0</v>
      </c>
      <c r="AN564" s="34">
        <f t="shared" si="484"/>
        <v>0</v>
      </c>
      <c r="AO564" s="34">
        <f t="shared" si="485"/>
        <v>0</v>
      </c>
      <c r="AP564" s="34">
        <f t="shared" si="486"/>
        <v>0</v>
      </c>
      <c r="AQ564" s="34">
        <f t="shared" si="487"/>
        <v>0</v>
      </c>
      <c r="AR564" s="34">
        <f t="shared" si="488"/>
        <v>0</v>
      </c>
      <c r="AS564" s="30">
        <f t="shared" si="489"/>
        <v>1.5909777640087692</v>
      </c>
      <c r="AT564" s="29">
        <f t="shared" si="490"/>
        <v>0</v>
      </c>
      <c r="AU564" s="29">
        <f t="shared" si="491"/>
        <v>0</v>
      </c>
      <c r="AV564" s="34">
        <f t="shared" si="492"/>
        <v>0</v>
      </c>
      <c r="AW564" s="34">
        <f t="shared" si="493"/>
        <v>0</v>
      </c>
      <c r="AX564" s="29">
        <f t="shared" si="494"/>
        <v>0</v>
      </c>
      <c r="AY564" s="34">
        <f t="shared" si="495"/>
        <v>0</v>
      </c>
      <c r="AZ564" s="37">
        <f t="shared" si="496"/>
        <v>0</v>
      </c>
      <c r="BA564" s="37">
        <f t="shared" si="497"/>
        <v>0</v>
      </c>
      <c r="BB564" s="35">
        <f t="shared" si="498"/>
        <v>9.86298719130696E-4</v>
      </c>
      <c r="BC564" s="31">
        <f t="shared" si="499"/>
        <v>0.5757653488058474</v>
      </c>
      <c r="BD564" s="34">
        <f t="shared" si="500"/>
        <v>0</v>
      </c>
    </row>
    <row r="565" spans="1:56" x14ac:dyDescent="0.2">
      <c r="A565" s="27">
        <f t="shared" si="501"/>
        <v>561</v>
      </c>
      <c r="B565" s="28">
        <f t="shared" si="448"/>
        <v>561</v>
      </c>
      <c r="C565" s="27">
        <f t="shared" si="449"/>
        <v>46</v>
      </c>
      <c r="D565" s="28">
        <f t="shared" si="450"/>
        <v>66</v>
      </c>
      <c r="E565" s="29">
        <f t="shared" si="451"/>
        <v>0</v>
      </c>
      <c r="F565" s="30">
        <f t="shared" si="452"/>
        <v>3.9925207105385848E-3</v>
      </c>
      <c r="G565" s="31">
        <f t="shared" si="453"/>
        <v>3.3332044464040589E-4</v>
      </c>
      <c r="H565" s="32">
        <f t="shared" si="454"/>
        <v>0.02</v>
      </c>
      <c r="I565" s="32">
        <f t="shared" si="455"/>
        <v>0</v>
      </c>
      <c r="J565" s="33">
        <f t="shared" si="502"/>
        <v>0</v>
      </c>
      <c r="K565" s="30">
        <f t="shared" si="456"/>
        <v>0</v>
      </c>
      <c r="L565" s="33">
        <f t="shared" si="457"/>
        <v>0</v>
      </c>
      <c r="M565" s="30">
        <f t="shared" si="458"/>
        <v>0</v>
      </c>
      <c r="N565" s="33">
        <f t="shared" si="459"/>
        <v>0</v>
      </c>
      <c r="O565" s="31">
        <f t="shared" si="460"/>
        <v>0</v>
      </c>
      <c r="P565" s="33">
        <f t="shared" si="461"/>
        <v>0</v>
      </c>
      <c r="Q565" s="34">
        <f t="shared" si="503"/>
        <v>814730.49890052527</v>
      </c>
      <c r="R565" s="29">
        <f t="shared" si="462"/>
        <v>0</v>
      </c>
      <c r="S565" s="34">
        <f t="shared" si="463"/>
        <v>814730.49890052527</v>
      </c>
      <c r="T565" s="29">
        <f t="shared" si="464"/>
        <v>678.94208241710442</v>
      </c>
      <c r="U565" s="29">
        <f t="shared" si="465"/>
        <v>0</v>
      </c>
      <c r="V565" s="35">
        <f t="shared" si="466"/>
        <v>3.6665248910444653E-4</v>
      </c>
      <c r="W565" s="34">
        <f t="shared" si="467"/>
        <v>0</v>
      </c>
      <c r="X565" s="34">
        <f t="shared" si="468"/>
        <v>814051.55681810819</v>
      </c>
      <c r="Y565" s="36">
        <f t="shared" si="469"/>
        <v>6.3437663857184301E-3</v>
      </c>
      <c r="Z565" s="34">
        <f t="shared" si="470"/>
        <v>5164.1529023844714</v>
      </c>
      <c r="AA565" s="34">
        <f t="shared" si="471"/>
        <v>816633.63326930045</v>
      </c>
      <c r="AB565" s="34">
        <f t="shared" si="472"/>
        <v>0</v>
      </c>
      <c r="AC565" s="34">
        <f t="shared" si="473"/>
        <v>0</v>
      </c>
      <c r="AD565" s="34">
        <f t="shared" si="474"/>
        <v>0</v>
      </c>
      <c r="AE565" s="34">
        <f t="shared" si="475"/>
        <v>0</v>
      </c>
      <c r="AF565" s="34">
        <f t="shared" si="476"/>
        <v>0</v>
      </c>
      <c r="AG565" s="29">
        <f t="shared" si="477"/>
        <v>816633.63326930045</v>
      </c>
      <c r="AH565" s="34">
        <f t="shared" si="478"/>
        <v>0</v>
      </c>
      <c r="AI565" s="34">
        <f t="shared" si="479"/>
        <v>0</v>
      </c>
      <c r="AJ565" s="34">
        <f t="shared" si="480"/>
        <v>0</v>
      </c>
      <c r="AK565" s="34">
        <f t="shared" si="481"/>
        <v>0</v>
      </c>
      <c r="AL565" s="34">
        <f t="shared" si="482"/>
        <v>0</v>
      </c>
      <c r="AM565" s="34">
        <f t="shared" si="483"/>
        <v>0</v>
      </c>
      <c r="AN565" s="34">
        <f t="shared" si="484"/>
        <v>0</v>
      </c>
      <c r="AO565" s="34">
        <f t="shared" si="485"/>
        <v>0</v>
      </c>
      <c r="AP565" s="34">
        <f t="shared" si="486"/>
        <v>0</v>
      </c>
      <c r="AQ565" s="34">
        <f t="shared" si="487"/>
        <v>0</v>
      </c>
      <c r="AR565" s="34">
        <f t="shared" si="488"/>
        <v>0</v>
      </c>
      <c r="AS565" s="30">
        <f t="shared" si="489"/>
        <v>1.5922975407030917</v>
      </c>
      <c r="AT565" s="29">
        <f t="shared" si="490"/>
        <v>0</v>
      </c>
      <c r="AU565" s="29">
        <f t="shared" si="491"/>
        <v>0</v>
      </c>
      <c r="AV565" s="34">
        <f t="shared" si="492"/>
        <v>0</v>
      </c>
      <c r="AW565" s="34">
        <f t="shared" si="493"/>
        <v>0</v>
      </c>
      <c r="AX565" s="29">
        <f t="shared" si="494"/>
        <v>0</v>
      </c>
      <c r="AY565" s="34">
        <f t="shared" si="495"/>
        <v>0</v>
      </c>
      <c r="AZ565" s="37">
        <f t="shared" si="496"/>
        <v>0</v>
      </c>
      <c r="BA565" s="37">
        <f t="shared" si="497"/>
        <v>0</v>
      </c>
      <c r="BB565" s="35">
        <f t="shared" si="498"/>
        <v>9.86298719130696E-4</v>
      </c>
      <c r="BC565" s="31">
        <f t="shared" si="499"/>
        <v>0.5751980317239116</v>
      </c>
      <c r="BD565" s="34">
        <f t="shared" si="500"/>
        <v>0</v>
      </c>
    </row>
    <row r="566" spans="1:56" x14ac:dyDescent="0.2">
      <c r="A566" s="27">
        <f t="shared" si="501"/>
        <v>562</v>
      </c>
      <c r="B566" s="28">
        <f t="shared" si="448"/>
        <v>562</v>
      </c>
      <c r="C566" s="27">
        <f t="shared" si="449"/>
        <v>46</v>
      </c>
      <c r="D566" s="28">
        <f t="shared" si="450"/>
        <v>66</v>
      </c>
      <c r="E566" s="29">
        <f t="shared" si="451"/>
        <v>0</v>
      </c>
      <c r="F566" s="30">
        <f t="shared" si="452"/>
        <v>3.9925207105385848E-3</v>
      </c>
      <c r="G566" s="31">
        <f t="shared" si="453"/>
        <v>3.3332044464040589E-4</v>
      </c>
      <c r="H566" s="32">
        <f t="shared" si="454"/>
        <v>0.02</v>
      </c>
      <c r="I566" s="32">
        <f t="shared" si="455"/>
        <v>0</v>
      </c>
      <c r="J566" s="33">
        <f t="shared" si="502"/>
        <v>0</v>
      </c>
      <c r="K566" s="30">
        <f t="shared" si="456"/>
        <v>0</v>
      </c>
      <c r="L566" s="33">
        <f t="shared" si="457"/>
        <v>0</v>
      </c>
      <c r="M566" s="30">
        <f t="shared" si="458"/>
        <v>0</v>
      </c>
      <c r="N566" s="33">
        <f t="shared" si="459"/>
        <v>0</v>
      </c>
      <c r="O566" s="31">
        <f t="shared" si="460"/>
        <v>0</v>
      </c>
      <c r="P566" s="33">
        <f t="shared" si="461"/>
        <v>0</v>
      </c>
      <c r="Q566" s="34">
        <f t="shared" si="503"/>
        <v>819215.70972049271</v>
      </c>
      <c r="R566" s="29">
        <f t="shared" si="462"/>
        <v>0</v>
      </c>
      <c r="S566" s="34">
        <f t="shared" si="463"/>
        <v>819215.70972049271</v>
      </c>
      <c r="T566" s="29">
        <f t="shared" si="464"/>
        <v>682.6797581004106</v>
      </c>
      <c r="U566" s="29">
        <f t="shared" si="465"/>
        <v>0</v>
      </c>
      <c r="V566" s="35">
        <f t="shared" si="466"/>
        <v>3.6665248910444653E-4</v>
      </c>
      <c r="W566" s="34">
        <f t="shared" si="467"/>
        <v>0</v>
      </c>
      <c r="X566" s="34">
        <f t="shared" si="468"/>
        <v>818533.02996239229</v>
      </c>
      <c r="Y566" s="36">
        <f t="shared" si="469"/>
        <v>2.7773257563485698E-2</v>
      </c>
      <c r="Z566" s="34">
        <f t="shared" si="470"/>
        <v>22733.328665365876</v>
      </c>
      <c r="AA566" s="34">
        <f t="shared" si="471"/>
        <v>829899.69429507526</v>
      </c>
      <c r="AB566" s="34">
        <f t="shared" si="472"/>
        <v>0</v>
      </c>
      <c r="AC566" s="34">
        <f t="shared" si="473"/>
        <v>0</v>
      </c>
      <c r="AD566" s="34">
        <f t="shared" si="474"/>
        <v>0</v>
      </c>
      <c r="AE566" s="34">
        <f t="shared" si="475"/>
        <v>0</v>
      </c>
      <c r="AF566" s="34">
        <f t="shared" si="476"/>
        <v>0</v>
      </c>
      <c r="AG566" s="29">
        <f t="shared" si="477"/>
        <v>829899.69429507526</v>
      </c>
      <c r="AH566" s="34">
        <f t="shared" si="478"/>
        <v>0</v>
      </c>
      <c r="AI566" s="34">
        <f t="shared" si="479"/>
        <v>0</v>
      </c>
      <c r="AJ566" s="34">
        <f t="shared" si="480"/>
        <v>0</v>
      </c>
      <c r="AK566" s="34">
        <f t="shared" si="481"/>
        <v>0</v>
      </c>
      <c r="AL566" s="34">
        <f t="shared" si="482"/>
        <v>0</v>
      </c>
      <c r="AM566" s="34">
        <f t="shared" si="483"/>
        <v>0</v>
      </c>
      <c r="AN566" s="34">
        <f t="shared" si="484"/>
        <v>0</v>
      </c>
      <c r="AO566" s="34">
        <f t="shared" si="485"/>
        <v>0</v>
      </c>
      <c r="AP566" s="34">
        <f t="shared" si="486"/>
        <v>0</v>
      </c>
      <c r="AQ566" s="34">
        <f t="shared" si="487"/>
        <v>0</v>
      </c>
      <c r="AR566" s="34">
        <f t="shared" si="488"/>
        <v>0</v>
      </c>
      <c r="AS566" s="30">
        <f t="shared" si="489"/>
        <v>1.5936184122024848</v>
      </c>
      <c r="AT566" s="29">
        <f t="shared" si="490"/>
        <v>0</v>
      </c>
      <c r="AU566" s="29">
        <f t="shared" si="491"/>
        <v>0</v>
      </c>
      <c r="AV566" s="34">
        <f t="shared" si="492"/>
        <v>0</v>
      </c>
      <c r="AW566" s="34">
        <f t="shared" si="493"/>
        <v>0</v>
      </c>
      <c r="AX566" s="29">
        <f t="shared" si="494"/>
        <v>0</v>
      </c>
      <c r="AY566" s="34">
        <f t="shared" si="495"/>
        <v>0</v>
      </c>
      <c r="AZ566" s="37">
        <f t="shared" si="496"/>
        <v>0</v>
      </c>
      <c r="BA566" s="37">
        <f t="shared" si="497"/>
        <v>0</v>
      </c>
      <c r="BB566" s="35">
        <f t="shared" si="498"/>
        <v>9.86298719130696E-4</v>
      </c>
      <c r="BC566" s="31">
        <f t="shared" si="499"/>
        <v>0.57463127363475319</v>
      </c>
      <c r="BD566" s="34">
        <f t="shared" si="500"/>
        <v>0</v>
      </c>
    </row>
    <row r="567" spans="1:56" x14ac:dyDescent="0.2">
      <c r="A567" s="27">
        <f t="shared" si="501"/>
        <v>563</v>
      </c>
      <c r="B567" s="28">
        <f t="shared" si="448"/>
        <v>563</v>
      </c>
      <c r="C567" s="27">
        <f t="shared" si="449"/>
        <v>46</v>
      </c>
      <c r="D567" s="28">
        <f t="shared" si="450"/>
        <v>66</v>
      </c>
      <c r="E567" s="29">
        <f t="shared" si="451"/>
        <v>0</v>
      </c>
      <c r="F567" s="30">
        <f t="shared" si="452"/>
        <v>3.9925207105385848E-3</v>
      </c>
      <c r="G567" s="31">
        <f t="shared" si="453"/>
        <v>3.3332044464040589E-4</v>
      </c>
      <c r="H567" s="32">
        <f t="shared" si="454"/>
        <v>0.02</v>
      </c>
      <c r="I567" s="32">
        <f t="shared" si="455"/>
        <v>0</v>
      </c>
      <c r="J567" s="33">
        <f t="shared" si="502"/>
        <v>0</v>
      </c>
      <c r="K567" s="30">
        <f t="shared" si="456"/>
        <v>0</v>
      </c>
      <c r="L567" s="33">
        <f t="shared" si="457"/>
        <v>0</v>
      </c>
      <c r="M567" s="30">
        <f t="shared" si="458"/>
        <v>0</v>
      </c>
      <c r="N567" s="33">
        <f t="shared" si="459"/>
        <v>0</v>
      </c>
      <c r="O567" s="31">
        <f t="shared" si="460"/>
        <v>0</v>
      </c>
      <c r="P567" s="33">
        <f t="shared" si="461"/>
        <v>0</v>
      </c>
      <c r="Q567" s="34">
        <f t="shared" si="503"/>
        <v>841266.35862775822</v>
      </c>
      <c r="R567" s="29">
        <f t="shared" si="462"/>
        <v>0</v>
      </c>
      <c r="S567" s="34">
        <f t="shared" si="463"/>
        <v>841266.35862775822</v>
      </c>
      <c r="T567" s="29">
        <f t="shared" si="464"/>
        <v>701.05529885646524</v>
      </c>
      <c r="U567" s="29">
        <f t="shared" si="465"/>
        <v>0</v>
      </c>
      <c r="V567" s="35">
        <f t="shared" si="466"/>
        <v>3.6665248910444653E-4</v>
      </c>
      <c r="W567" s="34">
        <f t="shared" si="467"/>
        <v>0</v>
      </c>
      <c r="X567" s="34">
        <f t="shared" si="468"/>
        <v>840565.30332890176</v>
      </c>
      <c r="Y567" s="36">
        <f t="shared" si="469"/>
        <v>-1.2678357799921214E-3</v>
      </c>
      <c r="Z567" s="34">
        <f t="shared" si="470"/>
        <v>-1065.6987669803123</v>
      </c>
      <c r="AA567" s="34">
        <f t="shared" si="471"/>
        <v>840032.4539454116</v>
      </c>
      <c r="AB567" s="34">
        <f t="shared" si="472"/>
        <v>0</v>
      </c>
      <c r="AC567" s="34">
        <f t="shared" si="473"/>
        <v>0</v>
      </c>
      <c r="AD567" s="34">
        <f t="shared" si="474"/>
        <v>0</v>
      </c>
      <c r="AE567" s="34">
        <f t="shared" si="475"/>
        <v>0</v>
      </c>
      <c r="AF567" s="34">
        <f t="shared" si="476"/>
        <v>0</v>
      </c>
      <c r="AG567" s="29">
        <f t="shared" si="477"/>
        <v>840032.4539454116</v>
      </c>
      <c r="AH567" s="34">
        <f t="shared" si="478"/>
        <v>0</v>
      </c>
      <c r="AI567" s="34">
        <f t="shared" si="479"/>
        <v>0</v>
      </c>
      <c r="AJ567" s="34">
        <f t="shared" si="480"/>
        <v>0</v>
      </c>
      <c r="AK567" s="34">
        <f t="shared" si="481"/>
        <v>0</v>
      </c>
      <c r="AL567" s="34">
        <f t="shared" si="482"/>
        <v>0</v>
      </c>
      <c r="AM567" s="34">
        <f t="shared" si="483"/>
        <v>0</v>
      </c>
      <c r="AN567" s="34">
        <f t="shared" si="484"/>
        <v>0</v>
      </c>
      <c r="AO567" s="34">
        <f t="shared" si="485"/>
        <v>0</v>
      </c>
      <c r="AP567" s="34">
        <f t="shared" si="486"/>
        <v>0</v>
      </c>
      <c r="AQ567" s="34">
        <f t="shared" si="487"/>
        <v>0</v>
      </c>
      <c r="AR567" s="34">
        <f t="shared" si="488"/>
        <v>0</v>
      </c>
      <c r="AS567" s="30">
        <f t="shared" si="489"/>
        <v>1.5949403794151307</v>
      </c>
      <c r="AT567" s="29">
        <f t="shared" si="490"/>
        <v>0</v>
      </c>
      <c r="AU567" s="29">
        <f t="shared" si="491"/>
        <v>0</v>
      </c>
      <c r="AV567" s="34">
        <f t="shared" si="492"/>
        <v>0</v>
      </c>
      <c r="AW567" s="34">
        <f t="shared" si="493"/>
        <v>0</v>
      </c>
      <c r="AX567" s="29">
        <f t="shared" si="494"/>
        <v>0</v>
      </c>
      <c r="AY567" s="34">
        <f t="shared" si="495"/>
        <v>0</v>
      </c>
      <c r="AZ567" s="37">
        <f t="shared" si="496"/>
        <v>0</v>
      </c>
      <c r="BA567" s="37">
        <f t="shared" si="497"/>
        <v>0</v>
      </c>
      <c r="BB567" s="35">
        <f t="shared" si="498"/>
        <v>9.86298719130696E-4</v>
      </c>
      <c r="BC567" s="31">
        <f t="shared" si="499"/>
        <v>0.57406507398758144</v>
      </c>
      <c r="BD567" s="34">
        <f t="shared" si="500"/>
        <v>0</v>
      </c>
    </row>
    <row r="568" spans="1:56" x14ac:dyDescent="0.2">
      <c r="A568" s="27">
        <f t="shared" si="501"/>
        <v>564</v>
      </c>
      <c r="B568" s="28">
        <f t="shared" si="448"/>
        <v>564</v>
      </c>
      <c r="C568" s="27">
        <f t="shared" si="449"/>
        <v>47</v>
      </c>
      <c r="D568" s="28">
        <f t="shared" si="450"/>
        <v>67</v>
      </c>
      <c r="E568" s="29">
        <f t="shared" si="451"/>
        <v>0</v>
      </c>
      <c r="F568" s="30">
        <f t="shared" si="452"/>
        <v>4.3453082705329554E-3</v>
      </c>
      <c r="G568" s="31">
        <f t="shared" si="453"/>
        <v>3.6283220720989551E-4</v>
      </c>
      <c r="H568" s="32">
        <f t="shared" si="454"/>
        <v>0.02</v>
      </c>
      <c r="I568" s="32">
        <f t="shared" si="455"/>
        <v>0</v>
      </c>
      <c r="J568" s="33">
        <f t="shared" si="502"/>
        <v>0</v>
      </c>
      <c r="K568" s="30">
        <f t="shared" si="456"/>
        <v>0</v>
      </c>
      <c r="L568" s="33">
        <f t="shared" si="457"/>
        <v>0</v>
      </c>
      <c r="M568" s="30">
        <f t="shared" si="458"/>
        <v>0</v>
      </c>
      <c r="N568" s="33">
        <f t="shared" si="459"/>
        <v>0</v>
      </c>
      <c r="O568" s="31">
        <f t="shared" si="460"/>
        <v>0</v>
      </c>
      <c r="P568" s="33">
        <f t="shared" si="461"/>
        <v>0</v>
      </c>
      <c r="Q568" s="34">
        <f t="shared" si="503"/>
        <v>839499.60456192144</v>
      </c>
      <c r="R568" s="29">
        <f t="shared" si="462"/>
        <v>0</v>
      </c>
      <c r="S568" s="34">
        <f t="shared" si="463"/>
        <v>839499.60456192144</v>
      </c>
      <c r="T568" s="29">
        <f t="shared" si="464"/>
        <v>699.58300380160119</v>
      </c>
      <c r="U568" s="29">
        <f t="shared" si="465"/>
        <v>0</v>
      </c>
      <c r="V568" s="35">
        <f t="shared" si="466"/>
        <v>3.9911542793088508E-4</v>
      </c>
      <c r="W568" s="34">
        <f t="shared" si="467"/>
        <v>0</v>
      </c>
      <c r="X568" s="34">
        <f t="shared" si="468"/>
        <v>838800.0215581198</v>
      </c>
      <c r="Y568" s="36">
        <f t="shared" si="469"/>
        <v>-2.413336705363256E-3</v>
      </c>
      <c r="Z568" s="34">
        <f t="shared" si="470"/>
        <v>-2024.306880485701</v>
      </c>
      <c r="AA568" s="34">
        <f t="shared" si="471"/>
        <v>837787.86811787693</v>
      </c>
      <c r="AB568" s="34">
        <f t="shared" si="472"/>
        <v>0</v>
      </c>
      <c r="AC568" s="34">
        <f t="shared" si="473"/>
        <v>0</v>
      </c>
      <c r="AD568" s="34">
        <f t="shared" si="474"/>
        <v>0</v>
      </c>
      <c r="AE568" s="34">
        <f t="shared" si="475"/>
        <v>0</v>
      </c>
      <c r="AF568" s="34">
        <f t="shared" si="476"/>
        <v>0</v>
      </c>
      <c r="AG568" s="29">
        <f t="shared" si="477"/>
        <v>837787.86811787693</v>
      </c>
      <c r="AH568" s="34">
        <f t="shared" si="478"/>
        <v>0</v>
      </c>
      <c r="AI568" s="34">
        <f t="shared" si="479"/>
        <v>0</v>
      </c>
      <c r="AJ568" s="34">
        <f t="shared" si="480"/>
        <v>0</v>
      </c>
      <c r="AK568" s="34">
        <f t="shared" si="481"/>
        <v>0</v>
      </c>
      <c r="AL568" s="34">
        <f t="shared" si="482"/>
        <v>0</v>
      </c>
      <c r="AM568" s="34">
        <f t="shared" si="483"/>
        <v>0</v>
      </c>
      <c r="AN568" s="34">
        <f t="shared" si="484"/>
        <v>0</v>
      </c>
      <c r="AO568" s="34">
        <f t="shared" si="485"/>
        <v>0</v>
      </c>
      <c r="AP568" s="34">
        <f t="shared" si="486"/>
        <v>0</v>
      </c>
      <c r="AQ568" s="34">
        <f t="shared" si="487"/>
        <v>0</v>
      </c>
      <c r="AR568" s="34">
        <f t="shared" si="488"/>
        <v>0</v>
      </c>
      <c r="AS568" s="30">
        <f t="shared" si="489"/>
        <v>1.5962634432499652</v>
      </c>
      <c r="AT568" s="29">
        <f t="shared" si="490"/>
        <v>0</v>
      </c>
      <c r="AU568" s="29">
        <f t="shared" si="491"/>
        <v>0</v>
      </c>
      <c r="AV568" s="34">
        <f t="shared" si="492"/>
        <v>0</v>
      </c>
      <c r="AW568" s="34">
        <f t="shared" si="493"/>
        <v>0</v>
      </c>
      <c r="AX568" s="29">
        <f t="shared" si="494"/>
        <v>0</v>
      </c>
      <c r="AY568" s="34">
        <f t="shared" si="495"/>
        <v>0</v>
      </c>
      <c r="AZ568" s="37">
        <f t="shared" si="496"/>
        <v>0</v>
      </c>
      <c r="BA568" s="37">
        <f t="shared" si="497"/>
        <v>0</v>
      </c>
      <c r="BB568" s="35">
        <f t="shared" si="498"/>
        <v>9.7640603497550771E-4</v>
      </c>
      <c r="BC568" s="31">
        <f t="shared" si="499"/>
        <v>0.57670504599960148</v>
      </c>
      <c r="BD568" s="34">
        <f t="shared" si="500"/>
        <v>0</v>
      </c>
    </row>
    <row r="569" spans="1:56" x14ac:dyDescent="0.2">
      <c r="A569" s="27">
        <f t="shared" si="501"/>
        <v>565</v>
      </c>
      <c r="B569" s="28">
        <f t="shared" si="448"/>
        <v>565</v>
      </c>
      <c r="C569" s="27">
        <f t="shared" si="449"/>
        <v>47</v>
      </c>
      <c r="D569" s="28">
        <f t="shared" si="450"/>
        <v>67</v>
      </c>
      <c r="E569" s="29">
        <f t="shared" si="451"/>
        <v>0</v>
      </c>
      <c r="F569" s="30">
        <f t="shared" si="452"/>
        <v>4.3453082705329554E-3</v>
      </c>
      <c r="G569" s="31">
        <f t="shared" si="453"/>
        <v>3.6283220720989551E-4</v>
      </c>
      <c r="H569" s="32">
        <f t="shared" si="454"/>
        <v>0.02</v>
      </c>
      <c r="I569" s="32">
        <f t="shared" si="455"/>
        <v>0</v>
      </c>
      <c r="J569" s="33">
        <f t="shared" si="502"/>
        <v>0</v>
      </c>
      <c r="K569" s="30">
        <f t="shared" si="456"/>
        <v>0</v>
      </c>
      <c r="L569" s="33">
        <f t="shared" si="457"/>
        <v>0</v>
      </c>
      <c r="M569" s="30">
        <f t="shared" si="458"/>
        <v>0</v>
      </c>
      <c r="N569" s="33">
        <f t="shared" si="459"/>
        <v>0</v>
      </c>
      <c r="O569" s="31">
        <f t="shared" si="460"/>
        <v>0</v>
      </c>
      <c r="P569" s="33">
        <f t="shared" si="461"/>
        <v>0</v>
      </c>
      <c r="Q569" s="34">
        <f t="shared" si="503"/>
        <v>836775.71467763407</v>
      </c>
      <c r="R569" s="29">
        <f t="shared" si="462"/>
        <v>0</v>
      </c>
      <c r="S569" s="34">
        <f t="shared" si="463"/>
        <v>836775.71467763407</v>
      </c>
      <c r="T569" s="29">
        <f t="shared" si="464"/>
        <v>697.31309556469512</v>
      </c>
      <c r="U569" s="29">
        <f t="shared" si="465"/>
        <v>0</v>
      </c>
      <c r="V569" s="35">
        <f t="shared" si="466"/>
        <v>3.9911542793088508E-4</v>
      </c>
      <c r="W569" s="34">
        <f t="shared" si="467"/>
        <v>0</v>
      </c>
      <c r="X569" s="34">
        <f t="shared" si="468"/>
        <v>836078.40158206935</v>
      </c>
      <c r="Y569" s="36">
        <f t="shared" si="469"/>
        <v>-4.5570457970884881E-3</v>
      </c>
      <c r="Z569" s="34">
        <f t="shared" si="470"/>
        <v>-3810.0475659660301</v>
      </c>
      <c r="AA569" s="34">
        <f t="shared" si="471"/>
        <v>834173.37779908627</v>
      </c>
      <c r="AB569" s="34">
        <f t="shared" si="472"/>
        <v>0</v>
      </c>
      <c r="AC569" s="34">
        <f t="shared" si="473"/>
        <v>0</v>
      </c>
      <c r="AD569" s="34">
        <f t="shared" si="474"/>
        <v>0</v>
      </c>
      <c r="AE569" s="34">
        <f t="shared" si="475"/>
        <v>0</v>
      </c>
      <c r="AF569" s="34">
        <f t="shared" si="476"/>
        <v>0</v>
      </c>
      <c r="AG569" s="29">
        <f t="shared" si="477"/>
        <v>834173.37779908627</v>
      </c>
      <c r="AH569" s="34">
        <f t="shared" si="478"/>
        <v>0</v>
      </c>
      <c r="AI569" s="34">
        <f t="shared" si="479"/>
        <v>0</v>
      </c>
      <c r="AJ569" s="34">
        <f t="shared" si="480"/>
        <v>0</v>
      </c>
      <c r="AK569" s="34">
        <f t="shared" si="481"/>
        <v>0</v>
      </c>
      <c r="AL569" s="34">
        <f t="shared" si="482"/>
        <v>0</v>
      </c>
      <c r="AM569" s="34">
        <f t="shared" si="483"/>
        <v>0</v>
      </c>
      <c r="AN569" s="34">
        <f t="shared" si="484"/>
        <v>0</v>
      </c>
      <c r="AO569" s="34">
        <f t="shared" si="485"/>
        <v>0</v>
      </c>
      <c r="AP569" s="34">
        <f t="shared" si="486"/>
        <v>0</v>
      </c>
      <c r="AQ569" s="34">
        <f t="shared" si="487"/>
        <v>0</v>
      </c>
      <c r="AR569" s="34">
        <f t="shared" si="488"/>
        <v>0</v>
      </c>
      <c r="AS569" s="30">
        <f t="shared" si="489"/>
        <v>1.5975876046166788</v>
      </c>
      <c r="AT569" s="29">
        <f t="shared" si="490"/>
        <v>0</v>
      </c>
      <c r="AU569" s="29">
        <f t="shared" si="491"/>
        <v>0</v>
      </c>
      <c r="AV569" s="34">
        <f t="shared" si="492"/>
        <v>0</v>
      </c>
      <c r="AW569" s="34">
        <f t="shared" si="493"/>
        <v>0</v>
      </c>
      <c r="AX569" s="29">
        <f t="shared" si="494"/>
        <v>0</v>
      </c>
      <c r="AY569" s="34">
        <f t="shared" si="495"/>
        <v>0</v>
      </c>
      <c r="AZ569" s="37">
        <f t="shared" si="496"/>
        <v>0</v>
      </c>
      <c r="BA569" s="37">
        <f t="shared" si="497"/>
        <v>0</v>
      </c>
      <c r="BB569" s="35">
        <f t="shared" si="498"/>
        <v>9.7640603497550771E-4</v>
      </c>
      <c r="BC569" s="31">
        <f t="shared" si="499"/>
        <v>0.57614249698853581</v>
      </c>
      <c r="BD569" s="34">
        <f t="shared" si="500"/>
        <v>0</v>
      </c>
    </row>
    <row r="570" spans="1:56" x14ac:dyDescent="0.2">
      <c r="A570" s="27">
        <f t="shared" si="501"/>
        <v>566</v>
      </c>
      <c r="B570" s="28">
        <f t="shared" si="448"/>
        <v>566</v>
      </c>
      <c r="C570" s="27">
        <f t="shared" si="449"/>
        <v>47</v>
      </c>
      <c r="D570" s="28">
        <f t="shared" si="450"/>
        <v>67</v>
      </c>
      <c r="E570" s="29">
        <f t="shared" si="451"/>
        <v>0</v>
      </c>
      <c r="F570" s="30">
        <f t="shared" si="452"/>
        <v>4.3453082705329554E-3</v>
      </c>
      <c r="G570" s="31">
        <f t="shared" si="453"/>
        <v>3.6283220720989551E-4</v>
      </c>
      <c r="H570" s="32">
        <f t="shared" si="454"/>
        <v>0.02</v>
      </c>
      <c r="I570" s="32">
        <f t="shared" si="455"/>
        <v>0</v>
      </c>
      <c r="J570" s="33">
        <f t="shared" si="502"/>
        <v>0</v>
      </c>
      <c r="K570" s="30">
        <f t="shared" si="456"/>
        <v>0</v>
      </c>
      <c r="L570" s="33">
        <f t="shared" si="457"/>
        <v>0</v>
      </c>
      <c r="M570" s="30">
        <f t="shared" si="458"/>
        <v>0</v>
      </c>
      <c r="N570" s="33">
        <f t="shared" si="459"/>
        <v>0</v>
      </c>
      <c r="O570" s="31">
        <f t="shared" si="460"/>
        <v>0</v>
      </c>
      <c r="P570" s="33">
        <f t="shared" si="461"/>
        <v>0</v>
      </c>
      <c r="Q570" s="34">
        <f t="shared" si="503"/>
        <v>832268.35401610332</v>
      </c>
      <c r="R570" s="29">
        <f t="shared" si="462"/>
        <v>0</v>
      </c>
      <c r="S570" s="34">
        <f t="shared" si="463"/>
        <v>832268.35401610332</v>
      </c>
      <c r="T570" s="29">
        <f t="shared" si="464"/>
        <v>693.55696168008615</v>
      </c>
      <c r="U570" s="29">
        <f t="shared" si="465"/>
        <v>0</v>
      </c>
      <c r="V570" s="35">
        <f t="shared" si="466"/>
        <v>3.9911542793088508E-4</v>
      </c>
      <c r="W570" s="34">
        <f t="shared" si="467"/>
        <v>0</v>
      </c>
      <c r="X570" s="34">
        <f t="shared" si="468"/>
        <v>831574.79705442325</v>
      </c>
      <c r="Y570" s="36">
        <f t="shared" si="469"/>
        <v>5.8681603810519789E-3</v>
      </c>
      <c r="Z570" s="34">
        <f t="shared" si="470"/>
        <v>4879.8142779561067</v>
      </c>
      <c r="AA570" s="34">
        <f t="shared" si="471"/>
        <v>834014.70419340127</v>
      </c>
      <c r="AB570" s="34">
        <f t="shared" si="472"/>
        <v>0</v>
      </c>
      <c r="AC570" s="34">
        <f t="shared" si="473"/>
        <v>0</v>
      </c>
      <c r="AD570" s="34">
        <f t="shared" si="474"/>
        <v>0</v>
      </c>
      <c r="AE570" s="34">
        <f t="shared" si="475"/>
        <v>0</v>
      </c>
      <c r="AF570" s="34">
        <f t="shared" si="476"/>
        <v>0</v>
      </c>
      <c r="AG570" s="29">
        <f t="shared" si="477"/>
        <v>834014.70419340127</v>
      </c>
      <c r="AH570" s="34">
        <f t="shared" si="478"/>
        <v>0</v>
      </c>
      <c r="AI570" s="34">
        <f t="shared" si="479"/>
        <v>0</v>
      </c>
      <c r="AJ570" s="34">
        <f t="shared" si="480"/>
        <v>0</v>
      </c>
      <c r="AK570" s="34">
        <f t="shared" si="481"/>
        <v>0</v>
      </c>
      <c r="AL570" s="34">
        <f t="shared" si="482"/>
        <v>0</v>
      </c>
      <c r="AM570" s="34">
        <f t="shared" si="483"/>
        <v>0</v>
      </c>
      <c r="AN570" s="34">
        <f t="shared" si="484"/>
        <v>0</v>
      </c>
      <c r="AO570" s="34">
        <f t="shared" si="485"/>
        <v>0</v>
      </c>
      <c r="AP570" s="34">
        <f t="shared" si="486"/>
        <v>0</v>
      </c>
      <c r="AQ570" s="34">
        <f t="shared" si="487"/>
        <v>0</v>
      </c>
      <c r="AR570" s="34">
        <f t="shared" si="488"/>
        <v>0</v>
      </c>
      <c r="AS570" s="30">
        <f t="shared" si="489"/>
        <v>1.5989128644257153</v>
      </c>
      <c r="AT570" s="29">
        <f t="shared" si="490"/>
        <v>0</v>
      </c>
      <c r="AU570" s="29">
        <f t="shared" si="491"/>
        <v>0</v>
      </c>
      <c r="AV570" s="34">
        <f t="shared" si="492"/>
        <v>0</v>
      </c>
      <c r="AW570" s="34">
        <f t="shared" si="493"/>
        <v>0</v>
      </c>
      <c r="AX570" s="29">
        <f t="shared" si="494"/>
        <v>0</v>
      </c>
      <c r="AY570" s="34">
        <f t="shared" si="495"/>
        <v>0</v>
      </c>
      <c r="AZ570" s="37">
        <f t="shared" si="496"/>
        <v>0</v>
      </c>
      <c r="BA570" s="37">
        <f t="shared" si="497"/>
        <v>0</v>
      </c>
      <c r="BB570" s="35">
        <f t="shared" si="498"/>
        <v>9.7640603497550771E-4</v>
      </c>
      <c r="BC570" s="31">
        <f t="shared" si="499"/>
        <v>0.57558049671792633</v>
      </c>
      <c r="BD570" s="34">
        <f t="shared" si="500"/>
        <v>0</v>
      </c>
    </row>
    <row r="571" spans="1:56" x14ac:dyDescent="0.2">
      <c r="A571" s="27">
        <f t="shared" si="501"/>
        <v>567</v>
      </c>
      <c r="B571" s="28">
        <f t="shared" si="448"/>
        <v>567</v>
      </c>
      <c r="C571" s="27">
        <f t="shared" si="449"/>
        <v>47</v>
      </c>
      <c r="D571" s="28">
        <f t="shared" si="450"/>
        <v>67</v>
      </c>
      <c r="E571" s="29">
        <f t="shared" si="451"/>
        <v>0</v>
      </c>
      <c r="F571" s="30">
        <f t="shared" si="452"/>
        <v>4.3453082705329554E-3</v>
      </c>
      <c r="G571" s="31">
        <f t="shared" si="453"/>
        <v>3.6283220720989551E-4</v>
      </c>
      <c r="H571" s="32">
        <f t="shared" si="454"/>
        <v>0.02</v>
      </c>
      <c r="I571" s="32">
        <f t="shared" si="455"/>
        <v>0</v>
      </c>
      <c r="J571" s="33">
        <f t="shared" si="502"/>
        <v>0</v>
      </c>
      <c r="K571" s="30">
        <f t="shared" si="456"/>
        <v>0</v>
      </c>
      <c r="L571" s="33">
        <f t="shared" si="457"/>
        <v>0</v>
      </c>
      <c r="M571" s="30">
        <f t="shared" si="458"/>
        <v>0</v>
      </c>
      <c r="N571" s="33">
        <f t="shared" si="459"/>
        <v>0</v>
      </c>
      <c r="O571" s="31">
        <f t="shared" si="460"/>
        <v>0</v>
      </c>
      <c r="P571" s="33">
        <f t="shared" si="461"/>
        <v>0</v>
      </c>
      <c r="Q571" s="34">
        <f t="shared" si="503"/>
        <v>836454.6113323794</v>
      </c>
      <c r="R571" s="29">
        <f t="shared" si="462"/>
        <v>0</v>
      </c>
      <c r="S571" s="34">
        <f t="shared" si="463"/>
        <v>836454.6113323794</v>
      </c>
      <c r="T571" s="29">
        <f t="shared" si="464"/>
        <v>697.04550944364951</v>
      </c>
      <c r="U571" s="29">
        <f t="shared" si="465"/>
        <v>0</v>
      </c>
      <c r="V571" s="35">
        <f t="shared" si="466"/>
        <v>3.9911542793088508E-4</v>
      </c>
      <c r="W571" s="34">
        <f t="shared" si="467"/>
        <v>0</v>
      </c>
      <c r="X571" s="34">
        <f t="shared" si="468"/>
        <v>835757.56582293578</v>
      </c>
      <c r="Y571" s="36">
        <f t="shared" si="469"/>
        <v>-6.7084751714198143E-3</v>
      </c>
      <c r="Z571" s="34">
        <f t="shared" si="470"/>
        <v>-5606.6588796494261</v>
      </c>
      <c r="AA571" s="34">
        <f t="shared" si="471"/>
        <v>832954.2363831111</v>
      </c>
      <c r="AB571" s="34">
        <f t="shared" si="472"/>
        <v>0</v>
      </c>
      <c r="AC571" s="34">
        <f t="shared" si="473"/>
        <v>0</v>
      </c>
      <c r="AD571" s="34">
        <f t="shared" si="474"/>
        <v>0</v>
      </c>
      <c r="AE571" s="34">
        <f t="shared" si="475"/>
        <v>0</v>
      </c>
      <c r="AF571" s="34">
        <f t="shared" si="476"/>
        <v>0</v>
      </c>
      <c r="AG571" s="29">
        <f t="shared" si="477"/>
        <v>832954.2363831111</v>
      </c>
      <c r="AH571" s="34">
        <f t="shared" si="478"/>
        <v>0</v>
      </c>
      <c r="AI571" s="34">
        <f t="shared" si="479"/>
        <v>0</v>
      </c>
      <c r="AJ571" s="34">
        <f t="shared" si="480"/>
        <v>0</v>
      </c>
      <c r="AK571" s="34">
        <f t="shared" si="481"/>
        <v>0</v>
      </c>
      <c r="AL571" s="34">
        <f t="shared" si="482"/>
        <v>0</v>
      </c>
      <c r="AM571" s="34">
        <f t="shared" si="483"/>
        <v>0</v>
      </c>
      <c r="AN571" s="34">
        <f t="shared" si="484"/>
        <v>0</v>
      </c>
      <c r="AO571" s="34">
        <f t="shared" si="485"/>
        <v>0</v>
      </c>
      <c r="AP571" s="34">
        <f t="shared" si="486"/>
        <v>0</v>
      </c>
      <c r="AQ571" s="34">
        <f t="shared" si="487"/>
        <v>0</v>
      </c>
      <c r="AR571" s="34">
        <f t="shared" si="488"/>
        <v>0</v>
      </c>
      <c r="AS571" s="30">
        <f t="shared" si="489"/>
        <v>1.6002392235882752</v>
      </c>
      <c r="AT571" s="29">
        <f t="shared" si="490"/>
        <v>0</v>
      </c>
      <c r="AU571" s="29">
        <f t="shared" si="491"/>
        <v>0</v>
      </c>
      <c r="AV571" s="34">
        <f t="shared" si="492"/>
        <v>0</v>
      </c>
      <c r="AW571" s="34">
        <f t="shared" si="493"/>
        <v>0</v>
      </c>
      <c r="AX571" s="29">
        <f t="shared" si="494"/>
        <v>0</v>
      </c>
      <c r="AY571" s="34">
        <f t="shared" si="495"/>
        <v>0</v>
      </c>
      <c r="AZ571" s="37">
        <f t="shared" si="496"/>
        <v>0</v>
      </c>
      <c r="BA571" s="37">
        <f t="shared" si="497"/>
        <v>0</v>
      </c>
      <c r="BB571" s="35">
        <f t="shared" si="498"/>
        <v>9.7640603497550771E-4</v>
      </c>
      <c r="BC571" s="31">
        <f t="shared" si="499"/>
        <v>0.57501904465250198</v>
      </c>
      <c r="BD571" s="34">
        <f t="shared" si="500"/>
        <v>0</v>
      </c>
    </row>
    <row r="572" spans="1:56" x14ac:dyDescent="0.2">
      <c r="A572" s="27">
        <f t="shared" si="501"/>
        <v>568</v>
      </c>
      <c r="B572" s="28">
        <f t="shared" si="448"/>
        <v>568</v>
      </c>
      <c r="C572" s="27">
        <f t="shared" si="449"/>
        <v>47</v>
      </c>
      <c r="D572" s="28">
        <f t="shared" si="450"/>
        <v>67</v>
      </c>
      <c r="E572" s="29">
        <f t="shared" si="451"/>
        <v>0</v>
      </c>
      <c r="F572" s="30">
        <f t="shared" si="452"/>
        <v>4.3453082705329554E-3</v>
      </c>
      <c r="G572" s="31">
        <f t="shared" si="453"/>
        <v>3.6283220720989551E-4</v>
      </c>
      <c r="H572" s="32">
        <f t="shared" si="454"/>
        <v>0.02</v>
      </c>
      <c r="I572" s="32">
        <f t="shared" si="455"/>
        <v>0</v>
      </c>
      <c r="J572" s="33">
        <f t="shared" si="502"/>
        <v>0</v>
      </c>
      <c r="K572" s="30">
        <f t="shared" si="456"/>
        <v>0</v>
      </c>
      <c r="L572" s="33">
        <f t="shared" si="457"/>
        <v>0</v>
      </c>
      <c r="M572" s="30">
        <f t="shared" si="458"/>
        <v>0</v>
      </c>
      <c r="N572" s="33">
        <f t="shared" si="459"/>
        <v>0</v>
      </c>
      <c r="O572" s="31">
        <f t="shared" si="460"/>
        <v>0</v>
      </c>
      <c r="P572" s="33">
        <f t="shared" si="461"/>
        <v>0</v>
      </c>
      <c r="Q572" s="34">
        <f t="shared" si="503"/>
        <v>830150.9069432863</v>
      </c>
      <c r="R572" s="29">
        <f t="shared" si="462"/>
        <v>0</v>
      </c>
      <c r="S572" s="34">
        <f t="shared" si="463"/>
        <v>830150.9069432863</v>
      </c>
      <c r="T572" s="29">
        <f t="shared" si="464"/>
        <v>691.79242245273861</v>
      </c>
      <c r="U572" s="29">
        <f t="shared" si="465"/>
        <v>0</v>
      </c>
      <c r="V572" s="35">
        <f t="shared" si="466"/>
        <v>3.9911542793088508E-4</v>
      </c>
      <c r="W572" s="34">
        <f t="shared" si="467"/>
        <v>0</v>
      </c>
      <c r="X572" s="34">
        <f t="shared" si="468"/>
        <v>829459.11452083359</v>
      </c>
      <c r="Y572" s="36">
        <f t="shared" si="469"/>
        <v>7.7138467271817834E-3</v>
      </c>
      <c r="Z572" s="34">
        <f t="shared" si="470"/>
        <v>6398.3204758776319</v>
      </c>
      <c r="AA572" s="34">
        <f t="shared" si="471"/>
        <v>832658.27475877246</v>
      </c>
      <c r="AB572" s="34">
        <f t="shared" si="472"/>
        <v>0</v>
      </c>
      <c r="AC572" s="34">
        <f t="shared" si="473"/>
        <v>0</v>
      </c>
      <c r="AD572" s="34">
        <f t="shared" si="474"/>
        <v>0</v>
      </c>
      <c r="AE572" s="34">
        <f t="shared" si="475"/>
        <v>0</v>
      </c>
      <c r="AF572" s="34">
        <f t="shared" si="476"/>
        <v>0</v>
      </c>
      <c r="AG572" s="29">
        <f t="shared" si="477"/>
        <v>832658.27475877246</v>
      </c>
      <c r="AH572" s="34">
        <f t="shared" si="478"/>
        <v>0</v>
      </c>
      <c r="AI572" s="34">
        <f t="shared" si="479"/>
        <v>0</v>
      </c>
      <c r="AJ572" s="34">
        <f t="shared" si="480"/>
        <v>0</v>
      </c>
      <c r="AK572" s="34">
        <f t="shared" si="481"/>
        <v>0</v>
      </c>
      <c r="AL572" s="34">
        <f t="shared" si="482"/>
        <v>0</v>
      </c>
      <c r="AM572" s="34">
        <f t="shared" si="483"/>
        <v>0</v>
      </c>
      <c r="AN572" s="34">
        <f t="shared" si="484"/>
        <v>0</v>
      </c>
      <c r="AO572" s="34">
        <f t="shared" si="485"/>
        <v>0</v>
      </c>
      <c r="AP572" s="34">
        <f t="shared" si="486"/>
        <v>0</v>
      </c>
      <c r="AQ572" s="34">
        <f t="shared" si="487"/>
        <v>0</v>
      </c>
      <c r="AR572" s="34">
        <f t="shared" si="488"/>
        <v>0</v>
      </c>
      <c r="AS572" s="30">
        <f t="shared" si="489"/>
        <v>1.6015666830163136</v>
      </c>
      <c r="AT572" s="29">
        <f t="shared" si="490"/>
        <v>0</v>
      </c>
      <c r="AU572" s="29">
        <f t="shared" si="491"/>
        <v>0</v>
      </c>
      <c r="AV572" s="34">
        <f t="shared" si="492"/>
        <v>0</v>
      </c>
      <c r="AW572" s="34">
        <f t="shared" si="493"/>
        <v>0</v>
      </c>
      <c r="AX572" s="29">
        <f t="shared" si="494"/>
        <v>0</v>
      </c>
      <c r="AY572" s="34">
        <f t="shared" si="495"/>
        <v>0</v>
      </c>
      <c r="AZ572" s="37">
        <f t="shared" si="496"/>
        <v>0</v>
      </c>
      <c r="BA572" s="37">
        <f t="shared" si="497"/>
        <v>0</v>
      </c>
      <c r="BB572" s="35">
        <f t="shared" si="498"/>
        <v>9.7640603497550771E-4</v>
      </c>
      <c r="BC572" s="31">
        <f t="shared" si="499"/>
        <v>0.57445814025751352</v>
      </c>
      <c r="BD572" s="34">
        <f t="shared" si="500"/>
        <v>0</v>
      </c>
    </row>
    <row r="573" spans="1:56" x14ac:dyDescent="0.2">
      <c r="A573" s="27">
        <f t="shared" si="501"/>
        <v>569</v>
      </c>
      <c r="B573" s="28">
        <f t="shared" si="448"/>
        <v>569</v>
      </c>
      <c r="C573" s="27">
        <f t="shared" si="449"/>
        <v>47</v>
      </c>
      <c r="D573" s="28">
        <f t="shared" si="450"/>
        <v>67</v>
      </c>
      <c r="E573" s="29">
        <f t="shared" si="451"/>
        <v>0</v>
      </c>
      <c r="F573" s="30">
        <f t="shared" si="452"/>
        <v>4.3453082705329554E-3</v>
      </c>
      <c r="G573" s="31">
        <f t="shared" si="453"/>
        <v>3.6283220720989551E-4</v>
      </c>
      <c r="H573" s="32">
        <f t="shared" si="454"/>
        <v>0.02</v>
      </c>
      <c r="I573" s="32">
        <f t="shared" si="455"/>
        <v>0</v>
      </c>
      <c r="J573" s="33">
        <f t="shared" si="502"/>
        <v>0</v>
      </c>
      <c r="K573" s="30">
        <f t="shared" si="456"/>
        <v>0</v>
      </c>
      <c r="L573" s="33">
        <f t="shared" si="457"/>
        <v>0</v>
      </c>
      <c r="M573" s="30">
        <f t="shared" si="458"/>
        <v>0</v>
      </c>
      <c r="N573" s="33">
        <f t="shared" si="459"/>
        <v>0</v>
      </c>
      <c r="O573" s="31">
        <f t="shared" si="460"/>
        <v>0</v>
      </c>
      <c r="P573" s="33">
        <f t="shared" si="461"/>
        <v>0</v>
      </c>
      <c r="Q573" s="34">
        <f t="shared" si="503"/>
        <v>835857.43499671121</v>
      </c>
      <c r="R573" s="29">
        <f t="shared" si="462"/>
        <v>0</v>
      </c>
      <c r="S573" s="34">
        <f t="shared" si="463"/>
        <v>835857.43499671121</v>
      </c>
      <c r="T573" s="29">
        <f t="shared" si="464"/>
        <v>696.54786249725942</v>
      </c>
      <c r="U573" s="29">
        <f t="shared" si="465"/>
        <v>0</v>
      </c>
      <c r="V573" s="35">
        <f t="shared" si="466"/>
        <v>3.9911542793088508E-4</v>
      </c>
      <c r="W573" s="34">
        <f t="shared" si="467"/>
        <v>0</v>
      </c>
      <c r="X573" s="34">
        <f t="shared" si="468"/>
        <v>835160.88713421393</v>
      </c>
      <c r="Y573" s="36">
        <f t="shared" si="469"/>
        <v>8.2722710873015526E-3</v>
      </c>
      <c r="Z573" s="34">
        <f t="shared" si="470"/>
        <v>6908.6772598854732</v>
      </c>
      <c r="AA573" s="34">
        <f t="shared" si="471"/>
        <v>838615.22576415667</v>
      </c>
      <c r="AB573" s="34">
        <f t="shared" si="472"/>
        <v>0</v>
      </c>
      <c r="AC573" s="34">
        <f t="shared" si="473"/>
        <v>0</v>
      </c>
      <c r="AD573" s="34">
        <f t="shared" si="474"/>
        <v>0</v>
      </c>
      <c r="AE573" s="34">
        <f t="shared" si="475"/>
        <v>0</v>
      </c>
      <c r="AF573" s="34">
        <f t="shared" si="476"/>
        <v>0</v>
      </c>
      <c r="AG573" s="29">
        <f t="shared" si="477"/>
        <v>838615.22576415667</v>
      </c>
      <c r="AH573" s="34">
        <f t="shared" si="478"/>
        <v>0</v>
      </c>
      <c r="AI573" s="34">
        <f t="shared" si="479"/>
        <v>0</v>
      </c>
      <c r="AJ573" s="34">
        <f t="shared" si="480"/>
        <v>0</v>
      </c>
      <c r="AK573" s="34">
        <f t="shared" si="481"/>
        <v>0</v>
      </c>
      <c r="AL573" s="34">
        <f t="shared" si="482"/>
        <v>0</v>
      </c>
      <c r="AM573" s="34">
        <f t="shared" si="483"/>
        <v>0</v>
      </c>
      <c r="AN573" s="34">
        <f t="shared" si="484"/>
        <v>0</v>
      </c>
      <c r="AO573" s="34">
        <f t="shared" si="485"/>
        <v>0</v>
      </c>
      <c r="AP573" s="34">
        <f t="shared" si="486"/>
        <v>0</v>
      </c>
      <c r="AQ573" s="34">
        <f t="shared" si="487"/>
        <v>0</v>
      </c>
      <c r="AR573" s="34">
        <f t="shared" si="488"/>
        <v>0</v>
      </c>
      <c r="AS573" s="30">
        <f t="shared" si="489"/>
        <v>1.6028952436225425</v>
      </c>
      <c r="AT573" s="29">
        <f t="shared" si="490"/>
        <v>0</v>
      </c>
      <c r="AU573" s="29">
        <f t="shared" si="491"/>
        <v>0</v>
      </c>
      <c r="AV573" s="34">
        <f t="shared" si="492"/>
        <v>0</v>
      </c>
      <c r="AW573" s="34">
        <f t="shared" si="493"/>
        <v>0</v>
      </c>
      <c r="AX573" s="29">
        <f t="shared" si="494"/>
        <v>0</v>
      </c>
      <c r="AY573" s="34">
        <f t="shared" si="495"/>
        <v>0</v>
      </c>
      <c r="AZ573" s="37">
        <f t="shared" si="496"/>
        <v>0</v>
      </c>
      <c r="BA573" s="37">
        <f t="shared" si="497"/>
        <v>0</v>
      </c>
      <c r="BB573" s="35">
        <f t="shared" si="498"/>
        <v>9.7640603497550771E-4</v>
      </c>
      <c r="BC573" s="31">
        <f t="shared" si="499"/>
        <v>0.5738977829987344</v>
      </c>
      <c r="BD573" s="34">
        <f t="shared" si="500"/>
        <v>0</v>
      </c>
    </row>
    <row r="574" spans="1:56" x14ac:dyDescent="0.2">
      <c r="A574" s="27">
        <f t="shared" si="501"/>
        <v>570</v>
      </c>
      <c r="B574" s="28">
        <f t="shared" si="448"/>
        <v>570</v>
      </c>
      <c r="C574" s="27">
        <f t="shared" si="449"/>
        <v>47</v>
      </c>
      <c r="D574" s="28">
        <f t="shared" si="450"/>
        <v>67</v>
      </c>
      <c r="E574" s="29">
        <f t="shared" si="451"/>
        <v>0</v>
      </c>
      <c r="F574" s="30">
        <f t="shared" si="452"/>
        <v>4.3453082705329554E-3</v>
      </c>
      <c r="G574" s="31">
        <f t="shared" si="453"/>
        <v>3.6283220720989551E-4</v>
      </c>
      <c r="H574" s="32">
        <f t="shared" si="454"/>
        <v>0.02</v>
      </c>
      <c r="I574" s="32">
        <f t="shared" si="455"/>
        <v>0</v>
      </c>
      <c r="J574" s="33">
        <f t="shared" si="502"/>
        <v>0</v>
      </c>
      <c r="K574" s="30">
        <f t="shared" si="456"/>
        <v>0</v>
      </c>
      <c r="L574" s="33">
        <f t="shared" si="457"/>
        <v>0</v>
      </c>
      <c r="M574" s="30">
        <f t="shared" si="458"/>
        <v>0</v>
      </c>
      <c r="N574" s="33">
        <f t="shared" si="459"/>
        <v>0</v>
      </c>
      <c r="O574" s="31">
        <f t="shared" si="460"/>
        <v>0</v>
      </c>
      <c r="P574" s="33">
        <f t="shared" si="461"/>
        <v>0</v>
      </c>
      <c r="Q574" s="34">
        <f t="shared" si="503"/>
        <v>842069.56439409941</v>
      </c>
      <c r="R574" s="29">
        <f t="shared" si="462"/>
        <v>0</v>
      </c>
      <c r="S574" s="34">
        <f t="shared" si="463"/>
        <v>842069.56439409941</v>
      </c>
      <c r="T574" s="29">
        <f t="shared" si="464"/>
        <v>701.72463699508285</v>
      </c>
      <c r="U574" s="29">
        <f t="shared" si="465"/>
        <v>0</v>
      </c>
      <c r="V574" s="35">
        <f t="shared" si="466"/>
        <v>3.9911542793088508E-4</v>
      </c>
      <c r="W574" s="34">
        <f t="shared" si="467"/>
        <v>0</v>
      </c>
      <c r="X574" s="34">
        <f t="shared" si="468"/>
        <v>841367.83975710429</v>
      </c>
      <c r="Y574" s="36">
        <f t="shared" si="469"/>
        <v>-7.1164380819234152E-3</v>
      </c>
      <c r="Z574" s="34">
        <f t="shared" si="470"/>
        <v>-5987.542135753095</v>
      </c>
      <c r="AA574" s="34">
        <f t="shared" si="471"/>
        <v>838374.06868922769</v>
      </c>
      <c r="AB574" s="34">
        <f t="shared" si="472"/>
        <v>0</v>
      </c>
      <c r="AC574" s="34">
        <f t="shared" si="473"/>
        <v>0</v>
      </c>
      <c r="AD574" s="34">
        <f t="shared" si="474"/>
        <v>0</v>
      </c>
      <c r="AE574" s="34">
        <f t="shared" si="475"/>
        <v>0</v>
      </c>
      <c r="AF574" s="34">
        <f t="shared" si="476"/>
        <v>0</v>
      </c>
      <c r="AG574" s="29">
        <f t="shared" si="477"/>
        <v>838374.06868922769</v>
      </c>
      <c r="AH574" s="34">
        <f t="shared" si="478"/>
        <v>0</v>
      </c>
      <c r="AI574" s="34">
        <f t="shared" si="479"/>
        <v>0</v>
      </c>
      <c r="AJ574" s="34">
        <f t="shared" si="480"/>
        <v>0</v>
      </c>
      <c r="AK574" s="34">
        <f t="shared" si="481"/>
        <v>0</v>
      </c>
      <c r="AL574" s="34">
        <f t="shared" si="482"/>
        <v>0</v>
      </c>
      <c r="AM574" s="34">
        <f t="shared" si="483"/>
        <v>0</v>
      </c>
      <c r="AN574" s="34">
        <f t="shared" si="484"/>
        <v>0</v>
      </c>
      <c r="AO574" s="34">
        <f t="shared" si="485"/>
        <v>0</v>
      </c>
      <c r="AP574" s="34">
        <f t="shared" si="486"/>
        <v>0</v>
      </c>
      <c r="AQ574" s="34">
        <f t="shared" si="487"/>
        <v>0</v>
      </c>
      <c r="AR574" s="34">
        <f t="shared" si="488"/>
        <v>0</v>
      </c>
      <c r="AS574" s="30">
        <f t="shared" si="489"/>
        <v>1.6042249063204317</v>
      </c>
      <c r="AT574" s="29">
        <f t="shared" si="490"/>
        <v>0</v>
      </c>
      <c r="AU574" s="29">
        <f t="shared" si="491"/>
        <v>0</v>
      </c>
      <c r="AV574" s="34">
        <f t="shared" si="492"/>
        <v>0</v>
      </c>
      <c r="AW574" s="34">
        <f t="shared" si="493"/>
        <v>0</v>
      </c>
      <c r="AX574" s="29">
        <f t="shared" si="494"/>
        <v>0</v>
      </c>
      <c r="AY574" s="34">
        <f t="shared" si="495"/>
        <v>0</v>
      </c>
      <c r="AZ574" s="37">
        <f t="shared" si="496"/>
        <v>0</v>
      </c>
      <c r="BA574" s="37">
        <f t="shared" si="497"/>
        <v>0</v>
      </c>
      <c r="BB574" s="35">
        <f t="shared" si="498"/>
        <v>9.7640603497550771E-4</v>
      </c>
      <c r="BC574" s="31">
        <f t="shared" si="499"/>
        <v>0.57333797234245876</v>
      </c>
      <c r="BD574" s="34">
        <f t="shared" si="500"/>
        <v>0</v>
      </c>
    </row>
    <row r="575" spans="1:56" x14ac:dyDescent="0.2">
      <c r="A575" s="27">
        <f t="shared" si="501"/>
        <v>571</v>
      </c>
      <c r="B575" s="28">
        <f t="shared" si="448"/>
        <v>571</v>
      </c>
      <c r="C575" s="27">
        <f t="shared" si="449"/>
        <v>47</v>
      </c>
      <c r="D575" s="28">
        <f t="shared" si="450"/>
        <v>67</v>
      </c>
      <c r="E575" s="29">
        <f t="shared" si="451"/>
        <v>0</v>
      </c>
      <c r="F575" s="30">
        <f t="shared" si="452"/>
        <v>4.3453082705329554E-3</v>
      </c>
      <c r="G575" s="31">
        <f t="shared" si="453"/>
        <v>3.6283220720989551E-4</v>
      </c>
      <c r="H575" s="32">
        <f t="shared" si="454"/>
        <v>0.02</v>
      </c>
      <c r="I575" s="32">
        <f t="shared" si="455"/>
        <v>0</v>
      </c>
      <c r="J575" s="33">
        <f t="shared" si="502"/>
        <v>0</v>
      </c>
      <c r="K575" s="30">
        <f t="shared" si="456"/>
        <v>0</v>
      </c>
      <c r="L575" s="33">
        <f t="shared" si="457"/>
        <v>0</v>
      </c>
      <c r="M575" s="30">
        <f t="shared" si="458"/>
        <v>0</v>
      </c>
      <c r="N575" s="33">
        <f t="shared" si="459"/>
        <v>0</v>
      </c>
      <c r="O575" s="31">
        <f t="shared" si="460"/>
        <v>0</v>
      </c>
      <c r="P575" s="33">
        <f t="shared" si="461"/>
        <v>0</v>
      </c>
      <c r="Q575" s="34">
        <f t="shared" si="503"/>
        <v>835380.2976213512</v>
      </c>
      <c r="R575" s="29">
        <f t="shared" si="462"/>
        <v>0</v>
      </c>
      <c r="S575" s="34">
        <f t="shared" si="463"/>
        <v>835380.2976213512</v>
      </c>
      <c r="T575" s="29">
        <f t="shared" si="464"/>
        <v>696.15024801779271</v>
      </c>
      <c r="U575" s="29">
        <f t="shared" si="465"/>
        <v>0</v>
      </c>
      <c r="V575" s="35">
        <f t="shared" si="466"/>
        <v>3.9911542793088508E-4</v>
      </c>
      <c r="W575" s="34">
        <f t="shared" si="467"/>
        <v>0</v>
      </c>
      <c r="X575" s="34">
        <f t="shared" si="468"/>
        <v>834684.14737333346</v>
      </c>
      <c r="Y575" s="36">
        <f t="shared" si="469"/>
        <v>3.68556843664547E-3</v>
      </c>
      <c r="Z575" s="34">
        <f t="shared" si="470"/>
        <v>3076.2855481274937</v>
      </c>
      <c r="AA575" s="34">
        <f t="shared" si="471"/>
        <v>836222.2901473972</v>
      </c>
      <c r="AB575" s="34">
        <f t="shared" si="472"/>
        <v>0</v>
      </c>
      <c r="AC575" s="34">
        <f t="shared" si="473"/>
        <v>0</v>
      </c>
      <c r="AD575" s="34">
        <f t="shared" si="474"/>
        <v>0</v>
      </c>
      <c r="AE575" s="34">
        <f t="shared" si="475"/>
        <v>0</v>
      </c>
      <c r="AF575" s="34">
        <f t="shared" si="476"/>
        <v>0</v>
      </c>
      <c r="AG575" s="29">
        <f t="shared" si="477"/>
        <v>836222.2901473972</v>
      </c>
      <c r="AH575" s="34">
        <f t="shared" si="478"/>
        <v>0</v>
      </c>
      <c r="AI575" s="34">
        <f t="shared" si="479"/>
        <v>0</v>
      </c>
      <c r="AJ575" s="34">
        <f t="shared" si="480"/>
        <v>0</v>
      </c>
      <c r="AK575" s="34">
        <f t="shared" si="481"/>
        <v>0</v>
      </c>
      <c r="AL575" s="34">
        <f t="shared" si="482"/>
        <v>0</v>
      </c>
      <c r="AM575" s="34">
        <f t="shared" si="483"/>
        <v>0</v>
      </c>
      <c r="AN575" s="34">
        <f t="shared" si="484"/>
        <v>0</v>
      </c>
      <c r="AO575" s="34">
        <f t="shared" si="485"/>
        <v>0</v>
      </c>
      <c r="AP575" s="34">
        <f t="shared" si="486"/>
        <v>0</v>
      </c>
      <c r="AQ575" s="34">
        <f t="shared" si="487"/>
        <v>0</v>
      </c>
      <c r="AR575" s="34">
        <f t="shared" si="488"/>
        <v>0</v>
      </c>
      <c r="AS575" s="30">
        <f t="shared" si="489"/>
        <v>1.6055556720242081</v>
      </c>
      <c r="AT575" s="29">
        <f t="shared" si="490"/>
        <v>0</v>
      </c>
      <c r="AU575" s="29">
        <f t="shared" si="491"/>
        <v>0</v>
      </c>
      <c r="AV575" s="34">
        <f t="shared" si="492"/>
        <v>0</v>
      </c>
      <c r="AW575" s="34">
        <f t="shared" si="493"/>
        <v>0</v>
      </c>
      <c r="AX575" s="29">
        <f t="shared" si="494"/>
        <v>0</v>
      </c>
      <c r="AY575" s="34">
        <f t="shared" si="495"/>
        <v>0</v>
      </c>
      <c r="AZ575" s="37">
        <f t="shared" si="496"/>
        <v>0</v>
      </c>
      <c r="BA575" s="37">
        <f t="shared" si="497"/>
        <v>0</v>
      </c>
      <c r="BB575" s="35">
        <f t="shared" si="498"/>
        <v>9.7640603497550771E-4</v>
      </c>
      <c r="BC575" s="31">
        <f t="shared" si="499"/>
        <v>0.57277870775550088</v>
      </c>
      <c r="BD575" s="34">
        <f t="shared" si="500"/>
        <v>0</v>
      </c>
    </row>
    <row r="576" spans="1:56" x14ac:dyDescent="0.2">
      <c r="A576" s="27">
        <f t="shared" si="501"/>
        <v>572</v>
      </c>
      <c r="B576" s="28">
        <f t="shared" si="448"/>
        <v>572</v>
      </c>
      <c r="C576" s="27">
        <f t="shared" si="449"/>
        <v>47</v>
      </c>
      <c r="D576" s="28">
        <f t="shared" si="450"/>
        <v>67</v>
      </c>
      <c r="E576" s="29">
        <f t="shared" si="451"/>
        <v>0</v>
      </c>
      <c r="F576" s="30">
        <f t="shared" si="452"/>
        <v>4.3453082705329554E-3</v>
      </c>
      <c r="G576" s="31">
        <f t="shared" si="453"/>
        <v>3.6283220720989551E-4</v>
      </c>
      <c r="H576" s="32">
        <f t="shared" si="454"/>
        <v>0.02</v>
      </c>
      <c r="I576" s="32">
        <f t="shared" si="455"/>
        <v>0</v>
      </c>
      <c r="J576" s="33">
        <f t="shared" si="502"/>
        <v>0</v>
      </c>
      <c r="K576" s="30">
        <f t="shared" si="456"/>
        <v>0</v>
      </c>
      <c r="L576" s="33">
        <f t="shared" si="457"/>
        <v>0</v>
      </c>
      <c r="M576" s="30">
        <f t="shared" si="458"/>
        <v>0</v>
      </c>
      <c r="N576" s="33">
        <f t="shared" si="459"/>
        <v>0</v>
      </c>
      <c r="O576" s="31">
        <f t="shared" si="460"/>
        <v>0</v>
      </c>
      <c r="P576" s="33">
        <f t="shared" si="461"/>
        <v>0</v>
      </c>
      <c r="Q576" s="34">
        <f t="shared" si="503"/>
        <v>837760.43292146095</v>
      </c>
      <c r="R576" s="29">
        <f t="shared" si="462"/>
        <v>0</v>
      </c>
      <c r="S576" s="34">
        <f t="shared" si="463"/>
        <v>837760.43292146095</v>
      </c>
      <c r="T576" s="29">
        <f t="shared" si="464"/>
        <v>698.13369410121754</v>
      </c>
      <c r="U576" s="29">
        <f t="shared" si="465"/>
        <v>0</v>
      </c>
      <c r="V576" s="35">
        <f t="shared" si="466"/>
        <v>3.9911542793088508E-4</v>
      </c>
      <c r="W576" s="34">
        <f t="shared" si="467"/>
        <v>0</v>
      </c>
      <c r="X576" s="34">
        <f t="shared" si="468"/>
        <v>837062.2992273597</v>
      </c>
      <c r="Y576" s="36">
        <f t="shared" si="469"/>
        <v>-5.9020536839886617E-3</v>
      </c>
      <c r="Z576" s="34">
        <f t="shared" si="470"/>
        <v>-4940.3866268828579</v>
      </c>
      <c r="AA576" s="34">
        <f t="shared" si="471"/>
        <v>834592.10591391823</v>
      </c>
      <c r="AB576" s="34">
        <f t="shared" si="472"/>
        <v>0</v>
      </c>
      <c r="AC576" s="34">
        <f t="shared" si="473"/>
        <v>0</v>
      </c>
      <c r="AD576" s="34">
        <f t="shared" si="474"/>
        <v>0</v>
      </c>
      <c r="AE576" s="34">
        <f t="shared" si="475"/>
        <v>0</v>
      </c>
      <c r="AF576" s="34">
        <f t="shared" si="476"/>
        <v>0</v>
      </c>
      <c r="AG576" s="29">
        <f t="shared" si="477"/>
        <v>834592.10591391823</v>
      </c>
      <c r="AH576" s="34">
        <f t="shared" si="478"/>
        <v>0</v>
      </c>
      <c r="AI576" s="34">
        <f t="shared" si="479"/>
        <v>0</v>
      </c>
      <c r="AJ576" s="34">
        <f t="shared" si="480"/>
        <v>0</v>
      </c>
      <c r="AK576" s="34">
        <f t="shared" si="481"/>
        <v>0</v>
      </c>
      <c r="AL576" s="34">
        <f t="shared" si="482"/>
        <v>0</v>
      </c>
      <c r="AM576" s="34">
        <f t="shared" si="483"/>
        <v>0</v>
      </c>
      <c r="AN576" s="34">
        <f t="shared" si="484"/>
        <v>0</v>
      </c>
      <c r="AO576" s="34">
        <f t="shared" si="485"/>
        <v>0</v>
      </c>
      <c r="AP576" s="34">
        <f t="shared" si="486"/>
        <v>0</v>
      </c>
      <c r="AQ576" s="34">
        <f t="shared" si="487"/>
        <v>0</v>
      </c>
      <c r="AR576" s="34">
        <f t="shared" si="488"/>
        <v>0</v>
      </c>
      <c r="AS576" s="30">
        <f t="shared" si="489"/>
        <v>1.6068875416488568</v>
      </c>
      <c r="AT576" s="29">
        <f t="shared" si="490"/>
        <v>0</v>
      </c>
      <c r="AU576" s="29">
        <f t="shared" si="491"/>
        <v>0</v>
      </c>
      <c r="AV576" s="34">
        <f t="shared" si="492"/>
        <v>0</v>
      </c>
      <c r="AW576" s="34">
        <f t="shared" si="493"/>
        <v>0</v>
      </c>
      <c r="AX576" s="29">
        <f t="shared" si="494"/>
        <v>0</v>
      </c>
      <c r="AY576" s="34">
        <f t="shared" si="495"/>
        <v>0</v>
      </c>
      <c r="AZ576" s="37">
        <f t="shared" si="496"/>
        <v>0</v>
      </c>
      <c r="BA576" s="37">
        <f t="shared" si="497"/>
        <v>0</v>
      </c>
      <c r="BB576" s="35">
        <f t="shared" si="498"/>
        <v>9.7640603497550771E-4</v>
      </c>
      <c r="BC576" s="31">
        <f t="shared" si="499"/>
        <v>0.57221998870519541</v>
      </c>
      <c r="BD576" s="34">
        <f t="shared" si="500"/>
        <v>0</v>
      </c>
    </row>
    <row r="577" spans="1:56" x14ac:dyDescent="0.2">
      <c r="A577" s="27">
        <f t="shared" si="501"/>
        <v>573</v>
      </c>
      <c r="B577" s="28">
        <f t="shared" si="448"/>
        <v>573</v>
      </c>
      <c r="C577" s="27">
        <f t="shared" si="449"/>
        <v>47</v>
      </c>
      <c r="D577" s="28">
        <f t="shared" si="450"/>
        <v>67</v>
      </c>
      <c r="E577" s="29">
        <f t="shared" si="451"/>
        <v>0</v>
      </c>
      <c r="F577" s="30">
        <f t="shared" si="452"/>
        <v>4.3453082705329554E-3</v>
      </c>
      <c r="G577" s="31">
        <f t="shared" si="453"/>
        <v>3.6283220720989551E-4</v>
      </c>
      <c r="H577" s="32">
        <f t="shared" si="454"/>
        <v>0.02</v>
      </c>
      <c r="I577" s="32">
        <f t="shared" si="455"/>
        <v>0</v>
      </c>
      <c r="J577" s="33">
        <f t="shared" si="502"/>
        <v>0</v>
      </c>
      <c r="K577" s="30">
        <f t="shared" si="456"/>
        <v>0</v>
      </c>
      <c r="L577" s="33">
        <f t="shared" si="457"/>
        <v>0</v>
      </c>
      <c r="M577" s="30">
        <f t="shared" si="458"/>
        <v>0</v>
      </c>
      <c r="N577" s="33">
        <f t="shared" si="459"/>
        <v>0</v>
      </c>
      <c r="O577" s="31">
        <f t="shared" si="460"/>
        <v>0</v>
      </c>
      <c r="P577" s="33">
        <f t="shared" si="461"/>
        <v>0</v>
      </c>
      <c r="Q577" s="34">
        <f t="shared" si="503"/>
        <v>832121.91260047688</v>
      </c>
      <c r="R577" s="29">
        <f t="shared" si="462"/>
        <v>0</v>
      </c>
      <c r="S577" s="34">
        <f t="shared" si="463"/>
        <v>832121.91260047688</v>
      </c>
      <c r="T577" s="29">
        <f t="shared" si="464"/>
        <v>693.43492716706407</v>
      </c>
      <c r="U577" s="29">
        <f t="shared" si="465"/>
        <v>0</v>
      </c>
      <c r="V577" s="35">
        <f t="shared" si="466"/>
        <v>3.9911542793088508E-4</v>
      </c>
      <c r="W577" s="34">
        <f t="shared" si="467"/>
        <v>0</v>
      </c>
      <c r="X577" s="34">
        <f t="shared" si="468"/>
        <v>831428.47767330986</v>
      </c>
      <c r="Y577" s="36">
        <f t="shared" si="469"/>
        <v>-1.0743914797784249E-2</v>
      </c>
      <c r="Z577" s="34">
        <f t="shared" si="470"/>
        <v>-8932.7967245735053</v>
      </c>
      <c r="AA577" s="34">
        <f t="shared" si="471"/>
        <v>826962.07931102312</v>
      </c>
      <c r="AB577" s="34">
        <f t="shared" si="472"/>
        <v>0</v>
      </c>
      <c r="AC577" s="34">
        <f t="shared" si="473"/>
        <v>0</v>
      </c>
      <c r="AD577" s="34">
        <f t="shared" si="474"/>
        <v>0</v>
      </c>
      <c r="AE577" s="34">
        <f t="shared" si="475"/>
        <v>0</v>
      </c>
      <c r="AF577" s="34">
        <f t="shared" si="476"/>
        <v>0</v>
      </c>
      <c r="AG577" s="29">
        <f t="shared" si="477"/>
        <v>826962.07931102312</v>
      </c>
      <c r="AH577" s="34">
        <f t="shared" si="478"/>
        <v>0</v>
      </c>
      <c r="AI577" s="34">
        <f t="shared" si="479"/>
        <v>0</v>
      </c>
      <c r="AJ577" s="34">
        <f t="shared" si="480"/>
        <v>0</v>
      </c>
      <c r="AK577" s="34">
        <f t="shared" si="481"/>
        <v>0</v>
      </c>
      <c r="AL577" s="34">
        <f t="shared" si="482"/>
        <v>0</v>
      </c>
      <c r="AM577" s="34">
        <f t="shared" si="483"/>
        <v>0</v>
      </c>
      <c r="AN577" s="34">
        <f t="shared" si="484"/>
        <v>0</v>
      </c>
      <c r="AO577" s="34">
        <f t="shared" si="485"/>
        <v>0</v>
      </c>
      <c r="AP577" s="34">
        <f t="shared" si="486"/>
        <v>0</v>
      </c>
      <c r="AQ577" s="34">
        <f t="shared" si="487"/>
        <v>0</v>
      </c>
      <c r="AR577" s="34">
        <f t="shared" si="488"/>
        <v>0</v>
      </c>
      <c r="AS577" s="30">
        <f t="shared" si="489"/>
        <v>1.6082205161101228</v>
      </c>
      <c r="AT577" s="29">
        <f t="shared" si="490"/>
        <v>0</v>
      </c>
      <c r="AU577" s="29">
        <f t="shared" si="491"/>
        <v>0</v>
      </c>
      <c r="AV577" s="34">
        <f t="shared" si="492"/>
        <v>0</v>
      </c>
      <c r="AW577" s="34">
        <f t="shared" si="493"/>
        <v>0</v>
      </c>
      <c r="AX577" s="29">
        <f t="shared" si="494"/>
        <v>0</v>
      </c>
      <c r="AY577" s="34">
        <f t="shared" si="495"/>
        <v>0</v>
      </c>
      <c r="AZ577" s="37">
        <f t="shared" si="496"/>
        <v>0</v>
      </c>
      <c r="BA577" s="37">
        <f t="shared" si="497"/>
        <v>0</v>
      </c>
      <c r="BB577" s="35">
        <f t="shared" si="498"/>
        <v>9.7640603497550771E-4</v>
      </c>
      <c r="BC577" s="31">
        <f t="shared" si="499"/>
        <v>0.57166181465939681</v>
      </c>
      <c r="BD577" s="34">
        <f t="shared" si="500"/>
        <v>0</v>
      </c>
    </row>
    <row r="578" spans="1:56" x14ac:dyDescent="0.2">
      <c r="A578" s="27">
        <f t="shared" si="501"/>
        <v>574</v>
      </c>
      <c r="B578" s="28">
        <f t="shared" si="448"/>
        <v>574</v>
      </c>
      <c r="C578" s="27">
        <f t="shared" si="449"/>
        <v>47</v>
      </c>
      <c r="D578" s="28">
        <f t="shared" si="450"/>
        <v>67</v>
      </c>
      <c r="E578" s="29">
        <f t="shared" si="451"/>
        <v>0</v>
      </c>
      <c r="F578" s="30">
        <f t="shared" si="452"/>
        <v>4.3453082705329554E-3</v>
      </c>
      <c r="G578" s="31">
        <f t="shared" si="453"/>
        <v>3.6283220720989551E-4</v>
      </c>
      <c r="H578" s="32">
        <f t="shared" si="454"/>
        <v>0.02</v>
      </c>
      <c r="I578" s="32">
        <f t="shared" si="455"/>
        <v>0</v>
      </c>
      <c r="J578" s="33">
        <f t="shared" si="502"/>
        <v>0</v>
      </c>
      <c r="K578" s="30">
        <f t="shared" si="456"/>
        <v>0</v>
      </c>
      <c r="L578" s="33">
        <f t="shared" si="457"/>
        <v>0</v>
      </c>
      <c r="M578" s="30">
        <f t="shared" si="458"/>
        <v>0</v>
      </c>
      <c r="N578" s="33">
        <f t="shared" si="459"/>
        <v>0</v>
      </c>
      <c r="O578" s="31">
        <f t="shared" si="460"/>
        <v>0</v>
      </c>
      <c r="P578" s="33">
        <f t="shared" si="461"/>
        <v>0</v>
      </c>
      <c r="Q578" s="34">
        <f t="shared" si="503"/>
        <v>822495.68094873638</v>
      </c>
      <c r="R578" s="29">
        <f t="shared" si="462"/>
        <v>0</v>
      </c>
      <c r="S578" s="34">
        <f t="shared" si="463"/>
        <v>822495.68094873638</v>
      </c>
      <c r="T578" s="29">
        <f t="shared" si="464"/>
        <v>685.41306745728036</v>
      </c>
      <c r="U578" s="29">
        <f t="shared" si="465"/>
        <v>0</v>
      </c>
      <c r="V578" s="35">
        <f t="shared" si="466"/>
        <v>3.9911542793088508E-4</v>
      </c>
      <c r="W578" s="34">
        <f t="shared" si="467"/>
        <v>0</v>
      </c>
      <c r="X578" s="34">
        <f t="shared" si="468"/>
        <v>821810.26788127911</v>
      </c>
      <c r="Y578" s="36">
        <f t="shared" si="469"/>
        <v>4.3872783623566391E-3</v>
      </c>
      <c r="Z578" s="34">
        <f t="shared" si="470"/>
        <v>3605.5104062380492</v>
      </c>
      <c r="AA578" s="34">
        <f t="shared" si="471"/>
        <v>823613.02308439813</v>
      </c>
      <c r="AB578" s="34">
        <f t="shared" si="472"/>
        <v>0</v>
      </c>
      <c r="AC578" s="34">
        <f t="shared" si="473"/>
        <v>0</v>
      </c>
      <c r="AD578" s="34">
        <f t="shared" si="474"/>
        <v>0</v>
      </c>
      <c r="AE578" s="34">
        <f t="shared" si="475"/>
        <v>0</v>
      </c>
      <c r="AF578" s="34">
        <f t="shared" si="476"/>
        <v>0</v>
      </c>
      <c r="AG578" s="29">
        <f t="shared" si="477"/>
        <v>823613.02308439813</v>
      </c>
      <c r="AH578" s="34">
        <f t="shared" si="478"/>
        <v>0</v>
      </c>
      <c r="AI578" s="34">
        <f t="shared" si="479"/>
        <v>0</v>
      </c>
      <c r="AJ578" s="34">
        <f t="shared" si="480"/>
        <v>0</v>
      </c>
      <c r="AK578" s="34">
        <f t="shared" si="481"/>
        <v>0</v>
      </c>
      <c r="AL578" s="34">
        <f t="shared" si="482"/>
        <v>0</v>
      </c>
      <c r="AM578" s="34">
        <f t="shared" si="483"/>
        <v>0</v>
      </c>
      <c r="AN578" s="34">
        <f t="shared" si="484"/>
        <v>0</v>
      </c>
      <c r="AO578" s="34">
        <f t="shared" si="485"/>
        <v>0</v>
      </c>
      <c r="AP578" s="34">
        <f t="shared" si="486"/>
        <v>0</v>
      </c>
      <c r="AQ578" s="34">
        <f t="shared" si="487"/>
        <v>0</v>
      </c>
      <c r="AR578" s="34">
        <f t="shared" si="488"/>
        <v>0</v>
      </c>
      <c r="AS578" s="30">
        <f t="shared" si="489"/>
        <v>1.6095545963245097</v>
      </c>
      <c r="AT578" s="29">
        <f t="shared" si="490"/>
        <v>0</v>
      </c>
      <c r="AU578" s="29">
        <f t="shared" si="491"/>
        <v>0</v>
      </c>
      <c r="AV578" s="34">
        <f t="shared" si="492"/>
        <v>0</v>
      </c>
      <c r="AW578" s="34">
        <f t="shared" si="493"/>
        <v>0</v>
      </c>
      <c r="AX578" s="29">
        <f t="shared" si="494"/>
        <v>0</v>
      </c>
      <c r="AY578" s="34">
        <f t="shared" si="495"/>
        <v>0</v>
      </c>
      <c r="AZ578" s="37">
        <f t="shared" si="496"/>
        <v>0</v>
      </c>
      <c r="BA578" s="37">
        <f t="shared" si="497"/>
        <v>0</v>
      </c>
      <c r="BB578" s="35">
        <f t="shared" si="498"/>
        <v>9.7640603497550771E-4</v>
      </c>
      <c r="BC578" s="31">
        <f t="shared" si="499"/>
        <v>0.57110418508647876</v>
      </c>
      <c r="BD578" s="34">
        <f t="shared" si="500"/>
        <v>0</v>
      </c>
    </row>
    <row r="579" spans="1:56" x14ac:dyDescent="0.2">
      <c r="A579" s="27">
        <f t="shared" si="501"/>
        <v>575</v>
      </c>
      <c r="B579" s="28">
        <f t="shared" si="448"/>
        <v>575</v>
      </c>
      <c r="C579" s="27">
        <f t="shared" si="449"/>
        <v>47</v>
      </c>
      <c r="D579" s="28">
        <f t="shared" si="450"/>
        <v>67</v>
      </c>
      <c r="E579" s="29">
        <f t="shared" si="451"/>
        <v>0</v>
      </c>
      <c r="F579" s="30">
        <f t="shared" si="452"/>
        <v>4.3453082705329554E-3</v>
      </c>
      <c r="G579" s="31">
        <f t="shared" si="453"/>
        <v>3.6283220720989551E-4</v>
      </c>
      <c r="H579" s="32">
        <f t="shared" si="454"/>
        <v>0.02</v>
      </c>
      <c r="I579" s="32">
        <f t="shared" si="455"/>
        <v>0</v>
      </c>
      <c r="J579" s="33">
        <f t="shared" si="502"/>
        <v>0</v>
      </c>
      <c r="K579" s="30">
        <f t="shared" si="456"/>
        <v>0</v>
      </c>
      <c r="L579" s="33">
        <f t="shared" si="457"/>
        <v>0</v>
      </c>
      <c r="M579" s="30">
        <f t="shared" si="458"/>
        <v>0</v>
      </c>
      <c r="N579" s="33">
        <f t="shared" si="459"/>
        <v>0</v>
      </c>
      <c r="O579" s="31">
        <f t="shared" si="460"/>
        <v>0</v>
      </c>
      <c r="P579" s="33">
        <f t="shared" si="461"/>
        <v>0</v>
      </c>
      <c r="Q579" s="34">
        <f t="shared" si="503"/>
        <v>825415.77828751714</v>
      </c>
      <c r="R579" s="29">
        <f t="shared" si="462"/>
        <v>0</v>
      </c>
      <c r="S579" s="34">
        <f t="shared" si="463"/>
        <v>825415.77828751714</v>
      </c>
      <c r="T579" s="29">
        <f t="shared" si="464"/>
        <v>687.84648190626433</v>
      </c>
      <c r="U579" s="29">
        <f t="shared" si="465"/>
        <v>0</v>
      </c>
      <c r="V579" s="35">
        <f t="shared" si="466"/>
        <v>3.9911542793088508E-4</v>
      </c>
      <c r="W579" s="34">
        <f t="shared" si="467"/>
        <v>0</v>
      </c>
      <c r="X579" s="34">
        <f t="shared" si="468"/>
        <v>824727.93180561089</v>
      </c>
      <c r="Y579" s="36">
        <f t="shared" si="469"/>
        <v>4.1354259516632741E-3</v>
      </c>
      <c r="Z579" s="34">
        <f t="shared" si="470"/>
        <v>3410.6012922505024</v>
      </c>
      <c r="AA579" s="34">
        <f t="shared" si="471"/>
        <v>826433.23245173611</v>
      </c>
      <c r="AB579" s="34">
        <f t="shared" si="472"/>
        <v>0</v>
      </c>
      <c r="AC579" s="34">
        <f t="shared" si="473"/>
        <v>0</v>
      </c>
      <c r="AD579" s="34">
        <f t="shared" si="474"/>
        <v>0</v>
      </c>
      <c r="AE579" s="34">
        <f t="shared" si="475"/>
        <v>0</v>
      </c>
      <c r="AF579" s="34">
        <f t="shared" si="476"/>
        <v>0</v>
      </c>
      <c r="AG579" s="29">
        <f t="shared" si="477"/>
        <v>826433.23245173611</v>
      </c>
      <c r="AH579" s="34">
        <f t="shared" si="478"/>
        <v>0</v>
      </c>
      <c r="AI579" s="34">
        <f t="shared" si="479"/>
        <v>0</v>
      </c>
      <c r="AJ579" s="34">
        <f t="shared" si="480"/>
        <v>0</v>
      </c>
      <c r="AK579" s="34">
        <f t="shared" si="481"/>
        <v>0</v>
      </c>
      <c r="AL579" s="34">
        <f t="shared" si="482"/>
        <v>0</v>
      </c>
      <c r="AM579" s="34">
        <f t="shared" si="483"/>
        <v>0</v>
      </c>
      <c r="AN579" s="34">
        <f t="shared" si="484"/>
        <v>0</v>
      </c>
      <c r="AO579" s="34">
        <f t="shared" si="485"/>
        <v>0</v>
      </c>
      <c r="AP579" s="34">
        <f t="shared" si="486"/>
        <v>0</v>
      </c>
      <c r="AQ579" s="34">
        <f t="shared" si="487"/>
        <v>0</v>
      </c>
      <c r="AR579" s="34">
        <f t="shared" si="488"/>
        <v>0</v>
      </c>
      <c r="AS579" s="30">
        <f t="shared" si="489"/>
        <v>1.6108897832092821</v>
      </c>
      <c r="AT579" s="29">
        <f t="shared" si="490"/>
        <v>0</v>
      </c>
      <c r="AU579" s="29">
        <f t="shared" si="491"/>
        <v>0</v>
      </c>
      <c r="AV579" s="34">
        <f t="shared" si="492"/>
        <v>0</v>
      </c>
      <c r="AW579" s="34">
        <f t="shared" si="493"/>
        <v>0</v>
      </c>
      <c r="AX579" s="29">
        <f t="shared" si="494"/>
        <v>0</v>
      </c>
      <c r="AY579" s="34">
        <f t="shared" si="495"/>
        <v>0</v>
      </c>
      <c r="AZ579" s="37">
        <f t="shared" si="496"/>
        <v>0</v>
      </c>
      <c r="BA579" s="37">
        <f t="shared" si="497"/>
        <v>0</v>
      </c>
      <c r="BB579" s="35">
        <f t="shared" si="498"/>
        <v>9.7640603497550771E-4</v>
      </c>
      <c r="BC579" s="31">
        <f t="shared" si="499"/>
        <v>0.57054709945533288</v>
      </c>
      <c r="BD579" s="34">
        <f t="shared" si="500"/>
        <v>0</v>
      </c>
    </row>
    <row r="580" spans="1:56" x14ac:dyDescent="0.2">
      <c r="A580" s="27">
        <f t="shared" si="501"/>
        <v>576</v>
      </c>
      <c r="B580" s="28">
        <f t="shared" ref="B580:B643" si="504">Duration0+A580</f>
        <v>576</v>
      </c>
      <c r="C580" s="27">
        <f t="shared" ref="C580:C643" si="505">INT(B580/12)</f>
        <v>48</v>
      </c>
      <c r="D580" s="28">
        <f t="shared" ref="D580:D643" si="506">AgeAtEntry+C580</f>
        <v>68</v>
      </c>
      <c r="E580" s="29">
        <f t="shared" ref="E580:E643" si="507">IF(PremiumType="SINGLE",IF(B580=0,PremiumPPInput,0),IF(B580&lt;12*PolicyTerm,PremiumPPInput,0))</f>
        <v>0</v>
      </c>
      <c r="F580" s="30">
        <f t="shared" ref="F580:F643" si="508">INDEX(MortRates,MATCH(MIN(D580,120),MortAges,0),MAX(MIN(C580,5),0)+1)</f>
        <v>4.7365113081304332E-3</v>
      </c>
      <c r="G580" s="31">
        <f t="shared" ref="G580:G643" si="509">1-(1-F580)^(1/12)</f>
        <v>3.9556875242652279E-4</v>
      </c>
      <c r="H580" s="32">
        <f t="shared" ref="H580:H643" si="510">MAX(LapseBase-LapseStep*C580,LapseFloor)</f>
        <v>0.02</v>
      </c>
      <c r="I580" s="32">
        <f t="shared" ref="I580:I643" si="511">IF(HasSurrCharge,INDEX(SurrRates,MIN(C580,SurrDurMax)+1,MATCH(SurrChargeID,SurrTypes,0)),0)</f>
        <v>0</v>
      </c>
      <c r="J580" s="33">
        <f t="shared" si="502"/>
        <v>0</v>
      </c>
      <c r="K580" s="30">
        <f t="shared" ref="K580:K643" si="512">IF(B580=12*PolicyTerm,J580,0)</f>
        <v>0</v>
      </c>
      <c r="L580" s="33">
        <f t="shared" ref="L580:L643" si="513">J580-K580</f>
        <v>0</v>
      </c>
      <c r="M580" s="30">
        <f t="shared" ref="M580:M643" si="514">IF(B580=0,PolicyCount,0)</f>
        <v>0</v>
      </c>
      <c r="N580" s="33">
        <f t="shared" ref="N580:N643" si="515">L580+M580</f>
        <v>0</v>
      </c>
      <c r="O580" s="31">
        <f t="shared" ref="O580:O643" si="516">N580*G580</f>
        <v>0</v>
      </c>
      <c r="P580" s="33">
        <f t="shared" ref="P580:P643" si="517">(N580-O580)*(1-(1-H580)^(1/12))</f>
        <v>0</v>
      </c>
      <c r="Q580" s="34">
        <f t="shared" si="503"/>
        <v>828138.53309786133</v>
      </c>
      <c r="R580" s="29">
        <f t="shared" ref="R580:R643" si="518">(1-LoadPremRate)*E580</f>
        <v>0</v>
      </c>
      <c r="S580" s="34">
        <f t="shared" ref="S580:S643" si="519">Q580+R580</f>
        <v>828138.53309786133</v>
      </c>
      <c r="T580" s="29">
        <f t="shared" ref="T580:T643" si="520">MaintFeeRateAnn/12*S580</f>
        <v>690.11544424821784</v>
      </c>
      <c r="U580" s="29">
        <f t="shared" ref="U580:U643" si="521">MAX(SumAssured-S580,0)</f>
        <v>0</v>
      </c>
      <c r="V580" s="35">
        <f t="shared" ref="V580:V643" si="522">CoiMultiple*G580</f>
        <v>4.3512562766917512E-4</v>
      </c>
      <c r="W580" s="34">
        <f t="shared" ref="W580:W643" si="523">V580*U580</f>
        <v>0</v>
      </c>
      <c r="X580" s="34">
        <f t="shared" ref="X580:X643" si="524">S580-T580-W580</f>
        <v>827448.41765361314</v>
      </c>
      <c r="Y580" s="36">
        <f t="shared" ref="Y580:Y643" si="525">EXP((Mu-0.5*Sigma^2)/12+Sigma*SQRT(1/12)*INDEX(NormRand,ScenID,A580+1))-1</f>
        <v>4.7622882476787698E-3</v>
      </c>
      <c r="Z580" s="34">
        <f t="shared" ref="Z580:Z643" si="526">Y580*X580</f>
        <v>3940.5478749521963</v>
      </c>
      <c r="AA580" s="34">
        <f t="shared" ref="AA580:AA643" si="527">X580+0.5*Z580</f>
        <v>829418.69159108924</v>
      </c>
      <c r="AB580" s="34">
        <f t="shared" ref="AB580:AB643" si="528">Q580*J580</f>
        <v>0</v>
      </c>
      <c r="AC580" s="34">
        <f t="shared" ref="AC580:AC643" si="529">Q580*L580</f>
        <v>0</v>
      </c>
      <c r="AD580" s="34">
        <f t="shared" ref="AD580:AD643" si="530">S580*N580</f>
        <v>0</v>
      </c>
      <c r="AE580" s="34">
        <f t="shared" ref="AE580:AE643" si="531">E580*N580</f>
        <v>0</v>
      </c>
      <c r="AF580" s="34">
        <f t="shared" ref="AF580:AF643" si="532">R580*N580</f>
        <v>0</v>
      </c>
      <c r="AG580" s="29">
        <f t="shared" ref="AG580:AG643" si="533">MAX(SumAssured,AA580)</f>
        <v>829418.69159108924</v>
      </c>
      <c r="AH580" s="34">
        <f t="shared" ref="AH580:AH643" si="534">AG580*O580</f>
        <v>0</v>
      </c>
      <c r="AI580" s="34">
        <f t="shared" ref="AI580:AI643" si="535">AA580*O580</f>
        <v>0</v>
      </c>
      <c r="AJ580" s="34">
        <f t="shared" ref="AJ580:AJ643" si="536">AA580*P580</f>
        <v>0</v>
      </c>
      <c r="AK580" s="34">
        <f t="shared" ref="AK580:AK643" si="537">I580*AA580*P580</f>
        <v>0</v>
      </c>
      <c r="AL580" s="34">
        <f t="shared" ref="AL580:AL643" si="538">AJ580-AK580</f>
        <v>0</v>
      </c>
      <c r="AM580" s="34">
        <f t="shared" ref="AM580:AM643" si="539">Q580*K580</f>
        <v>0</v>
      </c>
      <c r="AN580" s="34">
        <f t="shared" ref="AN580:AN643" si="540">AH580+AL580+AM580</f>
        <v>0</v>
      </c>
      <c r="AO580" s="34">
        <f t="shared" ref="AO580:AO643" si="541">(AG580-AA580)*O580</f>
        <v>0</v>
      </c>
      <c r="AP580" s="34">
        <f t="shared" ref="AP580:AP643" si="542">W580*N580</f>
        <v>0</v>
      </c>
      <c r="AQ580" s="34">
        <f t="shared" ref="AQ580:AQ643" si="543">T580*N580</f>
        <v>0</v>
      </c>
      <c r="AR580" s="34">
        <f t="shared" ref="AR580:AR643" si="544">Z580*J581+0.5*Z580*(O580+P580)</f>
        <v>0</v>
      </c>
      <c r="AS580" s="30">
        <f t="shared" ref="AS580:AS643" si="545">(1+InflationRate)^(A580/12)</f>
        <v>1.6122260776824653</v>
      </c>
      <c r="AT580" s="29">
        <f t="shared" ref="AT580:AT643" si="546">ExpenseAcq*M580+N580*ExpenseMaint/12*AS580</f>
        <v>0</v>
      </c>
      <c r="AU580" s="29">
        <f t="shared" ref="AU580:AU643" si="547">CommissionRate*AE580</f>
        <v>0</v>
      </c>
      <c r="AV580" s="34">
        <f t="shared" ref="AV580:AV643" si="548">AB581-AB580</f>
        <v>0</v>
      </c>
      <c r="AW580" s="34">
        <f t="shared" ref="AW580:AW643" si="549">AE580+AR580-AN580-AT580-AU580-AV580</f>
        <v>0</v>
      </c>
      <c r="AX580" s="29">
        <f t="shared" ref="AX580:AX643" si="550">LoadPremRate*E580*N580+AK580+AQ580-AU580-AT580</f>
        <v>0</v>
      </c>
      <c r="AY580" s="34">
        <f t="shared" ref="AY580:AY643" si="551">AP580-AO580</f>
        <v>0</v>
      </c>
      <c r="AZ580" s="37">
        <f t="shared" ref="AZ580:AZ643" si="552">(AW580-AX580-AY580)/MAX(1,ABS(AW580),ABS(AX580),ABS(AY580))</f>
        <v>0</v>
      </c>
      <c r="BA580" s="37">
        <f t="shared" ref="BA580:BA643" si="553">IF(OR(K580&gt;0,K581&gt;0),0,(AC581-(AC580+AF580-AQ580-AP580+AR580-AI580-AJ580-AM580))/MAX(1,ABS(AC580),ABS(AC581)))</f>
        <v>0</v>
      </c>
      <c r="BB580" s="35">
        <f t="shared" ref="BB580:BB643" si="554">(1+INDEX(DiscRateAnn,INT(A580/12)+1))^(1/12)-1</f>
        <v>9.6816130989663129E-4</v>
      </c>
      <c r="BC580" s="31">
        <f t="shared" ref="BC580:BC643" si="555">(1+BB580)^-A580</f>
        <v>0.57270121631897586</v>
      </c>
      <c r="BD580" s="34">
        <f t="shared" ref="BD580:BD643" si="556">AW580*BC580</f>
        <v>0</v>
      </c>
    </row>
    <row r="581" spans="1:56" x14ac:dyDescent="0.2">
      <c r="A581" s="27">
        <f t="shared" ref="A581:A644" si="557">A580+1</f>
        <v>577</v>
      </c>
      <c r="B581" s="28">
        <f t="shared" si="504"/>
        <v>577</v>
      </c>
      <c r="C581" s="27">
        <f t="shared" si="505"/>
        <v>48</v>
      </c>
      <c r="D581" s="28">
        <f t="shared" si="506"/>
        <v>68</v>
      </c>
      <c r="E581" s="29">
        <f t="shared" si="507"/>
        <v>0</v>
      </c>
      <c r="F581" s="30">
        <f t="shared" si="508"/>
        <v>4.7365113081304332E-3</v>
      </c>
      <c r="G581" s="31">
        <f t="shared" si="509"/>
        <v>3.9556875242652279E-4</v>
      </c>
      <c r="H581" s="32">
        <f t="shared" si="510"/>
        <v>0.02</v>
      </c>
      <c r="I581" s="32">
        <f t="shared" si="511"/>
        <v>0</v>
      </c>
      <c r="J581" s="33">
        <f t="shared" ref="J581:J644" si="558">N580-P580-O580</f>
        <v>0</v>
      </c>
      <c r="K581" s="30">
        <f t="shared" si="512"/>
        <v>0</v>
      </c>
      <c r="L581" s="33">
        <f t="shared" si="513"/>
        <v>0</v>
      </c>
      <c r="M581" s="30">
        <f t="shared" si="514"/>
        <v>0</v>
      </c>
      <c r="N581" s="33">
        <f t="shared" si="515"/>
        <v>0</v>
      </c>
      <c r="O581" s="31">
        <f t="shared" si="516"/>
        <v>0</v>
      </c>
      <c r="P581" s="33">
        <f t="shared" si="517"/>
        <v>0</v>
      </c>
      <c r="Q581" s="34">
        <f t="shared" ref="Q581:Q644" si="559">X580+Z580</f>
        <v>831388.96552856534</v>
      </c>
      <c r="R581" s="29">
        <f t="shared" si="518"/>
        <v>0</v>
      </c>
      <c r="S581" s="34">
        <f t="shared" si="519"/>
        <v>831388.96552856534</v>
      </c>
      <c r="T581" s="29">
        <f t="shared" si="520"/>
        <v>692.82413794047113</v>
      </c>
      <c r="U581" s="29">
        <f t="shared" si="521"/>
        <v>0</v>
      </c>
      <c r="V581" s="35">
        <f t="shared" si="522"/>
        <v>4.3512562766917512E-4</v>
      </c>
      <c r="W581" s="34">
        <f t="shared" si="523"/>
        <v>0</v>
      </c>
      <c r="X581" s="34">
        <f t="shared" si="524"/>
        <v>830696.14139062492</v>
      </c>
      <c r="Y581" s="36">
        <f t="shared" si="525"/>
        <v>-9.9634658148129995E-3</v>
      </c>
      <c r="Z581" s="34">
        <f t="shared" si="526"/>
        <v>-8276.6126072425577</v>
      </c>
      <c r="AA581" s="34">
        <f t="shared" si="527"/>
        <v>826557.83508700365</v>
      </c>
      <c r="AB581" s="34">
        <f t="shared" si="528"/>
        <v>0</v>
      </c>
      <c r="AC581" s="34">
        <f t="shared" si="529"/>
        <v>0</v>
      </c>
      <c r="AD581" s="34">
        <f t="shared" si="530"/>
        <v>0</v>
      </c>
      <c r="AE581" s="34">
        <f t="shared" si="531"/>
        <v>0</v>
      </c>
      <c r="AF581" s="34">
        <f t="shared" si="532"/>
        <v>0</v>
      </c>
      <c r="AG581" s="29">
        <f t="shared" si="533"/>
        <v>826557.83508700365</v>
      </c>
      <c r="AH581" s="34">
        <f t="shared" si="534"/>
        <v>0</v>
      </c>
      <c r="AI581" s="34">
        <f t="shared" si="535"/>
        <v>0</v>
      </c>
      <c r="AJ581" s="34">
        <f t="shared" si="536"/>
        <v>0</v>
      </c>
      <c r="AK581" s="34">
        <f t="shared" si="537"/>
        <v>0</v>
      </c>
      <c r="AL581" s="34">
        <f t="shared" si="538"/>
        <v>0</v>
      </c>
      <c r="AM581" s="34">
        <f t="shared" si="539"/>
        <v>0</v>
      </c>
      <c r="AN581" s="34">
        <f t="shared" si="540"/>
        <v>0</v>
      </c>
      <c r="AO581" s="34">
        <f t="shared" si="541"/>
        <v>0</v>
      </c>
      <c r="AP581" s="34">
        <f t="shared" si="542"/>
        <v>0</v>
      </c>
      <c r="AQ581" s="34">
        <f t="shared" si="543"/>
        <v>0</v>
      </c>
      <c r="AR581" s="34">
        <f t="shared" si="544"/>
        <v>0</v>
      </c>
      <c r="AS581" s="30">
        <f t="shared" si="545"/>
        <v>1.6135634806628456</v>
      </c>
      <c r="AT581" s="29">
        <f t="shared" si="546"/>
        <v>0</v>
      </c>
      <c r="AU581" s="29">
        <f t="shared" si="547"/>
        <v>0</v>
      </c>
      <c r="AV581" s="34">
        <f t="shared" si="548"/>
        <v>0</v>
      </c>
      <c r="AW581" s="34">
        <f t="shared" si="549"/>
        <v>0</v>
      </c>
      <c r="AX581" s="29">
        <f t="shared" si="550"/>
        <v>0</v>
      </c>
      <c r="AY581" s="34">
        <f t="shared" si="551"/>
        <v>0</v>
      </c>
      <c r="AZ581" s="37">
        <f t="shared" si="552"/>
        <v>0</v>
      </c>
      <c r="BA581" s="37">
        <f t="shared" si="553"/>
        <v>0</v>
      </c>
      <c r="BB581" s="35">
        <f t="shared" si="554"/>
        <v>9.6816130989663129E-4</v>
      </c>
      <c r="BC581" s="31">
        <f t="shared" si="555"/>
        <v>0.57214728545363724</v>
      </c>
      <c r="BD581" s="34">
        <f t="shared" si="556"/>
        <v>0</v>
      </c>
    </row>
    <row r="582" spans="1:56" x14ac:dyDescent="0.2">
      <c r="A582" s="27">
        <f t="shared" si="557"/>
        <v>578</v>
      </c>
      <c r="B582" s="28">
        <f t="shared" si="504"/>
        <v>578</v>
      </c>
      <c r="C582" s="27">
        <f t="shared" si="505"/>
        <v>48</v>
      </c>
      <c r="D582" s="28">
        <f t="shared" si="506"/>
        <v>68</v>
      </c>
      <c r="E582" s="29">
        <f t="shared" si="507"/>
        <v>0</v>
      </c>
      <c r="F582" s="30">
        <f t="shared" si="508"/>
        <v>4.7365113081304332E-3</v>
      </c>
      <c r="G582" s="31">
        <f t="shared" si="509"/>
        <v>3.9556875242652279E-4</v>
      </c>
      <c r="H582" s="32">
        <f t="shared" si="510"/>
        <v>0.02</v>
      </c>
      <c r="I582" s="32">
        <f t="shared" si="511"/>
        <v>0</v>
      </c>
      <c r="J582" s="33">
        <f t="shared" si="558"/>
        <v>0</v>
      </c>
      <c r="K582" s="30">
        <f t="shared" si="512"/>
        <v>0</v>
      </c>
      <c r="L582" s="33">
        <f t="shared" si="513"/>
        <v>0</v>
      </c>
      <c r="M582" s="30">
        <f t="shared" si="514"/>
        <v>0</v>
      </c>
      <c r="N582" s="33">
        <f t="shared" si="515"/>
        <v>0</v>
      </c>
      <c r="O582" s="31">
        <f t="shared" si="516"/>
        <v>0</v>
      </c>
      <c r="P582" s="33">
        <f t="shared" si="517"/>
        <v>0</v>
      </c>
      <c r="Q582" s="34">
        <f t="shared" si="559"/>
        <v>822419.52878338238</v>
      </c>
      <c r="R582" s="29">
        <f t="shared" si="518"/>
        <v>0</v>
      </c>
      <c r="S582" s="34">
        <f t="shared" si="519"/>
        <v>822419.52878338238</v>
      </c>
      <c r="T582" s="29">
        <f t="shared" si="520"/>
        <v>685.34960731948536</v>
      </c>
      <c r="U582" s="29">
        <f t="shared" si="521"/>
        <v>0</v>
      </c>
      <c r="V582" s="35">
        <f t="shared" si="522"/>
        <v>4.3512562766917512E-4</v>
      </c>
      <c r="W582" s="34">
        <f t="shared" si="523"/>
        <v>0</v>
      </c>
      <c r="X582" s="34">
        <f t="shared" si="524"/>
        <v>821734.17917606293</v>
      </c>
      <c r="Y582" s="36">
        <f t="shared" si="525"/>
        <v>-6.1017033972315948E-3</v>
      </c>
      <c r="Z582" s="34">
        <f t="shared" si="526"/>
        <v>-5013.9782326998993</v>
      </c>
      <c r="AA582" s="34">
        <f t="shared" si="527"/>
        <v>819227.19005971297</v>
      </c>
      <c r="AB582" s="34">
        <f t="shared" si="528"/>
        <v>0</v>
      </c>
      <c r="AC582" s="34">
        <f t="shared" si="529"/>
        <v>0</v>
      </c>
      <c r="AD582" s="34">
        <f t="shared" si="530"/>
        <v>0</v>
      </c>
      <c r="AE582" s="34">
        <f t="shared" si="531"/>
        <v>0</v>
      </c>
      <c r="AF582" s="34">
        <f t="shared" si="532"/>
        <v>0</v>
      </c>
      <c r="AG582" s="29">
        <f t="shared" si="533"/>
        <v>819227.19005971297</v>
      </c>
      <c r="AH582" s="34">
        <f t="shared" si="534"/>
        <v>0</v>
      </c>
      <c r="AI582" s="34">
        <f t="shared" si="535"/>
        <v>0</v>
      </c>
      <c r="AJ582" s="34">
        <f t="shared" si="536"/>
        <v>0</v>
      </c>
      <c r="AK582" s="34">
        <f t="shared" si="537"/>
        <v>0</v>
      </c>
      <c r="AL582" s="34">
        <f t="shared" si="538"/>
        <v>0</v>
      </c>
      <c r="AM582" s="34">
        <f t="shared" si="539"/>
        <v>0</v>
      </c>
      <c r="AN582" s="34">
        <f t="shared" si="540"/>
        <v>0</v>
      </c>
      <c r="AO582" s="34">
        <f t="shared" si="541"/>
        <v>0</v>
      </c>
      <c r="AP582" s="34">
        <f t="shared" si="542"/>
        <v>0</v>
      </c>
      <c r="AQ582" s="34">
        <f t="shared" si="543"/>
        <v>0</v>
      </c>
      <c r="AR582" s="34">
        <f t="shared" si="544"/>
        <v>0</v>
      </c>
      <c r="AS582" s="30">
        <f t="shared" si="545"/>
        <v>1.6149019930699726</v>
      </c>
      <c r="AT582" s="29">
        <f t="shared" si="546"/>
        <v>0</v>
      </c>
      <c r="AU582" s="29">
        <f t="shared" si="547"/>
        <v>0</v>
      </c>
      <c r="AV582" s="34">
        <f t="shared" si="548"/>
        <v>0</v>
      </c>
      <c r="AW582" s="34">
        <f t="shared" si="549"/>
        <v>0</v>
      </c>
      <c r="AX582" s="29">
        <f t="shared" si="550"/>
        <v>0</v>
      </c>
      <c r="AY582" s="34">
        <f t="shared" si="551"/>
        <v>0</v>
      </c>
      <c r="AZ582" s="37">
        <f t="shared" si="552"/>
        <v>0</v>
      </c>
      <c r="BA582" s="37">
        <f t="shared" si="553"/>
        <v>0</v>
      </c>
      <c r="BB582" s="35">
        <f t="shared" si="554"/>
        <v>9.6816130989663129E-4</v>
      </c>
      <c r="BC582" s="31">
        <f t="shared" si="555"/>
        <v>0.57159389036401353</v>
      </c>
      <c r="BD582" s="34">
        <f t="shared" si="556"/>
        <v>0</v>
      </c>
    </row>
    <row r="583" spans="1:56" x14ac:dyDescent="0.2">
      <c r="A583" s="27">
        <f t="shared" si="557"/>
        <v>579</v>
      </c>
      <c r="B583" s="28">
        <f t="shared" si="504"/>
        <v>579</v>
      </c>
      <c r="C583" s="27">
        <f t="shared" si="505"/>
        <v>48</v>
      </c>
      <c r="D583" s="28">
        <f t="shared" si="506"/>
        <v>68</v>
      </c>
      <c r="E583" s="29">
        <f t="shared" si="507"/>
        <v>0</v>
      </c>
      <c r="F583" s="30">
        <f t="shared" si="508"/>
        <v>4.7365113081304332E-3</v>
      </c>
      <c r="G583" s="31">
        <f t="shared" si="509"/>
        <v>3.9556875242652279E-4</v>
      </c>
      <c r="H583" s="32">
        <f t="shared" si="510"/>
        <v>0.02</v>
      </c>
      <c r="I583" s="32">
        <f t="shared" si="511"/>
        <v>0</v>
      </c>
      <c r="J583" s="33">
        <f t="shared" si="558"/>
        <v>0</v>
      </c>
      <c r="K583" s="30">
        <f t="shared" si="512"/>
        <v>0</v>
      </c>
      <c r="L583" s="33">
        <f t="shared" si="513"/>
        <v>0</v>
      </c>
      <c r="M583" s="30">
        <f t="shared" si="514"/>
        <v>0</v>
      </c>
      <c r="N583" s="33">
        <f t="shared" si="515"/>
        <v>0</v>
      </c>
      <c r="O583" s="31">
        <f t="shared" si="516"/>
        <v>0</v>
      </c>
      <c r="P583" s="33">
        <f t="shared" si="517"/>
        <v>0</v>
      </c>
      <c r="Q583" s="34">
        <f t="shared" si="559"/>
        <v>816720.20094336302</v>
      </c>
      <c r="R583" s="29">
        <f t="shared" si="518"/>
        <v>0</v>
      </c>
      <c r="S583" s="34">
        <f t="shared" si="519"/>
        <v>816720.20094336302</v>
      </c>
      <c r="T583" s="29">
        <f t="shared" si="520"/>
        <v>680.60016745280257</v>
      </c>
      <c r="U583" s="29">
        <f t="shared" si="521"/>
        <v>0</v>
      </c>
      <c r="V583" s="35">
        <f t="shared" si="522"/>
        <v>4.3512562766917512E-4</v>
      </c>
      <c r="W583" s="34">
        <f t="shared" si="523"/>
        <v>0</v>
      </c>
      <c r="X583" s="34">
        <f t="shared" si="524"/>
        <v>816039.60077591019</v>
      </c>
      <c r="Y583" s="36">
        <f t="shared" si="525"/>
        <v>-2.1609530575561475E-3</v>
      </c>
      <c r="Z583" s="34">
        <f t="shared" si="526"/>
        <v>-1763.4232703836012</v>
      </c>
      <c r="AA583" s="34">
        <f t="shared" si="527"/>
        <v>815157.88914071838</v>
      </c>
      <c r="AB583" s="34">
        <f t="shared" si="528"/>
        <v>0</v>
      </c>
      <c r="AC583" s="34">
        <f t="shared" si="529"/>
        <v>0</v>
      </c>
      <c r="AD583" s="34">
        <f t="shared" si="530"/>
        <v>0</v>
      </c>
      <c r="AE583" s="34">
        <f t="shared" si="531"/>
        <v>0</v>
      </c>
      <c r="AF583" s="34">
        <f t="shared" si="532"/>
        <v>0</v>
      </c>
      <c r="AG583" s="29">
        <f t="shared" si="533"/>
        <v>815157.88914071838</v>
      </c>
      <c r="AH583" s="34">
        <f t="shared" si="534"/>
        <v>0</v>
      </c>
      <c r="AI583" s="34">
        <f t="shared" si="535"/>
        <v>0</v>
      </c>
      <c r="AJ583" s="34">
        <f t="shared" si="536"/>
        <v>0</v>
      </c>
      <c r="AK583" s="34">
        <f t="shared" si="537"/>
        <v>0</v>
      </c>
      <c r="AL583" s="34">
        <f t="shared" si="538"/>
        <v>0</v>
      </c>
      <c r="AM583" s="34">
        <f t="shared" si="539"/>
        <v>0</v>
      </c>
      <c r="AN583" s="34">
        <f t="shared" si="540"/>
        <v>0</v>
      </c>
      <c r="AO583" s="34">
        <f t="shared" si="541"/>
        <v>0</v>
      </c>
      <c r="AP583" s="34">
        <f t="shared" si="542"/>
        <v>0</v>
      </c>
      <c r="AQ583" s="34">
        <f t="shared" si="543"/>
        <v>0</v>
      </c>
      <c r="AR583" s="34">
        <f t="shared" si="544"/>
        <v>0</v>
      </c>
      <c r="AS583" s="30">
        <f t="shared" si="545"/>
        <v>1.6162416158241579</v>
      </c>
      <c r="AT583" s="29">
        <f t="shared" si="546"/>
        <v>0</v>
      </c>
      <c r="AU583" s="29">
        <f t="shared" si="547"/>
        <v>0</v>
      </c>
      <c r="AV583" s="34">
        <f t="shared" si="548"/>
        <v>0</v>
      </c>
      <c r="AW583" s="34">
        <f t="shared" si="549"/>
        <v>0</v>
      </c>
      <c r="AX583" s="29">
        <f t="shared" si="550"/>
        <v>0</v>
      </c>
      <c r="AY583" s="34">
        <f t="shared" si="551"/>
        <v>0</v>
      </c>
      <c r="AZ583" s="37">
        <f t="shared" si="552"/>
        <v>0</v>
      </c>
      <c r="BA583" s="37">
        <f t="shared" si="553"/>
        <v>0</v>
      </c>
      <c r="BB583" s="35">
        <f t="shared" si="554"/>
        <v>9.6816130989663129E-4</v>
      </c>
      <c r="BC583" s="31">
        <f t="shared" si="555"/>
        <v>0.57104103053188904</v>
      </c>
      <c r="BD583" s="34">
        <f t="shared" si="556"/>
        <v>0</v>
      </c>
    </row>
    <row r="584" spans="1:56" x14ac:dyDescent="0.2">
      <c r="A584" s="27">
        <f t="shared" si="557"/>
        <v>580</v>
      </c>
      <c r="B584" s="28">
        <f t="shared" si="504"/>
        <v>580</v>
      </c>
      <c r="C584" s="27">
        <f t="shared" si="505"/>
        <v>48</v>
      </c>
      <c r="D584" s="28">
        <f t="shared" si="506"/>
        <v>68</v>
      </c>
      <c r="E584" s="29">
        <f t="shared" si="507"/>
        <v>0</v>
      </c>
      <c r="F584" s="30">
        <f t="shared" si="508"/>
        <v>4.7365113081304332E-3</v>
      </c>
      <c r="G584" s="31">
        <f t="shared" si="509"/>
        <v>3.9556875242652279E-4</v>
      </c>
      <c r="H584" s="32">
        <f t="shared" si="510"/>
        <v>0.02</v>
      </c>
      <c r="I584" s="32">
        <f t="shared" si="511"/>
        <v>0</v>
      </c>
      <c r="J584" s="33">
        <f t="shared" si="558"/>
        <v>0</v>
      </c>
      <c r="K584" s="30">
        <f t="shared" si="512"/>
        <v>0</v>
      </c>
      <c r="L584" s="33">
        <f t="shared" si="513"/>
        <v>0</v>
      </c>
      <c r="M584" s="30">
        <f t="shared" si="514"/>
        <v>0</v>
      </c>
      <c r="N584" s="33">
        <f t="shared" si="515"/>
        <v>0</v>
      </c>
      <c r="O584" s="31">
        <f t="shared" si="516"/>
        <v>0</v>
      </c>
      <c r="P584" s="33">
        <f t="shared" si="517"/>
        <v>0</v>
      </c>
      <c r="Q584" s="34">
        <f t="shared" si="559"/>
        <v>814276.17750552658</v>
      </c>
      <c r="R584" s="29">
        <f t="shared" si="518"/>
        <v>0</v>
      </c>
      <c r="S584" s="34">
        <f t="shared" si="519"/>
        <v>814276.17750552658</v>
      </c>
      <c r="T584" s="29">
        <f t="shared" si="520"/>
        <v>678.56348125460556</v>
      </c>
      <c r="U584" s="29">
        <f t="shared" si="521"/>
        <v>0</v>
      </c>
      <c r="V584" s="35">
        <f t="shared" si="522"/>
        <v>4.3512562766917512E-4</v>
      </c>
      <c r="W584" s="34">
        <f t="shared" si="523"/>
        <v>0</v>
      </c>
      <c r="X584" s="34">
        <f t="shared" si="524"/>
        <v>813597.61402427196</v>
      </c>
      <c r="Y584" s="36">
        <f t="shared" si="525"/>
        <v>-6.6912570481191258E-3</v>
      </c>
      <c r="Z584" s="34">
        <f t="shared" si="526"/>
        <v>-5443.990769172814</v>
      </c>
      <c r="AA584" s="34">
        <f t="shared" si="527"/>
        <v>810875.61863968556</v>
      </c>
      <c r="AB584" s="34">
        <f t="shared" si="528"/>
        <v>0</v>
      </c>
      <c r="AC584" s="34">
        <f t="shared" si="529"/>
        <v>0</v>
      </c>
      <c r="AD584" s="34">
        <f t="shared" si="530"/>
        <v>0</v>
      </c>
      <c r="AE584" s="34">
        <f t="shared" si="531"/>
        <v>0</v>
      </c>
      <c r="AF584" s="34">
        <f t="shared" si="532"/>
        <v>0</v>
      </c>
      <c r="AG584" s="29">
        <f t="shared" si="533"/>
        <v>810875.61863968556</v>
      </c>
      <c r="AH584" s="34">
        <f t="shared" si="534"/>
        <v>0</v>
      </c>
      <c r="AI584" s="34">
        <f t="shared" si="535"/>
        <v>0</v>
      </c>
      <c r="AJ584" s="34">
        <f t="shared" si="536"/>
        <v>0</v>
      </c>
      <c r="AK584" s="34">
        <f t="shared" si="537"/>
        <v>0</v>
      </c>
      <c r="AL584" s="34">
        <f t="shared" si="538"/>
        <v>0</v>
      </c>
      <c r="AM584" s="34">
        <f t="shared" si="539"/>
        <v>0</v>
      </c>
      <c r="AN584" s="34">
        <f t="shared" si="540"/>
        <v>0</v>
      </c>
      <c r="AO584" s="34">
        <f t="shared" si="541"/>
        <v>0</v>
      </c>
      <c r="AP584" s="34">
        <f t="shared" si="542"/>
        <v>0</v>
      </c>
      <c r="AQ584" s="34">
        <f t="shared" si="543"/>
        <v>0</v>
      </c>
      <c r="AR584" s="34">
        <f t="shared" si="544"/>
        <v>0</v>
      </c>
      <c r="AS584" s="30">
        <f t="shared" si="545"/>
        <v>1.6175823498464765</v>
      </c>
      <c r="AT584" s="29">
        <f t="shared" si="546"/>
        <v>0</v>
      </c>
      <c r="AU584" s="29">
        <f t="shared" si="547"/>
        <v>0</v>
      </c>
      <c r="AV584" s="34">
        <f t="shared" si="548"/>
        <v>0</v>
      </c>
      <c r="AW584" s="34">
        <f t="shared" si="549"/>
        <v>0</v>
      </c>
      <c r="AX584" s="29">
        <f t="shared" si="550"/>
        <v>0</v>
      </c>
      <c r="AY584" s="34">
        <f t="shared" si="551"/>
        <v>0</v>
      </c>
      <c r="AZ584" s="37">
        <f t="shared" si="552"/>
        <v>0</v>
      </c>
      <c r="BA584" s="37">
        <f t="shared" si="553"/>
        <v>0</v>
      </c>
      <c r="BB584" s="35">
        <f t="shared" si="554"/>
        <v>9.6816130989663129E-4</v>
      </c>
      <c r="BC584" s="31">
        <f t="shared" si="555"/>
        <v>0.57048870543954955</v>
      </c>
      <c r="BD584" s="34">
        <f t="shared" si="556"/>
        <v>0</v>
      </c>
    </row>
    <row r="585" spans="1:56" x14ac:dyDescent="0.2">
      <c r="A585" s="27">
        <f t="shared" si="557"/>
        <v>581</v>
      </c>
      <c r="B585" s="28">
        <f t="shared" si="504"/>
        <v>581</v>
      </c>
      <c r="C585" s="27">
        <f t="shared" si="505"/>
        <v>48</v>
      </c>
      <c r="D585" s="28">
        <f t="shared" si="506"/>
        <v>68</v>
      </c>
      <c r="E585" s="29">
        <f t="shared" si="507"/>
        <v>0</v>
      </c>
      <c r="F585" s="30">
        <f t="shared" si="508"/>
        <v>4.7365113081304332E-3</v>
      </c>
      <c r="G585" s="31">
        <f t="shared" si="509"/>
        <v>3.9556875242652279E-4</v>
      </c>
      <c r="H585" s="32">
        <f t="shared" si="510"/>
        <v>0.02</v>
      </c>
      <c r="I585" s="32">
        <f t="shared" si="511"/>
        <v>0</v>
      </c>
      <c r="J585" s="33">
        <f t="shared" si="558"/>
        <v>0</v>
      </c>
      <c r="K585" s="30">
        <f t="shared" si="512"/>
        <v>0</v>
      </c>
      <c r="L585" s="33">
        <f t="shared" si="513"/>
        <v>0</v>
      </c>
      <c r="M585" s="30">
        <f t="shared" si="514"/>
        <v>0</v>
      </c>
      <c r="N585" s="33">
        <f t="shared" si="515"/>
        <v>0</v>
      </c>
      <c r="O585" s="31">
        <f t="shared" si="516"/>
        <v>0</v>
      </c>
      <c r="P585" s="33">
        <f t="shared" si="517"/>
        <v>0</v>
      </c>
      <c r="Q585" s="34">
        <f t="shared" si="559"/>
        <v>808153.62325509917</v>
      </c>
      <c r="R585" s="29">
        <f t="shared" si="518"/>
        <v>0</v>
      </c>
      <c r="S585" s="34">
        <f t="shared" si="519"/>
        <v>808153.62325509917</v>
      </c>
      <c r="T585" s="29">
        <f t="shared" si="520"/>
        <v>673.46135271258265</v>
      </c>
      <c r="U585" s="29">
        <f t="shared" si="521"/>
        <v>0</v>
      </c>
      <c r="V585" s="35">
        <f t="shared" si="522"/>
        <v>4.3512562766917512E-4</v>
      </c>
      <c r="W585" s="34">
        <f t="shared" si="523"/>
        <v>0</v>
      </c>
      <c r="X585" s="34">
        <f t="shared" si="524"/>
        <v>807480.16190238658</v>
      </c>
      <c r="Y585" s="36">
        <f t="shared" si="525"/>
        <v>3.4729689491836968E-3</v>
      </c>
      <c r="Z585" s="34">
        <f t="shared" si="526"/>
        <v>2804.3535293688128</v>
      </c>
      <c r="AA585" s="34">
        <f t="shared" si="527"/>
        <v>808882.33866707096</v>
      </c>
      <c r="AB585" s="34">
        <f t="shared" si="528"/>
        <v>0</v>
      </c>
      <c r="AC585" s="34">
        <f t="shared" si="529"/>
        <v>0</v>
      </c>
      <c r="AD585" s="34">
        <f t="shared" si="530"/>
        <v>0</v>
      </c>
      <c r="AE585" s="34">
        <f t="shared" si="531"/>
        <v>0</v>
      </c>
      <c r="AF585" s="34">
        <f t="shared" si="532"/>
        <v>0</v>
      </c>
      <c r="AG585" s="29">
        <f t="shared" si="533"/>
        <v>808882.33866707096</v>
      </c>
      <c r="AH585" s="34">
        <f t="shared" si="534"/>
        <v>0</v>
      </c>
      <c r="AI585" s="34">
        <f t="shared" si="535"/>
        <v>0</v>
      </c>
      <c r="AJ585" s="34">
        <f t="shared" si="536"/>
        <v>0</v>
      </c>
      <c r="AK585" s="34">
        <f t="shared" si="537"/>
        <v>0</v>
      </c>
      <c r="AL585" s="34">
        <f t="shared" si="538"/>
        <v>0</v>
      </c>
      <c r="AM585" s="34">
        <f t="shared" si="539"/>
        <v>0</v>
      </c>
      <c r="AN585" s="34">
        <f t="shared" si="540"/>
        <v>0</v>
      </c>
      <c r="AO585" s="34">
        <f t="shared" si="541"/>
        <v>0</v>
      </c>
      <c r="AP585" s="34">
        <f t="shared" si="542"/>
        <v>0</v>
      </c>
      <c r="AQ585" s="34">
        <f t="shared" si="543"/>
        <v>0</v>
      </c>
      <c r="AR585" s="34">
        <f t="shared" si="544"/>
        <v>0</v>
      </c>
      <c r="AS585" s="30">
        <f t="shared" si="545"/>
        <v>1.6189241960587679</v>
      </c>
      <c r="AT585" s="29">
        <f t="shared" si="546"/>
        <v>0</v>
      </c>
      <c r="AU585" s="29">
        <f t="shared" si="547"/>
        <v>0</v>
      </c>
      <c r="AV585" s="34">
        <f t="shared" si="548"/>
        <v>0</v>
      </c>
      <c r="AW585" s="34">
        <f t="shared" si="549"/>
        <v>0</v>
      </c>
      <c r="AX585" s="29">
        <f t="shared" si="550"/>
        <v>0</v>
      </c>
      <c r="AY585" s="34">
        <f t="shared" si="551"/>
        <v>0</v>
      </c>
      <c r="AZ585" s="37">
        <f t="shared" si="552"/>
        <v>0</v>
      </c>
      <c r="BA585" s="37">
        <f t="shared" si="553"/>
        <v>0</v>
      </c>
      <c r="BB585" s="35">
        <f t="shared" si="554"/>
        <v>9.6816130989663129E-4</v>
      </c>
      <c r="BC585" s="31">
        <f t="shared" si="555"/>
        <v>0.56993691456978113</v>
      </c>
      <c r="BD585" s="34">
        <f t="shared" si="556"/>
        <v>0</v>
      </c>
    </row>
    <row r="586" spans="1:56" x14ac:dyDescent="0.2">
      <c r="A586" s="27">
        <f t="shared" si="557"/>
        <v>582</v>
      </c>
      <c r="B586" s="28">
        <f t="shared" si="504"/>
        <v>582</v>
      </c>
      <c r="C586" s="27">
        <f t="shared" si="505"/>
        <v>48</v>
      </c>
      <c r="D586" s="28">
        <f t="shared" si="506"/>
        <v>68</v>
      </c>
      <c r="E586" s="29">
        <f t="shared" si="507"/>
        <v>0</v>
      </c>
      <c r="F586" s="30">
        <f t="shared" si="508"/>
        <v>4.7365113081304332E-3</v>
      </c>
      <c r="G586" s="31">
        <f t="shared" si="509"/>
        <v>3.9556875242652279E-4</v>
      </c>
      <c r="H586" s="32">
        <f t="shared" si="510"/>
        <v>0.02</v>
      </c>
      <c r="I586" s="32">
        <f t="shared" si="511"/>
        <v>0</v>
      </c>
      <c r="J586" s="33">
        <f t="shared" si="558"/>
        <v>0</v>
      </c>
      <c r="K586" s="30">
        <f t="shared" si="512"/>
        <v>0</v>
      </c>
      <c r="L586" s="33">
        <f t="shared" si="513"/>
        <v>0</v>
      </c>
      <c r="M586" s="30">
        <f t="shared" si="514"/>
        <v>0</v>
      </c>
      <c r="N586" s="33">
        <f t="shared" si="515"/>
        <v>0</v>
      </c>
      <c r="O586" s="31">
        <f t="shared" si="516"/>
        <v>0</v>
      </c>
      <c r="P586" s="33">
        <f t="shared" si="517"/>
        <v>0</v>
      </c>
      <c r="Q586" s="34">
        <f t="shared" si="559"/>
        <v>810284.51543175534</v>
      </c>
      <c r="R586" s="29">
        <f t="shared" si="518"/>
        <v>0</v>
      </c>
      <c r="S586" s="34">
        <f t="shared" si="519"/>
        <v>810284.51543175534</v>
      </c>
      <c r="T586" s="29">
        <f t="shared" si="520"/>
        <v>675.23709619312945</v>
      </c>
      <c r="U586" s="29">
        <f t="shared" si="521"/>
        <v>0</v>
      </c>
      <c r="V586" s="35">
        <f t="shared" si="522"/>
        <v>4.3512562766917512E-4</v>
      </c>
      <c r="W586" s="34">
        <f t="shared" si="523"/>
        <v>0</v>
      </c>
      <c r="X586" s="34">
        <f t="shared" si="524"/>
        <v>809609.27833556221</v>
      </c>
      <c r="Y586" s="36">
        <f t="shared" si="525"/>
        <v>-6.3272153147608812E-3</v>
      </c>
      <c r="Z586" s="34">
        <f t="shared" si="526"/>
        <v>-5122.5722248572738</v>
      </c>
      <c r="AA586" s="34">
        <f t="shared" si="527"/>
        <v>807047.99222313357</v>
      </c>
      <c r="AB586" s="34">
        <f t="shared" si="528"/>
        <v>0</v>
      </c>
      <c r="AC586" s="34">
        <f t="shared" si="529"/>
        <v>0</v>
      </c>
      <c r="AD586" s="34">
        <f t="shared" si="530"/>
        <v>0</v>
      </c>
      <c r="AE586" s="34">
        <f t="shared" si="531"/>
        <v>0</v>
      </c>
      <c r="AF586" s="34">
        <f t="shared" si="532"/>
        <v>0</v>
      </c>
      <c r="AG586" s="29">
        <f t="shared" si="533"/>
        <v>807047.99222313357</v>
      </c>
      <c r="AH586" s="34">
        <f t="shared" si="534"/>
        <v>0</v>
      </c>
      <c r="AI586" s="34">
        <f t="shared" si="535"/>
        <v>0</v>
      </c>
      <c r="AJ586" s="34">
        <f t="shared" si="536"/>
        <v>0</v>
      </c>
      <c r="AK586" s="34">
        <f t="shared" si="537"/>
        <v>0</v>
      </c>
      <c r="AL586" s="34">
        <f t="shared" si="538"/>
        <v>0</v>
      </c>
      <c r="AM586" s="34">
        <f t="shared" si="539"/>
        <v>0</v>
      </c>
      <c r="AN586" s="34">
        <f t="shared" si="540"/>
        <v>0</v>
      </c>
      <c r="AO586" s="34">
        <f t="shared" si="541"/>
        <v>0</v>
      </c>
      <c r="AP586" s="34">
        <f t="shared" si="542"/>
        <v>0</v>
      </c>
      <c r="AQ586" s="34">
        <f t="shared" si="543"/>
        <v>0</v>
      </c>
      <c r="AR586" s="34">
        <f t="shared" si="544"/>
        <v>0</v>
      </c>
      <c r="AS586" s="30">
        <f t="shared" si="545"/>
        <v>1.6202671553836361</v>
      </c>
      <c r="AT586" s="29">
        <f t="shared" si="546"/>
        <v>0</v>
      </c>
      <c r="AU586" s="29">
        <f t="shared" si="547"/>
        <v>0</v>
      </c>
      <c r="AV586" s="34">
        <f t="shared" si="548"/>
        <v>0</v>
      </c>
      <c r="AW586" s="34">
        <f t="shared" si="549"/>
        <v>0</v>
      </c>
      <c r="AX586" s="29">
        <f t="shared" si="550"/>
        <v>0</v>
      </c>
      <c r="AY586" s="34">
        <f t="shared" si="551"/>
        <v>0</v>
      </c>
      <c r="AZ586" s="37">
        <f t="shared" si="552"/>
        <v>0</v>
      </c>
      <c r="BA586" s="37">
        <f t="shared" si="553"/>
        <v>0</v>
      </c>
      <c r="BB586" s="35">
        <f t="shared" si="554"/>
        <v>9.6816130989663129E-4</v>
      </c>
      <c r="BC586" s="31">
        <f t="shared" si="555"/>
        <v>0.56938565740587077</v>
      </c>
      <c r="BD586" s="34">
        <f t="shared" si="556"/>
        <v>0</v>
      </c>
    </row>
    <row r="587" spans="1:56" x14ac:dyDescent="0.2">
      <c r="A587" s="27">
        <f t="shared" si="557"/>
        <v>583</v>
      </c>
      <c r="B587" s="28">
        <f t="shared" si="504"/>
        <v>583</v>
      </c>
      <c r="C587" s="27">
        <f t="shared" si="505"/>
        <v>48</v>
      </c>
      <c r="D587" s="28">
        <f t="shared" si="506"/>
        <v>68</v>
      </c>
      <c r="E587" s="29">
        <f t="shared" si="507"/>
        <v>0</v>
      </c>
      <c r="F587" s="30">
        <f t="shared" si="508"/>
        <v>4.7365113081304332E-3</v>
      </c>
      <c r="G587" s="31">
        <f t="shared" si="509"/>
        <v>3.9556875242652279E-4</v>
      </c>
      <c r="H587" s="32">
        <f t="shared" si="510"/>
        <v>0.02</v>
      </c>
      <c r="I587" s="32">
        <f t="shared" si="511"/>
        <v>0</v>
      </c>
      <c r="J587" s="33">
        <f t="shared" si="558"/>
        <v>0</v>
      </c>
      <c r="K587" s="30">
        <f t="shared" si="512"/>
        <v>0</v>
      </c>
      <c r="L587" s="33">
        <f t="shared" si="513"/>
        <v>0</v>
      </c>
      <c r="M587" s="30">
        <f t="shared" si="514"/>
        <v>0</v>
      </c>
      <c r="N587" s="33">
        <f t="shared" si="515"/>
        <v>0</v>
      </c>
      <c r="O587" s="31">
        <f t="shared" si="516"/>
        <v>0</v>
      </c>
      <c r="P587" s="33">
        <f t="shared" si="517"/>
        <v>0</v>
      </c>
      <c r="Q587" s="34">
        <f t="shared" si="559"/>
        <v>804486.70611070492</v>
      </c>
      <c r="R587" s="29">
        <f t="shared" si="518"/>
        <v>0</v>
      </c>
      <c r="S587" s="34">
        <f t="shared" si="519"/>
        <v>804486.70611070492</v>
      </c>
      <c r="T587" s="29">
        <f t="shared" si="520"/>
        <v>670.40558842558744</v>
      </c>
      <c r="U587" s="29">
        <f t="shared" si="521"/>
        <v>0</v>
      </c>
      <c r="V587" s="35">
        <f t="shared" si="522"/>
        <v>4.3512562766917512E-4</v>
      </c>
      <c r="W587" s="34">
        <f t="shared" si="523"/>
        <v>0</v>
      </c>
      <c r="X587" s="34">
        <f t="shared" si="524"/>
        <v>803816.30052227934</v>
      </c>
      <c r="Y587" s="36">
        <f t="shared" si="525"/>
        <v>6.5289940245378819E-3</v>
      </c>
      <c r="Z587" s="34">
        <f t="shared" si="526"/>
        <v>5248.1118229361082</v>
      </c>
      <c r="AA587" s="34">
        <f t="shared" si="527"/>
        <v>806440.35643374745</v>
      </c>
      <c r="AB587" s="34">
        <f t="shared" si="528"/>
        <v>0</v>
      </c>
      <c r="AC587" s="34">
        <f t="shared" si="529"/>
        <v>0</v>
      </c>
      <c r="AD587" s="34">
        <f t="shared" si="530"/>
        <v>0</v>
      </c>
      <c r="AE587" s="34">
        <f t="shared" si="531"/>
        <v>0</v>
      </c>
      <c r="AF587" s="34">
        <f t="shared" si="532"/>
        <v>0</v>
      </c>
      <c r="AG587" s="29">
        <f t="shared" si="533"/>
        <v>806440.35643374745</v>
      </c>
      <c r="AH587" s="34">
        <f t="shared" si="534"/>
        <v>0</v>
      </c>
      <c r="AI587" s="34">
        <f t="shared" si="535"/>
        <v>0</v>
      </c>
      <c r="AJ587" s="34">
        <f t="shared" si="536"/>
        <v>0</v>
      </c>
      <c r="AK587" s="34">
        <f t="shared" si="537"/>
        <v>0</v>
      </c>
      <c r="AL587" s="34">
        <f t="shared" si="538"/>
        <v>0</v>
      </c>
      <c r="AM587" s="34">
        <f t="shared" si="539"/>
        <v>0</v>
      </c>
      <c r="AN587" s="34">
        <f t="shared" si="540"/>
        <v>0</v>
      </c>
      <c r="AO587" s="34">
        <f t="shared" si="541"/>
        <v>0</v>
      </c>
      <c r="AP587" s="34">
        <f t="shared" si="542"/>
        <v>0</v>
      </c>
      <c r="AQ587" s="34">
        <f t="shared" si="543"/>
        <v>0</v>
      </c>
      <c r="AR587" s="34">
        <f t="shared" si="544"/>
        <v>0</v>
      </c>
      <c r="AS587" s="30">
        <f t="shared" si="545"/>
        <v>1.6216112287444502</v>
      </c>
      <c r="AT587" s="29">
        <f t="shared" si="546"/>
        <v>0</v>
      </c>
      <c r="AU587" s="29">
        <f t="shared" si="547"/>
        <v>0</v>
      </c>
      <c r="AV587" s="34">
        <f t="shared" si="548"/>
        <v>0</v>
      </c>
      <c r="AW587" s="34">
        <f t="shared" si="549"/>
        <v>0</v>
      </c>
      <c r="AX587" s="29">
        <f t="shared" si="550"/>
        <v>0</v>
      </c>
      <c r="AY587" s="34">
        <f t="shared" si="551"/>
        <v>0</v>
      </c>
      <c r="AZ587" s="37">
        <f t="shared" si="552"/>
        <v>0</v>
      </c>
      <c r="BA587" s="37">
        <f t="shared" si="553"/>
        <v>0</v>
      </c>
      <c r="BB587" s="35">
        <f t="shared" si="554"/>
        <v>9.6816130989663129E-4</v>
      </c>
      <c r="BC587" s="31">
        <f t="shared" si="555"/>
        <v>0.56883493343160463</v>
      </c>
      <c r="BD587" s="34">
        <f t="shared" si="556"/>
        <v>0</v>
      </c>
    </row>
    <row r="588" spans="1:56" x14ac:dyDescent="0.2">
      <c r="A588" s="27">
        <f t="shared" si="557"/>
        <v>584</v>
      </c>
      <c r="B588" s="28">
        <f t="shared" si="504"/>
        <v>584</v>
      </c>
      <c r="C588" s="27">
        <f t="shared" si="505"/>
        <v>48</v>
      </c>
      <c r="D588" s="28">
        <f t="shared" si="506"/>
        <v>68</v>
      </c>
      <c r="E588" s="29">
        <f t="shared" si="507"/>
        <v>0</v>
      </c>
      <c r="F588" s="30">
        <f t="shared" si="508"/>
        <v>4.7365113081304332E-3</v>
      </c>
      <c r="G588" s="31">
        <f t="shared" si="509"/>
        <v>3.9556875242652279E-4</v>
      </c>
      <c r="H588" s="32">
        <f t="shared" si="510"/>
        <v>0.02</v>
      </c>
      <c r="I588" s="32">
        <f t="shared" si="511"/>
        <v>0</v>
      </c>
      <c r="J588" s="33">
        <f t="shared" si="558"/>
        <v>0</v>
      </c>
      <c r="K588" s="30">
        <f t="shared" si="512"/>
        <v>0</v>
      </c>
      <c r="L588" s="33">
        <f t="shared" si="513"/>
        <v>0</v>
      </c>
      <c r="M588" s="30">
        <f t="shared" si="514"/>
        <v>0</v>
      </c>
      <c r="N588" s="33">
        <f t="shared" si="515"/>
        <v>0</v>
      </c>
      <c r="O588" s="31">
        <f t="shared" si="516"/>
        <v>0</v>
      </c>
      <c r="P588" s="33">
        <f t="shared" si="517"/>
        <v>0</v>
      </c>
      <c r="Q588" s="34">
        <f t="shared" si="559"/>
        <v>809064.41234521545</v>
      </c>
      <c r="R588" s="29">
        <f t="shared" si="518"/>
        <v>0</v>
      </c>
      <c r="S588" s="34">
        <f t="shared" si="519"/>
        <v>809064.41234521545</v>
      </c>
      <c r="T588" s="29">
        <f t="shared" si="520"/>
        <v>674.22034362101294</v>
      </c>
      <c r="U588" s="29">
        <f t="shared" si="521"/>
        <v>0</v>
      </c>
      <c r="V588" s="35">
        <f t="shared" si="522"/>
        <v>4.3512562766917512E-4</v>
      </c>
      <c r="W588" s="34">
        <f t="shared" si="523"/>
        <v>0</v>
      </c>
      <c r="X588" s="34">
        <f t="shared" si="524"/>
        <v>808390.19200159446</v>
      </c>
      <c r="Y588" s="36">
        <f t="shared" si="525"/>
        <v>4.0734967647426679E-3</v>
      </c>
      <c r="Z588" s="34">
        <f t="shared" si="526"/>
        <v>3292.9748317681992</v>
      </c>
      <c r="AA588" s="34">
        <f t="shared" si="527"/>
        <v>810036.67941747862</v>
      </c>
      <c r="AB588" s="34">
        <f t="shared" si="528"/>
        <v>0</v>
      </c>
      <c r="AC588" s="34">
        <f t="shared" si="529"/>
        <v>0</v>
      </c>
      <c r="AD588" s="34">
        <f t="shared" si="530"/>
        <v>0</v>
      </c>
      <c r="AE588" s="34">
        <f t="shared" si="531"/>
        <v>0</v>
      </c>
      <c r="AF588" s="34">
        <f t="shared" si="532"/>
        <v>0</v>
      </c>
      <c r="AG588" s="29">
        <f t="shared" si="533"/>
        <v>810036.67941747862</v>
      </c>
      <c r="AH588" s="34">
        <f t="shared" si="534"/>
        <v>0</v>
      </c>
      <c r="AI588" s="34">
        <f t="shared" si="535"/>
        <v>0</v>
      </c>
      <c r="AJ588" s="34">
        <f t="shared" si="536"/>
        <v>0</v>
      </c>
      <c r="AK588" s="34">
        <f t="shared" si="537"/>
        <v>0</v>
      </c>
      <c r="AL588" s="34">
        <f t="shared" si="538"/>
        <v>0</v>
      </c>
      <c r="AM588" s="34">
        <f t="shared" si="539"/>
        <v>0</v>
      </c>
      <c r="AN588" s="34">
        <f t="shared" si="540"/>
        <v>0</v>
      </c>
      <c r="AO588" s="34">
        <f t="shared" si="541"/>
        <v>0</v>
      </c>
      <c r="AP588" s="34">
        <f t="shared" si="542"/>
        <v>0</v>
      </c>
      <c r="AQ588" s="34">
        <f t="shared" si="543"/>
        <v>0</v>
      </c>
      <c r="AR588" s="34">
        <f t="shared" si="544"/>
        <v>0</v>
      </c>
      <c r="AS588" s="30">
        <f t="shared" si="545"/>
        <v>1.6229564170653454</v>
      </c>
      <c r="AT588" s="29">
        <f t="shared" si="546"/>
        <v>0</v>
      </c>
      <c r="AU588" s="29">
        <f t="shared" si="547"/>
        <v>0</v>
      </c>
      <c r="AV588" s="34">
        <f t="shared" si="548"/>
        <v>0</v>
      </c>
      <c r="AW588" s="34">
        <f t="shared" si="549"/>
        <v>0</v>
      </c>
      <c r="AX588" s="29">
        <f t="shared" si="550"/>
        <v>0</v>
      </c>
      <c r="AY588" s="34">
        <f t="shared" si="551"/>
        <v>0</v>
      </c>
      <c r="AZ588" s="37">
        <f t="shared" si="552"/>
        <v>0</v>
      </c>
      <c r="BA588" s="37">
        <f t="shared" si="553"/>
        <v>0</v>
      </c>
      <c r="BB588" s="35">
        <f t="shared" si="554"/>
        <v>9.6816130989663129E-4</v>
      </c>
      <c r="BC588" s="31">
        <f t="shared" si="555"/>
        <v>0.56828474213126867</v>
      </c>
      <c r="BD588" s="34">
        <f t="shared" si="556"/>
        <v>0</v>
      </c>
    </row>
    <row r="589" spans="1:56" x14ac:dyDescent="0.2">
      <c r="A589" s="27">
        <f t="shared" si="557"/>
        <v>585</v>
      </c>
      <c r="B589" s="28">
        <f t="shared" si="504"/>
        <v>585</v>
      </c>
      <c r="C589" s="27">
        <f t="shared" si="505"/>
        <v>48</v>
      </c>
      <c r="D589" s="28">
        <f t="shared" si="506"/>
        <v>68</v>
      </c>
      <c r="E589" s="29">
        <f t="shared" si="507"/>
        <v>0</v>
      </c>
      <c r="F589" s="30">
        <f t="shared" si="508"/>
        <v>4.7365113081304332E-3</v>
      </c>
      <c r="G589" s="31">
        <f t="shared" si="509"/>
        <v>3.9556875242652279E-4</v>
      </c>
      <c r="H589" s="32">
        <f t="shared" si="510"/>
        <v>0.02</v>
      </c>
      <c r="I589" s="32">
        <f t="shared" si="511"/>
        <v>0</v>
      </c>
      <c r="J589" s="33">
        <f t="shared" si="558"/>
        <v>0</v>
      </c>
      <c r="K589" s="30">
        <f t="shared" si="512"/>
        <v>0</v>
      </c>
      <c r="L589" s="33">
        <f t="shared" si="513"/>
        <v>0</v>
      </c>
      <c r="M589" s="30">
        <f t="shared" si="514"/>
        <v>0</v>
      </c>
      <c r="N589" s="33">
        <f t="shared" si="515"/>
        <v>0</v>
      </c>
      <c r="O589" s="31">
        <f t="shared" si="516"/>
        <v>0</v>
      </c>
      <c r="P589" s="33">
        <f t="shared" si="517"/>
        <v>0</v>
      </c>
      <c r="Q589" s="34">
        <f t="shared" si="559"/>
        <v>811683.16683336266</v>
      </c>
      <c r="R589" s="29">
        <f t="shared" si="518"/>
        <v>0</v>
      </c>
      <c r="S589" s="34">
        <f t="shared" si="519"/>
        <v>811683.16683336266</v>
      </c>
      <c r="T589" s="29">
        <f t="shared" si="520"/>
        <v>676.40263902780225</v>
      </c>
      <c r="U589" s="29">
        <f t="shared" si="521"/>
        <v>0</v>
      </c>
      <c r="V589" s="35">
        <f t="shared" si="522"/>
        <v>4.3512562766917512E-4</v>
      </c>
      <c r="W589" s="34">
        <f t="shared" si="523"/>
        <v>0</v>
      </c>
      <c r="X589" s="34">
        <f t="shared" si="524"/>
        <v>811006.76419433486</v>
      </c>
      <c r="Y589" s="36">
        <f t="shared" si="525"/>
        <v>4.69504620603578E-4</v>
      </c>
      <c r="Z589" s="34">
        <f t="shared" si="526"/>
        <v>380.77142312999666</v>
      </c>
      <c r="AA589" s="34">
        <f t="shared" si="527"/>
        <v>811197.14990589989</v>
      </c>
      <c r="AB589" s="34">
        <f t="shared" si="528"/>
        <v>0</v>
      </c>
      <c r="AC589" s="34">
        <f t="shared" si="529"/>
        <v>0</v>
      </c>
      <c r="AD589" s="34">
        <f t="shared" si="530"/>
        <v>0</v>
      </c>
      <c r="AE589" s="34">
        <f t="shared" si="531"/>
        <v>0</v>
      </c>
      <c r="AF589" s="34">
        <f t="shared" si="532"/>
        <v>0</v>
      </c>
      <c r="AG589" s="29">
        <f t="shared" si="533"/>
        <v>811197.14990589989</v>
      </c>
      <c r="AH589" s="34">
        <f t="shared" si="534"/>
        <v>0</v>
      </c>
      <c r="AI589" s="34">
        <f t="shared" si="535"/>
        <v>0</v>
      </c>
      <c r="AJ589" s="34">
        <f t="shared" si="536"/>
        <v>0</v>
      </c>
      <c r="AK589" s="34">
        <f t="shared" si="537"/>
        <v>0</v>
      </c>
      <c r="AL589" s="34">
        <f t="shared" si="538"/>
        <v>0</v>
      </c>
      <c r="AM589" s="34">
        <f t="shared" si="539"/>
        <v>0</v>
      </c>
      <c r="AN589" s="34">
        <f t="shared" si="540"/>
        <v>0</v>
      </c>
      <c r="AO589" s="34">
        <f t="shared" si="541"/>
        <v>0</v>
      </c>
      <c r="AP589" s="34">
        <f t="shared" si="542"/>
        <v>0</v>
      </c>
      <c r="AQ589" s="34">
        <f t="shared" si="543"/>
        <v>0</v>
      </c>
      <c r="AR589" s="34">
        <f t="shared" si="544"/>
        <v>0</v>
      </c>
      <c r="AS589" s="30">
        <f t="shared" si="545"/>
        <v>1.624302721271224</v>
      </c>
      <c r="AT589" s="29">
        <f t="shared" si="546"/>
        <v>0</v>
      </c>
      <c r="AU589" s="29">
        <f t="shared" si="547"/>
        <v>0</v>
      </c>
      <c r="AV589" s="34">
        <f t="shared" si="548"/>
        <v>0</v>
      </c>
      <c r="AW589" s="34">
        <f t="shared" si="549"/>
        <v>0</v>
      </c>
      <c r="AX589" s="29">
        <f t="shared" si="550"/>
        <v>0</v>
      </c>
      <c r="AY589" s="34">
        <f t="shared" si="551"/>
        <v>0</v>
      </c>
      <c r="AZ589" s="37">
        <f t="shared" si="552"/>
        <v>0</v>
      </c>
      <c r="BA589" s="37">
        <f t="shared" si="553"/>
        <v>0</v>
      </c>
      <c r="BB589" s="35">
        <f t="shared" si="554"/>
        <v>9.6816130989663129E-4</v>
      </c>
      <c r="BC589" s="31">
        <f t="shared" si="555"/>
        <v>0.56773508298964714</v>
      </c>
      <c r="BD589" s="34">
        <f t="shared" si="556"/>
        <v>0</v>
      </c>
    </row>
    <row r="590" spans="1:56" x14ac:dyDescent="0.2">
      <c r="A590" s="27">
        <f t="shared" si="557"/>
        <v>586</v>
      </c>
      <c r="B590" s="28">
        <f t="shared" si="504"/>
        <v>586</v>
      </c>
      <c r="C590" s="27">
        <f t="shared" si="505"/>
        <v>48</v>
      </c>
      <c r="D590" s="28">
        <f t="shared" si="506"/>
        <v>68</v>
      </c>
      <c r="E590" s="29">
        <f t="shared" si="507"/>
        <v>0</v>
      </c>
      <c r="F590" s="30">
        <f t="shared" si="508"/>
        <v>4.7365113081304332E-3</v>
      </c>
      <c r="G590" s="31">
        <f t="shared" si="509"/>
        <v>3.9556875242652279E-4</v>
      </c>
      <c r="H590" s="32">
        <f t="shared" si="510"/>
        <v>0.02</v>
      </c>
      <c r="I590" s="32">
        <f t="shared" si="511"/>
        <v>0</v>
      </c>
      <c r="J590" s="33">
        <f t="shared" si="558"/>
        <v>0</v>
      </c>
      <c r="K590" s="30">
        <f t="shared" si="512"/>
        <v>0</v>
      </c>
      <c r="L590" s="33">
        <f t="shared" si="513"/>
        <v>0</v>
      </c>
      <c r="M590" s="30">
        <f t="shared" si="514"/>
        <v>0</v>
      </c>
      <c r="N590" s="33">
        <f t="shared" si="515"/>
        <v>0</v>
      </c>
      <c r="O590" s="31">
        <f t="shared" si="516"/>
        <v>0</v>
      </c>
      <c r="P590" s="33">
        <f t="shared" si="517"/>
        <v>0</v>
      </c>
      <c r="Q590" s="34">
        <f t="shared" si="559"/>
        <v>811387.5356174648</v>
      </c>
      <c r="R590" s="29">
        <f t="shared" si="518"/>
        <v>0</v>
      </c>
      <c r="S590" s="34">
        <f t="shared" si="519"/>
        <v>811387.5356174648</v>
      </c>
      <c r="T590" s="29">
        <f t="shared" si="520"/>
        <v>676.15627968122067</v>
      </c>
      <c r="U590" s="29">
        <f t="shared" si="521"/>
        <v>0</v>
      </c>
      <c r="V590" s="35">
        <f t="shared" si="522"/>
        <v>4.3512562766917512E-4</v>
      </c>
      <c r="W590" s="34">
        <f t="shared" si="523"/>
        <v>0</v>
      </c>
      <c r="X590" s="34">
        <f t="shared" si="524"/>
        <v>810711.37933778355</v>
      </c>
      <c r="Y590" s="36">
        <f t="shared" si="525"/>
        <v>9.6085769734899351E-4</v>
      </c>
      <c r="Z590" s="34">
        <f t="shared" si="526"/>
        <v>778.97826916512906</v>
      </c>
      <c r="AA590" s="34">
        <f t="shared" si="527"/>
        <v>811100.86847236613</v>
      </c>
      <c r="AB590" s="34">
        <f t="shared" si="528"/>
        <v>0</v>
      </c>
      <c r="AC590" s="34">
        <f t="shared" si="529"/>
        <v>0</v>
      </c>
      <c r="AD590" s="34">
        <f t="shared" si="530"/>
        <v>0</v>
      </c>
      <c r="AE590" s="34">
        <f t="shared" si="531"/>
        <v>0</v>
      </c>
      <c r="AF590" s="34">
        <f t="shared" si="532"/>
        <v>0</v>
      </c>
      <c r="AG590" s="29">
        <f t="shared" si="533"/>
        <v>811100.86847236613</v>
      </c>
      <c r="AH590" s="34">
        <f t="shared" si="534"/>
        <v>0</v>
      </c>
      <c r="AI590" s="34">
        <f t="shared" si="535"/>
        <v>0</v>
      </c>
      <c r="AJ590" s="34">
        <f t="shared" si="536"/>
        <v>0</v>
      </c>
      <c r="AK590" s="34">
        <f t="shared" si="537"/>
        <v>0</v>
      </c>
      <c r="AL590" s="34">
        <f t="shared" si="538"/>
        <v>0</v>
      </c>
      <c r="AM590" s="34">
        <f t="shared" si="539"/>
        <v>0</v>
      </c>
      <c r="AN590" s="34">
        <f t="shared" si="540"/>
        <v>0</v>
      </c>
      <c r="AO590" s="34">
        <f t="shared" si="541"/>
        <v>0</v>
      </c>
      <c r="AP590" s="34">
        <f t="shared" si="542"/>
        <v>0</v>
      </c>
      <c r="AQ590" s="34">
        <f t="shared" si="543"/>
        <v>0</v>
      </c>
      <c r="AR590" s="34">
        <f t="shared" si="544"/>
        <v>0</v>
      </c>
      <c r="AS590" s="30">
        <f t="shared" si="545"/>
        <v>1.6256501422877547</v>
      </c>
      <c r="AT590" s="29">
        <f t="shared" si="546"/>
        <v>0</v>
      </c>
      <c r="AU590" s="29">
        <f t="shared" si="547"/>
        <v>0</v>
      </c>
      <c r="AV590" s="34">
        <f t="shared" si="548"/>
        <v>0</v>
      </c>
      <c r="AW590" s="34">
        <f t="shared" si="549"/>
        <v>0</v>
      </c>
      <c r="AX590" s="29">
        <f t="shared" si="550"/>
        <v>0</v>
      </c>
      <c r="AY590" s="34">
        <f t="shared" si="551"/>
        <v>0</v>
      </c>
      <c r="AZ590" s="37">
        <f t="shared" si="552"/>
        <v>0</v>
      </c>
      <c r="BA590" s="37">
        <f t="shared" si="553"/>
        <v>0</v>
      </c>
      <c r="BB590" s="35">
        <f t="shared" si="554"/>
        <v>9.6816130989663129E-4</v>
      </c>
      <c r="BC590" s="31">
        <f t="shared" si="555"/>
        <v>0.56718595549202311</v>
      </c>
      <c r="BD590" s="34">
        <f t="shared" si="556"/>
        <v>0</v>
      </c>
    </row>
    <row r="591" spans="1:56" x14ac:dyDescent="0.2">
      <c r="A591" s="27">
        <f t="shared" si="557"/>
        <v>587</v>
      </c>
      <c r="B591" s="28">
        <f t="shared" si="504"/>
        <v>587</v>
      </c>
      <c r="C591" s="27">
        <f t="shared" si="505"/>
        <v>48</v>
      </c>
      <c r="D591" s="28">
        <f t="shared" si="506"/>
        <v>68</v>
      </c>
      <c r="E591" s="29">
        <f t="shared" si="507"/>
        <v>0</v>
      </c>
      <c r="F591" s="30">
        <f t="shared" si="508"/>
        <v>4.7365113081304332E-3</v>
      </c>
      <c r="G591" s="31">
        <f t="shared" si="509"/>
        <v>3.9556875242652279E-4</v>
      </c>
      <c r="H591" s="32">
        <f t="shared" si="510"/>
        <v>0.02</v>
      </c>
      <c r="I591" s="32">
        <f t="shared" si="511"/>
        <v>0</v>
      </c>
      <c r="J591" s="33">
        <f t="shared" si="558"/>
        <v>0</v>
      </c>
      <c r="K591" s="30">
        <f t="shared" si="512"/>
        <v>0</v>
      </c>
      <c r="L591" s="33">
        <f t="shared" si="513"/>
        <v>0</v>
      </c>
      <c r="M591" s="30">
        <f t="shared" si="514"/>
        <v>0</v>
      </c>
      <c r="N591" s="33">
        <f t="shared" si="515"/>
        <v>0</v>
      </c>
      <c r="O591" s="31">
        <f t="shared" si="516"/>
        <v>0</v>
      </c>
      <c r="P591" s="33">
        <f t="shared" si="517"/>
        <v>0</v>
      </c>
      <c r="Q591" s="34">
        <f t="shared" si="559"/>
        <v>811490.3576069487</v>
      </c>
      <c r="R591" s="29">
        <f t="shared" si="518"/>
        <v>0</v>
      </c>
      <c r="S591" s="34">
        <f t="shared" si="519"/>
        <v>811490.3576069487</v>
      </c>
      <c r="T591" s="29">
        <f t="shared" si="520"/>
        <v>676.24196467245724</v>
      </c>
      <c r="U591" s="29">
        <f t="shared" si="521"/>
        <v>0</v>
      </c>
      <c r="V591" s="35">
        <f t="shared" si="522"/>
        <v>4.3512562766917512E-4</v>
      </c>
      <c r="W591" s="34">
        <f t="shared" si="523"/>
        <v>0</v>
      </c>
      <c r="X591" s="34">
        <f t="shared" si="524"/>
        <v>810814.11564227624</v>
      </c>
      <c r="Y591" s="36">
        <f t="shared" si="525"/>
        <v>-3.2443493034663984E-3</v>
      </c>
      <c r="Z591" s="34">
        <f t="shared" si="526"/>
        <v>-2630.5642113247427</v>
      </c>
      <c r="AA591" s="34">
        <f t="shared" si="527"/>
        <v>809498.83353661385</v>
      </c>
      <c r="AB591" s="34">
        <f t="shared" si="528"/>
        <v>0</v>
      </c>
      <c r="AC591" s="34">
        <f t="shared" si="529"/>
        <v>0</v>
      </c>
      <c r="AD591" s="34">
        <f t="shared" si="530"/>
        <v>0</v>
      </c>
      <c r="AE591" s="34">
        <f t="shared" si="531"/>
        <v>0</v>
      </c>
      <c r="AF591" s="34">
        <f t="shared" si="532"/>
        <v>0</v>
      </c>
      <c r="AG591" s="29">
        <f t="shared" si="533"/>
        <v>809498.83353661385</v>
      </c>
      <c r="AH591" s="34">
        <f t="shared" si="534"/>
        <v>0</v>
      </c>
      <c r="AI591" s="34">
        <f t="shared" si="535"/>
        <v>0</v>
      </c>
      <c r="AJ591" s="34">
        <f t="shared" si="536"/>
        <v>0</v>
      </c>
      <c r="AK591" s="34">
        <f t="shared" si="537"/>
        <v>0</v>
      </c>
      <c r="AL591" s="34">
        <f t="shared" si="538"/>
        <v>0</v>
      </c>
      <c r="AM591" s="34">
        <f t="shared" si="539"/>
        <v>0</v>
      </c>
      <c r="AN591" s="34">
        <f t="shared" si="540"/>
        <v>0</v>
      </c>
      <c r="AO591" s="34">
        <f t="shared" si="541"/>
        <v>0</v>
      </c>
      <c r="AP591" s="34">
        <f t="shared" si="542"/>
        <v>0</v>
      </c>
      <c r="AQ591" s="34">
        <f t="shared" si="543"/>
        <v>0</v>
      </c>
      <c r="AR591" s="34">
        <f t="shared" si="544"/>
        <v>0</v>
      </c>
      <c r="AS591" s="30">
        <f t="shared" si="545"/>
        <v>1.6269986810413748</v>
      </c>
      <c r="AT591" s="29">
        <f t="shared" si="546"/>
        <v>0</v>
      </c>
      <c r="AU591" s="29">
        <f t="shared" si="547"/>
        <v>0</v>
      </c>
      <c r="AV591" s="34">
        <f t="shared" si="548"/>
        <v>0</v>
      </c>
      <c r="AW591" s="34">
        <f t="shared" si="549"/>
        <v>0</v>
      </c>
      <c r="AX591" s="29">
        <f t="shared" si="550"/>
        <v>0</v>
      </c>
      <c r="AY591" s="34">
        <f t="shared" si="551"/>
        <v>0</v>
      </c>
      <c r="AZ591" s="37">
        <f t="shared" si="552"/>
        <v>0</v>
      </c>
      <c r="BA591" s="37">
        <f t="shared" si="553"/>
        <v>0</v>
      </c>
      <c r="BB591" s="35">
        <f t="shared" si="554"/>
        <v>9.6816130989663129E-4</v>
      </c>
      <c r="BC591" s="31">
        <f t="shared" si="555"/>
        <v>0.56663735912417701</v>
      </c>
      <c r="BD591" s="34">
        <f t="shared" si="556"/>
        <v>0</v>
      </c>
    </row>
    <row r="592" spans="1:56" x14ac:dyDescent="0.2">
      <c r="A592" s="27">
        <f t="shared" si="557"/>
        <v>588</v>
      </c>
      <c r="B592" s="28">
        <f t="shared" si="504"/>
        <v>588</v>
      </c>
      <c r="C592" s="27">
        <f t="shared" si="505"/>
        <v>49</v>
      </c>
      <c r="D592" s="28">
        <f t="shared" si="506"/>
        <v>69</v>
      </c>
      <c r="E592" s="29">
        <f t="shared" si="507"/>
        <v>0</v>
      </c>
      <c r="F592" s="30">
        <f t="shared" si="508"/>
        <v>5.1708639202584549E-3</v>
      </c>
      <c r="G592" s="31">
        <f t="shared" si="509"/>
        <v>4.3192994992879985E-4</v>
      </c>
      <c r="H592" s="32">
        <f t="shared" si="510"/>
        <v>0.02</v>
      </c>
      <c r="I592" s="32">
        <f t="shared" si="511"/>
        <v>0</v>
      </c>
      <c r="J592" s="33">
        <f t="shared" si="558"/>
        <v>0</v>
      </c>
      <c r="K592" s="30">
        <f t="shared" si="512"/>
        <v>0</v>
      </c>
      <c r="L592" s="33">
        <f t="shared" si="513"/>
        <v>0</v>
      </c>
      <c r="M592" s="30">
        <f t="shared" si="514"/>
        <v>0</v>
      </c>
      <c r="N592" s="33">
        <f t="shared" si="515"/>
        <v>0</v>
      </c>
      <c r="O592" s="31">
        <f t="shared" si="516"/>
        <v>0</v>
      </c>
      <c r="P592" s="33">
        <f t="shared" si="517"/>
        <v>0</v>
      </c>
      <c r="Q592" s="34">
        <f t="shared" si="559"/>
        <v>808183.55143095145</v>
      </c>
      <c r="R592" s="29">
        <f t="shared" si="518"/>
        <v>0</v>
      </c>
      <c r="S592" s="34">
        <f t="shared" si="519"/>
        <v>808183.55143095145</v>
      </c>
      <c r="T592" s="29">
        <f t="shared" si="520"/>
        <v>673.48629285912625</v>
      </c>
      <c r="U592" s="29">
        <f t="shared" si="521"/>
        <v>0</v>
      </c>
      <c r="V592" s="35">
        <f t="shared" si="522"/>
        <v>4.7512294492167988E-4</v>
      </c>
      <c r="W592" s="34">
        <f t="shared" si="523"/>
        <v>0</v>
      </c>
      <c r="X592" s="34">
        <f t="shared" si="524"/>
        <v>807510.06513809238</v>
      </c>
      <c r="Y592" s="36">
        <f t="shared" si="525"/>
        <v>1.1379689581286101E-2</v>
      </c>
      <c r="Z592" s="34">
        <f t="shared" si="526"/>
        <v>9189.2138750356098</v>
      </c>
      <c r="AA592" s="34">
        <f t="shared" si="527"/>
        <v>812104.67207561014</v>
      </c>
      <c r="AB592" s="34">
        <f t="shared" si="528"/>
        <v>0</v>
      </c>
      <c r="AC592" s="34">
        <f t="shared" si="529"/>
        <v>0</v>
      </c>
      <c r="AD592" s="34">
        <f t="shared" si="530"/>
        <v>0</v>
      </c>
      <c r="AE592" s="34">
        <f t="shared" si="531"/>
        <v>0</v>
      </c>
      <c r="AF592" s="34">
        <f t="shared" si="532"/>
        <v>0</v>
      </c>
      <c r="AG592" s="29">
        <f t="shared" si="533"/>
        <v>812104.67207561014</v>
      </c>
      <c r="AH592" s="34">
        <f t="shared" si="534"/>
        <v>0</v>
      </c>
      <c r="AI592" s="34">
        <f t="shared" si="535"/>
        <v>0</v>
      </c>
      <c r="AJ592" s="34">
        <f t="shared" si="536"/>
        <v>0</v>
      </c>
      <c r="AK592" s="34">
        <f t="shared" si="537"/>
        <v>0</v>
      </c>
      <c r="AL592" s="34">
        <f t="shared" si="538"/>
        <v>0</v>
      </c>
      <c r="AM592" s="34">
        <f t="shared" si="539"/>
        <v>0</v>
      </c>
      <c r="AN592" s="34">
        <f t="shared" si="540"/>
        <v>0</v>
      </c>
      <c r="AO592" s="34">
        <f t="shared" si="541"/>
        <v>0</v>
      </c>
      <c r="AP592" s="34">
        <f t="shared" si="542"/>
        <v>0</v>
      </c>
      <c r="AQ592" s="34">
        <f t="shared" si="543"/>
        <v>0</v>
      </c>
      <c r="AR592" s="34">
        <f t="shared" si="544"/>
        <v>0</v>
      </c>
      <c r="AS592" s="30">
        <f t="shared" si="545"/>
        <v>1.6283483384592901</v>
      </c>
      <c r="AT592" s="29">
        <f t="shared" si="546"/>
        <v>0</v>
      </c>
      <c r="AU592" s="29">
        <f t="shared" si="547"/>
        <v>0</v>
      </c>
      <c r="AV592" s="34">
        <f t="shared" si="548"/>
        <v>0</v>
      </c>
      <c r="AW592" s="34">
        <f t="shared" si="549"/>
        <v>0</v>
      </c>
      <c r="AX592" s="29">
        <f t="shared" si="550"/>
        <v>0</v>
      </c>
      <c r="AY592" s="34">
        <f t="shared" si="551"/>
        <v>0</v>
      </c>
      <c r="AZ592" s="37">
        <f t="shared" si="552"/>
        <v>0</v>
      </c>
      <c r="BA592" s="37">
        <f t="shared" si="553"/>
        <v>0</v>
      </c>
      <c r="BB592" s="35">
        <f t="shared" si="554"/>
        <v>9.6486321069222392E-4</v>
      </c>
      <c r="BC592" s="31">
        <f t="shared" si="555"/>
        <v>0.56718710342866108</v>
      </c>
      <c r="BD592" s="34">
        <f t="shared" si="556"/>
        <v>0</v>
      </c>
    </row>
    <row r="593" spans="1:56" x14ac:dyDescent="0.2">
      <c r="A593" s="27">
        <f t="shared" si="557"/>
        <v>589</v>
      </c>
      <c r="B593" s="28">
        <f t="shared" si="504"/>
        <v>589</v>
      </c>
      <c r="C593" s="27">
        <f t="shared" si="505"/>
        <v>49</v>
      </c>
      <c r="D593" s="28">
        <f t="shared" si="506"/>
        <v>69</v>
      </c>
      <c r="E593" s="29">
        <f t="shared" si="507"/>
        <v>0</v>
      </c>
      <c r="F593" s="30">
        <f t="shared" si="508"/>
        <v>5.1708639202584549E-3</v>
      </c>
      <c r="G593" s="31">
        <f t="shared" si="509"/>
        <v>4.3192994992879985E-4</v>
      </c>
      <c r="H593" s="32">
        <f t="shared" si="510"/>
        <v>0.02</v>
      </c>
      <c r="I593" s="32">
        <f t="shared" si="511"/>
        <v>0</v>
      </c>
      <c r="J593" s="33">
        <f t="shared" si="558"/>
        <v>0</v>
      </c>
      <c r="K593" s="30">
        <f t="shared" si="512"/>
        <v>0</v>
      </c>
      <c r="L593" s="33">
        <f t="shared" si="513"/>
        <v>0</v>
      </c>
      <c r="M593" s="30">
        <f t="shared" si="514"/>
        <v>0</v>
      </c>
      <c r="N593" s="33">
        <f t="shared" si="515"/>
        <v>0</v>
      </c>
      <c r="O593" s="31">
        <f t="shared" si="516"/>
        <v>0</v>
      </c>
      <c r="P593" s="33">
        <f t="shared" si="517"/>
        <v>0</v>
      </c>
      <c r="Q593" s="34">
        <f t="shared" si="559"/>
        <v>816699.27901312802</v>
      </c>
      <c r="R593" s="29">
        <f t="shared" si="518"/>
        <v>0</v>
      </c>
      <c r="S593" s="34">
        <f t="shared" si="519"/>
        <v>816699.27901312802</v>
      </c>
      <c r="T593" s="29">
        <f t="shared" si="520"/>
        <v>680.5827325109401</v>
      </c>
      <c r="U593" s="29">
        <f t="shared" si="521"/>
        <v>0</v>
      </c>
      <c r="V593" s="35">
        <f t="shared" si="522"/>
        <v>4.7512294492167988E-4</v>
      </c>
      <c r="W593" s="34">
        <f t="shared" si="523"/>
        <v>0</v>
      </c>
      <c r="X593" s="34">
        <f t="shared" si="524"/>
        <v>816018.69628061703</v>
      </c>
      <c r="Y593" s="36">
        <f t="shared" si="525"/>
        <v>7.1280608406660839E-3</v>
      </c>
      <c r="Z593" s="34">
        <f t="shared" si="526"/>
        <v>5816.6309142092568</v>
      </c>
      <c r="AA593" s="34">
        <f t="shared" si="527"/>
        <v>818927.01173772162</v>
      </c>
      <c r="AB593" s="34">
        <f t="shared" si="528"/>
        <v>0</v>
      </c>
      <c r="AC593" s="34">
        <f t="shared" si="529"/>
        <v>0</v>
      </c>
      <c r="AD593" s="34">
        <f t="shared" si="530"/>
        <v>0</v>
      </c>
      <c r="AE593" s="34">
        <f t="shared" si="531"/>
        <v>0</v>
      </c>
      <c r="AF593" s="34">
        <f t="shared" si="532"/>
        <v>0</v>
      </c>
      <c r="AG593" s="29">
        <f t="shared" si="533"/>
        <v>818927.01173772162</v>
      </c>
      <c r="AH593" s="34">
        <f t="shared" si="534"/>
        <v>0</v>
      </c>
      <c r="AI593" s="34">
        <f t="shared" si="535"/>
        <v>0</v>
      </c>
      <c r="AJ593" s="34">
        <f t="shared" si="536"/>
        <v>0</v>
      </c>
      <c r="AK593" s="34">
        <f t="shared" si="537"/>
        <v>0</v>
      </c>
      <c r="AL593" s="34">
        <f t="shared" si="538"/>
        <v>0</v>
      </c>
      <c r="AM593" s="34">
        <f t="shared" si="539"/>
        <v>0</v>
      </c>
      <c r="AN593" s="34">
        <f t="shared" si="540"/>
        <v>0</v>
      </c>
      <c r="AO593" s="34">
        <f t="shared" si="541"/>
        <v>0</v>
      </c>
      <c r="AP593" s="34">
        <f t="shared" si="542"/>
        <v>0</v>
      </c>
      <c r="AQ593" s="34">
        <f t="shared" si="543"/>
        <v>0</v>
      </c>
      <c r="AR593" s="34">
        <f t="shared" si="544"/>
        <v>0</v>
      </c>
      <c r="AS593" s="30">
        <f t="shared" si="545"/>
        <v>1.629699115469474</v>
      </c>
      <c r="AT593" s="29">
        <f t="shared" si="546"/>
        <v>0</v>
      </c>
      <c r="AU593" s="29">
        <f t="shared" si="547"/>
        <v>0</v>
      </c>
      <c r="AV593" s="34">
        <f t="shared" si="548"/>
        <v>0</v>
      </c>
      <c r="AW593" s="34">
        <f t="shared" si="549"/>
        <v>0</v>
      </c>
      <c r="AX593" s="29">
        <f t="shared" si="550"/>
        <v>0</v>
      </c>
      <c r="AY593" s="34">
        <f t="shared" si="551"/>
        <v>0</v>
      </c>
      <c r="AZ593" s="37">
        <f t="shared" si="552"/>
        <v>0</v>
      </c>
      <c r="BA593" s="37">
        <f t="shared" si="553"/>
        <v>0</v>
      </c>
      <c r="BB593" s="35">
        <f t="shared" si="554"/>
        <v>9.6486321069222392E-4</v>
      </c>
      <c r="BC593" s="31">
        <f t="shared" si="555"/>
        <v>0.56664037297908065</v>
      </c>
      <c r="BD593" s="34">
        <f t="shared" si="556"/>
        <v>0</v>
      </c>
    </row>
    <row r="594" spans="1:56" x14ac:dyDescent="0.2">
      <c r="A594" s="27">
        <f t="shared" si="557"/>
        <v>590</v>
      </c>
      <c r="B594" s="28">
        <f t="shared" si="504"/>
        <v>590</v>
      </c>
      <c r="C594" s="27">
        <f t="shared" si="505"/>
        <v>49</v>
      </c>
      <c r="D594" s="28">
        <f t="shared" si="506"/>
        <v>69</v>
      </c>
      <c r="E594" s="29">
        <f t="shared" si="507"/>
        <v>0</v>
      </c>
      <c r="F594" s="30">
        <f t="shared" si="508"/>
        <v>5.1708639202584549E-3</v>
      </c>
      <c r="G594" s="31">
        <f t="shared" si="509"/>
        <v>4.3192994992879985E-4</v>
      </c>
      <c r="H594" s="32">
        <f t="shared" si="510"/>
        <v>0.02</v>
      </c>
      <c r="I594" s="32">
        <f t="shared" si="511"/>
        <v>0</v>
      </c>
      <c r="J594" s="33">
        <f t="shared" si="558"/>
        <v>0</v>
      </c>
      <c r="K594" s="30">
        <f t="shared" si="512"/>
        <v>0</v>
      </c>
      <c r="L594" s="33">
        <f t="shared" si="513"/>
        <v>0</v>
      </c>
      <c r="M594" s="30">
        <f t="shared" si="514"/>
        <v>0</v>
      </c>
      <c r="N594" s="33">
        <f t="shared" si="515"/>
        <v>0</v>
      </c>
      <c r="O594" s="31">
        <f t="shared" si="516"/>
        <v>0</v>
      </c>
      <c r="P594" s="33">
        <f t="shared" si="517"/>
        <v>0</v>
      </c>
      <c r="Q594" s="34">
        <f t="shared" si="559"/>
        <v>821835.32719482633</v>
      </c>
      <c r="R594" s="29">
        <f t="shared" si="518"/>
        <v>0</v>
      </c>
      <c r="S594" s="34">
        <f t="shared" si="519"/>
        <v>821835.32719482633</v>
      </c>
      <c r="T594" s="29">
        <f t="shared" si="520"/>
        <v>684.86277266235527</v>
      </c>
      <c r="U594" s="29">
        <f t="shared" si="521"/>
        <v>0</v>
      </c>
      <c r="V594" s="35">
        <f t="shared" si="522"/>
        <v>4.7512294492167988E-4</v>
      </c>
      <c r="W594" s="34">
        <f t="shared" si="523"/>
        <v>0</v>
      </c>
      <c r="X594" s="34">
        <f t="shared" si="524"/>
        <v>821150.46442216402</v>
      </c>
      <c r="Y594" s="36">
        <f t="shared" si="525"/>
        <v>5.3600712226515856E-3</v>
      </c>
      <c r="Z594" s="34">
        <f t="shared" si="526"/>
        <v>4401.4249738162262</v>
      </c>
      <c r="AA594" s="34">
        <f t="shared" si="527"/>
        <v>823351.17690907209</v>
      </c>
      <c r="AB594" s="34">
        <f t="shared" si="528"/>
        <v>0</v>
      </c>
      <c r="AC594" s="34">
        <f t="shared" si="529"/>
        <v>0</v>
      </c>
      <c r="AD594" s="34">
        <f t="shared" si="530"/>
        <v>0</v>
      </c>
      <c r="AE594" s="34">
        <f t="shared" si="531"/>
        <v>0</v>
      </c>
      <c r="AF594" s="34">
        <f t="shared" si="532"/>
        <v>0</v>
      </c>
      <c r="AG594" s="29">
        <f t="shared" si="533"/>
        <v>823351.17690907209</v>
      </c>
      <c r="AH594" s="34">
        <f t="shared" si="534"/>
        <v>0</v>
      </c>
      <c r="AI594" s="34">
        <f t="shared" si="535"/>
        <v>0</v>
      </c>
      <c r="AJ594" s="34">
        <f t="shared" si="536"/>
        <v>0</v>
      </c>
      <c r="AK594" s="34">
        <f t="shared" si="537"/>
        <v>0</v>
      </c>
      <c r="AL594" s="34">
        <f t="shared" si="538"/>
        <v>0</v>
      </c>
      <c r="AM594" s="34">
        <f t="shared" si="539"/>
        <v>0</v>
      </c>
      <c r="AN594" s="34">
        <f t="shared" si="540"/>
        <v>0</v>
      </c>
      <c r="AO594" s="34">
        <f t="shared" si="541"/>
        <v>0</v>
      </c>
      <c r="AP594" s="34">
        <f t="shared" si="542"/>
        <v>0</v>
      </c>
      <c r="AQ594" s="34">
        <f t="shared" si="543"/>
        <v>0</v>
      </c>
      <c r="AR594" s="34">
        <f t="shared" si="544"/>
        <v>0</v>
      </c>
      <c r="AS594" s="30">
        <f t="shared" si="545"/>
        <v>1.6310510130006723</v>
      </c>
      <c r="AT594" s="29">
        <f t="shared" si="546"/>
        <v>0</v>
      </c>
      <c r="AU594" s="29">
        <f t="shared" si="547"/>
        <v>0</v>
      </c>
      <c r="AV594" s="34">
        <f t="shared" si="548"/>
        <v>0</v>
      </c>
      <c r="AW594" s="34">
        <f t="shared" si="549"/>
        <v>0</v>
      </c>
      <c r="AX594" s="29">
        <f t="shared" si="550"/>
        <v>0</v>
      </c>
      <c r="AY594" s="34">
        <f t="shared" si="551"/>
        <v>0</v>
      </c>
      <c r="AZ594" s="37">
        <f t="shared" si="552"/>
        <v>0</v>
      </c>
      <c r="BA594" s="37">
        <f t="shared" si="553"/>
        <v>0</v>
      </c>
      <c r="BB594" s="35">
        <f t="shared" si="554"/>
        <v>9.6486321069222392E-4</v>
      </c>
      <c r="BC594" s="31">
        <f t="shared" si="555"/>
        <v>0.56609416954110314</v>
      </c>
      <c r="BD594" s="34">
        <f t="shared" si="556"/>
        <v>0</v>
      </c>
    </row>
    <row r="595" spans="1:56" x14ac:dyDescent="0.2">
      <c r="A595" s="27">
        <f t="shared" si="557"/>
        <v>591</v>
      </c>
      <c r="B595" s="28">
        <f t="shared" si="504"/>
        <v>591</v>
      </c>
      <c r="C595" s="27">
        <f t="shared" si="505"/>
        <v>49</v>
      </c>
      <c r="D595" s="28">
        <f t="shared" si="506"/>
        <v>69</v>
      </c>
      <c r="E595" s="29">
        <f t="shared" si="507"/>
        <v>0</v>
      </c>
      <c r="F595" s="30">
        <f t="shared" si="508"/>
        <v>5.1708639202584549E-3</v>
      </c>
      <c r="G595" s="31">
        <f t="shared" si="509"/>
        <v>4.3192994992879985E-4</v>
      </c>
      <c r="H595" s="32">
        <f t="shared" si="510"/>
        <v>0.02</v>
      </c>
      <c r="I595" s="32">
        <f t="shared" si="511"/>
        <v>0</v>
      </c>
      <c r="J595" s="33">
        <f t="shared" si="558"/>
        <v>0</v>
      </c>
      <c r="K595" s="30">
        <f t="shared" si="512"/>
        <v>0</v>
      </c>
      <c r="L595" s="33">
        <f t="shared" si="513"/>
        <v>0</v>
      </c>
      <c r="M595" s="30">
        <f t="shared" si="514"/>
        <v>0</v>
      </c>
      <c r="N595" s="33">
        <f t="shared" si="515"/>
        <v>0</v>
      </c>
      <c r="O595" s="31">
        <f t="shared" si="516"/>
        <v>0</v>
      </c>
      <c r="P595" s="33">
        <f t="shared" si="517"/>
        <v>0</v>
      </c>
      <c r="Q595" s="34">
        <f t="shared" si="559"/>
        <v>825551.88939598028</v>
      </c>
      <c r="R595" s="29">
        <f t="shared" si="518"/>
        <v>0</v>
      </c>
      <c r="S595" s="34">
        <f t="shared" si="519"/>
        <v>825551.88939598028</v>
      </c>
      <c r="T595" s="29">
        <f t="shared" si="520"/>
        <v>687.95990782998365</v>
      </c>
      <c r="U595" s="29">
        <f t="shared" si="521"/>
        <v>0</v>
      </c>
      <c r="V595" s="35">
        <f t="shared" si="522"/>
        <v>4.7512294492167988E-4</v>
      </c>
      <c r="W595" s="34">
        <f t="shared" si="523"/>
        <v>0</v>
      </c>
      <c r="X595" s="34">
        <f t="shared" si="524"/>
        <v>824863.92948815029</v>
      </c>
      <c r="Y595" s="36">
        <f t="shared" si="525"/>
        <v>-2.3181660654236769E-3</v>
      </c>
      <c r="Z595" s="34">
        <f t="shared" si="526"/>
        <v>-1912.1715699314586</v>
      </c>
      <c r="AA595" s="34">
        <f t="shared" si="527"/>
        <v>823907.84370318451</v>
      </c>
      <c r="AB595" s="34">
        <f t="shared" si="528"/>
        <v>0</v>
      </c>
      <c r="AC595" s="34">
        <f t="shared" si="529"/>
        <v>0</v>
      </c>
      <c r="AD595" s="34">
        <f t="shared" si="530"/>
        <v>0</v>
      </c>
      <c r="AE595" s="34">
        <f t="shared" si="531"/>
        <v>0</v>
      </c>
      <c r="AF595" s="34">
        <f t="shared" si="532"/>
        <v>0</v>
      </c>
      <c r="AG595" s="29">
        <f t="shared" si="533"/>
        <v>823907.84370318451</v>
      </c>
      <c r="AH595" s="34">
        <f t="shared" si="534"/>
        <v>0</v>
      </c>
      <c r="AI595" s="34">
        <f t="shared" si="535"/>
        <v>0</v>
      </c>
      <c r="AJ595" s="34">
        <f t="shared" si="536"/>
        <v>0</v>
      </c>
      <c r="AK595" s="34">
        <f t="shared" si="537"/>
        <v>0</v>
      </c>
      <c r="AL595" s="34">
        <f t="shared" si="538"/>
        <v>0</v>
      </c>
      <c r="AM595" s="34">
        <f t="shared" si="539"/>
        <v>0</v>
      </c>
      <c r="AN595" s="34">
        <f t="shared" si="540"/>
        <v>0</v>
      </c>
      <c r="AO595" s="34">
        <f t="shared" si="541"/>
        <v>0</v>
      </c>
      <c r="AP595" s="34">
        <f t="shared" si="542"/>
        <v>0</v>
      </c>
      <c r="AQ595" s="34">
        <f t="shared" si="543"/>
        <v>0</v>
      </c>
      <c r="AR595" s="34">
        <f t="shared" si="544"/>
        <v>0</v>
      </c>
      <c r="AS595" s="30">
        <f t="shared" si="545"/>
        <v>1.6324040319823996</v>
      </c>
      <c r="AT595" s="29">
        <f t="shared" si="546"/>
        <v>0</v>
      </c>
      <c r="AU595" s="29">
        <f t="shared" si="547"/>
        <v>0</v>
      </c>
      <c r="AV595" s="34">
        <f t="shared" si="548"/>
        <v>0</v>
      </c>
      <c r="AW595" s="34">
        <f t="shared" si="549"/>
        <v>0</v>
      </c>
      <c r="AX595" s="29">
        <f t="shared" si="550"/>
        <v>0</v>
      </c>
      <c r="AY595" s="34">
        <f t="shared" si="551"/>
        <v>0</v>
      </c>
      <c r="AZ595" s="37">
        <f t="shared" si="552"/>
        <v>0</v>
      </c>
      <c r="BA595" s="37">
        <f t="shared" si="553"/>
        <v>0</v>
      </c>
      <c r="BB595" s="35">
        <f t="shared" si="554"/>
        <v>9.6486321069222392E-4</v>
      </c>
      <c r="BC595" s="31">
        <f t="shared" si="555"/>
        <v>0.56554849260672435</v>
      </c>
      <c r="BD595" s="34">
        <f t="shared" si="556"/>
        <v>0</v>
      </c>
    </row>
    <row r="596" spans="1:56" x14ac:dyDescent="0.2">
      <c r="A596" s="27">
        <f t="shared" si="557"/>
        <v>592</v>
      </c>
      <c r="B596" s="28">
        <f t="shared" si="504"/>
        <v>592</v>
      </c>
      <c r="C596" s="27">
        <f t="shared" si="505"/>
        <v>49</v>
      </c>
      <c r="D596" s="28">
        <f t="shared" si="506"/>
        <v>69</v>
      </c>
      <c r="E596" s="29">
        <f t="shared" si="507"/>
        <v>0</v>
      </c>
      <c r="F596" s="30">
        <f t="shared" si="508"/>
        <v>5.1708639202584549E-3</v>
      </c>
      <c r="G596" s="31">
        <f t="shared" si="509"/>
        <v>4.3192994992879985E-4</v>
      </c>
      <c r="H596" s="32">
        <f t="shared" si="510"/>
        <v>0.02</v>
      </c>
      <c r="I596" s="32">
        <f t="shared" si="511"/>
        <v>0</v>
      </c>
      <c r="J596" s="33">
        <f t="shared" si="558"/>
        <v>0</v>
      </c>
      <c r="K596" s="30">
        <f t="shared" si="512"/>
        <v>0</v>
      </c>
      <c r="L596" s="33">
        <f t="shared" si="513"/>
        <v>0</v>
      </c>
      <c r="M596" s="30">
        <f t="shared" si="514"/>
        <v>0</v>
      </c>
      <c r="N596" s="33">
        <f t="shared" si="515"/>
        <v>0</v>
      </c>
      <c r="O596" s="31">
        <f t="shared" si="516"/>
        <v>0</v>
      </c>
      <c r="P596" s="33">
        <f t="shared" si="517"/>
        <v>0</v>
      </c>
      <c r="Q596" s="34">
        <f t="shared" si="559"/>
        <v>822951.75791821885</v>
      </c>
      <c r="R596" s="29">
        <f t="shared" si="518"/>
        <v>0</v>
      </c>
      <c r="S596" s="34">
        <f t="shared" si="519"/>
        <v>822951.75791821885</v>
      </c>
      <c r="T596" s="29">
        <f t="shared" si="520"/>
        <v>685.79313159851574</v>
      </c>
      <c r="U596" s="29">
        <f t="shared" si="521"/>
        <v>0</v>
      </c>
      <c r="V596" s="35">
        <f t="shared" si="522"/>
        <v>4.7512294492167988E-4</v>
      </c>
      <c r="W596" s="34">
        <f t="shared" si="523"/>
        <v>0</v>
      </c>
      <c r="X596" s="34">
        <f t="shared" si="524"/>
        <v>822265.96478662034</v>
      </c>
      <c r="Y596" s="36">
        <f t="shared" si="525"/>
        <v>-3.2019787631412111E-3</v>
      </c>
      <c r="Z596" s="34">
        <f t="shared" si="526"/>
        <v>-2632.8781569005773</v>
      </c>
      <c r="AA596" s="34">
        <f t="shared" si="527"/>
        <v>820949.52570817003</v>
      </c>
      <c r="AB596" s="34">
        <f t="shared" si="528"/>
        <v>0</v>
      </c>
      <c r="AC596" s="34">
        <f t="shared" si="529"/>
        <v>0</v>
      </c>
      <c r="AD596" s="34">
        <f t="shared" si="530"/>
        <v>0</v>
      </c>
      <c r="AE596" s="34">
        <f t="shared" si="531"/>
        <v>0</v>
      </c>
      <c r="AF596" s="34">
        <f t="shared" si="532"/>
        <v>0</v>
      </c>
      <c r="AG596" s="29">
        <f t="shared" si="533"/>
        <v>820949.52570817003</v>
      </c>
      <c r="AH596" s="34">
        <f t="shared" si="534"/>
        <v>0</v>
      </c>
      <c r="AI596" s="34">
        <f t="shared" si="535"/>
        <v>0</v>
      </c>
      <c r="AJ596" s="34">
        <f t="shared" si="536"/>
        <v>0</v>
      </c>
      <c r="AK596" s="34">
        <f t="shared" si="537"/>
        <v>0</v>
      </c>
      <c r="AL596" s="34">
        <f t="shared" si="538"/>
        <v>0</v>
      </c>
      <c r="AM596" s="34">
        <f t="shared" si="539"/>
        <v>0</v>
      </c>
      <c r="AN596" s="34">
        <f t="shared" si="540"/>
        <v>0</v>
      </c>
      <c r="AO596" s="34">
        <f t="shared" si="541"/>
        <v>0</v>
      </c>
      <c r="AP596" s="34">
        <f t="shared" si="542"/>
        <v>0</v>
      </c>
      <c r="AQ596" s="34">
        <f t="shared" si="543"/>
        <v>0</v>
      </c>
      <c r="AR596" s="34">
        <f t="shared" si="544"/>
        <v>0</v>
      </c>
      <c r="AS596" s="30">
        <f t="shared" si="545"/>
        <v>1.6337581733449413</v>
      </c>
      <c r="AT596" s="29">
        <f t="shared" si="546"/>
        <v>0</v>
      </c>
      <c r="AU596" s="29">
        <f t="shared" si="547"/>
        <v>0</v>
      </c>
      <c r="AV596" s="34">
        <f t="shared" si="548"/>
        <v>0</v>
      </c>
      <c r="AW596" s="34">
        <f t="shared" si="549"/>
        <v>0</v>
      </c>
      <c r="AX596" s="29">
        <f t="shared" si="550"/>
        <v>0</v>
      </c>
      <c r="AY596" s="34">
        <f t="shared" si="551"/>
        <v>0</v>
      </c>
      <c r="AZ596" s="37">
        <f t="shared" si="552"/>
        <v>0</v>
      </c>
      <c r="BA596" s="37">
        <f t="shared" si="553"/>
        <v>0</v>
      </c>
      <c r="BB596" s="35">
        <f t="shared" si="554"/>
        <v>9.6486321069222392E-4</v>
      </c>
      <c r="BC596" s="31">
        <f t="shared" si="555"/>
        <v>0.56500334166843036</v>
      </c>
      <c r="BD596" s="34">
        <f t="shared" si="556"/>
        <v>0</v>
      </c>
    </row>
    <row r="597" spans="1:56" x14ac:dyDescent="0.2">
      <c r="A597" s="27">
        <f t="shared" si="557"/>
        <v>593</v>
      </c>
      <c r="B597" s="28">
        <f t="shared" si="504"/>
        <v>593</v>
      </c>
      <c r="C597" s="27">
        <f t="shared" si="505"/>
        <v>49</v>
      </c>
      <c r="D597" s="28">
        <f t="shared" si="506"/>
        <v>69</v>
      </c>
      <c r="E597" s="29">
        <f t="shared" si="507"/>
        <v>0</v>
      </c>
      <c r="F597" s="30">
        <f t="shared" si="508"/>
        <v>5.1708639202584549E-3</v>
      </c>
      <c r="G597" s="31">
        <f t="shared" si="509"/>
        <v>4.3192994992879985E-4</v>
      </c>
      <c r="H597" s="32">
        <f t="shared" si="510"/>
        <v>0.02</v>
      </c>
      <c r="I597" s="32">
        <f t="shared" si="511"/>
        <v>0</v>
      </c>
      <c r="J597" s="33">
        <f t="shared" si="558"/>
        <v>0</v>
      </c>
      <c r="K597" s="30">
        <f t="shared" si="512"/>
        <v>0</v>
      </c>
      <c r="L597" s="33">
        <f t="shared" si="513"/>
        <v>0</v>
      </c>
      <c r="M597" s="30">
        <f t="shared" si="514"/>
        <v>0</v>
      </c>
      <c r="N597" s="33">
        <f t="shared" si="515"/>
        <v>0</v>
      </c>
      <c r="O597" s="31">
        <f t="shared" si="516"/>
        <v>0</v>
      </c>
      <c r="P597" s="33">
        <f t="shared" si="517"/>
        <v>0</v>
      </c>
      <c r="Q597" s="34">
        <f t="shared" si="559"/>
        <v>819633.08662971982</v>
      </c>
      <c r="R597" s="29">
        <f t="shared" si="518"/>
        <v>0</v>
      </c>
      <c r="S597" s="34">
        <f t="shared" si="519"/>
        <v>819633.08662971982</v>
      </c>
      <c r="T597" s="29">
        <f t="shared" si="520"/>
        <v>683.02757219143325</v>
      </c>
      <c r="U597" s="29">
        <f t="shared" si="521"/>
        <v>0</v>
      </c>
      <c r="V597" s="35">
        <f t="shared" si="522"/>
        <v>4.7512294492167988E-4</v>
      </c>
      <c r="W597" s="34">
        <f t="shared" si="523"/>
        <v>0</v>
      </c>
      <c r="X597" s="34">
        <f t="shared" si="524"/>
        <v>818950.05905752839</v>
      </c>
      <c r="Y597" s="36">
        <f t="shared" si="525"/>
        <v>4.6771117613864099E-3</v>
      </c>
      <c r="Z597" s="34">
        <f t="shared" si="526"/>
        <v>3830.3209532060609</v>
      </c>
      <c r="AA597" s="34">
        <f t="shared" si="527"/>
        <v>820865.21953413147</v>
      </c>
      <c r="AB597" s="34">
        <f t="shared" si="528"/>
        <v>0</v>
      </c>
      <c r="AC597" s="34">
        <f t="shared" si="529"/>
        <v>0</v>
      </c>
      <c r="AD597" s="34">
        <f t="shared" si="530"/>
        <v>0</v>
      </c>
      <c r="AE597" s="34">
        <f t="shared" si="531"/>
        <v>0</v>
      </c>
      <c r="AF597" s="34">
        <f t="shared" si="532"/>
        <v>0</v>
      </c>
      <c r="AG597" s="29">
        <f t="shared" si="533"/>
        <v>820865.21953413147</v>
      </c>
      <c r="AH597" s="34">
        <f t="shared" si="534"/>
        <v>0</v>
      </c>
      <c r="AI597" s="34">
        <f t="shared" si="535"/>
        <v>0</v>
      </c>
      <c r="AJ597" s="34">
        <f t="shared" si="536"/>
        <v>0</v>
      </c>
      <c r="AK597" s="34">
        <f t="shared" si="537"/>
        <v>0</v>
      </c>
      <c r="AL597" s="34">
        <f t="shared" si="538"/>
        <v>0</v>
      </c>
      <c r="AM597" s="34">
        <f t="shared" si="539"/>
        <v>0</v>
      </c>
      <c r="AN597" s="34">
        <f t="shared" si="540"/>
        <v>0</v>
      </c>
      <c r="AO597" s="34">
        <f t="shared" si="541"/>
        <v>0</v>
      </c>
      <c r="AP597" s="34">
        <f t="shared" si="542"/>
        <v>0</v>
      </c>
      <c r="AQ597" s="34">
        <f t="shared" si="543"/>
        <v>0</v>
      </c>
      <c r="AR597" s="34">
        <f t="shared" si="544"/>
        <v>0</v>
      </c>
      <c r="AS597" s="30">
        <f t="shared" si="545"/>
        <v>1.6351134380193555</v>
      </c>
      <c r="AT597" s="29">
        <f t="shared" si="546"/>
        <v>0</v>
      </c>
      <c r="AU597" s="29">
        <f t="shared" si="547"/>
        <v>0</v>
      </c>
      <c r="AV597" s="34">
        <f t="shared" si="548"/>
        <v>0</v>
      </c>
      <c r="AW597" s="34">
        <f t="shared" si="549"/>
        <v>0</v>
      </c>
      <c r="AX597" s="29">
        <f t="shared" si="550"/>
        <v>0</v>
      </c>
      <c r="AY597" s="34">
        <f t="shared" si="551"/>
        <v>0</v>
      </c>
      <c r="AZ597" s="37">
        <f t="shared" si="552"/>
        <v>0</v>
      </c>
      <c r="BA597" s="37">
        <f t="shared" si="553"/>
        <v>0</v>
      </c>
      <c r="BB597" s="35">
        <f t="shared" si="554"/>
        <v>9.6486321069222392E-4</v>
      </c>
      <c r="BC597" s="31">
        <f t="shared" si="555"/>
        <v>0.56445871621919586</v>
      </c>
      <c r="BD597" s="34">
        <f t="shared" si="556"/>
        <v>0</v>
      </c>
    </row>
    <row r="598" spans="1:56" x14ac:dyDescent="0.2">
      <c r="A598" s="27">
        <f t="shared" si="557"/>
        <v>594</v>
      </c>
      <c r="B598" s="28">
        <f t="shared" si="504"/>
        <v>594</v>
      </c>
      <c r="C598" s="27">
        <f t="shared" si="505"/>
        <v>49</v>
      </c>
      <c r="D598" s="28">
        <f t="shared" si="506"/>
        <v>69</v>
      </c>
      <c r="E598" s="29">
        <f t="shared" si="507"/>
        <v>0</v>
      </c>
      <c r="F598" s="30">
        <f t="shared" si="508"/>
        <v>5.1708639202584549E-3</v>
      </c>
      <c r="G598" s="31">
        <f t="shared" si="509"/>
        <v>4.3192994992879985E-4</v>
      </c>
      <c r="H598" s="32">
        <f t="shared" si="510"/>
        <v>0.02</v>
      </c>
      <c r="I598" s="32">
        <f t="shared" si="511"/>
        <v>0</v>
      </c>
      <c r="J598" s="33">
        <f t="shared" si="558"/>
        <v>0</v>
      </c>
      <c r="K598" s="30">
        <f t="shared" si="512"/>
        <v>0</v>
      </c>
      <c r="L598" s="33">
        <f t="shared" si="513"/>
        <v>0</v>
      </c>
      <c r="M598" s="30">
        <f t="shared" si="514"/>
        <v>0</v>
      </c>
      <c r="N598" s="33">
        <f t="shared" si="515"/>
        <v>0</v>
      </c>
      <c r="O598" s="31">
        <f t="shared" si="516"/>
        <v>0</v>
      </c>
      <c r="P598" s="33">
        <f t="shared" si="517"/>
        <v>0</v>
      </c>
      <c r="Q598" s="34">
        <f t="shared" si="559"/>
        <v>822780.38001073443</v>
      </c>
      <c r="R598" s="29">
        <f t="shared" si="518"/>
        <v>0</v>
      </c>
      <c r="S598" s="34">
        <f t="shared" si="519"/>
        <v>822780.38001073443</v>
      </c>
      <c r="T598" s="29">
        <f t="shared" si="520"/>
        <v>685.65031667561209</v>
      </c>
      <c r="U598" s="29">
        <f t="shared" si="521"/>
        <v>0</v>
      </c>
      <c r="V598" s="35">
        <f t="shared" si="522"/>
        <v>4.7512294492167988E-4</v>
      </c>
      <c r="W598" s="34">
        <f t="shared" si="523"/>
        <v>0</v>
      </c>
      <c r="X598" s="34">
        <f t="shared" si="524"/>
        <v>822094.72969405877</v>
      </c>
      <c r="Y598" s="36">
        <f t="shared" si="525"/>
        <v>1.0570942025251107E-2</v>
      </c>
      <c r="Z598" s="34">
        <f t="shared" si="526"/>
        <v>8690.3157268603754</v>
      </c>
      <c r="AA598" s="34">
        <f t="shared" si="527"/>
        <v>826439.88755748898</v>
      </c>
      <c r="AB598" s="34">
        <f t="shared" si="528"/>
        <v>0</v>
      </c>
      <c r="AC598" s="34">
        <f t="shared" si="529"/>
        <v>0</v>
      </c>
      <c r="AD598" s="34">
        <f t="shared" si="530"/>
        <v>0</v>
      </c>
      <c r="AE598" s="34">
        <f t="shared" si="531"/>
        <v>0</v>
      </c>
      <c r="AF598" s="34">
        <f t="shared" si="532"/>
        <v>0</v>
      </c>
      <c r="AG598" s="29">
        <f t="shared" si="533"/>
        <v>826439.88755748898</v>
      </c>
      <c r="AH598" s="34">
        <f t="shared" si="534"/>
        <v>0</v>
      </c>
      <c r="AI598" s="34">
        <f t="shared" si="535"/>
        <v>0</v>
      </c>
      <c r="AJ598" s="34">
        <f t="shared" si="536"/>
        <v>0</v>
      </c>
      <c r="AK598" s="34">
        <f t="shared" si="537"/>
        <v>0</v>
      </c>
      <c r="AL598" s="34">
        <f t="shared" si="538"/>
        <v>0</v>
      </c>
      <c r="AM598" s="34">
        <f t="shared" si="539"/>
        <v>0</v>
      </c>
      <c r="AN598" s="34">
        <f t="shared" si="540"/>
        <v>0</v>
      </c>
      <c r="AO598" s="34">
        <f t="shared" si="541"/>
        <v>0</v>
      </c>
      <c r="AP598" s="34">
        <f t="shared" si="542"/>
        <v>0</v>
      </c>
      <c r="AQ598" s="34">
        <f t="shared" si="543"/>
        <v>0</v>
      </c>
      <c r="AR598" s="34">
        <f t="shared" si="544"/>
        <v>0</v>
      </c>
      <c r="AS598" s="30">
        <f t="shared" si="545"/>
        <v>1.6364698269374724</v>
      </c>
      <c r="AT598" s="29">
        <f t="shared" si="546"/>
        <v>0</v>
      </c>
      <c r="AU598" s="29">
        <f t="shared" si="547"/>
        <v>0</v>
      </c>
      <c r="AV598" s="34">
        <f t="shared" si="548"/>
        <v>0</v>
      </c>
      <c r="AW598" s="34">
        <f t="shared" si="549"/>
        <v>0</v>
      </c>
      <c r="AX598" s="29">
        <f t="shared" si="550"/>
        <v>0</v>
      </c>
      <c r="AY598" s="34">
        <f t="shared" si="551"/>
        <v>0</v>
      </c>
      <c r="AZ598" s="37">
        <f t="shared" si="552"/>
        <v>0</v>
      </c>
      <c r="BA598" s="37">
        <f t="shared" si="553"/>
        <v>0</v>
      </c>
      <c r="BB598" s="35">
        <f t="shared" si="554"/>
        <v>9.6486321069222392E-4</v>
      </c>
      <c r="BC598" s="31">
        <f t="shared" si="555"/>
        <v>0.56391461575248458</v>
      </c>
      <c r="BD598" s="34">
        <f t="shared" si="556"/>
        <v>0</v>
      </c>
    </row>
    <row r="599" spans="1:56" x14ac:dyDescent="0.2">
      <c r="A599" s="27">
        <f t="shared" si="557"/>
        <v>595</v>
      </c>
      <c r="B599" s="28">
        <f t="shared" si="504"/>
        <v>595</v>
      </c>
      <c r="C599" s="27">
        <f t="shared" si="505"/>
        <v>49</v>
      </c>
      <c r="D599" s="28">
        <f t="shared" si="506"/>
        <v>69</v>
      </c>
      <c r="E599" s="29">
        <f t="shared" si="507"/>
        <v>0</v>
      </c>
      <c r="F599" s="30">
        <f t="shared" si="508"/>
        <v>5.1708639202584549E-3</v>
      </c>
      <c r="G599" s="31">
        <f t="shared" si="509"/>
        <v>4.3192994992879985E-4</v>
      </c>
      <c r="H599" s="32">
        <f t="shared" si="510"/>
        <v>0.02</v>
      </c>
      <c r="I599" s="32">
        <f t="shared" si="511"/>
        <v>0</v>
      </c>
      <c r="J599" s="33">
        <f t="shared" si="558"/>
        <v>0</v>
      </c>
      <c r="K599" s="30">
        <f t="shared" si="512"/>
        <v>0</v>
      </c>
      <c r="L599" s="33">
        <f t="shared" si="513"/>
        <v>0</v>
      </c>
      <c r="M599" s="30">
        <f t="shared" si="514"/>
        <v>0</v>
      </c>
      <c r="N599" s="33">
        <f t="shared" si="515"/>
        <v>0</v>
      </c>
      <c r="O599" s="31">
        <f t="shared" si="516"/>
        <v>0</v>
      </c>
      <c r="P599" s="33">
        <f t="shared" si="517"/>
        <v>0</v>
      </c>
      <c r="Q599" s="34">
        <f t="shared" si="559"/>
        <v>830785.0454209192</v>
      </c>
      <c r="R599" s="29">
        <f t="shared" si="518"/>
        <v>0</v>
      </c>
      <c r="S599" s="34">
        <f t="shared" si="519"/>
        <v>830785.0454209192</v>
      </c>
      <c r="T599" s="29">
        <f t="shared" si="520"/>
        <v>692.32087118409936</v>
      </c>
      <c r="U599" s="29">
        <f t="shared" si="521"/>
        <v>0</v>
      </c>
      <c r="V599" s="35">
        <f t="shared" si="522"/>
        <v>4.7512294492167988E-4</v>
      </c>
      <c r="W599" s="34">
        <f t="shared" si="523"/>
        <v>0</v>
      </c>
      <c r="X599" s="34">
        <f t="shared" si="524"/>
        <v>830092.72454973508</v>
      </c>
      <c r="Y599" s="36">
        <f t="shared" si="525"/>
        <v>-1.421834981372716E-2</v>
      </c>
      <c r="Z599" s="34">
        <f t="shared" si="526"/>
        <v>-11802.548735477996</v>
      </c>
      <c r="AA599" s="34">
        <f t="shared" si="527"/>
        <v>824191.4501819961</v>
      </c>
      <c r="AB599" s="34">
        <f t="shared" si="528"/>
        <v>0</v>
      </c>
      <c r="AC599" s="34">
        <f t="shared" si="529"/>
        <v>0</v>
      </c>
      <c r="AD599" s="34">
        <f t="shared" si="530"/>
        <v>0</v>
      </c>
      <c r="AE599" s="34">
        <f t="shared" si="531"/>
        <v>0</v>
      </c>
      <c r="AF599" s="34">
        <f t="shared" si="532"/>
        <v>0</v>
      </c>
      <c r="AG599" s="29">
        <f t="shared" si="533"/>
        <v>824191.4501819961</v>
      </c>
      <c r="AH599" s="34">
        <f t="shared" si="534"/>
        <v>0</v>
      </c>
      <c r="AI599" s="34">
        <f t="shared" si="535"/>
        <v>0</v>
      </c>
      <c r="AJ599" s="34">
        <f t="shared" si="536"/>
        <v>0</v>
      </c>
      <c r="AK599" s="34">
        <f t="shared" si="537"/>
        <v>0</v>
      </c>
      <c r="AL599" s="34">
        <f t="shared" si="538"/>
        <v>0</v>
      </c>
      <c r="AM599" s="34">
        <f t="shared" si="539"/>
        <v>0</v>
      </c>
      <c r="AN599" s="34">
        <f t="shared" si="540"/>
        <v>0</v>
      </c>
      <c r="AO599" s="34">
        <f t="shared" si="541"/>
        <v>0</v>
      </c>
      <c r="AP599" s="34">
        <f t="shared" si="542"/>
        <v>0</v>
      </c>
      <c r="AQ599" s="34">
        <f t="shared" si="543"/>
        <v>0</v>
      </c>
      <c r="AR599" s="34">
        <f t="shared" si="544"/>
        <v>0</v>
      </c>
      <c r="AS599" s="30">
        <f t="shared" si="545"/>
        <v>1.6378273410318946</v>
      </c>
      <c r="AT599" s="29">
        <f t="shared" si="546"/>
        <v>0</v>
      </c>
      <c r="AU599" s="29">
        <f t="shared" si="547"/>
        <v>0</v>
      </c>
      <c r="AV599" s="34">
        <f t="shared" si="548"/>
        <v>0</v>
      </c>
      <c r="AW599" s="34">
        <f t="shared" si="549"/>
        <v>0</v>
      </c>
      <c r="AX599" s="29">
        <f t="shared" si="550"/>
        <v>0</v>
      </c>
      <c r="AY599" s="34">
        <f t="shared" si="551"/>
        <v>0</v>
      </c>
      <c r="AZ599" s="37">
        <f t="shared" si="552"/>
        <v>0</v>
      </c>
      <c r="BA599" s="37">
        <f t="shared" si="553"/>
        <v>0</v>
      </c>
      <c r="BB599" s="35">
        <f t="shared" si="554"/>
        <v>9.6486321069222392E-4</v>
      </c>
      <c r="BC599" s="31">
        <f t="shared" si="555"/>
        <v>0.56337103976224856</v>
      </c>
      <c r="BD599" s="34">
        <f t="shared" si="556"/>
        <v>0</v>
      </c>
    </row>
    <row r="600" spans="1:56" x14ac:dyDescent="0.2">
      <c r="A600" s="27">
        <f t="shared" si="557"/>
        <v>596</v>
      </c>
      <c r="B600" s="28">
        <f t="shared" si="504"/>
        <v>596</v>
      </c>
      <c r="C600" s="27">
        <f t="shared" si="505"/>
        <v>49</v>
      </c>
      <c r="D600" s="28">
        <f t="shared" si="506"/>
        <v>69</v>
      </c>
      <c r="E600" s="29">
        <f t="shared" si="507"/>
        <v>0</v>
      </c>
      <c r="F600" s="30">
        <f t="shared" si="508"/>
        <v>5.1708639202584549E-3</v>
      </c>
      <c r="G600" s="31">
        <f t="shared" si="509"/>
        <v>4.3192994992879985E-4</v>
      </c>
      <c r="H600" s="32">
        <f t="shared" si="510"/>
        <v>0.02</v>
      </c>
      <c r="I600" s="32">
        <f t="shared" si="511"/>
        <v>0</v>
      </c>
      <c r="J600" s="33">
        <f t="shared" si="558"/>
        <v>0</v>
      </c>
      <c r="K600" s="30">
        <f t="shared" si="512"/>
        <v>0</v>
      </c>
      <c r="L600" s="33">
        <f t="shared" si="513"/>
        <v>0</v>
      </c>
      <c r="M600" s="30">
        <f t="shared" si="514"/>
        <v>0</v>
      </c>
      <c r="N600" s="33">
        <f t="shared" si="515"/>
        <v>0</v>
      </c>
      <c r="O600" s="31">
        <f t="shared" si="516"/>
        <v>0</v>
      </c>
      <c r="P600" s="33">
        <f t="shared" si="517"/>
        <v>0</v>
      </c>
      <c r="Q600" s="34">
        <f t="shared" si="559"/>
        <v>818290.17581425712</v>
      </c>
      <c r="R600" s="29">
        <f t="shared" si="518"/>
        <v>0</v>
      </c>
      <c r="S600" s="34">
        <f t="shared" si="519"/>
        <v>818290.17581425712</v>
      </c>
      <c r="T600" s="29">
        <f t="shared" si="520"/>
        <v>681.90847984521429</v>
      </c>
      <c r="U600" s="29">
        <f t="shared" si="521"/>
        <v>0</v>
      </c>
      <c r="V600" s="35">
        <f t="shared" si="522"/>
        <v>4.7512294492167988E-4</v>
      </c>
      <c r="W600" s="34">
        <f t="shared" si="523"/>
        <v>0</v>
      </c>
      <c r="X600" s="34">
        <f t="shared" si="524"/>
        <v>817608.26733441185</v>
      </c>
      <c r="Y600" s="36">
        <f t="shared" si="525"/>
        <v>-8.2368061059666653E-3</v>
      </c>
      <c r="Z600" s="34">
        <f t="shared" si="526"/>
        <v>-6734.4807686689091</v>
      </c>
      <c r="AA600" s="34">
        <f t="shared" si="527"/>
        <v>814241.02695007739</v>
      </c>
      <c r="AB600" s="34">
        <f t="shared" si="528"/>
        <v>0</v>
      </c>
      <c r="AC600" s="34">
        <f t="shared" si="529"/>
        <v>0</v>
      </c>
      <c r="AD600" s="34">
        <f t="shared" si="530"/>
        <v>0</v>
      </c>
      <c r="AE600" s="34">
        <f t="shared" si="531"/>
        <v>0</v>
      </c>
      <c r="AF600" s="34">
        <f t="shared" si="532"/>
        <v>0</v>
      </c>
      <c r="AG600" s="29">
        <f t="shared" si="533"/>
        <v>814241.02695007739</v>
      </c>
      <c r="AH600" s="34">
        <f t="shared" si="534"/>
        <v>0</v>
      </c>
      <c r="AI600" s="34">
        <f t="shared" si="535"/>
        <v>0</v>
      </c>
      <c r="AJ600" s="34">
        <f t="shared" si="536"/>
        <v>0</v>
      </c>
      <c r="AK600" s="34">
        <f t="shared" si="537"/>
        <v>0</v>
      </c>
      <c r="AL600" s="34">
        <f t="shared" si="538"/>
        <v>0</v>
      </c>
      <c r="AM600" s="34">
        <f t="shared" si="539"/>
        <v>0</v>
      </c>
      <c r="AN600" s="34">
        <f t="shared" si="540"/>
        <v>0</v>
      </c>
      <c r="AO600" s="34">
        <f t="shared" si="541"/>
        <v>0</v>
      </c>
      <c r="AP600" s="34">
        <f t="shared" si="542"/>
        <v>0</v>
      </c>
      <c r="AQ600" s="34">
        <f t="shared" si="543"/>
        <v>0</v>
      </c>
      <c r="AR600" s="34">
        <f t="shared" si="544"/>
        <v>0</v>
      </c>
      <c r="AS600" s="30">
        <f t="shared" si="545"/>
        <v>1.6391859812359988</v>
      </c>
      <c r="AT600" s="29">
        <f t="shared" si="546"/>
        <v>0</v>
      </c>
      <c r="AU600" s="29">
        <f t="shared" si="547"/>
        <v>0</v>
      </c>
      <c r="AV600" s="34">
        <f t="shared" si="548"/>
        <v>0</v>
      </c>
      <c r="AW600" s="34">
        <f t="shared" si="549"/>
        <v>0</v>
      </c>
      <c r="AX600" s="29">
        <f t="shared" si="550"/>
        <v>0</v>
      </c>
      <c r="AY600" s="34">
        <f t="shared" si="551"/>
        <v>0</v>
      </c>
      <c r="AZ600" s="37">
        <f t="shared" si="552"/>
        <v>0</v>
      </c>
      <c r="BA600" s="37">
        <f t="shared" si="553"/>
        <v>0</v>
      </c>
      <c r="BB600" s="35">
        <f t="shared" si="554"/>
        <v>9.6486321069222392E-4</v>
      </c>
      <c r="BC600" s="31">
        <f t="shared" si="555"/>
        <v>0.5628279877429273</v>
      </c>
      <c r="BD600" s="34">
        <f t="shared" si="556"/>
        <v>0</v>
      </c>
    </row>
    <row r="601" spans="1:56" x14ac:dyDescent="0.2">
      <c r="A601" s="27">
        <f t="shared" si="557"/>
        <v>597</v>
      </c>
      <c r="B601" s="28">
        <f t="shared" si="504"/>
        <v>597</v>
      </c>
      <c r="C601" s="27">
        <f t="shared" si="505"/>
        <v>49</v>
      </c>
      <c r="D601" s="28">
        <f t="shared" si="506"/>
        <v>69</v>
      </c>
      <c r="E601" s="29">
        <f t="shared" si="507"/>
        <v>0</v>
      </c>
      <c r="F601" s="30">
        <f t="shared" si="508"/>
        <v>5.1708639202584549E-3</v>
      </c>
      <c r="G601" s="31">
        <f t="shared" si="509"/>
        <v>4.3192994992879985E-4</v>
      </c>
      <c r="H601" s="32">
        <f t="shared" si="510"/>
        <v>0.02</v>
      </c>
      <c r="I601" s="32">
        <f t="shared" si="511"/>
        <v>0</v>
      </c>
      <c r="J601" s="33">
        <f t="shared" si="558"/>
        <v>0</v>
      </c>
      <c r="K601" s="30">
        <f t="shared" si="512"/>
        <v>0</v>
      </c>
      <c r="L601" s="33">
        <f t="shared" si="513"/>
        <v>0</v>
      </c>
      <c r="M601" s="30">
        <f t="shared" si="514"/>
        <v>0</v>
      </c>
      <c r="N601" s="33">
        <f t="shared" si="515"/>
        <v>0</v>
      </c>
      <c r="O601" s="31">
        <f t="shared" si="516"/>
        <v>0</v>
      </c>
      <c r="P601" s="33">
        <f t="shared" si="517"/>
        <v>0</v>
      </c>
      <c r="Q601" s="34">
        <f t="shared" si="559"/>
        <v>810873.78656574292</v>
      </c>
      <c r="R601" s="29">
        <f t="shared" si="518"/>
        <v>0</v>
      </c>
      <c r="S601" s="34">
        <f t="shared" si="519"/>
        <v>810873.78656574292</v>
      </c>
      <c r="T601" s="29">
        <f t="shared" si="520"/>
        <v>675.72815547145251</v>
      </c>
      <c r="U601" s="29">
        <f t="shared" si="521"/>
        <v>0</v>
      </c>
      <c r="V601" s="35">
        <f t="shared" si="522"/>
        <v>4.7512294492167988E-4</v>
      </c>
      <c r="W601" s="34">
        <f t="shared" si="523"/>
        <v>0</v>
      </c>
      <c r="X601" s="34">
        <f t="shared" si="524"/>
        <v>810198.05841027142</v>
      </c>
      <c r="Y601" s="36">
        <f t="shared" si="525"/>
        <v>2.2969299092472362E-3</v>
      </c>
      <c r="Z601" s="34">
        <f t="shared" si="526"/>
        <v>1860.9681527765918</v>
      </c>
      <c r="AA601" s="34">
        <f t="shared" si="527"/>
        <v>811128.54248665972</v>
      </c>
      <c r="AB601" s="34">
        <f t="shared" si="528"/>
        <v>0</v>
      </c>
      <c r="AC601" s="34">
        <f t="shared" si="529"/>
        <v>0</v>
      </c>
      <c r="AD601" s="34">
        <f t="shared" si="530"/>
        <v>0</v>
      </c>
      <c r="AE601" s="34">
        <f t="shared" si="531"/>
        <v>0</v>
      </c>
      <c r="AF601" s="34">
        <f t="shared" si="532"/>
        <v>0</v>
      </c>
      <c r="AG601" s="29">
        <f t="shared" si="533"/>
        <v>811128.54248665972</v>
      </c>
      <c r="AH601" s="34">
        <f t="shared" si="534"/>
        <v>0</v>
      </c>
      <c r="AI601" s="34">
        <f t="shared" si="535"/>
        <v>0</v>
      </c>
      <c r="AJ601" s="34">
        <f t="shared" si="536"/>
        <v>0</v>
      </c>
      <c r="AK601" s="34">
        <f t="shared" si="537"/>
        <v>0</v>
      </c>
      <c r="AL601" s="34">
        <f t="shared" si="538"/>
        <v>0</v>
      </c>
      <c r="AM601" s="34">
        <f t="shared" si="539"/>
        <v>0</v>
      </c>
      <c r="AN601" s="34">
        <f t="shared" si="540"/>
        <v>0</v>
      </c>
      <c r="AO601" s="34">
        <f t="shared" si="541"/>
        <v>0</v>
      </c>
      <c r="AP601" s="34">
        <f t="shared" si="542"/>
        <v>0</v>
      </c>
      <c r="AQ601" s="34">
        <f t="shared" si="543"/>
        <v>0</v>
      </c>
      <c r="AR601" s="34">
        <f t="shared" si="544"/>
        <v>0</v>
      </c>
      <c r="AS601" s="30">
        <f t="shared" si="545"/>
        <v>1.6405457484839363</v>
      </c>
      <c r="AT601" s="29">
        <f t="shared" si="546"/>
        <v>0</v>
      </c>
      <c r="AU601" s="29">
        <f t="shared" si="547"/>
        <v>0</v>
      </c>
      <c r="AV601" s="34">
        <f t="shared" si="548"/>
        <v>0</v>
      </c>
      <c r="AW601" s="34">
        <f t="shared" si="549"/>
        <v>0</v>
      </c>
      <c r="AX601" s="29">
        <f t="shared" si="550"/>
        <v>0</v>
      </c>
      <c r="AY601" s="34">
        <f t="shared" si="551"/>
        <v>0</v>
      </c>
      <c r="AZ601" s="37">
        <f t="shared" si="552"/>
        <v>0</v>
      </c>
      <c r="BA601" s="37">
        <f t="shared" si="553"/>
        <v>0</v>
      </c>
      <c r="BB601" s="35">
        <f t="shared" si="554"/>
        <v>9.6486321069222392E-4</v>
      </c>
      <c r="BC601" s="31">
        <f t="shared" si="555"/>
        <v>0.56228545918944817</v>
      </c>
      <c r="BD601" s="34">
        <f t="shared" si="556"/>
        <v>0</v>
      </c>
    </row>
    <row r="602" spans="1:56" x14ac:dyDescent="0.2">
      <c r="A602" s="27">
        <f t="shared" si="557"/>
        <v>598</v>
      </c>
      <c r="B602" s="28">
        <f t="shared" si="504"/>
        <v>598</v>
      </c>
      <c r="C602" s="27">
        <f t="shared" si="505"/>
        <v>49</v>
      </c>
      <c r="D602" s="28">
        <f t="shared" si="506"/>
        <v>69</v>
      </c>
      <c r="E602" s="29">
        <f t="shared" si="507"/>
        <v>0</v>
      </c>
      <c r="F602" s="30">
        <f t="shared" si="508"/>
        <v>5.1708639202584549E-3</v>
      </c>
      <c r="G602" s="31">
        <f t="shared" si="509"/>
        <v>4.3192994992879985E-4</v>
      </c>
      <c r="H602" s="32">
        <f t="shared" si="510"/>
        <v>0.02</v>
      </c>
      <c r="I602" s="32">
        <f t="shared" si="511"/>
        <v>0</v>
      </c>
      <c r="J602" s="33">
        <f t="shared" si="558"/>
        <v>0</v>
      </c>
      <c r="K602" s="30">
        <f t="shared" si="512"/>
        <v>0</v>
      </c>
      <c r="L602" s="33">
        <f t="shared" si="513"/>
        <v>0</v>
      </c>
      <c r="M602" s="30">
        <f t="shared" si="514"/>
        <v>0</v>
      </c>
      <c r="N602" s="33">
        <f t="shared" si="515"/>
        <v>0</v>
      </c>
      <c r="O602" s="31">
        <f t="shared" si="516"/>
        <v>0</v>
      </c>
      <c r="P602" s="33">
        <f t="shared" si="517"/>
        <v>0</v>
      </c>
      <c r="Q602" s="34">
        <f t="shared" si="559"/>
        <v>812059.02656304801</v>
      </c>
      <c r="R602" s="29">
        <f t="shared" si="518"/>
        <v>0</v>
      </c>
      <c r="S602" s="34">
        <f t="shared" si="519"/>
        <v>812059.02656304801</v>
      </c>
      <c r="T602" s="29">
        <f t="shared" si="520"/>
        <v>676.71585546920676</v>
      </c>
      <c r="U602" s="29">
        <f t="shared" si="521"/>
        <v>0</v>
      </c>
      <c r="V602" s="35">
        <f t="shared" si="522"/>
        <v>4.7512294492167988E-4</v>
      </c>
      <c r="W602" s="34">
        <f t="shared" si="523"/>
        <v>0</v>
      </c>
      <c r="X602" s="34">
        <f t="shared" si="524"/>
        <v>811382.31070757878</v>
      </c>
      <c r="Y602" s="36">
        <f t="shared" si="525"/>
        <v>3.9276526074993878E-3</v>
      </c>
      <c r="Z602" s="34">
        <f t="shared" si="526"/>
        <v>3186.8278483295003</v>
      </c>
      <c r="AA602" s="34">
        <f t="shared" si="527"/>
        <v>812975.72463174351</v>
      </c>
      <c r="AB602" s="34">
        <f t="shared" si="528"/>
        <v>0</v>
      </c>
      <c r="AC602" s="34">
        <f t="shared" si="529"/>
        <v>0</v>
      </c>
      <c r="AD602" s="34">
        <f t="shared" si="530"/>
        <v>0</v>
      </c>
      <c r="AE602" s="34">
        <f t="shared" si="531"/>
        <v>0</v>
      </c>
      <c r="AF602" s="34">
        <f t="shared" si="532"/>
        <v>0</v>
      </c>
      <c r="AG602" s="29">
        <f t="shared" si="533"/>
        <v>812975.72463174351</v>
      </c>
      <c r="AH602" s="34">
        <f t="shared" si="534"/>
        <v>0</v>
      </c>
      <c r="AI602" s="34">
        <f t="shared" si="535"/>
        <v>0</v>
      </c>
      <c r="AJ602" s="34">
        <f t="shared" si="536"/>
        <v>0</v>
      </c>
      <c r="AK602" s="34">
        <f t="shared" si="537"/>
        <v>0</v>
      </c>
      <c r="AL602" s="34">
        <f t="shared" si="538"/>
        <v>0</v>
      </c>
      <c r="AM602" s="34">
        <f t="shared" si="539"/>
        <v>0</v>
      </c>
      <c r="AN602" s="34">
        <f t="shared" si="540"/>
        <v>0</v>
      </c>
      <c r="AO602" s="34">
        <f t="shared" si="541"/>
        <v>0</v>
      </c>
      <c r="AP602" s="34">
        <f t="shared" si="542"/>
        <v>0</v>
      </c>
      <c r="AQ602" s="34">
        <f t="shared" si="543"/>
        <v>0</v>
      </c>
      <c r="AR602" s="34">
        <f t="shared" si="544"/>
        <v>0</v>
      </c>
      <c r="AS602" s="30">
        <f t="shared" si="545"/>
        <v>1.6419066437106324</v>
      </c>
      <c r="AT602" s="29">
        <f t="shared" si="546"/>
        <v>0</v>
      </c>
      <c r="AU602" s="29">
        <f t="shared" si="547"/>
        <v>0</v>
      </c>
      <c r="AV602" s="34">
        <f t="shared" si="548"/>
        <v>0</v>
      </c>
      <c r="AW602" s="34">
        <f t="shared" si="549"/>
        <v>0</v>
      </c>
      <c r="AX602" s="29">
        <f t="shared" si="550"/>
        <v>0</v>
      </c>
      <c r="AY602" s="34">
        <f t="shared" si="551"/>
        <v>0</v>
      </c>
      <c r="AZ602" s="37">
        <f t="shared" si="552"/>
        <v>0</v>
      </c>
      <c r="BA602" s="37">
        <f t="shared" si="553"/>
        <v>0</v>
      </c>
      <c r="BB602" s="35">
        <f t="shared" si="554"/>
        <v>9.6486321069222392E-4</v>
      </c>
      <c r="BC602" s="31">
        <f t="shared" si="555"/>
        <v>0.56174345359722511</v>
      </c>
      <c r="BD602" s="34">
        <f t="shared" si="556"/>
        <v>0</v>
      </c>
    </row>
    <row r="603" spans="1:56" x14ac:dyDescent="0.2">
      <c r="A603" s="27">
        <f t="shared" si="557"/>
        <v>599</v>
      </c>
      <c r="B603" s="28">
        <f t="shared" si="504"/>
        <v>599</v>
      </c>
      <c r="C603" s="27">
        <f t="shared" si="505"/>
        <v>49</v>
      </c>
      <c r="D603" s="28">
        <f t="shared" si="506"/>
        <v>69</v>
      </c>
      <c r="E603" s="29">
        <f t="shared" si="507"/>
        <v>0</v>
      </c>
      <c r="F603" s="30">
        <f t="shared" si="508"/>
        <v>5.1708639202584549E-3</v>
      </c>
      <c r="G603" s="31">
        <f t="shared" si="509"/>
        <v>4.3192994992879985E-4</v>
      </c>
      <c r="H603" s="32">
        <f t="shared" si="510"/>
        <v>0.02</v>
      </c>
      <c r="I603" s="32">
        <f t="shared" si="511"/>
        <v>0</v>
      </c>
      <c r="J603" s="33">
        <f t="shared" si="558"/>
        <v>0</v>
      </c>
      <c r="K603" s="30">
        <f t="shared" si="512"/>
        <v>0</v>
      </c>
      <c r="L603" s="33">
        <f t="shared" si="513"/>
        <v>0</v>
      </c>
      <c r="M603" s="30">
        <f t="shared" si="514"/>
        <v>0</v>
      </c>
      <c r="N603" s="33">
        <f t="shared" si="515"/>
        <v>0</v>
      </c>
      <c r="O603" s="31">
        <f t="shared" si="516"/>
        <v>0</v>
      </c>
      <c r="P603" s="33">
        <f t="shared" si="517"/>
        <v>0</v>
      </c>
      <c r="Q603" s="34">
        <f t="shared" si="559"/>
        <v>814569.13855590834</v>
      </c>
      <c r="R603" s="29">
        <f t="shared" si="518"/>
        <v>0</v>
      </c>
      <c r="S603" s="34">
        <f t="shared" si="519"/>
        <v>814569.13855590834</v>
      </c>
      <c r="T603" s="29">
        <f t="shared" si="520"/>
        <v>678.80761546325698</v>
      </c>
      <c r="U603" s="29">
        <f t="shared" si="521"/>
        <v>0</v>
      </c>
      <c r="V603" s="35">
        <f t="shared" si="522"/>
        <v>4.7512294492167988E-4</v>
      </c>
      <c r="W603" s="34">
        <f t="shared" si="523"/>
        <v>0</v>
      </c>
      <c r="X603" s="34">
        <f t="shared" si="524"/>
        <v>813890.33094044507</v>
      </c>
      <c r="Y603" s="36">
        <f t="shared" si="525"/>
        <v>8.5594150127668023E-3</v>
      </c>
      <c r="Z603" s="34">
        <f t="shared" si="526"/>
        <v>6966.4251173973862</v>
      </c>
      <c r="AA603" s="34">
        <f t="shared" si="527"/>
        <v>817373.54349914379</v>
      </c>
      <c r="AB603" s="34">
        <f t="shared" si="528"/>
        <v>0</v>
      </c>
      <c r="AC603" s="34">
        <f t="shared" si="529"/>
        <v>0</v>
      </c>
      <c r="AD603" s="34">
        <f t="shared" si="530"/>
        <v>0</v>
      </c>
      <c r="AE603" s="34">
        <f t="shared" si="531"/>
        <v>0</v>
      </c>
      <c r="AF603" s="34">
        <f t="shared" si="532"/>
        <v>0</v>
      </c>
      <c r="AG603" s="29">
        <f t="shared" si="533"/>
        <v>817373.54349914379</v>
      </c>
      <c r="AH603" s="34">
        <f t="shared" si="534"/>
        <v>0</v>
      </c>
      <c r="AI603" s="34">
        <f t="shared" si="535"/>
        <v>0</v>
      </c>
      <c r="AJ603" s="34">
        <f t="shared" si="536"/>
        <v>0</v>
      </c>
      <c r="AK603" s="34">
        <f t="shared" si="537"/>
        <v>0</v>
      </c>
      <c r="AL603" s="34">
        <f t="shared" si="538"/>
        <v>0</v>
      </c>
      <c r="AM603" s="34">
        <f t="shared" si="539"/>
        <v>0</v>
      </c>
      <c r="AN603" s="34">
        <f t="shared" si="540"/>
        <v>0</v>
      </c>
      <c r="AO603" s="34">
        <f t="shared" si="541"/>
        <v>0</v>
      </c>
      <c r="AP603" s="34">
        <f t="shared" si="542"/>
        <v>0</v>
      </c>
      <c r="AQ603" s="34">
        <f t="shared" si="543"/>
        <v>0</v>
      </c>
      <c r="AR603" s="34">
        <f t="shared" si="544"/>
        <v>0</v>
      </c>
      <c r="AS603" s="30">
        <f t="shared" si="545"/>
        <v>1.6432686678517885</v>
      </c>
      <c r="AT603" s="29">
        <f t="shared" si="546"/>
        <v>0</v>
      </c>
      <c r="AU603" s="29">
        <f t="shared" si="547"/>
        <v>0</v>
      </c>
      <c r="AV603" s="34">
        <f t="shared" si="548"/>
        <v>0</v>
      </c>
      <c r="AW603" s="34">
        <f t="shared" si="549"/>
        <v>0</v>
      </c>
      <c r="AX603" s="29">
        <f t="shared" si="550"/>
        <v>0</v>
      </c>
      <c r="AY603" s="34">
        <f t="shared" si="551"/>
        <v>0</v>
      </c>
      <c r="AZ603" s="37">
        <f t="shared" si="552"/>
        <v>0</v>
      </c>
      <c r="BA603" s="37">
        <f t="shared" si="553"/>
        <v>0</v>
      </c>
      <c r="BB603" s="35">
        <f t="shared" si="554"/>
        <v>9.6486321069222392E-4</v>
      </c>
      <c r="BC603" s="31">
        <f t="shared" si="555"/>
        <v>0.56120197046215814</v>
      </c>
      <c r="BD603" s="34">
        <f t="shared" si="556"/>
        <v>0</v>
      </c>
    </row>
    <row r="604" spans="1:56" x14ac:dyDescent="0.2">
      <c r="A604" s="27">
        <f t="shared" si="557"/>
        <v>600</v>
      </c>
      <c r="B604" s="28">
        <f t="shared" si="504"/>
        <v>600</v>
      </c>
      <c r="C604" s="27">
        <f t="shared" si="505"/>
        <v>50</v>
      </c>
      <c r="D604" s="28">
        <f t="shared" si="506"/>
        <v>70</v>
      </c>
      <c r="E604" s="29">
        <f t="shared" si="507"/>
        <v>0</v>
      </c>
      <c r="F604" s="30">
        <f t="shared" si="508"/>
        <v>5.653743897497847E-3</v>
      </c>
      <c r="G604" s="31">
        <f t="shared" si="509"/>
        <v>4.7237063154903502E-4</v>
      </c>
      <c r="H604" s="32">
        <f t="shared" si="510"/>
        <v>0.02</v>
      </c>
      <c r="I604" s="32">
        <f t="shared" si="511"/>
        <v>0</v>
      </c>
      <c r="J604" s="33">
        <f t="shared" si="558"/>
        <v>0</v>
      </c>
      <c r="K604" s="30">
        <f t="shared" si="512"/>
        <v>0</v>
      </c>
      <c r="L604" s="33">
        <f t="shared" si="513"/>
        <v>0</v>
      </c>
      <c r="M604" s="30">
        <f t="shared" si="514"/>
        <v>0</v>
      </c>
      <c r="N604" s="33">
        <f t="shared" si="515"/>
        <v>0</v>
      </c>
      <c r="O604" s="31">
        <f t="shared" si="516"/>
        <v>0</v>
      </c>
      <c r="P604" s="33">
        <f t="shared" si="517"/>
        <v>0</v>
      </c>
      <c r="Q604" s="34">
        <f t="shared" si="559"/>
        <v>820856.7560578424</v>
      </c>
      <c r="R604" s="29">
        <f t="shared" si="518"/>
        <v>0</v>
      </c>
      <c r="S604" s="34">
        <f t="shared" si="519"/>
        <v>820856.7560578424</v>
      </c>
      <c r="T604" s="29">
        <f t="shared" si="520"/>
        <v>684.04729671486871</v>
      </c>
      <c r="U604" s="29">
        <f t="shared" si="521"/>
        <v>0</v>
      </c>
      <c r="V604" s="35">
        <f t="shared" si="522"/>
        <v>5.1960769470393853E-4</v>
      </c>
      <c r="W604" s="34">
        <f t="shared" si="523"/>
        <v>0</v>
      </c>
      <c r="X604" s="34">
        <f t="shared" si="524"/>
        <v>820172.70876112755</v>
      </c>
      <c r="Y604" s="36">
        <f t="shared" si="525"/>
        <v>7.7684285752956939E-3</v>
      </c>
      <c r="Z604" s="34">
        <f t="shared" si="526"/>
        <v>6371.4531074176157</v>
      </c>
      <c r="AA604" s="34">
        <f t="shared" si="527"/>
        <v>823358.43531483633</v>
      </c>
      <c r="AB604" s="34">
        <f t="shared" si="528"/>
        <v>0</v>
      </c>
      <c r="AC604" s="34">
        <f t="shared" si="529"/>
        <v>0</v>
      </c>
      <c r="AD604" s="34">
        <f t="shared" si="530"/>
        <v>0</v>
      </c>
      <c r="AE604" s="34">
        <f t="shared" si="531"/>
        <v>0</v>
      </c>
      <c r="AF604" s="34">
        <f t="shared" si="532"/>
        <v>0</v>
      </c>
      <c r="AG604" s="29">
        <f t="shared" si="533"/>
        <v>823358.43531483633</v>
      </c>
      <c r="AH604" s="34">
        <f t="shared" si="534"/>
        <v>0</v>
      </c>
      <c r="AI604" s="34">
        <f t="shared" si="535"/>
        <v>0</v>
      </c>
      <c r="AJ604" s="34">
        <f t="shared" si="536"/>
        <v>0</v>
      </c>
      <c r="AK604" s="34">
        <f t="shared" si="537"/>
        <v>0</v>
      </c>
      <c r="AL604" s="34">
        <f t="shared" si="538"/>
        <v>0</v>
      </c>
      <c r="AM604" s="34">
        <f t="shared" si="539"/>
        <v>0</v>
      </c>
      <c r="AN604" s="34">
        <f t="shared" si="540"/>
        <v>0</v>
      </c>
      <c r="AO604" s="34">
        <f t="shared" si="541"/>
        <v>0</v>
      </c>
      <c r="AP604" s="34">
        <f t="shared" si="542"/>
        <v>0</v>
      </c>
      <c r="AQ604" s="34">
        <f t="shared" si="543"/>
        <v>0</v>
      </c>
      <c r="AR604" s="34">
        <f t="shared" si="544"/>
        <v>0</v>
      </c>
      <c r="AS604" s="30">
        <f t="shared" si="545"/>
        <v>1.6446318218438831</v>
      </c>
      <c r="AT604" s="29">
        <f t="shared" si="546"/>
        <v>0</v>
      </c>
      <c r="AU604" s="29">
        <f t="shared" si="547"/>
        <v>0</v>
      </c>
      <c r="AV604" s="34">
        <f t="shared" si="548"/>
        <v>0</v>
      </c>
      <c r="AW604" s="34">
        <f t="shared" si="549"/>
        <v>0</v>
      </c>
      <c r="AX604" s="29">
        <f t="shared" si="550"/>
        <v>0</v>
      </c>
      <c r="AY604" s="34">
        <f t="shared" si="551"/>
        <v>0</v>
      </c>
      <c r="AZ604" s="37">
        <f t="shared" si="552"/>
        <v>0</v>
      </c>
      <c r="BA604" s="37">
        <f t="shared" si="553"/>
        <v>0</v>
      </c>
      <c r="BB604" s="35">
        <f t="shared" si="554"/>
        <v>9.665122752364752E-4</v>
      </c>
      <c r="BC604" s="31">
        <f t="shared" si="555"/>
        <v>0.56010707857510034</v>
      </c>
      <c r="BD604" s="34">
        <f t="shared" si="556"/>
        <v>0</v>
      </c>
    </row>
    <row r="605" spans="1:56" x14ac:dyDescent="0.2">
      <c r="A605" s="27">
        <f t="shared" si="557"/>
        <v>601</v>
      </c>
      <c r="B605" s="28">
        <f t="shared" si="504"/>
        <v>601</v>
      </c>
      <c r="C605" s="27">
        <f t="shared" si="505"/>
        <v>50</v>
      </c>
      <c r="D605" s="28">
        <f t="shared" si="506"/>
        <v>70</v>
      </c>
      <c r="E605" s="29">
        <f t="shared" si="507"/>
        <v>0</v>
      </c>
      <c r="F605" s="30">
        <f t="shared" si="508"/>
        <v>5.653743897497847E-3</v>
      </c>
      <c r="G605" s="31">
        <f t="shared" si="509"/>
        <v>4.7237063154903502E-4</v>
      </c>
      <c r="H605" s="32">
        <f t="shared" si="510"/>
        <v>0.02</v>
      </c>
      <c r="I605" s="32">
        <f t="shared" si="511"/>
        <v>0</v>
      </c>
      <c r="J605" s="33">
        <f t="shared" si="558"/>
        <v>0</v>
      </c>
      <c r="K605" s="30">
        <f t="shared" si="512"/>
        <v>0</v>
      </c>
      <c r="L605" s="33">
        <f t="shared" si="513"/>
        <v>0</v>
      </c>
      <c r="M605" s="30">
        <f t="shared" si="514"/>
        <v>0</v>
      </c>
      <c r="N605" s="33">
        <f t="shared" si="515"/>
        <v>0</v>
      </c>
      <c r="O605" s="31">
        <f t="shared" si="516"/>
        <v>0</v>
      </c>
      <c r="P605" s="33">
        <f t="shared" si="517"/>
        <v>0</v>
      </c>
      <c r="Q605" s="34">
        <f t="shared" si="559"/>
        <v>826544.16186854511</v>
      </c>
      <c r="R605" s="29">
        <f t="shared" si="518"/>
        <v>0</v>
      </c>
      <c r="S605" s="34">
        <f t="shared" si="519"/>
        <v>826544.16186854511</v>
      </c>
      <c r="T605" s="29">
        <f t="shared" si="520"/>
        <v>688.78680155712095</v>
      </c>
      <c r="U605" s="29">
        <f t="shared" si="521"/>
        <v>0</v>
      </c>
      <c r="V605" s="35">
        <f t="shared" si="522"/>
        <v>5.1960769470393853E-4</v>
      </c>
      <c r="W605" s="34">
        <f t="shared" si="523"/>
        <v>0</v>
      </c>
      <c r="X605" s="34">
        <f t="shared" si="524"/>
        <v>825855.37506698794</v>
      </c>
      <c r="Y605" s="36">
        <f t="shared" si="525"/>
        <v>-1.1900967670052554E-2</v>
      </c>
      <c r="Z605" s="34">
        <f t="shared" si="526"/>
        <v>-9828.4781188113484</v>
      </c>
      <c r="AA605" s="34">
        <f t="shared" si="527"/>
        <v>820941.1360075823</v>
      </c>
      <c r="AB605" s="34">
        <f t="shared" si="528"/>
        <v>0</v>
      </c>
      <c r="AC605" s="34">
        <f t="shared" si="529"/>
        <v>0</v>
      </c>
      <c r="AD605" s="34">
        <f t="shared" si="530"/>
        <v>0</v>
      </c>
      <c r="AE605" s="34">
        <f t="shared" si="531"/>
        <v>0</v>
      </c>
      <c r="AF605" s="34">
        <f t="shared" si="532"/>
        <v>0</v>
      </c>
      <c r="AG605" s="29">
        <f t="shared" si="533"/>
        <v>820941.1360075823</v>
      </c>
      <c r="AH605" s="34">
        <f t="shared" si="534"/>
        <v>0</v>
      </c>
      <c r="AI605" s="34">
        <f t="shared" si="535"/>
        <v>0</v>
      </c>
      <c r="AJ605" s="34">
        <f t="shared" si="536"/>
        <v>0</v>
      </c>
      <c r="AK605" s="34">
        <f t="shared" si="537"/>
        <v>0</v>
      </c>
      <c r="AL605" s="34">
        <f t="shared" si="538"/>
        <v>0</v>
      </c>
      <c r="AM605" s="34">
        <f t="shared" si="539"/>
        <v>0</v>
      </c>
      <c r="AN605" s="34">
        <f t="shared" si="540"/>
        <v>0</v>
      </c>
      <c r="AO605" s="34">
        <f t="shared" si="541"/>
        <v>0</v>
      </c>
      <c r="AP605" s="34">
        <f t="shared" si="542"/>
        <v>0</v>
      </c>
      <c r="AQ605" s="34">
        <f t="shared" si="543"/>
        <v>0</v>
      </c>
      <c r="AR605" s="34">
        <f t="shared" si="544"/>
        <v>0</v>
      </c>
      <c r="AS605" s="30">
        <f t="shared" si="545"/>
        <v>1.6459961066241688</v>
      </c>
      <c r="AT605" s="29">
        <f t="shared" si="546"/>
        <v>0</v>
      </c>
      <c r="AU605" s="29">
        <f t="shared" si="547"/>
        <v>0</v>
      </c>
      <c r="AV605" s="34">
        <f t="shared" si="548"/>
        <v>0</v>
      </c>
      <c r="AW605" s="34">
        <f t="shared" si="549"/>
        <v>0</v>
      </c>
      <c r="AX605" s="29">
        <f t="shared" si="550"/>
        <v>0</v>
      </c>
      <c r="AY605" s="34">
        <f t="shared" si="551"/>
        <v>0</v>
      </c>
      <c r="AZ605" s="37">
        <f t="shared" si="552"/>
        <v>0</v>
      </c>
      <c r="BA605" s="37">
        <f t="shared" si="553"/>
        <v>0</v>
      </c>
      <c r="BB605" s="35">
        <f t="shared" si="554"/>
        <v>9.665122752364752E-4</v>
      </c>
      <c r="BC605" s="31">
        <f t="shared" si="555"/>
        <v>0.55956625092477341</v>
      </c>
      <c r="BD605" s="34">
        <f t="shared" si="556"/>
        <v>0</v>
      </c>
    </row>
    <row r="606" spans="1:56" x14ac:dyDescent="0.2">
      <c r="A606" s="27">
        <f t="shared" si="557"/>
        <v>602</v>
      </c>
      <c r="B606" s="28">
        <f t="shared" si="504"/>
        <v>602</v>
      </c>
      <c r="C606" s="27">
        <f t="shared" si="505"/>
        <v>50</v>
      </c>
      <c r="D606" s="28">
        <f t="shared" si="506"/>
        <v>70</v>
      </c>
      <c r="E606" s="29">
        <f t="shared" si="507"/>
        <v>0</v>
      </c>
      <c r="F606" s="30">
        <f t="shared" si="508"/>
        <v>5.653743897497847E-3</v>
      </c>
      <c r="G606" s="31">
        <f t="shared" si="509"/>
        <v>4.7237063154903502E-4</v>
      </c>
      <c r="H606" s="32">
        <f t="shared" si="510"/>
        <v>0.02</v>
      </c>
      <c r="I606" s="32">
        <f t="shared" si="511"/>
        <v>0</v>
      </c>
      <c r="J606" s="33">
        <f t="shared" si="558"/>
        <v>0</v>
      </c>
      <c r="K606" s="30">
        <f t="shared" si="512"/>
        <v>0</v>
      </c>
      <c r="L606" s="33">
        <f t="shared" si="513"/>
        <v>0</v>
      </c>
      <c r="M606" s="30">
        <f t="shared" si="514"/>
        <v>0</v>
      </c>
      <c r="N606" s="33">
        <f t="shared" si="515"/>
        <v>0</v>
      </c>
      <c r="O606" s="31">
        <f t="shared" si="516"/>
        <v>0</v>
      </c>
      <c r="P606" s="33">
        <f t="shared" si="517"/>
        <v>0</v>
      </c>
      <c r="Q606" s="34">
        <f t="shared" si="559"/>
        <v>816026.89694817655</v>
      </c>
      <c r="R606" s="29">
        <f t="shared" si="518"/>
        <v>0</v>
      </c>
      <c r="S606" s="34">
        <f t="shared" si="519"/>
        <v>816026.89694817655</v>
      </c>
      <c r="T606" s="29">
        <f t="shared" si="520"/>
        <v>680.02241412348053</v>
      </c>
      <c r="U606" s="29">
        <f t="shared" si="521"/>
        <v>0</v>
      </c>
      <c r="V606" s="35">
        <f t="shared" si="522"/>
        <v>5.1960769470393853E-4</v>
      </c>
      <c r="W606" s="34">
        <f t="shared" si="523"/>
        <v>0</v>
      </c>
      <c r="X606" s="34">
        <f t="shared" si="524"/>
        <v>815346.87453405303</v>
      </c>
      <c r="Y606" s="36">
        <f t="shared" si="525"/>
        <v>1.3888299557992312E-2</v>
      </c>
      <c r="Z606" s="34">
        <f t="shared" si="526"/>
        <v>11323.781637201702</v>
      </c>
      <c r="AA606" s="34">
        <f t="shared" si="527"/>
        <v>821008.76535265392</v>
      </c>
      <c r="AB606" s="34">
        <f t="shared" si="528"/>
        <v>0</v>
      </c>
      <c r="AC606" s="34">
        <f t="shared" si="529"/>
        <v>0</v>
      </c>
      <c r="AD606" s="34">
        <f t="shared" si="530"/>
        <v>0</v>
      </c>
      <c r="AE606" s="34">
        <f t="shared" si="531"/>
        <v>0</v>
      </c>
      <c r="AF606" s="34">
        <f t="shared" si="532"/>
        <v>0</v>
      </c>
      <c r="AG606" s="29">
        <f t="shared" si="533"/>
        <v>821008.76535265392</v>
      </c>
      <c r="AH606" s="34">
        <f t="shared" si="534"/>
        <v>0</v>
      </c>
      <c r="AI606" s="34">
        <f t="shared" si="535"/>
        <v>0</v>
      </c>
      <c r="AJ606" s="34">
        <f t="shared" si="536"/>
        <v>0</v>
      </c>
      <c r="AK606" s="34">
        <f t="shared" si="537"/>
        <v>0</v>
      </c>
      <c r="AL606" s="34">
        <f t="shared" si="538"/>
        <v>0</v>
      </c>
      <c r="AM606" s="34">
        <f t="shared" si="539"/>
        <v>0</v>
      </c>
      <c r="AN606" s="34">
        <f t="shared" si="540"/>
        <v>0</v>
      </c>
      <c r="AO606" s="34">
        <f t="shared" si="541"/>
        <v>0</v>
      </c>
      <c r="AP606" s="34">
        <f t="shared" si="542"/>
        <v>0</v>
      </c>
      <c r="AQ606" s="34">
        <f t="shared" si="543"/>
        <v>0</v>
      </c>
      <c r="AR606" s="34">
        <f t="shared" si="544"/>
        <v>0</v>
      </c>
      <c r="AS606" s="30">
        <f t="shared" si="545"/>
        <v>1.6473615231306791</v>
      </c>
      <c r="AT606" s="29">
        <f t="shared" si="546"/>
        <v>0</v>
      </c>
      <c r="AU606" s="29">
        <f t="shared" si="547"/>
        <v>0</v>
      </c>
      <c r="AV606" s="34">
        <f t="shared" si="548"/>
        <v>0</v>
      </c>
      <c r="AW606" s="34">
        <f t="shared" si="549"/>
        <v>0</v>
      </c>
      <c r="AX606" s="29">
        <f t="shared" si="550"/>
        <v>0</v>
      </c>
      <c r="AY606" s="34">
        <f t="shared" si="551"/>
        <v>0</v>
      </c>
      <c r="AZ606" s="37">
        <f t="shared" si="552"/>
        <v>0</v>
      </c>
      <c r="BA606" s="37">
        <f t="shared" si="553"/>
        <v>0</v>
      </c>
      <c r="BB606" s="35">
        <f t="shared" si="554"/>
        <v>9.665122752364752E-4</v>
      </c>
      <c r="BC606" s="31">
        <f t="shared" si="555"/>
        <v>0.55902594548628537</v>
      </c>
      <c r="BD606" s="34">
        <f t="shared" si="556"/>
        <v>0</v>
      </c>
    </row>
    <row r="607" spans="1:56" x14ac:dyDescent="0.2">
      <c r="A607" s="27">
        <f t="shared" si="557"/>
        <v>603</v>
      </c>
      <c r="B607" s="28">
        <f t="shared" si="504"/>
        <v>603</v>
      </c>
      <c r="C607" s="27">
        <f t="shared" si="505"/>
        <v>50</v>
      </c>
      <c r="D607" s="28">
        <f t="shared" si="506"/>
        <v>70</v>
      </c>
      <c r="E607" s="29">
        <f t="shared" si="507"/>
        <v>0</v>
      </c>
      <c r="F607" s="30">
        <f t="shared" si="508"/>
        <v>5.653743897497847E-3</v>
      </c>
      <c r="G607" s="31">
        <f t="shared" si="509"/>
        <v>4.7237063154903502E-4</v>
      </c>
      <c r="H607" s="32">
        <f t="shared" si="510"/>
        <v>0.02</v>
      </c>
      <c r="I607" s="32">
        <f t="shared" si="511"/>
        <v>0</v>
      </c>
      <c r="J607" s="33">
        <f t="shared" si="558"/>
        <v>0</v>
      </c>
      <c r="K607" s="30">
        <f t="shared" si="512"/>
        <v>0</v>
      </c>
      <c r="L607" s="33">
        <f t="shared" si="513"/>
        <v>0</v>
      </c>
      <c r="M607" s="30">
        <f t="shared" si="514"/>
        <v>0</v>
      </c>
      <c r="N607" s="33">
        <f t="shared" si="515"/>
        <v>0</v>
      </c>
      <c r="O607" s="31">
        <f t="shared" si="516"/>
        <v>0</v>
      </c>
      <c r="P607" s="33">
        <f t="shared" si="517"/>
        <v>0</v>
      </c>
      <c r="Q607" s="34">
        <f t="shared" si="559"/>
        <v>826670.6561712547</v>
      </c>
      <c r="R607" s="29">
        <f t="shared" si="518"/>
        <v>0</v>
      </c>
      <c r="S607" s="34">
        <f t="shared" si="519"/>
        <v>826670.6561712547</v>
      </c>
      <c r="T607" s="29">
        <f t="shared" si="520"/>
        <v>688.89221347604564</v>
      </c>
      <c r="U607" s="29">
        <f t="shared" si="521"/>
        <v>0</v>
      </c>
      <c r="V607" s="35">
        <f t="shared" si="522"/>
        <v>5.1960769470393853E-4</v>
      </c>
      <c r="W607" s="34">
        <f t="shared" si="523"/>
        <v>0</v>
      </c>
      <c r="X607" s="34">
        <f t="shared" si="524"/>
        <v>825981.76395777869</v>
      </c>
      <c r="Y607" s="36">
        <f t="shared" si="525"/>
        <v>5.1220700444321032E-4</v>
      </c>
      <c r="Z607" s="34">
        <f t="shared" si="526"/>
        <v>423.07364504153264</v>
      </c>
      <c r="AA607" s="34">
        <f t="shared" si="527"/>
        <v>826193.30078029947</v>
      </c>
      <c r="AB607" s="34">
        <f t="shared" si="528"/>
        <v>0</v>
      </c>
      <c r="AC607" s="34">
        <f t="shared" si="529"/>
        <v>0</v>
      </c>
      <c r="AD607" s="34">
        <f t="shared" si="530"/>
        <v>0</v>
      </c>
      <c r="AE607" s="34">
        <f t="shared" si="531"/>
        <v>0</v>
      </c>
      <c r="AF607" s="34">
        <f t="shared" si="532"/>
        <v>0</v>
      </c>
      <c r="AG607" s="29">
        <f t="shared" si="533"/>
        <v>826193.30078029947</v>
      </c>
      <c r="AH607" s="34">
        <f t="shared" si="534"/>
        <v>0</v>
      </c>
      <c r="AI607" s="34">
        <f t="shared" si="535"/>
        <v>0</v>
      </c>
      <c r="AJ607" s="34">
        <f t="shared" si="536"/>
        <v>0</v>
      </c>
      <c r="AK607" s="34">
        <f t="shared" si="537"/>
        <v>0</v>
      </c>
      <c r="AL607" s="34">
        <f t="shared" si="538"/>
        <v>0</v>
      </c>
      <c r="AM607" s="34">
        <f t="shared" si="539"/>
        <v>0</v>
      </c>
      <c r="AN607" s="34">
        <f t="shared" si="540"/>
        <v>0</v>
      </c>
      <c r="AO607" s="34">
        <f t="shared" si="541"/>
        <v>0</v>
      </c>
      <c r="AP607" s="34">
        <f t="shared" si="542"/>
        <v>0</v>
      </c>
      <c r="AQ607" s="34">
        <f t="shared" si="543"/>
        <v>0</v>
      </c>
      <c r="AR607" s="34">
        <f t="shared" si="544"/>
        <v>0</v>
      </c>
      <c r="AS607" s="30">
        <f t="shared" si="545"/>
        <v>1.6487280723022235</v>
      </c>
      <c r="AT607" s="29">
        <f t="shared" si="546"/>
        <v>0</v>
      </c>
      <c r="AU607" s="29">
        <f t="shared" si="547"/>
        <v>0</v>
      </c>
      <c r="AV607" s="34">
        <f t="shared" si="548"/>
        <v>0</v>
      </c>
      <c r="AW607" s="34">
        <f t="shared" si="549"/>
        <v>0</v>
      </c>
      <c r="AX607" s="29">
        <f t="shared" si="550"/>
        <v>0</v>
      </c>
      <c r="AY607" s="34">
        <f t="shared" si="551"/>
        <v>0</v>
      </c>
      <c r="AZ607" s="37">
        <f t="shared" si="552"/>
        <v>0</v>
      </c>
      <c r="BA607" s="37">
        <f t="shared" si="553"/>
        <v>0</v>
      </c>
      <c r="BB607" s="35">
        <f t="shared" si="554"/>
        <v>9.665122752364752E-4</v>
      </c>
      <c r="BC607" s="31">
        <f t="shared" si="555"/>
        <v>0.55848616175539911</v>
      </c>
      <c r="BD607" s="34">
        <f t="shared" si="556"/>
        <v>0</v>
      </c>
    </row>
    <row r="608" spans="1:56" x14ac:dyDescent="0.2">
      <c r="A608" s="27">
        <f t="shared" si="557"/>
        <v>604</v>
      </c>
      <c r="B608" s="28">
        <f t="shared" si="504"/>
        <v>604</v>
      </c>
      <c r="C608" s="27">
        <f t="shared" si="505"/>
        <v>50</v>
      </c>
      <c r="D608" s="28">
        <f t="shared" si="506"/>
        <v>70</v>
      </c>
      <c r="E608" s="29">
        <f t="shared" si="507"/>
        <v>0</v>
      </c>
      <c r="F608" s="30">
        <f t="shared" si="508"/>
        <v>5.653743897497847E-3</v>
      </c>
      <c r="G608" s="31">
        <f t="shared" si="509"/>
        <v>4.7237063154903502E-4</v>
      </c>
      <c r="H608" s="32">
        <f t="shared" si="510"/>
        <v>0.02</v>
      </c>
      <c r="I608" s="32">
        <f t="shared" si="511"/>
        <v>0</v>
      </c>
      <c r="J608" s="33">
        <f t="shared" si="558"/>
        <v>0</v>
      </c>
      <c r="K608" s="30">
        <f t="shared" si="512"/>
        <v>0</v>
      </c>
      <c r="L608" s="33">
        <f t="shared" si="513"/>
        <v>0</v>
      </c>
      <c r="M608" s="30">
        <f t="shared" si="514"/>
        <v>0</v>
      </c>
      <c r="N608" s="33">
        <f t="shared" si="515"/>
        <v>0</v>
      </c>
      <c r="O608" s="31">
        <f t="shared" si="516"/>
        <v>0</v>
      </c>
      <c r="P608" s="33">
        <f t="shared" si="517"/>
        <v>0</v>
      </c>
      <c r="Q608" s="34">
        <f t="shared" si="559"/>
        <v>826404.83760282025</v>
      </c>
      <c r="R608" s="29">
        <f t="shared" si="518"/>
        <v>0</v>
      </c>
      <c r="S608" s="34">
        <f t="shared" si="519"/>
        <v>826404.83760282025</v>
      </c>
      <c r="T608" s="29">
        <f t="shared" si="520"/>
        <v>688.67069800235026</v>
      </c>
      <c r="U608" s="29">
        <f t="shared" si="521"/>
        <v>0</v>
      </c>
      <c r="V608" s="35">
        <f t="shared" si="522"/>
        <v>5.1960769470393853E-4</v>
      </c>
      <c r="W608" s="34">
        <f t="shared" si="523"/>
        <v>0</v>
      </c>
      <c r="X608" s="34">
        <f t="shared" si="524"/>
        <v>825716.16690481792</v>
      </c>
      <c r="Y608" s="36">
        <f t="shared" si="525"/>
        <v>-1.1693634811024367E-2</v>
      </c>
      <c r="Z608" s="34">
        <f t="shared" si="526"/>
        <v>-9655.6233133437854</v>
      </c>
      <c r="AA608" s="34">
        <f t="shared" si="527"/>
        <v>820888.35524814599</v>
      </c>
      <c r="AB608" s="34">
        <f t="shared" si="528"/>
        <v>0</v>
      </c>
      <c r="AC608" s="34">
        <f t="shared" si="529"/>
        <v>0</v>
      </c>
      <c r="AD608" s="34">
        <f t="shared" si="530"/>
        <v>0</v>
      </c>
      <c r="AE608" s="34">
        <f t="shared" si="531"/>
        <v>0</v>
      </c>
      <c r="AF608" s="34">
        <f t="shared" si="532"/>
        <v>0</v>
      </c>
      <c r="AG608" s="29">
        <f t="shared" si="533"/>
        <v>820888.35524814599</v>
      </c>
      <c r="AH608" s="34">
        <f t="shared" si="534"/>
        <v>0</v>
      </c>
      <c r="AI608" s="34">
        <f t="shared" si="535"/>
        <v>0</v>
      </c>
      <c r="AJ608" s="34">
        <f t="shared" si="536"/>
        <v>0</v>
      </c>
      <c r="AK608" s="34">
        <f t="shared" si="537"/>
        <v>0</v>
      </c>
      <c r="AL608" s="34">
        <f t="shared" si="538"/>
        <v>0</v>
      </c>
      <c r="AM608" s="34">
        <f t="shared" si="539"/>
        <v>0</v>
      </c>
      <c r="AN608" s="34">
        <f t="shared" si="540"/>
        <v>0</v>
      </c>
      <c r="AO608" s="34">
        <f t="shared" si="541"/>
        <v>0</v>
      </c>
      <c r="AP608" s="34">
        <f t="shared" si="542"/>
        <v>0</v>
      </c>
      <c r="AQ608" s="34">
        <f t="shared" si="543"/>
        <v>0</v>
      </c>
      <c r="AR608" s="34">
        <f t="shared" si="544"/>
        <v>0</v>
      </c>
      <c r="AS608" s="30">
        <f t="shared" si="545"/>
        <v>1.6500957550783908</v>
      </c>
      <c r="AT608" s="29">
        <f t="shared" si="546"/>
        <v>0</v>
      </c>
      <c r="AU608" s="29">
        <f t="shared" si="547"/>
        <v>0</v>
      </c>
      <c r="AV608" s="34">
        <f t="shared" si="548"/>
        <v>0</v>
      </c>
      <c r="AW608" s="34">
        <f t="shared" si="549"/>
        <v>0</v>
      </c>
      <c r="AX608" s="29">
        <f t="shared" si="550"/>
        <v>0</v>
      </c>
      <c r="AY608" s="34">
        <f t="shared" si="551"/>
        <v>0</v>
      </c>
      <c r="AZ608" s="37">
        <f t="shared" si="552"/>
        <v>0</v>
      </c>
      <c r="BA608" s="37">
        <f t="shared" si="553"/>
        <v>0</v>
      </c>
      <c r="BB608" s="35">
        <f t="shared" si="554"/>
        <v>9.665122752364752E-4</v>
      </c>
      <c r="BC608" s="31">
        <f t="shared" si="555"/>
        <v>0.55794689922836482</v>
      </c>
      <c r="BD608" s="34">
        <f t="shared" si="556"/>
        <v>0</v>
      </c>
    </row>
    <row r="609" spans="1:56" x14ac:dyDescent="0.2">
      <c r="A609" s="27">
        <f t="shared" si="557"/>
        <v>605</v>
      </c>
      <c r="B609" s="28">
        <f t="shared" si="504"/>
        <v>605</v>
      </c>
      <c r="C609" s="27">
        <f t="shared" si="505"/>
        <v>50</v>
      </c>
      <c r="D609" s="28">
        <f t="shared" si="506"/>
        <v>70</v>
      </c>
      <c r="E609" s="29">
        <f t="shared" si="507"/>
        <v>0</v>
      </c>
      <c r="F609" s="30">
        <f t="shared" si="508"/>
        <v>5.653743897497847E-3</v>
      </c>
      <c r="G609" s="31">
        <f t="shared" si="509"/>
        <v>4.7237063154903502E-4</v>
      </c>
      <c r="H609" s="32">
        <f t="shared" si="510"/>
        <v>0.02</v>
      </c>
      <c r="I609" s="32">
        <f t="shared" si="511"/>
        <v>0</v>
      </c>
      <c r="J609" s="33">
        <f t="shared" si="558"/>
        <v>0</v>
      </c>
      <c r="K609" s="30">
        <f t="shared" si="512"/>
        <v>0</v>
      </c>
      <c r="L609" s="33">
        <f t="shared" si="513"/>
        <v>0</v>
      </c>
      <c r="M609" s="30">
        <f t="shared" si="514"/>
        <v>0</v>
      </c>
      <c r="N609" s="33">
        <f t="shared" si="515"/>
        <v>0</v>
      </c>
      <c r="O609" s="31">
        <f t="shared" si="516"/>
        <v>0</v>
      </c>
      <c r="P609" s="33">
        <f t="shared" si="517"/>
        <v>0</v>
      </c>
      <c r="Q609" s="34">
        <f t="shared" si="559"/>
        <v>816060.54359147418</v>
      </c>
      <c r="R609" s="29">
        <f t="shared" si="518"/>
        <v>0</v>
      </c>
      <c r="S609" s="34">
        <f t="shared" si="519"/>
        <v>816060.54359147418</v>
      </c>
      <c r="T609" s="29">
        <f t="shared" si="520"/>
        <v>680.0504529928952</v>
      </c>
      <c r="U609" s="29">
        <f t="shared" si="521"/>
        <v>0</v>
      </c>
      <c r="V609" s="35">
        <f t="shared" si="522"/>
        <v>5.1960769470393853E-4</v>
      </c>
      <c r="W609" s="34">
        <f t="shared" si="523"/>
        <v>0</v>
      </c>
      <c r="X609" s="34">
        <f t="shared" si="524"/>
        <v>815380.49313848128</v>
      </c>
      <c r="Y609" s="36">
        <f t="shared" si="525"/>
        <v>9.4320376159362507E-3</v>
      </c>
      <c r="Z609" s="34">
        <f t="shared" si="526"/>
        <v>7690.6994825828051</v>
      </c>
      <c r="AA609" s="34">
        <f t="shared" si="527"/>
        <v>819225.84287977265</v>
      </c>
      <c r="AB609" s="34">
        <f t="shared" si="528"/>
        <v>0</v>
      </c>
      <c r="AC609" s="34">
        <f t="shared" si="529"/>
        <v>0</v>
      </c>
      <c r="AD609" s="34">
        <f t="shared" si="530"/>
        <v>0</v>
      </c>
      <c r="AE609" s="34">
        <f t="shared" si="531"/>
        <v>0</v>
      </c>
      <c r="AF609" s="34">
        <f t="shared" si="532"/>
        <v>0</v>
      </c>
      <c r="AG609" s="29">
        <f t="shared" si="533"/>
        <v>819225.84287977265</v>
      </c>
      <c r="AH609" s="34">
        <f t="shared" si="534"/>
        <v>0</v>
      </c>
      <c r="AI609" s="34">
        <f t="shared" si="535"/>
        <v>0</v>
      </c>
      <c r="AJ609" s="34">
        <f t="shared" si="536"/>
        <v>0</v>
      </c>
      <c r="AK609" s="34">
        <f t="shared" si="537"/>
        <v>0</v>
      </c>
      <c r="AL609" s="34">
        <f t="shared" si="538"/>
        <v>0</v>
      </c>
      <c r="AM609" s="34">
        <f t="shared" si="539"/>
        <v>0</v>
      </c>
      <c r="AN609" s="34">
        <f t="shared" si="540"/>
        <v>0</v>
      </c>
      <c r="AO609" s="34">
        <f t="shared" si="541"/>
        <v>0</v>
      </c>
      <c r="AP609" s="34">
        <f t="shared" si="542"/>
        <v>0</v>
      </c>
      <c r="AQ609" s="34">
        <f t="shared" si="543"/>
        <v>0</v>
      </c>
      <c r="AR609" s="34">
        <f t="shared" si="544"/>
        <v>0</v>
      </c>
      <c r="AS609" s="30">
        <f t="shared" si="545"/>
        <v>1.6514645723995491</v>
      </c>
      <c r="AT609" s="29">
        <f t="shared" si="546"/>
        <v>0</v>
      </c>
      <c r="AU609" s="29">
        <f t="shared" si="547"/>
        <v>0</v>
      </c>
      <c r="AV609" s="34">
        <f t="shared" si="548"/>
        <v>0</v>
      </c>
      <c r="AW609" s="34">
        <f t="shared" si="549"/>
        <v>0</v>
      </c>
      <c r="AX609" s="29">
        <f t="shared" si="550"/>
        <v>0</v>
      </c>
      <c r="AY609" s="34">
        <f t="shared" si="551"/>
        <v>0</v>
      </c>
      <c r="AZ609" s="37">
        <f t="shared" si="552"/>
        <v>0</v>
      </c>
      <c r="BA609" s="37">
        <f t="shared" si="553"/>
        <v>0</v>
      </c>
      <c r="BB609" s="35">
        <f t="shared" si="554"/>
        <v>9.665122752364752E-4</v>
      </c>
      <c r="BC609" s="31">
        <f t="shared" si="555"/>
        <v>0.55740815740191885</v>
      </c>
      <c r="BD609" s="34">
        <f t="shared" si="556"/>
        <v>0</v>
      </c>
    </row>
    <row r="610" spans="1:56" x14ac:dyDescent="0.2">
      <c r="A610" s="27">
        <f t="shared" si="557"/>
        <v>606</v>
      </c>
      <c r="B610" s="28">
        <f t="shared" si="504"/>
        <v>606</v>
      </c>
      <c r="C610" s="27">
        <f t="shared" si="505"/>
        <v>50</v>
      </c>
      <c r="D610" s="28">
        <f t="shared" si="506"/>
        <v>70</v>
      </c>
      <c r="E610" s="29">
        <f t="shared" si="507"/>
        <v>0</v>
      </c>
      <c r="F610" s="30">
        <f t="shared" si="508"/>
        <v>5.653743897497847E-3</v>
      </c>
      <c r="G610" s="31">
        <f t="shared" si="509"/>
        <v>4.7237063154903502E-4</v>
      </c>
      <c r="H610" s="32">
        <f t="shared" si="510"/>
        <v>0.02</v>
      </c>
      <c r="I610" s="32">
        <f t="shared" si="511"/>
        <v>0</v>
      </c>
      <c r="J610" s="33">
        <f t="shared" si="558"/>
        <v>0</v>
      </c>
      <c r="K610" s="30">
        <f t="shared" si="512"/>
        <v>0</v>
      </c>
      <c r="L610" s="33">
        <f t="shared" si="513"/>
        <v>0</v>
      </c>
      <c r="M610" s="30">
        <f t="shared" si="514"/>
        <v>0</v>
      </c>
      <c r="N610" s="33">
        <f t="shared" si="515"/>
        <v>0</v>
      </c>
      <c r="O610" s="31">
        <f t="shared" si="516"/>
        <v>0</v>
      </c>
      <c r="P610" s="33">
        <f t="shared" si="517"/>
        <v>0</v>
      </c>
      <c r="Q610" s="34">
        <f t="shared" si="559"/>
        <v>823071.19262106414</v>
      </c>
      <c r="R610" s="29">
        <f t="shared" si="518"/>
        <v>0</v>
      </c>
      <c r="S610" s="34">
        <f t="shared" si="519"/>
        <v>823071.19262106414</v>
      </c>
      <c r="T610" s="29">
        <f t="shared" si="520"/>
        <v>685.89266051755351</v>
      </c>
      <c r="U610" s="29">
        <f t="shared" si="521"/>
        <v>0</v>
      </c>
      <c r="V610" s="35">
        <f t="shared" si="522"/>
        <v>5.1960769470393853E-4</v>
      </c>
      <c r="W610" s="34">
        <f t="shared" si="523"/>
        <v>0</v>
      </c>
      <c r="X610" s="34">
        <f t="shared" si="524"/>
        <v>822385.29996054654</v>
      </c>
      <c r="Y610" s="36">
        <f t="shared" si="525"/>
        <v>5.7644696892955594E-4</v>
      </c>
      <c r="Z610" s="34">
        <f t="shared" si="526"/>
        <v>474.06151345448069</v>
      </c>
      <c r="AA610" s="34">
        <f t="shared" si="527"/>
        <v>822622.33071727375</v>
      </c>
      <c r="AB610" s="34">
        <f t="shared" si="528"/>
        <v>0</v>
      </c>
      <c r="AC610" s="34">
        <f t="shared" si="529"/>
        <v>0</v>
      </c>
      <c r="AD610" s="34">
        <f t="shared" si="530"/>
        <v>0</v>
      </c>
      <c r="AE610" s="34">
        <f t="shared" si="531"/>
        <v>0</v>
      </c>
      <c r="AF610" s="34">
        <f t="shared" si="532"/>
        <v>0</v>
      </c>
      <c r="AG610" s="29">
        <f t="shared" si="533"/>
        <v>822622.33071727375</v>
      </c>
      <c r="AH610" s="34">
        <f t="shared" si="534"/>
        <v>0</v>
      </c>
      <c r="AI610" s="34">
        <f t="shared" si="535"/>
        <v>0</v>
      </c>
      <c r="AJ610" s="34">
        <f t="shared" si="536"/>
        <v>0</v>
      </c>
      <c r="AK610" s="34">
        <f t="shared" si="537"/>
        <v>0</v>
      </c>
      <c r="AL610" s="34">
        <f t="shared" si="538"/>
        <v>0</v>
      </c>
      <c r="AM610" s="34">
        <f t="shared" si="539"/>
        <v>0</v>
      </c>
      <c r="AN610" s="34">
        <f t="shared" si="540"/>
        <v>0</v>
      </c>
      <c r="AO610" s="34">
        <f t="shared" si="541"/>
        <v>0</v>
      </c>
      <c r="AP610" s="34">
        <f t="shared" si="542"/>
        <v>0</v>
      </c>
      <c r="AQ610" s="34">
        <f t="shared" si="543"/>
        <v>0</v>
      </c>
      <c r="AR610" s="34">
        <f t="shared" si="544"/>
        <v>0</v>
      </c>
      <c r="AS610" s="30">
        <f t="shared" si="545"/>
        <v>1.6528345252068473</v>
      </c>
      <c r="AT610" s="29">
        <f t="shared" si="546"/>
        <v>0</v>
      </c>
      <c r="AU610" s="29">
        <f t="shared" si="547"/>
        <v>0</v>
      </c>
      <c r="AV610" s="34">
        <f t="shared" si="548"/>
        <v>0</v>
      </c>
      <c r="AW610" s="34">
        <f t="shared" si="549"/>
        <v>0</v>
      </c>
      <c r="AX610" s="29">
        <f t="shared" si="550"/>
        <v>0</v>
      </c>
      <c r="AY610" s="34">
        <f t="shared" si="551"/>
        <v>0</v>
      </c>
      <c r="AZ610" s="37">
        <f t="shared" si="552"/>
        <v>0</v>
      </c>
      <c r="BA610" s="37">
        <f t="shared" si="553"/>
        <v>0</v>
      </c>
      <c r="BB610" s="35">
        <f t="shared" si="554"/>
        <v>9.665122752364752E-4</v>
      </c>
      <c r="BC610" s="31">
        <f t="shared" si="555"/>
        <v>0.55686993577328392</v>
      </c>
      <c r="BD610" s="34">
        <f t="shared" si="556"/>
        <v>0</v>
      </c>
    </row>
    <row r="611" spans="1:56" x14ac:dyDescent="0.2">
      <c r="A611" s="27">
        <f t="shared" si="557"/>
        <v>607</v>
      </c>
      <c r="B611" s="28">
        <f t="shared" si="504"/>
        <v>607</v>
      </c>
      <c r="C611" s="27">
        <f t="shared" si="505"/>
        <v>50</v>
      </c>
      <c r="D611" s="28">
        <f t="shared" si="506"/>
        <v>70</v>
      </c>
      <c r="E611" s="29">
        <f t="shared" si="507"/>
        <v>0</v>
      </c>
      <c r="F611" s="30">
        <f t="shared" si="508"/>
        <v>5.653743897497847E-3</v>
      </c>
      <c r="G611" s="31">
        <f t="shared" si="509"/>
        <v>4.7237063154903502E-4</v>
      </c>
      <c r="H611" s="32">
        <f t="shared" si="510"/>
        <v>0.02</v>
      </c>
      <c r="I611" s="32">
        <f t="shared" si="511"/>
        <v>0</v>
      </c>
      <c r="J611" s="33">
        <f t="shared" si="558"/>
        <v>0</v>
      </c>
      <c r="K611" s="30">
        <f t="shared" si="512"/>
        <v>0</v>
      </c>
      <c r="L611" s="33">
        <f t="shared" si="513"/>
        <v>0</v>
      </c>
      <c r="M611" s="30">
        <f t="shared" si="514"/>
        <v>0</v>
      </c>
      <c r="N611" s="33">
        <f t="shared" si="515"/>
        <v>0</v>
      </c>
      <c r="O611" s="31">
        <f t="shared" si="516"/>
        <v>0</v>
      </c>
      <c r="P611" s="33">
        <f t="shared" si="517"/>
        <v>0</v>
      </c>
      <c r="Q611" s="34">
        <f t="shared" si="559"/>
        <v>822859.36147400108</v>
      </c>
      <c r="R611" s="29">
        <f t="shared" si="518"/>
        <v>0</v>
      </c>
      <c r="S611" s="34">
        <f t="shared" si="519"/>
        <v>822859.36147400108</v>
      </c>
      <c r="T611" s="29">
        <f t="shared" si="520"/>
        <v>685.71613456166756</v>
      </c>
      <c r="U611" s="29">
        <f t="shared" si="521"/>
        <v>0</v>
      </c>
      <c r="V611" s="35">
        <f t="shared" si="522"/>
        <v>5.1960769470393853E-4</v>
      </c>
      <c r="W611" s="34">
        <f t="shared" si="523"/>
        <v>0</v>
      </c>
      <c r="X611" s="34">
        <f t="shared" si="524"/>
        <v>822173.64533943939</v>
      </c>
      <c r="Y611" s="36">
        <f t="shared" si="525"/>
        <v>1.3048167165890412E-2</v>
      </c>
      <c r="Z611" s="34">
        <f t="shared" si="526"/>
        <v>10727.859163778501</v>
      </c>
      <c r="AA611" s="34">
        <f t="shared" si="527"/>
        <v>827537.57492132869</v>
      </c>
      <c r="AB611" s="34">
        <f t="shared" si="528"/>
        <v>0</v>
      </c>
      <c r="AC611" s="34">
        <f t="shared" si="529"/>
        <v>0</v>
      </c>
      <c r="AD611" s="34">
        <f t="shared" si="530"/>
        <v>0</v>
      </c>
      <c r="AE611" s="34">
        <f t="shared" si="531"/>
        <v>0</v>
      </c>
      <c r="AF611" s="34">
        <f t="shared" si="532"/>
        <v>0</v>
      </c>
      <c r="AG611" s="29">
        <f t="shared" si="533"/>
        <v>827537.57492132869</v>
      </c>
      <c r="AH611" s="34">
        <f t="shared" si="534"/>
        <v>0</v>
      </c>
      <c r="AI611" s="34">
        <f t="shared" si="535"/>
        <v>0</v>
      </c>
      <c r="AJ611" s="34">
        <f t="shared" si="536"/>
        <v>0</v>
      </c>
      <c r="AK611" s="34">
        <f t="shared" si="537"/>
        <v>0</v>
      </c>
      <c r="AL611" s="34">
        <f t="shared" si="538"/>
        <v>0</v>
      </c>
      <c r="AM611" s="34">
        <f t="shared" si="539"/>
        <v>0</v>
      </c>
      <c r="AN611" s="34">
        <f t="shared" si="540"/>
        <v>0</v>
      </c>
      <c r="AO611" s="34">
        <f t="shared" si="541"/>
        <v>0</v>
      </c>
      <c r="AP611" s="34">
        <f t="shared" si="542"/>
        <v>0</v>
      </c>
      <c r="AQ611" s="34">
        <f t="shared" si="543"/>
        <v>0</v>
      </c>
      <c r="AR611" s="34">
        <f t="shared" si="544"/>
        <v>0</v>
      </c>
      <c r="AS611" s="30">
        <f t="shared" si="545"/>
        <v>1.6542056144422137</v>
      </c>
      <c r="AT611" s="29">
        <f t="shared" si="546"/>
        <v>0</v>
      </c>
      <c r="AU611" s="29">
        <f t="shared" si="547"/>
        <v>0</v>
      </c>
      <c r="AV611" s="34">
        <f t="shared" si="548"/>
        <v>0</v>
      </c>
      <c r="AW611" s="34">
        <f t="shared" si="549"/>
        <v>0</v>
      </c>
      <c r="AX611" s="29">
        <f t="shared" si="550"/>
        <v>0</v>
      </c>
      <c r="AY611" s="34">
        <f t="shared" si="551"/>
        <v>0</v>
      </c>
      <c r="AZ611" s="37">
        <f t="shared" si="552"/>
        <v>0</v>
      </c>
      <c r="BA611" s="37">
        <f t="shared" si="553"/>
        <v>0</v>
      </c>
      <c r="BB611" s="35">
        <f t="shared" si="554"/>
        <v>9.665122752364752E-4</v>
      </c>
      <c r="BC611" s="31">
        <f t="shared" si="555"/>
        <v>0.55633223384016772</v>
      </c>
      <c r="BD611" s="34">
        <f t="shared" si="556"/>
        <v>0</v>
      </c>
    </row>
    <row r="612" spans="1:56" x14ac:dyDescent="0.2">
      <c r="A612" s="27">
        <f t="shared" si="557"/>
        <v>608</v>
      </c>
      <c r="B612" s="28">
        <f t="shared" si="504"/>
        <v>608</v>
      </c>
      <c r="C612" s="27">
        <f t="shared" si="505"/>
        <v>50</v>
      </c>
      <c r="D612" s="28">
        <f t="shared" si="506"/>
        <v>70</v>
      </c>
      <c r="E612" s="29">
        <f t="shared" si="507"/>
        <v>0</v>
      </c>
      <c r="F612" s="30">
        <f t="shared" si="508"/>
        <v>5.653743897497847E-3</v>
      </c>
      <c r="G612" s="31">
        <f t="shared" si="509"/>
        <v>4.7237063154903502E-4</v>
      </c>
      <c r="H612" s="32">
        <f t="shared" si="510"/>
        <v>0.02</v>
      </c>
      <c r="I612" s="32">
        <f t="shared" si="511"/>
        <v>0</v>
      </c>
      <c r="J612" s="33">
        <f t="shared" si="558"/>
        <v>0</v>
      </c>
      <c r="K612" s="30">
        <f t="shared" si="512"/>
        <v>0</v>
      </c>
      <c r="L612" s="33">
        <f t="shared" si="513"/>
        <v>0</v>
      </c>
      <c r="M612" s="30">
        <f t="shared" si="514"/>
        <v>0</v>
      </c>
      <c r="N612" s="33">
        <f t="shared" si="515"/>
        <v>0</v>
      </c>
      <c r="O612" s="31">
        <f t="shared" si="516"/>
        <v>0</v>
      </c>
      <c r="P612" s="33">
        <f t="shared" si="517"/>
        <v>0</v>
      </c>
      <c r="Q612" s="34">
        <f t="shared" si="559"/>
        <v>832901.50450321788</v>
      </c>
      <c r="R612" s="29">
        <f t="shared" si="518"/>
        <v>0</v>
      </c>
      <c r="S612" s="34">
        <f t="shared" si="519"/>
        <v>832901.50450321788</v>
      </c>
      <c r="T612" s="29">
        <f t="shared" si="520"/>
        <v>694.08458708601495</v>
      </c>
      <c r="U612" s="29">
        <f t="shared" si="521"/>
        <v>0</v>
      </c>
      <c r="V612" s="35">
        <f t="shared" si="522"/>
        <v>5.1960769470393853E-4</v>
      </c>
      <c r="W612" s="34">
        <f t="shared" si="523"/>
        <v>0</v>
      </c>
      <c r="X612" s="34">
        <f t="shared" si="524"/>
        <v>832207.41991613188</v>
      </c>
      <c r="Y612" s="36">
        <f t="shared" si="525"/>
        <v>-6.988138479373518E-3</v>
      </c>
      <c r="Z612" s="34">
        <f t="shared" si="526"/>
        <v>-5815.5806939360764</v>
      </c>
      <c r="AA612" s="34">
        <f t="shared" si="527"/>
        <v>829299.6295691639</v>
      </c>
      <c r="AB612" s="34">
        <f t="shared" si="528"/>
        <v>0</v>
      </c>
      <c r="AC612" s="34">
        <f t="shared" si="529"/>
        <v>0</v>
      </c>
      <c r="AD612" s="34">
        <f t="shared" si="530"/>
        <v>0</v>
      </c>
      <c r="AE612" s="34">
        <f t="shared" si="531"/>
        <v>0</v>
      </c>
      <c r="AF612" s="34">
        <f t="shared" si="532"/>
        <v>0</v>
      </c>
      <c r="AG612" s="29">
        <f t="shared" si="533"/>
        <v>829299.6295691639</v>
      </c>
      <c r="AH612" s="34">
        <f t="shared" si="534"/>
        <v>0</v>
      </c>
      <c r="AI612" s="34">
        <f t="shared" si="535"/>
        <v>0</v>
      </c>
      <c r="AJ612" s="34">
        <f t="shared" si="536"/>
        <v>0</v>
      </c>
      <c r="AK612" s="34">
        <f t="shared" si="537"/>
        <v>0</v>
      </c>
      <c r="AL612" s="34">
        <f t="shared" si="538"/>
        <v>0</v>
      </c>
      <c r="AM612" s="34">
        <f t="shared" si="539"/>
        <v>0</v>
      </c>
      <c r="AN612" s="34">
        <f t="shared" si="540"/>
        <v>0</v>
      </c>
      <c r="AO612" s="34">
        <f t="shared" si="541"/>
        <v>0</v>
      </c>
      <c r="AP612" s="34">
        <f t="shared" si="542"/>
        <v>0</v>
      </c>
      <c r="AQ612" s="34">
        <f t="shared" si="543"/>
        <v>0</v>
      </c>
      <c r="AR612" s="34">
        <f t="shared" si="544"/>
        <v>0</v>
      </c>
      <c r="AS612" s="30">
        <f t="shared" si="545"/>
        <v>1.655577841048359</v>
      </c>
      <c r="AT612" s="29">
        <f t="shared" si="546"/>
        <v>0</v>
      </c>
      <c r="AU612" s="29">
        <f t="shared" si="547"/>
        <v>0</v>
      </c>
      <c r="AV612" s="34">
        <f t="shared" si="548"/>
        <v>0</v>
      </c>
      <c r="AW612" s="34">
        <f t="shared" si="549"/>
        <v>0</v>
      </c>
      <c r="AX612" s="29">
        <f t="shared" si="550"/>
        <v>0</v>
      </c>
      <c r="AY612" s="34">
        <f t="shared" si="551"/>
        <v>0</v>
      </c>
      <c r="AZ612" s="37">
        <f t="shared" si="552"/>
        <v>0</v>
      </c>
      <c r="BA612" s="37">
        <f t="shared" si="553"/>
        <v>0</v>
      </c>
      <c r="BB612" s="35">
        <f t="shared" si="554"/>
        <v>9.665122752364752E-4</v>
      </c>
      <c r="BC612" s="31">
        <f t="shared" si="555"/>
        <v>0.5557950511007631</v>
      </c>
      <c r="BD612" s="34">
        <f t="shared" si="556"/>
        <v>0</v>
      </c>
    </row>
    <row r="613" spans="1:56" x14ac:dyDescent="0.2">
      <c r="A613" s="27">
        <f t="shared" si="557"/>
        <v>609</v>
      </c>
      <c r="B613" s="28">
        <f t="shared" si="504"/>
        <v>609</v>
      </c>
      <c r="C613" s="27">
        <f t="shared" si="505"/>
        <v>50</v>
      </c>
      <c r="D613" s="28">
        <f t="shared" si="506"/>
        <v>70</v>
      </c>
      <c r="E613" s="29">
        <f t="shared" si="507"/>
        <v>0</v>
      </c>
      <c r="F613" s="30">
        <f t="shared" si="508"/>
        <v>5.653743897497847E-3</v>
      </c>
      <c r="G613" s="31">
        <f t="shared" si="509"/>
        <v>4.7237063154903502E-4</v>
      </c>
      <c r="H613" s="32">
        <f t="shared" si="510"/>
        <v>0.02</v>
      </c>
      <c r="I613" s="32">
        <f t="shared" si="511"/>
        <v>0</v>
      </c>
      <c r="J613" s="33">
        <f t="shared" si="558"/>
        <v>0</v>
      </c>
      <c r="K613" s="30">
        <f t="shared" si="512"/>
        <v>0</v>
      </c>
      <c r="L613" s="33">
        <f t="shared" si="513"/>
        <v>0</v>
      </c>
      <c r="M613" s="30">
        <f t="shared" si="514"/>
        <v>0</v>
      </c>
      <c r="N613" s="33">
        <f t="shared" si="515"/>
        <v>0</v>
      </c>
      <c r="O613" s="31">
        <f t="shared" si="516"/>
        <v>0</v>
      </c>
      <c r="P613" s="33">
        <f t="shared" si="517"/>
        <v>0</v>
      </c>
      <c r="Q613" s="34">
        <f t="shared" si="559"/>
        <v>826391.83922219579</v>
      </c>
      <c r="R613" s="29">
        <f t="shared" si="518"/>
        <v>0</v>
      </c>
      <c r="S613" s="34">
        <f t="shared" si="519"/>
        <v>826391.83922219579</v>
      </c>
      <c r="T613" s="29">
        <f t="shared" si="520"/>
        <v>688.65986601849659</v>
      </c>
      <c r="U613" s="29">
        <f t="shared" si="521"/>
        <v>0</v>
      </c>
      <c r="V613" s="35">
        <f t="shared" si="522"/>
        <v>5.1960769470393853E-4</v>
      </c>
      <c r="W613" s="34">
        <f t="shared" si="523"/>
        <v>0</v>
      </c>
      <c r="X613" s="34">
        <f t="shared" si="524"/>
        <v>825703.17935617734</v>
      </c>
      <c r="Y613" s="36">
        <f t="shared" si="525"/>
        <v>1.6283789677043803E-2</v>
      </c>
      <c r="Z613" s="34">
        <f t="shared" si="526"/>
        <v>13445.576908302368</v>
      </c>
      <c r="AA613" s="34">
        <f t="shared" si="527"/>
        <v>832425.96781032847</v>
      </c>
      <c r="AB613" s="34">
        <f t="shared" si="528"/>
        <v>0</v>
      </c>
      <c r="AC613" s="34">
        <f t="shared" si="529"/>
        <v>0</v>
      </c>
      <c r="AD613" s="34">
        <f t="shared" si="530"/>
        <v>0</v>
      </c>
      <c r="AE613" s="34">
        <f t="shared" si="531"/>
        <v>0</v>
      </c>
      <c r="AF613" s="34">
        <f t="shared" si="532"/>
        <v>0</v>
      </c>
      <c r="AG613" s="29">
        <f t="shared" si="533"/>
        <v>832425.96781032847</v>
      </c>
      <c r="AH613" s="34">
        <f t="shared" si="534"/>
        <v>0</v>
      </c>
      <c r="AI613" s="34">
        <f t="shared" si="535"/>
        <v>0</v>
      </c>
      <c r="AJ613" s="34">
        <f t="shared" si="536"/>
        <v>0</v>
      </c>
      <c r="AK613" s="34">
        <f t="shared" si="537"/>
        <v>0</v>
      </c>
      <c r="AL613" s="34">
        <f t="shared" si="538"/>
        <v>0</v>
      </c>
      <c r="AM613" s="34">
        <f t="shared" si="539"/>
        <v>0</v>
      </c>
      <c r="AN613" s="34">
        <f t="shared" si="540"/>
        <v>0</v>
      </c>
      <c r="AO613" s="34">
        <f t="shared" si="541"/>
        <v>0</v>
      </c>
      <c r="AP613" s="34">
        <f t="shared" si="542"/>
        <v>0</v>
      </c>
      <c r="AQ613" s="34">
        <f t="shared" si="543"/>
        <v>0</v>
      </c>
      <c r="AR613" s="34">
        <f t="shared" si="544"/>
        <v>0</v>
      </c>
      <c r="AS613" s="30">
        <f t="shared" si="545"/>
        <v>1.6569512059687757</v>
      </c>
      <c r="AT613" s="29">
        <f t="shared" si="546"/>
        <v>0</v>
      </c>
      <c r="AU613" s="29">
        <f t="shared" si="547"/>
        <v>0</v>
      </c>
      <c r="AV613" s="34">
        <f t="shared" si="548"/>
        <v>0</v>
      </c>
      <c r="AW613" s="34">
        <f t="shared" si="549"/>
        <v>0</v>
      </c>
      <c r="AX613" s="29">
        <f t="shared" si="550"/>
        <v>0</v>
      </c>
      <c r="AY613" s="34">
        <f t="shared" si="551"/>
        <v>0</v>
      </c>
      <c r="AZ613" s="37">
        <f t="shared" si="552"/>
        <v>0</v>
      </c>
      <c r="BA613" s="37">
        <f t="shared" si="553"/>
        <v>0</v>
      </c>
      <c r="BB613" s="35">
        <f t="shared" si="554"/>
        <v>9.665122752364752E-4</v>
      </c>
      <c r="BC613" s="31">
        <f t="shared" si="555"/>
        <v>0.55525838705374775</v>
      </c>
      <c r="BD613" s="34">
        <f t="shared" si="556"/>
        <v>0</v>
      </c>
    </row>
    <row r="614" spans="1:56" x14ac:dyDescent="0.2">
      <c r="A614" s="27">
        <f t="shared" si="557"/>
        <v>610</v>
      </c>
      <c r="B614" s="28">
        <f t="shared" si="504"/>
        <v>610</v>
      </c>
      <c r="C614" s="27">
        <f t="shared" si="505"/>
        <v>50</v>
      </c>
      <c r="D614" s="28">
        <f t="shared" si="506"/>
        <v>70</v>
      </c>
      <c r="E614" s="29">
        <f t="shared" si="507"/>
        <v>0</v>
      </c>
      <c r="F614" s="30">
        <f t="shared" si="508"/>
        <v>5.653743897497847E-3</v>
      </c>
      <c r="G614" s="31">
        <f t="shared" si="509"/>
        <v>4.7237063154903502E-4</v>
      </c>
      <c r="H614" s="32">
        <f t="shared" si="510"/>
        <v>0.02</v>
      </c>
      <c r="I614" s="32">
        <f t="shared" si="511"/>
        <v>0</v>
      </c>
      <c r="J614" s="33">
        <f t="shared" si="558"/>
        <v>0</v>
      </c>
      <c r="K614" s="30">
        <f t="shared" si="512"/>
        <v>0</v>
      </c>
      <c r="L614" s="33">
        <f t="shared" si="513"/>
        <v>0</v>
      </c>
      <c r="M614" s="30">
        <f t="shared" si="514"/>
        <v>0</v>
      </c>
      <c r="N614" s="33">
        <f t="shared" si="515"/>
        <v>0</v>
      </c>
      <c r="O614" s="31">
        <f t="shared" si="516"/>
        <v>0</v>
      </c>
      <c r="P614" s="33">
        <f t="shared" si="517"/>
        <v>0</v>
      </c>
      <c r="Q614" s="34">
        <f t="shared" si="559"/>
        <v>839148.75626447971</v>
      </c>
      <c r="R614" s="29">
        <f t="shared" si="518"/>
        <v>0</v>
      </c>
      <c r="S614" s="34">
        <f t="shared" si="519"/>
        <v>839148.75626447971</v>
      </c>
      <c r="T614" s="29">
        <f t="shared" si="520"/>
        <v>699.29063022039986</v>
      </c>
      <c r="U614" s="29">
        <f t="shared" si="521"/>
        <v>0</v>
      </c>
      <c r="V614" s="35">
        <f t="shared" si="522"/>
        <v>5.1960769470393853E-4</v>
      </c>
      <c r="W614" s="34">
        <f t="shared" si="523"/>
        <v>0</v>
      </c>
      <c r="X614" s="34">
        <f t="shared" si="524"/>
        <v>838449.46563425928</v>
      </c>
      <c r="Y614" s="36">
        <f t="shared" si="525"/>
        <v>9.887581126289513E-3</v>
      </c>
      <c r="Z614" s="34">
        <f t="shared" si="526"/>
        <v>8290.2371117528292</v>
      </c>
      <c r="AA614" s="34">
        <f t="shared" si="527"/>
        <v>842594.58419013571</v>
      </c>
      <c r="AB614" s="34">
        <f t="shared" si="528"/>
        <v>0</v>
      </c>
      <c r="AC614" s="34">
        <f t="shared" si="529"/>
        <v>0</v>
      </c>
      <c r="AD614" s="34">
        <f t="shared" si="530"/>
        <v>0</v>
      </c>
      <c r="AE614" s="34">
        <f t="shared" si="531"/>
        <v>0</v>
      </c>
      <c r="AF614" s="34">
        <f t="shared" si="532"/>
        <v>0</v>
      </c>
      <c r="AG614" s="29">
        <f t="shared" si="533"/>
        <v>842594.58419013571</v>
      </c>
      <c r="AH614" s="34">
        <f t="shared" si="534"/>
        <v>0</v>
      </c>
      <c r="AI614" s="34">
        <f t="shared" si="535"/>
        <v>0</v>
      </c>
      <c r="AJ614" s="34">
        <f t="shared" si="536"/>
        <v>0</v>
      </c>
      <c r="AK614" s="34">
        <f t="shared" si="537"/>
        <v>0</v>
      </c>
      <c r="AL614" s="34">
        <f t="shared" si="538"/>
        <v>0</v>
      </c>
      <c r="AM614" s="34">
        <f t="shared" si="539"/>
        <v>0</v>
      </c>
      <c r="AN614" s="34">
        <f t="shared" si="540"/>
        <v>0</v>
      </c>
      <c r="AO614" s="34">
        <f t="shared" si="541"/>
        <v>0</v>
      </c>
      <c r="AP614" s="34">
        <f t="shared" si="542"/>
        <v>0</v>
      </c>
      <c r="AQ614" s="34">
        <f t="shared" si="543"/>
        <v>0</v>
      </c>
      <c r="AR614" s="34">
        <f t="shared" si="544"/>
        <v>0</v>
      </c>
      <c r="AS614" s="30">
        <f t="shared" si="545"/>
        <v>1.6583257101477387</v>
      </c>
      <c r="AT614" s="29">
        <f t="shared" si="546"/>
        <v>0</v>
      </c>
      <c r="AU614" s="29">
        <f t="shared" si="547"/>
        <v>0</v>
      </c>
      <c r="AV614" s="34">
        <f t="shared" si="548"/>
        <v>0</v>
      </c>
      <c r="AW614" s="34">
        <f t="shared" si="549"/>
        <v>0</v>
      </c>
      <c r="AX614" s="29">
        <f t="shared" si="550"/>
        <v>0</v>
      </c>
      <c r="AY614" s="34">
        <f t="shared" si="551"/>
        <v>0</v>
      </c>
      <c r="AZ614" s="37">
        <f t="shared" si="552"/>
        <v>0</v>
      </c>
      <c r="BA614" s="37">
        <f t="shared" si="553"/>
        <v>0</v>
      </c>
      <c r="BB614" s="35">
        <f t="shared" si="554"/>
        <v>9.665122752364752E-4</v>
      </c>
      <c r="BC614" s="31">
        <f t="shared" si="555"/>
        <v>0.55472224119828306</v>
      </c>
      <c r="BD614" s="34">
        <f t="shared" si="556"/>
        <v>0</v>
      </c>
    </row>
    <row r="615" spans="1:56" x14ac:dyDescent="0.2">
      <c r="A615" s="27">
        <f t="shared" si="557"/>
        <v>611</v>
      </c>
      <c r="B615" s="28">
        <f t="shared" si="504"/>
        <v>611</v>
      </c>
      <c r="C615" s="27">
        <f t="shared" si="505"/>
        <v>50</v>
      </c>
      <c r="D615" s="28">
        <f t="shared" si="506"/>
        <v>70</v>
      </c>
      <c r="E615" s="29">
        <f t="shared" si="507"/>
        <v>0</v>
      </c>
      <c r="F615" s="30">
        <f t="shared" si="508"/>
        <v>5.653743897497847E-3</v>
      </c>
      <c r="G615" s="31">
        <f t="shared" si="509"/>
        <v>4.7237063154903502E-4</v>
      </c>
      <c r="H615" s="32">
        <f t="shared" si="510"/>
        <v>0.02</v>
      </c>
      <c r="I615" s="32">
        <f t="shared" si="511"/>
        <v>0</v>
      </c>
      <c r="J615" s="33">
        <f t="shared" si="558"/>
        <v>0</v>
      </c>
      <c r="K615" s="30">
        <f t="shared" si="512"/>
        <v>0</v>
      </c>
      <c r="L615" s="33">
        <f t="shared" si="513"/>
        <v>0</v>
      </c>
      <c r="M615" s="30">
        <f t="shared" si="514"/>
        <v>0</v>
      </c>
      <c r="N615" s="33">
        <f t="shared" si="515"/>
        <v>0</v>
      </c>
      <c r="O615" s="31">
        <f t="shared" si="516"/>
        <v>0</v>
      </c>
      <c r="P615" s="33">
        <f t="shared" si="517"/>
        <v>0</v>
      </c>
      <c r="Q615" s="34">
        <f t="shared" si="559"/>
        <v>846739.70274601213</v>
      </c>
      <c r="R615" s="29">
        <f t="shared" si="518"/>
        <v>0</v>
      </c>
      <c r="S615" s="34">
        <f t="shared" si="519"/>
        <v>846739.70274601213</v>
      </c>
      <c r="T615" s="29">
        <f t="shared" si="520"/>
        <v>705.6164189550102</v>
      </c>
      <c r="U615" s="29">
        <f t="shared" si="521"/>
        <v>0</v>
      </c>
      <c r="V615" s="35">
        <f t="shared" si="522"/>
        <v>5.1960769470393853E-4</v>
      </c>
      <c r="W615" s="34">
        <f t="shared" si="523"/>
        <v>0</v>
      </c>
      <c r="X615" s="34">
        <f t="shared" si="524"/>
        <v>846034.0863270571</v>
      </c>
      <c r="Y615" s="36">
        <f t="shared" si="525"/>
        <v>2.028523997321896E-3</v>
      </c>
      <c r="Z615" s="34">
        <f t="shared" si="526"/>
        <v>1716.2004466667399</v>
      </c>
      <c r="AA615" s="34">
        <f t="shared" si="527"/>
        <v>846892.18655039044</v>
      </c>
      <c r="AB615" s="34">
        <f t="shared" si="528"/>
        <v>0</v>
      </c>
      <c r="AC615" s="34">
        <f t="shared" si="529"/>
        <v>0</v>
      </c>
      <c r="AD615" s="34">
        <f t="shared" si="530"/>
        <v>0</v>
      </c>
      <c r="AE615" s="34">
        <f t="shared" si="531"/>
        <v>0</v>
      </c>
      <c r="AF615" s="34">
        <f t="shared" si="532"/>
        <v>0</v>
      </c>
      <c r="AG615" s="29">
        <f t="shared" si="533"/>
        <v>846892.18655039044</v>
      </c>
      <c r="AH615" s="34">
        <f t="shared" si="534"/>
        <v>0</v>
      </c>
      <c r="AI615" s="34">
        <f t="shared" si="535"/>
        <v>0</v>
      </c>
      <c r="AJ615" s="34">
        <f t="shared" si="536"/>
        <v>0</v>
      </c>
      <c r="AK615" s="34">
        <f t="shared" si="537"/>
        <v>0</v>
      </c>
      <c r="AL615" s="34">
        <f t="shared" si="538"/>
        <v>0</v>
      </c>
      <c r="AM615" s="34">
        <f t="shared" si="539"/>
        <v>0</v>
      </c>
      <c r="AN615" s="34">
        <f t="shared" si="540"/>
        <v>0</v>
      </c>
      <c r="AO615" s="34">
        <f t="shared" si="541"/>
        <v>0</v>
      </c>
      <c r="AP615" s="34">
        <f t="shared" si="542"/>
        <v>0</v>
      </c>
      <c r="AQ615" s="34">
        <f t="shared" si="543"/>
        <v>0</v>
      </c>
      <c r="AR615" s="34">
        <f t="shared" si="544"/>
        <v>0</v>
      </c>
      <c r="AS615" s="30">
        <f t="shared" si="545"/>
        <v>1.6597013545303065</v>
      </c>
      <c r="AT615" s="29">
        <f t="shared" si="546"/>
        <v>0</v>
      </c>
      <c r="AU615" s="29">
        <f t="shared" si="547"/>
        <v>0</v>
      </c>
      <c r="AV615" s="34">
        <f t="shared" si="548"/>
        <v>0</v>
      </c>
      <c r="AW615" s="34">
        <f t="shared" si="549"/>
        <v>0</v>
      </c>
      <c r="AX615" s="29">
        <f t="shared" si="550"/>
        <v>0</v>
      </c>
      <c r="AY615" s="34">
        <f t="shared" si="551"/>
        <v>0</v>
      </c>
      <c r="AZ615" s="37">
        <f t="shared" si="552"/>
        <v>0</v>
      </c>
      <c r="BA615" s="37">
        <f t="shared" si="553"/>
        <v>0</v>
      </c>
      <c r="BB615" s="35">
        <f t="shared" si="554"/>
        <v>9.665122752364752E-4</v>
      </c>
      <c r="BC615" s="31">
        <f t="shared" si="555"/>
        <v>0.55418661303401384</v>
      </c>
      <c r="BD615" s="34">
        <f t="shared" si="556"/>
        <v>0</v>
      </c>
    </row>
    <row r="616" spans="1:56" x14ac:dyDescent="0.2">
      <c r="A616" s="27">
        <f t="shared" si="557"/>
        <v>612</v>
      </c>
      <c r="B616" s="28">
        <f t="shared" si="504"/>
        <v>612</v>
      </c>
      <c r="C616" s="27">
        <f t="shared" si="505"/>
        <v>51</v>
      </c>
      <c r="D616" s="28">
        <f t="shared" si="506"/>
        <v>71</v>
      </c>
      <c r="E616" s="29">
        <f t="shared" si="507"/>
        <v>0</v>
      </c>
      <c r="F616" s="30">
        <f t="shared" si="508"/>
        <v>6.1912675887511141E-3</v>
      </c>
      <c r="G616" s="31">
        <f t="shared" si="509"/>
        <v>5.1740884473316928E-4</v>
      </c>
      <c r="H616" s="32">
        <f t="shared" si="510"/>
        <v>0.02</v>
      </c>
      <c r="I616" s="32">
        <f t="shared" si="511"/>
        <v>0</v>
      </c>
      <c r="J616" s="33">
        <f t="shared" si="558"/>
        <v>0</v>
      </c>
      <c r="K616" s="30">
        <f t="shared" si="512"/>
        <v>0</v>
      </c>
      <c r="L616" s="33">
        <f t="shared" si="513"/>
        <v>0</v>
      </c>
      <c r="M616" s="30">
        <f t="shared" si="514"/>
        <v>0</v>
      </c>
      <c r="N616" s="33">
        <f t="shared" si="515"/>
        <v>0</v>
      </c>
      <c r="O616" s="31">
        <f t="shared" si="516"/>
        <v>0</v>
      </c>
      <c r="P616" s="33">
        <f t="shared" si="517"/>
        <v>0</v>
      </c>
      <c r="Q616" s="34">
        <f t="shared" si="559"/>
        <v>847750.28677372378</v>
      </c>
      <c r="R616" s="29">
        <f t="shared" si="518"/>
        <v>0</v>
      </c>
      <c r="S616" s="34">
        <f t="shared" si="519"/>
        <v>847750.28677372378</v>
      </c>
      <c r="T616" s="29">
        <f t="shared" si="520"/>
        <v>706.45857231143657</v>
      </c>
      <c r="U616" s="29">
        <f t="shared" si="521"/>
        <v>0</v>
      </c>
      <c r="V616" s="35">
        <f t="shared" si="522"/>
        <v>5.6914972920648623E-4</v>
      </c>
      <c r="W616" s="34">
        <f t="shared" si="523"/>
        <v>0</v>
      </c>
      <c r="X616" s="34">
        <f t="shared" si="524"/>
        <v>847043.82820141234</v>
      </c>
      <c r="Y616" s="36">
        <f t="shared" si="525"/>
        <v>-6.8681728406722042E-3</v>
      </c>
      <c r="Z616" s="34">
        <f t="shared" si="526"/>
        <v>-5817.6434157119529</v>
      </c>
      <c r="AA616" s="34">
        <f t="shared" si="527"/>
        <v>844135.00649355631</v>
      </c>
      <c r="AB616" s="34">
        <f t="shared" si="528"/>
        <v>0</v>
      </c>
      <c r="AC616" s="34">
        <f t="shared" si="529"/>
        <v>0</v>
      </c>
      <c r="AD616" s="34">
        <f t="shared" si="530"/>
        <v>0</v>
      </c>
      <c r="AE616" s="34">
        <f t="shared" si="531"/>
        <v>0</v>
      </c>
      <c r="AF616" s="34">
        <f t="shared" si="532"/>
        <v>0</v>
      </c>
      <c r="AG616" s="29">
        <f t="shared" si="533"/>
        <v>844135.00649355631</v>
      </c>
      <c r="AH616" s="34">
        <f t="shared" si="534"/>
        <v>0</v>
      </c>
      <c r="AI616" s="34">
        <f t="shared" si="535"/>
        <v>0</v>
      </c>
      <c r="AJ616" s="34">
        <f t="shared" si="536"/>
        <v>0</v>
      </c>
      <c r="AK616" s="34">
        <f t="shared" si="537"/>
        <v>0</v>
      </c>
      <c r="AL616" s="34">
        <f t="shared" si="538"/>
        <v>0</v>
      </c>
      <c r="AM616" s="34">
        <f t="shared" si="539"/>
        <v>0</v>
      </c>
      <c r="AN616" s="34">
        <f t="shared" si="540"/>
        <v>0</v>
      </c>
      <c r="AO616" s="34">
        <f t="shared" si="541"/>
        <v>0</v>
      </c>
      <c r="AP616" s="34">
        <f t="shared" si="542"/>
        <v>0</v>
      </c>
      <c r="AQ616" s="34">
        <f t="shared" si="543"/>
        <v>0</v>
      </c>
      <c r="AR616" s="34">
        <f t="shared" si="544"/>
        <v>0</v>
      </c>
      <c r="AS616" s="30">
        <f t="shared" si="545"/>
        <v>1.6610781400623216</v>
      </c>
      <c r="AT616" s="29">
        <f t="shared" si="546"/>
        <v>0</v>
      </c>
      <c r="AU616" s="29">
        <f t="shared" si="547"/>
        <v>0</v>
      </c>
      <c r="AV616" s="34">
        <f t="shared" si="548"/>
        <v>0</v>
      </c>
      <c r="AW616" s="34">
        <f t="shared" si="549"/>
        <v>0</v>
      </c>
      <c r="AX616" s="29">
        <f t="shared" si="550"/>
        <v>0</v>
      </c>
      <c r="AY616" s="34">
        <f t="shared" si="551"/>
        <v>0</v>
      </c>
      <c r="AZ616" s="37">
        <f t="shared" si="552"/>
        <v>0</v>
      </c>
      <c r="BA616" s="37">
        <f t="shared" si="553"/>
        <v>0</v>
      </c>
      <c r="BB616" s="35">
        <f t="shared" si="554"/>
        <v>9.755815960819092E-4</v>
      </c>
      <c r="BC616" s="31">
        <f t="shared" si="555"/>
        <v>0.55058997839156876</v>
      </c>
      <c r="BD616" s="34">
        <f t="shared" si="556"/>
        <v>0</v>
      </c>
    </row>
    <row r="617" spans="1:56" x14ac:dyDescent="0.2">
      <c r="A617" s="27">
        <f t="shared" si="557"/>
        <v>613</v>
      </c>
      <c r="B617" s="28">
        <f t="shared" si="504"/>
        <v>613</v>
      </c>
      <c r="C617" s="27">
        <f t="shared" si="505"/>
        <v>51</v>
      </c>
      <c r="D617" s="28">
        <f t="shared" si="506"/>
        <v>71</v>
      </c>
      <c r="E617" s="29">
        <f t="shared" si="507"/>
        <v>0</v>
      </c>
      <c r="F617" s="30">
        <f t="shared" si="508"/>
        <v>6.1912675887511141E-3</v>
      </c>
      <c r="G617" s="31">
        <f t="shared" si="509"/>
        <v>5.1740884473316928E-4</v>
      </c>
      <c r="H617" s="32">
        <f t="shared" si="510"/>
        <v>0.02</v>
      </c>
      <c r="I617" s="32">
        <f t="shared" si="511"/>
        <v>0</v>
      </c>
      <c r="J617" s="33">
        <f t="shared" si="558"/>
        <v>0</v>
      </c>
      <c r="K617" s="30">
        <f t="shared" si="512"/>
        <v>0</v>
      </c>
      <c r="L617" s="33">
        <f t="shared" si="513"/>
        <v>0</v>
      </c>
      <c r="M617" s="30">
        <f t="shared" si="514"/>
        <v>0</v>
      </c>
      <c r="N617" s="33">
        <f t="shared" si="515"/>
        <v>0</v>
      </c>
      <c r="O617" s="31">
        <f t="shared" si="516"/>
        <v>0</v>
      </c>
      <c r="P617" s="33">
        <f t="shared" si="517"/>
        <v>0</v>
      </c>
      <c r="Q617" s="34">
        <f t="shared" si="559"/>
        <v>841226.1847857004</v>
      </c>
      <c r="R617" s="29">
        <f t="shared" si="518"/>
        <v>0</v>
      </c>
      <c r="S617" s="34">
        <f t="shared" si="519"/>
        <v>841226.1847857004</v>
      </c>
      <c r="T617" s="29">
        <f t="shared" si="520"/>
        <v>701.0218206547504</v>
      </c>
      <c r="U617" s="29">
        <f t="shared" si="521"/>
        <v>0</v>
      </c>
      <c r="V617" s="35">
        <f t="shared" si="522"/>
        <v>5.6914972920648623E-4</v>
      </c>
      <c r="W617" s="34">
        <f t="shared" si="523"/>
        <v>0</v>
      </c>
      <c r="X617" s="34">
        <f t="shared" si="524"/>
        <v>840525.16296504566</v>
      </c>
      <c r="Y617" s="36">
        <f t="shared" si="525"/>
        <v>-4.6886282401118473E-3</v>
      </c>
      <c r="Z617" s="34">
        <f t="shared" si="526"/>
        <v>-3940.9100156025256</v>
      </c>
      <c r="AA617" s="34">
        <f t="shared" si="527"/>
        <v>838554.70795724436</v>
      </c>
      <c r="AB617" s="34">
        <f t="shared" si="528"/>
        <v>0</v>
      </c>
      <c r="AC617" s="34">
        <f t="shared" si="529"/>
        <v>0</v>
      </c>
      <c r="AD617" s="34">
        <f t="shared" si="530"/>
        <v>0</v>
      </c>
      <c r="AE617" s="34">
        <f t="shared" si="531"/>
        <v>0</v>
      </c>
      <c r="AF617" s="34">
        <f t="shared" si="532"/>
        <v>0</v>
      </c>
      <c r="AG617" s="29">
        <f t="shared" si="533"/>
        <v>838554.70795724436</v>
      </c>
      <c r="AH617" s="34">
        <f t="shared" si="534"/>
        <v>0</v>
      </c>
      <c r="AI617" s="34">
        <f t="shared" si="535"/>
        <v>0</v>
      </c>
      <c r="AJ617" s="34">
        <f t="shared" si="536"/>
        <v>0</v>
      </c>
      <c r="AK617" s="34">
        <f t="shared" si="537"/>
        <v>0</v>
      </c>
      <c r="AL617" s="34">
        <f t="shared" si="538"/>
        <v>0</v>
      </c>
      <c r="AM617" s="34">
        <f t="shared" si="539"/>
        <v>0</v>
      </c>
      <c r="AN617" s="34">
        <f t="shared" si="540"/>
        <v>0</v>
      </c>
      <c r="AO617" s="34">
        <f t="shared" si="541"/>
        <v>0</v>
      </c>
      <c r="AP617" s="34">
        <f t="shared" si="542"/>
        <v>0</v>
      </c>
      <c r="AQ617" s="34">
        <f t="shared" si="543"/>
        <v>0</v>
      </c>
      <c r="AR617" s="34">
        <f t="shared" si="544"/>
        <v>0</v>
      </c>
      <c r="AS617" s="30">
        <f t="shared" si="545"/>
        <v>1.6624560676904108</v>
      </c>
      <c r="AT617" s="29">
        <f t="shared" si="546"/>
        <v>0</v>
      </c>
      <c r="AU617" s="29">
        <f t="shared" si="547"/>
        <v>0</v>
      </c>
      <c r="AV617" s="34">
        <f t="shared" si="548"/>
        <v>0</v>
      </c>
      <c r="AW617" s="34">
        <f t="shared" si="549"/>
        <v>0</v>
      </c>
      <c r="AX617" s="29">
        <f t="shared" si="550"/>
        <v>0</v>
      </c>
      <c r="AY617" s="34">
        <f t="shared" si="551"/>
        <v>0</v>
      </c>
      <c r="AZ617" s="37">
        <f t="shared" si="552"/>
        <v>0</v>
      </c>
      <c r="BA617" s="37">
        <f t="shared" si="553"/>
        <v>0</v>
      </c>
      <c r="BB617" s="35">
        <f t="shared" si="554"/>
        <v>9.755815960819092E-4</v>
      </c>
      <c r="BC617" s="31">
        <f t="shared" si="555"/>
        <v>0.55005335646014308</v>
      </c>
      <c r="BD617" s="34">
        <f t="shared" si="556"/>
        <v>0</v>
      </c>
    </row>
    <row r="618" spans="1:56" x14ac:dyDescent="0.2">
      <c r="A618" s="27">
        <f t="shared" si="557"/>
        <v>614</v>
      </c>
      <c r="B618" s="28">
        <f t="shared" si="504"/>
        <v>614</v>
      </c>
      <c r="C618" s="27">
        <f t="shared" si="505"/>
        <v>51</v>
      </c>
      <c r="D618" s="28">
        <f t="shared" si="506"/>
        <v>71</v>
      </c>
      <c r="E618" s="29">
        <f t="shared" si="507"/>
        <v>0</v>
      </c>
      <c r="F618" s="30">
        <f t="shared" si="508"/>
        <v>6.1912675887511141E-3</v>
      </c>
      <c r="G618" s="31">
        <f t="shared" si="509"/>
        <v>5.1740884473316928E-4</v>
      </c>
      <c r="H618" s="32">
        <f t="shared" si="510"/>
        <v>0.02</v>
      </c>
      <c r="I618" s="32">
        <f t="shared" si="511"/>
        <v>0</v>
      </c>
      <c r="J618" s="33">
        <f t="shared" si="558"/>
        <v>0</v>
      </c>
      <c r="K618" s="30">
        <f t="shared" si="512"/>
        <v>0</v>
      </c>
      <c r="L618" s="33">
        <f t="shared" si="513"/>
        <v>0</v>
      </c>
      <c r="M618" s="30">
        <f t="shared" si="514"/>
        <v>0</v>
      </c>
      <c r="N618" s="33">
        <f t="shared" si="515"/>
        <v>0</v>
      </c>
      <c r="O618" s="31">
        <f t="shared" si="516"/>
        <v>0</v>
      </c>
      <c r="P618" s="33">
        <f t="shared" si="517"/>
        <v>0</v>
      </c>
      <c r="Q618" s="34">
        <f t="shared" si="559"/>
        <v>836584.25294944318</v>
      </c>
      <c r="R618" s="29">
        <f t="shared" si="518"/>
        <v>0</v>
      </c>
      <c r="S618" s="34">
        <f t="shared" si="519"/>
        <v>836584.25294944318</v>
      </c>
      <c r="T618" s="29">
        <f t="shared" si="520"/>
        <v>697.15354412453598</v>
      </c>
      <c r="U618" s="29">
        <f t="shared" si="521"/>
        <v>0</v>
      </c>
      <c r="V618" s="35">
        <f t="shared" si="522"/>
        <v>5.6914972920648623E-4</v>
      </c>
      <c r="W618" s="34">
        <f t="shared" si="523"/>
        <v>0</v>
      </c>
      <c r="X618" s="34">
        <f t="shared" si="524"/>
        <v>835887.09940531862</v>
      </c>
      <c r="Y618" s="36">
        <f t="shared" si="525"/>
        <v>8.331911065293518E-4</v>
      </c>
      <c r="Z618" s="34">
        <f t="shared" si="526"/>
        <v>696.45369728712774</v>
      </c>
      <c r="AA618" s="34">
        <f t="shared" si="527"/>
        <v>836235.32625396212</v>
      </c>
      <c r="AB618" s="34">
        <f t="shared" si="528"/>
        <v>0</v>
      </c>
      <c r="AC618" s="34">
        <f t="shared" si="529"/>
        <v>0</v>
      </c>
      <c r="AD618" s="34">
        <f t="shared" si="530"/>
        <v>0</v>
      </c>
      <c r="AE618" s="34">
        <f t="shared" si="531"/>
        <v>0</v>
      </c>
      <c r="AF618" s="34">
        <f t="shared" si="532"/>
        <v>0</v>
      </c>
      <c r="AG618" s="29">
        <f t="shared" si="533"/>
        <v>836235.32625396212</v>
      </c>
      <c r="AH618" s="34">
        <f t="shared" si="534"/>
        <v>0</v>
      </c>
      <c r="AI618" s="34">
        <f t="shared" si="535"/>
        <v>0</v>
      </c>
      <c r="AJ618" s="34">
        <f t="shared" si="536"/>
        <v>0</v>
      </c>
      <c r="AK618" s="34">
        <f t="shared" si="537"/>
        <v>0</v>
      </c>
      <c r="AL618" s="34">
        <f t="shared" si="538"/>
        <v>0</v>
      </c>
      <c r="AM618" s="34">
        <f t="shared" si="539"/>
        <v>0</v>
      </c>
      <c r="AN618" s="34">
        <f t="shared" si="540"/>
        <v>0</v>
      </c>
      <c r="AO618" s="34">
        <f t="shared" si="541"/>
        <v>0</v>
      </c>
      <c r="AP618" s="34">
        <f t="shared" si="542"/>
        <v>0</v>
      </c>
      <c r="AQ618" s="34">
        <f t="shared" si="543"/>
        <v>0</v>
      </c>
      <c r="AR618" s="34">
        <f t="shared" si="544"/>
        <v>0</v>
      </c>
      <c r="AS618" s="30">
        <f t="shared" si="545"/>
        <v>1.663835138361986</v>
      </c>
      <c r="AT618" s="29">
        <f t="shared" si="546"/>
        <v>0</v>
      </c>
      <c r="AU618" s="29">
        <f t="shared" si="547"/>
        <v>0</v>
      </c>
      <c r="AV618" s="34">
        <f t="shared" si="548"/>
        <v>0</v>
      </c>
      <c r="AW618" s="34">
        <f t="shared" si="549"/>
        <v>0</v>
      </c>
      <c r="AX618" s="29">
        <f t="shared" si="550"/>
        <v>0</v>
      </c>
      <c r="AY618" s="34">
        <f t="shared" si="551"/>
        <v>0</v>
      </c>
      <c r="AZ618" s="37">
        <f t="shared" si="552"/>
        <v>0</v>
      </c>
      <c r="BA618" s="37">
        <f t="shared" si="553"/>
        <v>0</v>
      </c>
      <c r="BB618" s="35">
        <f t="shared" si="554"/>
        <v>9.755815960819092E-4</v>
      </c>
      <c r="BC618" s="31">
        <f t="shared" si="555"/>
        <v>0.54951725753696079</v>
      </c>
      <c r="BD618" s="34">
        <f t="shared" si="556"/>
        <v>0</v>
      </c>
    </row>
    <row r="619" spans="1:56" x14ac:dyDescent="0.2">
      <c r="A619" s="27">
        <f t="shared" si="557"/>
        <v>615</v>
      </c>
      <c r="B619" s="28">
        <f t="shared" si="504"/>
        <v>615</v>
      </c>
      <c r="C619" s="27">
        <f t="shared" si="505"/>
        <v>51</v>
      </c>
      <c r="D619" s="28">
        <f t="shared" si="506"/>
        <v>71</v>
      </c>
      <c r="E619" s="29">
        <f t="shared" si="507"/>
        <v>0</v>
      </c>
      <c r="F619" s="30">
        <f t="shared" si="508"/>
        <v>6.1912675887511141E-3</v>
      </c>
      <c r="G619" s="31">
        <f t="shared" si="509"/>
        <v>5.1740884473316928E-4</v>
      </c>
      <c r="H619" s="32">
        <f t="shared" si="510"/>
        <v>0.02</v>
      </c>
      <c r="I619" s="32">
        <f t="shared" si="511"/>
        <v>0</v>
      </c>
      <c r="J619" s="33">
        <f t="shared" si="558"/>
        <v>0</v>
      </c>
      <c r="K619" s="30">
        <f t="shared" si="512"/>
        <v>0</v>
      </c>
      <c r="L619" s="33">
        <f t="shared" si="513"/>
        <v>0</v>
      </c>
      <c r="M619" s="30">
        <f t="shared" si="514"/>
        <v>0</v>
      </c>
      <c r="N619" s="33">
        <f t="shared" si="515"/>
        <v>0</v>
      </c>
      <c r="O619" s="31">
        <f t="shared" si="516"/>
        <v>0</v>
      </c>
      <c r="P619" s="33">
        <f t="shared" si="517"/>
        <v>0</v>
      </c>
      <c r="Q619" s="34">
        <f t="shared" si="559"/>
        <v>836583.55310260574</v>
      </c>
      <c r="R619" s="29">
        <f t="shared" si="518"/>
        <v>0</v>
      </c>
      <c r="S619" s="34">
        <f t="shared" si="519"/>
        <v>836583.55310260574</v>
      </c>
      <c r="T619" s="29">
        <f t="shared" si="520"/>
        <v>697.15296091883818</v>
      </c>
      <c r="U619" s="29">
        <f t="shared" si="521"/>
        <v>0</v>
      </c>
      <c r="V619" s="35">
        <f t="shared" si="522"/>
        <v>5.6914972920648623E-4</v>
      </c>
      <c r="W619" s="34">
        <f t="shared" si="523"/>
        <v>0</v>
      </c>
      <c r="X619" s="34">
        <f t="shared" si="524"/>
        <v>835886.4001416869</v>
      </c>
      <c r="Y619" s="36">
        <f t="shared" si="525"/>
        <v>1.5054534783418561E-3</v>
      </c>
      <c r="Z619" s="34">
        <f t="shared" si="526"/>
        <v>1258.388088591955</v>
      </c>
      <c r="AA619" s="34">
        <f t="shared" si="527"/>
        <v>836515.59418598283</v>
      </c>
      <c r="AB619" s="34">
        <f t="shared" si="528"/>
        <v>0</v>
      </c>
      <c r="AC619" s="34">
        <f t="shared" si="529"/>
        <v>0</v>
      </c>
      <c r="AD619" s="34">
        <f t="shared" si="530"/>
        <v>0</v>
      </c>
      <c r="AE619" s="34">
        <f t="shared" si="531"/>
        <v>0</v>
      </c>
      <c r="AF619" s="34">
        <f t="shared" si="532"/>
        <v>0</v>
      </c>
      <c r="AG619" s="29">
        <f t="shared" si="533"/>
        <v>836515.59418598283</v>
      </c>
      <c r="AH619" s="34">
        <f t="shared" si="534"/>
        <v>0</v>
      </c>
      <c r="AI619" s="34">
        <f t="shared" si="535"/>
        <v>0</v>
      </c>
      <c r="AJ619" s="34">
        <f t="shared" si="536"/>
        <v>0</v>
      </c>
      <c r="AK619" s="34">
        <f t="shared" si="537"/>
        <v>0</v>
      </c>
      <c r="AL619" s="34">
        <f t="shared" si="538"/>
        <v>0</v>
      </c>
      <c r="AM619" s="34">
        <f t="shared" si="539"/>
        <v>0</v>
      </c>
      <c r="AN619" s="34">
        <f t="shared" si="540"/>
        <v>0</v>
      </c>
      <c r="AO619" s="34">
        <f t="shared" si="541"/>
        <v>0</v>
      </c>
      <c r="AP619" s="34">
        <f t="shared" si="542"/>
        <v>0</v>
      </c>
      <c r="AQ619" s="34">
        <f t="shared" si="543"/>
        <v>0</v>
      </c>
      <c r="AR619" s="34">
        <f t="shared" si="544"/>
        <v>0</v>
      </c>
      <c r="AS619" s="30">
        <f t="shared" si="545"/>
        <v>1.6652153530252456</v>
      </c>
      <c r="AT619" s="29">
        <f t="shared" si="546"/>
        <v>0</v>
      </c>
      <c r="AU619" s="29">
        <f t="shared" si="547"/>
        <v>0</v>
      </c>
      <c r="AV619" s="34">
        <f t="shared" si="548"/>
        <v>0</v>
      </c>
      <c r="AW619" s="34">
        <f t="shared" si="549"/>
        <v>0</v>
      </c>
      <c r="AX619" s="29">
        <f t="shared" si="550"/>
        <v>0</v>
      </c>
      <c r="AY619" s="34">
        <f t="shared" si="551"/>
        <v>0</v>
      </c>
      <c r="AZ619" s="37">
        <f t="shared" si="552"/>
        <v>0</v>
      </c>
      <c r="BA619" s="37">
        <f t="shared" si="553"/>
        <v>0</v>
      </c>
      <c r="BB619" s="35">
        <f t="shared" si="554"/>
        <v>9.755815960819092E-4</v>
      </c>
      <c r="BC619" s="31">
        <f t="shared" si="555"/>
        <v>0.54898168111228141</v>
      </c>
      <c r="BD619" s="34">
        <f t="shared" si="556"/>
        <v>0</v>
      </c>
    </row>
    <row r="620" spans="1:56" x14ac:dyDescent="0.2">
      <c r="A620" s="27">
        <f t="shared" si="557"/>
        <v>616</v>
      </c>
      <c r="B620" s="28">
        <f t="shared" si="504"/>
        <v>616</v>
      </c>
      <c r="C620" s="27">
        <f t="shared" si="505"/>
        <v>51</v>
      </c>
      <c r="D620" s="28">
        <f t="shared" si="506"/>
        <v>71</v>
      </c>
      <c r="E620" s="29">
        <f t="shared" si="507"/>
        <v>0</v>
      </c>
      <c r="F620" s="30">
        <f t="shared" si="508"/>
        <v>6.1912675887511141E-3</v>
      </c>
      <c r="G620" s="31">
        <f t="shared" si="509"/>
        <v>5.1740884473316928E-4</v>
      </c>
      <c r="H620" s="32">
        <f t="shared" si="510"/>
        <v>0.02</v>
      </c>
      <c r="I620" s="32">
        <f t="shared" si="511"/>
        <v>0</v>
      </c>
      <c r="J620" s="33">
        <f t="shared" si="558"/>
        <v>0</v>
      </c>
      <c r="K620" s="30">
        <f t="shared" si="512"/>
        <v>0</v>
      </c>
      <c r="L620" s="33">
        <f t="shared" si="513"/>
        <v>0</v>
      </c>
      <c r="M620" s="30">
        <f t="shared" si="514"/>
        <v>0</v>
      </c>
      <c r="N620" s="33">
        <f t="shared" si="515"/>
        <v>0</v>
      </c>
      <c r="O620" s="31">
        <f t="shared" si="516"/>
        <v>0</v>
      </c>
      <c r="P620" s="33">
        <f t="shared" si="517"/>
        <v>0</v>
      </c>
      <c r="Q620" s="34">
        <f t="shared" si="559"/>
        <v>837144.78823027888</v>
      </c>
      <c r="R620" s="29">
        <f t="shared" si="518"/>
        <v>0</v>
      </c>
      <c r="S620" s="34">
        <f t="shared" si="519"/>
        <v>837144.78823027888</v>
      </c>
      <c r="T620" s="29">
        <f t="shared" si="520"/>
        <v>697.62065685856578</v>
      </c>
      <c r="U620" s="29">
        <f t="shared" si="521"/>
        <v>0</v>
      </c>
      <c r="V620" s="35">
        <f t="shared" si="522"/>
        <v>5.6914972920648623E-4</v>
      </c>
      <c r="W620" s="34">
        <f t="shared" si="523"/>
        <v>0</v>
      </c>
      <c r="X620" s="34">
        <f t="shared" si="524"/>
        <v>836447.16757342033</v>
      </c>
      <c r="Y620" s="36">
        <f t="shared" si="525"/>
        <v>-3.5938986002179707E-3</v>
      </c>
      <c r="Z620" s="34">
        <f t="shared" si="526"/>
        <v>-3006.1063046984018</v>
      </c>
      <c r="AA620" s="34">
        <f t="shared" si="527"/>
        <v>834944.11442107114</v>
      </c>
      <c r="AB620" s="34">
        <f t="shared" si="528"/>
        <v>0</v>
      </c>
      <c r="AC620" s="34">
        <f t="shared" si="529"/>
        <v>0</v>
      </c>
      <c r="AD620" s="34">
        <f t="shared" si="530"/>
        <v>0</v>
      </c>
      <c r="AE620" s="34">
        <f t="shared" si="531"/>
        <v>0</v>
      </c>
      <c r="AF620" s="34">
        <f t="shared" si="532"/>
        <v>0</v>
      </c>
      <c r="AG620" s="29">
        <f t="shared" si="533"/>
        <v>834944.11442107114</v>
      </c>
      <c r="AH620" s="34">
        <f t="shared" si="534"/>
        <v>0</v>
      </c>
      <c r="AI620" s="34">
        <f t="shared" si="535"/>
        <v>0</v>
      </c>
      <c r="AJ620" s="34">
        <f t="shared" si="536"/>
        <v>0</v>
      </c>
      <c r="AK620" s="34">
        <f t="shared" si="537"/>
        <v>0</v>
      </c>
      <c r="AL620" s="34">
        <f t="shared" si="538"/>
        <v>0</v>
      </c>
      <c r="AM620" s="34">
        <f t="shared" si="539"/>
        <v>0</v>
      </c>
      <c r="AN620" s="34">
        <f t="shared" si="540"/>
        <v>0</v>
      </c>
      <c r="AO620" s="34">
        <f t="shared" si="541"/>
        <v>0</v>
      </c>
      <c r="AP620" s="34">
        <f t="shared" si="542"/>
        <v>0</v>
      </c>
      <c r="AQ620" s="34">
        <f t="shared" si="543"/>
        <v>0</v>
      </c>
      <c r="AR620" s="34">
        <f t="shared" si="544"/>
        <v>0</v>
      </c>
      <c r="AS620" s="30">
        <f t="shared" si="545"/>
        <v>1.6665967126291747</v>
      </c>
      <c r="AT620" s="29">
        <f t="shared" si="546"/>
        <v>0</v>
      </c>
      <c r="AU620" s="29">
        <f t="shared" si="547"/>
        <v>0</v>
      </c>
      <c r="AV620" s="34">
        <f t="shared" si="548"/>
        <v>0</v>
      </c>
      <c r="AW620" s="34">
        <f t="shared" si="549"/>
        <v>0</v>
      </c>
      <c r="AX620" s="29">
        <f t="shared" si="550"/>
        <v>0</v>
      </c>
      <c r="AY620" s="34">
        <f t="shared" si="551"/>
        <v>0</v>
      </c>
      <c r="AZ620" s="37">
        <f t="shared" si="552"/>
        <v>0</v>
      </c>
      <c r="BA620" s="37">
        <f t="shared" si="553"/>
        <v>0</v>
      </c>
      <c r="BB620" s="35">
        <f t="shared" si="554"/>
        <v>9.755815960819092E-4</v>
      </c>
      <c r="BC620" s="31">
        <f t="shared" si="555"/>
        <v>0.54844662667686239</v>
      </c>
      <c r="BD620" s="34">
        <f t="shared" si="556"/>
        <v>0</v>
      </c>
    </row>
    <row r="621" spans="1:56" x14ac:dyDescent="0.2">
      <c r="A621" s="27">
        <f t="shared" si="557"/>
        <v>617</v>
      </c>
      <c r="B621" s="28">
        <f t="shared" si="504"/>
        <v>617</v>
      </c>
      <c r="C621" s="27">
        <f t="shared" si="505"/>
        <v>51</v>
      </c>
      <c r="D621" s="28">
        <f t="shared" si="506"/>
        <v>71</v>
      </c>
      <c r="E621" s="29">
        <f t="shared" si="507"/>
        <v>0</v>
      </c>
      <c r="F621" s="30">
        <f t="shared" si="508"/>
        <v>6.1912675887511141E-3</v>
      </c>
      <c r="G621" s="31">
        <f t="shared" si="509"/>
        <v>5.1740884473316928E-4</v>
      </c>
      <c r="H621" s="32">
        <f t="shared" si="510"/>
        <v>0.02</v>
      </c>
      <c r="I621" s="32">
        <f t="shared" si="511"/>
        <v>0</v>
      </c>
      <c r="J621" s="33">
        <f t="shared" si="558"/>
        <v>0</v>
      </c>
      <c r="K621" s="30">
        <f t="shared" si="512"/>
        <v>0</v>
      </c>
      <c r="L621" s="33">
        <f t="shared" si="513"/>
        <v>0</v>
      </c>
      <c r="M621" s="30">
        <f t="shared" si="514"/>
        <v>0</v>
      </c>
      <c r="N621" s="33">
        <f t="shared" si="515"/>
        <v>0</v>
      </c>
      <c r="O621" s="31">
        <f t="shared" si="516"/>
        <v>0</v>
      </c>
      <c r="P621" s="33">
        <f t="shared" si="517"/>
        <v>0</v>
      </c>
      <c r="Q621" s="34">
        <f t="shared" si="559"/>
        <v>833441.06126872194</v>
      </c>
      <c r="R621" s="29">
        <f t="shared" si="518"/>
        <v>0</v>
      </c>
      <c r="S621" s="34">
        <f t="shared" si="519"/>
        <v>833441.06126872194</v>
      </c>
      <c r="T621" s="29">
        <f t="shared" si="520"/>
        <v>694.53421772393494</v>
      </c>
      <c r="U621" s="29">
        <f t="shared" si="521"/>
        <v>0</v>
      </c>
      <c r="V621" s="35">
        <f t="shared" si="522"/>
        <v>5.6914972920648623E-4</v>
      </c>
      <c r="W621" s="34">
        <f t="shared" si="523"/>
        <v>0</v>
      </c>
      <c r="X621" s="34">
        <f t="shared" si="524"/>
        <v>832746.52705099806</v>
      </c>
      <c r="Y621" s="36">
        <f t="shared" si="525"/>
        <v>-6.0880934894327332E-3</v>
      </c>
      <c r="Z621" s="34">
        <f t="shared" si="526"/>
        <v>-5069.838709686901</v>
      </c>
      <c r="AA621" s="34">
        <f t="shared" si="527"/>
        <v>830211.60769615462</v>
      </c>
      <c r="AB621" s="34">
        <f t="shared" si="528"/>
        <v>0</v>
      </c>
      <c r="AC621" s="34">
        <f t="shared" si="529"/>
        <v>0</v>
      </c>
      <c r="AD621" s="34">
        <f t="shared" si="530"/>
        <v>0</v>
      </c>
      <c r="AE621" s="34">
        <f t="shared" si="531"/>
        <v>0</v>
      </c>
      <c r="AF621" s="34">
        <f t="shared" si="532"/>
        <v>0</v>
      </c>
      <c r="AG621" s="29">
        <f t="shared" si="533"/>
        <v>830211.60769615462</v>
      </c>
      <c r="AH621" s="34">
        <f t="shared" si="534"/>
        <v>0</v>
      </c>
      <c r="AI621" s="34">
        <f t="shared" si="535"/>
        <v>0</v>
      </c>
      <c r="AJ621" s="34">
        <f t="shared" si="536"/>
        <v>0</v>
      </c>
      <c r="AK621" s="34">
        <f t="shared" si="537"/>
        <v>0</v>
      </c>
      <c r="AL621" s="34">
        <f t="shared" si="538"/>
        <v>0</v>
      </c>
      <c r="AM621" s="34">
        <f t="shared" si="539"/>
        <v>0</v>
      </c>
      <c r="AN621" s="34">
        <f t="shared" si="540"/>
        <v>0</v>
      </c>
      <c r="AO621" s="34">
        <f t="shared" si="541"/>
        <v>0</v>
      </c>
      <c r="AP621" s="34">
        <f t="shared" si="542"/>
        <v>0</v>
      </c>
      <c r="AQ621" s="34">
        <f t="shared" si="543"/>
        <v>0</v>
      </c>
      <c r="AR621" s="34">
        <f t="shared" si="544"/>
        <v>0</v>
      </c>
      <c r="AS621" s="30">
        <f t="shared" si="545"/>
        <v>1.6679792181235447</v>
      </c>
      <c r="AT621" s="29">
        <f t="shared" si="546"/>
        <v>0</v>
      </c>
      <c r="AU621" s="29">
        <f t="shared" si="547"/>
        <v>0</v>
      </c>
      <c r="AV621" s="34">
        <f t="shared" si="548"/>
        <v>0</v>
      </c>
      <c r="AW621" s="34">
        <f t="shared" si="549"/>
        <v>0</v>
      </c>
      <c r="AX621" s="29">
        <f t="shared" si="550"/>
        <v>0</v>
      </c>
      <c r="AY621" s="34">
        <f t="shared" si="551"/>
        <v>0</v>
      </c>
      <c r="AZ621" s="37">
        <f t="shared" si="552"/>
        <v>0</v>
      </c>
      <c r="BA621" s="37">
        <f t="shared" si="553"/>
        <v>0</v>
      </c>
      <c r="BB621" s="35">
        <f t="shared" si="554"/>
        <v>9.755815960819092E-4</v>
      </c>
      <c r="BC621" s="31">
        <f t="shared" si="555"/>
        <v>0.54791209372195648</v>
      </c>
      <c r="BD621" s="34">
        <f t="shared" si="556"/>
        <v>0</v>
      </c>
    </row>
    <row r="622" spans="1:56" x14ac:dyDescent="0.2">
      <c r="A622" s="27">
        <f t="shared" si="557"/>
        <v>618</v>
      </c>
      <c r="B622" s="28">
        <f t="shared" si="504"/>
        <v>618</v>
      </c>
      <c r="C622" s="27">
        <f t="shared" si="505"/>
        <v>51</v>
      </c>
      <c r="D622" s="28">
        <f t="shared" si="506"/>
        <v>71</v>
      </c>
      <c r="E622" s="29">
        <f t="shared" si="507"/>
        <v>0</v>
      </c>
      <c r="F622" s="30">
        <f t="shared" si="508"/>
        <v>6.1912675887511141E-3</v>
      </c>
      <c r="G622" s="31">
        <f t="shared" si="509"/>
        <v>5.1740884473316928E-4</v>
      </c>
      <c r="H622" s="32">
        <f t="shared" si="510"/>
        <v>0.02</v>
      </c>
      <c r="I622" s="32">
        <f t="shared" si="511"/>
        <v>0</v>
      </c>
      <c r="J622" s="33">
        <f t="shared" si="558"/>
        <v>0</v>
      </c>
      <c r="K622" s="30">
        <f t="shared" si="512"/>
        <v>0</v>
      </c>
      <c r="L622" s="33">
        <f t="shared" si="513"/>
        <v>0</v>
      </c>
      <c r="M622" s="30">
        <f t="shared" si="514"/>
        <v>0</v>
      </c>
      <c r="N622" s="33">
        <f t="shared" si="515"/>
        <v>0</v>
      </c>
      <c r="O622" s="31">
        <f t="shared" si="516"/>
        <v>0</v>
      </c>
      <c r="P622" s="33">
        <f t="shared" si="517"/>
        <v>0</v>
      </c>
      <c r="Q622" s="34">
        <f t="shared" si="559"/>
        <v>827676.68834131118</v>
      </c>
      <c r="R622" s="29">
        <f t="shared" si="518"/>
        <v>0</v>
      </c>
      <c r="S622" s="34">
        <f t="shared" si="519"/>
        <v>827676.68834131118</v>
      </c>
      <c r="T622" s="29">
        <f t="shared" si="520"/>
        <v>689.73057361775932</v>
      </c>
      <c r="U622" s="29">
        <f t="shared" si="521"/>
        <v>0</v>
      </c>
      <c r="V622" s="35">
        <f t="shared" si="522"/>
        <v>5.6914972920648623E-4</v>
      </c>
      <c r="W622" s="34">
        <f t="shared" si="523"/>
        <v>0</v>
      </c>
      <c r="X622" s="34">
        <f t="shared" si="524"/>
        <v>826986.95776769344</v>
      </c>
      <c r="Y622" s="36">
        <f t="shared" si="525"/>
        <v>-4.9871862559399682E-3</v>
      </c>
      <c r="Z622" s="34">
        <f t="shared" si="526"/>
        <v>-4124.3379896206479</v>
      </c>
      <c r="AA622" s="34">
        <f t="shared" si="527"/>
        <v>824924.78877288313</v>
      </c>
      <c r="AB622" s="34">
        <f t="shared" si="528"/>
        <v>0</v>
      </c>
      <c r="AC622" s="34">
        <f t="shared" si="529"/>
        <v>0</v>
      </c>
      <c r="AD622" s="34">
        <f t="shared" si="530"/>
        <v>0</v>
      </c>
      <c r="AE622" s="34">
        <f t="shared" si="531"/>
        <v>0</v>
      </c>
      <c r="AF622" s="34">
        <f t="shared" si="532"/>
        <v>0</v>
      </c>
      <c r="AG622" s="29">
        <f t="shared" si="533"/>
        <v>824924.78877288313</v>
      </c>
      <c r="AH622" s="34">
        <f t="shared" si="534"/>
        <v>0</v>
      </c>
      <c r="AI622" s="34">
        <f t="shared" si="535"/>
        <v>0</v>
      </c>
      <c r="AJ622" s="34">
        <f t="shared" si="536"/>
        <v>0</v>
      </c>
      <c r="AK622" s="34">
        <f t="shared" si="537"/>
        <v>0</v>
      </c>
      <c r="AL622" s="34">
        <f t="shared" si="538"/>
        <v>0</v>
      </c>
      <c r="AM622" s="34">
        <f t="shared" si="539"/>
        <v>0</v>
      </c>
      <c r="AN622" s="34">
        <f t="shared" si="540"/>
        <v>0</v>
      </c>
      <c r="AO622" s="34">
        <f t="shared" si="541"/>
        <v>0</v>
      </c>
      <c r="AP622" s="34">
        <f t="shared" si="542"/>
        <v>0</v>
      </c>
      <c r="AQ622" s="34">
        <f t="shared" si="543"/>
        <v>0</v>
      </c>
      <c r="AR622" s="34">
        <f t="shared" si="544"/>
        <v>0</v>
      </c>
      <c r="AS622" s="30">
        <f t="shared" si="545"/>
        <v>1.6693628704589156</v>
      </c>
      <c r="AT622" s="29">
        <f t="shared" si="546"/>
        <v>0</v>
      </c>
      <c r="AU622" s="29">
        <f t="shared" si="547"/>
        <v>0</v>
      </c>
      <c r="AV622" s="34">
        <f t="shared" si="548"/>
        <v>0</v>
      </c>
      <c r="AW622" s="34">
        <f t="shared" si="549"/>
        <v>0</v>
      </c>
      <c r="AX622" s="29">
        <f t="shared" si="550"/>
        <v>0</v>
      </c>
      <c r="AY622" s="34">
        <f t="shared" si="551"/>
        <v>0</v>
      </c>
      <c r="AZ622" s="37">
        <f t="shared" si="552"/>
        <v>0</v>
      </c>
      <c r="BA622" s="37">
        <f t="shared" si="553"/>
        <v>0</v>
      </c>
      <c r="BB622" s="35">
        <f t="shared" si="554"/>
        <v>9.755815960819092E-4</v>
      </c>
      <c r="BC622" s="31">
        <f t="shared" si="555"/>
        <v>0.54737808173931313</v>
      </c>
      <c r="BD622" s="34">
        <f t="shared" si="556"/>
        <v>0</v>
      </c>
    </row>
    <row r="623" spans="1:56" x14ac:dyDescent="0.2">
      <c r="A623" s="27">
        <f t="shared" si="557"/>
        <v>619</v>
      </c>
      <c r="B623" s="28">
        <f t="shared" si="504"/>
        <v>619</v>
      </c>
      <c r="C623" s="27">
        <f t="shared" si="505"/>
        <v>51</v>
      </c>
      <c r="D623" s="28">
        <f t="shared" si="506"/>
        <v>71</v>
      </c>
      <c r="E623" s="29">
        <f t="shared" si="507"/>
        <v>0</v>
      </c>
      <c r="F623" s="30">
        <f t="shared" si="508"/>
        <v>6.1912675887511141E-3</v>
      </c>
      <c r="G623" s="31">
        <f t="shared" si="509"/>
        <v>5.1740884473316928E-4</v>
      </c>
      <c r="H623" s="32">
        <f t="shared" si="510"/>
        <v>0.02</v>
      </c>
      <c r="I623" s="32">
        <f t="shared" si="511"/>
        <v>0</v>
      </c>
      <c r="J623" s="33">
        <f t="shared" si="558"/>
        <v>0</v>
      </c>
      <c r="K623" s="30">
        <f t="shared" si="512"/>
        <v>0</v>
      </c>
      <c r="L623" s="33">
        <f t="shared" si="513"/>
        <v>0</v>
      </c>
      <c r="M623" s="30">
        <f t="shared" si="514"/>
        <v>0</v>
      </c>
      <c r="N623" s="33">
        <f t="shared" si="515"/>
        <v>0</v>
      </c>
      <c r="O623" s="31">
        <f t="shared" si="516"/>
        <v>0</v>
      </c>
      <c r="P623" s="33">
        <f t="shared" si="517"/>
        <v>0</v>
      </c>
      <c r="Q623" s="34">
        <f t="shared" si="559"/>
        <v>822862.61977807281</v>
      </c>
      <c r="R623" s="29">
        <f t="shared" si="518"/>
        <v>0</v>
      </c>
      <c r="S623" s="34">
        <f t="shared" si="519"/>
        <v>822862.61977807281</v>
      </c>
      <c r="T623" s="29">
        <f t="shared" si="520"/>
        <v>685.71884981506071</v>
      </c>
      <c r="U623" s="29">
        <f t="shared" si="521"/>
        <v>0</v>
      </c>
      <c r="V623" s="35">
        <f t="shared" si="522"/>
        <v>5.6914972920648623E-4</v>
      </c>
      <c r="W623" s="34">
        <f t="shared" si="523"/>
        <v>0</v>
      </c>
      <c r="X623" s="34">
        <f t="shared" si="524"/>
        <v>822176.90092825773</v>
      </c>
      <c r="Y623" s="36">
        <f t="shared" si="525"/>
        <v>-9.5597456025400263E-3</v>
      </c>
      <c r="Z623" s="34">
        <f t="shared" si="526"/>
        <v>-7859.8020131588983</v>
      </c>
      <c r="AA623" s="34">
        <f t="shared" si="527"/>
        <v>818246.99992167833</v>
      </c>
      <c r="AB623" s="34">
        <f t="shared" si="528"/>
        <v>0</v>
      </c>
      <c r="AC623" s="34">
        <f t="shared" si="529"/>
        <v>0</v>
      </c>
      <c r="AD623" s="34">
        <f t="shared" si="530"/>
        <v>0</v>
      </c>
      <c r="AE623" s="34">
        <f t="shared" si="531"/>
        <v>0</v>
      </c>
      <c r="AF623" s="34">
        <f t="shared" si="532"/>
        <v>0</v>
      </c>
      <c r="AG623" s="29">
        <f t="shared" si="533"/>
        <v>818246.99992167833</v>
      </c>
      <c r="AH623" s="34">
        <f t="shared" si="534"/>
        <v>0</v>
      </c>
      <c r="AI623" s="34">
        <f t="shared" si="535"/>
        <v>0</v>
      </c>
      <c r="AJ623" s="34">
        <f t="shared" si="536"/>
        <v>0</v>
      </c>
      <c r="AK623" s="34">
        <f t="shared" si="537"/>
        <v>0</v>
      </c>
      <c r="AL623" s="34">
        <f t="shared" si="538"/>
        <v>0</v>
      </c>
      <c r="AM623" s="34">
        <f t="shared" si="539"/>
        <v>0</v>
      </c>
      <c r="AN623" s="34">
        <f t="shared" si="540"/>
        <v>0</v>
      </c>
      <c r="AO623" s="34">
        <f t="shared" si="541"/>
        <v>0</v>
      </c>
      <c r="AP623" s="34">
        <f t="shared" si="542"/>
        <v>0</v>
      </c>
      <c r="AQ623" s="34">
        <f t="shared" si="543"/>
        <v>0</v>
      </c>
      <c r="AR623" s="34">
        <f t="shared" si="544"/>
        <v>0</v>
      </c>
      <c r="AS623" s="30">
        <f t="shared" si="545"/>
        <v>1.6707476705866358</v>
      </c>
      <c r="AT623" s="29">
        <f t="shared" si="546"/>
        <v>0</v>
      </c>
      <c r="AU623" s="29">
        <f t="shared" si="547"/>
        <v>0</v>
      </c>
      <c r="AV623" s="34">
        <f t="shared" si="548"/>
        <v>0</v>
      </c>
      <c r="AW623" s="34">
        <f t="shared" si="549"/>
        <v>0</v>
      </c>
      <c r="AX623" s="29">
        <f t="shared" si="550"/>
        <v>0</v>
      </c>
      <c r="AY623" s="34">
        <f t="shared" si="551"/>
        <v>0</v>
      </c>
      <c r="AZ623" s="37">
        <f t="shared" si="552"/>
        <v>0</v>
      </c>
      <c r="BA623" s="37">
        <f t="shared" si="553"/>
        <v>0</v>
      </c>
      <c r="BB623" s="35">
        <f t="shared" si="554"/>
        <v>9.755815960819092E-4</v>
      </c>
      <c r="BC623" s="31">
        <f t="shared" si="555"/>
        <v>0.54684459022117637</v>
      </c>
      <c r="BD623" s="34">
        <f t="shared" si="556"/>
        <v>0</v>
      </c>
    </row>
    <row r="624" spans="1:56" x14ac:dyDescent="0.2">
      <c r="A624" s="27">
        <f t="shared" si="557"/>
        <v>620</v>
      </c>
      <c r="B624" s="28">
        <f t="shared" si="504"/>
        <v>620</v>
      </c>
      <c r="C624" s="27">
        <f t="shared" si="505"/>
        <v>51</v>
      </c>
      <c r="D624" s="28">
        <f t="shared" si="506"/>
        <v>71</v>
      </c>
      <c r="E624" s="29">
        <f t="shared" si="507"/>
        <v>0</v>
      </c>
      <c r="F624" s="30">
        <f t="shared" si="508"/>
        <v>6.1912675887511141E-3</v>
      </c>
      <c r="G624" s="31">
        <f t="shared" si="509"/>
        <v>5.1740884473316928E-4</v>
      </c>
      <c r="H624" s="32">
        <f t="shared" si="510"/>
        <v>0.02</v>
      </c>
      <c r="I624" s="32">
        <f t="shared" si="511"/>
        <v>0</v>
      </c>
      <c r="J624" s="33">
        <f t="shared" si="558"/>
        <v>0</v>
      </c>
      <c r="K624" s="30">
        <f t="shared" si="512"/>
        <v>0</v>
      </c>
      <c r="L624" s="33">
        <f t="shared" si="513"/>
        <v>0</v>
      </c>
      <c r="M624" s="30">
        <f t="shared" si="514"/>
        <v>0</v>
      </c>
      <c r="N624" s="33">
        <f t="shared" si="515"/>
        <v>0</v>
      </c>
      <c r="O624" s="31">
        <f t="shared" si="516"/>
        <v>0</v>
      </c>
      <c r="P624" s="33">
        <f t="shared" si="517"/>
        <v>0</v>
      </c>
      <c r="Q624" s="34">
        <f t="shared" si="559"/>
        <v>814317.09891509882</v>
      </c>
      <c r="R624" s="29">
        <f t="shared" si="518"/>
        <v>0</v>
      </c>
      <c r="S624" s="34">
        <f t="shared" si="519"/>
        <v>814317.09891509882</v>
      </c>
      <c r="T624" s="29">
        <f t="shared" si="520"/>
        <v>678.59758242924909</v>
      </c>
      <c r="U624" s="29">
        <f t="shared" si="521"/>
        <v>0</v>
      </c>
      <c r="V624" s="35">
        <f t="shared" si="522"/>
        <v>5.6914972920648623E-4</v>
      </c>
      <c r="W624" s="34">
        <f t="shared" si="523"/>
        <v>0</v>
      </c>
      <c r="X624" s="34">
        <f t="shared" si="524"/>
        <v>813638.50133266952</v>
      </c>
      <c r="Y624" s="36">
        <f t="shared" si="525"/>
        <v>-8.1642944282028784E-3</v>
      </c>
      <c r="Z624" s="34">
        <f t="shared" si="526"/>
        <v>-6642.7842830016543</v>
      </c>
      <c r="AA624" s="34">
        <f t="shared" si="527"/>
        <v>810317.10919116868</v>
      </c>
      <c r="AB624" s="34">
        <f t="shared" si="528"/>
        <v>0</v>
      </c>
      <c r="AC624" s="34">
        <f t="shared" si="529"/>
        <v>0</v>
      </c>
      <c r="AD624" s="34">
        <f t="shared" si="530"/>
        <v>0</v>
      </c>
      <c r="AE624" s="34">
        <f t="shared" si="531"/>
        <v>0</v>
      </c>
      <c r="AF624" s="34">
        <f t="shared" si="532"/>
        <v>0</v>
      </c>
      <c r="AG624" s="29">
        <f t="shared" si="533"/>
        <v>810317.10919116868</v>
      </c>
      <c r="AH624" s="34">
        <f t="shared" si="534"/>
        <v>0</v>
      </c>
      <c r="AI624" s="34">
        <f t="shared" si="535"/>
        <v>0</v>
      </c>
      <c r="AJ624" s="34">
        <f t="shared" si="536"/>
        <v>0</v>
      </c>
      <c r="AK624" s="34">
        <f t="shared" si="537"/>
        <v>0</v>
      </c>
      <c r="AL624" s="34">
        <f t="shared" si="538"/>
        <v>0</v>
      </c>
      <c r="AM624" s="34">
        <f t="shared" si="539"/>
        <v>0</v>
      </c>
      <c r="AN624" s="34">
        <f t="shared" si="540"/>
        <v>0</v>
      </c>
      <c r="AO624" s="34">
        <f t="shared" si="541"/>
        <v>0</v>
      </c>
      <c r="AP624" s="34">
        <f t="shared" si="542"/>
        <v>0</v>
      </c>
      <c r="AQ624" s="34">
        <f t="shared" si="543"/>
        <v>0</v>
      </c>
      <c r="AR624" s="34">
        <f t="shared" si="544"/>
        <v>0</v>
      </c>
      <c r="AS624" s="30">
        <f t="shared" si="545"/>
        <v>1.6721336194588425</v>
      </c>
      <c r="AT624" s="29">
        <f t="shared" si="546"/>
        <v>0</v>
      </c>
      <c r="AU624" s="29">
        <f t="shared" si="547"/>
        <v>0</v>
      </c>
      <c r="AV624" s="34">
        <f t="shared" si="548"/>
        <v>0</v>
      </c>
      <c r="AW624" s="34">
        <f t="shared" si="549"/>
        <v>0</v>
      </c>
      <c r="AX624" s="29">
        <f t="shared" si="550"/>
        <v>0</v>
      </c>
      <c r="AY624" s="34">
        <f t="shared" si="551"/>
        <v>0</v>
      </c>
      <c r="AZ624" s="37">
        <f t="shared" si="552"/>
        <v>0</v>
      </c>
      <c r="BA624" s="37">
        <f t="shared" si="553"/>
        <v>0</v>
      </c>
      <c r="BB624" s="35">
        <f t="shared" si="554"/>
        <v>9.755815960819092E-4</v>
      </c>
      <c r="BC624" s="31">
        <f t="shared" si="555"/>
        <v>0.54631161866028577</v>
      </c>
      <c r="BD624" s="34">
        <f t="shared" si="556"/>
        <v>0</v>
      </c>
    </row>
    <row r="625" spans="1:56" x14ac:dyDescent="0.2">
      <c r="A625" s="27">
        <f t="shared" si="557"/>
        <v>621</v>
      </c>
      <c r="B625" s="28">
        <f t="shared" si="504"/>
        <v>621</v>
      </c>
      <c r="C625" s="27">
        <f t="shared" si="505"/>
        <v>51</v>
      </c>
      <c r="D625" s="28">
        <f t="shared" si="506"/>
        <v>71</v>
      </c>
      <c r="E625" s="29">
        <f t="shared" si="507"/>
        <v>0</v>
      </c>
      <c r="F625" s="30">
        <f t="shared" si="508"/>
        <v>6.1912675887511141E-3</v>
      </c>
      <c r="G625" s="31">
        <f t="shared" si="509"/>
        <v>5.1740884473316928E-4</v>
      </c>
      <c r="H625" s="32">
        <f t="shared" si="510"/>
        <v>0.02</v>
      </c>
      <c r="I625" s="32">
        <f t="shared" si="511"/>
        <v>0</v>
      </c>
      <c r="J625" s="33">
        <f t="shared" si="558"/>
        <v>0</v>
      </c>
      <c r="K625" s="30">
        <f t="shared" si="512"/>
        <v>0</v>
      </c>
      <c r="L625" s="33">
        <f t="shared" si="513"/>
        <v>0</v>
      </c>
      <c r="M625" s="30">
        <f t="shared" si="514"/>
        <v>0</v>
      </c>
      <c r="N625" s="33">
        <f t="shared" si="515"/>
        <v>0</v>
      </c>
      <c r="O625" s="31">
        <f t="shared" si="516"/>
        <v>0</v>
      </c>
      <c r="P625" s="33">
        <f t="shared" si="517"/>
        <v>0</v>
      </c>
      <c r="Q625" s="34">
        <f t="shared" si="559"/>
        <v>806995.71704966784</v>
      </c>
      <c r="R625" s="29">
        <f t="shared" si="518"/>
        <v>0</v>
      </c>
      <c r="S625" s="34">
        <f t="shared" si="519"/>
        <v>806995.71704966784</v>
      </c>
      <c r="T625" s="29">
        <f t="shared" si="520"/>
        <v>672.49643087472327</v>
      </c>
      <c r="U625" s="29">
        <f t="shared" si="521"/>
        <v>0</v>
      </c>
      <c r="V625" s="35">
        <f t="shared" si="522"/>
        <v>5.6914972920648623E-4</v>
      </c>
      <c r="W625" s="34">
        <f t="shared" si="523"/>
        <v>0</v>
      </c>
      <c r="X625" s="34">
        <f t="shared" si="524"/>
        <v>806323.22061879316</v>
      </c>
      <c r="Y625" s="36">
        <f t="shared" si="525"/>
        <v>1.3332028901863691E-2</v>
      </c>
      <c r="Z625" s="34">
        <f t="shared" si="526"/>
        <v>10749.924481533564</v>
      </c>
      <c r="AA625" s="34">
        <f t="shared" si="527"/>
        <v>811698.18285955989</v>
      </c>
      <c r="AB625" s="34">
        <f t="shared" si="528"/>
        <v>0</v>
      </c>
      <c r="AC625" s="34">
        <f t="shared" si="529"/>
        <v>0</v>
      </c>
      <c r="AD625" s="34">
        <f t="shared" si="530"/>
        <v>0</v>
      </c>
      <c r="AE625" s="34">
        <f t="shared" si="531"/>
        <v>0</v>
      </c>
      <c r="AF625" s="34">
        <f t="shared" si="532"/>
        <v>0</v>
      </c>
      <c r="AG625" s="29">
        <f t="shared" si="533"/>
        <v>811698.18285955989</v>
      </c>
      <c r="AH625" s="34">
        <f t="shared" si="534"/>
        <v>0</v>
      </c>
      <c r="AI625" s="34">
        <f t="shared" si="535"/>
        <v>0</v>
      </c>
      <c r="AJ625" s="34">
        <f t="shared" si="536"/>
        <v>0</v>
      </c>
      <c r="AK625" s="34">
        <f t="shared" si="537"/>
        <v>0</v>
      </c>
      <c r="AL625" s="34">
        <f t="shared" si="538"/>
        <v>0</v>
      </c>
      <c r="AM625" s="34">
        <f t="shared" si="539"/>
        <v>0</v>
      </c>
      <c r="AN625" s="34">
        <f t="shared" si="540"/>
        <v>0</v>
      </c>
      <c r="AO625" s="34">
        <f t="shared" si="541"/>
        <v>0</v>
      </c>
      <c r="AP625" s="34">
        <f t="shared" si="542"/>
        <v>0</v>
      </c>
      <c r="AQ625" s="34">
        <f t="shared" si="543"/>
        <v>0</v>
      </c>
      <c r="AR625" s="34">
        <f t="shared" si="544"/>
        <v>0</v>
      </c>
      <c r="AS625" s="30">
        <f t="shared" si="545"/>
        <v>1.6735207180284632</v>
      </c>
      <c r="AT625" s="29">
        <f t="shared" si="546"/>
        <v>0</v>
      </c>
      <c r="AU625" s="29">
        <f t="shared" si="547"/>
        <v>0</v>
      </c>
      <c r="AV625" s="34">
        <f t="shared" si="548"/>
        <v>0</v>
      </c>
      <c r="AW625" s="34">
        <f t="shared" si="549"/>
        <v>0</v>
      </c>
      <c r="AX625" s="29">
        <f t="shared" si="550"/>
        <v>0</v>
      </c>
      <c r="AY625" s="34">
        <f t="shared" si="551"/>
        <v>0</v>
      </c>
      <c r="AZ625" s="37">
        <f t="shared" si="552"/>
        <v>0</v>
      </c>
      <c r="BA625" s="37">
        <f t="shared" si="553"/>
        <v>0</v>
      </c>
      <c r="BB625" s="35">
        <f t="shared" si="554"/>
        <v>9.755815960819092E-4</v>
      </c>
      <c r="BC625" s="31">
        <f t="shared" si="555"/>
        <v>0.54577916654987468</v>
      </c>
      <c r="BD625" s="34">
        <f t="shared" si="556"/>
        <v>0</v>
      </c>
    </row>
    <row r="626" spans="1:56" x14ac:dyDescent="0.2">
      <c r="A626" s="27">
        <f t="shared" si="557"/>
        <v>622</v>
      </c>
      <c r="B626" s="28">
        <f t="shared" si="504"/>
        <v>622</v>
      </c>
      <c r="C626" s="27">
        <f t="shared" si="505"/>
        <v>51</v>
      </c>
      <c r="D626" s="28">
        <f t="shared" si="506"/>
        <v>71</v>
      </c>
      <c r="E626" s="29">
        <f t="shared" si="507"/>
        <v>0</v>
      </c>
      <c r="F626" s="30">
        <f t="shared" si="508"/>
        <v>6.1912675887511141E-3</v>
      </c>
      <c r="G626" s="31">
        <f t="shared" si="509"/>
        <v>5.1740884473316928E-4</v>
      </c>
      <c r="H626" s="32">
        <f t="shared" si="510"/>
        <v>0.02</v>
      </c>
      <c r="I626" s="32">
        <f t="shared" si="511"/>
        <v>0</v>
      </c>
      <c r="J626" s="33">
        <f t="shared" si="558"/>
        <v>0</v>
      </c>
      <c r="K626" s="30">
        <f t="shared" si="512"/>
        <v>0</v>
      </c>
      <c r="L626" s="33">
        <f t="shared" si="513"/>
        <v>0</v>
      </c>
      <c r="M626" s="30">
        <f t="shared" si="514"/>
        <v>0</v>
      </c>
      <c r="N626" s="33">
        <f t="shared" si="515"/>
        <v>0</v>
      </c>
      <c r="O626" s="31">
        <f t="shared" si="516"/>
        <v>0</v>
      </c>
      <c r="P626" s="33">
        <f t="shared" si="517"/>
        <v>0</v>
      </c>
      <c r="Q626" s="34">
        <f t="shared" si="559"/>
        <v>817073.14510032674</v>
      </c>
      <c r="R626" s="29">
        <f t="shared" si="518"/>
        <v>0</v>
      </c>
      <c r="S626" s="34">
        <f t="shared" si="519"/>
        <v>817073.14510032674</v>
      </c>
      <c r="T626" s="29">
        <f t="shared" si="520"/>
        <v>680.89428758360566</v>
      </c>
      <c r="U626" s="29">
        <f t="shared" si="521"/>
        <v>0</v>
      </c>
      <c r="V626" s="35">
        <f t="shared" si="522"/>
        <v>5.6914972920648623E-4</v>
      </c>
      <c r="W626" s="34">
        <f t="shared" si="523"/>
        <v>0</v>
      </c>
      <c r="X626" s="34">
        <f t="shared" si="524"/>
        <v>816392.25081274309</v>
      </c>
      <c r="Y626" s="36">
        <f t="shared" si="525"/>
        <v>-6.3499307572811858E-3</v>
      </c>
      <c r="Z626" s="34">
        <f t="shared" si="526"/>
        <v>-5184.0342634418539</v>
      </c>
      <c r="AA626" s="34">
        <f t="shared" si="527"/>
        <v>813800.23368102219</v>
      </c>
      <c r="AB626" s="34">
        <f t="shared" si="528"/>
        <v>0</v>
      </c>
      <c r="AC626" s="34">
        <f t="shared" si="529"/>
        <v>0</v>
      </c>
      <c r="AD626" s="34">
        <f t="shared" si="530"/>
        <v>0</v>
      </c>
      <c r="AE626" s="34">
        <f t="shared" si="531"/>
        <v>0</v>
      </c>
      <c r="AF626" s="34">
        <f t="shared" si="532"/>
        <v>0</v>
      </c>
      <c r="AG626" s="29">
        <f t="shared" si="533"/>
        <v>813800.23368102219</v>
      </c>
      <c r="AH626" s="34">
        <f t="shared" si="534"/>
        <v>0</v>
      </c>
      <c r="AI626" s="34">
        <f t="shared" si="535"/>
        <v>0</v>
      </c>
      <c r="AJ626" s="34">
        <f t="shared" si="536"/>
        <v>0</v>
      </c>
      <c r="AK626" s="34">
        <f t="shared" si="537"/>
        <v>0</v>
      </c>
      <c r="AL626" s="34">
        <f t="shared" si="538"/>
        <v>0</v>
      </c>
      <c r="AM626" s="34">
        <f t="shared" si="539"/>
        <v>0</v>
      </c>
      <c r="AN626" s="34">
        <f t="shared" si="540"/>
        <v>0</v>
      </c>
      <c r="AO626" s="34">
        <f t="shared" si="541"/>
        <v>0</v>
      </c>
      <c r="AP626" s="34">
        <f t="shared" si="542"/>
        <v>0</v>
      </c>
      <c r="AQ626" s="34">
        <f t="shared" si="543"/>
        <v>0</v>
      </c>
      <c r="AR626" s="34">
        <f t="shared" si="544"/>
        <v>0</v>
      </c>
      <c r="AS626" s="30">
        <f t="shared" si="545"/>
        <v>1.6749089672492161</v>
      </c>
      <c r="AT626" s="29">
        <f t="shared" si="546"/>
        <v>0</v>
      </c>
      <c r="AU626" s="29">
        <f t="shared" si="547"/>
        <v>0</v>
      </c>
      <c r="AV626" s="34">
        <f t="shared" si="548"/>
        <v>0</v>
      </c>
      <c r="AW626" s="34">
        <f t="shared" si="549"/>
        <v>0</v>
      </c>
      <c r="AX626" s="29">
        <f t="shared" si="550"/>
        <v>0</v>
      </c>
      <c r="AY626" s="34">
        <f t="shared" si="551"/>
        <v>0</v>
      </c>
      <c r="AZ626" s="37">
        <f t="shared" si="552"/>
        <v>0</v>
      </c>
      <c r="BA626" s="37">
        <f t="shared" si="553"/>
        <v>0</v>
      </c>
      <c r="BB626" s="35">
        <f t="shared" si="554"/>
        <v>9.755815960819092E-4</v>
      </c>
      <c r="BC626" s="31">
        <f t="shared" si="555"/>
        <v>0.5452472333836712</v>
      </c>
      <c r="BD626" s="34">
        <f t="shared" si="556"/>
        <v>0</v>
      </c>
    </row>
    <row r="627" spans="1:56" x14ac:dyDescent="0.2">
      <c r="A627" s="27">
        <f t="shared" si="557"/>
        <v>623</v>
      </c>
      <c r="B627" s="28">
        <f t="shared" si="504"/>
        <v>623</v>
      </c>
      <c r="C627" s="27">
        <f t="shared" si="505"/>
        <v>51</v>
      </c>
      <c r="D627" s="28">
        <f t="shared" si="506"/>
        <v>71</v>
      </c>
      <c r="E627" s="29">
        <f t="shared" si="507"/>
        <v>0</v>
      </c>
      <c r="F627" s="30">
        <f t="shared" si="508"/>
        <v>6.1912675887511141E-3</v>
      </c>
      <c r="G627" s="31">
        <f t="shared" si="509"/>
        <v>5.1740884473316928E-4</v>
      </c>
      <c r="H627" s="32">
        <f t="shared" si="510"/>
        <v>0.02</v>
      </c>
      <c r="I627" s="32">
        <f t="shared" si="511"/>
        <v>0</v>
      </c>
      <c r="J627" s="33">
        <f t="shared" si="558"/>
        <v>0</v>
      </c>
      <c r="K627" s="30">
        <f t="shared" si="512"/>
        <v>0</v>
      </c>
      <c r="L627" s="33">
        <f t="shared" si="513"/>
        <v>0</v>
      </c>
      <c r="M627" s="30">
        <f t="shared" si="514"/>
        <v>0</v>
      </c>
      <c r="N627" s="33">
        <f t="shared" si="515"/>
        <v>0</v>
      </c>
      <c r="O627" s="31">
        <f t="shared" si="516"/>
        <v>0</v>
      </c>
      <c r="P627" s="33">
        <f t="shared" si="517"/>
        <v>0</v>
      </c>
      <c r="Q627" s="34">
        <f t="shared" si="559"/>
        <v>811208.21654930129</v>
      </c>
      <c r="R627" s="29">
        <f t="shared" si="518"/>
        <v>0</v>
      </c>
      <c r="S627" s="34">
        <f t="shared" si="519"/>
        <v>811208.21654930129</v>
      </c>
      <c r="T627" s="29">
        <f t="shared" si="520"/>
        <v>676.00684712441773</v>
      </c>
      <c r="U627" s="29">
        <f t="shared" si="521"/>
        <v>0</v>
      </c>
      <c r="V627" s="35">
        <f t="shared" si="522"/>
        <v>5.6914972920648623E-4</v>
      </c>
      <c r="W627" s="34">
        <f t="shared" si="523"/>
        <v>0</v>
      </c>
      <c r="X627" s="34">
        <f t="shared" si="524"/>
        <v>810532.20970217686</v>
      </c>
      <c r="Y627" s="36">
        <f t="shared" si="525"/>
        <v>6.8306237358719546E-3</v>
      </c>
      <c r="Z627" s="34">
        <f t="shared" si="526"/>
        <v>5536.4405502804339</v>
      </c>
      <c r="AA627" s="34">
        <f t="shared" si="527"/>
        <v>813300.42997731711</v>
      </c>
      <c r="AB627" s="34">
        <f t="shared" si="528"/>
        <v>0</v>
      </c>
      <c r="AC627" s="34">
        <f t="shared" si="529"/>
        <v>0</v>
      </c>
      <c r="AD627" s="34">
        <f t="shared" si="530"/>
        <v>0</v>
      </c>
      <c r="AE627" s="34">
        <f t="shared" si="531"/>
        <v>0</v>
      </c>
      <c r="AF627" s="34">
        <f t="shared" si="532"/>
        <v>0</v>
      </c>
      <c r="AG627" s="29">
        <f t="shared" si="533"/>
        <v>813300.42997731711</v>
      </c>
      <c r="AH627" s="34">
        <f t="shared" si="534"/>
        <v>0</v>
      </c>
      <c r="AI627" s="34">
        <f t="shared" si="535"/>
        <v>0</v>
      </c>
      <c r="AJ627" s="34">
        <f t="shared" si="536"/>
        <v>0</v>
      </c>
      <c r="AK627" s="34">
        <f t="shared" si="537"/>
        <v>0</v>
      </c>
      <c r="AL627" s="34">
        <f t="shared" si="538"/>
        <v>0</v>
      </c>
      <c r="AM627" s="34">
        <f t="shared" si="539"/>
        <v>0</v>
      </c>
      <c r="AN627" s="34">
        <f t="shared" si="540"/>
        <v>0</v>
      </c>
      <c r="AO627" s="34">
        <f t="shared" si="541"/>
        <v>0</v>
      </c>
      <c r="AP627" s="34">
        <f t="shared" si="542"/>
        <v>0</v>
      </c>
      <c r="AQ627" s="34">
        <f t="shared" si="543"/>
        <v>0</v>
      </c>
      <c r="AR627" s="34">
        <f t="shared" si="544"/>
        <v>0</v>
      </c>
      <c r="AS627" s="30">
        <f t="shared" si="545"/>
        <v>1.6762983680756096</v>
      </c>
      <c r="AT627" s="29">
        <f t="shared" si="546"/>
        <v>0</v>
      </c>
      <c r="AU627" s="29">
        <f t="shared" si="547"/>
        <v>0</v>
      </c>
      <c r="AV627" s="34">
        <f t="shared" si="548"/>
        <v>0</v>
      </c>
      <c r="AW627" s="34">
        <f t="shared" si="549"/>
        <v>0</v>
      </c>
      <c r="AX627" s="29">
        <f t="shared" si="550"/>
        <v>0</v>
      </c>
      <c r="AY627" s="34">
        <f t="shared" si="551"/>
        <v>0</v>
      </c>
      <c r="AZ627" s="37">
        <f t="shared" si="552"/>
        <v>0</v>
      </c>
      <c r="BA627" s="37">
        <f t="shared" si="553"/>
        <v>0</v>
      </c>
      <c r="BB627" s="35">
        <f t="shared" si="554"/>
        <v>9.755815960819092E-4</v>
      </c>
      <c r="BC627" s="31">
        <f t="shared" si="555"/>
        <v>0.54471581865589569</v>
      </c>
      <c r="BD627" s="34">
        <f t="shared" si="556"/>
        <v>0</v>
      </c>
    </row>
    <row r="628" spans="1:56" x14ac:dyDescent="0.2">
      <c r="A628" s="27">
        <f t="shared" si="557"/>
        <v>624</v>
      </c>
      <c r="B628" s="28">
        <f t="shared" si="504"/>
        <v>624</v>
      </c>
      <c r="C628" s="27">
        <f t="shared" si="505"/>
        <v>52</v>
      </c>
      <c r="D628" s="28">
        <f t="shared" si="506"/>
        <v>72</v>
      </c>
      <c r="E628" s="29">
        <f t="shared" si="507"/>
        <v>0</v>
      </c>
      <c r="F628" s="30">
        <f t="shared" si="508"/>
        <v>6.7903997485787206E-3</v>
      </c>
      <c r="G628" s="31">
        <f t="shared" si="509"/>
        <v>5.6763545190119391E-4</v>
      </c>
      <c r="H628" s="32">
        <f t="shared" si="510"/>
        <v>0.02</v>
      </c>
      <c r="I628" s="32">
        <f t="shared" si="511"/>
        <v>0</v>
      </c>
      <c r="J628" s="33">
        <f t="shared" si="558"/>
        <v>0</v>
      </c>
      <c r="K628" s="30">
        <f t="shared" si="512"/>
        <v>0</v>
      </c>
      <c r="L628" s="33">
        <f t="shared" si="513"/>
        <v>0</v>
      </c>
      <c r="M628" s="30">
        <f t="shared" si="514"/>
        <v>0</v>
      </c>
      <c r="N628" s="33">
        <f t="shared" si="515"/>
        <v>0</v>
      </c>
      <c r="O628" s="31">
        <f t="shared" si="516"/>
        <v>0</v>
      </c>
      <c r="P628" s="33">
        <f t="shared" si="517"/>
        <v>0</v>
      </c>
      <c r="Q628" s="34">
        <f t="shared" si="559"/>
        <v>816068.65025245724</v>
      </c>
      <c r="R628" s="29">
        <f t="shared" si="518"/>
        <v>0</v>
      </c>
      <c r="S628" s="34">
        <f t="shared" si="519"/>
        <v>816068.65025245724</v>
      </c>
      <c r="T628" s="29">
        <f t="shared" si="520"/>
        <v>680.05720854371441</v>
      </c>
      <c r="U628" s="29">
        <f t="shared" si="521"/>
        <v>0</v>
      </c>
      <c r="V628" s="35">
        <f t="shared" si="522"/>
        <v>6.2439899709131334E-4</v>
      </c>
      <c r="W628" s="34">
        <f t="shared" si="523"/>
        <v>0</v>
      </c>
      <c r="X628" s="34">
        <f t="shared" si="524"/>
        <v>815388.59304391348</v>
      </c>
      <c r="Y628" s="36">
        <f t="shared" si="525"/>
        <v>1.5324338028205986E-2</v>
      </c>
      <c r="Z628" s="34">
        <f t="shared" si="526"/>
        <v>12495.290424148217</v>
      </c>
      <c r="AA628" s="34">
        <f t="shared" si="527"/>
        <v>821636.23825598764</v>
      </c>
      <c r="AB628" s="34">
        <f t="shared" si="528"/>
        <v>0</v>
      </c>
      <c r="AC628" s="34">
        <f t="shared" si="529"/>
        <v>0</v>
      </c>
      <c r="AD628" s="34">
        <f t="shared" si="530"/>
        <v>0</v>
      </c>
      <c r="AE628" s="34">
        <f t="shared" si="531"/>
        <v>0</v>
      </c>
      <c r="AF628" s="34">
        <f t="shared" si="532"/>
        <v>0</v>
      </c>
      <c r="AG628" s="29">
        <f t="shared" si="533"/>
        <v>821636.23825598764</v>
      </c>
      <c r="AH628" s="34">
        <f t="shared" si="534"/>
        <v>0</v>
      </c>
      <c r="AI628" s="34">
        <f t="shared" si="535"/>
        <v>0</v>
      </c>
      <c r="AJ628" s="34">
        <f t="shared" si="536"/>
        <v>0</v>
      </c>
      <c r="AK628" s="34">
        <f t="shared" si="537"/>
        <v>0</v>
      </c>
      <c r="AL628" s="34">
        <f t="shared" si="538"/>
        <v>0</v>
      </c>
      <c r="AM628" s="34">
        <f t="shared" si="539"/>
        <v>0</v>
      </c>
      <c r="AN628" s="34">
        <f t="shared" si="540"/>
        <v>0</v>
      </c>
      <c r="AO628" s="34">
        <f t="shared" si="541"/>
        <v>0</v>
      </c>
      <c r="AP628" s="34">
        <f t="shared" si="542"/>
        <v>0</v>
      </c>
      <c r="AQ628" s="34">
        <f t="shared" si="543"/>
        <v>0</v>
      </c>
      <c r="AR628" s="34">
        <f t="shared" si="544"/>
        <v>0</v>
      </c>
      <c r="AS628" s="30">
        <f t="shared" si="545"/>
        <v>1.6776889214629449</v>
      </c>
      <c r="AT628" s="29">
        <f t="shared" si="546"/>
        <v>0</v>
      </c>
      <c r="AU628" s="29">
        <f t="shared" si="547"/>
        <v>0</v>
      </c>
      <c r="AV628" s="34">
        <f t="shared" si="548"/>
        <v>0</v>
      </c>
      <c r="AW628" s="34">
        <f t="shared" si="549"/>
        <v>0</v>
      </c>
      <c r="AX628" s="29">
        <f t="shared" si="550"/>
        <v>0</v>
      </c>
      <c r="AY628" s="34">
        <f t="shared" si="551"/>
        <v>0</v>
      </c>
      <c r="AZ628" s="37">
        <f t="shared" si="552"/>
        <v>0</v>
      </c>
      <c r="BA628" s="37">
        <f t="shared" si="553"/>
        <v>0</v>
      </c>
      <c r="BB628" s="35">
        <f t="shared" si="554"/>
        <v>9.8877172213795994E-4</v>
      </c>
      <c r="BC628" s="31">
        <f t="shared" si="555"/>
        <v>0.53972867324720475</v>
      </c>
      <c r="BD628" s="34">
        <f t="shared" si="556"/>
        <v>0</v>
      </c>
    </row>
    <row r="629" spans="1:56" x14ac:dyDescent="0.2">
      <c r="A629" s="27">
        <f t="shared" si="557"/>
        <v>625</v>
      </c>
      <c r="B629" s="28">
        <f t="shared" si="504"/>
        <v>625</v>
      </c>
      <c r="C629" s="27">
        <f t="shared" si="505"/>
        <v>52</v>
      </c>
      <c r="D629" s="28">
        <f t="shared" si="506"/>
        <v>72</v>
      </c>
      <c r="E629" s="29">
        <f t="shared" si="507"/>
        <v>0</v>
      </c>
      <c r="F629" s="30">
        <f t="shared" si="508"/>
        <v>6.7903997485787206E-3</v>
      </c>
      <c r="G629" s="31">
        <f t="shared" si="509"/>
        <v>5.6763545190119391E-4</v>
      </c>
      <c r="H629" s="32">
        <f t="shared" si="510"/>
        <v>0.02</v>
      </c>
      <c r="I629" s="32">
        <f t="shared" si="511"/>
        <v>0</v>
      </c>
      <c r="J629" s="33">
        <f t="shared" si="558"/>
        <v>0</v>
      </c>
      <c r="K629" s="30">
        <f t="shared" si="512"/>
        <v>0</v>
      </c>
      <c r="L629" s="33">
        <f t="shared" si="513"/>
        <v>0</v>
      </c>
      <c r="M629" s="30">
        <f t="shared" si="514"/>
        <v>0</v>
      </c>
      <c r="N629" s="33">
        <f t="shared" si="515"/>
        <v>0</v>
      </c>
      <c r="O629" s="31">
        <f t="shared" si="516"/>
        <v>0</v>
      </c>
      <c r="P629" s="33">
        <f t="shared" si="517"/>
        <v>0</v>
      </c>
      <c r="Q629" s="34">
        <f t="shared" si="559"/>
        <v>827883.88346806169</v>
      </c>
      <c r="R629" s="29">
        <f t="shared" si="518"/>
        <v>0</v>
      </c>
      <c r="S629" s="34">
        <f t="shared" si="519"/>
        <v>827883.88346806169</v>
      </c>
      <c r="T629" s="29">
        <f t="shared" si="520"/>
        <v>689.90323622338474</v>
      </c>
      <c r="U629" s="29">
        <f t="shared" si="521"/>
        <v>0</v>
      </c>
      <c r="V629" s="35">
        <f t="shared" si="522"/>
        <v>6.2439899709131334E-4</v>
      </c>
      <c r="W629" s="34">
        <f t="shared" si="523"/>
        <v>0</v>
      </c>
      <c r="X629" s="34">
        <f t="shared" si="524"/>
        <v>827193.9802318383</v>
      </c>
      <c r="Y629" s="36">
        <f t="shared" si="525"/>
        <v>-2.8728397223586333E-3</v>
      </c>
      <c r="Z629" s="34">
        <f t="shared" si="526"/>
        <v>-2376.3957245059673</v>
      </c>
      <c r="AA629" s="34">
        <f t="shared" si="527"/>
        <v>826005.78236958536</v>
      </c>
      <c r="AB629" s="34">
        <f t="shared" si="528"/>
        <v>0</v>
      </c>
      <c r="AC629" s="34">
        <f t="shared" si="529"/>
        <v>0</v>
      </c>
      <c r="AD629" s="34">
        <f t="shared" si="530"/>
        <v>0</v>
      </c>
      <c r="AE629" s="34">
        <f t="shared" si="531"/>
        <v>0</v>
      </c>
      <c r="AF629" s="34">
        <f t="shared" si="532"/>
        <v>0</v>
      </c>
      <c r="AG629" s="29">
        <f t="shared" si="533"/>
        <v>826005.78236958536</v>
      </c>
      <c r="AH629" s="34">
        <f t="shared" si="534"/>
        <v>0</v>
      </c>
      <c r="AI629" s="34">
        <f t="shared" si="535"/>
        <v>0</v>
      </c>
      <c r="AJ629" s="34">
        <f t="shared" si="536"/>
        <v>0</v>
      </c>
      <c r="AK629" s="34">
        <f t="shared" si="537"/>
        <v>0</v>
      </c>
      <c r="AL629" s="34">
        <f t="shared" si="538"/>
        <v>0</v>
      </c>
      <c r="AM629" s="34">
        <f t="shared" si="539"/>
        <v>0</v>
      </c>
      <c r="AN629" s="34">
        <f t="shared" si="540"/>
        <v>0</v>
      </c>
      <c r="AO629" s="34">
        <f t="shared" si="541"/>
        <v>0</v>
      </c>
      <c r="AP629" s="34">
        <f t="shared" si="542"/>
        <v>0</v>
      </c>
      <c r="AQ629" s="34">
        <f t="shared" si="543"/>
        <v>0</v>
      </c>
      <c r="AR629" s="34">
        <f t="shared" si="544"/>
        <v>0</v>
      </c>
      <c r="AS629" s="30">
        <f t="shared" si="545"/>
        <v>1.6790806283673145</v>
      </c>
      <c r="AT629" s="29">
        <f t="shared" si="546"/>
        <v>0</v>
      </c>
      <c r="AU629" s="29">
        <f t="shared" si="547"/>
        <v>0</v>
      </c>
      <c r="AV629" s="34">
        <f t="shared" si="548"/>
        <v>0</v>
      </c>
      <c r="AW629" s="34">
        <f t="shared" si="549"/>
        <v>0</v>
      </c>
      <c r="AX629" s="29">
        <f t="shared" si="550"/>
        <v>0</v>
      </c>
      <c r="AY629" s="34">
        <f t="shared" si="551"/>
        <v>0</v>
      </c>
      <c r="AZ629" s="37">
        <f t="shared" si="552"/>
        <v>0</v>
      </c>
      <c r="BA629" s="37">
        <f t="shared" si="553"/>
        <v>0</v>
      </c>
      <c r="BB629" s="35">
        <f t="shared" si="554"/>
        <v>9.8877172213795994E-4</v>
      </c>
      <c r="BC629" s="31">
        <f t="shared" si="555"/>
        <v>0.53919553195250691</v>
      </c>
      <c r="BD629" s="34">
        <f t="shared" si="556"/>
        <v>0</v>
      </c>
    </row>
    <row r="630" spans="1:56" x14ac:dyDescent="0.2">
      <c r="A630" s="27">
        <f t="shared" si="557"/>
        <v>626</v>
      </c>
      <c r="B630" s="28">
        <f t="shared" si="504"/>
        <v>626</v>
      </c>
      <c r="C630" s="27">
        <f t="shared" si="505"/>
        <v>52</v>
      </c>
      <c r="D630" s="28">
        <f t="shared" si="506"/>
        <v>72</v>
      </c>
      <c r="E630" s="29">
        <f t="shared" si="507"/>
        <v>0</v>
      </c>
      <c r="F630" s="30">
        <f t="shared" si="508"/>
        <v>6.7903997485787206E-3</v>
      </c>
      <c r="G630" s="31">
        <f t="shared" si="509"/>
        <v>5.6763545190119391E-4</v>
      </c>
      <c r="H630" s="32">
        <f t="shared" si="510"/>
        <v>0.02</v>
      </c>
      <c r="I630" s="32">
        <f t="shared" si="511"/>
        <v>0</v>
      </c>
      <c r="J630" s="33">
        <f t="shared" si="558"/>
        <v>0</v>
      </c>
      <c r="K630" s="30">
        <f t="shared" si="512"/>
        <v>0</v>
      </c>
      <c r="L630" s="33">
        <f t="shared" si="513"/>
        <v>0</v>
      </c>
      <c r="M630" s="30">
        <f t="shared" si="514"/>
        <v>0</v>
      </c>
      <c r="N630" s="33">
        <f t="shared" si="515"/>
        <v>0</v>
      </c>
      <c r="O630" s="31">
        <f t="shared" si="516"/>
        <v>0</v>
      </c>
      <c r="P630" s="33">
        <f t="shared" si="517"/>
        <v>0</v>
      </c>
      <c r="Q630" s="34">
        <f t="shared" si="559"/>
        <v>824817.5845073323</v>
      </c>
      <c r="R630" s="29">
        <f t="shared" si="518"/>
        <v>0</v>
      </c>
      <c r="S630" s="34">
        <f t="shared" si="519"/>
        <v>824817.5845073323</v>
      </c>
      <c r="T630" s="29">
        <f t="shared" si="520"/>
        <v>687.34798708944368</v>
      </c>
      <c r="U630" s="29">
        <f t="shared" si="521"/>
        <v>0</v>
      </c>
      <c r="V630" s="35">
        <f t="shared" si="522"/>
        <v>6.2439899709131334E-4</v>
      </c>
      <c r="W630" s="34">
        <f t="shared" si="523"/>
        <v>0</v>
      </c>
      <c r="X630" s="34">
        <f t="shared" si="524"/>
        <v>824130.23652024288</v>
      </c>
      <c r="Y630" s="36">
        <f t="shared" si="525"/>
        <v>2.4985245641762077E-3</v>
      </c>
      <c r="Z630" s="34">
        <f t="shared" si="526"/>
        <v>2059.1096400261749</v>
      </c>
      <c r="AA630" s="34">
        <f t="shared" si="527"/>
        <v>825159.79134025599</v>
      </c>
      <c r="AB630" s="34">
        <f t="shared" si="528"/>
        <v>0</v>
      </c>
      <c r="AC630" s="34">
        <f t="shared" si="529"/>
        <v>0</v>
      </c>
      <c r="AD630" s="34">
        <f t="shared" si="530"/>
        <v>0</v>
      </c>
      <c r="AE630" s="34">
        <f t="shared" si="531"/>
        <v>0</v>
      </c>
      <c r="AF630" s="34">
        <f t="shared" si="532"/>
        <v>0</v>
      </c>
      <c r="AG630" s="29">
        <f t="shared" si="533"/>
        <v>825159.79134025599</v>
      </c>
      <c r="AH630" s="34">
        <f t="shared" si="534"/>
        <v>0</v>
      </c>
      <c r="AI630" s="34">
        <f t="shared" si="535"/>
        <v>0</v>
      </c>
      <c r="AJ630" s="34">
        <f t="shared" si="536"/>
        <v>0</v>
      </c>
      <c r="AK630" s="34">
        <f t="shared" si="537"/>
        <v>0</v>
      </c>
      <c r="AL630" s="34">
        <f t="shared" si="538"/>
        <v>0</v>
      </c>
      <c r="AM630" s="34">
        <f t="shared" si="539"/>
        <v>0</v>
      </c>
      <c r="AN630" s="34">
        <f t="shared" si="540"/>
        <v>0</v>
      </c>
      <c r="AO630" s="34">
        <f t="shared" si="541"/>
        <v>0</v>
      </c>
      <c r="AP630" s="34">
        <f t="shared" si="542"/>
        <v>0</v>
      </c>
      <c r="AQ630" s="34">
        <f t="shared" si="543"/>
        <v>0</v>
      </c>
      <c r="AR630" s="34">
        <f t="shared" si="544"/>
        <v>0</v>
      </c>
      <c r="AS630" s="30">
        <f t="shared" si="545"/>
        <v>1.6804734897456057</v>
      </c>
      <c r="AT630" s="29">
        <f t="shared" si="546"/>
        <v>0</v>
      </c>
      <c r="AU630" s="29">
        <f t="shared" si="547"/>
        <v>0</v>
      </c>
      <c r="AV630" s="34">
        <f t="shared" si="548"/>
        <v>0</v>
      </c>
      <c r="AW630" s="34">
        <f t="shared" si="549"/>
        <v>0</v>
      </c>
      <c r="AX630" s="29">
        <f t="shared" si="550"/>
        <v>0</v>
      </c>
      <c r="AY630" s="34">
        <f t="shared" si="551"/>
        <v>0</v>
      </c>
      <c r="AZ630" s="37">
        <f t="shared" si="552"/>
        <v>0</v>
      </c>
      <c r="BA630" s="37">
        <f t="shared" si="553"/>
        <v>0</v>
      </c>
      <c r="BB630" s="35">
        <f t="shared" si="554"/>
        <v>9.8877172213795994E-4</v>
      </c>
      <c r="BC630" s="31">
        <f t="shared" si="555"/>
        <v>0.53866291729212412</v>
      </c>
      <c r="BD630" s="34">
        <f t="shared" si="556"/>
        <v>0</v>
      </c>
    </row>
    <row r="631" spans="1:56" x14ac:dyDescent="0.2">
      <c r="A631" s="27">
        <f t="shared" si="557"/>
        <v>627</v>
      </c>
      <c r="B631" s="28">
        <f t="shared" si="504"/>
        <v>627</v>
      </c>
      <c r="C631" s="27">
        <f t="shared" si="505"/>
        <v>52</v>
      </c>
      <c r="D631" s="28">
        <f t="shared" si="506"/>
        <v>72</v>
      </c>
      <c r="E631" s="29">
        <f t="shared" si="507"/>
        <v>0</v>
      </c>
      <c r="F631" s="30">
        <f t="shared" si="508"/>
        <v>6.7903997485787206E-3</v>
      </c>
      <c r="G631" s="31">
        <f t="shared" si="509"/>
        <v>5.6763545190119391E-4</v>
      </c>
      <c r="H631" s="32">
        <f t="shared" si="510"/>
        <v>0.02</v>
      </c>
      <c r="I631" s="32">
        <f t="shared" si="511"/>
        <v>0</v>
      </c>
      <c r="J631" s="33">
        <f t="shared" si="558"/>
        <v>0</v>
      </c>
      <c r="K631" s="30">
        <f t="shared" si="512"/>
        <v>0</v>
      </c>
      <c r="L631" s="33">
        <f t="shared" si="513"/>
        <v>0</v>
      </c>
      <c r="M631" s="30">
        <f t="shared" si="514"/>
        <v>0</v>
      </c>
      <c r="N631" s="33">
        <f t="shared" si="515"/>
        <v>0</v>
      </c>
      <c r="O631" s="31">
        <f t="shared" si="516"/>
        <v>0</v>
      </c>
      <c r="P631" s="33">
        <f t="shared" si="517"/>
        <v>0</v>
      </c>
      <c r="Q631" s="34">
        <f t="shared" si="559"/>
        <v>826189.34616026911</v>
      </c>
      <c r="R631" s="29">
        <f t="shared" si="518"/>
        <v>0</v>
      </c>
      <c r="S631" s="34">
        <f t="shared" si="519"/>
        <v>826189.34616026911</v>
      </c>
      <c r="T631" s="29">
        <f t="shared" si="520"/>
        <v>688.49112180022428</v>
      </c>
      <c r="U631" s="29">
        <f t="shared" si="521"/>
        <v>0</v>
      </c>
      <c r="V631" s="35">
        <f t="shared" si="522"/>
        <v>6.2439899709131334E-4</v>
      </c>
      <c r="W631" s="34">
        <f t="shared" si="523"/>
        <v>0</v>
      </c>
      <c r="X631" s="34">
        <f t="shared" si="524"/>
        <v>825500.85503846884</v>
      </c>
      <c r="Y631" s="36">
        <f t="shared" si="525"/>
        <v>2.7081580465204702E-4</v>
      </c>
      <c r="Z631" s="34">
        <f t="shared" si="526"/>
        <v>223.55867829819576</v>
      </c>
      <c r="AA631" s="34">
        <f t="shared" si="527"/>
        <v>825612.63437761797</v>
      </c>
      <c r="AB631" s="34">
        <f t="shared" si="528"/>
        <v>0</v>
      </c>
      <c r="AC631" s="34">
        <f t="shared" si="529"/>
        <v>0</v>
      </c>
      <c r="AD631" s="34">
        <f t="shared" si="530"/>
        <v>0</v>
      </c>
      <c r="AE631" s="34">
        <f t="shared" si="531"/>
        <v>0</v>
      </c>
      <c r="AF631" s="34">
        <f t="shared" si="532"/>
        <v>0</v>
      </c>
      <c r="AG631" s="29">
        <f t="shared" si="533"/>
        <v>825612.63437761797</v>
      </c>
      <c r="AH631" s="34">
        <f t="shared" si="534"/>
        <v>0</v>
      </c>
      <c r="AI631" s="34">
        <f t="shared" si="535"/>
        <v>0</v>
      </c>
      <c r="AJ631" s="34">
        <f t="shared" si="536"/>
        <v>0</v>
      </c>
      <c r="AK631" s="34">
        <f t="shared" si="537"/>
        <v>0</v>
      </c>
      <c r="AL631" s="34">
        <f t="shared" si="538"/>
        <v>0</v>
      </c>
      <c r="AM631" s="34">
        <f t="shared" si="539"/>
        <v>0</v>
      </c>
      <c r="AN631" s="34">
        <f t="shared" si="540"/>
        <v>0</v>
      </c>
      <c r="AO631" s="34">
        <f t="shared" si="541"/>
        <v>0</v>
      </c>
      <c r="AP631" s="34">
        <f t="shared" si="542"/>
        <v>0</v>
      </c>
      <c r="AQ631" s="34">
        <f t="shared" si="543"/>
        <v>0</v>
      </c>
      <c r="AR631" s="34">
        <f t="shared" si="544"/>
        <v>0</v>
      </c>
      <c r="AS631" s="30">
        <f t="shared" si="545"/>
        <v>1.6818675065554982</v>
      </c>
      <c r="AT631" s="29">
        <f t="shared" si="546"/>
        <v>0</v>
      </c>
      <c r="AU631" s="29">
        <f t="shared" si="547"/>
        <v>0</v>
      </c>
      <c r="AV631" s="34">
        <f t="shared" si="548"/>
        <v>0</v>
      </c>
      <c r="AW631" s="34">
        <f t="shared" si="549"/>
        <v>0</v>
      </c>
      <c r="AX631" s="29">
        <f t="shared" si="550"/>
        <v>0</v>
      </c>
      <c r="AY631" s="34">
        <f t="shared" si="551"/>
        <v>0</v>
      </c>
      <c r="AZ631" s="37">
        <f t="shared" si="552"/>
        <v>0</v>
      </c>
      <c r="BA631" s="37">
        <f t="shared" si="553"/>
        <v>0</v>
      </c>
      <c r="BB631" s="35">
        <f t="shared" si="554"/>
        <v>9.8877172213795994E-4</v>
      </c>
      <c r="BC631" s="31">
        <f t="shared" si="555"/>
        <v>0.5381308287458495</v>
      </c>
      <c r="BD631" s="34">
        <f t="shared" si="556"/>
        <v>0</v>
      </c>
    </row>
    <row r="632" spans="1:56" x14ac:dyDescent="0.2">
      <c r="A632" s="27">
        <f t="shared" si="557"/>
        <v>628</v>
      </c>
      <c r="B632" s="28">
        <f t="shared" si="504"/>
        <v>628</v>
      </c>
      <c r="C632" s="27">
        <f t="shared" si="505"/>
        <v>52</v>
      </c>
      <c r="D632" s="28">
        <f t="shared" si="506"/>
        <v>72</v>
      </c>
      <c r="E632" s="29">
        <f t="shared" si="507"/>
        <v>0</v>
      </c>
      <c r="F632" s="30">
        <f t="shared" si="508"/>
        <v>6.7903997485787206E-3</v>
      </c>
      <c r="G632" s="31">
        <f t="shared" si="509"/>
        <v>5.6763545190119391E-4</v>
      </c>
      <c r="H632" s="32">
        <f t="shared" si="510"/>
        <v>0.02</v>
      </c>
      <c r="I632" s="32">
        <f t="shared" si="511"/>
        <v>0</v>
      </c>
      <c r="J632" s="33">
        <f t="shared" si="558"/>
        <v>0</v>
      </c>
      <c r="K632" s="30">
        <f t="shared" si="512"/>
        <v>0</v>
      </c>
      <c r="L632" s="33">
        <f t="shared" si="513"/>
        <v>0</v>
      </c>
      <c r="M632" s="30">
        <f t="shared" si="514"/>
        <v>0</v>
      </c>
      <c r="N632" s="33">
        <f t="shared" si="515"/>
        <v>0</v>
      </c>
      <c r="O632" s="31">
        <f t="shared" si="516"/>
        <v>0</v>
      </c>
      <c r="P632" s="33">
        <f t="shared" si="517"/>
        <v>0</v>
      </c>
      <c r="Q632" s="34">
        <f t="shared" si="559"/>
        <v>825724.41371676698</v>
      </c>
      <c r="R632" s="29">
        <f t="shared" si="518"/>
        <v>0</v>
      </c>
      <c r="S632" s="34">
        <f t="shared" si="519"/>
        <v>825724.41371676698</v>
      </c>
      <c r="T632" s="29">
        <f t="shared" si="520"/>
        <v>688.10367809730587</v>
      </c>
      <c r="U632" s="29">
        <f t="shared" si="521"/>
        <v>0</v>
      </c>
      <c r="V632" s="35">
        <f t="shared" si="522"/>
        <v>6.2439899709131334E-4</v>
      </c>
      <c r="W632" s="34">
        <f t="shared" si="523"/>
        <v>0</v>
      </c>
      <c r="X632" s="34">
        <f t="shared" si="524"/>
        <v>825036.31003866973</v>
      </c>
      <c r="Y632" s="36">
        <f t="shared" si="525"/>
        <v>-9.6794758183205154E-3</v>
      </c>
      <c r="Z632" s="34">
        <f t="shared" si="526"/>
        <v>-7985.9190122556911</v>
      </c>
      <c r="AA632" s="34">
        <f t="shared" si="527"/>
        <v>821043.35053254187</v>
      </c>
      <c r="AB632" s="34">
        <f t="shared" si="528"/>
        <v>0</v>
      </c>
      <c r="AC632" s="34">
        <f t="shared" si="529"/>
        <v>0</v>
      </c>
      <c r="AD632" s="34">
        <f t="shared" si="530"/>
        <v>0</v>
      </c>
      <c r="AE632" s="34">
        <f t="shared" si="531"/>
        <v>0</v>
      </c>
      <c r="AF632" s="34">
        <f t="shared" si="532"/>
        <v>0</v>
      </c>
      <c r="AG632" s="29">
        <f t="shared" si="533"/>
        <v>821043.35053254187</v>
      </c>
      <c r="AH632" s="34">
        <f t="shared" si="534"/>
        <v>0</v>
      </c>
      <c r="AI632" s="34">
        <f t="shared" si="535"/>
        <v>0</v>
      </c>
      <c r="AJ632" s="34">
        <f t="shared" si="536"/>
        <v>0</v>
      </c>
      <c r="AK632" s="34">
        <f t="shared" si="537"/>
        <v>0</v>
      </c>
      <c r="AL632" s="34">
        <f t="shared" si="538"/>
        <v>0</v>
      </c>
      <c r="AM632" s="34">
        <f t="shared" si="539"/>
        <v>0</v>
      </c>
      <c r="AN632" s="34">
        <f t="shared" si="540"/>
        <v>0</v>
      </c>
      <c r="AO632" s="34">
        <f t="shared" si="541"/>
        <v>0</v>
      </c>
      <c r="AP632" s="34">
        <f t="shared" si="542"/>
        <v>0</v>
      </c>
      <c r="AQ632" s="34">
        <f t="shared" si="543"/>
        <v>0</v>
      </c>
      <c r="AR632" s="34">
        <f t="shared" si="544"/>
        <v>0</v>
      </c>
      <c r="AS632" s="30">
        <f t="shared" si="545"/>
        <v>1.6832626797554664</v>
      </c>
      <c r="AT632" s="29">
        <f t="shared" si="546"/>
        <v>0</v>
      </c>
      <c r="AU632" s="29">
        <f t="shared" si="547"/>
        <v>0</v>
      </c>
      <c r="AV632" s="34">
        <f t="shared" si="548"/>
        <v>0</v>
      </c>
      <c r="AW632" s="34">
        <f t="shared" si="549"/>
        <v>0</v>
      </c>
      <c r="AX632" s="29">
        <f t="shared" si="550"/>
        <v>0</v>
      </c>
      <c r="AY632" s="34">
        <f t="shared" si="551"/>
        <v>0</v>
      </c>
      <c r="AZ632" s="37">
        <f t="shared" si="552"/>
        <v>0</v>
      </c>
      <c r="BA632" s="37">
        <f t="shared" si="553"/>
        <v>0</v>
      </c>
      <c r="BB632" s="35">
        <f t="shared" si="554"/>
        <v>9.8877172213795994E-4</v>
      </c>
      <c r="BC632" s="31">
        <f t="shared" si="555"/>
        <v>0.53759926579399042</v>
      </c>
      <c r="BD632" s="34">
        <f t="shared" si="556"/>
        <v>0</v>
      </c>
    </row>
    <row r="633" spans="1:56" x14ac:dyDescent="0.2">
      <c r="A633" s="27">
        <f t="shared" si="557"/>
        <v>629</v>
      </c>
      <c r="B633" s="28">
        <f t="shared" si="504"/>
        <v>629</v>
      </c>
      <c r="C633" s="27">
        <f t="shared" si="505"/>
        <v>52</v>
      </c>
      <c r="D633" s="28">
        <f t="shared" si="506"/>
        <v>72</v>
      </c>
      <c r="E633" s="29">
        <f t="shared" si="507"/>
        <v>0</v>
      </c>
      <c r="F633" s="30">
        <f t="shared" si="508"/>
        <v>6.7903997485787206E-3</v>
      </c>
      <c r="G633" s="31">
        <f t="shared" si="509"/>
        <v>5.6763545190119391E-4</v>
      </c>
      <c r="H633" s="32">
        <f t="shared" si="510"/>
        <v>0.02</v>
      </c>
      <c r="I633" s="32">
        <f t="shared" si="511"/>
        <v>0</v>
      </c>
      <c r="J633" s="33">
        <f t="shared" si="558"/>
        <v>0</v>
      </c>
      <c r="K633" s="30">
        <f t="shared" si="512"/>
        <v>0</v>
      </c>
      <c r="L633" s="33">
        <f t="shared" si="513"/>
        <v>0</v>
      </c>
      <c r="M633" s="30">
        <f t="shared" si="514"/>
        <v>0</v>
      </c>
      <c r="N633" s="33">
        <f t="shared" si="515"/>
        <v>0</v>
      </c>
      <c r="O633" s="31">
        <f t="shared" si="516"/>
        <v>0</v>
      </c>
      <c r="P633" s="33">
        <f t="shared" si="517"/>
        <v>0</v>
      </c>
      <c r="Q633" s="34">
        <f t="shared" si="559"/>
        <v>817050.391026414</v>
      </c>
      <c r="R633" s="29">
        <f t="shared" si="518"/>
        <v>0</v>
      </c>
      <c r="S633" s="34">
        <f t="shared" si="519"/>
        <v>817050.391026414</v>
      </c>
      <c r="T633" s="29">
        <f t="shared" si="520"/>
        <v>680.87532585534507</v>
      </c>
      <c r="U633" s="29">
        <f t="shared" si="521"/>
        <v>0</v>
      </c>
      <c r="V633" s="35">
        <f t="shared" si="522"/>
        <v>6.2439899709131334E-4</v>
      </c>
      <c r="W633" s="34">
        <f t="shared" si="523"/>
        <v>0</v>
      </c>
      <c r="X633" s="34">
        <f t="shared" si="524"/>
        <v>816369.51570055867</v>
      </c>
      <c r="Y633" s="36">
        <f t="shared" si="525"/>
        <v>4.1755354013066626E-3</v>
      </c>
      <c r="Z633" s="34">
        <f t="shared" si="526"/>
        <v>3408.7798133552578</v>
      </c>
      <c r="AA633" s="34">
        <f t="shared" si="527"/>
        <v>818073.90560723632</v>
      </c>
      <c r="AB633" s="34">
        <f t="shared" si="528"/>
        <v>0</v>
      </c>
      <c r="AC633" s="34">
        <f t="shared" si="529"/>
        <v>0</v>
      </c>
      <c r="AD633" s="34">
        <f t="shared" si="530"/>
        <v>0</v>
      </c>
      <c r="AE633" s="34">
        <f t="shared" si="531"/>
        <v>0</v>
      </c>
      <c r="AF633" s="34">
        <f t="shared" si="532"/>
        <v>0</v>
      </c>
      <c r="AG633" s="29">
        <f t="shared" si="533"/>
        <v>818073.90560723632</v>
      </c>
      <c r="AH633" s="34">
        <f t="shared" si="534"/>
        <v>0</v>
      </c>
      <c r="AI633" s="34">
        <f t="shared" si="535"/>
        <v>0</v>
      </c>
      <c r="AJ633" s="34">
        <f t="shared" si="536"/>
        <v>0</v>
      </c>
      <c r="AK633" s="34">
        <f t="shared" si="537"/>
        <v>0</v>
      </c>
      <c r="AL633" s="34">
        <f t="shared" si="538"/>
        <v>0</v>
      </c>
      <c r="AM633" s="34">
        <f t="shared" si="539"/>
        <v>0</v>
      </c>
      <c r="AN633" s="34">
        <f t="shared" si="540"/>
        <v>0</v>
      </c>
      <c r="AO633" s="34">
        <f t="shared" si="541"/>
        <v>0</v>
      </c>
      <c r="AP633" s="34">
        <f t="shared" si="542"/>
        <v>0</v>
      </c>
      <c r="AQ633" s="34">
        <f t="shared" si="543"/>
        <v>0</v>
      </c>
      <c r="AR633" s="34">
        <f t="shared" si="544"/>
        <v>0</v>
      </c>
      <c r="AS633" s="30">
        <f t="shared" si="545"/>
        <v>1.68465901030478</v>
      </c>
      <c r="AT633" s="29">
        <f t="shared" si="546"/>
        <v>0</v>
      </c>
      <c r="AU633" s="29">
        <f t="shared" si="547"/>
        <v>0</v>
      </c>
      <c r="AV633" s="34">
        <f t="shared" si="548"/>
        <v>0</v>
      </c>
      <c r="AW633" s="34">
        <f t="shared" si="549"/>
        <v>0</v>
      </c>
      <c r="AX633" s="29">
        <f t="shared" si="550"/>
        <v>0</v>
      </c>
      <c r="AY633" s="34">
        <f t="shared" si="551"/>
        <v>0</v>
      </c>
      <c r="AZ633" s="37">
        <f t="shared" si="552"/>
        <v>0</v>
      </c>
      <c r="BA633" s="37">
        <f t="shared" si="553"/>
        <v>0</v>
      </c>
      <c r="BB633" s="35">
        <f t="shared" si="554"/>
        <v>9.8877172213795994E-4</v>
      </c>
      <c r="BC633" s="31">
        <f t="shared" si="555"/>
        <v>0.53706822791736686</v>
      </c>
      <c r="BD633" s="34">
        <f t="shared" si="556"/>
        <v>0</v>
      </c>
    </row>
    <row r="634" spans="1:56" x14ac:dyDescent="0.2">
      <c r="A634" s="27">
        <f t="shared" si="557"/>
        <v>630</v>
      </c>
      <c r="B634" s="28">
        <f t="shared" si="504"/>
        <v>630</v>
      </c>
      <c r="C634" s="27">
        <f t="shared" si="505"/>
        <v>52</v>
      </c>
      <c r="D634" s="28">
        <f t="shared" si="506"/>
        <v>72</v>
      </c>
      <c r="E634" s="29">
        <f t="shared" si="507"/>
        <v>0</v>
      </c>
      <c r="F634" s="30">
        <f t="shared" si="508"/>
        <v>6.7903997485787206E-3</v>
      </c>
      <c r="G634" s="31">
        <f t="shared" si="509"/>
        <v>5.6763545190119391E-4</v>
      </c>
      <c r="H634" s="32">
        <f t="shared" si="510"/>
        <v>0.02</v>
      </c>
      <c r="I634" s="32">
        <f t="shared" si="511"/>
        <v>0</v>
      </c>
      <c r="J634" s="33">
        <f t="shared" si="558"/>
        <v>0</v>
      </c>
      <c r="K634" s="30">
        <f t="shared" si="512"/>
        <v>0</v>
      </c>
      <c r="L634" s="33">
        <f t="shared" si="513"/>
        <v>0</v>
      </c>
      <c r="M634" s="30">
        <f t="shared" si="514"/>
        <v>0</v>
      </c>
      <c r="N634" s="33">
        <f t="shared" si="515"/>
        <v>0</v>
      </c>
      <c r="O634" s="31">
        <f t="shared" si="516"/>
        <v>0</v>
      </c>
      <c r="P634" s="33">
        <f t="shared" si="517"/>
        <v>0</v>
      </c>
      <c r="Q634" s="34">
        <f t="shared" si="559"/>
        <v>819778.29551391397</v>
      </c>
      <c r="R634" s="29">
        <f t="shared" si="518"/>
        <v>0</v>
      </c>
      <c r="S634" s="34">
        <f t="shared" si="519"/>
        <v>819778.29551391397</v>
      </c>
      <c r="T634" s="29">
        <f t="shared" si="520"/>
        <v>683.14857959492838</v>
      </c>
      <c r="U634" s="29">
        <f t="shared" si="521"/>
        <v>0</v>
      </c>
      <c r="V634" s="35">
        <f t="shared" si="522"/>
        <v>6.2439899709131334E-4</v>
      </c>
      <c r="W634" s="34">
        <f t="shared" si="523"/>
        <v>0</v>
      </c>
      <c r="X634" s="34">
        <f t="shared" si="524"/>
        <v>819095.14693431905</v>
      </c>
      <c r="Y634" s="36">
        <f t="shared" si="525"/>
        <v>-2.3852489542471877E-3</v>
      </c>
      <c r="Z634" s="34">
        <f t="shared" si="526"/>
        <v>-1953.7458426540311</v>
      </c>
      <c r="AA634" s="34">
        <f t="shared" si="527"/>
        <v>818118.27401299204</v>
      </c>
      <c r="AB634" s="34">
        <f t="shared" si="528"/>
        <v>0</v>
      </c>
      <c r="AC634" s="34">
        <f t="shared" si="529"/>
        <v>0</v>
      </c>
      <c r="AD634" s="34">
        <f t="shared" si="530"/>
        <v>0</v>
      </c>
      <c r="AE634" s="34">
        <f t="shared" si="531"/>
        <v>0</v>
      </c>
      <c r="AF634" s="34">
        <f t="shared" si="532"/>
        <v>0</v>
      </c>
      <c r="AG634" s="29">
        <f t="shared" si="533"/>
        <v>818118.27401299204</v>
      </c>
      <c r="AH634" s="34">
        <f t="shared" si="534"/>
        <v>0</v>
      </c>
      <c r="AI634" s="34">
        <f t="shared" si="535"/>
        <v>0</v>
      </c>
      <c r="AJ634" s="34">
        <f t="shared" si="536"/>
        <v>0</v>
      </c>
      <c r="AK634" s="34">
        <f t="shared" si="537"/>
        <v>0</v>
      </c>
      <c r="AL634" s="34">
        <f t="shared" si="538"/>
        <v>0</v>
      </c>
      <c r="AM634" s="34">
        <f t="shared" si="539"/>
        <v>0</v>
      </c>
      <c r="AN634" s="34">
        <f t="shared" si="540"/>
        <v>0</v>
      </c>
      <c r="AO634" s="34">
        <f t="shared" si="541"/>
        <v>0</v>
      </c>
      <c r="AP634" s="34">
        <f t="shared" si="542"/>
        <v>0</v>
      </c>
      <c r="AQ634" s="34">
        <f t="shared" si="543"/>
        <v>0</v>
      </c>
      <c r="AR634" s="34">
        <f t="shared" si="544"/>
        <v>0</v>
      </c>
      <c r="AS634" s="30">
        <f t="shared" si="545"/>
        <v>1.686056499163505</v>
      </c>
      <c r="AT634" s="29">
        <f t="shared" si="546"/>
        <v>0</v>
      </c>
      <c r="AU634" s="29">
        <f t="shared" si="547"/>
        <v>0</v>
      </c>
      <c r="AV634" s="34">
        <f t="shared" si="548"/>
        <v>0</v>
      </c>
      <c r="AW634" s="34">
        <f t="shared" si="549"/>
        <v>0</v>
      </c>
      <c r="AX634" s="29">
        <f t="shared" si="550"/>
        <v>0</v>
      </c>
      <c r="AY634" s="34">
        <f t="shared" si="551"/>
        <v>0</v>
      </c>
      <c r="AZ634" s="37">
        <f t="shared" si="552"/>
        <v>0</v>
      </c>
      <c r="BA634" s="37">
        <f t="shared" si="553"/>
        <v>0</v>
      </c>
      <c r="BB634" s="35">
        <f t="shared" si="554"/>
        <v>9.8877172213795994E-4</v>
      </c>
      <c r="BC634" s="31">
        <f t="shared" si="555"/>
        <v>0.53653771459731259</v>
      </c>
      <c r="BD634" s="34">
        <f t="shared" si="556"/>
        <v>0</v>
      </c>
    </row>
    <row r="635" spans="1:56" x14ac:dyDescent="0.2">
      <c r="A635" s="27">
        <f t="shared" si="557"/>
        <v>631</v>
      </c>
      <c r="B635" s="28">
        <f t="shared" si="504"/>
        <v>631</v>
      </c>
      <c r="C635" s="27">
        <f t="shared" si="505"/>
        <v>52</v>
      </c>
      <c r="D635" s="28">
        <f t="shared" si="506"/>
        <v>72</v>
      </c>
      <c r="E635" s="29">
        <f t="shared" si="507"/>
        <v>0</v>
      </c>
      <c r="F635" s="30">
        <f t="shared" si="508"/>
        <v>6.7903997485787206E-3</v>
      </c>
      <c r="G635" s="31">
        <f t="shared" si="509"/>
        <v>5.6763545190119391E-4</v>
      </c>
      <c r="H635" s="32">
        <f t="shared" si="510"/>
        <v>0.02</v>
      </c>
      <c r="I635" s="32">
        <f t="shared" si="511"/>
        <v>0</v>
      </c>
      <c r="J635" s="33">
        <f t="shared" si="558"/>
        <v>0</v>
      </c>
      <c r="K635" s="30">
        <f t="shared" si="512"/>
        <v>0</v>
      </c>
      <c r="L635" s="33">
        <f t="shared" si="513"/>
        <v>0</v>
      </c>
      <c r="M635" s="30">
        <f t="shared" si="514"/>
        <v>0</v>
      </c>
      <c r="N635" s="33">
        <f t="shared" si="515"/>
        <v>0</v>
      </c>
      <c r="O635" s="31">
        <f t="shared" si="516"/>
        <v>0</v>
      </c>
      <c r="P635" s="33">
        <f t="shared" si="517"/>
        <v>0</v>
      </c>
      <c r="Q635" s="34">
        <f t="shared" si="559"/>
        <v>817141.40109166503</v>
      </c>
      <c r="R635" s="29">
        <f t="shared" si="518"/>
        <v>0</v>
      </c>
      <c r="S635" s="34">
        <f t="shared" si="519"/>
        <v>817141.40109166503</v>
      </c>
      <c r="T635" s="29">
        <f t="shared" si="520"/>
        <v>680.95116757638755</v>
      </c>
      <c r="U635" s="29">
        <f t="shared" si="521"/>
        <v>0</v>
      </c>
      <c r="V635" s="35">
        <f t="shared" si="522"/>
        <v>6.2439899709131334E-4</v>
      </c>
      <c r="W635" s="34">
        <f t="shared" si="523"/>
        <v>0</v>
      </c>
      <c r="X635" s="34">
        <f t="shared" si="524"/>
        <v>816460.44992408867</v>
      </c>
      <c r="Y635" s="36">
        <f t="shared" si="525"/>
        <v>1.1201404347752408E-2</v>
      </c>
      <c r="Z635" s="34">
        <f t="shared" si="526"/>
        <v>9145.5036335475743</v>
      </c>
      <c r="AA635" s="34">
        <f t="shared" si="527"/>
        <v>821033.20174086245</v>
      </c>
      <c r="AB635" s="34">
        <f t="shared" si="528"/>
        <v>0</v>
      </c>
      <c r="AC635" s="34">
        <f t="shared" si="529"/>
        <v>0</v>
      </c>
      <c r="AD635" s="34">
        <f t="shared" si="530"/>
        <v>0</v>
      </c>
      <c r="AE635" s="34">
        <f t="shared" si="531"/>
        <v>0</v>
      </c>
      <c r="AF635" s="34">
        <f t="shared" si="532"/>
        <v>0</v>
      </c>
      <c r="AG635" s="29">
        <f t="shared" si="533"/>
        <v>821033.20174086245</v>
      </c>
      <c r="AH635" s="34">
        <f t="shared" si="534"/>
        <v>0</v>
      </c>
      <c r="AI635" s="34">
        <f t="shared" si="535"/>
        <v>0</v>
      </c>
      <c r="AJ635" s="34">
        <f t="shared" si="536"/>
        <v>0</v>
      </c>
      <c r="AK635" s="34">
        <f t="shared" si="537"/>
        <v>0</v>
      </c>
      <c r="AL635" s="34">
        <f t="shared" si="538"/>
        <v>0</v>
      </c>
      <c r="AM635" s="34">
        <f t="shared" si="539"/>
        <v>0</v>
      </c>
      <c r="AN635" s="34">
        <f t="shared" si="540"/>
        <v>0</v>
      </c>
      <c r="AO635" s="34">
        <f t="shared" si="541"/>
        <v>0</v>
      </c>
      <c r="AP635" s="34">
        <f t="shared" si="542"/>
        <v>0</v>
      </c>
      <c r="AQ635" s="34">
        <f t="shared" si="543"/>
        <v>0</v>
      </c>
      <c r="AR635" s="34">
        <f t="shared" si="544"/>
        <v>0</v>
      </c>
      <c r="AS635" s="30">
        <f t="shared" si="545"/>
        <v>1.6874551472925021</v>
      </c>
      <c r="AT635" s="29">
        <f t="shared" si="546"/>
        <v>0</v>
      </c>
      <c r="AU635" s="29">
        <f t="shared" si="547"/>
        <v>0</v>
      </c>
      <c r="AV635" s="34">
        <f t="shared" si="548"/>
        <v>0</v>
      </c>
      <c r="AW635" s="34">
        <f t="shared" si="549"/>
        <v>0</v>
      </c>
      <c r="AX635" s="29">
        <f t="shared" si="550"/>
        <v>0</v>
      </c>
      <c r="AY635" s="34">
        <f t="shared" si="551"/>
        <v>0</v>
      </c>
      <c r="AZ635" s="37">
        <f t="shared" si="552"/>
        <v>0</v>
      </c>
      <c r="BA635" s="37">
        <f t="shared" si="553"/>
        <v>0</v>
      </c>
      <c r="BB635" s="35">
        <f t="shared" si="554"/>
        <v>9.8877172213795994E-4</v>
      </c>
      <c r="BC635" s="31">
        <f t="shared" si="555"/>
        <v>0.53600772531567298</v>
      </c>
      <c r="BD635" s="34">
        <f t="shared" si="556"/>
        <v>0</v>
      </c>
    </row>
    <row r="636" spans="1:56" x14ac:dyDescent="0.2">
      <c r="A636" s="27">
        <f t="shared" si="557"/>
        <v>632</v>
      </c>
      <c r="B636" s="28">
        <f t="shared" si="504"/>
        <v>632</v>
      </c>
      <c r="C636" s="27">
        <f t="shared" si="505"/>
        <v>52</v>
      </c>
      <c r="D636" s="28">
        <f t="shared" si="506"/>
        <v>72</v>
      </c>
      <c r="E636" s="29">
        <f t="shared" si="507"/>
        <v>0</v>
      </c>
      <c r="F636" s="30">
        <f t="shared" si="508"/>
        <v>6.7903997485787206E-3</v>
      </c>
      <c r="G636" s="31">
        <f t="shared" si="509"/>
        <v>5.6763545190119391E-4</v>
      </c>
      <c r="H636" s="32">
        <f t="shared" si="510"/>
        <v>0.02</v>
      </c>
      <c r="I636" s="32">
        <f t="shared" si="511"/>
        <v>0</v>
      </c>
      <c r="J636" s="33">
        <f t="shared" si="558"/>
        <v>0</v>
      </c>
      <c r="K636" s="30">
        <f t="shared" si="512"/>
        <v>0</v>
      </c>
      <c r="L636" s="33">
        <f t="shared" si="513"/>
        <v>0</v>
      </c>
      <c r="M636" s="30">
        <f t="shared" si="514"/>
        <v>0</v>
      </c>
      <c r="N636" s="33">
        <f t="shared" si="515"/>
        <v>0</v>
      </c>
      <c r="O636" s="31">
        <f t="shared" si="516"/>
        <v>0</v>
      </c>
      <c r="P636" s="33">
        <f t="shared" si="517"/>
        <v>0</v>
      </c>
      <c r="Q636" s="34">
        <f t="shared" si="559"/>
        <v>825605.95355763624</v>
      </c>
      <c r="R636" s="29">
        <f t="shared" si="518"/>
        <v>0</v>
      </c>
      <c r="S636" s="34">
        <f t="shared" si="519"/>
        <v>825605.95355763624</v>
      </c>
      <c r="T636" s="29">
        <f t="shared" si="520"/>
        <v>688.00496129803025</v>
      </c>
      <c r="U636" s="29">
        <f t="shared" si="521"/>
        <v>0</v>
      </c>
      <c r="V636" s="35">
        <f t="shared" si="522"/>
        <v>6.2439899709131334E-4</v>
      </c>
      <c r="W636" s="34">
        <f t="shared" si="523"/>
        <v>0</v>
      </c>
      <c r="X636" s="34">
        <f t="shared" si="524"/>
        <v>824917.94859633816</v>
      </c>
      <c r="Y636" s="36">
        <f t="shared" si="525"/>
        <v>-2.5809427409364538E-3</v>
      </c>
      <c r="Z636" s="34">
        <f t="shared" si="526"/>
        <v>-2129.0659912979099</v>
      </c>
      <c r="AA636" s="34">
        <f t="shared" si="527"/>
        <v>823853.41560068924</v>
      </c>
      <c r="AB636" s="34">
        <f t="shared" si="528"/>
        <v>0</v>
      </c>
      <c r="AC636" s="34">
        <f t="shared" si="529"/>
        <v>0</v>
      </c>
      <c r="AD636" s="34">
        <f t="shared" si="530"/>
        <v>0</v>
      </c>
      <c r="AE636" s="34">
        <f t="shared" si="531"/>
        <v>0</v>
      </c>
      <c r="AF636" s="34">
        <f t="shared" si="532"/>
        <v>0</v>
      </c>
      <c r="AG636" s="29">
        <f t="shared" si="533"/>
        <v>823853.41560068924</v>
      </c>
      <c r="AH636" s="34">
        <f t="shared" si="534"/>
        <v>0</v>
      </c>
      <c r="AI636" s="34">
        <f t="shared" si="535"/>
        <v>0</v>
      </c>
      <c r="AJ636" s="34">
        <f t="shared" si="536"/>
        <v>0</v>
      </c>
      <c r="AK636" s="34">
        <f t="shared" si="537"/>
        <v>0</v>
      </c>
      <c r="AL636" s="34">
        <f t="shared" si="538"/>
        <v>0</v>
      </c>
      <c r="AM636" s="34">
        <f t="shared" si="539"/>
        <v>0</v>
      </c>
      <c r="AN636" s="34">
        <f t="shared" si="540"/>
        <v>0</v>
      </c>
      <c r="AO636" s="34">
        <f t="shared" si="541"/>
        <v>0</v>
      </c>
      <c r="AP636" s="34">
        <f t="shared" si="542"/>
        <v>0</v>
      </c>
      <c r="AQ636" s="34">
        <f t="shared" si="543"/>
        <v>0</v>
      </c>
      <c r="AR636" s="34">
        <f t="shared" si="544"/>
        <v>0</v>
      </c>
      <c r="AS636" s="30">
        <f t="shared" si="545"/>
        <v>1.6888549556534309</v>
      </c>
      <c r="AT636" s="29">
        <f t="shared" si="546"/>
        <v>0</v>
      </c>
      <c r="AU636" s="29">
        <f t="shared" si="547"/>
        <v>0</v>
      </c>
      <c r="AV636" s="34">
        <f t="shared" si="548"/>
        <v>0</v>
      </c>
      <c r="AW636" s="34">
        <f t="shared" si="549"/>
        <v>0</v>
      </c>
      <c r="AX636" s="29">
        <f t="shared" si="550"/>
        <v>0</v>
      </c>
      <c r="AY636" s="34">
        <f t="shared" si="551"/>
        <v>0</v>
      </c>
      <c r="AZ636" s="37">
        <f t="shared" si="552"/>
        <v>0</v>
      </c>
      <c r="BA636" s="37">
        <f t="shared" si="553"/>
        <v>0</v>
      </c>
      <c r="BB636" s="35">
        <f t="shared" si="554"/>
        <v>9.8877172213795994E-4</v>
      </c>
      <c r="BC636" s="31">
        <f t="shared" si="555"/>
        <v>0.53547825955480566</v>
      </c>
      <c r="BD636" s="34">
        <f t="shared" si="556"/>
        <v>0</v>
      </c>
    </row>
    <row r="637" spans="1:56" x14ac:dyDescent="0.2">
      <c r="A637" s="27">
        <f t="shared" si="557"/>
        <v>633</v>
      </c>
      <c r="B637" s="28">
        <f t="shared" si="504"/>
        <v>633</v>
      </c>
      <c r="C637" s="27">
        <f t="shared" si="505"/>
        <v>52</v>
      </c>
      <c r="D637" s="28">
        <f t="shared" si="506"/>
        <v>72</v>
      </c>
      <c r="E637" s="29">
        <f t="shared" si="507"/>
        <v>0</v>
      </c>
      <c r="F637" s="30">
        <f t="shared" si="508"/>
        <v>6.7903997485787206E-3</v>
      </c>
      <c r="G637" s="31">
        <f t="shared" si="509"/>
        <v>5.6763545190119391E-4</v>
      </c>
      <c r="H637" s="32">
        <f t="shared" si="510"/>
        <v>0.02</v>
      </c>
      <c r="I637" s="32">
        <f t="shared" si="511"/>
        <v>0</v>
      </c>
      <c r="J637" s="33">
        <f t="shared" si="558"/>
        <v>0</v>
      </c>
      <c r="K637" s="30">
        <f t="shared" si="512"/>
        <v>0</v>
      </c>
      <c r="L637" s="33">
        <f t="shared" si="513"/>
        <v>0</v>
      </c>
      <c r="M637" s="30">
        <f t="shared" si="514"/>
        <v>0</v>
      </c>
      <c r="N637" s="33">
        <f t="shared" si="515"/>
        <v>0</v>
      </c>
      <c r="O637" s="31">
        <f t="shared" si="516"/>
        <v>0</v>
      </c>
      <c r="P637" s="33">
        <f t="shared" si="517"/>
        <v>0</v>
      </c>
      <c r="Q637" s="34">
        <f t="shared" si="559"/>
        <v>822788.88260504021</v>
      </c>
      <c r="R637" s="29">
        <f t="shared" si="518"/>
        <v>0</v>
      </c>
      <c r="S637" s="34">
        <f t="shared" si="519"/>
        <v>822788.88260504021</v>
      </c>
      <c r="T637" s="29">
        <f t="shared" si="520"/>
        <v>685.65740217086693</v>
      </c>
      <c r="U637" s="29">
        <f t="shared" si="521"/>
        <v>0</v>
      </c>
      <c r="V637" s="35">
        <f t="shared" si="522"/>
        <v>6.2439899709131334E-4</v>
      </c>
      <c r="W637" s="34">
        <f t="shared" si="523"/>
        <v>0</v>
      </c>
      <c r="X637" s="34">
        <f t="shared" si="524"/>
        <v>822103.22520286939</v>
      </c>
      <c r="Y637" s="36">
        <f t="shared" si="525"/>
        <v>4.493850456532833E-4</v>
      </c>
      <c r="Z637" s="34">
        <f t="shared" si="526"/>
        <v>369.44089538950288</v>
      </c>
      <c r="AA637" s="34">
        <f t="shared" si="527"/>
        <v>822287.94565056416</v>
      </c>
      <c r="AB637" s="34">
        <f t="shared" si="528"/>
        <v>0</v>
      </c>
      <c r="AC637" s="34">
        <f t="shared" si="529"/>
        <v>0</v>
      </c>
      <c r="AD637" s="34">
        <f t="shared" si="530"/>
        <v>0</v>
      </c>
      <c r="AE637" s="34">
        <f t="shared" si="531"/>
        <v>0</v>
      </c>
      <c r="AF637" s="34">
        <f t="shared" si="532"/>
        <v>0</v>
      </c>
      <c r="AG637" s="29">
        <f t="shared" si="533"/>
        <v>822287.94565056416</v>
      </c>
      <c r="AH637" s="34">
        <f t="shared" si="534"/>
        <v>0</v>
      </c>
      <c r="AI637" s="34">
        <f t="shared" si="535"/>
        <v>0</v>
      </c>
      <c r="AJ637" s="34">
        <f t="shared" si="536"/>
        <v>0</v>
      </c>
      <c r="AK637" s="34">
        <f t="shared" si="537"/>
        <v>0</v>
      </c>
      <c r="AL637" s="34">
        <f t="shared" si="538"/>
        <v>0</v>
      </c>
      <c r="AM637" s="34">
        <f t="shared" si="539"/>
        <v>0</v>
      </c>
      <c r="AN637" s="34">
        <f t="shared" si="540"/>
        <v>0</v>
      </c>
      <c r="AO637" s="34">
        <f t="shared" si="541"/>
        <v>0</v>
      </c>
      <c r="AP637" s="34">
        <f t="shared" si="542"/>
        <v>0</v>
      </c>
      <c r="AQ637" s="34">
        <f t="shared" si="543"/>
        <v>0</v>
      </c>
      <c r="AR637" s="34">
        <f t="shared" si="544"/>
        <v>0</v>
      </c>
      <c r="AS637" s="30">
        <f t="shared" si="545"/>
        <v>1.6902559252087479</v>
      </c>
      <c r="AT637" s="29">
        <f t="shared" si="546"/>
        <v>0</v>
      </c>
      <c r="AU637" s="29">
        <f t="shared" si="547"/>
        <v>0</v>
      </c>
      <c r="AV637" s="34">
        <f t="shared" si="548"/>
        <v>0</v>
      </c>
      <c r="AW637" s="34">
        <f t="shared" si="549"/>
        <v>0</v>
      </c>
      <c r="AX637" s="29">
        <f t="shared" si="550"/>
        <v>0</v>
      </c>
      <c r="AY637" s="34">
        <f t="shared" si="551"/>
        <v>0</v>
      </c>
      <c r="AZ637" s="37">
        <f t="shared" si="552"/>
        <v>0</v>
      </c>
      <c r="BA637" s="37">
        <f t="shared" si="553"/>
        <v>0</v>
      </c>
      <c r="BB637" s="35">
        <f t="shared" si="554"/>
        <v>9.8877172213795994E-4</v>
      </c>
      <c r="BC637" s="31">
        <f t="shared" si="555"/>
        <v>0.53494931679757918</v>
      </c>
      <c r="BD637" s="34">
        <f t="shared" si="556"/>
        <v>0</v>
      </c>
    </row>
    <row r="638" spans="1:56" x14ac:dyDescent="0.2">
      <c r="A638" s="27">
        <f t="shared" si="557"/>
        <v>634</v>
      </c>
      <c r="B638" s="28">
        <f t="shared" si="504"/>
        <v>634</v>
      </c>
      <c r="C638" s="27">
        <f t="shared" si="505"/>
        <v>52</v>
      </c>
      <c r="D638" s="28">
        <f t="shared" si="506"/>
        <v>72</v>
      </c>
      <c r="E638" s="29">
        <f t="shared" si="507"/>
        <v>0</v>
      </c>
      <c r="F638" s="30">
        <f t="shared" si="508"/>
        <v>6.7903997485787206E-3</v>
      </c>
      <c r="G638" s="31">
        <f t="shared" si="509"/>
        <v>5.6763545190119391E-4</v>
      </c>
      <c r="H638" s="32">
        <f t="shared" si="510"/>
        <v>0.02</v>
      </c>
      <c r="I638" s="32">
        <f t="shared" si="511"/>
        <v>0</v>
      </c>
      <c r="J638" s="33">
        <f t="shared" si="558"/>
        <v>0</v>
      </c>
      <c r="K638" s="30">
        <f t="shared" si="512"/>
        <v>0</v>
      </c>
      <c r="L638" s="33">
        <f t="shared" si="513"/>
        <v>0</v>
      </c>
      <c r="M638" s="30">
        <f t="shared" si="514"/>
        <v>0</v>
      </c>
      <c r="N638" s="33">
        <f t="shared" si="515"/>
        <v>0</v>
      </c>
      <c r="O638" s="31">
        <f t="shared" si="516"/>
        <v>0</v>
      </c>
      <c r="P638" s="33">
        <f t="shared" si="517"/>
        <v>0</v>
      </c>
      <c r="Q638" s="34">
        <f t="shared" si="559"/>
        <v>822472.66609825892</v>
      </c>
      <c r="R638" s="29">
        <f t="shared" si="518"/>
        <v>0</v>
      </c>
      <c r="S638" s="34">
        <f t="shared" si="519"/>
        <v>822472.66609825892</v>
      </c>
      <c r="T638" s="29">
        <f t="shared" si="520"/>
        <v>685.39388841521577</v>
      </c>
      <c r="U638" s="29">
        <f t="shared" si="521"/>
        <v>0</v>
      </c>
      <c r="V638" s="35">
        <f t="shared" si="522"/>
        <v>6.2439899709131334E-4</v>
      </c>
      <c r="W638" s="34">
        <f t="shared" si="523"/>
        <v>0</v>
      </c>
      <c r="X638" s="34">
        <f t="shared" si="524"/>
        <v>821787.27220984374</v>
      </c>
      <c r="Y638" s="36">
        <f t="shared" si="525"/>
        <v>1.6672626996503404E-2</v>
      </c>
      <c r="Z638" s="34">
        <f t="shared" si="526"/>
        <v>13701.352660028731</v>
      </c>
      <c r="AA638" s="34">
        <f t="shared" si="527"/>
        <v>828637.9485398581</v>
      </c>
      <c r="AB638" s="34">
        <f t="shared" si="528"/>
        <v>0</v>
      </c>
      <c r="AC638" s="34">
        <f t="shared" si="529"/>
        <v>0</v>
      </c>
      <c r="AD638" s="34">
        <f t="shared" si="530"/>
        <v>0</v>
      </c>
      <c r="AE638" s="34">
        <f t="shared" si="531"/>
        <v>0</v>
      </c>
      <c r="AF638" s="34">
        <f t="shared" si="532"/>
        <v>0</v>
      </c>
      <c r="AG638" s="29">
        <f t="shared" si="533"/>
        <v>828637.9485398581</v>
      </c>
      <c r="AH638" s="34">
        <f t="shared" si="534"/>
        <v>0</v>
      </c>
      <c r="AI638" s="34">
        <f t="shared" si="535"/>
        <v>0</v>
      </c>
      <c r="AJ638" s="34">
        <f t="shared" si="536"/>
        <v>0</v>
      </c>
      <c r="AK638" s="34">
        <f t="shared" si="537"/>
        <v>0</v>
      </c>
      <c r="AL638" s="34">
        <f t="shared" si="538"/>
        <v>0</v>
      </c>
      <c r="AM638" s="34">
        <f t="shared" si="539"/>
        <v>0</v>
      </c>
      <c r="AN638" s="34">
        <f t="shared" si="540"/>
        <v>0</v>
      </c>
      <c r="AO638" s="34">
        <f t="shared" si="541"/>
        <v>0</v>
      </c>
      <c r="AP638" s="34">
        <f t="shared" si="542"/>
        <v>0</v>
      </c>
      <c r="AQ638" s="34">
        <f t="shared" si="543"/>
        <v>0</v>
      </c>
      <c r="AR638" s="34">
        <f t="shared" si="544"/>
        <v>0</v>
      </c>
      <c r="AS638" s="30">
        <f t="shared" si="545"/>
        <v>1.6916580569217083</v>
      </c>
      <c r="AT638" s="29">
        <f t="shared" si="546"/>
        <v>0</v>
      </c>
      <c r="AU638" s="29">
        <f t="shared" si="547"/>
        <v>0</v>
      </c>
      <c r="AV638" s="34">
        <f t="shared" si="548"/>
        <v>0</v>
      </c>
      <c r="AW638" s="34">
        <f t="shared" si="549"/>
        <v>0</v>
      </c>
      <c r="AX638" s="29">
        <f t="shared" si="550"/>
        <v>0</v>
      </c>
      <c r="AY638" s="34">
        <f t="shared" si="551"/>
        <v>0</v>
      </c>
      <c r="AZ638" s="37">
        <f t="shared" si="552"/>
        <v>0</v>
      </c>
      <c r="BA638" s="37">
        <f t="shared" si="553"/>
        <v>0</v>
      </c>
      <c r="BB638" s="35">
        <f t="shared" si="554"/>
        <v>9.8877172213795994E-4</v>
      </c>
      <c r="BC638" s="31">
        <f t="shared" si="555"/>
        <v>0.53442089652737323</v>
      </c>
      <c r="BD638" s="34">
        <f t="shared" si="556"/>
        <v>0</v>
      </c>
    </row>
    <row r="639" spans="1:56" x14ac:dyDescent="0.2">
      <c r="A639" s="27">
        <f t="shared" si="557"/>
        <v>635</v>
      </c>
      <c r="B639" s="28">
        <f t="shared" si="504"/>
        <v>635</v>
      </c>
      <c r="C639" s="27">
        <f t="shared" si="505"/>
        <v>52</v>
      </c>
      <c r="D639" s="28">
        <f t="shared" si="506"/>
        <v>72</v>
      </c>
      <c r="E639" s="29">
        <f t="shared" si="507"/>
        <v>0</v>
      </c>
      <c r="F639" s="30">
        <f t="shared" si="508"/>
        <v>6.7903997485787206E-3</v>
      </c>
      <c r="G639" s="31">
        <f t="shared" si="509"/>
        <v>5.6763545190119391E-4</v>
      </c>
      <c r="H639" s="32">
        <f t="shared" si="510"/>
        <v>0.02</v>
      </c>
      <c r="I639" s="32">
        <f t="shared" si="511"/>
        <v>0</v>
      </c>
      <c r="J639" s="33">
        <f t="shared" si="558"/>
        <v>0</v>
      </c>
      <c r="K639" s="30">
        <f t="shared" si="512"/>
        <v>0</v>
      </c>
      <c r="L639" s="33">
        <f t="shared" si="513"/>
        <v>0</v>
      </c>
      <c r="M639" s="30">
        <f t="shared" si="514"/>
        <v>0</v>
      </c>
      <c r="N639" s="33">
        <f t="shared" si="515"/>
        <v>0</v>
      </c>
      <c r="O639" s="31">
        <f t="shared" si="516"/>
        <v>0</v>
      </c>
      <c r="P639" s="33">
        <f t="shared" si="517"/>
        <v>0</v>
      </c>
      <c r="Q639" s="34">
        <f t="shared" si="559"/>
        <v>835488.62486987247</v>
      </c>
      <c r="R639" s="29">
        <f t="shared" si="518"/>
        <v>0</v>
      </c>
      <c r="S639" s="34">
        <f t="shared" si="519"/>
        <v>835488.62486987247</v>
      </c>
      <c r="T639" s="29">
        <f t="shared" si="520"/>
        <v>696.24052072489371</v>
      </c>
      <c r="U639" s="29">
        <f t="shared" si="521"/>
        <v>0</v>
      </c>
      <c r="V639" s="35">
        <f t="shared" si="522"/>
        <v>6.2439899709131334E-4</v>
      </c>
      <c r="W639" s="34">
        <f t="shared" si="523"/>
        <v>0</v>
      </c>
      <c r="X639" s="34">
        <f t="shared" si="524"/>
        <v>834792.38434914756</v>
      </c>
      <c r="Y639" s="36">
        <f t="shared" si="525"/>
        <v>7.3083381068435038E-3</v>
      </c>
      <c r="Z639" s="34">
        <f t="shared" si="526"/>
        <v>6100.9449938416237</v>
      </c>
      <c r="AA639" s="34">
        <f t="shared" si="527"/>
        <v>837842.8568460684</v>
      </c>
      <c r="AB639" s="34">
        <f t="shared" si="528"/>
        <v>0</v>
      </c>
      <c r="AC639" s="34">
        <f t="shared" si="529"/>
        <v>0</v>
      </c>
      <c r="AD639" s="34">
        <f t="shared" si="530"/>
        <v>0</v>
      </c>
      <c r="AE639" s="34">
        <f t="shared" si="531"/>
        <v>0</v>
      </c>
      <c r="AF639" s="34">
        <f t="shared" si="532"/>
        <v>0</v>
      </c>
      <c r="AG639" s="29">
        <f t="shared" si="533"/>
        <v>837842.8568460684</v>
      </c>
      <c r="AH639" s="34">
        <f t="shared" si="534"/>
        <v>0</v>
      </c>
      <c r="AI639" s="34">
        <f t="shared" si="535"/>
        <v>0</v>
      </c>
      <c r="AJ639" s="34">
        <f t="shared" si="536"/>
        <v>0</v>
      </c>
      <c r="AK639" s="34">
        <f t="shared" si="537"/>
        <v>0</v>
      </c>
      <c r="AL639" s="34">
        <f t="shared" si="538"/>
        <v>0</v>
      </c>
      <c r="AM639" s="34">
        <f t="shared" si="539"/>
        <v>0</v>
      </c>
      <c r="AN639" s="34">
        <f t="shared" si="540"/>
        <v>0</v>
      </c>
      <c r="AO639" s="34">
        <f t="shared" si="541"/>
        <v>0</v>
      </c>
      <c r="AP639" s="34">
        <f t="shared" si="542"/>
        <v>0</v>
      </c>
      <c r="AQ639" s="34">
        <f t="shared" si="543"/>
        <v>0</v>
      </c>
      <c r="AR639" s="34">
        <f t="shared" si="544"/>
        <v>0</v>
      </c>
      <c r="AS639" s="30">
        <f t="shared" si="545"/>
        <v>1.6930613517563657</v>
      </c>
      <c r="AT639" s="29">
        <f t="shared" si="546"/>
        <v>0</v>
      </c>
      <c r="AU639" s="29">
        <f t="shared" si="547"/>
        <v>0</v>
      </c>
      <c r="AV639" s="34">
        <f t="shared" si="548"/>
        <v>0</v>
      </c>
      <c r="AW639" s="34">
        <f t="shared" si="549"/>
        <v>0</v>
      </c>
      <c r="AX639" s="29">
        <f t="shared" si="550"/>
        <v>0</v>
      </c>
      <c r="AY639" s="34">
        <f t="shared" si="551"/>
        <v>0</v>
      </c>
      <c r="AZ639" s="37">
        <f t="shared" si="552"/>
        <v>0</v>
      </c>
      <c r="BA639" s="37">
        <f t="shared" si="553"/>
        <v>0</v>
      </c>
      <c r="BB639" s="35">
        <f t="shared" si="554"/>
        <v>9.8877172213795994E-4</v>
      </c>
      <c r="BC639" s="31">
        <f t="shared" si="555"/>
        <v>0.53389299822807801</v>
      </c>
      <c r="BD639" s="34">
        <f t="shared" si="556"/>
        <v>0</v>
      </c>
    </row>
    <row r="640" spans="1:56" x14ac:dyDescent="0.2">
      <c r="A640" s="27">
        <f t="shared" si="557"/>
        <v>636</v>
      </c>
      <c r="B640" s="28">
        <f t="shared" si="504"/>
        <v>636</v>
      </c>
      <c r="C640" s="27">
        <f t="shared" si="505"/>
        <v>53</v>
      </c>
      <c r="D640" s="28">
        <f t="shared" si="506"/>
        <v>73</v>
      </c>
      <c r="E640" s="29">
        <f t="shared" si="507"/>
        <v>0</v>
      </c>
      <c r="F640" s="30">
        <f t="shared" si="508"/>
        <v>7.4590808818493009E-3</v>
      </c>
      <c r="G640" s="31">
        <f t="shared" si="509"/>
        <v>6.2372531411392096E-4</v>
      </c>
      <c r="H640" s="32">
        <f t="shared" si="510"/>
        <v>0.02</v>
      </c>
      <c r="I640" s="32">
        <f t="shared" si="511"/>
        <v>0</v>
      </c>
      <c r="J640" s="33">
        <f t="shared" si="558"/>
        <v>0</v>
      </c>
      <c r="K640" s="30">
        <f t="shared" si="512"/>
        <v>0</v>
      </c>
      <c r="L640" s="33">
        <f t="shared" si="513"/>
        <v>0</v>
      </c>
      <c r="M640" s="30">
        <f t="shared" si="514"/>
        <v>0</v>
      </c>
      <c r="N640" s="33">
        <f t="shared" si="515"/>
        <v>0</v>
      </c>
      <c r="O640" s="31">
        <f t="shared" si="516"/>
        <v>0</v>
      </c>
      <c r="P640" s="33">
        <f t="shared" si="517"/>
        <v>0</v>
      </c>
      <c r="Q640" s="34">
        <f t="shared" si="559"/>
        <v>840893.32934298913</v>
      </c>
      <c r="R640" s="29">
        <f t="shared" si="518"/>
        <v>0</v>
      </c>
      <c r="S640" s="34">
        <f t="shared" si="519"/>
        <v>840893.32934298913</v>
      </c>
      <c r="T640" s="29">
        <f t="shared" si="520"/>
        <v>700.74444111915761</v>
      </c>
      <c r="U640" s="29">
        <f t="shared" si="521"/>
        <v>0</v>
      </c>
      <c r="V640" s="35">
        <f t="shared" si="522"/>
        <v>6.8609784552531316E-4</v>
      </c>
      <c r="W640" s="34">
        <f t="shared" si="523"/>
        <v>0</v>
      </c>
      <c r="X640" s="34">
        <f t="shared" si="524"/>
        <v>840192.58490187</v>
      </c>
      <c r="Y640" s="36">
        <f t="shared" si="525"/>
        <v>-2.0322239691340505E-3</v>
      </c>
      <c r="Z640" s="34">
        <f t="shared" si="526"/>
        <v>-1707.4595097262759</v>
      </c>
      <c r="AA640" s="34">
        <f t="shared" si="527"/>
        <v>839338.85514700681</v>
      </c>
      <c r="AB640" s="34">
        <f t="shared" si="528"/>
        <v>0</v>
      </c>
      <c r="AC640" s="34">
        <f t="shared" si="529"/>
        <v>0</v>
      </c>
      <c r="AD640" s="34">
        <f t="shared" si="530"/>
        <v>0</v>
      </c>
      <c r="AE640" s="34">
        <f t="shared" si="531"/>
        <v>0</v>
      </c>
      <c r="AF640" s="34">
        <f t="shared" si="532"/>
        <v>0</v>
      </c>
      <c r="AG640" s="29">
        <f t="shared" si="533"/>
        <v>839338.85514700681</v>
      </c>
      <c r="AH640" s="34">
        <f t="shared" si="534"/>
        <v>0</v>
      </c>
      <c r="AI640" s="34">
        <f t="shared" si="535"/>
        <v>0</v>
      </c>
      <c r="AJ640" s="34">
        <f t="shared" si="536"/>
        <v>0</v>
      </c>
      <c r="AK640" s="34">
        <f t="shared" si="537"/>
        <v>0</v>
      </c>
      <c r="AL640" s="34">
        <f t="shared" si="538"/>
        <v>0</v>
      </c>
      <c r="AM640" s="34">
        <f t="shared" si="539"/>
        <v>0</v>
      </c>
      <c r="AN640" s="34">
        <f t="shared" si="540"/>
        <v>0</v>
      </c>
      <c r="AO640" s="34">
        <f t="shared" si="541"/>
        <v>0</v>
      </c>
      <c r="AP640" s="34">
        <f t="shared" si="542"/>
        <v>0</v>
      </c>
      <c r="AQ640" s="34">
        <f t="shared" si="543"/>
        <v>0</v>
      </c>
      <c r="AR640" s="34">
        <f t="shared" si="544"/>
        <v>0</v>
      </c>
      <c r="AS640" s="30">
        <f t="shared" si="545"/>
        <v>1.6944658106775741</v>
      </c>
      <c r="AT640" s="29">
        <f t="shared" si="546"/>
        <v>0</v>
      </c>
      <c r="AU640" s="29">
        <f t="shared" si="547"/>
        <v>0</v>
      </c>
      <c r="AV640" s="34">
        <f t="shared" si="548"/>
        <v>0</v>
      </c>
      <c r="AW640" s="34">
        <f t="shared" si="549"/>
        <v>0</v>
      </c>
      <c r="AX640" s="29">
        <f t="shared" si="550"/>
        <v>0</v>
      </c>
      <c r="AY640" s="34">
        <f t="shared" si="551"/>
        <v>0</v>
      </c>
      <c r="AZ640" s="37">
        <f t="shared" si="552"/>
        <v>0</v>
      </c>
      <c r="BA640" s="37">
        <f t="shared" si="553"/>
        <v>0</v>
      </c>
      <c r="BB640" s="35">
        <f t="shared" si="554"/>
        <v>1.0069050242886846E-3</v>
      </c>
      <c r="BC640" s="31">
        <f t="shared" si="555"/>
        <v>0.52725582860930742</v>
      </c>
      <c r="BD640" s="34">
        <f t="shared" si="556"/>
        <v>0</v>
      </c>
    </row>
    <row r="641" spans="1:56" x14ac:dyDescent="0.2">
      <c r="A641" s="27">
        <f t="shared" si="557"/>
        <v>637</v>
      </c>
      <c r="B641" s="28">
        <f t="shared" si="504"/>
        <v>637</v>
      </c>
      <c r="C641" s="27">
        <f t="shared" si="505"/>
        <v>53</v>
      </c>
      <c r="D641" s="28">
        <f t="shared" si="506"/>
        <v>73</v>
      </c>
      <c r="E641" s="29">
        <f t="shared" si="507"/>
        <v>0</v>
      </c>
      <c r="F641" s="30">
        <f t="shared" si="508"/>
        <v>7.4590808818493009E-3</v>
      </c>
      <c r="G641" s="31">
        <f t="shared" si="509"/>
        <v>6.2372531411392096E-4</v>
      </c>
      <c r="H641" s="32">
        <f t="shared" si="510"/>
        <v>0.02</v>
      </c>
      <c r="I641" s="32">
        <f t="shared" si="511"/>
        <v>0</v>
      </c>
      <c r="J641" s="33">
        <f t="shared" si="558"/>
        <v>0</v>
      </c>
      <c r="K641" s="30">
        <f t="shared" si="512"/>
        <v>0</v>
      </c>
      <c r="L641" s="33">
        <f t="shared" si="513"/>
        <v>0</v>
      </c>
      <c r="M641" s="30">
        <f t="shared" si="514"/>
        <v>0</v>
      </c>
      <c r="N641" s="33">
        <f t="shared" si="515"/>
        <v>0</v>
      </c>
      <c r="O641" s="31">
        <f t="shared" si="516"/>
        <v>0</v>
      </c>
      <c r="P641" s="33">
        <f t="shared" si="517"/>
        <v>0</v>
      </c>
      <c r="Q641" s="34">
        <f t="shared" si="559"/>
        <v>838485.12539214373</v>
      </c>
      <c r="R641" s="29">
        <f t="shared" si="518"/>
        <v>0</v>
      </c>
      <c r="S641" s="34">
        <f t="shared" si="519"/>
        <v>838485.12539214373</v>
      </c>
      <c r="T641" s="29">
        <f t="shared" si="520"/>
        <v>698.7376044934532</v>
      </c>
      <c r="U641" s="29">
        <f t="shared" si="521"/>
        <v>0</v>
      </c>
      <c r="V641" s="35">
        <f t="shared" si="522"/>
        <v>6.8609784552531316E-4</v>
      </c>
      <c r="W641" s="34">
        <f t="shared" si="523"/>
        <v>0</v>
      </c>
      <c r="X641" s="34">
        <f t="shared" si="524"/>
        <v>837786.38778765022</v>
      </c>
      <c r="Y641" s="36">
        <f t="shared" si="525"/>
        <v>1.9728806308219049E-2</v>
      </c>
      <c r="Z641" s="34">
        <f t="shared" si="526"/>
        <v>16528.525372325043</v>
      </c>
      <c r="AA641" s="34">
        <f t="shared" si="527"/>
        <v>846050.65047381271</v>
      </c>
      <c r="AB641" s="34">
        <f t="shared" si="528"/>
        <v>0</v>
      </c>
      <c r="AC641" s="34">
        <f t="shared" si="529"/>
        <v>0</v>
      </c>
      <c r="AD641" s="34">
        <f t="shared" si="530"/>
        <v>0</v>
      </c>
      <c r="AE641" s="34">
        <f t="shared" si="531"/>
        <v>0</v>
      </c>
      <c r="AF641" s="34">
        <f t="shared" si="532"/>
        <v>0</v>
      </c>
      <c r="AG641" s="29">
        <f t="shared" si="533"/>
        <v>846050.65047381271</v>
      </c>
      <c r="AH641" s="34">
        <f t="shared" si="534"/>
        <v>0</v>
      </c>
      <c r="AI641" s="34">
        <f t="shared" si="535"/>
        <v>0</v>
      </c>
      <c r="AJ641" s="34">
        <f t="shared" si="536"/>
        <v>0</v>
      </c>
      <c r="AK641" s="34">
        <f t="shared" si="537"/>
        <v>0</v>
      </c>
      <c r="AL641" s="34">
        <f t="shared" si="538"/>
        <v>0</v>
      </c>
      <c r="AM641" s="34">
        <f t="shared" si="539"/>
        <v>0</v>
      </c>
      <c r="AN641" s="34">
        <f t="shared" si="540"/>
        <v>0</v>
      </c>
      <c r="AO641" s="34">
        <f t="shared" si="541"/>
        <v>0</v>
      </c>
      <c r="AP641" s="34">
        <f t="shared" si="542"/>
        <v>0</v>
      </c>
      <c r="AQ641" s="34">
        <f t="shared" si="543"/>
        <v>0</v>
      </c>
      <c r="AR641" s="34">
        <f t="shared" si="544"/>
        <v>0</v>
      </c>
      <c r="AS641" s="30">
        <f t="shared" si="545"/>
        <v>1.6958714346509878</v>
      </c>
      <c r="AT641" s="29">
        <f t="shared" si="546"/>
        <v>0</v>
      </c>
      <c r="AU641" s="29">
        <f t="shared" si="547"/>
        <v>0</v>
      </c>
      <c r="AV641" s="34">
        <f t="shared" si="548"/>
        <v>0</v>
      </c>
      <c r="AW641" s="34">
        <f t="shared" si="549"/>
        <v>0</v>
      </c>
      <c r="AX641" s="29">
        <f t="shared" si="550"/>
        <v>0</v>
      </c>
      <c r="AY641" s="34">
        <f t="shared" si="551"/>
        <v>0</v>
      </c>
      <c r="AZ641" s="37">
        <f t="shared" si="552"/>
        <v>0</v>
      </c>
      <c r="BA641" s="37">
        <f t="shared" si="553"/>
        <v>0</v>
      </c>
      <c r="BB641" s="35">
        <f t="shared" si="554"/>
        <v>1.0069050242886846E-3</v>
      </c>
      <c r="BC641" s="31">
        <f t="shared" si="555"/>
        <v>0.52672546609107951</v>
      </c>
      <c r="BD641" s="34">
        <f t="shared" si="556"/>
        <v>0</v>
      </c>
    </row>
    <row r="642" spans="1:56" x14ac:dyDescent="0.2">
      <c r="A642" s="27">
        <f t="shared" si="557"/>
        <v>638</v>
      </c>
      <c r="B642" s="28">
        <f t="shared" si="504"/>
        <v>638</v>
      </c>
      <c r="C642" s="27">
        <f t="shared" si="505"/>
        <v>53</v>
      </c>
      <c r="D642" s="28">
        <f t="shared" si="506"/>
        <v>73</v>
      </c>
      <c r="E642" s="29">
        <f t="shared" si="507"/>
        <v>0</v>
      </c>
      <c r="F642" s="30">
        <f t="shared" si="508"/>
        <v>7.4590808818493009E-3</v>
      </c>
      <c r="G642" s="31">
        <f t="shared" si="509"/>
        <v>6.2372531411392096E-4</v>
      </c>
      <c r="H642" s="32">
        <f t="shared" si="510"/>
        <v>0.02</v>
      </c>
      <c r="I642" s="32">
        <f t="shared" si="511"/>
        <v>0</v>
      </c>
      <c r="J642" s="33">
        <f t="shared" si="558"/>
        <v>0</v>
      </c>
      <c r="K642" s="30">
        <f t="shared" si="512"/>
        <v>0</v>
      </c>
      <c r="L642" s="33">
        <f t="shared" si="513"/>
        <v>0</v>
      </c>
      <c r="M642" s="30">
        <f t="shared" si="514"/>
        <v>0</v>
      </c>
      <c r="N642" s="33">
        <f t="shared" si="515"/>
        <v>0</v>
      </c>
      <c r="O642" s="31">
        <f t="shared" si="516"/>
        <v>0</v>
      </c>
      <c r="P642" s="33">
        <f t="shared" si="517"/>
        <v>0</v>
      </c>
      <c r="Q642" s="34">
        <f t="shared" si="559"/>
        <v>854314.91315997532</v>
      </c>
      <c r="R642" s="29">
        <f t="shared" si="518"/>
        <v>0</v>
      </c>
      <c r="S642" s="34">
        <f t="shared" si="519"/>
        <v>854314.91315997532</v>
      </c>
      <c r="T642" s="29">
        <f t="shared" si="520"/>
        <v>711.92909429997951</v>
      </c>
      <c r="U642" s="29">
        <f t="shared" si="521"/>
        <v>0</v>
      </c>
      <c r="V642" s="35">
        <f t="shared" si="522"/>
        <v>6.8609784552531316E-4</v>
      </c>
      <c r="W642" s="34">
        <f t="shared" si="523"/>
        <v>0</v>
      </c>
      <c r="X642" s="34">
        <f t="shared" si="524"/>
        <v>853602.98406567529</v>
      </c>
      <c r="Y642" s="36">
        <f t="shared" si="525"/>
        <v>8.8774546322840653E-3</v>
      </c>
      <c r="Z642" s="34">
        <f t="shared" si="526"/>
        <v>7577.82176502533</v>
      </c>
      <c r="AA642" s="34">
        <f t="shared" si="527"/>
        <v>857391.89494818798</v>
      </c>
      <c r="AB642" s="34">
        <f t="shared" si="528"/>
        <v>0</v>
      </c>
      <c r="AC642" s="34">
        <f t="shared" si="529"/>
        <v>0</v>
      </c>
      <c r="AD642" s="34">
        <f t="shared" si="530"/>
        <v>0</v>
      </c>
      <c r="AE642" s="34">
        <f t="shared" si="531"/>
        <v>0</v>
      </c>
      <c r="AF642" s="34">
        <f t="shared" si="532"/>
        <v>0</v>
      </c>
      <c r="AG642" s="29">
        <f t="shared" si="533"/>
        <v>857391.89494818798</v>
      </c>
      <c r="AH642" s="34">
        <f t="shared" si="534"/>
        <v>0</v>
      </c>
      <c r="AI642" s="34">
        <f t="shared" si="535"/>
        <v>0</v>
      </c>
      <c r="AJ642" s="34">
        <f t="shared" si="536"/>
        <v>0</v>
      </c>
      <c r="AK642" s="34">
        <f t="shared" si="537"/>
        <v>0</v>
      </c>
      <c r="AL642" s="34">
        <f t="shared" si="538"/>
        <v>0</v>
      </c>
      <c r="AM642" s="34">
        <f t="shared" si="539"/>
        <v>0</v>
      </c>
      <c r="AN642" s="34">
        <f t="shared" si="540"/>
        <v>0</v>
      </c>
      <c r="AO642" s="34">
        <f t="shared" si="541"/>
        <v>0</v>
      </c>
      <c r="AP642" s="34">
        <f t="shared" si="542"/>
        <v>0</v>
      </c>
      <c r="AQ642" s="34">
        <f t="shared" si="543"/>
        <v>0</v>
      </c>
      <c r="AR642" s="34">
        <f t="shared" si="544"/>
        <v>0</v>
      </c>
      <c r="AS642" s="30">
        <f t="shared" si="545"/>
        <v>1.6972782246430618</v>
      </c>
      <c r="AT642" s="29">
        <f t="shared" si="546"/>
        <v>0</v>
      </c>
      <c r="AU642" s="29">
        <f t="shared" si="547"/>
        <v>0</v>
      </c>
      <c r="AV642" s="34">
        <f t="shared" si="548"/>
        <v>0</v>
      </c>
      <c r="AW642" s="34">
        <f t="shared" si="549"/>
        <v>0</v>
      </c>
      <c r="AX642" s="29">
        <f t="shared" si="550"/>
        <v>0</v>
      </c>
      <c r="AY642" s="34">
        <f t="shared" si="551"/>
        <v>0</v>
      </c>
      <c r="AZ642" s="37">
        <f t="shared" si="552"/>
        <v>0</v>
      </c>
      <c r="BA642" s="37">
        <f t="shared" si="553"/>
        <v>0</v>
      </c>
      <c r="BB642" s="35">
        <f t="shared" si="554"/>
        <v>1.0069050242886846E-3</v>
      </c>
      <c r="BC642" s="31">
        <f t="shared" si="555"/>
        <v>0.52619563706036454</v>
      </c>
      <c r="BD642" s="34">
        <f t="shared" si="556"/>
        <v>0</v>
      </c>
    </row>
    <row r="643" spans="1:56" x14ac:dyDescent="0.2">
      <c r="A643" s="27">
        <f t="shared" si="557"/>
        <v>639</v>
      </c>
      <c r="B643" s="28">
        <f t="shared" si="504"/>
        <v>639</v>
      </c>
      <c r="C643" s="27">
        <f t="shared" si="505"/>
        <v>53</v>
      </c>
      <c r="D643" s="28">
        <f t="shared" si="506"/>
        <v>73</v>
      </c>
      <c r="E643" s="29">
        <f t="shared" si="507"/>
        <v>0</v>
      </c>
      <c r="F643" s="30">
        <f t="shared" si="508"/>
        <v>7.4590808818493009E-3</v>
      </c>
      <c r="G643" s="31">
        <f t="shared" si="509"/>
        <v>6.2372531411392096E-4</v>
      </c>
      <c r="H643" s="32">
        <f t="shared" si="510"/>
        <v>0.02</v>
      </c>
      <c r="I643" s="32">
        <f t="shared" si="511"/>
        <v>0</v>
      </c>
      <c r="J643" s="33">
        <f t="shared" si="558"/>
        <v>0</v>
      </c>
      <c r="K643" s="30">
        <f t="shared" si="512"/>
        <v>0</v>
      </c>
      <c r="L643" s="33">
        <f t="shared" si="513"/>
        <v>0</v>
      </c>
      <c r="M643" s="30">
        <f t="shared" si="514"/>
        <v>0</v>
      </c>
      <c r="N643" s="33">
        <f t="shared" si="515"/>
        <v>0</v>
      </c>
      <c r="O643" s="31">
        <f t="shared" si="516"/>
        <v>0</v>
      </c>
      <c r="P643" s="33">
        <f t="shared" si="517"/>
        <v>0</v>
      </c>
      <c r="Q643" s="34">
        <f t="shared" si="559"/>
        <v>861180.80583070067</v>
      </c>
      <c r="R643" s="29">
        <f t="shared" si="518"/>
        <v>0</v>
      </c>
      <c r="S643" s="34">
        <f t="shared" si="519"/>
        <v>861180.80583070067</v>
      </c>
      <c r="T643" s="29">
        <f t="shared" si="520"/>
        <v>717.6506715255839</v>
      </c>
      <c r="U643" s="29">
        <f t="shared" si="521"/>
        <v>0</v>
      </c>
      <c r="V643" s="35">
        <f t="shared" si="522"/>
        <v>6.8609784552531316E-4</v>
      </c>
      <c r="W643" s="34">
        <f t="shared" si="523"/>
        <v>0</v>
      </c>
      <c r="X643" s="34">
        <f t="shared" si="524"/>
        <v>860463.15515917505</v>
      </c>
      <c r="Y643" s="36">
        <f t="shared" si="525"/>
        <v>1.6265858909707553E-3</v>
      </c>
      <c r="Z643" s="34">
        <f t="shared" si="526"/>
        <v>1399.6172278820941</v>
      </c>
      <c r="AA643" s="34">
        <f t="shared" si="527"/>
        <v>861162.96377311612</v>
      </c>
      <c r="AB643" s="34">
        <f t="shared" si="528"/>
        <v>0</v>
      </c>
      <c r="AC643" s="34">
        <f t="shared" si="529"/>
        <v>0</v>
      </c>
      <c r="AD643" s="34">
        <f t="shared" si="530"/>
        <v>0</v>
      </c>
      <c r="AE643" s="34">
        <f t="shared" si="531"/>
        <v>0</v>
      </c>
      <c r="AF643" s="34">
        <f t="shared" si="532"/>
        <v>0</v>
      </c>
      <c r="AG643" s="29">
        <f t="shared" si="533"/>
        <v>861162.96377311612</v>
      </c>
      <c r="AH643" s="34">
        <f t="shared" si="534"/>
        <v>0</v>
      </c>
      <c r="AI643" s="34">
        <f t="shared" si="535"/>
        <v>0</v>
      </c>
      <c r="AJ643" s="34">
        <f t="shared" si="536"/>
        <v>0</v>
      </c>
      <c r="AK643" s="34">
        <f t="shared" si="537"/>
        <v>0</v>
      </c>
      <c r="AL643" s="34">
        <f t="shared" si="538"/>
        <v>0</v>
      </c>
      <c r="AM643" s="34">
        <f t="shared" si="539"/>
        <v>0</v>
      </c>
      <c r="AN643" s="34">
        <f t="shared" si="540"/>
        <v>0</v>
      </c>
      <c r="AO643" s="34">
        <f t="shared" si="541"/>
        <v>0</v>
      </c>
      <c r="AP643" s="34">
        <f t="shared" si="542"/>
        <v>0</v>
      </c>
      <c r="AQ643" s="34">
        <f t="shared" si="543"/>
        <v>0</v>
      </c>
      <c r="AR643" s="34">
        <f t="shared" si="544"/>
        <v>0</v>
      </c>
      <c r="AS643" s="30">
        <f t="shared" si="545"/>
        <v>1.6986861816210532</v>
      </c>
      <c r="AT643" s="29">
        <f t="shared" si="546"/>
        <v>0</v>
      </c>
      <c r="AU643" s="29">
        <f t="shared" si="547"/>
        <v>0</v>
      </c>
      <c r="AV643" s="34">
        <f t="shared" si="548"/>
        <v>0</v>
      </c>
      <c r="AW643" s="34">
        <f t="shared" si="549"/>
        <v>0</v>
      </c>
      <c r="AX643" s="29">
        <f t="shared" si="550"/>
        <v>0</v>
      </c>
      <c r="AY643" s="34">
        <f t="shared" si="551"/>
        <v>0</v>
      </c>
      <c r="AZ643" s="37">
        <f t="shared" si="552"/>
        <v>0</v>
      </c>
      <c r="BA643" s="37">
        <f t="shared" si="553"/>
        <v>0</v>
      </c>
      <c r="BB643" s="35">
        <f t="shared" si="554"/>
        <v>1.0069050242886846E-3</v>
      </c>
      <c r="BC643" s="31">
        <f t="shared" si="555"/>
        <v>0.52566634098053178</v>
      </c>
      <c r="BD643" s="34">
        <f t="shared" si="556"/>
        <v>0</v>
      </c>
    </row>
    <row r="644" spans="1:56" x14ac:dyDescent="0.2">
      <c r="A644" s="27">
        <f t="shared" si="557"/>
        <v>640</v>
      </c>
      <c r="B644" s="28">
        <f t="shared" ref="B644:B707" si="560">Duration0+A644</f>
        <v>640</v>
      </c>
      <c r="C644" s="27">
        <f t="shared" ref="C644:C707" si="561">INT(B644/12)</f>
        <v>53</v>
      </c>
      <c r="D644" s="28">
        <f t="shared" ref="D644:D707" si="562">AgeAtEntry+C644</f>
        <v>73</v>
      </c>
      <c r="E644" s="29">
        <f t="shared" ref="E644:E707" si="563">IF(PremiumType="SINGLE",IF(B644=0,PremiumPPInput,0),IF(B644&lt;12*PolicyTerm,PremiumPPInput,0))</f>
        <v>0</v>
      </c>
      <c r="F644" s="30">
        <f t="shared" ref="F644:F707" si="564">INDEX(MortRates,MATCH(MIN(D644,120),MortAges,0),MAX(MIN(C644,5),0)+1)</f>
        <v>7.4590808818493009E-3</v>
      </c>
      <c r="G644" s="31">
        <f t="shared" ref="G644:G707" si="565">1-(1-F644)^(1/12)</f>
        <v>6.2372531411392096E-4</v>
      </c>
      <c r="H644" s="32">
        <f t="shared" ref="H644:H707" si="566">MAX(LapseBase-LapseStep*C644,LapseFloor)</f>
        <v>0.02</v>
      </c>
      <c r="I644" s="32">
        <f t="shared" ref="I644:I707" si="567">IF(HasSurrCharge,INDEX(SurrRates,MIN(C644,SurrDurMax)+1,MATCH(SurrChargeID,SurrTypes,0)),0)</f>
        <v>0</v>
      </c>
      <c r="J644" s="33">
        <f t="shared" si="558"/>
        <v>0</v>
      </c>
      <c r="K644" s="30">
        <f t="shared" ref="K644:K707" si="568">IF(B644=12*PolicyTerm,J644,0)</f>
        <v>0</v>
      </c>
      <c r="L644" s="33">
        <f t="shared" ref="L644:L707" si="569">J644-K644</f>
        <v>0</v>
      </c>
      <c r="M644" s="30">
        <f t="shared" ref="M644:M707" si="570">IF(B644=0,PolicyCount,0)</f>
        <v>0</v>
      </c>
      <c r="N644" s="33">
        <f t="shared" ref="N644:N707" si="571">L644+M644</f>
        <v>0</v>
      </c>
      <c r="O644" s="31">
        <f t="shared" ref="O644:O707" si="572">N644*G644</f>
        <v>0</v>
      </c>
      <c r="P644" s="33">
        <f t="shared" ref="P644:P707" si="573">(N644-O644)*(1-(1-H644)^(1/12))</f>
        <v>0</v>
      </c>
      <c r="Q644" s="34">
        <f t="shared" si="559"/>
        <v>861862.77238705719</v>
      </c>
      <c r="R644" s="29">
        <f t="shared" ref="R644:R707" si="574">(1-LoadPremRate)*E644</f>
        <v>0</v>
      </c>
      <c r="S644" s="34">
        <f t="shared" ref="S644:S707" si="575">Q644+R644</f>
        <v>861862.77238705719</v>
      </c>
      <c r="T644" s="29">
        <f t="shared" ref="T644:T707" si="576">MaintFeeRateAnn/12*S644</f>
        <v>718.21897698921441</v>
      </c>
      <c r="U644" s="29">
        <f t="shared" ref="U644:U707" si="577">MAX(SumAssured-S644,0)</f>
        <v>0</v>
      </c>
      <c r="V644" s="35">
        <f t="shared" ref="V644:V707" si="578">CoiMultiple*G644</f>
        <v>6.8609784552531316E-4</v>
      </c>
      <c r="W644" s="34">
        <f t="shared" ref="W644:W707" si="579">V644*U644</f>
        <v>0</v>
      </c>
      <c r="X644" s="34">
        <f t="shared" ref="X644:X707" si="580">S644-T644-W644</f>
        <v>861144.55341006792</v>
      </c>
      <c r="Y644" s="36">
        <f t="shared" ref="Y644:Y707" si="581">EXP((Mu-0.5*Sigma^2)/12+Sigma*SQRT(1/12)*INDEX(NormRand,ScenID,A644+1))-1</f>
        <v>-8.243439657801277E-4</v>
      </c>
      <c r="Z644" s="34">
        <f t="shared" ref="Z644:Z707" si="582">Y644*X644</f>
        <v>-709.87931626801242</v>
      </c>
      <c r="AA644" s="34">
        <f t="shared" ref="AA644:AA707" si="583">X644+0.5*Z644</f>
        <v>860789.61375193391</v>
      </c>
      <c r="AB644" s="34">
        <f t="shared" ref="AB644:AB707" si="584">Q644*J644</f>
        <v>0</v>
      </c>
      <c r="AC644" s="34">
        <f t="shared" ref="AC644:AC707" si="585">Q644*L644</f>
        <v>0</v>
      </c>
      <c r="AD644" s="34">
        <f t="shared" ref="AD644:AD707" si="586">S644*N644</f>
        <v>0</v>
      </c>
      <c r="AE644" s="34">
        <f t="shared" ref="AE644:AE707" si="587">E644*N644</f>
        <v>0</v>
      </c>
      <c r="AF644" s="34">
        <f t="shared" ref="AF644:AF707" si="588">R644*N644</f>
        <v>0</v>
      </c>
      <c r="AG644" s="29">
        <f t="shared" ref="AG644:AG707" si="589">MAX(SumAssured,AA644)</f>
        <v>860789.61375193391</v>
      </c>
      <c r="AH644" s="34">
        <f t="shared" ref="AH644:AH707" si="590">AG644*O644</f>
        <v>0</v>
      </c>
      <c r="AI644" s="34">
        <f t="shared" ref="AI644:AI707" si="591">AA644*O644</f>
        <v>0</v>
      </c>
      <c r="AJ644" s="34">
        <f t="shared" ref="AJ644:AJ707" si="592">AA644*P644</f>
        <v>0</v>
      </c>
      <c r="AK644" s="34">
        <f t="shared" ref="AK644:AK707" si="593">I644*AA644*P644</f>
        <v>0</v>
      </c>
      <c r="AL644" s="34">
        <f t="shared" ref="AL644:AL707" si="594">AJ644-AK644</f>
        <v>0</v>
      </c>
      <c r="AM644" s="34">
        <f t="shared" ref="AM644:AM707" si="595">Q644*K644</f>
        <v>0</v>
      </c>
      <c r="AN644" s="34">
        <f t="shared" ref="AN644:AN707" si="596">AH644+AL644+AM644</f>
        <v>0</v>
      </c>
      <c r="AO644" s="34">
        <f t="shared" ref="AO644:AO707" si="597">(AG644-AA644)*O644</f>
        <v>0</v>
      </c>
      <c r="AP644" s="34">
        <f t="shared" ref="AP644:AP707" si="598">W644*N644</f>
        <v>0</v>
      </c>
      <c r="AQ644" s="34">
        <f t="shared" ref="AQ644:AQ707" si="599">T644*N644</f>
        <v>0</v>
      </c>
      <c r="AR644" s="34">
        <f t="shared" ref="AR644:AR707" si="600">Z644*J645+0.5*Z644*(O644+P644)</f>
        <v>0</v>
      </c>
      <c r="AS644" s="30">
        <f t="shared" ref="AS644:AS707" si="601">(1+InflationRate)^(A644/12)</f>
        <v>1.7000953065530211</v>
      </c>
      <c r="AT644" s="29">
        <f t="shared" ref="AT644:AT707" si="602">ExpenseAcq*M644+N644*ExpenseMaint/12*AS644</f>
        <v>0</v>
      </c>
      <c r="AU644" s="29">
        <f t="shared" ref="AU644:AU707" si="603">CommissionRate*AE644</f>
        <v>0</v>
      </c>
      <c r="AV644" s="34">
        <f t="shared" ref="AV644:AV707" si="604">AB645-AB644</f>
        <v>0</v>
      </c>
      <c r="AW644" s="34">
        <f t="shared" ref="AW644:AW707" si="605">AE644+AR644-AN644-AT644-AU644-AV644</f>
        <v>0</v>
      </c>
      <c r="AX644" s="29">
        <f t="shared" ref="AX644:AX707" si="606">LoadPremRate*E644*N644+AK644+AQ644-AU644-AT644</f>
        <v>0</v>
      </c>
      <c r="AY644" s="34">
        <f t="shared" ref="AY644:AY707" si="607">AP644-AO644</f>
        <v>0</v>
      </c>
      <c r="AZ644" s="37">
        <f t="shared" ref="AZ644:AZ707" si="608">(AW644-AX644-AY644)/MAX(1,ABS(AW644),ABS(AX644),ABS(AY644))</f>
        <v>0</v>
      </c>
      <c r="BA644" s="37">
        <f t="shared" ref="BA644:BA707" si="609">IF(OR(K644&gt;0,K645&gt;0),0,(AC645-(AC644+AF644-AQ644-AP644+AR644-AI644-AJ644-AM644))/MAX(1,ABS(AC644),ABS(AC645)))</f>
        <v>0</v>
      </c>
      <c r="BB644" s="35">
        <f t="shared" ref="BB644:BB707" si="610">(1+INDEX(DiscRateAnn,INT(A644/12)+1))^(1/12)-1</f>
        <v>1.0069050242886846E-3</v>
      </c>
      <c r="BC644" s="31">
        <f t="shared" ref="BC644:BC707" si="611">(1+BB644)^-A644</f>
        <v>0.52513757731549005</v>
      </c>
      <c r="BD644" s="34">
        <f t="shared" ref="BD644:BD707" si="612">AW644*BC644</f>
        <v>0</v>
      </c>
    </row>
    <row r="645" spans="1:56" x14ac:dyDescent="0.2">
      <c r="A645" s="27">
        <f t="shared" ref="A645:A708" si="613">A644+1</f>
        <v>641</v>
      </c>
      <c r="B645" s="28">
        <f t="shared" si="560"/>
        <v>641</v>
      </c>
      <c r="C645" s="27">
        <f t="shared" si="561"/>
        <v>53</v>
      </c>
      <c r="D645" s="28">
        <f t="shared" si="562"/>
        <v>73</v>
      </c>
      <c r="E645" s="29">
        <f t="shared" si="563"/>
        <v>0</v>
      </c>
      <c r="F645" s="30">
        <f t="shared" si="564"/>
        <v>7.4590808818493009E-3</v>
      </c>
      <c r="G645" s="31">
        <f t="shared" si="565"/>
        <v>6.2372531411392096E-4</v>
      </c>
      <c r="H645" s="32">
        <f t="shared" si="566"/>
        <v>0.02</v>
      </c>
      <c r="I645" s="32">
        <f t="shared" si="567"/>
        <v>0</v>
      </c>
      <c r="J645" s="33">
        <f t="shared" ref="J645:J708" si="614">N644-P644-O644</f>
        <v>0</v>
      </c>
      <c r="K645" s="30">
        <f t="shared" si="568"/>
        <v>0</v>
      </c>
      <c r="L645" s="33">
        <f t="shared" si="569"/>
        <v>0</v>
      </c>
      <c r="M645" s="30">
        <f t="shared" si="570"/>
        <v>0</v>
      </c>
      <c r="N645" s="33">
        <f t="shared" si="571"/>
        <v>0</v>
      </c>
      <c r="O645" s="31">
        <f t="shared" si="572"/>
        <v>0</v>
      </c>
      <c r="P645" s="33">
        <f t="shared" si="573"/>
        <v>0</v>
      </c>
      <c r="Q645" s="34">
        <f t="shared" ref="Q645:Q708" si="615">X644+Z644</f>
        <v>860434.6740937999</v>
      </c>
      <c r="R645" s="29">
        <f t="shared" si="574"/>
        <v>0</v>
      </c>
      <c r="S645" s="34">
        <f t="shared" si="575"/>
        <v>860434.6740937999</v>
      </c>
      <c r="T645" s="29">
        <f t="shared" si="576"/>
        <v>717.02889507816667</v>
      </c>
      <c r="U645" s="29">
        <f t="shared" si="577"/>
        <v>0</v>
      </c>
      <c r="V645" s="35">
        <f t="shared" si="578"/>
        <v>6.8609784552531316E-4</v>
      </c>
      <c r="W645" s="34">
        <f t="shared" si="579"/>
        <v>0</v>
      </c>
      <c r="X645" s="34">
        <f t="shared" si="580"/>
        <v>859717.64519872179</v>
      </c>
      <c r="Y645" s="36">
        <f t="shared" si="581"/>
        <v>5.9832408609605814E-4</v>
      </c>
      <c r="Z645" s="34">
        <f t="shared" si="582"/>
        <v>514.38977436418043</v>
      </c>
      <c r="AA645" s="34">
        <f t="shared" si="583"/>
        <v>859974.84008590388</v>
      </c>
      <c r="AB645" s="34">
        <f t="shared" si="584"/>
        <v>0</v>
      </c>
      <c r="AC645" s="34">
        <f t="shared" si="585"/>
        <v>0</v>
      </c>
      <c r="AD645" s="34">
        <f t="shared" si="586"/>
        <v>0</v>
      </c>
      <c r="AE645" s="34">
        <f t="shared" si="587"/>
        <v>0</v>
      </c>
      <c r="AF645" s="34">
        <f t="shared" si="588"/>
        <v>0</v>
      </c>
      <c r="AG645" s="29">
        <f t="shared" si="589"/>
        <v>859974.84008590388</v>
      </c>
      <c r="AH645" s="34">
        <f t="shared" si="590"/>
        <v>0</v>
      </c>
      <c r="AI645" s="34">
        <f t="shared" si="591"/>
        <v>0</v>
      </c>
      <c r="AJ645" s="34">
        <f t="shared" si="592"/>
        <v>0</v>
      </c>
      <c r="AK645" s="34">
        <f t="shared" si="593"/>
        <v>0</v>
      </c>
      <c r="AL645" s="34">
        <f t="shared" si="594"/>
        <v>0</v>
      </c>
      <c r="AM645" s="34">
        <f t="shared" si="595"/>
        <v>0</v>
      </c>
      <c r="AN645" s="34">
        <f t="shared" si="596"/>
        <v>0</v>
      </c>
      <c r="AO645" s="34">
        <f t="shared" si="597"/>
        <v>0</v>
      </c>
      <c r="AP645" s="34">
        <f t="shared" si="598"/>
        <v>0</v>
      </c>
      <c r="AQ645" s="34">
        <f t="shared" si="599"/>
        <v>0</v>
      </c>
      <c r="AR645" s="34">
        <f t="shared" si="600"/>
        <v>0</v>
      </c>
      <c r="AS645" s="30">
        <f t="shared" si="601"/>
        <v>1.7015056004078279</v>
      </c>
      <c r="AT645" s="29">
        <f t="shared" si="602"/>
        <v>0</v>
      </c>
      <c r="AU645" s="29">
        <f t="shared" si="603"/>
        <v>0</v>
      </c>
      <c r="AV645" s="34">
        <f t="shared" si="604"/>
        <v>0</v>
      </c>
      <c r="AW645" s="34">
        <f t="shared" si="605"/>
        <v>0</v>
      </c>
      <c r="AX645" s="29">
        <f t="shared" si="606"/>
        <v>0</v>
      </c>
      <c r="AY645" s="34">
        <f t="shared" si="607"/>
        <v>0</v>
      </c>
      <c r="AZ645" s="37">
        <f t="shared" si="608"/>
        <v>0</v>
      </c>
      <c r="BA645" s="37">
        <f t="shared" si="609"/>
        <v>0</v>
      </c>
      <c r="BB645" s="35">
        <f t="shared" si="610"/>
        <v>1.0069050242886846E-3</v>
      </c>
      <c r="BC645" s="31">
        <f t="shared" si="611"/>
        <v>0.5246093455296873</v>
      </c>
      <c r="BD645" s="34">
        <f t="shared" si="612"/>
        <v>0</v>
      </c>
    </row>
    <row r="646" spans="1:56" x14ac:dyDescent="0.2">
      <c r="A646" s="27">
        <f t="shared" si="613"/>
        <v>642</v>
      </c>
      <c r="B646" s="28">
        <f t="shared" si="560"/>
        <v>642</v>
      </c>
      <c r="C646" s="27">
        <f t="shared" si="561"/>
        <v>53</v>
      </c>
      <c r="D646" s="28">
        <f t="shared" si="562"/>
        <v>73</v>
      </c>
      <c r="E646" s="29">
        <f t="shared" si="563"/>
        <v>0</v>
      </c>
      <c r="F646" s="30">
        <f t="shared" si="564"/>
        <v>7.4590808818493009E-3</v>
      </c>
      <c r="G646" s="31">
        <f t="shared" si="565"/>
        <v>6.2372531411392096E-4</v>
      </c>
      <c r="H646" s="32">
        <f t="shared" si="566"/>
        <v>0.02</v>
      </c>
      <c r="I646" s="32">
        <f t="shared" si="567"/>
        <v>0</v>
      </c>
      <c r="J646" s="33">
        <f t="shared" si="614"/>
        <v>0</v>
      </c>
      <c r="K646" s="30">
        <f t="shared" si="568"/>
        <v>0</v>
      </c>
      <c r="L646" s="33">
        <f t="shared" si="569"/>
        <v>0</v>
      </c>
      <c r="M646" s="30">
        <f t="shared" si="570"/>
        <v>0</v>
      </c>
      <c r="N646" s="33">
        <f t="shared" si="571"/>
        <v>0</v>
      </c>
      <c r="O646" s="31">
        <f t="shared" si="572"/>
        <v>0</v>
      </c>
      <c r="P646" s="33">
        <f t="shared" si="573"/>
        <v>0</v>
      </c>
      <c r="Q646" s="34">
        <f t="shared" si="615"/>
        <v>860232.03497308597</v>
      </c>
      <c r="R646" s="29">
        <f t="shared" si="574"/>
        <v>0</v>
      </c>
      <c r="S646" s="34">
        <f t="shared" si="575"/>
        <v>860232.03497308597</v>
      </c>
      <c r="T646" s="29">
        <f t="shared" si="576"/>
        <v>716.86002914423841</v>
      </c>
      <c r="U646" s="29">
        <f t="shared" si="577"/>
        <v>0</v>
      </c>
      <c r="V646" s="35">
        <f t="shared" si="578"/>
        <v>6.8609784552531316E-4</v>
      </c>
      <c r="W646" s="34">
        <f t="shared" si="579"/>
        <v>0</v>
      </c>
      <c r="X646" s="34">
        <f t="shared" si="580"/>
        <v>859515.17494394176</v>
      </c>
      <c r="Y646" s="36">
        <f t="shared" si="581"/>
        <v>5.1737186278260072E-3</v>
      </c>
      <c r="Z646" s="34">
        <f t="shared" si="582"/>
        <v>4446.8896715066012</v>
      </c>
      <c r="AA646" s="34">
        <f t="shared" si="583"/>
        <v>861738.61977969506</v>
      </c>
      <c r="AB646" s="34">
        <f t="shared" si="584"/>
        <v>0</v>
      </c>
      <c r="AC646" s="34">
        <f t="shared" si="585"/>
        <v>0</v>
      </c>
      <c r="AD646" s="34">
        <f t="shared" si="586"/>
        <v>0</v>
      </c>
      <c r="AE646" s="34">
        <f t="shared" si="587"/>
        <v>0</v>
      </c>
      <c r="AF646" s="34">
        <f t="shared" si="588"/>
        <v>0</v>
      </c>
      <c r="AG646" s="29">
        <f t="shared" si="589"/>
        <v>861738.61977969506</v>
      </c>
      <c r="AH646" s="34">
        <f t="shared" si="590"/>
        <v>0</v>
      </c>
      <c r="AI646" s="34">
        <f t="shared" si="591"/>
        <v>0</v>
      </c>
      <c r="AJ646" s="34">
        <f t="shared" si="592"/>
        <v>0</v>
      </c>
      <c r="AK646" s="34">
        <f t="shared" si="593"/>
        <v>0</v>
      </c>
      <c r="AL646" s="34">
        <f t="shared" si="594"/>
        <v>0</v>
      </c>
      <c r="AM646" s="34">
        <f t="shared" si="595"/>
        <v>0</v>
      </c>
      <c r="AN646" s="34">
        <f t="shared" si="596"/>
        <v>0</v>
      </c>
      <c r="AO646" s="34">
        <f t="shared" si="597"/>
        <v>0</v>
      </c>
      <c r="AP646" s="34">
        <f t="shared" si="598"/>
        <v>0</v>
      </c>
      <c r="AQ646" s="34">
        <f t="shared" si="599"/>
        <v>0</v>
      </c>
      <c r="AR646" s="34">
        <f t="shared" si="600"/>
        <v>0</v>
      </c>
      <c r="AS646" s="30">
        <f t="shared" si="601"/>
        <v>1.7029170641551399</v>
      </c>
      <c r="AT646" s="29">
        <f t="shared" si="602"/>
        <v>0</v>
      </c>
      <c r="AU646" s="29">
        <f t="shared" si="603"/>
        <v>0</v>
      </c>
      <c r="AV646" s="34">
        <f t="shared" si="604"/>
        <v>0</v>
      </c>
      <c r="AW646" s="34">
        <f t="shared" si="605"/>
        <v>0</v>
      </c>
      <c r="AX646" s="29">
        <f t="shared" si="606"/>
        <v>0</v>
      </c>
      <c r="AY646" s="34">
        <f t="shared" si="607"/>
        <v>0</v>
      </c>
      <c r="AZ646" s="37">
        <f t="shared" si="608"/>
        <v>0</v>
      </c>
      <c r="BA646" s="37">
        <f t="shared" si="609"/>
        <v>0</v>
      </c>
      <c r="BB646" s="35">
        <f t="shared" si="610"/>
        <v>1.0069050242886846E-3</v>
      </c>
      <c r="BC646" s="31">
        <f t="shared" si="611"/>
        <v>0.52408164508811061</v>
      </c>
      <c r="BD646" s="34">
        <f t="shared" si="612"/>
        <v>0</v>
      </c>
    </row>
    <row r="647" spans="1:56" x14ac:dyDescent="0.2">
      <c r="A647" s="27">
        <f t="shared" si="613"/>
        <v>643</v>
      </c>
      <c r="B647" s="28">
        <f t="shared" si="560"/>
        <v>643</v>
      </c>
      <c r="C647" s="27">
        <f t="shared" si="561"/>
        <v>53</v>
      </c>
      <c r="D647" s="28">
        <f t="shared" si="562"/>
        <v>73</v>
      </c>
      <c r="E647" s="29">
        <f t="shared" si="563"/>
        <v>0</v>
      </c>
      <c r="F647" s="30">
        <f t="shared" si="564"/>
        <v>7.4590808818493009E-3</v>
      </c>
      <c r="G647" s="31">
        <f t="shared" si="565"/>
        <v>6.2372531411392096E-4</v>
      </c>
      <c r="H647" s="32">
        <f t="shared" si="566"/>
        <v>0.02</v>
      </c>
      <c r="I647" s="32">
        <f t="shared" si="567"/>
        <v>0</v>
      </c>
      <c r="J647" s="33">
        <f t="shared" si="614"/>
        <v>0</v>
      </c>
      <c r="K647" s="30">
        <f t="shared" si="568"/>
        <v>0</v>
      </c>
      <c r="L647" s="33">
        <f t="shared" si="569"/>
        <v>0</v>
      </c>
      <c r="M647" s="30">
        <f t="shared" si="570"/>
        <v>0</v>
      </c>
      <c r="N647" s="33">
        <f t="shared" si="571"/>
        <v>0</v>
      </c>
      <c r="O647" s="31">
        <f t="shared" si="572"/>
        <v>0</v>
      </c>
      <c r="P647" s="33">
        <f t="shared" si="573"/>
        <v>0</v>
      </c>
      <c r="Q647" s="34">
        <f t="shared" si="615"/>
        <v>863962.06461544835</v>
      </c>
      <c r="R647" s="29">
        <f t="shared" si="574"/>
        <v>0</v>
      </c>
      <c r="S647" s="34">
        <f t="shared" si="575"/>
        <v>863962.06461544835</v>
      </c>
      <c r="T647" s="29">
        <f t="shared" si="576"/>
        <v>719.96838717954029</v>
      </c>
      <c r="U647" s="29">
        <f t="shared" si="577"/>
        <v>0</v>
      </c>
      <c r="V647" s="35">
        <f t="shared" si="578"/>
        <v>6.8609784552531316E-4</v>
      </c>
      <c r="W647" s="34">
        <f t="shared" si="579"/>
        <v>0</v>
      </c>
      <c r="X647" s="34">
        <f t="shared" si="580"/>
        <v>863242.09622826881</v>
      </c>
      <c r="Y647" s="36">
        <f t="shared" si="581"/>
        <v>5.509874847306806E-3</v>
      </c>
      <c r="Z647" s="34">
        <f t="shared" si="582"/>
        <v>4756.35591314454</v>
      </c>
      <c r="AA647" s="34">
        <f t="shared" si="583"/>
        <v>865620.27418484108</v>
      </c>
      <c r="AB647" s="34">
        <f t="shared" si="584"/>
        <v>0</v>
      </c>
      <c r="AC647" s="34">
        <f t="shared" si="585"/>
        <v>0</v>
      </c>
      <c r="AD647" s="34">
        <f t="shared" si="586"/>
        <v>0</v>
      </c>
      <c r="AE647" s="34">
        <f t="shared" si="587"/>
        <v>0</v>
      </c>
      <c r="AF647" s="34">
        <f t="shared" si="588"/>
        <v>0</v>
      </c>
      <c r="AG647" s="29">
        <f t="shared" si="589"/>
        <v>865620.27418484108</v>
      </c>
      <c r="AH647" s="34">
        <f t="shared" si="590"/>
        <v>0</v>
      </c>
      <c r="AI647" s="34">
        <f t="shared" si="591"/>
        <v>0</v>
      </c>
      <c r="AJ647" s="34">
        <f t="shared" si="592"/>
        <v>0</v>
      </c>
      <c r="AK647" s="34">
        <f t="shared" si="593"/>
        <v>0</v>
      </c>
      <c r="AL647" s="34">
        <f t="shared" si="594"/>
        <v>0</v>
      </c>
      <c r="AM647" s="34">
        <f t="shared" si="595"/>
        <v>0</v>
      </c>
      <c r="AN647" s="34">
        <f t="shared" si="596"/>
        <v>0</v>
      </c>
      <c r="AO647" s="34">
        <f t="shared" si="597"/>
        <v>0</v>
      </c>
      <c r="AP647" s="34">
        <f t="shared" si="598"/>
        <v>0</v>
      </c>
      <c r="AQ647" s="34">
        <f t="shared" si="599"/>
        <v>0</v>
      </c>
      <c r="AR647" s="34">
        <f t="shared" si="600"/>
        <v>0</v>
      </c>
      <c r="AS647" s="30">
        <f t="shared" si="601"/>
        <v>1.7043296987654271</v>
      </c>
      <c r="AT647" s="29">
        <f t="shared" si="602"/>
        <v>0</v>
      </c>
      <c r="AU647" s="29">
        <f t="shared" si="603"/>
        <v>0</v>
      </c>
      <c r="AV647" s="34">
        <f t="shared" si="604"/>
        <v>0</v>
      </c>
      <c r="AW647" s="34">
        <f t="shared" si="605"/>
        <v>0</v>
      </c>
      <c r="AX647" s="29">
        <f t="shared" si="606"/>
        <v>0</v>
      </c>
      <c r="AY647" s="34">
        <f t="shared" si="607"/>
        <v>0</v>
      </c>
      <c r="AZ647" s="37">
        <f t="shared" si="608"/>
        <v>0</v>
      </c>
      <c r="BA647" s="37">
        <f t="shared" si="609"/>
        <v>0</v>
      </c>
      <c r="BB647" s="35">
        <f t="shared" si="610"/>
        <v>1.0069050242886846E-3</v>
      </c>
      <c r="BC647" s="31">
        <f t="shared" si="611"/>
        <v>0.52355447545628486</v>
      </c>
      <c r="BD647" s="34">
        <f t="shared" si="612"/>
        <v>0</v>
      </c>
    </row>
    <row r="648" spans="1:56" x14ac:dyDescent="0.2">
      <c r="A648" s="27">
        <f t="shared" si="613"/>
        <v>644</v>
      </c>
      <c r="B648" s="28">
        <f t="shared" si="560"/>
        <v>644</v>
      </c>
      <c r="C648" s="27">
        <f t="shared" si="561"/>
        <v>53</v>
      </c>
      <c r="D648" s="28">
        <f t="shared" si="562"/>
        <v>73</v>
      </c>
      <c r="E648" s="29">
        <f t="shared" si="563"/>
        <v>0</v>
      </c>
      <c r="F648" s="30">
        <f t="shared" si="564"/>
        <v>7.4590808818493009E-3</v>
      </c>
      <c r="G648" s="31">
        <f t="shared" si="565"/>
        <v>6.2372531411392096E-4</v>
      </c>
      <c r="H648" s="32">
        <f t="shared" si="566"/>
        <v>0.02</v>
      </c>
      <c r="I648" s="32">
        <f t="shared" si="567"/>
        <v>0</v>
      </c>
      <c r="J648" s="33">
        <f t="shared" si="614"/>
        <v>0</v>
      </c>
      <c r="K648" s="30">
        <f t="shared" si="568"/>
        <v>0</v>
      </c>
      <c r="L648" s="33">
        <f t="shared" si="569"/>
        <v>0</v>
      </c>
      <c r="M648" s="30">
        <f t="shared" si="570"/>
        <v>0</v>
      </c>
      <c r="N648" s="33">
        <f t="shared" si="571"/>
        <v>0</v>
      </c>
      <c r="O648" s="31">
        <f t="shared" si="572"/>
        <v>0</v>
      </c>
      <c r="P648" s="33">
        <f t="shared" si="573"/>
        <v>0</v>
      </c>
      <c r="Q648" s="34">
        <f t="shared" si="615"/>
        <v>867998.45214141335</v>
      </c>
      <c r="R648" s="29">
        <f t="shared" si="574"/>
        <v>0</v>
      </c>
      <c r="S648" s="34">
        <f t="shared" si="575"/>
        <v>867998.45214141335</v>
      </c>
      <c r="T648" s="29">
        <f t="shared" si="576"/>
        <v>723.33204345117781</v>
      </c>
      <c r="U648" s="29">
        <f t="shared" si="577"/>
        <v>0</v>
      </c>
      <c r="V648" s="35">
        <f t="shared" si="578"/>
        <v>6.8609784552531316E-4</v>
      </c>
      <c r="W648" s="34">
        <f t="shared" si="579"/>
        <v>0</v>
      </c>
      <c r="X648" s="34">
        <f t="shared" si="580"/>
        <v>867275.12009796221</v>
      </c>
      <c r="Y648" s="36">
        <f t="shared" si="581"/>
        <v>3.5750470515825139E-3</v>
      </c>
      <c r="Z648" s="34">
        <f t="shared" si="582"/>
        <v>3100.5493610170906</v>
      </c>
      <c r="AA648" s="34">
        <f t="shared" si="583"/>
        <v>868825.39477847074</v>
      </c>
      <c r="AB648" s="34">
        <f t="shared" si="584"/>
        <v>0</v>
      </c>
      <c r="AC648" s="34">
        <f t="shared" si="585"/>
        <v>0</v>
      </c>
      <c r="AD648" s="34">
        <f t="shared" si="586"/>
        <v>0</v>
      </c>
      <c r="AE648" s="34">
        <f t="shared" si="587"/>
        <v>0</v>
      </c>
      <c r="AF648" s="34">
        <f t="shared" si="588"/>
        <v>0</v>
      </c>
      <c r="AG648" s="29">
        <f t="shared" si="589"/>
        <v>868825.39477847074</v>
      </c>
      <c r="AH648" s="34">
        <f t="shared" si="590"/>
        <v>0</v>
      </c>
      <c r="AI648" s="34">
        <f t="shared" si="591"/>
        <v>0</v>
      </c>
      <c r="AJ648" s="34">
        <f t="shared" si="592"/>
        <v>0</v>
      </c>
      <c r="AK648" s="34">
        <f t="shared" si="593"/>
        <v>0</v>
      </c>
      <c r="AL648" s="34">
        <f t="shared" si="594"/>
        <v>0</v>
      </c>
      <c r="AM648" s="34">
        <f t="shared" si="595"/>
        <v>0</v>
      </c>
      <c r="AN648" s="34">
        <f t="shared" si="596"/>
        <v>0</v>
      </c>
      <c r="AO648" s="34">
        <f t="shared" si="597"/>
        <v>0</v>
      </c>
      <c r="AP648" s="34">
        <f t="shared" si="598"/>
        <v>0</v>
      </c>
      <c r="AQ648" s="34">
        <f t="shared" si="599"/>
        <v>0</v>
      </c>
      <c r="AR648" s="34">
        <f t="shared" si="600"/>
        <v>0</v>
      </c>
      <c r="AS648" s="30">
        <f t="shared" si="601"/>
        <v>1.7057435052099652</v>
      </c>
      <c r="AT648" s="29">
        <f t="shared" si="602"/>
        <v>0</v>
      </c>
      <c r="AU648" s="29">
        <f t="shared" si="603"/>
        <v>0</v>
      </c>
      <c r="AV648" s="34">
        <f t="shared" si="604"/>
        <v>0</v>
      </c>
      <c r="AW648" s="34">
        <f t="shared" si="605"/>
        <v>0</v>
      </c>
      <c r="AX648" s="29">
        <f t="shared" si="606"/>
        <v>0</v>
      </c>
      <c r="AY648" s="34">
        <f t="shared" si="607"/>
        <v>0</v>
      </c>
      <c r="AZ648" s="37">
        <f t="shared" si="608"/>
        <v>0</v>
      </c>
      <c r="BA648" s="37">
        <f t="shared" si="609"/>
        <v>0</v>
      </c>
      <c r="BB648" s="35">
        <f t="shared" si="610"/>
        <v>1.0069050242886846E-3</v>
      </c>
      <c r="BC648" s="31">
        <f t="shared" si="611"/>
        <v>0.5230278361002727</v>
      </c>
      <c r="BD648" s="34">
        <f t="shared" si="612"/>
        <v>0</v>
      </c>
    </row>
    <row r="649" spans="1:56" x14ac:dyDescent="0.2">
      <c r="A649" s="27">
        <f t="shared" si="613"/>
        <v>645</v>
      </c>
      <c r="B649" s="28">
        <f t="shared" si="560"/>
        <v>645</v>
      </c>
      <c r="C649" s="27">
        <f t="shared" si="561"/>
        <v>53</v>
      </c>
      <c r="D649" s="28">
        <f t="shared" si="562"/>
        <v>73</v>
      </c>
      <c r="E649" s="29">
        <f t="shared" si="563"/>
        <v>0</v>
      </c>
      <c r="F649" s="30">
        <f t="shared" si="564"/>
        <v>7.4590808818493009E-3</v>
      </c>
      <c r="G649" s="31">
        <f t="shared" si="565"/>
        <v>6.2372531411392096E-4</v>
      </c>
      <c r="H649" s="32">
        <f t="shared" si="566"/>
        <v>0.02</v>
      </c>
      <c r="I649" s="32">
        <f t="shared" si="567"/>
        <v>0</v>
      </c>
      <c r="J649" s="33">
        <f t="shared" si="614"/>
        <v>0</v>
      </c>
      <c r="K649" s="30">
        <f t="shared" si="568"/>
        <v>0</v>
      </c>
      <c r="L649" s="33">
        <f t="shared" si="569"/>
        <v>0</v>
      </c>
      <c r="M649" s="30">
        <f t="shared" si="570"/>
        <v>0</v>
      </c>
      <c r="N649" s="33">
        <f t="shared" si="571"/>
        <v>0</v>
      </c>
      <c r="O649" s="31">
        <f t="shared" si="572"/>
        <v>0</v>
      </c>
      <c r="P649" s="33">
        <f t="shared" si="573"/>
        <v>0</v>
      </c>
      <c r="Q649" s="34">
        <f t="shared" si="615"/>
        <v>870375.66945897928</v>
      </c>
      <c r="R649" s="29">
        <f t="shared" si="574"/>
        <v>0</v>
      </c>
      <c r="S649" s="34">
        <f t="shared" si="575"/>
        <v>870375.66945897928</v>
      </c>
      <c r="T649" s="29">
        <f t="shared" si="576"/>
        <v>725.31305788248278</v>
      </c>
      <c r="U649" s="29">
        <f t="shared" si="577"/>
        <v>0</v>
      </c>
      <c r="V649" s="35">
        <f t="shared" si="578"/>
        <v>6.8609784552531316E-4</v>
      </c>
      <c r="W649" s="34">
        <f t="shared" si="579"/>
        <v>0</v>
      </c>
      <c r="X649" s="34">
        <f t="shared" si="580"/>
        <v>869650.3564010968</v>
      </c>
      <c r="Y649" s="36">
        <f t="shared" si="581"/>
        <v>1.1053483507583728E-3</v>
      </c>
      <c r="Z649" s="34">
        <f t="shared" si="582"/>
        <v>961.26658718438341</v>
      </c>
      <c r="AA649" s="34">
        <f t="shared" si="583"/>
        <v>870130.98969468893</v>
      </c>
      <c r="AB649" s="34">
        <f t="shared" si="584"/>
        <v>0</v>
      </c>
      <c r="AC649" s="34">
        <f t="shared" si="585"/>
        <v>0</v>
      </c>
      <c r="AD649" s="34">
        <f t="shared" si="586"/>
        <v>0</v>
      </c>
      <c r="AE649" s="34">
        <f t="shared" si="587"/>
        <v>0</v>
      </c>
      <c r="AF649" s="34">
        <f t="shared" si="588"/>
        <v>0</v>
      </c>
      <c r="AG649" s="29">
        <f t="shared" si="589"/>
        <v>870130.98969468893</v>
      </c>
      <c r="AH649" s="34">
        <f t="shared" si="590"/>
        <v>0</v>
      </c>
      <c r="AI649" s="34">
        <f t="shared" si="591"/>
        <v>0</v>
      </c>
      <c r="AJ649" s="34">
        <f t="shared" si="592"/>
        <v>0</v>
      </c>
      <c r="AK649" s="34">
        <f t="shared" si="593"/>
        <v>0</v>
      </c>
      <c r="AL649" s="34">
        <f t="shared" si="594"/>
        <v>0</v>
      </c>
      <c r="AM649" s="34">
        <f t="shared" si="595"/>
        <v>0</v>
      </c>
      <c r="AN649" s="34">
        <f t="shared" si="596"/>
        <v>0</v>
      </c>
      <c r="AO649" s="34">
        <f t="shared" si="597"/>
        <v>0</v>
      </c>
      <c r="AP649" s="34">
        <f t="shared" si="598"/>
        <v>0</v>
      </c>
      <c r="AQ649" s="34">
        <f t="shared" si="599"/>
        <v>0</v>
      </c>
      <c r="AR649" s="34">
        <f t="shared" si="600"/>
        <v>0</v>
      </c>
      <c r="AS649" s="30">
        <f t="shared" si="601"/>
        <v>1.7071584844608356</v>
      </c>
      <c r="AT649" s="29">
        <f t="shared" si="602"/>
        <v>0</v>
      </c>
      <c r="AU649" s="29">
        <f t="shared" si="603"/>
        <v>0</v>
      </c>
      <c r="AV649" s="34">
        <f t="shared" si="604"/>
        <v>0</v>
      </c>
      <c r="AW649" s="34">
        <f t="shared" si="605"/>
        <v>0</v>
      </c>
      <c r="AX649" s="29">
        <f t="shared" si="606"/>
        <v>0</v>
      </c>
      <c r="AY649" s="34">
        <f t="shared" si="607"/>
        <v>0</v>
      </c>
      <c r="AZ649" s="37">
        <f t="shared" si="608"/>
        <v>0</v>
      </c>
      <c r="BA649" s="37">
        <f t="shared" si="609"/>
        <v>0</v>
      </c>
      <c r="BB649" s="35">
        <f t="shared" si="610"/>
        <v>1.0069050242886846E-3</v>
      </c>
      <c r="BC649" s="31">
        <f t="shared" si="611"/>
        <v>0.5225017264866737</v>
      </c>
      <c r="BD649" s="34">
        <f t="shared" si="612"/>
        <v>0</v>
      </c>
    </row>
    <row r="650" spans="1:56" x14ac:dyDescent="0.2">
      <c r="A650" s="27">
        <f t="shared" si="613"/>
        <v>646</v>
      </c>
      <c r="B650" s="28">
        <f t="shared" si="560"/>
        <v>646</v>
      </c>
      <c r="C650" s="27">
        <f t="shared" si="561"/>
        <v>53</v>
      </c>
      <c r="D650" s="28">
        <f t="shared" si="562"/>
        <v>73</v>
      </c>
      <c r="E650" s="29">
        <f t="shared" si="563"/>
        <v>0</v>
      </c>
      <c r="F650" s="30">
        <f t="shared" si="564"/>
        <v>7.4590808818493009E-3</v>
      </c>
      <c r="G650" s="31">
        <f t="shared" si="565"/>
        <v>6.2372531411392096E-4</v>
      </c>
      <c r="H650" s="32">
        <f t="shared" si="566"/>
        <v>0.02</v>
      </c>
      <c r="I650" s="32">
        <f t="shared" si="567"/>
        <v>0</v>
      </c>
      <c r="J650" s="33">
        <f t="shared" si="614"/>
        <v>0</v>
      </c>
      <c r="K650" s="30">
        <f t="shared" si="568"/>
        <v>0</v>
      </c>
      <c r="L650" s="33">
        <f t="shared" si="569"/>
        <v>0</v>
      </c>
      <c r="M650" s="30">
        <f t="shared" si="570"/>
        <v>0</v>
      </c>
      <c r="N650" s="33">
        <f t="shared" si="571"/>
        <v>0</v>
      </c>
      <c r="O650" s="31">
        <f t="shared" si="572"/>
        <v>0</v>
      </c>
      <c r="P650" s="33">
        <f t="shared" si="573"/>
        <v>0</v>
      </c>
      <c r="Q650" s="34">
        <f t="shared" si="615"/>
        <v>870611.62298828119</v>
      </c>
      <c r="R650" s="29">
        <f t="shared" si="574"/>
        <v>0</v>
      </c>
      <c r="S650" s="34">
        <f t="shared" si="575"/>
        <v>870611.62298828119</v>
      </c>
      <c r="T650" s="29">
        <f t="shared" si="576"/>
        <v>725.50968582356768</v>
      </c>
      <c r="U650" s="29">
        <f t="shared" si="577"/>
        <v>0</v>
      </c>
      <c r="V650" s="35">
        <f t="shared" si="578"/>
        <v>6.8609784552531316E-4</v>
      </c>
      <c r="W650" s="34">
        <f t="shared" si="579"/>
        <v>0</v>
      </c>
      <c r="X650" s="34">
        <f t="shared" si="580"/>
        <v>869886.11330245761</v>
      </c>
      <c r="Y650" s="36">
        <f t="shared" si="581"/>
        <v>-8.1370667121993812E-3</v>
      </c>
      <c r="Z650" s="34">
        <f t="shared" si="582"/>
        <v>-7078.3213359579267</v>
      </c>
      <c r="AA650" s="34">
        <f t="shared" si="583"/>
        <v>866346.95263447869</v>
      </c>
      <c r="AB650" s="34">
        <f t="shared" si="584"/>
        <v>0</v>
      </c>
      <c r="AC650" s="34">
        <f t="shared" si="585"/>
        <v>0</v>
      </c>
      <c r="AD650" s="34">
        <f t="shared" si="586"/>
        <v>0</v>
      </c>
      <c r="AE650" s="34">
        <f t="shared" si="587"/>
        <v>0</v>
      </c>
      <c r="AF650" s="34">
        <f t="shared" si="588"/>
        <v>0</v>
      </c>
      <c r="AG650" s="29">
        <f t="shared" si="589"/>
        <v>866346.95263447869</v>
      </c>
      <c r="AH650" s="34">
        <f t="shared" si="590"/>
        <v>0</v>
      </c>
      <c r="AI650" s="34">
        <f t="shared" si="591"/>
        <v>0</v>
      </c>
      <c r="AJ650" s="34">
        <f t="shared" si="592"/>
        <v>0</v>
      </c>
      <c r="AK650" s="34">
        <f t="shared" si="593"/>
        <v>0</v>
      </c>
      <c r="AL650" s="34">
        <f t="shared" si="594"/>
        <v>0</v>
      </c>
      <c r="AM650" s="34">
        <f t="shared" si="595"/>
        <v>0</v>
      </c>
      <c r="AN650" s="34">
        <f t="shared" si="596"/>
        <v>0</v>
      </c>
      <c r="AO650" s="34">
        <f t="shared" si="597"/>
        <v>0</v>
      </c>
      <c r="AP650" s="34">
        <f t="shared" si="598"/>
        <v>0</v>
      </c>
      <c r="AQ650" s="34">
        <f t="shared" si="599"/>
        <v>0</v>
      </c>
      <c r="AR650" s="34">
        <f t="shared" si="600"/>
        <v>0</v>
      </c>
      <c r="AS650" s="30">
        <f t="shared" si="601"/>
        <v>1.7085746374909254</v>
      </c>
      <c r="AT650" s="29">
        <f t="shared" si="602"/>
        <v>0</v>
      </c>
      <c r="AU650" s="29">
        <f t="shared" si="603"/>
        <v>0</v>
      </c>
      <c r="AV650" s="34">
        <f t="shared" si="604"/>
        <v>0</v>
      </c>
      <c r="AW650" s="34">
        <f t="shared" si="605"/>
        <v>0</v>
      </c>
      <c r="AX650" s="29">
        <f t="shared" si="606"/>
        <v>0</v>
      </c>
      <c r="AY650" s="34">
        <f t="shared" si="607"/>
        <v>0</v>
      </c>
      <c r="AZ650" s="37">
        <f t="shared" si="608"/>
        <v>0</v>
      </c>
      <c r="BA650" s="37">
        <f t="shared" si="609"/>
        <v>0</v>
      </c>
      <c r="BB650" s="35">
        <f t="shared" si="610"/>
        <v>1.0069050242886846E-3</v>
      </c>
      <c r="BC650" s="31">
        <f t="shared" si="611"/>
        <v>0.5219761460826241</v>
      </c>
      <c r="BD650" s="34">
        <f t="shared" si="612"/>
        <v>0</v>
      </c>
    </row>
    <row r="651" spans="1:56" x14ac:dyDescent="0.2">
      <c r="A651" s="27">
        <f t="shared" si="613"/>
        <v>647</v>
      </c>
      <c r="B651" s="28">
        <f t="shared" si="560"/>
        <v>647</v>
      </c>
      <c r="C651" s="27">
        <f t="shared" si="561"/>
        <v>53</v>
      </c>
      <c r="D651" s="28">
        <f t="shared" si="562"/>
        <v>73</v>
      </c>
      <c r="E651" s="29">
        <f t="shared" si="563"/>
        <v>0</v>
      </c>
      <c r="F651" s="30">
        <f t="shared" si="564"/>
        <v>7.4590808818493009E-3</v>
      </c>
      <c r="G651" s="31">
        <f t="shared" si="565"/>
        <v>6.2372531411392096E-4</v>
      </c>
      <c r="H651" s="32">
        <f t="shared" si="566"/>
        <v>0.02</v>
      </c>
      <c r="I651" s="32">
        <f t="shared" si="567"/>
        <v>0</v>
      </c>
      <c r="J651" s="33">
        <f t="shared" si="614"/>
        <v>0</v>
      </c>
      <c r="K651" s="30">
        <f t="shared" si="568"/>
        <v>0</v>
      </c>
      <c r="L651" s="33">
        <f t="shared" si="569"/>
        <v>0</v>
      </c>
      <c r="M651" s="30">
        <f t="shared" si="570"/>
        <v>0</v>
      </c>
      <c r="N651" s="33">
        <f t="shared" si="571"/>
        <v>0</v>
      </c>
      <c r="O651" s="31">
        <f t="shared" si="572"/>
        <v>0</v>
      </c>
      <c r="P651" s="33">
        <f t="shared" si="573"/>
        <v>0</v>
      </c>
      <c r="Q651" s="34">
        <f t="shared" si="615"/>
        <v>862807.79196649964</v>
      </c>
      <c r="R651" s="29">
        <f t="shared" si="574"/>
        <v>0</v>
      </c>
      <c r="S651" s="34">
        <f t="shared" si="575"/>
        <v>862807.79196649964</v>
      </c>
      <c r="T651" s="29">
        <f t="shared" si="576"/>
        <v>719.00649330541637</v>
      </c>
      <c r="U651" s="29">
        <f t="shared" si="577"/>
        <v>0</v>
      </c>
      <c r="V651" s="35">
        <f t="shared" si="578"/>
        <v>6.8609784552531316E-4</v>
      </c>
      <c r="W651" s="34">
        <f t="shared" si="579"/>
        <v>0</v>
      </c>
      <c r="X651" s="34">
        <f t="shared" si="580"/>
        <v>862088.78547319421</v>
      </c>
      <c r="Y651" s="36">
        <f t="shared" si="581"/>
        <v>-1.3268294757931787E-2</v>
      </c>
      <c r="Z651" s="34">
        <f t="shared" si="582"/>
        <v>-11438.448113165763</v>
      </c>
      <c r="AA651" s="34">
        <f t="shared" si="583"/>
        <v>856369.56141661131</v>
      </c>
      <c r="AB651" s="34">
        <f t="shared" si="584"/>
        <v>0</v>
      </c>
      <c r="AC651" s="34">
        <f t="shared" si="585"/>
        <v>0</v>
      </c>
      <c r="AD651" s="34">
        <f t="shared" si="586"/>
        <v>0</v>
      </c>
      <c r="AE651" s="34">
        <f t="shared" si="587"/>
        <v>0</v>
      </c>
      <c r="AF651" s="34">
        <f t="shared" si="588"/>
        <v>0</v>
      </c>
      <c r="AG651" s="29">
        <f t="shared" si="589"/>
        <v>856369.56141661131</v>
      </c>
      <c r="AH651" s="34">
        <f t="shared" si="590"/>
        <v>0</v>
      </c>
      <c r="AI651" s="34">
        <f t="shared" si="591"/>
        <v>0</v>
      </c>
      <c r="AJ651" s="34">
        <f t="shared" si="592"/>
        <v>0</v>
      </c>
      <c r="AK651" s="34">
        <f t="shared" si="593"/>
        <v>0</v>
      </c>
      <c r="AL651" s="34">
        <f t="shared" si="594"/>
        <v>0</v>
      </c>
      <c r="AM651" s="34">
        <f t="shared" si="595"/>
        <v>0</v>
      </c>
      <c r="AN651" s="34">
        <f t="shared" si="596"/>
        <v>0</v>
      </c>
      <c r="AO651" s="34">
        <f t="shared" si="597"/>
        <v>0</v>
      </c>
      <c r="AP651" s="34">
        <f t="shared" si="598"/>
        <v>0</v>
      </c>
      <c r="AQ651" s="34">
        <f t="shared" si="599"/>
        <v>0</v>
      </c>
      <c r="AR651" s="34">
        <f t="shared" si="600"/>
        <v>0</v>
      </c>
      <c r="AS651" s="30">
        <f t="shared" si="601"/>
        <v>1.7099919652739293</v>
      </c>
      <c r="AT651" s="29">
        <f t="shared" si="602"/>
        <v>0</v>
      </c>
      <c r="AU651" s="29">
        <f t="shared" si="603"/>
        <v>0</v>
      </c>
      <c r="AV651" s="34">
        <f t="shared" si="604"/>
        <v>0</v>
      </c>
      <c r="AW651" s="34">
        <f t="shared" si="605"/>
        <v>0</v>
      </c>
      <c r="AX651" s="29">
        <f t="shared" si="606"/>
        <v>0</v>
      </c>
      <c r="AY651" s="34">
        <f t="shared" si="607"/>
        <v>0</v>
      </c>
      <c r="AZ651" s="37">
        <f t="shared" si="608"/>
        <v>0</v>
      </c>
      <c r="BA651" s="37">
        <f t="shared" si="609"/>
        <v>0</v>
      </c>
      <c r="BB651" s="35">
        <f t="shared" si="610"/>
        <v>1.0069050242886846E-3</v>
      </c>
      <c r="BC651" s="31">
        <f t="shared" si="611"/>
        <v>0.52145109435579662</v>
      </c>
      <c r="BD651" s="34">
        <f t="shared" si="612"/>
        <v>0</v>
      </c>
    </row>
    <row r="652" spans="1:56" x14ac:dyDescent="0.2">
      <c r="A652" s="27">
        <f t="shared" si="613"/>
        <v>648</v>
      </c>
      <c r="B652" s="28">
        <f t="shared" si="560"/>
        <v>648</v>
      </c>
      <c r="C652" s="27">
        <f t="shared" si="561"/>
        <v>54</v>
      </c>
      <c r="D652" s="28">
        <f t="shared" si="562"/>
        <v>74</v>
      </c>
      <c r="E652" s="29">
        <f t="shared" si="563"/>
        <v>0</v>
      </c>
      <c r="F652" s="30">
        <f t="shared" si="564"/>
        <v>8.2063750460013851E-3</v>
      </c>
      <c r="G652" s="31">
        <f t="shared" si="565"/>
        <v>6.8645034353087553E-4</v>
      </c>
      <c r="H652" s="32">
        <f t="shared" si="566"/>
        <v>0.02</v>
      </c>
      <c r="I652" s="32">
        <f t="shared" si="567"/>
        <v>0</v>
      </c>
      <c r="J652" s="33">
        <f t="shared" si="614"/>
        <v>0</v>
      </c>
      <c r="K652" s="30">
        <f t="shared" si="568"/>
        <v>0</v>
      </c>
      <c r="L652" s="33">
        <f t="shared" si="569"/>
        <v>0</v>
      </c>
      <c r="M652" s="30">
        <f t="shared" si="570"/>
        <v>0</v>
      </c>
      <c r="N652" s="33">
        <f t="shared" si="571"/>
        <v>0</v>
      </c>
      <c r="O652" s="31">
        <f t="shared" si="572"/>
        <v>0</v>
      </c>
      <c r="P652" s="33">
        <f t="shared" si="573"/>
        <v>0</v>
      </c>
      <c r="Q652" s="34">
        <f t="shared" si="615"/>
        <v>850650.33736002841</v>
      </c>
      <c r="R652" s="29">
        <f t="shared" si="574"/>
        <v>0</v>
      </c>
      <c r="S652" s="34">
        <f t="shared" si="575"/>
        <v>850650.33736002841</v>
      </c>
      <c r="T652" s="29">
        <f t="shared" si="576"/>
        <v>708.87528113335702</v>
      </c>
      <c r="U652" s="29">
        <f t="shared" si="577"/>
        <v>0</v>
      </c>
      <c r="V652" s="35">
        <f t="shared" si="578"/>
        <v>7.5509537788396317E-4</v>
      </c>
      <c r="W652" s="34">
        <f t="shared" si="579"/>
        <v>0</v>
      </c>
      <c r="X652" s="34">
        <f t="shared" si="580"/>
        <v>849941.46207889507</v>
      </c>
      <c r="Y652" s="36">
        <f t="shared" si="581"/>
        <v>-8.1916172450037239E-3</v>
      </c>
      <c r="Z652" s="34">
        <f t="shared" si="582"/>
        <v>-6962.3951380091557</v>
      </c>
      <c r="AA652" s="34">
        <f t="shared" si="583"/>
        <v>846460.26450989046</v>
      </c>
      <c r="AB652" s="34">
        <f t="shared" si="584"/>
        <v>0</v>
      </c>
      <c r="AC652" s="34">
        <f t="shared" si="585"/>
        <v>0</v>
      </c>
      <c r="AD652" s="34">
        <f t="shared" si="586"/>
        <v>0</v>
      </c>
      <c r="AE652" s="34">
        <f t="shared" si="587"/>
        <v>0</v>
      </c>
      <c r="AF652" s="34">
        <f t="shared" si="588"/>
        <v>0</v>
      </c>
      <c r="AG652" s="29">
        <f t="shared" si="589"/>
        <v>846460.26450989046</v>
      </c>
      <c r="AH652" s="34">
        <f t="shared" si="590"/>
        <v>0</v>
      </c>
      <c r="AI652" s="34">
        <f t="shared" si="591"/>
        <v>0</v>
      </c>
      <c r="AJ652" s="34">
        <f t="shared" si="592"/>
        <v>0</v>
      </c>
      <c r="AK652" s="34">
        <f t="shared" si="593"/>
        <v>0</v>
      </c>
      <c r="AL652" s="34">
        <f t="shared" si="594"/>
        <v>0</v>
      </c>
      <c r="AM652" s="34">
        <f t="shared" si="595"/>
        <v>0</v>
      </c>
      <c r="AN652" s="34">
        <f t="shared" si="596"/>
        <v>0</v>
      </c>
      <c r="AO652" s="34">
        <f t="shared" si="597"/>
        <v>0</v>
      </c>
      <c r="AP652" s="34">
        <f t="shared" si="598"/>
        <v>0</v>
      </c>
      <c r="AQ652" s="34">
        <f t="shared" si="599"/>
        <v>0</v>
      </c>
      <c r="AR652" s="34">
        <f t="shared" si="600"/>
        <v>0</v>
      </c>
      <c r="AS652" s="30">
        <f t="shared" si="601"/>
        <v>1.7114104687843503</v>
      </c>
      <c r="AT652" s="29">
        <f t="shared" si="602"/>
        <v>0</v>
      </c>
      <c r="AU652" s="29">
        <f t="shared" si="603"/>
        <v>0</v>
      </c>
      <c r="AV652" s="34">
        <f t="shared" si="604"/>
        <v>0</v>
      </c>
      <c r="AW652" s="34">
        <f t="shared" si="605"/>
        <v>0</v>
      </c>
      <c r="AX652" s="29">
        <f t="shared" si="606"/>
        <v>0</v>
      </c>
      <c r="AY652" s="34">
        <f t="shared" si="607"/>
        <v>0</v>
      </c>
      <c r="AZ652" s="37">
        <f t="shared" si="608"/>
        <v>0</v>
      </c>
      <c r="BA652" s="37">
        <f t="shared" si="609"/>
        <v>0</v>
      </c>
      <c r="BB652" s="35">
        <f t="shared" si="610"/>
        <v>1.0283306329852415E-3</v>
      </c>
      <c r="BC652" s="31">
        <f t="shared" si="611"/>
        <v>0.51375135969029262</v>
      </c>
      <c r="BD652" s="34">
        <f t="shared" si="612"/>
        <v>0</v>
      </c>
    </row>
    <row r="653" spans="1:56" x14ac:dyDescent="0.2">
      <c r="A653" s="27">
        <f t="shared" si="613"/>
        <v>649</v>
      </c>
      <c r="B653" s="28">
        <f t="shared" si="560"/>
        <v>649</v>
      </c>
      <c r="C653" s="27">
        <f t="shared" si="561"/>
        <v>54</v>
      </c>
      <c r="D653" s="28">
        <f t="shared" si="562"/>
        <v>74</v>
      </c>
      <c r="E653" s="29">
        <f t="shared" si="563"/>
        <v>0</v>
      </c>
      <c r="F653" s="30">
        <f t="shared" si="564"/>
        <v>8.2063750460013851E-3</v>
      </c>
      <c r="G653" s="31">
        <f t="shared" si="565"/>
        <v>6.8645034353087553E-4</v>
      </c>
      <c r="H653" s="32">
        <f t="shared" si="566"/>
        <v>0.02</v>
      </c>
      <c r="I653" s="32">
        <f t="shared" si="567"/>
        <v>0</v>
      </c>
      <c r="J653" s="33">
        <f t="shared" si="614"/>
        <v>0</v>
      </c>
      <c r="K653" s="30">
        <f t="shared" si="568"/>
        <v>0</v>
      </c>
      <c r="L653" s="33">
        <f t="shared" si="569"/>
        <v>0</v>
      </c>
      <c r="M653" s="30">
        <f t="shared" si="570"/>
        <v>0</v>
      </c>
      <c r="N653" s="33">
        <f t="shared" si="571"/>
        <v>0</v>
      </c>
      <c r="O653" s="31">
        <f t="shared" si="572"/>
        <v>0</v>
      </c>
      <c r="P653" s="33">
        <f t="shared" si="573"/>
        <v>0</v>
      </c>
      <c r="Q653" s="34">
        <f t="shared" si="615"/>
        <v>842979.06694088597</v>
      </c>
      <c r="R653" s="29">
        <f t="shared" si="574"/>
        <v>0</v>
      </c>
      <c r="S653" s="34">
        <f t="shared" si="575"/>
        <v>842979.06694088597</v>
      </c>
      <c r="T653" s="29">
        <f t="shared" si="576"/>
        <v>702.48255578407168</v>
      </c>
      <c r="U653" s="29">
        <f t="shared" si="577"/>
        <v>0</v>
      </c>
      <c r="V653" s="35">
        <f t="shared" si="578"/>
        <v>7.5509537788396317E-4</v>
      </c>
      <c r="W653" s="34">
        <f t="shared" si="579"/>
        <v>0</v>
      </c>
      <c r="X653" s="34">
        <f t="shared" si="580"/>
        <v>842276.58438510192</v>
      </c>
      <c r="Y653" s="36">
        <f t="shared" si="581"/>
        <v>1.3529679284320917E-3</v>
      </c>
      <c r="Z653" s="34">
        <f t="shared" si="582"/>
        <v>1139.5732055423691</v>
      </c>
      <c r="AA653" s="34">
        <f t="shared" si="583"/>
        <v>842846.37098787306</v>
      </c>
      <c r="AB653" s="34">
        <f t="shared" si="584"/>
        <v>0</v>
      </c>
      <c r="AC653" s="34">
        <f t="shared" si="585"/>
        <v>0</v>
      </c>
      <c r="AD653" s="34">
        <f t="shared" si="586"/>
        <v>0</v>
      </c>
      <c r="AE653" s="34">
        <f t="shared" si="587"/>
        <v>0</v>
      </c>
      <c r="AF653" s="34">
        <f t="shared" si="588"/>
        <v>0</v>
      </c>
      <c r="AG653" s="29">
        <f t="shared" si="589"/>
        <v>842846.37098787306</v>
      </c>
      <c r="AH653" s="34">
        <f t="shared" si="590"/>
        <v>0</v>
      </c>
      <c r="AI653" s="34">
        <f t="shared" si="591"/>
        <v>0</v>
      </c>
      <c r="AJ653" s="34">
        <f t="shared" si="592"/>
        <v>0</v>
      </c>
      <c r="AK653" s="34">
        <f t="shared" si="593"/>
        <v>0</v>
      </c>
      <c r="AL653" s="34">
        <f t="shared" si="594"/>
        <v>0</v>
      </c>
      <c r="AM653" s="34">
        <f t="shared" si="595"/>
        <v>0</v>
      </c>
      <c r="AN653" s="34">
        <f t="shared" si="596"/>
        <v>0</v>
      </c>
      <c r="AO653" s="34">
        <f t="shared" si="597"/>
        <v>0</v>
      </c>
      <c r="AP653" s="34">
        <f t="shared" si="598"/>
        <v>0</v>
      </c>
      <c r="AQ653" s="34">
        <f t="shared" si="599"/>
        <v>0</v>
      </c>
      <c r="AR653" s="34">
        <f t="shared" si="600"/>
        <v>0</v>
      </c>
      <c r="AS653" s="30">
        <f t="shared" si="601"/>
        <v>1.7128301489974977</v>
      </c>
      <c r="AT653" s="29">
        <f t="shared" si="602"/>
        <v>0</v>
      </c>
      <c r="AU653" s="29">
        <f t="shared" si="603"/>
        <v>0</v>
      </c>
      <c r="AV653" s="34">
        <f t="shared" si="604"/>
        <v>0</v>
      </c>
      <c r="AW653" s="34">
        <f t="shared" si="605"/>
        <v>0</v>
      </c>
      <c r="AX653" s="29">
        <f t="shared" si="606"/>
        <v>0</v>
      </c>
      <c r="AY653" s="34">
        <f t="shared" si="607"/>
        <v>0</v>
      </c>
      <c r="AZ653" s="37">
        <f t="shared" si="608"/>
        <v>0</v>
      </c>
      <c r="BA653" s="37">
        <f t="shared" si="609"/>
        <v>0</v>
      </c>
      <c r="BB653" s="35">
        <f t="shared" si="610"/>
        <v>1.0283306329852415E-3</v>
      </c>
      <c r="BC653" s="31">
        <f t="shared" si="611"/>
        <v>0.51322359614480617</v>
      </c>
      <c r="BD653" s="34">
        <f t="shared" si="612"/>
        <v>0</v>
      </c>
    </row>
    <row r="654" spans="1:56" x14ac:dyDescent="0.2">
      <c r="A654" s="27">
        <f t="shared" si="613"/>
        <v>650</v>
      </c>
      <c r="B654" s="28">
        <f t="shared" si="560"/>
        <v>650</v>
      </c>
      <c r="C654" s="27">
        <f t="shared" si="561"/>
        <v>54</v>
      </c>
      <c r="D654" s="28">
        <f t="shared" si="562"/>
        <v>74</v>
      </c>
      <c r="E654" s="29">
        <f t="shared" si="563"/>
        <v>0</v>
      </c>
      <c r="F654" s="30">
        <f t="shared" si="564"/>
        <v>8.2063750460013851E-3</v>
      </c>
      <c r="G654" s="31">
        <f t="shared" si="565"/>
        <v>6.8645034353087553E-4</v>
      </c>
      <c r="H654" s="32">
        <f t="shared" si="566"/>
        <v>0.02</v>
      </c>
      <c r="I654" s="32">
        <f t="shared" si="567"/>
        <v>0</v>
      </c>
      <c r="J654" s="33">
        <f t="shared" si="614"/>
        <v>0</v>
      </c>
      <c r="K654" s="30">
        <f t="shared" si="568"/>
        <v>0</v>
      </c>
      <c r="L654" s="33">
        <f t="shared" si="569"/>
        <v>0</v>
      </c>
      <c r="M654" s="30">
        <f t="shared" si="570"/>
        <v>0</v>
      </c>
      <c r="N654" s="33">
        <f t="shared" si="571"/>
        <v>0</v>
      </c>
      <c r="O654" s="31">
        <f t="shared" si="572"/>
        <v>0</v>
      </c>
      <c r="P654" s="33">
        <f t="shared" si="573"/>
        <v>0</v>
      </c>
      <c r="Q654" s="34">
        <f t="shared" si="615"/>
        <v>843416.15759064432</v>
      </c>
      <c r="R654" s="29">
        <f t="shared" si="574"/>
        <v>0</v>
      </c>
      <c r="S654" s="34">
        <f t="shared" si="575"/>
        <v>843416.15759064432</v>
      </c>
      <c r="T654" s="29">
        <f t="shared" si="576"/>
        <v>702.84679799220362</v>
      </c>
      <c r="U654" s="29">
        <f t="shared" si="577"/>
        <v>0</v>
      </c>
      <c r="V654" s="35">
        <f t="shared" si="578"/>
        <v>7.5509537788396317E-4</v>
      </c>
      <c r="W654" s="34">
        <f t="shared" si="579"/>
        <v>0</v>
      </c>
      <c r="X654" s="34">
        <f t="shared" si="580"/>
        <v>842713.31079265208</v>
      </c>
      <c r="Y654" s="36">
        <f t="shared" si="581"/>
        <v>-1.3686392548718507E-3</v>
      </c>
      <c r="Z654" s="34">
        <f t="shared" si="582"/>
        <v>-1153.3705177538457</v>
      </c>
      <c r="AA654" s="34">
        <f t="shared" si="583"/>
        <v>842136.62553377519</v>
      </c>
      <c r="AB654" s="34">
        <f t="shared" si="584"/>
        <v>0</v>
      </c>
      <c r="AC654" s="34">
        <f t="shared" si="585"/>
        <v>0</v>
      </c>
      <c r="AD654" s="34">
        <f t="shared" si="586"/>
        <v>0</v>
      </c>
      <c r="AE654" s="34">
        <f t="shared" si="587"/>
        <v>0</v>
      </c>
      <c r="AF654" s="34">
        <f t="shared" si="588"/>
        <v>0</v>
      </c>
      <c r="AG654" s="29">
        <f t="shared" si="589"/>
        <v>842136.62553377519</v>
      </c>
      <c r="AH654" s="34">
        <f t="shared" si="590"/>
        <v>0</v>
      </c>
      <c r="AI654" s="34">
        <f t="shared" si="591"/>
        <v>0</v>
      </c>
      <c r="AJ654" s="34">
        <f t="shared" si="592"/>
        <v>0</v>
      </c>
      <c r="AK654" s="34">
        <f t="shared" si="593"/>
        <v>0</v>
      </c>
      <c r="AL654" s="34">
        <f t="shared" si="594"/>
        <v>0</v>
      </c>
      <c r="AM654" s="34">
        <f t="shared" si="595"/>
        <v>0</v>
      </c>
      <c r="AN654" s="34">
        <f t="shared" si="596"/>
        <v>0</v>
      </c>
      <c r="AO654" s="34">
        <f t="shared" si="597"/>
        <v>0</v>
      </c>
      <c r="AP654" s="34">
        <f t="shared" si="598"/>
        <v>0</v>
      </c>
      <c r="AQ654" s="34">
        <f t="shared" si="599"/>
        <v>0</v>
      </c>
      <c r="AR654" s="34">
        <f t="shared" si="600"/>
        <v>0</v>
      </c>
      <c r="AS654" s="30">
        <f t="shared" si="601"/>
        <v>1.7142510068894923</v>
      </c>
      <c r="AT654" s="29">
        <f t="shared" si="602"/>
        <v>0</v>
      </c>
      <c r="AU654" s="29">
        <f t="shared" si="603"/>
        <v>0</v>
      </c>
      <c r="AV654" s="34">
        <f t="shared" si="604"/>
        <v>0</v>
      </c>
      <c r="AW654" s="34">
        <f t="shared" si="605"/>
        <v>0</v>
      </c>
      <c r="AX654" s="29">
        <f t="shared" si="606"/>
        <v>0</v>
      </c>
      <c r="AY654" s="34">
        <f t="shared" si="607"/>
        <v>0</v>
      </c>
      <c r="AZ654" s="37">
        <f t="shared" si="608"/>
        <v>0</v>
      </c>
      <c r="BA654" s="37">
        <f t="shared" si="609"/>
        <v>0</v>
      </c>
      <c r="BB654" s="35">
        <f t="shared" si="610"/>
        <v>1.0283306329852415E-3</v>
      </c>
      <c r="BC654" s="31">
        <f t="shared" si="611"/>
        <v>0.51269637475722285</v>
      </c>
      <c r="BD654" s="34">
        <f t="shared" si="612"/>
        <v>0</v>
      </c>
    </row>
    <row r="655" spans="1:56" x14ac:dyDescent="0.2">
      <c r="A655" s="27">
        <f t="shared" si="613"/>
        <v>651</v>
      </c>
      <c r="B655" s="28">
        <f t="shared" si="560"/>
        <v>651</v>
      </c>
      <c r="C655" s="27">
        <f t="shared" si="561"/>
        <v>54</v>
      </c>
      <c r="D655" s="28">
        <f t="shared" si="562"/>
        <v>74</v>
      </c>
      <c r="E655" s="29">
        <f t="shared" si="563"/>
        <v>0</v>
      </c>
      <c r="F655" s="30">
        <f t="shared" si="564"/>
        <v>8.2063750460013851E-3</v>
      </c>
      <c r="G655" s="31">
        <f t="shared" si="565"/>
        <v>6.8645034353087553E-4</v>
      </c>
      <c r="H655" s="32">
        <f t="shared" si="566"/>
        <v>0.02</v>
      </c>
      <c r="I655" s="32">
        <f t="shared" si="567"/>
        <v>0</v>
      </c>
      <c r="J655" s="33">
        <f t="shared" si="614"/>
        <v>0</v>
      </c>
      <c r="K655" s="30">
        <f t="shared" si="568"/>
        <v>0</v>
      </c>
      <c r="L655" s="33">
        <f t="shared" si="569"/>
        <v>0</v>
      </c>
      <c r="M655" s="30">
        <f t="shared" si="570"/>
        <v>0</v>
      </c>
      <c r="N655" s="33">
        <f t="shared" si="571"/>
        <v>0</v>
      </c>
      <c r="O655" s="31">
        <f t="shared" si="572"/>
        <v>0</v>
      </c>
      <c r="P655" s="33">
        <f t="shared" si="573"/>
        <v>0</v>
      </c>
      <c r="Q655" s="34">
        <f t="shared" si="615"/>
        <v>841559.9402748982</v>
      </c>
      <c r="R655" s="29">
        <f t="shared" si="574"/>
        <v>0</v>
      </c>
      <c r="S655" s="34">
        <f t="shared" si="575"/>
        <v>841559.9402748982</v>
      </c>
      <c r="T655" s="29">
        <f t="shared" si="576"/>
        <v>701.2999502290819</v>
      </c>
      <c r="U655" s="29">
        <f t="shared" si="577"/>
        <v>0</v>
      </c>
      <c r="V655" s="35">
        <f t="shared" si="578"/>
        <v>7.5509537788396317E-4</v>
      </c>
      <c r="W655" s="34">
        <f t="shared" si="579"/>
        <v>0</v>
      </c>
      <c r="X655" s="34">
        <f t="shared" si="580"/>
        <v>840858.64032466908</v>
      </c>
      <c r="Y655" s="36">
        <f t="shared" si="581"/>
        <v>-8.966014171713943E-3</v>
      </c>
      <c r="Z655" s="34">
        <f t="shared" si="582"/>
        <v>-7539.1504855591002</v>
      </c>
      <c r="AA655" s="34">
        <f t="shared" si="583"/>
        <v>837089.06508188951</v>
      </c>
      <c r="AB655" s="34">
        <f t="shared" si="584"/>
        <v>0</v>
      </c>
      <c r="AC655" s="34">
        <f t="shared" si="585"/>
        <v>0</v>
      </c>
      <c r="AD655" s="34">
        <f t="shared" si="586"/>
        <v>0</v>
      </c>
      <c r="AE655" s="34">
        <f t="shared" si="587"/>
        <v>0</v>
      </c>
      <c r="AF655" s="34">
        <f t="shared" si="588"/>
        <v>0</v>
      </c>
      <c r="AG655" s="29">
        <f t="shared" si="589"/>
        <v>837089.06508188951</v>
      </c>
      <c r="AH655" s="34">
        <f t="shared" si="590"/>
        <v>0</v>
      </c>
      <c r="AI655" s="34">
        <f t="shared" si="591"/>
        <v>0</v>
      </c>
      <c r="AJ655" s="34">
        <f t="shared" si="592"/>
        <v>0</v>
      </c>
      <c r="AK655" s="34">
        <f t="shared" si="593"/>
        <v>0</v>
      </c>
      <c r="AL655" s="34">
        <f t="shared" si="594"/>
        <v>0</v>
      </c>
      <c r="AM655" s="34">
        <f t="shared" si="595"/>
        <v>0</v>
      </c>
      <c r="AN655" s="34">
        <f t="shared" si="596"/>
        <v>0</v>
      </c>
      <c r="AO655" s="34">
        <f t="shared" si="597"/>
        <v>0</v>
      </c>
      <c r="AP655" s="34">
        <f t="shared" si="598"/>
        <v>0</v>
      </c>
      <c r="AQ655" s="34">
        <f t="shared" si="599"/>
        <v>0</v>
      </c>
      <c r="AR655" s="34">
        <f t="shared" si="600"/>
        <v>0</v>
      </c>
      <c r="AS655" s="30">
        <f t="shared" si="601"/>
        <v>1.7156730434372638</v>
      </c>
      <c r="AT655" s="29">
        <f t="shared" si="602"/>
        <v>0</v>
      </c>
      <c r="AU655" s="29">
        <f t="shared" si="603"/>
        <v>0</v>
      </c>
      <c r="AV655" s="34">
        <f t="shared" si="604"/>
        <v>0</v>
      </c>
      <c r="AW655" s="34">
        <f t="shared" si="605"/>
        <v>0</v>
      </c>
      <c r="AX655" s="29">
        <f t="shared" si="606"/>
        <v>0</v>
      </c>
      <c r="AY655" s="34">
        <f t="shared" si="607"/>
        <v>0</v>
      </c>
      <c r="AZ655" s="37">
        <f t="shared" si="608"/>
        <v>0</v>
      </c>
      <c r="BA655" s="37">
        <f t="shared" si="609"/>
        <v>0</v>
      </c>
      <c r="BB655" s="35">
        <f t="shared" si="610"/>
        <v>1.0283306329852415E-3</v>
      </c>
      <c r="BC655" s="31">
        <f t="shared" si="611"/>
        <v>0.51216969497059794</v>
      </c>
      <c r="BD655" s="34">
        <f t="shared" si="612"/>
        <v>0</v>
      </c>
    </row>
    <row r="656" spans="1:56" x14ac:dyDescent="0.2">
      <c r="A656" s="27">
        <f t="shared" si="613"/>
        <v>652</v>
      </c>
      <c r="B656" s="28">
        <f t="shared" si="560"/>
        <v>652</v>
      </c>
      <c r="C656" s="27">
        <f t="shared" si="561"/>
        <v>54</v>
      </c>
      <c r="D656" s="28">
        <f t="shared" si="562"/>
        <v>74</v>
      </c>
      <c r="E656" s="29">
        <f t="shared" si="563"/>
        <v>0</v>
      </c>
      <c r="F656" s="30">
        <f t="shared" si="564"/>
        <v>8.2063750460013851E-3</v>
      </c>
      <c r="G656" s="31">
        <f t="shared" si="565"/>
        <v>6.8645034353087553E-4</v>
      </c>
      <c r="H656" s="32">
        <f t="shared" si="566"/>
        <v>0.02</v>
      </c>
      <c r="I656" s="32">
        <f t="shared" si="567"/>
        <v>0</v>
      </c>
      <c r="J656" s="33">
        <f t="shared" si="614"/>
        <v>0</v>
      </c>
      <c r="K656" s="30">
        <f t="shared" si="568"/>
        <v>0</v>
      </c>
      <c r="L656" s="33">
        <f t="shared" si="569"/>
        <v>0</v>
      </c>
      <c r="M656" s="30">
        <f t="shared" si="570"/>
        <v>0</v>
      </c>
      <c r="N656" s="33">
        <f t="shared" si="571"/>
        <v>0</v>
      </c>
      <c r="O656" s="31">
        <f t="shared" si="572"/>
        <v>0</v>
      </c>
      <c r="P656" s="33">
        <f t="shared" si="573"/>
        <v>0</v>
      </c>
      <c r="Q656" s="34">
        <f t="shared" si="615"/>
        <v>833319.48983910994</v>
      </c>
      <c r="R656" s="29">
        <f t="shared" si="574"/>
        <v>0</v>
      </c>
      <c r="S656" s="34">
        <f t="shared" si="575"/>
        <v>833319.48983910994</v>
      </c>
      <c r="T656" s="29">
        <f t="shared" si="576"/>
        <v>694.43290819925835</v>
      </c>
      <c r="U656" s="29">
        <f t="shared" si="577"/>
        <v>0</v>
      </c>
      <c r="V656" s="35">
        <f t="shared" si="578"/>
        <v>7.5509537788396317E-4</v>
      </c>
      <c r="W656" s="34">
        <f t="shared" si="579"/>
        <v>0</v>
      </c>
      <c r="X656" s="34">
        <f t="shared" si="580"/>
        <v>832625.05693091068</v>
      </c>
      <c r="Y656" s="36">
        <f t="shared" si="581"/>
        <v>-5.5883880956582033E-3</v>
      </c>
      <c r="Z656" s="34">
        <f t="shared" si="582"/>
        <v>-4653.0319562994346</v>
      </c>
      <c r="AA656" s="34">
        <f t="shared" si="583"/>
        <v>830298.54095276096</v>
      </c>
      <c r="AB656" s="34">
        <f t="shared" si="584"/>
        <v>0</v>
      </c>
      <c r="AC656" s="34">
        <f t="shared" si="585"/>
        <v>0</v>
      </c>
      <c r="AD656" s="34">
        <f t="shared" si="586"/>
        <v>0</v>
      </c>
      <c r="AE656" s="34">
        <f t="shared" si="587"/>
        <v>0</v>
      </c>
      <c r="AF656" s="34">
        <f t="shared" si="588"/>
        <v>0</v>
      </c>
      <c r="AG656" s="29">
        <f t="shared" si="589"/>
        <v>830298.54095276096</v>
      </c>
      <c r="AH656" s="34">
        <f t="shared" si="590"/>
        <v>0</v>
      </c>
      <c r="AI656" s="34">
        <f t="shared" si="591"/>
        <v>0</v>
      </c>
      <c r="AJ656" s="34">
        <f t="shared" si="592"/>
        <v>0</v>
      </c>
      <c r="AK656" s="34">
        <f t="shared" si="593"/>
        <v>0</v>
      </c>
      <c r="AL656" s="34">
        <f t="shared" si="594"/>
        <v>0</v>
      </c>
      <c r="AM656" s="34">
        <f t="shared" si="595"/>
        <v>0</v>
      </c>
      <c r="AN656" s="34">
        <f t="shared" si="596"/>
        <v>0</v>
      </c>
      <c r="AO656" s="34">
        <f t="shared" si="597"/>
        <v>0</v>
      </c>
      <c r="AP656" s="34">
        <f t="shared" si="598"/>
        <v>0</v>
      </c>
      <c r="AQ656" s="34">
        <f t="shared" si="599"/>
        <v>0</v>
      </c>
      <c r="AR656" s="34">
        <f t="shared" si="600"/>
        <v>0</v>
      </c>
      <c r="AS656" s="30">
        <f t="shared" si="601"/>
        <v>1.7170962596185515</v>
      </c>
      <c r="AT656" s="29">
        <f t="shared" si="602"/>
        <v>0</v>
      </c>
      <c r="AU656" s="29">
        <f t="shared" si="603"/>
        <v>0</v>
      </c>
      <c r="AV656" s="34">
        <f t="shared" si="604"/>
        <v>0</v>
      </c>
      <c r="AW656" s="34">
        <f t="shared" si="605"/>
        <v>0</v>
      </c>
      <c r="AX656" s="29">
        <f t="shared" si="606"/>
        <v>0</v>
      </c>
      <c r="AY656" s="34">
        <f t="shared" si="607"/>
        <v>0</v>
      </c>
      <c r="AZ656" s="37">
        <f t="shared" si="608"/>
        <v>0</v>
      </c>
      <c r="BA656" s="37">
        <f t="shared" si="609"/>
        <v>0</v>
      </c>
      <c r="BB656" s="35">
        <f t="shared" si="610"/>
        <v>1.0283306329852415E-3</v>
      </c>
      <c r="BC656" s="31">
        <f t="shared" si="611"/>
        <v>0.51164355622855839</v>
      </c>
      <c r="BD656" s="34">
        <f t="shared" si="612"/>
        <v>0</v>
      </c>
    </row>
    <row r="657" spans="1:56" x14ac:dyDescent="0.2">
      <c r="A657" s="27">
        <f t="shared" si="613"/>
        <v>653</v>
      </c>
      <c r="B657" s="28">
        <f t="shared" si="560"/>
        <v>653</v>
      </c>
      <c r="C657" s="27">
        <f t="shared" si="561"/>
        <v>54</v>
      </c>
      <c r="D657" s="28">
        <f t="shared" si="562"/>
        <v>74</v>
      </c>
      <c r="E657" s="29">
        <f t="shared" si="563"/>
        <v>0</v>
      </c>
      <c r="F657" s="30">
        <f t="shared" si="564"/>
        <v>8.2063750460013851E-3</v>
      </c>
      <c r="G657" s="31">
        <f t="shared" si="565"/>
        <v>6.8645034353087553E-4</v>
      </c>
      <c r="H657" s="32">
        <f t="shared" si="566"/>
        <v>0.02</v>
      </c>
      <c r="I657" s="32">
        <f t="shared" si="567"/>
        <v>0</v>
      </c>
      <c r="J657" s="33">
        <f t="shared" si="614"/>
        <v>0</v>
      </c>
      <c r="K657" s="30">
        <f t="shared" si="568"/>
        <v>0</v>
      </c>
      <c r="L657" s="33">
        <f t="shared" si="569"/>
        <v>0</v>
      </c>
      <c r="M657" s="30">
        <f t="shared" si="570"/>
        <v>0</v>
      </c>
      <c r="N657" s="33">
        <f t="shared" si="571"/>
        <v>0</v>
      </c>
      <c r="O657" s="31">
        <f t="shared" si="572"/>
        <v>0</v>
      </c>
      <c r="P657" s="33">
        <f t="shared" si="573"/>
        <v>0</v>
      </c>
      <c r="Q657" s="34">
        <f t="shared" si="615"/>
        <v>827972.02497461124</v>
      </c>
      <c r="R657" s="29">
        <f t="shared" si="574"/>
        <v>0</v>
      </c>
      <c r="S657" s="34">
        <f t="shared" si="575"/>
        <v>827972.02497461124</v>
      </c>
      <c r="T657" s="29">
        <f t="shared" si="576"/>
        <v>689.97668747884279</v>
      </c>
      <c r="U657" s="29">
        <f t="shared" si="577"/>
        <v>0</v>
      </c>
      <c r="V657" s="35">
        <f t="shared" si="578"/>
        <v>7.5509537788396317E-4</v>
      </c>
      <c r="W657" s="34">
        <f t="shared" si="579"/>
        <v>0</v>
      </c>
      <c r="X657" s="34">
        <f t="shared" si="580"/>
        <v>827282.04828713241</v>
      </c>
      <c r="Y657" s="36">
        <f t="shared" si="581"/>
        <v>-1.596789897225448E-3</v>
      </c>
      <c r="Z657" s="34">
        <f t="shared" si="582"/>
        <v>-1320.9956168608683</v>
      </c>
      <c r="AA657" s="34">
        <f t="shared" si="583"/>
        <v>826621.55047870195</v>
      </c>
      <c r="AB657" s="34">
        <f t="shared" si="584"/>
        <v>0</v>
      </c>
      <c r="AC657" s="34">
        <f t="shared" si="585"/>
        <v>0</v>
      </c>
      <c r="AD657" s="34">
        <f t="shared" si="586"/>
        <v>0</v>
      </c>
      <c r="AE657" s="34">
        <f t="shared" si="587"/>
        <v>0</v>
      </c>
      <c r="AF657" s="34">
        <f t="shared" si="588"/>
        <v>0</v>
      </c>
      <c r="AG657" s="29">
        <f t="shared" si="589"/>
        <v>826621.55047870195</v>
      </c>
      <c r="AH657" s="34">
        <f t="shared" si="590"/>
        <v>0</v>
      </c>
      <c r="AI657" s="34">
        <f t="shared" si="591"/>
        <v>0</v>
      </c>
      <c r="AJ657" s="34">
        <f t="shared" si="592"/>
        <v>0</v>
      </c>
      <c r="AK657" s="34">
        <f t="shared" si="593"/>
        <v>0</v>
      </c>
      <c r="AL657" s="34">
        <f t="shared" si="594"/>
        <v>0</v>
      </c>
      <c r="AM657" s="34">
        <f t="shared" si="595"/>
        <v>0</v>
      </c>
      <c r="AN657" s="34">
        <f t="shared" si="596"/>
        <v>0</v>
      </c>
      <c r="AO657" s="34">
        <f t="shared" si="597"/>
        <v>0</v>
      </c>
      <c r="AP657" s="34">
        <f t="shared" si="598"/>
        <v>0</v>
      </c>
      <c r="AQ657" s="34">
        <f t="shared" si="599"/>
        <v>0</v>
      </c>
      <c r="AR657" s="34">
        <f t="shared" si="600"/>
        <v>0</v>
      </c>
      <c r="AS657" s="30">
        <f t="shared" si="601"/>
        <v>1.7185206564119062</v>
      </c>
      <c r="AT657" s="29">
        <f t="shared" si="602"/>
        <v>0</v>
      </c>
      <c r="AU657" s="29">
        <f t="shared" si="603"/>
        <v>0</v>
      </c>
      <c r="AV657" s="34">
        <f t="shared" si="604"/>
        <v>0</v>
      </c>
      <c r="AW657" s="34">
        <f t="shared" si="605"/>
        <v>0</v>
      </c>
      <c r="AX657" s="29">
        <f t="shared" si="606"/>
        <v>0</v>
      </c>
      <c r="AY657" s="34">
        <f t="shared" si="607"/>
        <v>0</v>
      </c>
      <c r="AZ657" s="37">
        <f t="shared" si="608"/>
        <v>0</v>
      </c>
      <c r="BA657" s="37">
        <f t="shared" si="609"/>
        <v>0</v>
      </c>
      <c r="BB657" s="35">
        <f t="shared" si="610"/>
        <v>1.0283306329852415E-3</v>
      </c>
      <c r="BC657" s="31">
        <f t="shared" si="611"/>
        <v>0.51111795797530357</v>
      </c>
      <c r="BD657" s="34">
        <f t="shared" si="612"/>
        <v>0</v>
      </c>
    </row>
    <row r="658" spans="1:56" x14ac:dyDescent="0.2">
      <c r="A658" s="27">
        <f t="shared" si="613"/>
        <v>654</v>
      </c>
      <c r="B658" s="28">
        <f t="shared" si="560"/>
        <v>654</v>
      </c>
      <c r="C658" s="27">
        <f t="shared" si="561"/>
        <v>54</v>
      </c>
      <c r="D658" s="28">
        <f t="shared" si="562"/>
        <v>74</v>
      </c>
      <c r="E658" s="29">
        <f t="shared" si="563"/>
        <v>0</v>
      </c>
      <c r="F658" s="30">
        <f t="shared" si="564"/>
        <v>8.2063750460013851E-3</v>
      </c>
      <c r="G658" s="31">
        <f t="shared" si="565"/>
        <v>6.8645034353087553E-4</v>
      </c>
      <c r="H658" s="32">
        <f t="shared" si="566"/>
        <v>0.02</v>
      </c>
      <c r="I658" s="32">
        <f t="shared" si="567"/>
        <v>0</v>
      </c>
      <c r="J658" s="33">
        <f t="shared" si="614"/>
        <v>0</v>
      </c>
      <c r="K658" s="30">
        <f t="shared" si="568"/>
        <v>0</v>
      </c>
      <c r="L658" s="33">
        <f t="shared" si="569"/>
        <v>0</v>
      </c>
      <c r="M658" s="30">
        <f t="shared" si="570"/>
        <v>0</v>
      </c>
      <c r="N658" s="33">
        <f t="shared" si="571"/>
        <v>0</v>
      </c>
      <c r="O658" s="31">
        <f t="shared" si="572"/>
        <v>0</v>
      </c>
      <c r="P658" s="33">
        <f t="shared" si="573"/>
        <v>0</v>
      </c>
      <c r="Q658" s="34">
        <f t="shared" si="615"/>
        <v>825961.05267027149</v>
      </c>
      <c r="R658" s="29">
        <f t="shared" si="574"/>
        <v>0</v>
      </c>
      <c r="S658" s="34">
        <f t="shared" si="575"/>
        <v>825961.05267027149</v>
      </c>
      <c r="T658" s="29">
        <f t="shared" si="576"/>
        <v>688.30087722522626</v>
      </c>
      <c r="U658" s="29">
        <f t="shared" si="577"/>
        <v>0</v>
      </c>
      <c r="V658" s="35">
        <f t="shared" si="578"/>
        <v>7.5509537788396317E-4</v>
      </c>
      <c r="W658" s="34">
        <f t="shared" si="579"/>
        <v>0</v>
      </c>
      <c r="X658" s="34">
        <f t="shared" si="580"/>
        <v>825272.75179304625</v>
      </c>
      <c r="Y658" s="36">
        <f t="shared" si="581"/>
        <v>-1.0166704506403557E-2</v>
      </c>
      <c r="Z658" s="34">
        <f t="shared" si="582"/>
        <v>-8390.3042046664268</v>
      </c>
      <c r="AA658" s="34">
        <f t="shared" si="583"/>
        <v>821077.59969071299</v>
      </c>
      <c r="AB658" s="34">
        <f t="shared" si="584"/>
        <v>0</v>
      </c>
      <c r="AC658" s="34">
        <f t="shared" si="585"/>
        <v>0</v>
      </c>
      <c r="AD658" s="34">
        <f t="shared" si="586"/>
        <v>0</v>
      </c>
      <c r="AE658" s="34">
        <f t="shared" si="587"/>
        <v>0</v>
      </c>
      <c r="AF658" s="34">
        <f t="shared" si="588"/>
        <v>0</v>
      </c>
      <c r="AG658" s="29">
        <f t="shared" si="589"/>
        <v>821077.59969071299</v>
      </c>
      <c r="AH658" s="34">
        <f t="shared" si="590"/>
        <v>0</v>
      </c>
      <c r="AI658" s="34">
        <f t="shared" si="591"/>
        <v>0</v>
      </c>
      <c r="AJ658" s="34">
        <f t="shared" si="592"/>
        <v>0</v>
      </c>
      <c r="AK658" s="34">
        <f t="shared" si="593"/>
        <v>0</v>
      </c>
      <c r="AL658" s="34">
        <f t="shared" si="594"/>
        <v>0</v>
      </c>
      <c r="AM658" s="34">
        <f t="shared" si="595"/>
        <v>0</v>
      </c>
      <c r="AN658" s="34">
        <f t="shared" si="596"/>
        <v>0</v>
      </c>
      <c r="AO658" s="34">
        <f t="shared" si="597"/>
        <v>0</v>
      </c>
      <c r="AP658" s="34">
        <f t="shared" si="598"/>
        <v>0</v>
      </c>
      <c r="AQ658" s="34">
        <f t="shared" si="599"/>
        <v>0</v>
      </c>
      <c r="AR658" s="34">
        <f t="shared" si="600"/>
        <v>0</v>
      </c>
      <c r="AS658" s="30">
        <f t="shared" si="601"/>
        <v>1.7199462347966914</v>
      </c>
      <c r="AT658" s="29">
        <f t="shared" si="602"/>
        <v>0</v>
      </c>
      <c r="AU658" s="29">
        <f t="shared" si="603"/>
        <v>0</v>
      </c>
      <c r="AV658" s="34">
        <f t="shared" si="604"/>
        <v>0</v>
      </c>
      <c r="AW658" s="34">
        <f t="shared" si="605"/>
        <v>0</v>
      </c>
      <c r="AX658" s="29">
        <f t="shared" si="606"/>
        <v>0</v>
      </c>
      <c r="AY658" s="34">
        <f t="shared" si="607"/>
        <v>0</v>
      </c>
      <c r="AZ658" s="37">
        <f t="shared" si="608"/>
        <v>0</v>
      </c>
      <c r="BA658" s="37">
        <f t="shared" si="609"/>
        <v>0</v>
      </c>
      <c r="BB658" s="35">
        <f t="shared" si="610"/>
        <v>1.0283306329852415E-3</v>
      </c>
      <c r="BC658" s="31">
        <f t="shared" si="611"/>
        <v>0.51059289965560306</v>
      </c>
      <c r="BD658" s="34">
        <f t="shared" si="612"/>
        <v>0</v>
      </c>
    </row>
    <row r="659" spans="1:56" x14ac:dyDescent="0.2">
      <c r="A659" s="27">
        <f t="shared" si="613"/>
        <v>655</v>
      </c>
      <c r="B659" s="28">
        <f t="shared" si="560"/>
        <v>655</v>
      </c>
      <c r="C659" s="27">
        <f t="shared" si="561"/>
        <v>54</v>
      </c>
      <c r="D659" s="28">
        <f t="shared" si="562"/>
        <v>74</v>
      </c>
      <c r="E659" s="29">
        <f t="shared" si="563"/>
        <v>0</v>
      </c>
      <c r="F659" s="30">
        <f t="shared" si="564"/>
        <v>8.2063750460013851E-3</v>
      </c>
      <c r="G659" s="31">
        <f t="shared" si="565"/>
        <v>6.8645034353087553E-4</v>
      </c>
      <c r="H659" s="32">
        <f t="shared" si="566"/>
        <v>0.02</v>
      </c>
      <c r="I659" s="32">
        <f t="shared" si="567"/>
        <v>0</v>
      </c>
      <c r="J659" s="33">
        <f t="shared" si="614"/>
        <v>0</v>
      </c>
      <c r="K659" s="30">
        <f t="shared" si="568"/>
        <v>0</v>
      </c>
      <c r="L659" s="33">
        <f t="shared" si="569"/>
        <v>0</v>
      </c>
      <c r="M659" s="30">
        <f t="shared" si="570"/>
        <v>0</v>
      </c>
      <c r="N659" s="33">
        <f t="shared" si="571"/>
        <v>0</v>
      </c>
      <c r="O659" s="31">
        <f t="shared" si="572"/>
        <v>0</v>
      </c>
      <c r="P659" s="33">
        <f t="shared" si="573"/>
        <v>0</v>
      </c>
      <c r="Q659" s="34">
        <f t="shared" si="615"/>
        <v>816882.44758837984</v>
      </c>
      <c r="R659" s="29">
        <f t="shared" si="574"/>
        <v>0</v>
      </c>
      <c r="S659" s="34">
        <f t="shared" si="575"/>
        <v>816882.44758837984</v>
      </c>
      <c r="T659" s="29">
        <f t="shared" si="576"/>
        <v>680.73537299031659</v>
      </c>
      <c r="U659" s="29">
        <f t="shared" si="577"/>
        <v>0</v>
      </c>
      <c r="V659" s="35">
        <f t="shared" si="578"/>
        <v>7.5509537788396317E-4</v>
      </c>
      <c r="W659" s="34">
        <f t="shared" si="579"/>
        <v>0</v>
      </c>
      <c r="X659" s="34">
        <f t="shared" si="580"/>
        <v>816201.71221538947</v>
      </c>
      <c r="Y659" s="36">
        <f t="shared" si="581"/>
        <v>-2.1219269797545515E-4</v>
      </c>
      <c r="Z659" s="34">
        <f t="shared" si="582"/>
        <v>-173.19204340716951</v>
      </c>
      <c r="AA659" s="34">
        <f t="shared" si="583"/>
        <v>816115.11619368591</v>
      </c>
      <c r="AB659" s="34">
        <f t="shared" si="584"/>
        <v>0</v>
      </c>
      <c r="AC659" s="34">
        <f t="shared" si="585"/>
        <v>0</v>
      </c>
      <c r="AD659" s="34">
        <f t="shared" si="586"/>
        <v>0</v>
      </c>
      <c r="AE659" s="34">
        <f t="shared" si="587"/>
        <v>0</v>
      </c>
      <c r="AF659" s="34">
        <f t="shared" si="588"/>
        <v>0</v>
      </c>
      <c r="AG659" s="29">
        <f t="shared" si="589"/>
        <v>816115.11619368591</v>
      </c>
      <c r="AH659" s="34">
        <f t="shared" si="590"/>
        <v>0</v>
      </c>
      <c r="AI659" s="34">
        <f t="shared" si="591"/>
        <v>0</v>
      </c>
      <c r="AJ659" s="34">
        <f t="shared" si="592"/>
        <v>0</v>
      </c>
      <c r="AK659" s="34">
        <f t="shared" si="593"/>
        <v>0</v>
      </c>
      <c r="AL659" s="34">
        <f t="shared" si="594"/>
        <v>0</v>
      </c>
      <c r="AM659" s="34">
        <f t="shared" si="595"/>
        <v>0</v>
      </c>
      <c r="AN659" s="34">
        <f t="shared" si="596"/>
        <v>0</v>
      </c>
      <c r="AO659" s="34">
        <f t="shared" si="597"/>
        <v>0</v>
      </c>
      <c r="AP659" s="34">
        <f t="shared" si="598"/>
        <v>0</v>
      </c>
      <c r="AQ659" s="34">
        <f t="shared" si="599"/>
        <v>0</v>
      </c>
      <c r="AR659" s="34">
        <f t="shared" si="600"/>
        <v>0</v>
      </c>
      <c r="AS659" s="30">
        <f t="shared" si="601"/>
        <v>1.7213729957530814</v>
      </c>
      <c r="AT659" s="29">
        <f t="shared" si="602"/>
        <v>0</v>
      </c>
      <c r="AU659" s="29">
        <f t="shared" si="603"/>
        <v>0</v>
      </c>
      <c r="AV659" s="34">
        <f t="shared" si="604"/>
        <v>0</v>
      </c>
      <c r="AW659" s="34">
        <f t="shared" si="605"/>
        <v>0</v>
      </c>
      <c r="AX659" s="29">
        <f t="shared" si="606"/>
        <v>0</v>
      </c>
      <c r="AY659" s="34">
        <f t="shared" si="607"/>
        <v>0</v>
      </c>
      <c r="AZ659" s="37">
        <f t="shared" si="608"/>
        <v>0</v>
      </c>
      <c r="BA659" s="37">
        <f t="shared" si="609"/>
        <v>0</v>
      </c>
      <c r="BB659" s="35">
        <f t="shared" si="610"/>
        <v>1.0283306329852415E-3</v>
      </c>
      <c r="BC659" s="31">
        <f t="shared" si="611"/>
        <v>0.51006838071479677</v>
      </c>
      <c r="BD659" s="34">
        <f t="shared" si="612"/>
        <v>0</v>
      </c>
    </row>
    <row r="660" spans="1:56" x14ac:dyDescent="0.2">
      <c r="A660" s="27">
        <f t="shared" si="613"/>
        <v>656</v>
      </c>
      <c r="B660" s="28">
        <f t="shared" si="560"/>
        <v>656</v>
      </c>
      <c r="C660" s="27">
        <f t="shared" si="561"/>
        <v>54</v>
      </c>
      <c r="D660" s="28">
        <f t="shared" si="562"/>
        <v>74</v>
      </c>
      <c r="E660" s="29">
        <f t="shared" si="563"/>
        <v>0</v>
      </c>
      <c r="F660" s="30">
        <f t="shared" si="564"/>
        <v>8.2063750460013851E-3</v>
      </c>
      <c r="G660" s="31">
        <f t="shared" si="565"/>
        <v>6.8645034353087553E-4</v>
      </c>
      <c r="H660" s="32">
        <f t="shared" si="566"/>
        <v>0.02</v>
      </c>
      <c r="I660" s="32">
        <f t="shared" si="567"/>
        <v>0</v>
      </c>
      <c r="J660" s="33">
        <f t="shared" si="614"/>
        <v>0</v>
      </c>
      <c r="K660" s="30">
        <f t="shared" si="568"/>
        <v>0</v>
      </c>
      <c r="L660" s="33">
        <f t="shared" si="569"/>
        <v>0</v>
      </c>
      <c r="M660" s="30">
        <f t="shared" si="570"/>
        <v>0</v>
      </c>
      <c r="N660" s="33">
        <f t="shared" si="571"/>
        <v>0</v>
      </c>
      <c r="O660" s="31">
        <f t="shared" si="572"/>
        <v>0</v>
      </c>
      <c r="P660" s="33">
        <f t="shared" si="573"/>
        <v>0</v>
      </c>
      <c r="Q660" s="34">
        <f t="shared" si="615"/>
        <v>816028.52017198235</v>
      </c>
      <c r="R660" s="29">
        <f t="shared" si="574"/>
        <v>0</v>
      </c>
      <c r="S660" s="34">
        <f t="shared" si="575"/>
        <v>816028.52017198235</v>
      </c>
      <c r="T660" s="29">
        <f t="shared" si="576"/>
        <v>680.02376680998532</v>
      </c>
      <c r="U660" s="29">
        <f t="shared" si="577"/>
        <v>0</v>
      </c>
      <c r="V660" s="35">
        <f t="shared" si="578"/>
        <v>7.5509537788396317E-4</v>
      </c>
      <c r="W660" s="34">
        <f t="shared" si="579"/>
        <v>0</v>
      </c>
      <c r="X660" s="34">
        <f t="shared" si="580"/>
        <v>815348.49640517239</v>
      </c>
      <c r="Y660" s="36">
        <f t="shared" si="581"/>
        <v>6.5802330494824091E-4</v>
      </c>
      <c r="Z660" s="34">
        <f t="shared" si="582"/>
        <v>536.51831228911044</v>
      </c>
      <c r="AA660" s="34">
        <f t="shared" si="583"/>
        <v>815616.75556131697</v>
      </c>
      <c r="AB660" s="34">
        <f t="shared" si="584"/>
        <v>0</v>
      </c>
      <c r="AC660" s="34">
        <f t="shared" si="585"/>
        <v>0</v>
      </c>
      <c r="AD660" s="34">
        <f t="shared" si="586"/>
        <v>0</v>
      </c>
      <c r="AE660" s="34">
        <f t="shared" si="587"/>
        <v>0</v>
      </c>
      <c r="AF660" s="34">
        <f t="shared" si="588"/>
        <v>0</v>
      </c>
      <c r="AG660" s="29">
        <f t="shared" si="589"/>
        <v>815616.75556131697</v>
      </c>
      <c r="AH660" s="34">
        <f t="shared" si="590"/>
        <v>0</v>
      </c>
      <c r="AI660" s="34">
        <f t="shared" si="591"/>
        <v>0</v>
      </c>
      <c r="AJ660" s="34">
        <f t="shared" si="592"/>
        <v>0</v>
      </c>
      <c r="AK660" s="34">
        <f t="shared" si="593"/>
        <v>0</v>
      </c>
      <c r="AL660" s="34">
        <f t="shared" si="594"/>
        <v>0</v>
      </c>
      <c r="AM660" s="34">
        <f t="shared" si="595"/>
        <v>0</v>
      </c>
      <c r="AN660" s="34">
        <f t="shared" si="596"/>
        <v>0</v>
      </c>
      <c r="AO660" s="34">
        <f t="shared" si="597"/>
        <v>0</v>
      </c>
      <c r="AP660" s="34">
        <f t="shared" si="598"/>
        <v>0</v>
      </c>
      <c r="AQ660" s="34">
        <f t="shared" si="599"/>
        <v>0</v>
      </c>
      <c r="AR660" s="34">
        <f t="shared" si="600"/>
        <v>0</v>
      </c>
      <c r="AS660" s="30">
        <f t="shared" si="601"/>
        <v>1.722800940262065</v>
      </c>
      <c r="AT660" s="29">
        <f t="shared" si="602"/>
        <v>0</v>
      </c>
      <c r="AU660" s="29">
        <f t="shared" si="603"/>
        <v>0</v>
      </c>
      <c r="AV660" s="34">
        <f t="shared" si="604"/>
        <v>0</v>
      </c>
      <c r="AW660" s="34">
        <f t="shared" si="605"/>
        <v>0</v>
      </c>
      <c r="AX660" s="29">
        <f t="shared" si="606"/>
        <v>0</v>
      </c>
      <c r="AY660" s="34">
        <f t="shared" si="607"/>
        <v>0</v>
      </c>
      <c r="AZ660" s="37">
        <f t="shared" si="608"/>
        <v>0</v>
      </c>
      <c r="BA660" s="37">
        <f t="shared" si="609"/>
        <v>0</v>
      </c>
      <c r="BB660" s="35">
        <f t="shared" si="610"/>
        <v>1.0283306329852415E-3</v>
      </c>
      <c r="BC660" s="31">
        <f t="shared" si="611"/>
        <v>0.50954440059879491</v>
      </c>
      <c r="BD660" s="34">
        <f t="shared" si="612"/>
        <v>0</v>
      </c>
    </row>
    <row r="661" spans="1:56" x14ac:dyDescent="0.2">
      <c r="A661" s="27">
        <f t="shared" si="613"/>
        <v>657</v>
      </c>
      <c r="B661" s="28">
        <f t="shared" si="560"/>
        <v>657</v>
      </c>
      <c r="C661" s="27">
        <f t="shared" si="561"/>
        <v>54</v>
      </c>
      <c r="D661" s="28">
        <f t="shared" si="562"/>
        <v>74</v>
      </c>
      <c r="E661" s="29">
        <f t="shared" si="563"/>
        <v>0</v>
      </c>
      <c r="F661" s="30">
        <f t="shared" si="564"/>
        <v>8.2063750460013851E-3</v>
      </c>
      <c r="G661" s="31">
        <f t="shared" si="565"/>
        <v>6.8645034353087553E-4</v>
      </c>
      <c r="H661" s="32">
        <f t="shared" si="566"/>
        <v>0.02</v>
      </c>
      <c r="I661" s="32">
        <f t="shared" si="567"/>
        <v>0</v>
      </c>
      <c r="J661" s="33">
        <f t="shared" si="614"/>
        <v>0</v>
      </c>
      <c r="K661" s="30">
        <f t="shared" si="568"/>
        <v>0</v>
      </c>
      <c r="L661" s="33">
        <f t="shared" si="569"/>
        <v>0</v>
      </c>
      <c r="M661" s="30">
        <f t="shared" si="570"/>
        <v>0</v>
      </c>
      <c r="N661" s="33">
        <f t="shared" si="571"/>
        <v>0</v>
      </c>
      <c r="O661" s="31">
        <f t="shared" si="572"/>
        <v>0</v>
      </c>
      <c r="P661" s="33">
        <f t="shared" si="573"/>
        <v>0</v>
      </c>
      <c r="Q661" s="34">
        <f t="shared" si="615"/>
        <v>815885.01471746154</v>
      </c>
      <c r="R661" s="29">
        <f t="shared" si="574"/>
        <v>0</v>
      </c>
      <c r="S661" s="34">
        <f t="shared" si="575"/>
        <v>815885.01471746154</v>
      </c>
      <c r="T661" s="29">
        <f t="shared" si="576"/>
        <v>679.90417893121798</v>
      </c>
      <c r="U661" s="29">
        <f t="shared" si="577"/>
        <v>0</v>
      </c>
      <c r="V661" s="35">
        <f t="shared" si="578"/>
        <v>7.5509537788396317E-4</v>
      </c>
      <c r="W661" s="34">
        <f t="shared" si="579"/>
        <v>0</v>
      </c>
      <c r="X661" s="34">
        <f t="shared" si="580"/>
        <v>815205.11053853028</v>
      </c>
      <c r="Y661" s="36">
        <f t="shared" si="581"/>
        <v>-3.1498151852041856E-3</v>
      </c>
      <c r="Z661" s="34">
        <f t="shared" si="582"/>
        <v>-2567.7454362303192</v>
      </c>
      <c r="AA661" s="34">
        <f t="shared" si="583"/>
        <v>813921.23782041518</v>
      </c>
      <c r="AB661" s="34">
        <f t="shared" si="584"/>
        <v>0</v>
      </c>
      <c r="AC661" s="34">
        <f t="shared" si="585"/>
        <v>0</v>
      </c>
      <c r="AD661" s="34">
        <f t="shared" si="586"/>
        <v>0</v>
      </c>
      <c r="AE661" s="34">
        <f t="shared" si="587"/>
        <v>0</v>
      </c>
      <c r="AF661" s="34">
        <f t="shared" si="588"/>
        <v>0</v>
      </c>
      <c r="AG661" s="29">
        <f t="shared" si="589"/>
        <v>813921.23782041518</v>
      </c>
      <c r="AH661" s="34">
        <f t="shared" si="590"/>
        <v>0</v>
      </c>
      <c r="AI661" s="34">
        <f t="shared" si="591"/>
        <v>0</v>
      </c>
      <c r="AJ661" s="34">
        <f t="shared" si="592"/>
        <v>0</v>
      </c>
      <c r="AK661" s="34">
        <f t="shared" si="593"/>
        <v>0</v>
      </c>
      <c r="AL661" s="34">
        <f t="shared" si="594"/>
        <v>0</v>
      </c>
      <c r="AM661" s="34">
        <f t="shared" si="595"/>
        <v>0</v>
      </c>
      <c r="AN661" s="34">
        <f t="shared" si="596"/>
        <v>0</v>
      </c>
      <c r="AO661" s="34">
        <f t="shared" si="597"/>
        <v>0</v>
      </c>
      <c r="AP661" s="34">
        <f t="shared" si="598"/>
        <v>0</v>
      </c>
      <c r="AQ661" s="34">
        <f t="shared" si="599"/>
        <v>0</v>
      </c>
      <c r="AR661" s="34">
        <f t="shared" si="600"/>
        <v>0</v>
      </c>
      <c r="AS661" s="30">
        <f t="shared" si="601"/>
        <v>1.724230069305444</v>
      </c>
      <c r="AT661" s="29">
        <f t="shared" si="602"/>
        <v>0</v>
      </c>
      <c r="AU661" s="29">
        <f t="shared" si="603"/>
        <v>0</v>
      </c>
      <c r="AV661" s="34">
        <f t="shared" si="604"/>
        <v>0</v>
      </c>
      <c r="AW661" s="34">
        <f t="shared" si="605"/>
        <v>0</v>
      </c>
      <c r="AX661" s="29">
        <f t="shared" si="606"/>
        <v>0</v>
      </c>
      <c r="AY661" s="34">
        <f t="shared" si="607"/>
        <v>0</v>
      </c>
      <c r="AZ661" s="37">
        <f t="shared" si="608"/>
        <v>0</v>
      </c>
      <c r="BA661" s="37">
        <f t="shared" si="609"/>
        <v>0</v>
      </c>
      <c r="BB661" s="35">
        <f t="shared" si="610"/>
        <v>1.0283306329852415E-3</v>
      </c>
      <c r="BC661" s="31">
        <f t="shared" si="611"/>
        <v>0.5090209587540766</v>
      </c>
      <c r="BD661" s="34">
        <f t="shared" si="612"/>
        <v>0</v>
      </c>
    </row>
    <row r="662" spans="1:56" x14ac:dyDescent="0.2">
      <c r="A662" s="27">
        <f t="shared" si="613"/>
        <v>658</v>
      </c>
      <c r="B662" s="28">
        <f t="shared" si="560"/>
        <v>658</v>
      </c>
      <c r="C662" s="27">
        <f t="shared" si="561"/>
        <v>54</v>
      </c>
      <c r="D662" s="28">
        <f t="shared" si="562"/>
        <v>74</v>
      </c>
      <c r="E662" s="29">
        <f t="shared" si="563"/>
        <v>0</v>
      </c>
      <c r="F662" s="30">
        <f t="shared" si="564"/>
        <v>8.2063750460013851E-3</v>
      </c>
      <c r="G662" s="31">
        <f t="shared" si="565"/>
        <v>6.8645034353087553E-4</v>
      </c>
      <c r="H662" s="32">
        <f t="shared" si="566"/>
        <v>0.02</v>
      </c>
      <c r="I662" s="32">
        <f t="shared" si="567"/>
        <v>0</v>
      </c>
      <c r="J662" s="33">
        <f t="shared" si="614"/>
        <v>0</v>
      </c>
      <c r="K662" s="30">
        <f t="shared" si="568"/>
        <v>0</v>
      </c>
      <c r="L662" s="33">
        <f t="shared" si="569"/>
        <v>0</v>
      </c>
      <c r="M662" s="30">
        <f t="shared" si="570"/>
        <v>0</v>
      </c>
      <c r="N662" s="33">
        <f t="shared" si="571"/>
        <v>0</v>
      </c>
      <c r="O662" s="31">
        <f t="shared" si="572"/>
        <v>0</v>
      </c>
      <c r="P662" s="33">
        <f t="shared" si="573"/>
        <v>0</v>
      </c>
      <c r="Q662" s="34">
        <f t="shared" si="615"/>
        <v>812637.36510229995</v>
      </c>
      <c r="R662" s="29">
        <f t="shared" si="574"/>
        <v>0</v>
      </c>
      <c r="S662" s="34">
        <f t="shared" si="575"/>
        <v>812637.36510229995</v>
      </c>
      <c r="T662" s="29">
        <f t="shared" si="576"/>
        <v>677.19780425191664</v>
      </c>
      <c r="U662" s="29">
        <f t="shared" si="577"/>
        <v>0</v>
      </c>
      <c r="V662" s="35">
        <f t="shared" si="578"/>
        <v>7.5509537788396317E-4</v>
      </c>
      <c r="W662" s="34">
        <f t="shared" si="579"/>
        <v>0</v>
      </c>
      <c r="X662" s="34">
        <f t="shared" si="580"/>
        <v>811960.16729804804</v>
      </c>
      <c r="Y662" s="36">
        <f t="shared" si="581"/>
        <v>-3.1385088130145844E-3</v>
      </c>
      <c r="Z662" s="34">
        <f t="shared" si="582"/>
        <v>-2548.3441408817203</v>
      </c>
      <c r="AA662" s="34">
        <f t="shared" si="583"/>
        <v>810685.9952276072</v>
      </c>
      <c r="AB662" s="34">
        <f t="shared" si="584"/>
        <v>0</v>
      </c>
      <c r="AC662" s="34">
        <f t="shared" si="585"/>
        <v>0</v>
      </c>
      <c r="AD662" s="34">
        <f t="shared" si="586"/>
        <v>0</v>
      </c>
      <c r="AE662" s="34">
        <f t="shared" si="587"/>
        <v>0</v>
      </c>
      <c r="AF662" s="34">
        <f t="shared" si="588"/>
        <v>0</v>
      </c>
      <c r="AG662" s="29">
        <f t="shared" si="589"/>
        <v>810685.9952276072</v>
      </c>
      <c r="AH662" s="34">
        <f t="shared" si="590"/>
        <v>0</v>
      </c>
      <c r="AI662" s="34">
        <f t="shared" si="591"/>
        <v>0</v>
      </c>
      <c r="AJ662" s="34">
        <f t="shared" si="592"/>
        <v>0</v>
      </c>
      <c r="AK662" s="34">
        <f t="shared" si="593"/>
        <v>0</v>
      </c>
      <c r="AL662" s="34">
        <f t="shared" si="594"/>
        <v>0</v>
      </c>
      <c r="AM662" s="34">
        <f t="shared" si="595"/>
        <v>0</v>
      </c>
      <c r="AN662" s="34">
        <f t="shared" si="596"/>
        <v>0</v>
      </c>
      <c r="AO662" s="34">
        <f t="shared" si="597"/>
        <v>0</v>
      </c>
      <c r="AP662" s="34">
        <f t="shared" si="598"/>
        <v>0</v>
      </c>
      <c r="AQ662" s="34">
        <f t="shared" si="599"/>
        <v>0</v>
      </c>
      <c r="AR662" s="34">
        <f t="shared" si="600"/>
        <v>0</v>
      </c>
      <c r="AS662" s="30">
        <f t="shared" si="601"/>
        <v>1.7256603838658346</v>
      </c>
      <c r="AT662" s="29">
        <f t="shared" si="602"/>
        <v>0</v>
      </c>
      <c r="AU662" s="29">
        <f t="shared" si="603"/>
        <v>0</v>
      </c>
      <c r="AV662" s="34">
        <f t="shared" si="604"/>
        <v>0</v>
      </c>
      <c r="AW662" s="34">
        <f t="shared" si="605"/>
        <v>0</v>
      </c>
      <c r="AX662" s="29">
        <f t="shared" si="606"/>
        <v>0</v>
      </c>
      <c r="AY662" s="34">
        <f t="shared" si="607"/>
        <v>0</v>
      </c>
      <c r="AZ662" s="37">
        <f t="shared" si="608"/>
        <v>0</v>
      </c>
      <c r="BA662" s="37">
        <f t="shared" si="609"/>
        <v>0</v>
      </c>
      <c r="BB662" s="35">
        <f t="shared" si="610"/>
        <v>1.0283306329852415E-3</v>
      </c>
      <c r="BC662" s="31">
        <f t="shared" si="611"/>
        <v>0.5084980546276896</v>
      </c>
      <c r="BD662" s="34">
        <f t="shared" si="612"/>
        <v>0</v>
      </c>
    </row>
    <row r="663" spans="1:56" x14ac:dyDescent="0.2">
      <c r="A663" s="27">
        <f t="shared" si="613"/>
        <v>659</v>
      </c>
      <c r="B663" s="28">
        <f t="shared" si="560"/>
        <v>659</v>
      </c>
      <c r="C663" s="27">
        <f t="shared" si="561"/>
        <v>54</v>
      </c>
      <c r="D663" s="28">
        <f t="shared" si="562"/>
        <v>74</v>
      </c>
      <c r="E663" s="29">
        <f t="shared" si="563"/>
        <v>0</v>
      </c>
      <c r="F663" s="30">
        <f t="shared" si="564"/>
        <v>8.2063750460013851E-3</v>
      </c>
      <c r="G663" s="31">
        <f t="shared" si="565"/>
        <v>6.8645034353087553E-4</v>
      </c>
      <c r="H663" s="32">
        <f t="shared" si="566"/>
        <v>0.02</v>
      </c>
      <c r="I663" s="32">
        <f t="shared" si="567"/>
        <v>0</v>
      </c>
      <c r="J663" s="33">
        <f t="shared" si="614"/>
        <v>0</v>
      </c>
      <c r="K663" s="30">
        <f t="shared" si="568"/>
        <v>0</v>
      </c>
      <c r="L663" s="33">
        <f t="shared" si="569"/>
        <v>0</v>
      </c>
      <c r="M663" s="30">
        <f t="shared" si="570"/>
        <v>0</v>
      </c>
      <c r="N663" s="33">
        <f t="shared" si="571"/>
        <v>0</v>
      </c>
      <c r="O663" s="31">
        <f t="shared" si="572"/>
        <v>0</v>
      </c>
      <c r="P663" s="33">
        <f t="shared" si="573"/>
        <v>0</v>
      </c>
      <c r="Q663" s="34">
        <f t="shared" si="615"/>
        <v>809411.82315716636</v>
      </c>
      <c r="R663" s="29">
        <f t="shared" si="574"/>
        <v>0</v>
      </c>
      <c r="S663" s="34">
        <f t="shared" si="575"/>
        <v>809411.82315716636</v>
      </c>
      <c r="T663" s="29">
        <f t="shared" si="576"/>
        <v>674.50985263097198</v>
      </c>
      <c r="U663" s="29">
        <f t="shared" si="577"/>
        <v>0</v>
      </c>
      <c r="V663" s="35">
        <f t="shared" si="578"/>
        <v>7.5509537788396317E-4</v>
      </c>
      <c r="W663" s="34">
        <f t="shared" si="579"/>
        <v>0</v>
      </c>
      <c r="X663" s="34">
        <f t="shared" si="580"/>
        <v>808737.31330453535</v>
      </c>
      <c r="Y663" s="36">
        <f t="shared" si="581"/>
        <v>-2.522127288421161E-3</v>
      </c>
      <c r="Z663" s="34">
        <f t="shared" si="582"/>
        <v>-2039.7384470497827</v>
      </c>
      <c r="AA663" s="34">
        <f t="shared" si="583"/>
        <v>807717.44408101041</v>
      </c>
      <c r="AB663" s="34">
        <f t="shared" si="584"/>
        <v>0</v>
      </c>
      <c r="AC663" s="34">
        <f t="shared" si="585"/>
        <v>0</v>
      </c>
      <c r="AD663" s="34">
        <f t="shared" si="586"/>
        <v>0</v>
      </c>
      <c r="AE663" s="34">
        <f t="shared" si="587"/>
        <v>0</v>
      </c>
      <c r="AF663" s="34">
        <f t="shared" si="588"/>
        <v>0</v>
      </c>
      <c r="AG663" s="29">
        <f t="shared" si="589"/>
        <v>807717.44408101041</v>
      </c>
      <c r="AH663" s="34">
        <f t="shared" si="590"/>
        <v>0</v>
      </c>
      <c r="AI663" s="34">
        <f t="shared" si="591"/>
        <v>0</v>
      </c>
      <c r="AJ663" s="34">
        <f t="shared" si="592"/>
        <v>0</v>
      </c>
      <c r="AK663" s="34">
        <f t="shared" si="593"/>
        <v>0</v>
      </c>
      <c r="AL663" s="34">
        <f t="shared" si="594"/>
        <v>0</v>
      </c>
      <c r="AM663" s="34">
        <f t="shared" si="595"/>
        <v>0</v>
      </c>
      <c r="AN663" s="34">
        <f t="shared" si="596"/>
        <v>0</v>
      </c>
      <c r="AO663" s="34">
        <f t="shared" si="597"/>
        <v>0</v>
      </c>
      <c r="AP663" s="34">
        <f t="shared" si="598"/>
        <v>0</v>
      </c>
      <c r="AQ663" s="34">
        <f t="shared" si="599"/>
        <v>0</v>
      </c>
      <c r="AR663" s="34">
        <f t="shared" si="600"/>
        <v>0</v>
      </c>
      <c r="AS663" s="30">
        <f t="shared" si="601"/>
        <v>1.7270918849266688</v>
      </c>
      <c r="AT663" s="29">
        <f t="shared" si="602"/>
        <v>0</v>
      </c>
      <c r="AU663" s="29">
        <f t="shared" si="603"/>
        <v>0</v>
      </c>
      <c r="AV663" s="34">
        <f t="shared" si="604"/>
        <v>0</v>
      </c>
      <c r="AW663" s="34">
        <f t="shared" si="605"/>
        <v>0</v>
      </c>
      <c r="AX663" s="29">
        <f t="shared" si="606"/>
        <v>0</v>
      </c>
      <c r="AY663" s="34">
        <f t="shared" si="607"/>
        <v>0</v>
      </c>
      <c r="AZ663" s="37">
        <f t="shared" si="608"/>
        <v>0</v>
      </c>
      <c r="BA663" s="37">
        <f t="shared" si="609"/>
        <v>0</v>
      </c>
      <c r="BB663" s="35">
        <f t="shared" si="610"/>
        <v>1.0283306329852415E-3</v>
      </c>
      <c r="BC663" s="31">
        <f t="shared" si="611"/>
        <v>0.50797568766724965</v>
      </c>
      <c r="BD663" s="34">
        <f t="shared" si="612"/>
        <v>0</v>
      </c>
    </row>
    <row r="664" spans="1:56" x14ac:dyDescent="0.2">
      <c r="A664" s="27">
        <f t="shared" si="613"/>
        <v>660</v>
      </c>
      <c r="B664" s="28">
        <f t="shared" si="560"/>
        <v>660</v>
      </c>
      <c r="C664" s="27">
        <f t="shared" si="561"/>
        <v>55</v>
      </c>
      <c r="D664" s="28">
        <f t="shared" si="562"/>
        <v>75</v>
      </c>
      <c r="E664" s="29">
        <f t="shared" si="563"/>
        <v>0</v>
      </c>
      <c r="F664" s="30">
        <f t="shared" si="564"/>
        <v>9.0426415998366896E-3</v>
      </c>
      <c r="G664" s="31">
        <f t="shared" si="565"/>
        <v>7.5669476513384737E-4</v>
      </c>
      <c r="H664" s="32">
        <f t="shared" si="566"/>
        <v>0.02</v>
      </c>
      <c r="I664" s="32">
        <f t="shared" si="567"/>
        <v>0</v>
      </c>
      <c r="J664" s="33">
        <f t="shared" si="614"/>
        <v>0</v>
      </c>
      <c r="K664" s="30">
        <f t="shared" si="568"/>
        <v>0</v>
      </c>
      <c r="L664" s="33">
        <f t="shared" si="569"/>
        <v>0</v>
      </c>
      <c r="M664" s="30">
        <f t="shared" si="570"/>
        <v>0</v>
      </c>
      <c r="N664" s="33">
        <f t="shared" si="571"/>
        <v>0</v>
      </c>
      <c r="O664" s="31">
        <f t="shared" si="572"/>
        <v>0</v>
      </c>
      <c r="P664" s="33">
        <f t="shared" si="573"/>
        <v>0</v>
      </c>
      <c r="Q664" s="34">
        <f t="shared" si="615"/>
        <v>806697.5748574856</v>
      </c>
      <c r="R664" s="29">
        <f t="shared" si="574"/>
        <v>0</v>
      </c>
      <c r="S664" s="34">
        <f t="shared" si="575"/>
        <v>806697.5748574856</v>
      </c>
      <c r="T664" s="29">
        <f t="shared" si="576"/>
        <v>672.24797904790466</v>
      </c>
      <c r="U664" s="29">
        <f t="shared" si="577"/>
        <v>0</v>
      </c>
      <c r="V664" s="35">
        <f t="shared" si="578"/>
        <v>8.3236424164723221E-4</v>
      </c>
      <c r="W664" s="34">
        <f t="shared" si="579"/>
        <v>0</v>
      </c>
      <c r="X664" s="34">
        <f t="shared" si="580"/>
        <v>806025.32687843766</v>
      </c>
      <c r="Y664" s="36">
        <f t="shared" si="581"/>
        <v>1.2616255447978064E-2</v>
      </c>
      <c r="Z664" s="34">
        <f t="shared" si="582"/>
        <v>10169.021421438389</v>
      </c>
      <c r="AA664" s="34">
        <f t="shared" si="583"/>
        <v>811109.83758915681</v>
      </c>
      <c r="AB664" s="34">
        <f t="shared" si="584"/>
        <v>0</v>
      </c>
      <c r="AC664" s="34">
        <f t="shared" si="585"/>
        <v>0</v>
      </c>
      <c r="AD664" s="34">
        <f t="shared" si="586"/>
        <v>0</v>
      </c>
      <c r="AE664" s="34">
        <f t="shared" si="587"/>
        <v>0</v>
      </c>
      <c r="AF664" s="34">
        <f t="shared" si="588"/>
        <v>0</v>
      </c>
      <c r="AG664" s="29">
        <f t="shared" si="589"/>
        <v>811109.83758915681</v>
      </c>
      <c r="AH664" s="34">
        <f t="shared" si="590"/>
        <v>0</v>
      </c>
      <c r="AI664" s="34">
        <f t="shared" si="591"/>
        <v>0</v>
      </c>
      <c r="AJ664" s="34">
        <f t="shared" si="592"/>
        <v>0</v>
      </c>
      <c r="AK664" s="34">
        <f t="shared" si="593"/>
        <v>0</v>
      </c>
      <c r="AL664" s="34">
        <f t="shared" si="594"/>
        <v>0</v>
      </c>
      <c r="AM664" s="34">
        <f t="shared" si="595"/>
        <v>0</v>
      </c>
      <c r="AN664" s="34">
        <f t="shared" si="596"/>
        <v>0</v>
      </c>
      <c r="AO664" s="34">
        <f t="shared" si="597"/>
        <v>0</v>
      </c>
      <c r="AP664" s="34">
        <f t="shared" si="598"/>
        <v>0</v>
      </c>
      <c r="AQ664" s="34">
        <f t="shared" si="599"/>
        <v>0</v>
      </c>
      <c r="AR664" s="34">
        <f t="shared" si="600"/>
        <v>0</v>
      </c>
      <c r="AS664" s="30">
        <f t="shared" si="601"/>
        <v>1.7285245734721935</v>
      </c>
      <c r="AT664" s="29">
        <f t="shared" si="602"/>
        <v>0</v>
      </c>
      <c r="AU664" s="29">
        <f t="shared" si="603"/>
        <v>0</v>
      </c>
      <c r="AV664" s="34">
        <f t="shared" si="604"/>
        <v>0</v>
      </c>
      <c r="AW664" s="34">
        <f t="shared" si="605"/>
        <v>0</v>
      </c>
      <c r="AX664" s="29">
        <f t="shared" si="606"/>
        <v>0</v>
      </c>
      <c r="AY664" s="34">
        <f t="shared" si="607"/>
        <v>0</v>
      </c>
      <c r="AZ664" s="37">
        <f t="shared" si="608"/>
        <v>0</v>
      </c>
      <c r="BA664" s="37">
        <f t="shared" si="609"/>
        <v>0</v>
      </c>
      <c r="BB664" s="35">
        <f t="shared" si="610"/>
        <v>1.0522224777222977E-3</v>
      </c>
      <c r="BC664" s="31">
        <f t="shared" si="611"/>
        <v>0.49952295570325533</v>
      </c>
      <c r="BD664" s="34">
        <f t="shared" si="612"/>
        <v>0</v>
      </c>
    </row>
    <row r="665" spans="1:56" x14ac:dyDescent="0.2">
      <c r="A665" s="27">
        <f t="shared" si="613"/>
        <v>661</v>
      </c>
      <c r="B665" s="28">
        <f t="shared" si="560"/>
        <v>661</v>
      </c>
      <c r="C665" s="27">
        <f t="shared" si="561"/>
        <v>55</v>
      </c>
      <c r="D665" s="28">
        <f t="shared" si="562"/>
        <v>75</v>
      </c>
      <c r="E665" s="29">
        <f t="shared" si="563"/>
        <v>0</v>
      </c>
      <c r="F665" s="30">
        <f t="shared" si="564"/>
        <v>9.0426415998366896E-3</v>
      </c>
      <c r="G665" s="31">
        <f t="shared" si="565"/>
        <v>7.5669476513384737E-4</v>
      </c>
      <c r="H665" s="32">
        <f t="shared" si="566"/>
        <v>0.02</v>
      </c>
      <c r="I665" s="32">
        <f t="shared" si="567"/>
        <v>0</v>
      </c>
      <c r="J665" s="33">
        <f t="shared" si="614"/>
        <v>0</v>
      </c>
      <c r="K665" s="30">
        <f t="shared" si="568"/>
        <v>0</v>
      </c>
      <c r="L665" s="33">
        <f t="shared" si="569"/>
        <v>0</v>
      </c>
      <c r="M665" s="30">
        <f t="shared" si="570"/>
        <v>0</v>
      </c>
      <c r="N665" s="33">
        <f t="shared" si="571"/>
        <v>0</v>
      </c>
      <c r="O665" s="31">
        <f t="shared" si="572"/>
        <v>0</v>
      </c>
      <c r="P665" s="33">
        <f t="shared" si="573"/>
        <v>0</v>
      </c>
      <c r="Q665" s="34">
        <f t="shared" si="615"/>
        <v>816194.34829987609</v>
      </c>
      <c r="R665" s="29">
        <f t="shared" si="574"/>
        <v>0</v>
      </c>
      <c r="S665" s="34">
        <f t="shared" si="575"/>
        <v>816194.34829987609</v>
      </c>
      <c r="T665" s="29">
        <f t="shared" si="576"/>
        <v>680.16195691656344</v>
      </c>
      <c r="U665" s="29">
        <f t="shared" si="577"/>
        <v>0</v>
      </c>
      <c r="V665" s="35">
        <f t="shared" si="578"/>
        <v>8.3236424164723221E-4</v>
      </c>
      <c r="W665" s="34">
        <f t="shared" si="579"/>
        <v>0</v>
      </c>
      <c r="X665" s="34">
        <f t="shared" si="580"/>
        <v>815514.18634295953</v>
      </c>
      <c r="Y665" s="36">
        <f t="shared" si="581"/>
        <v>1.2787321377995209E-2</v>
      </c>
      <c r="Z665" s="34">
        <f t="shared" si="582"/>
        <v>10428.241989081695</v>
      </c>
      <c r="AA665" s="34">
        <f t="shared" si="583"/>
        <v>820728.30733750039</v>
      </c>
      <c r="AB665" s="34">
        <f t="shared" si="584"/>
        <v>0</v>
      </c>
      <c r="AC665" s="34">
        <f t="shared" si="585"/>
        <v>0</v>
      </c>
      <c r="AD665" s="34">
        <f t="shared" si="586"/>
        <v>0</v>
      </c>
      <c r="AE665" s="34">
        <f t="shared" si="587"/>
        <v>0</v>
      </c>
      <c r="AF665" s="34">
        <f t="shared" si="588"/>
        <v>0</v>
      </c>
      <c r="AG665" s="29">
        <f t="shared" si="589"/>
        <v>820728.30733750039</v>
      </c>
      <c r="AH665" s="34">
        <f t="shared" si="590"/>
        <v>0</v>
      </c>
      <c r="AI665" s="34">
        <f t="shared" si="591"/>
        <v>0</v>
      </c>
      <c r="AJ665" s="34">
        <f t="shared" si="592"/>
        <v>0</v>
      </c>
      <c r="AK665" s="34">
        <f t="shared" si="593"/>
        <v>0</v>
      </c>
      <c r="AL665" s="34">
        <f t="shared" si="594"/>
        <v>0</v>
      </c>
      <c r="AM665" s="34">
        <f t="shared" si="595"/>
        <v>0</v>
      </c>
      <c r="AN665" s="34">
        <f t="shared" si="596"/>
        <v>0</v>
      </c>
      <c r="AO665" s="34">
        <f t="shared" si="597"/>
        <v>0</v>
      </c>
      <c r="AP665" s="34">
        <f t="shared" si="598"/>
        <v>0</v>
      </c>
      <c r="AQ665" s="34">
        <f t="shared" si="599"/>
        <v>0</v>
      </c>
      <c r="AR665" s="34">
        <f t="shared" si="600"/>
        <v>0</v>
      </c>
      <c r="AS665" s="30">
        <f t="shared" si="601"/>
        <v>1.7299584504874728</v>
      </c>
      <c r="AT665" s="29">
        <f t="shared" si="602"/>
        <v>0</v>
      </c>
      <c r="AU665" s="29">
        <f t="shared" si="603"/>
        <v>0</v>
      </c>
      <c r="AV665" s="34">
        <f t="shared" si="604"/>
        <v>0</v>
      </c>
      <c r="AW665" s="34">
        <f t="shared" si="605"/>
        <v>0</v>
      </c>
      <c r="AX665" s="29">
        <f t="shared" si="606"/>
        <v>0</v>
      </c>
      <c r="AY665" s="34">
        <f t="shared" si="607"/>
        <v>0</v>
      </c>
      <c r="AZ665" s="37">
        <f t="shared" si="608"/>
        <v>0</v>
      </c>
      <c r="BA665" s="37">
        <f t="shared" si="609"/>
        <v>0</v>
      </c>
      <c r="BB665" s="35">
        <f t="shared" si="610"/>
        <v>1.0522224777222977E-3</v>
      </c>
      <c r="BC665" s="31">
        <f t="shared" si="611"/>
        <v>0.49899789889769908</v>
      </c>
      <c r="BD665" s="34">
        <f t="shared" si="612"/>
        <v>0</v>
      </c>
    </row>
    <row r="666" spans="1:56" x14ac:dyDescent="0.2">
      <c r="A666" s="27">
        <f t="shared" si="613"/>
        <v>662</v>
      </c>
      <c r="B666" s="28">
        <f t="shared" si="560"/>
        <v>662</v>
      </c>
      <c r="C666" s="27">
        <f t="shared" si="561"/>
        <v>55</v>
      </c>
      <c r="D666" s="28">
        <f t="shared" si="562"/>
        <v>75</v>
      </c>
      <c r="E666" s="29">
        <f t="shared" si="563"/>
        <v>0</v>
      </c>
      <c r="F666" s="30">
        <f t="shared" si="564"/>
        <v>9.0426415998366896E-3</v>
      </c>
      <c r="G666" s="31">
        <f t="shared" si="565"/>
        <v>7.5669476513384737E-4</v>
      </c>
      <c r="H666" s="32">
        <f t="shared" si="566"/>
        <v>0.02</v>
      </c>
      <c r="I666" s="32">
        <f t="shared" si="567"/>
        <v>0</v>
      </c>
      <c r="J666" s="33">
        <f t="shared" si="614"/>
        <v>0</v>
      </c>
      <c r="K666" s="30">
        <f t="shared" si="568"/>
        <v>0</v>
      </c>
      <c r="L666" s="33">
        <f t="shared" si="569"/>
        <v>0</v>
      </c>
      <c r="M666" s="30">
        <f t="shared" si="570"/>
        <v>0</v>
      </c>
      <c r="N666" s="33">
        <f t="shared" si="571"/>
        <v>0</v>
      </c>
      <c r="O666" s="31">
        <f t="shared" si="572"/>
        <v>0</v>
      </c>
      <c r="P666" s="33">
        <f t="shared" si="573"/>
        <v>0</v>
      </c>
      <c r="Q666" s="34">
        <f t="shared" si="615"/>
        <v>825942.42833204125</v>
      </c>
      <c r="R666" s="29">
        <f t="shared" si="574"/>
        <v>0</v>
      </c>
      <c r="S666" s="34">
        <f t="shared" si="575"/>
        <v>825942.42833204125</v>
      </c>
      <c r="T666" s="29">
        <f t="shared" si="576"/>
        <v>688.28535694336779</v>
      </c>
      <c r="U666" s="29">
        <f t="shared" si="577"/>
        <v>0</v>
      </c>
      <c r="V666" s="35">
        <f t="shared" si="578"/>
        <v>8.3236424164723221E-4</v>
      </c>
      <c r="W666" s="34">
        <f t="shared" si="579"/>
        <v>0</v>
      </c>
      <c r="X666" s="34">
        <f t="shared" si="580"/>
        <v>825254.14297509787</v>
      </c>
      <c r="Y666" s="36">
        <f t="shared" si="581"/>
        <v>-5.9266229556390604E-3</v>
      </c>
      <c r="Z666" s="34">
        <f t="shared" si="582"/>
        <v>-4890.9701479924543</v>
      </c>
      <c r="AA666" s="34">
        <f t="shared" si="583"/>
        <v>822808.65790110163</v>
      </c>
      <c r="AB666" s="34">
        <f t="shared" si="584"/>
        <v>0</v>
      </c>
      <c r="AC666" s="34">
        <f t="shared" si="585"/>
        <v>0</v>
      </c>
      <c r="AD666" s="34">
        <f t="shared" si="586"/>
        <v>0</v>
      </c>
      <c r="AE666" s="34">
        <f t="shared" si="587"/>
        <v>0</v>
      </c>
      <c r="AF666" s="34">
        <f t="shared" si="588"/>
        <v>0</v>
      </c>
      <c r="AG666" s="29">
        <f t="shared" si="589"/>
        <v>822808.65790110163</v>
      </c>
      <c r="AH666" s="34">
        <f t="shared" si="590"/>
        <v>0</v>
      </c>
      <c r="AI666" s="34">
        <f t="shared" si="591"/>
        <v>0</v>
      </c>
      <c r="AJ666" s="34">
        <f t="shared" si="592"/>
        <v>0</v>
      </c>
      <c r="AK666" s="34">
        <f t="shared" si="593"/>
        <v>0</v>
      </c>
      <c r="AL666" s="34">
        <f t="shared" si="594"/>
        <v>0</v>
      </c>
      <c r="AM666" s="34">
        <f t="shared" si="595"/>
        <v>0</v>
      </c>
      <c r="AN666" s="34">
        <f t="shared" si="596"/>
        <v>0</v>
      </c>
      <c r="AO666" s="34">
        <f t="shared" si="597"/>
        <v>0</v>
      </c>
      <c r="AP666" s="34">
        <f t="shared" si="598"/>
        <v>0</v>
      </c>
      <c r="AQ666" s="34">
        <f t="shared" si="599"/>
        <v>0</v>
      </c>
      <c r="AR666" s="34">
        <f t="shared" si="600"/>
        <v>0</v>
      </c>
      <c r="AS666" s="30">
        <f t="shared" si="601"/>
        <v>1.7313935169583874</v>
      </c>
      <c r="AT666" s="29">
        <f t="shared" si="602"/>
        <v>0</v>
      </c>
      <c r="AU666" s="29">
        <f t="shared" si="603"/>
        <v>0</v>
      </c>
      <c r="AV666" s="34">
        <f t="shared" si="604"/>
        <v>0</v>
      </c>
      <c r="AW666" s="34">
        <f t="shared" si="605"/>
        <v>0</v>
      </c>
      <c r="AX666" s="29">
        <f t="shared" si="606"/>
        <v>0</v>
      </c>
      <c r="AY666" s="34">
        <f t="shared" si="607"/>
        <v>0</v>
      </c>
      <c r="AZ666" s="37">
        <f t="shared" si="608"/>
        <v>0</v>
      </c>
      <c r="BA666" s="37">
        <f t="shared" si="609"/>
        <v>0</v>
      </c>
      <c r="BB666" s="35">
        <f t="shared" si="610"/>
        <v>1.0522224777222977E-3</v>
      </c>
      <c r="BC666" s="31">
        <f t="shared" si="611"/>
        <v>0.49847339398799834</v>
      </c>
      <c r="BD666" s="34">
        <f t="shared" si="612"/>
        <v>0</v>
      </c>
    </row>
    <row r="667" spans="1:56" x14ac:dyDescent="0.2">
      <c r="A667" s="27">
        <f t="shared" si="613"/>
        <v>663</v>
      </c>
      <c r="B667" s="28">
        <f t="shared" si="560"/>
        <v>663</v>
      </c>
      <c r="C667" s="27">
        <f t="shared" si="561"/>
        <v>55</v>
      </c>
      <c r="D667" s="28">
        <f t="shared" si="562"/>
        <v>75</v>
      </c>
      <c r="E667" s="29">
        <f t="shared" si="563"/>
        <v>0</v>
      </c>
      <c r="F667" s="30">
        <f t="shared" si="564"/>
        <v>9.0426415998366896E-3</v>
      </c>
      <c r="G667" s="31">
        <f t="shared" si="565"/>
        <v>7.5669476513384737E-4</v>
      </c>
      <c r="H667" s="32">
        <f t="shared" si="566"/>
        <v>0.02</v>
      </c>
      <c r="I667" s="32">
        <f t="shared" si="567"/>
        <v>0</v>
      </c>
      <c r="J667" s="33">
        <f t="shared" si="614"/>
        <v>0</v>
      </c>
      <c r="K667" s="30">
        <f t="shared" si="568"/>
        <v>0</v>
      </c>
      <c r="L667" s="33">
        <f t="shared" si="569"/>
        <v>0</v>
      </c>
      <c r="M667" s="30">
        <f t="shared" si="570"/>
        <v>0</v>
      </c>
      <c r="N667" s="33">
        <f t="shared" si="571"/>
        <v>0</v>
      </c>
      <c r="O667" s="31">
        <f t="shared" si="572"/>
        <v>0</v>
      </c>
      <c r="P667" s="33">
        <f t="shared" si="573"/>
        <v>0</v>
      </c>
      <c r="Q667" s="34">
        <f t="shared" si="615"/>
        <v>820363.17282710539</v>
      </c>
      <c r="R667" s="29">
        <f t="shared" si="574"/>
        <v>0</v>
      </c>
      <c r="S667" s="34">
        <f t="shared" si="575"/>
        <v>820363.17282710539</v>
      </c>
      <c r="T667" s="29">
        <f t="shared" si="576"/>
        <v>683.63597735592123</v>
      </c>
      <c r="U667" s="29">
        <f t="shared" si="577"/>
        <v>0</v>
      </c>
      <c r="V667" s="35">
        <f t="shared" si="578"/>
        <v>8.3236424164723221E-4</v>
      </c>
      <c r="W667" s="34">
        <f t="shared" si="579"/>
        <v>0</v>
      </c>
      <c r="X667" s="34">
        <f t="shared" si="580"/>
        <v>819679.53684974951</v>
      </c>
      <c r="Y667" s="36">
        <f t="shared" si="581"/>
        <v>-1.9190389895529236E-4</v>
      </c>
      <c r="Z667" s="34">
        <f t="shared" si="582"/>
        <v>-157.29969901533516</v>
      </c>
      <c r="AA667" s="34">
        <f t="shared" si="583"/>
        <v>819600.88700024178</v>
      </c>
      <c r="AB667" s="34">
        <f t="shared" si="584"/>
        <v>0</v>
      </c>
      <c r="AC667" s="34">
        <f t="shared" si="585"/>
        <v>0</v>
      </c>
      <c r="AD667" s="34">
        <f t="shared" si="586"/>
        <v>0</v>
      </c>
      <c r="AE667" s="34">
        <f t="shared" si="587"/>
        <v>0</v>
      </c>
      <c r="AF667" s="34">
        <f t="shared" si="588"/>
        <v>0</v>
      </c>
      <c r="AG667" s="29">
        <f t="shared" si="589"/>
        <v>819600.88700024178</v>
      </c>
      <c r="AH667" s="34">
        <f t="shared" si="590"/>
        <v>0</v>
      </c>
      <c r="AI667" s="34">
        <f t="shared" si="591"/>
        <v>0</v>
      </c>
      <c r="AJ667" s="34">
        <f t="shared" si="592"/>
        <v>0</v>
      </c>
      <c r="AK667" s="34">
        <f t="shared" si="593"/>
        <v>0</v>
      </c>
      <c r="AL667" s="34">
        <f t="shared" si="594"/>
        <v>0</v>
      </c>
      <c r="AM667" s="34">
        <f t="shared" si="595"/>
        <v>0</v>
      </c>
      <c r="AN667" s="34">
        <f t="shared" si="596"/>
        <v>0</v>
      </c>
      <c r="AO667" s="34">
        <f t="shared" si="597"/>
        <v>0</v>
      </c>
      <c r="AP667" s="34">
        <f t="shared" si="598"/>
        <v>0</v>
      </c>
      <c r="AQ667" s="34">
        <f t="shared" si="599"/>
        <v>0</v>
      </c>
      <c r="AR667" s="34">
        <f t="shared" si="600"/>
        <v>0</v>
      </c>
      <c r="AS667" s="30">
        <f t="shared" si="601"/>
        <v>1.7328297738716363</v>
      </c>
      <c r="AT667" s="29">
        <f t="shared" si="602"/>
        <v>0</v>
      </c>
      <c r="AU667" s="29">
        <f t="shared" si="603"/>
        <v>0</v>
      </c>
      <c r="AV667" s="34">
        <f t="shared" si="604"/>
        <v>0</v>
      </c>
      <c r="AW667" s="34">
        <f t="shared" si="605"/>
        <v>0</v>
      </c>
      <c r="AX667" s="29">
        <f t="shared" si="606"/>
        <v>0</v>
      </c>
      <c r="AY667" s="34">
        <f t="shared" si="607"/>
        <v>0</v>
      </c>
      <c r="AZ667" s="37">
        <f t="shared" si="608"/>
        <v>0</v>
      </c>
      <c r="BA667" s="37">
        <f t="shared" si="609"/>
        <v>0</v>
      </c>
      <c r="BB667" s="35">
        <f t="shared" si="610"/>
        <v>1.0522224777222977E-3</v>
      </c>
      <c r="BC667" s="31">
        <f t="shared" si="611"/>
        <v>0.49794944039404648</v>
      </c>
      <c r="BD667" s="34">
        <f t="shared" si="612"/>
        <v>0</v>
      </c>
    </row>
    <row r="668" spans="1:56" x14ac:dyDescent="0.2">
      <c r="A668" s="27">
        <f t="shared" si="613"/>
        <v>664</v>
      </c>
      <c r="B668" s="28">
        <f t="shared" si="560"/>
        <v>664</v>
      </c>
      <c r="C668" s="27">
        <f t="shared" si="561"/>
        <v>55</v>
      </c>
      <c r="D668" s="28">
        <f t="shared" si="562"/>
        <v>75</v>
      </c>
      <c r="E668" s="29">
        <f t="shared" si="563"/>
        <v>0</v>
      </c>
      <c r="F668" s="30">
        <f t="shared" si="564"/>
        <v>9.0426415998366896E-3</v>
      </c>
      <c r="G668" s="31">
        <f t="shared" si="565"/>
        <v>7.5669476513384737E-4</v>
      </c>
      <c r="H668" s="32">
        <f t="shared" si="566"/>
        <v>0.02</v>
      </c>
      <c r="I668" s="32">
        <f t="shared" si="567"/>
        <v>0</v>
      </c>
      <c r="J668" s="33">
        <f t="shared" si="614"/>
        <v>0</v>
      </c>
      <c r="K668" s="30">
        <f t="shared" si="568"/>
        <v>0</v>
      </c>
      <c r="L668" s="33">
        <f t="shared" si="569"/>
        <v>0</v>
      </c>
      <c r="M668" s="30">
        <f t="shared" si="570"/>
        <v>0</v>
      </c>
      <c r="N668" s="33">
        <f t="shared" si="571"/>
        <v>0</v>
      </c>
      <c r="O668" s="31">
        <f t="shared" si="572"/>
        <v>0</v>
      </c>
      <c r="P668" s="33">
        <f t="shared" si="573"/>
        <v>0</v>
      </c>
      <c r="Q668" s="34">
        <f t="shared" si="615"/>
        <v>819522.23715073417</v>
      </c>
      <c r="R668" s="29">
        <f t="shared" si="574"/>
        <v>0</v>
      </c>
      <c r="S668" s="34">
        <f t="shared" si="575"/>
        <v>819522.23715073417</v>
      </c>
      <c r="T668" s="29">
        <f t="shared" si="576"/>
        <v>682.93519762561186</v>
      </c>
      <c r="U668" s="29">
        <f t="shared" si="577"/>
        <v>0</v>
      </c>
      <c r="V668" s="35">
        <f t="shared" si="578"/>
        <v>8.3236424164723221E-4</v>
      </c>
      <c r="W668" s="34">
        <f t="shared" si="579"/>
        <v>0</v>
      </c>
      <c r="X668" s="34">
        <f t="shared" si="580"/>
        <v>818839.30195310852</v>
      </c>
      <c r="Y668" s="36">
        <f t="shared" si="581"/>
        <v>-8.0400840525107764E-4</v>
      </c>
      <c r="Z668" s="34">
        <f t="shared" si="582"/>
        <v>-658.35368132022438</v>
      </c>
      <c r="AA668" s="34">
        <f t="shared" si="583"/>
        <v>818510.12511244835</v>
      </c>
      <c r="AB668" s="34">
        <f t="shared" si="584"/>
        <v>0</v>
      </c>
      <c r="AC668" s="34">
        <f t="shared" si="585"/>
        <v>0</v>
      </c>
      <c r="AD668" s="34">
        <f t="shared" si="586"/>
        <v>0</v>
      </c>
      <c r="AE668" s="34">
        <f t="shared" si="587"/>
        <v>0</v>
      </c>
      <c r="AF668" s="34">
        <f t="shared" si="588"/>
        <v>0</v>
      </c>
      <c r="AG668" s="29">
        <f t="shared" si="589"/>
        <v>818510.12511244835</v>
      </c>
      <c r="AH668" s="34">
        <f t="shared" si="590"/>
        <v>0</v>
      </c>
      <c r="AI668" s="34">
        <f t="shared" si="591"/>
        <v>0</v>
      </c>
      <c r="AJ668" s="34">
        <f t="shared" si="592"/>
        <v>0</v>
      </c>
      <c r="AK668" s="34">
        <f t="shared" si="593"/>
        <v>0</v>
      </c>
      <c r="AL668" s="34">
        <f t="shared" si="594"/>
        <v>0</v>
      </c>
      <c r="AM668" s="34">
        <f t="shared" si="595"/>
        <v>0</v>
      </c>
      <c r="AN668" s="34">
        <f t="shared" si="596"/>
        <v>0</v>
      </c>
      <c r="AO668" s="34">
        <f t="shared" si="597"/>
        <v>0</v>
      </c>
      <c r="AP668" s="34">
        <f t="shared" si="598"/>
        <v>0</v>
      </c>
      <c r="AQ668" s="34">
        <f t="shared" si="599"/>
        <v>0</v>
      </c>
      <c r="AR668" s="34">
        <f t="shared" si="600"/>
        <v>0</v>
      </c>
      <c r="AS668" s="30">
        <f t="shared" si="601"/>
        <v>1.7342672222147371</v>
      </c>
      <c r="AT668" s="29">
        <f t="shared" si="602"/>
        <v>0</v>
      </c>
      <c r="AU668" s="29">
        <f t="shared" si="603"/>
        <v>0</v>
      </c>
      <c r="AV668" s="34">
        <f t="shared" si="604"/>
        <v>0</v>
      </c>
      <c r="AW668" s="34">
        <f t="shared" si="605"/>
        <v>0</v>
      </c>
      <c r="AX668" s="29">
        <f t="shared" si="606"/>
        <v>0</v>
      </c>
      <c r="AY668" s="34">
        <f t="shared" si="607"/>
        <v>0</v>
      </c>
      <c r="AZ668" s="37">
        <f t="shared" si="608"/>
        <v>0</v>
      </c>
      <c r="BA668" s="37">
        <f t="shared" si="609"/>
        <v>0</v>
      </c>
      <c r="BB668" s="35">
        <f t="shared" si="610"/>
        <v>1.0522224777222977E-3</v>
      </c>
      <c r="BC668" s="31">
        <f t="shared" si="611"/>
        <v>0.4974260375363464</v>
      </c>
      <c r="BD668" s="34">
        <f t="shared" si="612"/>
        <v>0</v>
      </c>
    </row>
    <row r="669" spans="1:56" x14ac:dyDescent="0.2">
      <c r="A669" s="27">
        <f t="shared" si="613"/>
        <v>665</v>
      </c>
      <c r="B669" s="28">
        <f t="shared" si="560"/>
        <v>665</v>
      </c>
      <c r="C669" s="27">
        <f t="shared" si="561"/>
        <v>55</v>
      </c>
      <c r="D669" s="28">
        <f t="shared" si="562"/>
        <v>75</v>
      </c>
      <c r="E669" s="29">
        <f t="shared" si="563"/>
        <v>0</v>
      </c>
      <c r="F669" s="30">
        <f t="shared" si="564"/>
        <v>9.0426415998366896E-3</v>
      </c>
      <c r="G669" s="31">
        <f t="shared" si="565"/>
        <v>7.5669476513384737E-4</v>
      </c>
      <c r="H669" s="32">
        <f t="shared" si="566"/>
        <v>0.02</v>
      </c>
      <c r="I669" s="32">
        <f t="shared" si="567"/>
        <v>0</v>
      </c>
      <c r="J669" s="33">
        <f t="shared" si="614"/>
        <v>0</v>
      </c>
      <c r="K669" s="30">
        <f t="shared" si="568"/>
        <v>0</v>
      </c>
      <c r="L669" s="33">
        <f t="shared" si="569"/>
        <v>0</v>
      </c>
      <c r="M669" s="30">
        <f t="shared" si="570"/>
        <v>0</v>
      </c>
      <c r="N669" s="33">
        <f t="shared" si="571"/>
        <v>0</v>
      </c>
      <c r="O669" s="31">
        <f t="shared" si="572"/>
        <v>0</v>
      </c>
      <c r="P669" s="33">
        <f t="shared" si="573"/>
        <v>0</v>
      </c>
      <c r="Q669" s="34">
        <f t="shared" si="615"/>
        <v>818180.94827178831</v>
      </c>
      <c r="R669" s="29">
        <f t="shared" si="574"/>
        <v>0</v>
      </c>
      <c r="S669" s="34">
        <f t="shared" si="575"/>
        <v>818180.94827178831</v>
      </c>
      <c r="T669" s="29">
        <f t="shared" si="576"/>
        <v>681.81745689315699</v>
      </c>
      <c r="U669" s="29">
        <f t="shared" si="577"/>
        <v>0</v>
      </c>
      <c r="V669" s="35">
        <f t="shared" si="578"/>
        <v>8.3236424164723221E-4</v>
      </c>
      <c r="W669" s="34">
        <f t="shared" si="579"/>
        <v>0</v>
      </c>
      <c r="X669" s="34">
        <f t="shared" si="580"/>
        <v>817499.13081489515</v>
      </c>
      <c r="Y669" s="36">
        <f t="shared" si="581"/>
        <v>3.606219979155334E-4</v>
      </c>
      <c r="Z669" s="34">
        <f t="shared" si="582"/>
        <v>294.80816984867948</v>
      </c>
      <c r="AA669" s="34">
        <f t="shared" si="583"/>
        <v>817646.53489981953</v>
      </c>
      <c r="AB669" s="34">
        <f t="shared" si="584"/>
        <v>0</v>
      </c>
      <c r="AC669" s="34">
        <f t="shared" si="585"/>
        <v>0</v>
      </c>
      <c r="AD669" s="34">
        <f t="shared" si="586"/>
        <v>0</v>
      </c>
      <c r="AE669" s="34">
        <f t="shared" si="587"/>
        <v>0</v>
      </c>
      <c r="AF669" s="34">
        <f t="shared" si="588"/>
        <v>0</v>
      </c>
      <c r="AG669" s="29">
        <f t="shared" si="589"/>
        <v>817646.53489981953</v>
      </c>
      <c r="AH669" s="34">
        <f t="shared" si="590"/>
        <v>0</v>
      </c>
      <c r="AI669" s="34">
        <f t="shared" si="591"/>
        <v>0</v>
      </c>
      <c r="AJ669" s="34">
        <f t="shared" si="592"/>
        <v>0</v>
      </c>
      <c r="AK669" s="34">
        <f t="shared" si="593"/>
        <v>0</v>
      </c>
      <c r="AL669" s="34">
        <f t="shared" si="594"/>
        <v>0</v>
      </c>
      <c r="AM669" s="34">
        <f t="shared" si="595"/>
        <v>0</v>
      </c>
      <c r="AN669" s="34">
        <f t="shared" si="596"/>
        <v>0</v>
      </c>
      <c r="AO669" s="34">
        <f t="shared" si="597"/>
        <v>0</v>
      </c>
      <c r="AP669" s="34">
        <f t="shared" si="598"/>
        <v>0</v>
      </c>
      <c r="AQ669" s="34">
        <f t="shared" si="599"/>
        <v>0</v>
      </c>
      <c r="AR669" s="34">
        <f t="shared" si="600"/>
        <v>0</v>
      </c>
      <c r="AS669" s="30">
        <f t="shared" si="601"/>
        <v>1.7357058629760254</v>
      </c>
      <c r="AT669" s="29">
        <f t="shared" si="602"/>
        <v>0</v>
      </c>
      <c r="AU669" s="29">
        <f t="shared" si="603"/>
        <v>0</v>
      </c>
      <c r="AV669" s="34">
        <f t="shared" si="604"/>
        <v>0</v>
      </c>
      <c r="AW669" s="34">
        <f t="shared" si="605"/>
        <v>0</v>
      </c>
      <c r="AX669" s="29">
        <f t="shared" si="606"/>
        <v>0</v>
      </c>
      <c r="AY669" s="34">
        <f t="shared" si="607"/>
        <v>0</v>
      </c>
      <c r="AZ669" s="37">
        <f t="shared" si="608"/>
        <v>0</v>
      </c>
      <c r="BA669" s="37">
        <f t="shared" si="609"/>
        <v>0</v>
      </c>
      <c r="BB669" s="35">
        <f t="shared" si="610"/>
        <v>1.0522224777222977E-3</v>
      </c>
      <c r="BC669" s="31">
        <f t="shared" si="611"/>
        <v>0.49690318483601026</v>
      </c>
      <c r="BD669" s="34">
        <f t="shared" si="612"/>
        <v>0</v>
      </c>
    </row>
    <row r="670" spans="1:56" x14ac:dyDescent="0.2">
      <c r="A670" s="27">
        <f t="shared" si="613"/>
        <v>666</v>
      </c>
      <c r="B670" s="28">
        <f t="shared" si="560"/>
        <v>666</v>
      </c>
      <c r="C670" s="27">
        <f t="shared" si="561"/>
        <v>55</v>
      </c>
      <c r="D670" s="28">
        <f t="shared" si="562"/>
        <v>75</v>
      </c>
      <c r="E670" s="29">
        <f t="shared" si="563"/>
        <v>0</v>
      </c>
      <c r="F670" s="30">
        <f t="shared" si="564"/>
        <v>9.0426415998366896E-3</v>
      </c>
      <c r="G670" s="31">
        <f t="shared" si="565"/>
        <v>7.5669476513384737E-4</v>
      </c>
      <c r="H670" s="32">
        <f t="shared" si="566"/>
        <v>0.02</v>
      </c>
      <c r="I670" s="32">
        <f t="shared" si="567"/>
        <v>0</v>
      </c>
      <c r="J670" s="33">
        <f t="shared" si="614"/>
        <v>0</v>
      </c>
      <c r="K670" s="30">
        <f t="shared" si="568"/>
        <v>0</v>
      </c>
      <c r="L670" s="33">
        <f t="shared" si="569"/>
        <v>0</v>
      </c>
      <c r="M670" s="30">
        <f t="shared" si="570"/>
        <v>0</v>
      </c>
      <c r="N670" s="33">
        <f t="shared" si="571"/>
        <v>0</v>
      </c>
      <c r="O670" s="31">
        <f t="shared" si="572"/>
        <v>0</v>
      </c>
      <c r="P670" s="33">
        <f t="shared" si="573"/>
        <v>0</v>
      </c>
      <c r="Q670" s="34">
        <f t="shared" si="615"/>
        <v>817793.93898474379</v>
      </c>
      <c r="R670" s="29">
        <f t="shared" si="574"/>
        <v>0</v>
      </c>
      <c r="S670" s="34">
        <f t="shared" si="575"/>
        <v>817793.93898474379</v>
      </c>
      <c r="T670" s="29">
        <f t="shared" si="576"/>
        <v>681.49494915395314</v>
      </c>
      <c r="U670" s="29">
        <f t="shared" si="577"/>
        <v>0</v>
      </c>
      <c r="V670" s="35">
        <f t="shared" si="578"/>
        <v>8.3236424164723221E-4</v>
      </c>
      <c r="W670" s="34">
        <f t="shared" si="579"/>
        <v>0</v>
      </c>
      <c r="X670" s="34">
        <f t="shared" si="580"/>
        <v>817112.44403558981</v>
      </c>
      <c r="Y670" s="36">
        <f t="shared" si="581"/>
        <v>1.1355621388753345E-3</v>
      </c>
      <c r="Z670" s="34">
        <f t="shared" si="582"/>
        <v>927.88195465070646</v>
      </c>
      <c r="AA670" s="34">
        <f t="shared" si="583"/>
        <v>817576.38501291513</v>
      </c>
      <c r="AB670" s="34">
        <f t="shared" si="584"/>
        <v>0</v>
      </c>
      <c r="AC670" s="34">
        <f t="shared" si="585"/>
        <v>0</v>
      </c>
      <c r="AD670" s="34">
        <f t="shared" si="586"/>
        <v>0</v>
      </c>
      <c r="AE670" s="34">
        <f t="shared" si="587"/>
        <v>0</v>
      </c>
      <c r="AF670" s="34">
        <f t="shared" si="588"/>
        <v>0</v>
      </c>
      <c r="AG670" s="29">
        <f t="shared" si="589"/>
        <v>817576.38501291513</v>
      </c>
      <c r="AH670" s="34">
        <f t="shared" si="590"/>
        <v>0</v>
      </c>
      <c r="AI670" s="34">
        <f t="shared" si="591"/>
        <v>0</v>
      </c>
      <c r="AJ670" s="34">
        <f t="shared" si="592"/>
        <v>0</v>
      </c>
      <c r="AK670" s="34">
        <f t="shared" si="593"/>
        <v>0</v>
      </c>
      <c r="AL670" s="34">
        <f t="shared" si="594"/>
        <v>0</v>
      </c>
      <c r="AM670" s="34">
        <f t="shared" si="595"/>
        <v>0</v>
      </c>
      <c r="AN670" s="34">
        <f t="shared" si="596"/>
        <v>0</v>
      </c>
      <c r="AO670" s="34">
        <f t="shared" si="597"/>
        <v>0</v>
      </c>
      <c r="AP670" s="34">
        <f t="shared" si="598"/>
        <v>0</v>
      </c>
      <c r="AQ670" s="34">
        <f t="shared" si="599"/>
        <v>0</v>
      </c>
      <c r="AR670" s="34">
        <f t="shared" si="600"/>
        <v>0</v>
      </c>
      <c r="AS670" s="30">
        <f t="shared" si="601"/>
        <v>1.7371456971446584</v>
      </c>
      <c r="AT670" s="29">
        <f t="shared" si="602"/>
        <v>0</v>
      </c>
      <c r="AU670" s="29">
        <f t="shared" si="603"/>
        <v>0</v>
      </c>
      <c r="AV670" s="34">
        <f t="shared" si="604"/>
        <v>0</v>
      </c>
      <c r="AW670" s="34">
        <f t="shared" si="605"/>
        <v>0</v>
      </c>
      <c r="AX670" s="29">
        <f t="shared" si="606"/>
        <v>0</v>
      </c>
      <c r="AY670" s="34">
        <f t="shared" si="607"/>
        <v>0</v>
      </c>
      <c r="AZ670" s="37">
        <f t="shared" si="608"/>
        <v>0</v>
      </c>
      <c r="BA670" s="37">
        <f t="shared" si="609"/>
        <v>0</v>
      </c>
      <c r="BB670" s="35">
        <f t="shared" si="610"/>
        <v>1.0522224777222977E-3</v>
      </c>
      <c r="BC670" s="31">
        <f t="shared" si="611"/>
        <v>0.49638088171475825</v>
      </c>
      <c r="BD670" s="34">
        <f t="shared" si="612"/>
        <v>0</v>
      </c>
    </row>
    <row r="671" spans="1:56" x14ac:dyDescent="0.2">
      <c r="A671" s="27">
        <f t="shared" si="613"/>
        <v>667</v>
      </c>
      <c r="B671" s="28">
        <f t="shared" si="560"/>
        <v>667</v>
      </c>
      <c r="C671" s="27">
        <f t="shared" si="561"/>
        <v>55</v>
      </c>
      <c r="D671" s="28">
        <f t="shared" si="562"/>
        <v>75</v>
      </c>
      <c r="E671" s="29">
        <f t="shared" si="563"/>
        <v>0</v>
      </c>
      <c r="F671" s="30">
        <f t="shared" si="564"/>
        <v>9.0426415998366896E-3</v>
      </c>
      <c r="G671" s="31">
        <f t="shared" si="565"/>
        <v>7.5669476513384737E-4</v>
      </c>
      <c r="H671" s="32">
        <f t="shared" si="566"/>
        <v>0.02</v>
      </c>
      <c r="I671" s="32">
        <f t="shared" si="567"/>
        <v>0</v>
      </c>
      <c r="J671" s="33">
        <f t="shared" si="614"/>
        <v>0</v>
      </c>
      <c r="K671" s="30">
        <f t="shared" si="568"/>
        <v>0</v>
      </c>
      <c r="L671" s="33">
        <f t="shared" si="569"/>
        <v>0</v>
      </c>
      <c r="M671" s="30">
        <f t="shared" si="570"/>
        <v>0</v>
      </c>
      <c r="N671" s="33">
        <f t="shared" si="571"/>
        <v>0</v>
      </c>
      <c r="O671" s="31">
        <f t="shared" si="572"/>
        <v>0</v>
      </c>
      <c r="P671" s="33">
        <f t="shared" si="573"/>
        <v>0</v>
      </c>
      <c r="Q671" s="34">
        <f t="shared" si="615"/>
        <v>818040.32599024056</v>
      </c>
      <c r="R671" s="29">
        <f t="shared" si="574"/>
        <v>0</v>
      </c>
      <c r="S671" s="34">
        <f t="shared" si="575"/>
        <v>818040.32599024056</v>
      </c>
      <c r="T671" s="29">
        <f t="shared" si="576"/>
        <v>681.70027165853389</v>
      </c>
      <c r="U671" s="29">
        <f t="shared" si="577"/>
        <v>0</v>
      </c>
      <c r="V671" s="35">
        <f t="shared" si="578"/>
        <v>8.3236424164723221E-4</v>
      </c>
      <c r="W671" s="34">
        <f t="shared" si="579"/>
        <v>0</v>
      </c>
      <c r="X671" s="34">
        <f t="shared" si="580"/>
        <v>817358.62571858207</v>
      </c>
      <c r="Y671" s="36">
        <f t="shared" si="581"/>
        <v>-2.0331761098190126E-3</v>
      </c>
      <c r="Z671" s="34">
        <f t="shared" si="582"/>
        <v>-1661.8340309655212</v>
      </c>
      <c r="AA671" s="34">
        <f t="shared" si="583"/>
        <v>816527.70870309928</v>
      </c>
      <c r="AB671" s="34">
        <f t="shared" si="584"/>
        <v>0</v>
      </c>
      <c r="AC671" s="34">
        <f t="shared" si="585"/>
        <v>0</v>
      </c>
      <c r="AD671" s="34">
        <f t="shared" si="586"/>
        <v>0</v>
      </c>
      <c r="AE671" s="34">
        <f t="shared" si="587"/>
        <v>0</v>
      </c>
      <c r="AF671" s="34">
        <f t="shared" si="588"/>
        <v>0</v>
      </c>
      <c r="AG671" s="29">
        <f t="shared" si="589"/>
        <v>816527.70870309928</v>
      </c>
      <c r="AH671" s="34">
        <f t="shared" si="590"/>
        <v>0</v>
      </c>
      <c r="AI671" s="34">
        <f t="shared" si="591"/>
        <v>0</v>
      </c>
      <c r="AJ671" s="34">
        <f t="shared" si="592"/>
        <v>0</v>
      </c>
      <c r="AK671" s="34">
        <f t="shared" si="593"/>
        <v>0</v>
      </c>
      <c r="AL671" s="34">
        <f t="shared" si="594"/>
        <v>0</v>
      </c>
      <c r="AM671" s="34">
        <f t="shared" si="595"/>
        <v>0</v>
      </c>
      <c r="AN671" s="34">
        <f t="shared" si="596"/>
        <v>0</v>
      </c>
      <c r="AO671" s="34">
        <f t="shared" si="597"/>
        <v>0</v>
      </c>
      <c r="AP671" s="34">
        <f t="shared" si="598"/>
        <v>0</v>
      </c>
      <c r="AQ671" s="34">
        <f t="shared" si="599"/>
        <v>0</v>
      </c>
      <c r="AR671" s="34">
        <f t="shared" si="600"/>
        <v>0</v>
      </c>
      <c r="AS671" s="30">
        <f t="shared" si="601"/>
        <v>1.7385867257106122</v>
      </c>
      <c r="AT671" s="29">
        <f t="shared" si="602"/>
        <v>0</v>
      </c>
      <c r="AU671" s="29">
        <f t="shared" si="603"/>
        <v>0</v>
      </c>
      <c r="AV671" s="34">
        <f t="shared" si="604"/>
        <v>0</v>
      </c>
      <c r="AW671" s="34">
        <f t="shared" si="605"/>
        <v>0</v>
      </c>
      <c r="AX671" s="29">
        <f t="shared" si="606"/>
        <v>0</v>
      </c>
      <c r="AY671" s="34">
        <f t="shared" si="607"/>
        <v>0</v>
      </c>
      <c r="AZ671" s="37">
        <f t="shared" si="608"/>
        <v>0</v>
      </c>
      <c r="BA671" s="37">
        <f t="shared" si="609"/>
        <v>0</v>
      </c>
      <c r="BB671" s="35">
        <f t="shared" si="610"/>
        <v>1.0522224777222977E-3</v>
      </c>
      <c r="BC671" s="31">
        <f t="shared" si="611"/>
        <v>0.49585912759491912</v>
      </c>
      <c r="BD671" s="34">
        <f t="shared" si="612"/>
        <v>0</v>
      </c>
    </row>
    <row r="672" spans="1:56" x14ac:dyDescent="0.2">
      <c r="A672" s="27">
        <f t="shared" si="613"/>
        <v>668</v>
      </c>
      <c r="B672" s="28">
        <f t="shared" si="560"/>
        <v>668</v>
      </c>
      <c r="C672" s="27">
        <f t="shared" si="561"/>
        <v>55</v>
      </c>
      <c r="D672" s="28">
        <f t="shared" si="562"/>
        <v>75</v>
      </c>
      <c r="E672" s="29">
        <f t="shared" si="563"/>
        <v>0</v>
      </c>
      <c r="F672" s="30">
        <f t="shared" si="564"/>
        <v>9.0426415998366896E-3</v>
      </c>
      <c r="G672" s="31">
        <f t="shared" si="565"/>
        <v>7.5669476513384737E-4</v>
      </c>
      <c r="H672" s="32">
        <f t="shared" si="566"/>
        <v>0.02</v>
      </c>
      <c r="I672" s="32">
        <f t="shared" si="567"/>
        <v>0</v>
      </c>
      <c r="J672" s="33">
        <f t="shared" si="614"/>
        <v>0</v>
      </c>
      <c r="K672" s="30">
        <f t="shared" si="568"/>
        <v>0</v>
      </c>
      <c r="L672" s="33">
        <f t="shared" si="569"/>
        <v>0</v>
      </c>
      <c r="M672" s="30">
        <f t="shared" si="570"/>
        <v>0</v>
      </c>
      <c r="N672" s="33">
        <f t="shared" si="571"/>
        <v>0</v>
      </c>
      <c r="O672" s="31">
        <f t="shared" si="572"/>
        <v>0</v>
      </c>
      <c r="P672" s="33">
        <f t="shared" si="573"/>
        <v>0</v>
      </c>
      <c r="Q672" s="34">
        <f t="shared" si="615"/>
        <v>815696.7916876165</v>
      </c>
      <c r="R672" s="29">
        <f t="shared" si="574"/>
        <v>0</v>
      </c>
      <c r="S672" s="34">
        <f t="shared" si="575"/>
        <v>815696.7916876165</v>
      </c>
      <c r="T672" s="29">
        <f t="shared" si="576"/>
        <v>679.74732640634716</v>
      </c>
      <c r="U672" s="29">
        <f t="shared" si="577"/>
        <v>0</v>
      </c>
      <c r="V672" s="35">
        <f t="shared" si="578"/>
        <v>8.3236424164723221E-4</v>
      </c>
      <c r="W672" s="34">
        <f t="shared" si="579"/>
        <v>0</v>
      </c>
      <c r="X672" s="34">
        <f t="shared" si="580"/>
        <v>815017.0443612102</v>
      </c>
      <c r="Y672" s="36">
        <f t="shared" si="581"/>
        <v>1.5711261170322288E-2</v>
      </c>
      <c r="Z672" s="34">
        <f t="shared" si="582"/>
        <v>12804.94564222312</v>
      </c>
      <c r="AA672" s="34">
        <f t="shared" si="583"/>
        <v>821419.51718232175</v>
      </c>
      <c r="AB672" s="34">
        <f t="shared" si="584"/>
        <v>0</v>
      </c>
      <c r="AC672" s="34">
        <f t="shared" si="585"/>
        <v>0</v>
      </c>
      <c r="AD672" s="34">
        <f t="shared" si="586"/>
        <v>0</v>
      </c>
      <c r="AE672" s="34">
        <f t="shared" si="587"/>
        <v>0</v>
      </c>
      <c r="AF672" s="34">
        <f t="shared" si="588"/>
        <v>0</v>
      </c>
      <c r="AG672" s="29">
        <f t="shared" si="589"/>
        <v>821419.51718232175</v>
      </c>
      <c r="AH672" s="34">
        <f t="shared" si="590"/>
        <v>0</v>
      </c>
      <c r="AI672" s="34">
        <f t="shared" si="591"/>
        <v>0</v>
      </c>
      <c r="AJ672" s="34">
        <f t="shared" si="592"/>
        <v>0</v>
      </c>
      <c r="AK672" s="34">
        <f t="shared" si="593"/>
        <v>0</v>
      </c>
      <c r="AL672" s="34">
        <f t="shared" si="594"/>
        <v>0</v>
      </c>
      <c r="AM672" s="34">
        <f t="shared" si="595"/>
        <v>0</v>
      </c>
      <c r="AN672" s="34">
        <f t="shared" si="596"/>
        <v>0</v>
      </c>
      <c r="AO672" s="34">
        <f t="shared" si="597"/>
        <v>0</v>
      </c>
      <c r="AP672" s="34">
        <f t="shared" si="598"/>
        <v>0</v>
      </c>
      <c r="AQ672" s="34">
        <f t="shared" si="599"/>
        <v>0</v>
      </c>
      <c r="AR672" s="34">
        <f t="shared" si="600"/>
        <v>0</v>
      </c>
      <c r="AS672" s="30">
        <f t="shared" si="601"/>
        <v>1.7400289496646855</v>
      </c>
      <c r="AT672" s="29">
        <f t="shared" si="602"/>
        <v>0</v>
      </c>
      <c r="AU672" s="29">
        <f t="shared" si="603"/>
        <v>0</v>
      </c>
      <c r="AV672" s="34">
        <f t="shared" si="604"/>
        <v>0</v>
      </c>
      <c r="AW672" s="34">
        <f t="shared" si="605"/>
        <v>0</v>
      </c>
      <c r="AX672" s="29">
        <f t="shared" si="606"/>
        <v>0</v>
      </c>
      <c r="AY672" s="34">
        <f t="shared" si="607"/>
        <v>0</v>
      </c>
      <c r="AZ672" s="37">
        <f t="shared" si="608"/>
        <v>0</v>
      </c>
      <c r="BA672" s="37">
        <f t="shared" si="609"/>
        <v>0</v>
      </c>
      <c r="BB672" s="35">
        <f t="shared" si="610"/>
        <v>1.0522224777222977E-3</v>
      </c>
      <c r="BC672" s="31">
        <f t="shared" si="611"/>
        <v>0.49533792189942827</v>
      </c>
      <c r="BD672" s="34">
        <f t="shared" si="612"/>
        <v>0</v>
      </c>
    </row>
    <row r="673" spans="1:56" x14ac:dyDescent="0.2">
      <c r="A673" s="27">
        <f t="shared" si="613"/>
        <v>669</v>
      </c>
      <c r="B673" s="28">
        <f t="shared" si="560"/>
        <v>669</v>
      </c>
      <c r="C673" s="27">
        <f t="shared" si="561"/>
        <v>55</v>
      </c>
      <c r="D673" s="28">
        <f t="shared" si="562"/>
        <v>75</v>
      </c>
      <c r="E673" s="29">
        <f t="shared" si="563"/>
        <v>0</v>
      </c>
      <c r="F673" s="30">
        <f t="shared" si="564"/>
        <v>9.0426415998366896E-3</v>
      </c>
      <c r="G673" s="31">
        <f t="shared" si="565"/>
        <v>7.5669476513384737E-4</v>
      </c>
      <c r="H673" s="32">
        <f t="shared" si="566"/>
        <v>0.02</v>
      </c>
      <c r="I673" s="32">
        <f t="shared" si="567"/>
        <v>0</v>
      </c>
      <c r="J673" s="33">
        <f t="shared" si="614"/>
        <v>0</v>
      </c>
      <c r="K673" s="30">
        <f t="shared" si="568"/>
        <v>0</v>
      </c>
      <c r="L673" s="33">
        <f t="shared" si="569"/>
        <v>0</v>
      </c>
      <c r="M673" s="30">
        <f t="shared" si="570"/>
        <v>0</v>
      </c>
      <c r="N673" s="33">
        <f t="shared" si="571"/>
        <v>0</v>
      </c>
      <c r="O673" s="31">
        <f t="shared" si="572"/>
        <v>0</v>
      </c>
      <c r="P673" s="33">
        <f t="shared" si="573"/>
        <v>0</v>
      </c>
      <c r="Q673" s="34">
        <f t="shared" si="615"/>
        <v>827821.99000343331</v>
      </c>
      <c r="R673" s="29">
        <f t="shared" si="574"/>
        <v>0</v>
      </c>
      <c r="S673" s="34">
        <f t="shared" si="575"/>
        <v>827821.99000343331</v>
      </c>
      <c r="T673" s="29">
        <f t="shared" si="576"/>
        <v>689.85165833619442</v>
      </c>
      <c r="U673" s="29">
        <f t="shared" si="577"/>
        <v>0</v>
      </c>
      <c r="V673" s="35">
        <f t="shared" si="578"/>
        <v>8.3236424164723221E-4</v>
      </c>
      <c r="W673" s="34">
        <f t="shared" si="579"/>
        <v>0</v>
      </c>
      <c r="X673" s="34">
        <f t="shared" si="580"/>
        <v>827132.13834509708</v>
      </c>
      <c r="Y673" s="36">
        <f t="shared" si="581"/>
        <v>-1.3133857980311636E-2</v>
      </c>
      <c r="Z673" s="34">
        <f t="shared" si="582"/>
        <v>-10863.436035975981</v>
      </c>
      <c r="AA673" s="34">
        <f t="shared" si="583"/>
        <v>821700.42032710905</v>
      </c>
      <c r="AB673" s="34">
        <f t="shared" si="584"/>
        <v>0</v>
      </c>
      <c r="AC673" s="34">
        <f t="shared" si="585"/>
        <v>0</v>
      </c>
      <c r="AD673" s="34">
        <f t="shared" si="586"/>
        <v>0</v>
      </c>
      <c r="AE673" s="34">
        <f t="shared" si="587"/>
        <v>0</v>
      </c>
      <c r="AF673" s="34">
        <f t="shared" si="588"/>
        <v>0</v>
      </c>
      <c r="AG673" s="29">
        <f t="shared" si="589"/>
        <v>821700.42032710905</v>
      </c>
      <c r="AH673" s="34">
        <f t="shared" si="590"/>
        <v>0</v>
      </c>
      <c r="AI673" s="34">
        <f t="shared" si="591"/>
        <v>0</v>
      </c>
      <c r="AJ673" s="34">
        <f t="shared" si="592"/>
        <v>0</v>
      </c>
      <c r="AK673" s="34">
        <f t="shared" si="593"/>
        <v>0</v>
      </c>
      <c r="AL673" s="34">
        <f t="shared" si="594"/>
        <v>0</v>
      </c>
      <c r="AM673" s="34">
        <f t="shared" si="595"/>
        <v>0</v>
      </c>
      <c r="AN673" s="34">
        <f t="shared" si="596"/>
        <v>0</v>
      </c>
      <c r="AO673" s="34">
        <f t="shared" si="597"/>
        <v>0</v>
      </c>
      <c r="AP673" s="34">
        <f t="shared" si="598"/>
        <v>0</v>
      </c>
      <c r="AQ673" s="34">
        <f t="shared" si="599"/>
        <v>0</v>
      </c>
      <c r="AR673" s="34">
        <f t="shared" si="600"/>
        <v>0</v>
      </c>
      <c r="AS673" s="30">
        <f t="shared" si="601"/>
        <v>1.7414723699984984</v>
      </c>
      <c r="AT673" s="29">
        <f t="shared" si="602"/>
        <v>0</v>
      </c>
      <c r="AU673" s="29">
        <f t="shared" si="603"/>
        <v>0</v>
      </c>
      <c r="AV673" s="34">
        <f t="shared" si="604"/>
        <v>0</v>
      </c>
      <c r="AW673" s="34">
        <f t="shared" si="605"/>
        <v>0</v>
      </c>
      <c r="AX673" s="29">
        <f t="shared" si="606"/>
        <v>0</v>
      </c>
      <c r="AY673" s="34">
        <f t="shared" si="607"/>
        <v>0</v>
      </c>
      <c r="AZ673" s="37">
        <f t="shared" si="608"/>
        <v>0</v>
      </c>
      <c r="BA673" s="37">
        <f t="shared" si="609"/>
        <v>0</v>
      </c>
      <c r="BB673" s="35">
        <f t="shared" si="610"/>
        <v>1.0522224777222977E-3</v>
      </c>
      <c r="BC673" s="31">
        <f t="shared" si="611"/>
        <v>0.49481726405182791</v>
      </c>
      <c r="BD673" s="34">
        <f t="shared" si="612"/>
        <v>0</v>
      </c>
    </row>
    <row r="674" spans="1:56" x14ac:dyDescent="0.2">
      <c r="A674" s="27">
        <f t="shared" si="613"/>
        <v>670</v>
      </c>
      <c r="B674" s="28">
        <f t="shared" si="560"/>
        <v>670</v>
      </c>
      <c r="C674" s="27">
        <f t="shared" si="561"/>
        <v>55</v>
      </c>
      <c r="D674" s="28">
        <f t="shared" si="562"/>
        <v>75</v>
      </c>
      <c r="E674" s="29">
        <f t="shared" si="563"/>
        <v>0</v>
      </c>
      <c r="F674" s="30">
        <f t="shared" si="564"/>
        <v>9.0426415998366896E-3</v>
      </c>
      <c r="G674" s="31">
        <f t="shared" si="565"/>
        <v>7.5669476513384737E-4</v>
      </c>
      <c r="H674" s="32">
        <f t="shared" si="566"/>
        <v>0.02</v>
      </c>
      <c r="I674" s="32">
        <f t="shared" si="567"/>
        <v>0</v>
      </c>
      <c r="J674" s="33">
        <f t="shared" si="614"/>
        <v>0</v>
      </c>
      <c r="K674" s="30">
        <f t="shared" si="568"/>
        <v>0</v>
      </c>
      <c r="L674" s="33">
        <f t="shared" si="569"/>
        <v>0</v>
      </c>
      <c r="M674" s="30">
        <f t="shared" si="570"/>
        <v>0</v>
      </c>
      <c r="N674" s="33">
        <f t="shared" si="571"/>
        <v>0</v>
      </c>
      <c r="O674" s="31">
        <f t="shared" si="572"/>
        <v>0</v>
      </c>
      <c r="P674" s="33">
        <f t="shared" si="573"/>
        <v>0</v>
      </c>
      <c r="Q674" s="34">
        <f t="shared" si="615"/>
        <v>816268.70230912114</v>
      </c>
      <c r="R674" s="29">
        <f t="shared" si="574"/>
        <v>0</v>
      </c>
      <c r="S674" s="34">
        <f t="shared" si="575"/>
        <v>816268.70230912114</v>
      </c>
      <c r="T674" s="29">
        <f t="shared" si="576"/>
        <v>680.22391859093432</v>
      </c>
      <c r="U674" s="29">
        <f t="shared" si="577"/>
        <v>0</v>
      </c>
      <c r="V674" s="35">
        <f t="shared" si="578"/>
        <v>8.3236424164723221E-4</v>
      </c>
      <c r="W674" s="34">
        <f t="shared" si="579"/>
        <v>0</v>
      </c>
      <c r="X674" s="34">
        <f t="shared" si="580"/>
        <v>815588.47839053022</v>
      </c>
      <c r="Y674" s="36">
        <f t="shared" si="581"/>
        <v>-1.4584578173442164E-3</v>
      </c>
      <c r="Z674" s="34">
        <f t="shared" si="582"/>
        <v>-1189.5013920445433</v>
      </c>
      <c r="AA674" s="34">
        <f t="shared" si="583"/>
        <v>814993.72769450792</v>
      </c>
      <c r="AB674" s="34">
        <f t="shared" si="584"/>
        <v>0</v>
      </c>
      <c r="AC674" s="34">
        <f t="shared" si="585"/>
        <v>0</v>
      </c>
      <c r="AD674" s="34">
        <f t="shared" si="586"/>
        <v>0</v>
      </c>
      <c r="AE674" s="34">
        <f t="shared" si="587"/>
        <v>0</v>
      </c>
      <c r="AF674" s="34">
        <f t="shared" si="588"/>
        <v>0</v>
      </c>
      <c r="AG674" s="29">
        <f t="shared" si="589"/>
        <v>814993.72769450792</v>
      </c>
      <c r="AH674" s="34">
        <f t="shared" si="590"/>
        <v>0</v>
      </c>
      <c r="AI674" s="34">
        <f t="shared" si="591"/>
        <v>0</v>
      </c>
      <c r="AJ674" s="34">
        <f t="shared" si="592"/>
        <v>0</v>
      </c>
      <c r="AK674" s="34">
        <f t="shared" si="593"/>
        <v>0</v>
      </c>
      <c r="AL674" s="34">
        <f t="shared" si="594"/>
        <v>0</v>
      </c>
      <c r="AM674" s="34">
        <f t="shared" si="595"/>
        <v>0</v>
      </c>
      <c r="AN674" s="34">
        <f t="shared" si="596"/>
        <v>0</v>
      </c>
      <c r="AO674" s="34">
        <f t="shared" si="597"/>
        <v>0</v>
      </c>
      <c r="AP674" s="34">
        <f t="shared" si="598"/>
        <v>0</v>
      </c>
      <c r="AQ674" s="34">
        <f t="shared" si="599"/>
        <v>0</v>
      </c>
      <c r="AR674" s="34">
        <f t="shared" si="600"/>
        <v>0</v>
      </c>
      <c r="AS674" s="30">
        <f t="shared" si="601"/>
        <v>1.742916987704493</v>
      </c>
      <c r="AT674" s="29">
        <f t="shared" si="602"/>
        <v>0</v>
      </c>
      <c r="AU674" s="29">
        <f t="shared" si="603"/>
        <v>0</v>
      </c>
      <c r="AV674" s="34">
        <f t="shared" si="604"/>
        <v>0</v>
      </c>
      <c r="AW674" s="34">
        <f t="shared" si="605"/>
        <v>0</v>
      </c>
      <c r="AX674" s="29">
        <f t="shared" si="606"/>
        <v>0</v>
      </c>
      <c r="AY674" s="34">
        <f t="shared" si="607"/>
        <v>0</v>
      </c>
      <c r="AZ674" s="37">
        <f t="shared" si="608"/>
        <v>0</v>
      </c>
      <c r="BA674" s="37">
        <f t="shared" si="609"/>
        <v>0</v>
      </c>
      <c r="BB674" s="35">
        <f t="shared" si="610"/>
        <v>1.0522224777222977E-3</v>
      </c>
      <c r="BC674" s="31">
        <f t="shared" si="611"/>
        <v>0.49429715347626607</v>
      </c>
      <c r="BD674" s="34">
        <f t="shared" si="612"/>
        <v>0</v>
      </c>
    </row>
    <row r="675" spans="1:56" x14ac:dyDescent="0.2">
      <c r="A675" s="27">
        <f t="shared" si="613"/>
        <v>671</v>
      </c>
      <c r="B675" s="28">
        <f t="shared" si="560"/>
        <v>671</v>
      </c>
      <c r="C675" s="27">
        <f t="shared" si="561"/>
        <v>55</v>
      </c>
      <c r="D675" s="28">
        <f t="shared" si="562"/>
        <v>75</v>
      </c>
      <c r="E675" s="29">
        <f t="shared" si="563"/>
        <v>0</v>
      </c>
      <c r="F675" s="30">
        <f t="shared" si="564"/>
        <v>9.0426415998366896E-3</v>
      </c>
      <c r="G675" s="31">
        <f t="shared" si="565"/>
        <v>7.5669476513384737E-4</v>
      </c>
      <c r="H675" s="32">
        <f t="shared" si="566"/>
        <v>0.02</v>
      </c>
      <c r="I675" s="32">
        <f t="shared" si="567"/>
        <v>0</v>
      </c>
      <c r="J675" s="33">
        <f t="shared" si="614"/>
        <v>0</v>
      </c>
      <c r="K675" s="30">
        <f t="shared" si="568"/>
        <v>0</v>
      </c>
      <c r="L675" s="33">
        <f t="shared" si="569"/>
        <v>0</v>
      </c>
      <c r="M675" s="30">
        <f t="shared" si="570"/>
        <v>0</v>
      </c>
      <c r="N675" s="33">
        <f t="shared" si="571"/>
        <v>0</v>
      </c>
      <c r="O675" s="31">
        <f t="shared" si="572"/>
        <v>0</v>
      </c>
      <c r="P675" s="33">
        <f t="shared" si="573"/>
        <v>0</v>
      </c>
      <c r="Q675" s="34">
        <f t="shared" si="615"/>
        <v>814398.97699848562</v>
      </c>
      <c r="R675" s="29">
        <f t="shared" si="574"/>
        <v>0</v>
      </c>
      <c r="S675" s="34">
        <f t="shared" si="575"/>
        <v>814398.97699848562</v>
      </c>
      <c r="T675" s="29">
        <f t="shared" si="576"/>
        <v>678.66581416540475</v>
      </c>
      <c r="U675" s="29">
        <f t="shared" si="577"/>
        <v>0</v>
      </c>
      <c r="V675" s="35">
        <f t="shared" si="578"/>
        <v>8.3236424164723221E-4</v>
      </c>
      <c r="W675" s="34">
        <f t="shared" si="579"/>
        <v>0</v>
      </c>
      <c r="X675" s="34">
        <f t="shared" si="580"/>
        <v>813720.31118432025</v>
      </c>
      <c r="Y675" s="36">
        <f t="shared" si="581"/>
        <v>1.2860302265063961E-2</v>
      </c>
      <c r="Z675" s="34">
        <f t="shared" si="582"/>
        <v>10464.689161052265</v>
      </c>
      <c r="AA675" s="34">
        <f t="shared" si="583"/>
        <v>818952.65576484636</v>
      </c>
      <c r="AB675" s="34">
        <f t="shared" si="584"/>
        <v>0</v>
      </c>
      <c r="AC675" s="34">
        <f t="shared" si="585"/>
        <v>0</v>
      </c>
      <c r="AD675" s="34">
        <f t="shared" si="586"/>
        <v>0</v>
      </c>
      <c r="AE675" s="34">
        <f t="shared" si="587"/>
        <v>0</v>
      </c>
      <c r="AF675" s="34">
        <f t="shared" si="588"/>
        <v>0</v>
      </c>
      <c r="AG675" s="29">
        <f t="shared" si="589"/>
        <v>818952.65576484636</v>
      </c>
      <c r="AH675" s="34">
        <f t="shared" si="590"/>
        <v>0</v>
      </c>
      <c r="AI675" s="34">
        <f t="shared" si="591"/>
        <v>0</v>
      </c>
      <c r="AJ675" s="34">
        <f t="shared" si="592"/>
        <v>0</v>
      </c>
      <c r="AK675" s="34">
        <f t="shared" si="593"/>
        <v>0</v>
      </c>
      <c r="AL675" s="34">
        <f t="shared" si="594"/>
        <v>0</v>
      </c>
      <c r="AM675" s="34">
        <f t="shared" si="595"/>
        <v>0</v>
      </c>
      <c r="AN675" s="34">
        <f t="shared" si="596"/>
        <v>0</v>
      </c>
      <c r="AO675" s="34">
        <f t="shared" si="597"/>
        <v>0</v>
      </c>
      <c r="AP675" s="34">
        <f t="shared" si="598"/>
        <v>0</v>
      </c>
      <c r="AQ675" s="34">
        <f t="shared" si="599"/>
        <v>0</v>
      </c>
      <c r="AR675" s="34">
        <f t="shared" si="600"/>
        <v>0</v>
      </c>
      <c r="AS675" s="30">
        <f t="shared" si="601"/>
        <v>1.7443628037759353</v>
      </c>
      <c r="AT675" s="29">
        <f t="shared" si="602"/>
        <v>0</v>
      </c>
      <c r="AU675" s="29">
        <f t="shared" si="603"/>
        <v>0</v>
      </c>
      <c r="AV675" s="34">
        <f t="shared" si="604"/>
        <v>0</v>
      </c>
      <c r="AW675" s="34">
        <f t="shared" si="605"/>
        <v>0</v>
      </c>
      <c r="AX675" s="29">
        <f t="shared" si="606"/>
        <v>0</v>
      </c>
      <c r="AY675" s="34">
        <f t="shared" si="607"/>
        <v>0</v>
      </c>
      <c r="AZ675" s="37">
        <f t="shared" si="608"/>
        <v>0</v>
      </c>
      <c r="BA675" s="37">
        <f t="shared" si="609"/>
        <v>0</v>
      </c>
      <c r="BB675" s="35">
        <f t="shared" si="610"/>
        <v>1.0522224777222977E-3</v>
      </c>
      <c r="BC675" s="31">
        <f t="shared" si="611"/>
        <v>0.4937775895974959</v>
      </c>
      <c r="BD675" s="34">
        <f t="shared" si="612"/>
        <v>0</v>
      </c>
    </row>
    <row r="676" spans="1:56" x14ac:dyDescent="0.2">
      <c r="A676" s="27">
        <f t="shared" si="613"/>
        <v>672</v>
      </c>
      <c r="B676" s="28">
        <f t="shared" si="560"/>
        <v>672</v>
      </c>
      <c r="C676" s="27">
        <f t="shared" si="561"/>
        <v>56</v>
      </c>
      <c r="D676" s="28">
        <f t="shared" si="562"/>
        <v>76</v>
      </c>
      <c r="E676" s="29">
        <f t="shared" si="563"/>
        <v>0</v>
      </c>
      <c r="F676" s="30">
        <f t="shared" si="564"/>
        <v>9.97973501552968E-3</v>
      </c>
      <c r="G676" s="31">
        <f t="shared" si="565"/>
        <v>8.3547299639996631E-4</v>
      </c>
      <c r="H676" s="32">
        <f t="shared" si="566"/>
        <v>0.02</v>
      </c>
      <c r="I676" s="32">
        <f t="shared" si="567"/>
        <v>0</v>
      </c>
      <c r="J676" s="33">
        <f t="shared" si="614"/>
        <v>0</v>
      </c>
      <c r="K676" s="30">
        <f t="shared" si="568"/>
        <v>0</v>
      </c>
      <c r="L676" s="33">
        <f t="shared" si="569"/>
        <v>0</v>
      </c>
      <c r="M676" s="30">
        <f t="shared" si="570"/>
        <v>0</v>
      </c>
      <c r="N676" s="33">
        <f t="shared" si="571"/>
        <v>0</v>
      </c>
      <c r="O676" s="31">
        <f t="shared" si="572"/>
        <v>0</v>
      </c>
      <c r="P676" s="33">
        <f t="shared" si="573"/>
        <v>0</v>
      </c>
      <c r="Q676" s="34">
        <f t="shared" si="615"/>
        <v>824185.00034537248</v>
      </c>
      <c r="R676" s="29">
        <f t="shared" si="574"/>
        <v>0</v>
      </c>
      <c r="S676" s="34">
        <f t="shared" si="575"/>
        <v>824185.00034537248</v>
      </c>
      <c r="T676" s="29">
        <f t="shared" si="576"/>
        <v>686.82083362114372</v>
      </c>
      <c r="U676" s="29">
        <f t="shared" si="577"/>
        <v>0</v>
      </c>
      <c r="V676" s="35">
        <f t="shared" si="578"/>
        <v>9.1902029603996304E-4</v>
      </c>
      <c r="W676" s="34">
        <f t="shared" si="579"/>
        <v>0</v>
      </c>
      <c r="X676" s="34">
        <f t="shared" si="580"/>
        <v>823498.17951175128</v>
      </c>
      <c r="Y676" s="36">
        <f t="shared" si="581"/>
        <v>2.8330980105195414E-2</v>
      </c>
      <c r="Z676" s="34">
        <f t="shared" si="582"/>
        <v>23330.510540412066</v>
      </c>
      <c r="AA676" s="34">
        <f t="shared" si="583"/>
        <v>835163.4347819573</v>
      </c>
      <c r="AB676" s="34">
        <f t="shared" si="584"/>
        <v>0</v>
      </c>
      <c r="AC676" s="34">
        <f t="shared" si="585"/>
        <v>0</v>
      </c>
      <c r="AD676" s="34">
        <f t="shared" si="586"/>
        <v>0</v>
      </c>
      <c r="AE676" s="34">
        <f t="shared" si="587"/>
        <v>0</v>
      </c>
      <c r="AF676" s="34">
        <f t="shared" si="588"/>
        <v>0</v>
      </c>
      <c r="AG676" s="29">
        <f t="shared" si="589"/>
        <v>835163.4347819573</v>
      </c>
      <c r="AH676" s="34">
        <f t="shared" si="590"/>
        <v>0</v>
      </c>
      <c r="AI676" s="34">
        <f t="shared" si="591"/>
        <v>0</v>
      </c>
      <c r="AJ676" s="34">
        <f t="shared" si="592"/>
        <v>0</v>
      </c>
      <c r="AK676" s="34">
        <f t="shared" si="593"/>
        <v>0</v>
      </c>
      <c r="AL676" s="34">
        <f t="shared" si="594"/>
        <v>0</v>
      </c>
      <c r="AM676" s="34">
        <f t="shared" si="595"/>
        <v>0</v>
      </c>
      <c r="AN676" s="34">
        <f t="shared" si="596"/>
        <v>0</v>
      </c>
      <c r="AO676" s="34">
        <f t="shared" si="597"/>
        <v>0</v>
      </c>
      <c r="AP676" s="34">
        <f t="shared" si="598"/>
        <v>0</v>
      </c>
      <c r="AQ676" s="34">
        <f t="shared" si="599"/>
        <v>0</v>
      </c>
      <c r="AR676" s="34">
        <f t="shared" si="600"/>
        <v>0</v>
      </c>
      <c r="AS676" s="30">
        <f t="shared" si="601"/>
        <v>1.7458098192069158</v>
      </c>
      <c r="AT676" s="29">
        <f t="shared" si="602"/>
        <v>0</v>
      </c>
      <c r="AU676" s="29">
        <f t="shared" si="603"/>
        <v>0</v>
      </c>
      <c r="AV676" s="34">
        <f t="shared" si="604"/>
        <v>0</v>
      </c>
      <c r="AW676" s="34">
        <f t="shared" si="605"/>
        <v>0</v>
      </c>
      <c r="AX676" s="29">
        <f t="shared" si="606"/>
        <v>0</v>
      </c>
      <c r="AY676" s="34">
        <f t="shared" si="607"/>
        <v>0</v>
      </c>
      <c r="AZ676" s="37">
        <f t="shared" si="608"/>
        <v>0</v>
      </c>
      <c r="BA676" s="37">
        <f t="shared" si="609"/>
        <v>0</v>
      </c>
      <c r="BB676" s="35">
        <f t="shared" si="610"/>
        <v>1.0777551015865861E-3</v>
      </c>
      <c r="BC676" s="31">
        <f t="shared" si="611"/>
        <v>0.48487632254617102</v>
      </c>
      <c r="BD676" s="34">
        <f t="shared" si="612"/>
        <v>0</v>
      </c>
    </row>
    <row r="677" spans="1:56" x14ac:dyDescent="0.2">
      <c r="A677" s="27">
        <f t="shared" si="613"/>
        <v>673</v>
      </c>
      <c r="B677" s="28">
        <f t="shared" si="560"/>
        <v>673</v>
      </c>
      <c r="C677" s="27">
        <f t="shared" si="561"/>
        <v>56</v>
      </c>
      <c r="D677" s="28">
        <f t="shared" si="562"/>
        <v>76</v>
      </c>
      <c r="E677" s="29">
        <f t="shared" si="563"/>
        <v>0</v>
      </c>
      <c r="F677" s="30">
        <f t="shared" si="564"/>
        <v>9.97973501552968E-3</v>
      </c>
      <c r="G677" s="31">
        <f t="shared" si="565"/>
        <v>8.3547299639996631E-4</v>
      </c>
      <c r="H677" s="32">
        <f t="shared" si="566"/>
        <v>0.02</v>
      </c>
      <c r="I677" s="32">
        <f t="shared" si="567"/>
        <v>0</v>
      </c>
      <c r="J677" s="33">
        <f t="shared" si="614"/>
        <v>0</v>
      </c>
      <c r="K677" s="30">
        <f t="shared" si="568"/>
        <v>0</v>
      </c>
      <c r="L677" s="33">
        <f t="shared" si="569"/>
        <v>0</v>
      </c>
      <c r="M677" s="30">
        <f t="shared" si="570"/>
        <v>0</v>
      </c>
      <c r="N677" s="33">
        <f t="shared" si="571"/>
        <v>0</v>
      </c>
      <c r="O677" s="31">
        <f t="shared" si="572"/>
        <v>0</v>
      </c>
      <c r="P677" s="33">
        <f t="shared" si="573"/>
        <v>0</v>
      </c>
      <c r="Q677" s="34">
        <f t="shared" si="615"/>
        <v>846828.69005216332</v>
      </c>
      <c r="R677" s="29">
        <f t="shared" si="574"/>
        <v>0</v>
      </c>
      <c r="S677" s="34">
        <f t="shared" si="575"/>
        <v>846828.69005216332</v>
      </c>
      <c r="T677" s="29">
        <f t="shared" si="576"/>
        <v>705.69057504346949</v>
      </c>
      <c r="U677" s="29">
        <f t="shared" si="577"/>
        <v>0</v>
      </c>
      <c r="V677" s="35">
        <f t="shared" si="578"/>
        <v>9.1902029603996304E-4</v>
      </c>
      <c r="W677" s="34">
        <f t="shared" si="579"/>
        <v>0</v>
      </c>
      <c r="X677" s="34">
        <f t="shared" si="580"/>
        <v>846122.99947711988</v>
      </c>
      <c r="Y677" s="36">
        <f t="shared" si="581"/>
        <v>3.9162682941868976E-3</v>
      </c>
      <c r="Z677" s="34">
        <f t="shared" si="582"/>
        <v>3313.6446758345614</v>
      </c>
      <c r="AA677" s="34">
        <f t="shared" si="583"/>
        <v>847779.82181503717</v>
      </c>
      <c r="AB677" s="34">
        <f t="shared" si="584"/>
        <v>0</v>
      </c>
      <c r="AC677" s="34">
        <f t="shared" si="585"/>
        <v>0</v>
      </c>
      <c r="AD677" s="34">
        <f t="shared" si="586"/>
        <v>0</v>
      </c>
      <c r="AE677" s="34">
        <f t="shared" si="587"/>
        <v>0</v>
      </c>
      <c r="AF677" s="34">
        <f t="shared" si="588"/>
        <v>0</v>
      </c>
      <c r="AG677" s="29">
        <f t="shared" si="589"/>
        <v>847779.82181503717</v>
      </c>
      <c r="AH677" s="34">
        <f t="shared" si="590"/>
        <v>0</v>
      </c>
      <c r="AI677" s="34">
        <f t="shared" si="591"/>
        <v>0</v>
      </c>
      <c r="AJ677" s="34">
        <f t="shared" si="592"/>
        <v>0</v>
      </c>
      <c r="AK677" s="34">
        <f t="shared" si="593"/>
        <v>0</v>
      </c>
      <c r="AL677" s="34">
        <f t="shared" si="594"/>
        <v>0</v>
      </c>
      <c r="AM677" s="34">
        <f t="shared" si="595"/>
        <v>0</v>
      </c>
      <c r="AN677" s="34">
        <f t="shared" si="596"/>
        <v>0</v>
      </c>
      <c r="AO677" s="34">
        <f t="shared" si="597"/>
        <v>0</v>
      </c>
      <c r="AP677" s="34">
        <f t="shared" si="598"/>
        <v>0</v>
      </c>
      <c r="AQ677" s="34">
        <f t="shared" si="599"/>
        <v>0</v>
      </c>
      <c r="AR677" s="34">
        <f t="shared" si="600"/>
        <v>0</v>
      </c>
      <c r="AS677" s="30">
        <f t="shared" si="601"/>
        <v>1.7472580349923474</v>
      </c>
      <c r="AT677" s="29">
        <f t="shared" si="602"/>
        <v>0</v>
      </c>
      <c r="AU677" s="29">
        <f t="shared" si="603"/>
        <v>0</v>
      </c>
      <c r="AV677" s="34">
        <f t="shared" si="604"/>
        <v>0</v>
      </c>
      <c r="AW677" s="34">
        <f t="shared" si="605"/>
        <v>0</v>
      </c>
      <c r="AX677" s="29">
        <f t="shared" si="606"/>
        <v>0</v>
      </c>
      <c r="AY677" s="34">
        <f t="shared" si="607"/>
        <v>0</v>
      </c>
      <c r="AZ677" s="37">
        <f t="shared" si="608"/>
        <v>0</v>
      </c>
      <c r="BA677" s="37">
        <f t="shared" si="609"/>
        <v>0</v>
      </c>
      <c r="BB677" s="35">
        <f t="shared" si="610"/>
        <v>1.0777551015865861E-3</v>
      </c>
      <c r="BC677" s="31">
        <f t="shared" si="611"/>
        <v>0.48435430722058859</v>
      </c>
      <c r="BD677" s="34">
        <f t="shared" si="612"/>
        <v>0</v>
      </c>
    </row>
    <row r="678" spans="1:56" x14ac:dyDescent="0.2">
      <c r="A678" s="27">
        <f t="shared" si="613"/>
        <v>674</v>
      </c>
      <c r="B678" s="28">
        <f t="shared" si="560"/>
        <v>674</v>
      </c>
      <c r="C678" s="27">
        <f t="shared" si="561"/>
        <v>56</v>
      </c>
      <c r="D678" s="28">
        <f t="shared" si="562"/>
        <v>76</v>
      </c>
      <c r="E678" s="29">
        <f t="shared" si="563"/>
        <v>0</v>
      </c>
      <c r="F678" s="30">
        <f t="shared" si="564"/>
        <v>9.97973501552968E-3</v>
      </c>
      <c r="G678" s="31">
        <f t="shared" si="565"/>
        <v>8.3547299639996631E-4</v>
      </c>
      <c r="H678" s="32">
        <f t="shared" si="566"/>
        <v>0.02</v>
      </c>
      <c r="I678" s="32">
        <f t="shared" si="567"/>
        <v>0</v>
      </c>
      <c r="J678" s="33">
        <f t="shared" si="614"/>
        <v>0</v>
      </c>
      <c r="K678" s="30">
        <f t="shared" si="568"/>
        <v>0</v>
      </c>
      <c r="L678" s="33">
        <f t="shared" si="569"/>
        <v>0</v>
      </c>
      <c r="M678" s="30">
        <f t="shared" si="570"/>
        <v>0</v>
      </c>
      <c r="N678" s="33">
        <f t="shared" si="571"/>
        <v>0</v>
      </c>
      <c r="O678" s="31">
        <f t="shared" si="572"/>
        <v>0</v>
      </c>
      <c r="P678" s="33">
        <f t="shared" si="573"/>
        <v>0</v>
      </c>
      <c r="Q678" s="34">
        <f t="shared" si="615"/>
        <v>849436.64415295445</v>
      </c>
      <c r="R678" s="29">
        <f t="shared" si="574"/>
        <v>0</v>
      </c>
      <c r="S678" s="34">
        <f t="shared" si="575"/>
        <v>849436.64415295445</v>
      </c>
      <c r="T678" s="29">
        <f t="shared" si="576"/>
        <v>707.86387012746206</v>
      </c>
      <c r="U678" s="29">
        <f t="shared" si="577"/>
        <v>0</v>
      </c>
      <c r="V678" s="35">
        <f t="shared" si="578"/>
        <v>9.1902029603996304E-4</v>
      </c>
      <c r="W678" s="34">
        <f t="shared" si="579"/>
        <v>0</v>
      </c>
      <c r="X678" s="34">
        <f t="shared" si="580"/>
        <v>848728.78028282698</v>
      </c>
      <c r="Y678" s="36">
        <f t="shared" si="581"/>
        <v>-3.5694830767004637E-3</v>
      </c>
      <c r="Z678" s="34">
        <f t="shared" si="582"/>
        <v>-3029.5230179281771</v>
      </c>
      <c r="AA678" s="34">
        <f t="shared" si="583"/>
        <v>847214.01877386286</v>
      </c>
      <c r="AB678" s="34">
        <f t="shared" si="584"/>
        <v>0</v>
      </c>
      <c r="AC678" s="34">
        <f t="shared" si="585"/>
        <v>0</v>
      </c>
      <c r="AD678" s="34">
        <f t="shared" si="586"/>
        <v>0</v>
      </c>
      <c r="AE678" s="34">
        <f t="shared" si="587"/>
        <v>0</v>
      </c>
      <c r="AF678" s="34">
        <f t="shared" si="588"/>
        <v>0</v>
      </c>
      <c r="AG678" s="29">
        <f t="shared" si="589"/>
        <v>847214.01877386286</v>
      </c>
      <c r="AH678" s="34">
        <f t="shared" si="590"/>
        <v>0</v>
      </c>
      <c r="AI678" s="34">
        <f t="shared" si="591"/>
        <v>0</v>
      </c>
      <c r="AJ678" s="34">
        <f t="shared" si="592"/>
        <v>0</v>
      </c>
      <c r="AK678" s="34">
        <f t="shared" si="593"/>
        <v>0</v>
      </c>
      <c r="AL678" s="34">
        <f t="shared" si="594"/>
        <v>0</v>
      </c>
      <c r="AM678" s="34">
        <f t="shared" si="595"/>
        <v>0</v>
      </c>
      <c r="AN678" s="34">
        <f t="shared" si="596"/>
        <v>0</v>
      </c>
      <c r="AO678" s="34">
        <f t="shared" si="597"/>
        <v>0</v>
      </c>
      <c r="AP678" s="34">
        <f t="shared" si="598"/>
        <v>0</v>
      </c>
      <c r="AQ678" s="34">
        <f t="shared" si="599"/>
        <v>0</v>
      </c>
      <c r="AR678" s="34">
        <f t="shared" si="600"/>
        <v>0</v>
      </c>
      <c r="AS678" s="30">
        <f t="shared" si="601"/>
        <v>1.7487074521279713</v>
      </c>
      <c r="AT678" s="29">
        <f t="shared" si="602"/>
        <v>0</v>
      </c>
      <c r="AU678" s="29">
        <f t="shared" si="603"/>
        <v>0</v>
      </c>
      <c r="AV678" s="34">
        <f t="shared" si="604"/>
        <v>0</v>
      </c>
      <c r="AW678" s="34">
        <f t="shared" si="605"/>
        <v>0</v>
      </c>
      <c r="AX678" s="29">
        <f t="shared" si="606"/>
        <v>0</v>
      </c>
      <c r="AY678" s="34">
        <f t="shared" si="607"/>
        <v>0</v>
      </c>
      <c r="AZ678" s="37">
        <f t="shared" si="608"/>
        <v>0</v>
      </c>
      <c r="BA678" s="37">
        <f t="shared" si="609"/>
        <v>0</v>
      </c>
      <c r="BB678" s="35">
        <f t="shared" si="610"/>
        <v>1.0777551015865861E-3</v>
      </c>
      <c r="BC678" s="31">
        <f t="shared" si="611"/>
        <v>0.48383285389398917</v>
      </c>
      <c r="BD678" s="34">
        <f t="shared" si="612"/>
        <v>0</v>
      </c>
    </row>
    <row r="679" spans="1:56" x14ac:dyDescent="0.2">
      <c r="A679" s="27">
        <f t="shared" si="613"/>
        <v>675</v>
      </c>
      <c r="B679" s="28">
        <f t="shared" si="560"/>
        <v>675</v>
      </c>
      <c r="C679" s="27">
        <f t="shared" si="561"/>
        <v>56</v>
      </c>
      <c r="D679" s="28">
        <f t="shared" si="562"/>
        <v>76</v>
      </c>
      <c r="E679" s="29">
        <f t="shared" si="563"/>
        <v>0</v>
      </c>
      <c r="F679" s="30">
        <f t="shared" si="564"/>
        <v>9.97973501552968E-3</v>
      </c>
      <c r="G679" s="31">
        <f t="shared" si="565"/>
        <v>8.3547299639996631E-4</v>
      </c>
      <c r="H679" s="32">
        <f t="shared" si="566"/>
        <v>0.02</v>
      </c>
      <c r="I679" s="32">
        <f t="shared" si="567"/>
        <v>0</v>
      </c>
      <c r="J679" s="33">
        <f t="shared" si="614"/>
        <v>0</v>
      </c>
      <c r="K679" s="30">
        <f t="shared" si="568"/>
        <v>0</v>
      </c>
      <c r="L679" s="33">
        <f t="shared" si="569"/>
        <v>0</v>
      </c>
      <c r="M679" s="30">
        <f t="shared" si="570"/>
        <v>0</v>
      </c>
      <c r="N679" s="33">
        <f t="shared" si="571"/>
        <v>0</v>
      </c>
      <c r="O679" s="31">
        <f t="shared" si="572"/>
        <v>0</v>
      </c>
      <c r="P679" s="33">
        <f t="shared" si="573"/>
        <v>0</v>
      </c>
      <c r="Q679" s="34">
        <f t="shared" si="615"/>
        <v>845699.25726489886</v>
      </c>
      <c r="R679" s="29">
        <f t="shared" si="574"/>
        <v>0</v>
      </c>
      <c r="S679" s="34">
        <f t="shared" si="575"/>
        <v>845699.25726489886</v>
      </c>
      <c r="T679" s="29">
        <f t="shared" si="576"/>
        <v>704.74938105408239</v>
      </c>
      <c r="U679" s="29">
        <f t="shared" si="577"/>
        <v>0</v>
      </c>
      <c r="V679" s="35">
        <f t="shared" si="578"/>
        <v>9.1902029603996304E-4</v>
      </c>
      <c r="W679" s="34">
        <f t="shared" si="579"/>
        <v>0</v>
      </c>
      <c r="X679" s="34">
        <f t="shared" si="580"/>
        <v>844994.50788384478</v>
      </c>
      <c r="Y679" s="36">
        <f t="shared" si="581"/>
        <v>2.8567317912098211E-4</v>
      </c>
      <c r="Z679" s="34">
        <f t="shared" si="582"/>
        <v>241.39226740694772</v>
      </c>
      <c r="AA679" s="34">
        <f t="shared" si="583"/>
        <v>845115.20401754824</v>
      </c>
      <c r="AB679" s="34">
        <f t="shared" si="584"/>
        <v>0</v>
      </c>
      <c r="AC679" s="34">
        <f t="shared" si="585"/>
        <v>0</v>
      </c>
      <c r="AD679" s="34">
        <f t="shared" si="586"/>
        <v>0</v>
      </c>
      <c r="AE679" s="34">
        <f t="shared" si="587"/>
        <v>0</v>
      </c>
      <c r="AF679" s="34">
        <f t="shared" si="588"/>
        <v>0</v>
      </c>
      <c r="AG679" s="29">
        <f t="shared" si="589"/>
        <v>845115.20401754824</v>
      </c>
      <c r="AH679" s="34">
        <f t="shared" si="590"/>
        <v>0</v>
      </c>
      <c r="AI679" s="34">
        <f t="shared" si="591"/>
        <v>0</v>
      </c>
      <c r="AJ679" s="34">
        <f t="shared" si="592"/>
        <v>0</v>
      </c>
      <c r="AK679" s="34">
        <f t="shared" si="593"/>
        <v>0</v>
      </c>
      <c r="AL679" s="34">
        <f t="shared" si="594"/>
        <v>0</v>
      </c>
      <c r="AM679" s="34">
        <f t="shared" si="595"/>
        <v>0</v>
      </c>
      <c r="AN679" s="34">
        <f t="shared" si="596"/>
        <v>0</v>
      </c>
      <c r="AO679" s="34">
        <f t="shared" si="597"/>
        <v>0</v>
      </c>
      <c r="AP679" s="34">
        <f t="shared" si="598"/>
        <v>0</v>
      </c>
      <c r="AQ679" s="34">
        <f t="shared" si="599"/>
        <v>0</v>
      </c>
      <c r="AR679" s="34">
        <f t="shared" si="600"/>
        <v>0</v>
      </c>
      <c r="AS679" s="30">
        <f t="shared" si="601"/>
        <v>1.7501580716103529</v>
      </c>
      <c r="AT679" s="29">
        <f t="shared" si="602"/>
        <v>0</v>
      </c>
      <c r="AU679" s="29">
        <f t="shared" si="603"/>
        <v>0</v>
      </c>
      <c r="AV679" s="34">
        <f t="shared" si="604"/>
        <v>0</v>
      </c>
      <c r="AW679" s="34">
        <f t="shared" si="605"/>
        <v>0</v>
      </c>
      <c r="AX679" s="29">
        <f t="shared" si="606"/>
        <v>0</v>
      </c>
      <c r="AY679" s="34">
        <f t="shared" si="607"/>
        <v>0</v>
      </c>
      <c r="AZ679" s="37">
        <f t="shared" si="608"/>
        <v>0</v>
      </c>
      <c r="BA679" s="37">
        <f t="shared" si="609"/>
        <v>0</v>
      </c>
      <c r="BB679" s="35">
        <f t="shared" si="610"/>
        <v>1.0777551015865861E-3</v>
      </c>
      <c r="BC679" s="31">
        <f t="shared" si="611"/>
        <v>0.48331196196132742</v>
      </c>
      <c r="BD679" s="34">
        <f t="shared" si="612"/>
        <v>0</v>
      </c>
    </row>
    <row r="680" spans="1:56" x14ac:dyDescent="0.2">
      <c r="A680" s="27">
        <f t="shared" si="613"/>
        <v>676</v>
      </c>
      <c r="B680" s="28">
        <f t="shared" si="560"/>
        <v>676</v>
      </c>
      <c r="C680" s="27">
        <f t="shared" si="561"/>
        <v>56</v>
      </c>
      <c r="D680" s="28">
        <f t="shared" si="562"/>
        <v>76</v>
      </c>
      <c r="E680" s="29">
        <f t="shared" si="563"/>
        <v>0</v>
      </c>
      <c r="F680" s="30">
        <f t="shared" si="564"/>
        <v>9.97973501552968E-3</v>
      </c>
      <c r="G680" s="31">
        <f t="shared" si="565"/>
        <v>8.3547299639996631E-4</v>
      </c>
      <c r="H680" s="32">
        <f t="shared" si="566"/>
        <v>0.02</v>
      </c>
      <c r="I680" s="32">
        <f t="shared" si="567"/>
        <v>0</v>
      </c>
      <c r="J680" s="33">
        <f t="shared" si="614"/>
        <v>0</v>
      </c>
      <c r="K680" s="30">
        <f t="shared" si="568"/>
        <v>0</v>
      </c>
      <c r="L680" s="33">
        <f t="shared" si="569"/>
        <v>0</v>
      </c>
      <c r="M680" s="30">
        <f t="shared" si="570"/>
        <v>0</v>
      </c>
      <c r="N680" s="33">
        <f t="shared" si="571"/>
        <v>0</v>
      </c>
      <c r="O680" s="31">
        <f t="shared" si="572"/>
        <v>0</v>
      </c>
      <c r="P680" s="33">
        <f t="shared" si="573"/>
        <v>0</v>
      </c>
      <c r="Q680" s="34">
        <f t="shared" si="615"/>
        <v>845235.9001512517</v>
      </c>
      <c r="R680" s="29">
        <f t="shared" si="574"/>
        <v>0</v>
      </c>
      <c r="S680" s="34">
        <f t="shared" si="575"/>
        <v>845235.9001512517</v>
      </c>
      <c r="T680" s="29">
        <f t="shared" si="576"/>
        <v>704.36325012604311</v>
      </c>
      <c r="U680" s="29">
        <f t="shared" si="577"/>
        <v>0</v>
      </c>
      <c r="V680" s="35">
        <f t="shared" si="578"/>
        <v>9.1902029603996304E-4</v>
      </c>
      <c r="W680" s="34">
        <f t="shared" si="579"/>
        <v>0</v>
      </c>
      <c r="X680" s="34">
        <f t="shared" si="580"/>
        <v>844531.53690112568</v>
      </c>
      <c r="Y680" s="36">
        <f t="shared" si="581"/>
        <v>6.6671390380332873E-3</v>
      </c>
      <c r="Z680" s="34">
        <f t="shared" si="582"/>
        <v>5630.609178523745</v>
      </c>
      <c r="AA680" s="34">
        <f t="shared" si="583"/>
        <v>847346.84149038757</v>
      </c>
      <c r="AB680" s="34">
        <f t="shared" si="584"/>
        <v>0</v>
      </c>
      <c r="AC680" s="34">
        <f t="shared" si="585"/>
        <v>0</v>
      </c>
      <c r="AD680" s="34">
        <f t="shared" si="586"/>
        <v>0</v>
      </c>
      <c r="AE680" s="34">
        <f t="shared" si="587"/>
        <v>0</v>
      </c>
      <c r="AF680" s="34">
        <f t="shared" si="588"/>
        <v>0</v>
      </c>
      <c r="AG680" s="29">
        <f t="shared" si="589"/>
        <v>847346.84149038757</v>
      </c>
      <c r="AH680" s="34">
        <f t="shared" si="590"/>
        <v>0</v>
      </c>
      <c r="AI680" s="34">
        <f t="shared" si="591"/>
        <v>0</v>
      </c>
      <c r="AJ680" s="34">
        <f t="shared" si="592"/>
        <v>0</v>
      </c>
      <c r="AK680" s="34">
        <f t="shared" si="593"/>
        <v>0</v>
      </c>
      <c r="AL680" s="34">
        <f t="shared" si="594"/>
        <v>0</v>
      </c>
      <c r="AM680" s="34">
        <f t="shared" si="595"/>
        <v>0</v>
      </c>
      <c r="AN680" s="34">
        <f t="shared" si="596"/>
        <v>0</v>
      </c>
      <c r="AO680" s="34">
        <f t="shared" si="597"/>
        <v>0</v>
      </c>
      <c r="AP680" s="34">
        <f t="shared" si="598"/>
        <v>0</v>
      </c>
      <c r="AQ680" s="34">
        <f t="shared" si="599"/>
        <v>0</v>
      </c>
      <c r="AR680" s="34">
        <f t="shared" si="600"/>
        <v>0</v>
      </c>
      <c r="AS680" s="30">
        <f t="shared" si="601"/>
        <v>1.7516098944368843</v>
      </c>
      <c r="AT680" s="29">
        <f t="shared" si="602"/>
        <v>0</v>
      </c>
      <c r="AU680" s="29">
        <f t="shared" si="603"/>
        <v>0</v>
      </c>
      <c r="AV680" s="34">
        <f t="shared" si="604"/>
        <v>0</v>
      </c>
      <c r="AW680" s="34">
        <f t="shared" si="605"/>
        <v>0</v>
      </c>
      <c r="AX680" s="29">
        <f t="shared" si="606"/>
        <v>0</v>
      </c>
      <c r="AY680" s="34">
        <f t="shared" si="607"/>
        <v>0</v>
      </c>
      <c r="AZ680" s="37">
        <f t="shared" si="608"/>
        <v>0</v>
      </c>
      <c r="BA680" s="37">
        <f t="shared" si="609"/>
        <v>0</v>
      </c>
      <c r="BB680" s="35">
        <f t="shared" si="610"/>
        <v>1.0777551015865861E-3</v>
      </c>
      <c r="BC680" s="31">
        <f t="shared" si="611"/>
        <v>0.48279163081820997</v>
      </c>
      <c r="BD680" s="34">
        <f t="shared" si="612"/>
        <v>0</v>
      </c>
    </row>
    <row r="681" spans="1:56" x14ac:dyDescent="0.2">
      <c r="A681" s="27">
        <f t="shared" si="613"/>
        <v>677</v>
      </c>
      <c r="B681" s="28">
        <f t="shared" si="560"/>
        <v>677</v>
      </c>
      <c r="C681" s="27">
        <f t="shared" si="561"/>
        <v>56</v>
      </c>
      <c r="D681" s="28">
        <f t="shared" si="562"/>
        <v>76</v>
      </c>
      <c r="E681" s="29">
        <f t="shared" si="563"/>
        <v>0</v>
      </c>
      <c r="F681" s="30">
        <f t="shared" si="564"/>
        <v>9.97973501552968E-3</v>
      </c>
      <c r="G681" s="31">
        <f t="shared" si="565"/>
        <v>8.3547299639996631E-4</v>
      </c>
      <c r="H681" s="32">
        <f t="shared" si="566"/>
        <v>0.02</v>
      </c>
      <c r="I681" s="32">
        <f t="shared" si="567"/>
        <v>0</v>
      </c>
      <c r="J681" s="33">
        <f t="shared" si="614"/>
        <v>0</v>
      </c>
      <c r="K681" s="30">
        <f t="shared" si="568"/>
        <v>0</v>
      </c>
      <c r="L681" s="33">
        <f t="shared" si="569"/>
        <v>0</v>
      </c>
      <c r="M681" s="30">
        <f t="shared" si="570"/>
        <v>0</v>
      </c>
      <c r="N681" s="33">
        <f t="shared" si="571"/>
        <v>0</v>
      </c>
      <c r="O681" s="31">
        <f t="shared" si="572"/>
        <v>0</v>
      </c>
      <c r="P681" s="33">
        <f t="shared" si="573"/>
        <v>0</v>
      </c>
      <c r="Q681" s="34">
        <f t="shared" si="615"/>
        <v>850162.14607964945</v>
      </c>
      <c r="R681" s="29">
        <f t="shared" si="574"/>
        <v>0</v>
      </c>
      <c r="S681" s="34">
        <f t="shared" si="575"/>
        <v>850162.14607964945</v>
      </c>
      <c r="T681" s="29">
        <f t="shared" si="576"/>
        <v>708.46845506637453</v>
      </c>
      <c r="U681" s="29">
        <f t="shared" si="577"/>
        <v>0</v>
      </c>
      <c r="V681" s="35">
        <f t="shared" si="578"/>
        <v>9.1902029603996304E-4</v>
      </c>
      <c r="W681" s="34">
        <f t="shared" si="579"/>
        <v>0</v>
      </c>
      <c r="X681" s="34">
        <f t="shared" si="580"/>
        <v>849453.67762458313</v>
      </c>
      <c r="Y681" s="36">
        <f t="shared" si="581"/>
        <v>4.306912752667591E-3</v>
      </c>
      <c r="Z681" s="34">
        <f t="shared" si="582"/>
        <v>3658.522876961702</v>
      </c>
      <c r="AA681" s="34">
        <f t="shared" si="583"/>
        <v>851282.93906306394</v>
      </c>
      <c r="AB681" s="34">
        <f t="shared" si="584"/>
        <v>0</v>
      </c>
      <c r="AC681" s="34">
        <f t="shared" si="585"/>
        <v>0</v>
      </c>
      <c r="AD681" s="34">
        <f t="shared" si="586"/>
        <v>0</v>
      </c>
      <c r="AE681" s="34">
        <f t="shared" si="587"/>
        <v>0</v>
      </c>
      <c r="AF681" s="34">
        <f t="shared" si="588"/>
        <v>0</v>
      </c>
      <c r="AG681" s="29">
        <f t="shared" si="589"/>
        <v>851282.93906306394</v>
      </c>
      <c r="AH681" s="34">
        <f t="shared" si="590"/>
        <v>0</v>
      </c>
      <c r="AI681" s="34">
        <f t="shared" si="591"/>
        <v>0</v>
      </c>
      <c r="AJ681" s="34">
        <f t="shared" si="592"/>
        <v>0</v>
      </c>
      <c r="AK681" s="34">
        <f t="shared" si="593"/>
        <v>0</v>
      </c>
      <c r="AL681" s="34">
        <f t="shared" si="594"/>
        <v>0</v>
      </c>
      <c r="AM681" s="34">
        <f t="shared" si="595"/>
        <v>0</v>
      </c>
      <c r="AN681" s="34">
        <f t="shared" si="596"/>
        <v>0</v>
      </c>
      <c r="AO681" s="34">
        <f t="shared" si="597"/>
        <v>0</v>
      </c>
      <c r="AP681" s="34">
        <f t="shared" si="598"/>
        <v>0</v>
      </c>
      <c r="AQ681" s="34">
        <f t="shared" si="599"/>
        <v>0</v>
      </c>
      <c r="AR681" s="34">
        <f t="shared" si="600"/>
        <v>0</v>
      </c>
      <c r="AS681" s="30">
        <f t="shared" si="601"/>
        <v>1.7530629216057856</v>
      </c>
      <c r="AT681" s="29">
        <f t="shared" si="602"/>
        <v>0</v>
      </c>
      <c r="AU681" s="29">
        <f t="shared" si="603"/>
        <v>0</v>
      </c>
      <c r="AV681" s="34">
        <f t="shared" si="604"/>
        <v>0</v>
      </c>
      <c r="AW681" s="34">
        <f t="shared" si="605"/>
        <v>0</v>
      </c>
      <c r="AX681" s="29">
        <f t="shared" si="606"/>
        <v>0</v>
      </c>
      <c r="AY681" s="34">
        <f t="shared" si="607"/>
        <v>0</v>
      </c>
      <c r="AZ681" s="37">
        <f t="shared" si="608"/>
        <v>0</v>
      </c>
      <c r="BA681" s="37">
        <f t="shared" si="609"/>
        <v>0</v>
      </c>
      <c r="BB681" s="35">
        <f t="shared" si="610"/>
        <v>1.0777551015865861E-3</v>
      </c>
      <c r="BC681" s="31">
        <f t="shared" si="611"/>
        <v>0.48227185986089333</v>
      </c>
      <c r="BD681" s="34">
        <f t="shared" si="612"/>
        <v>0</v>
      </c>
    </row>
    <row r="682" spans="1:56" x14ac:dyDescent="0.2">
      <c r="A682" s="27">
        <f t="shared" si="613"/>
        <v>678</v>
      </c>
      <c r="B682" s="28">
        <f t="shared" si="560"/>
        <v>678</v>
      </c>
      <c r="C682" s="27">
        <f t="shared" si="561"/>
        <v>56</v>
      </c>
      <c r="D682" s="28">
        <f t="shared" si="562"/>
        <v>76</v>
      </c>
      <c r="E682" s="29">
        <f t="shared" si="563"/>
        <v>0</v>
      </c>
      <c r="F682" s="30">
        <f t="shared" si="564"/>
        <v>9.97973501552968E-3</v>
      </c>
      <c r="G682" s="31">
        <f t="shared" si="565"/>
        <v>8.3547299639996631E-4</v>
      </c>
      <c r="H682" s="32">
        <f t="shared" si="566"/>
        <v>0.02</v>
      </c>
      <c r="I682" s="32">
        <f t="shared" si="567"/>
        <v>0</v>
      </c>
      <c r="J682" s="33">
        <f t="shared" si="614"/>
        <v>0</v>
      </c>
      <c r="K682" s="30">
        <f t="shared" si="568"/>
        <v>0</v>
      </c>
      <c r="L682" s="33">
        <f t="shared" si="569"/>
        <v>0</v>
      </c>
      <c r="M682" s="30">
        <f t="shared" si="570"/>
        <v>0</v>
      </c>
      <c r="N682" s="33">
        <f t="shared" si="571"/>
        <v>0</v>
      </c>
      <c r="O682" s="31">
        <f t="shared" si="572"/>
        <v>0</v>
      </c>
      <c r="P682" s="33">
        <f t="shared" si="573"/>
        <v>0</v>
      </c>
      <c r="Q682" s="34">
        <f t="shared" si="615"/>
        <v>853112.20050154487</v>
      </c>
      <c r="R682" s="29">
        <f t="shared" si="574"/>
        <v>0</v>
      </c>
      <c r="S682" s="34">
        <f t="shared" si="575"/>
        <v>853112.20050154487</v>
      </c>
      <c r="T682" s="29">
        <f t="shared" si="576"/>
        <v>710.9268337512874</v>
      </c>
      <c r="U682" s="29">
        <f t="shared" si="577"/>
        <v>0</v>
      </c>
      <c r="V682" s="35">
        <f t="shared" si="578"/>
        <v>9.1902029603996304E-4</v>
      </c>
      <c r="W682" s="34">
        <f t="shared" si="579"/>
        <v>0</v>
      </c>
      <c r="X682" s="34">
        <f t="shared" si="580"/>
        <v>852401.2736677936</v>
      </c>
      <c r="Y682" s="36">
        <f t="shared" si="581"/>
        <v>-1.9409681878373441E-2</v>
      </c>
      <c r="Z682" s="34">
        <f t="shared" si="582"/>
        <v>-16544.837554612215</v>
      </c>
      <c r="AA682" s="34">
        <f t="shared" si="583"/>
        <v>844128.85489048751</v>
      </c>
      <c r="AB682" s="34">
        <f t="shared" si="584"/>
        <v>0</v>
      </c>
      <c r="AC682" s="34">
        <f t="shared" si="585"/>
        <v>0</v>
      </c>
      <c r="AD682" s="34">
        <f t="shared" si="586"/>
        <v>0</v>
      </c>
      <c r="AE682" s="34">
        <f t="shared" si="587"/>
        <v>0</v>
      </c>
      <c r="AF682" s="34">
        <f t="shared" si="588"/>
        <v>0</v>
      </c>
      <c r="AG682" s="29">
        <f t="shared" si="589"/>
        <v>844128.85489048751</v>
      </c>
      <c r="AH682" s="34">
        <f t="shared" si="590"/>
        <v>0</v>
      </c>
      <c r="AI682" s="34">
        <f t="shared" si="591"/>
        <v>0</v>
      </c>
      <c r="AJ682" s="34">
        <f t="shared" si="592"/>
        <v>0</v>
      </c>
      <c r="AK682" s="34">
        <f t="shared" si="593"/>
        <v>0</v>
      </c>
      <c r="AL682" s="34">
        <f t="shared" si="594"/>
        <v>0</v>
      </c>
      <c r="AM682" s="34">
        <f t="shared" si="595"/>
        <v>0</v>
      </c>
      <c r="AN682" s="34">
        <f t="shared" si="596"/>
        <v>0</v>
      </c>
      <c r="AO682" s="34">
        <f t="shared" si="597"/>
        <v>0</v>
      </c>
      <c r="AP682" s="34">
        <f t="shared" si="598"/>
        <v>0</v>
      </c>
      <c r="AQ682" s="34">
        <f t="shared" si="599"/>
        <v>0</v>
      </c>
      <c r="AR682" s="34">
        <f t="shared" si="600"/>
        <v>0</v>
      </c>
      <c r="AS682" s="30">
        <f t="shared" si="601"/>
        <v>1.7545171541161046</v>
      </c>
      <c r="AT682" s="29">
        <f t="shared" si="602"/>
        <v>0</v>
      </c>
      <c r="AU682" s="29">
        <f t="shared" si="603"/>
        <v>0</v>
      </c>
      <c r="AV682" s="34">
        <f t="shared" si="604"/>
        <v>0</v>
      </c>
      <c r="AW682" s="34">
        <f t="shared" si="605"/>
        <v>0</v>
      </c>
      <c r="AX682" s="29">
        <f t="shared" si="606"/>
        <v>0</v>
      </c>
      <c r="AY682" s="34">
        <f t="shared" si="607"/>
        <v>0</v>
      </c>
      <c r="AZ682" s="37">
        <f t="shared" si="608"/>
        <v>0</v>
      </c>
      <c r="BA682" s="37">
        <f t="shared" si="609"/>
        <v>0</v>
      </c>
      <c r="BB682" s="35">
        <f t="shared" si="610"/>
        <v>1.0777551015865861E-3</v>
      </c>
      <c r="BC682" s="31">
        <f t="shared" si="611"/>
        <v>0.48175264848628424</v>
      </c>
      <c r="BD682" s="34">
        <f t="shared" si="612"/>
        <v>0</v>
      </c>
    </row>
    <row r="683" spans="1:56" x14ac:dyDescent="0.2">
      <c r="A683" s="27">
        <f t="shared" si="613"/>
        <v>679</v>
      </c>
      <c r="B683" s="28">
        <f t="shared" si="560"/>
        <v>679</v>
      </c>
      <c r="C683" s="27">
        <f t="shared" si="561"/>
        <v>56</v>
      </c>
      <c r="D683" s="28">
        <f t="shared" si="562"/>
        <v>76</v>
      </c>
      <c r="E683" s="29">
        <f t="shared" si="563"/>
        <v>0</v>
      </c>
      <c r="F683" s="30">
        <f t="shared" si="564"/>
        <v>9.97973501552968E-3</v>
      </c>
      <c r="G683" s="31">
        <f t="shared" si="565"/>
        <v>8.3547299639996631E-4</v>
      </c>
      <c r="H683" s="32">
        <f t="shared" si="566"/>
        <v>0.02</v>
      </c>
      <c r="I683" s="32">
        <f t="shared" si="567"/>
        <v>0</v>
      </c>
      <c r="J683" s="33">
        <f t="shared" si="614"/>
        <v>0</v>
      </c>
      <c r="K683" s="30">
        <f t="shared" si="568"/>
        <v>0</v>
      </c>
      <c r="L683" s="33">
        <f t="shared" si="569"/>
        <v>0</v>
      </c>
      <c r="M683" s="30">
        <f t="shared" si="570"/>
        <v>0</v>
      </c>
      <c r="N683" s="33">
        <f t="shared" si="571"/>
        <v>0</v>
      </c>
      <c r="O683" s="31">
        <f t="shared" si="572"/>
        <v>0</v>
      </c>
      <c r="P683" s="33">
        <f t="shared" si="573"/>
        <v>0</v>
      </c>
      <c r="Q683" s="34">
        <f t="shared" si="615"/>
        <v>835856.43611318141</v>
      </c>
      <c r="R683" s="29">
        <f t="shared" si="574"/>
        <v>0</v>
      </c>
      <c r="S683" s="34">
        <f t="shared" si="575"/>
        <v>835856.43611318141</v>
      </c>
      <c r="T683" s="29">
        <f t="shared" si="576"/>
        <v>696.54703009431785</v>
      </c>
      <c r="U683" s="29">
        <f t="shared" si="577"/>
        <v>0</v>
      </c>
      <c r="V683" s="35">
        <f t="shared" si="578"/>
        <v>9.1902029603996304E-4</v>
      </c>
      <c r="W683" s="34">
        <f t="shared" si="579"/>
        <v>0</v>
      </c>
      <c r="X683" s="34">
        <f t="shared" si="580"/>
        <v>835159.8890830871</v>
      </c>
      <c r="Y683" s="36">
        <f t="shared" si="581"/>
        <v>9.3276310869017109E-4</v>
      </c>
      <c r="Z683" s="34">
        <f t="shared" si="582"/>
        <v>779.00633439447881</v>
      </c>
      <c r="AA683" s="34">
        <f t="shared" si="583"/>
        <v>835549.39225028432</v>
      </c>
      <c r="AB683" s="34">
        <f t="shared" si="584"/>
        <v>0</v>
      </c>
      <c r="AC683" s="34">
        <f t="shared" si="585"/>
        <v>0</v>
      </c>
      <c r="AD683" s="34">
        <f t="shared" si="586"/>
        <v>0</v>
      </c>
      <c r="AE683" s="34">
        <f t="shared" si="587"/>
        <v>0</v>
      </c>
      <c r="AF683" s="34">
        <f t="shared" si="588"/>
        <v>0</v>
      </c>
      <c r="AG683" s="29">
        <f t="shared" si="589"/>
        <v>835549.39225028432</v>
      </c>
      <c r="AH683" s="34">
        <f t="shared" si="590"/>
        <v>0</v>
      </c>
      <c r="AI683" s="34">
        <f t="shared" si="591"/>
        <v>0</v>
      </c>
      <c r="AJ683" s="34">
        <f t="shared" si="592"/>
        <v>0</v>
      </c>
      <c r="AK683" s="34">
        <f t="shared" si="593"/>
        <v>0</v>
      </c>
      <c r="AL683" s="34">
        <f t="shared" si="594"/>
        <v>0</v>
      </c>
      <c r="AM683" s="34">
        <f t="shared" si="595"/>
        <v>0</v>
      </c>
      <c r="AN683" s="34">
        <f t="shared" si="596"/>
        <v>0</v>
      </c>
      <c r="AO683" s="34">
        <f t="shared" si="597"/>
        <v>0</v>
      </c>
      <c r="AP683" s="34">
        <f t="shared" si="598"/>
        <v>0</v>
      </c>
      <c r="AQ683" s="34">
        <f t="shared" si="599"/>
        <v>0</v>
      </c>
      <c r="AR683" s="34">
        <f t="shared" si="600"/>
        <v>0</v>
      </c>
      <c r="AS683" s="30">
        <f t="shared" si="601"/>
        <v>1.7559725929677183</v>
      </c>
      <c r="AT683" s="29">
        <f t="shared" si="602"/>
        <v>0</v>
      </c>
      <c r="AU683" s="29">
        <f t="shared" si="603"/>
        <v>0</v>
      </c>
      <c r="AV683" s="34">
        <f t="shared" si="604"/>
        <v>0</v>
      </c>
      <c r="AW683" s="34">
        <f t="shared" si="605"/>
        <v>0</v>
      </c>
      <c r="AX683" s="29">
        <f t="shared" si="606"/>
        <v>0</v>
      </c>
      <c r="AY683" s="34">
        <f t="shared" si="607"/>
        <v>0</v>
      </c>
      <c r="AZ683" s="37">
        <f t="shared" si="608"/>
        <v>0</v>
      </c>
      <c r="BA683" s="37">
        <f t="shared" si="609"/>
        <v>0</v>
      </c>
      <c r="BB683" s="35">
        <f t="shared" si="610"/>
        <v>1.0777551015865861E-3</v>
      </c>
      <c r="BC683" s="31">
        <f t="shared" si="611"/>
        <v>0.48123399609193929</v>
      </c>
      <c r="BD683" s="34">
        <f t="shared" si="612"/>
        <v>0</v>
      </c>
    </row>
    <row r="684" spans="1:56" x14ac:dyDescent="0.2">
      <c r="A684" s="27">
        <f t="shared" si="613"/>
        <v>680</v>
      </c>
      <c r="B684" s="28">
        <f t="shared" si="560"/>
        <v>680</v>
      </c>
      <c r="C684" s="27">
        <f t="shared" si="561"/>
        <v>56</v>
      </c>
      <c r="D684" s="28">
        <f t="shared" si="562"/>
        <v>76</v>
      </c>
      <c r="E684" s="29">
        <f t="shared" si="563"/>
        <v>0</v>
      </c>
      <c r="F684" s="30">
        <f t="shared" si="564"/>
        <v>9.97973501552968E-3</v>
      </c>
      <c r="G684" s="31">
        <f t="shared" si="565"/>
        <v>8.3547299639996631E-4</v>
      </c>
      <c r="H684" s="32">
        <f t="shared" si="566"/>
        <v>0.02</v>
      </c>
      <c r="I684" s="32">
        <f t="shared" si="567"/>
        <v>0</v>
      </c>
      <c r="J684" s="33">
        <f t="shared" si="614"/>
        <v>0</v>
      </c>
      <c r="K684" s="30">
        <f t="shared" si="568"/>
        <v>0</v>
      </c>
      <c r="L684" s="33">
        <f t="shared" si="569"/>
        <v>0</v>
      </c>
      <c r="M684" s="30">
        <f t="shared" si="570"/>
        <v>0</v>
      </c>
      <c r="N684" s="33">
        <f t="shared" si="571"/>
        <v>0</v>
      </c>
      <c r="O684" s="31">
        <f t="shared" si="572"/>
        <v>0</v>
      </c>
      <c r="P684" s="33">
        <f t="shared" si="573"/>
        <v>0</v>
      </c>
      <c r="Q684" s="34">
        <f t="shared" si="615"/>
        <v>835938.89541748154</v>
      </c>
      <c r="R684" s="29">
        <f t="shared" si="574"/>
        <v>0</v>
      </c>
      <c r="S684" s="34">
        <f t="shared" si="575"/>
        <v>835938.89541748154</v>
      </c>
      <c r="T684" s="29">
        <f t="shared" si="576"/>
        <v>696.61574618123461</v>
      </c>
      <c r="U684" s="29">
        <f t="shared" si="577"/>
        <v>0</v>
      </c>
      <c r="V684" s="35">
        <f t="shared" si="578"/>
        <v>9.1902029603996304E-4</v>
      </c>
      <c r="W684" s="34">
        <f t="shared" si="579"/>
        <v>0</v>
      </c>
      <c r="X684" s="34">
        <f t="shared" si="580"/>
        <v>835242.27967130032</v>
      </c>
      <c r="Y684" s="36">
        <f t="shared" si="581"/>
        <v>-1.4051226418068108E-3</v>
      </c>
      <c r="Z684" s="34">
        <f t="shared" si="582"/>
        <v>-1173.6178385604805</v>
      </c>
      <c r="AA684" s="34">
        <f t="shared" si="583"/>
        <v>834655.47075202013</v>
      </c>
      <c r="AB684" s="34">
        <f t="shared" si="584"/>
        <v>0</v>
      </c>
      <c r="AC684" s="34">
        <f t="shared" si="585"/>
        <v>0</v>
      </c>
      <c r="AD684" s="34">
        <f t="shared" si="586"/>
        <v>0</v>
      </c>
      <c r="AE684" s="34">
        <f t="shared" si="587"/>
        <v>0</v>
      </c>
      <c r="AF684" s="34">
        <f t="shared" si="588"/>
        <v>0</v>
      </c>
      <c r="AG684" s="29">
        <f t="shared" si="589"/>
        <v>834655.47075202013</v>
      </c>
      <c r="AH684" s="34">
        <f t="shared" si="590"/>
        <v>0</v>
      </c>
      <c r="AI684" s="34">
        <f t="shared" si="591"/>
        <v>0</v>
      </c>
      <c r="AJ684" s="34">
        <f t="shared" si="592"/>
        <v>0</v>
      </c>
      <c r="AK684" s="34">
        <f t="shared" si="593"/>
        <v>0</v>
      </c>
      <c r="AL684" s="34">
        <f t="shared" si="594"/>
        <v>0</v>
      </c>
      <c r="AM684" s="34">
        <f t="shared" si="595"/>
        <v>0</v>
      </c>
      <c r="AN684" s="34">
        <f t="shared" si="596"/>
        <v>0</v>
      </c>
      <c r="AO684" s="34">
        <f t="shared" si="597"/>
        <v>0</v>
      </c>
      <c r="AP684" s="34">
        <f t="shared" si="598"/>
        <v>0</v>
      </c>
      <c r="AQ684" s="34">
        <f t="shared" si="599"/>
        <v>0</v>
      </c>
      <c r="AR684" s="34">
        <f t="shared" si="600"/>
        <v>0</v>
      </c>
      <c r="AS684" s="30">
        <f t="shared" si="601"/>
        <v>1.7574292391613324</v>
      </c>
      <c r="AT684" s="29">
        <f t="shared" si="602"/>
        <v>0</v>
      </c>
      <c r="AU684" s="29">
        <f t="shared" si="603"/>
        <v>0</v>
      </c>
      <c r="AV684" s="34">
        <f t="shared" si="604"/>
        <v>0</v>
      </c>
      <c r="AW684" s="34">
        <f t="shared" si="605"/>
        <v>0</v>
      </c>
      <c r="AX684" s="29">
        <f t="shared" si="606"/>
        <v>0</v>
      </c>
      <c r="AY684" s="34">
        <f t="shared" si="607"/>
        <v>0</v>
      </c>
      <c r="AZ684" s="37">
        <f t="shared" si="608"/>
        <v>0</v>
      </c>
      <c r="BA684" s="37">
        <f t="shared" si="609"/>
        <v>0</v>
      </c>
      <c r="BB684" s="35">
        <f t="shared" si="610"/>
        <v>1.0777551015865861E-3</v>
      </c>
      <c r="BC684" s="31">
        <f t="shared" si="611"/>
        <v>0.48071590207606313</v>
      </c>
      <c r="BD684" s="34">
        <f t="shared" si="612"/>
        <v>0</v>
      </c>
    </row>
    <row r="685" spans="1:56" x14ac:dyDescent="0.2">
      <c r="A685" s="27">
        <f t="shared" si="613"/>
        <v>681</v>
      </c>
      <c r="B685" s="28">
        <f t="shared" si="560"/>
        <v>681</v>
      </c>
      <c r="C685" s="27">
        <f t="shared" si="561"/>
        <v>56</v>
      </c>
      <c r="D685" s="28">
        <f t="shared" si="562"/>
        <v>76</v>
      </c>
      <c r="E685" s="29">
        <f t="shared" si="563"/>
        <v>0</v>
      </c>
      <c r="F685" s="30">
        <f t="shared" si="564"/>
        <v>9.97973501552968E-3</v>
      </c>
      <c r="G685" s="31">
        <f t="shared" si="565"/>
        <v>8.3547299639996631E-4</v>
      </c>
      <c r="H685" s="32">
        <f t="shared" si="566"/>
        <v>0.02</v>
      </c>
      <c r="I685" s="32">
        <f t="shared" si="567"/>
        <v>0</v>
      </c>
      <c r="J685" s="33">
        <f t="shared" si="614"/>
        <v>0</v>
      </c>
      <c r="K685" s="30">
        <f t="shared" si="568"/>
        <v>0</v>
      </c>
      <c r="L685" s="33">
        <f t="shared" si="569"/>
        <v>0</v>
      </c>
      <c r="M685" s="30">
        <f t="shared" si="570"/>
        <v>0</v>
      </c>
      <c r="N685" s="33">
        <f t="shared" si="571"/>
        <v>0</v>
      </c>
      <c r="O685" s="31">
        <f t="shared" si="572"/>
        <v>0</v>
      </c>
      <c r="P685" s="33">
        <f t="shared" si="573"/>
        <v>0</v>
      </c>
      <c r="Q685" s="34">
        <f t="shared" si="615"/>
        <v>834068.66183273983</v>
      </c>
      <c r="R685" s="29">
        <f t="shared" si="574"/>
        <v>0</v>
      </c>
      <c r="S685" s="34">
        <f t="shared" si="575"/>
        <v>834068.66183273983</v>
      </c>
      <c r="T685" s="29">
        <f t="shared" si="576"/>
        <v>695.05721819394989</v>
      </c>
      <c r="U685" s="29">
        <f t="shared" si="577"/>
        <v>0</v>
      </c>
      <c r="V685" s="35">
        <f t="shared" si="578"/>
        <v>9.1902029603996304E-4</v>
      </c>
      <c r="W685" s="34">
        <f t="shared" si="579"/>
        <v>0</v>
      </c>
      <c r="X685" s="34">
        <f t="shared" si="580"/>
        <v>833373.60461454582</v>
      </c>
      <c r="Y685" s="36">
        <f t="shared" si="581"/>
        <v>1.164730924054469E-2</v>
      </c>
      <c r="Z685" s="34">
        <f t="shared" si="582"/>
        <v>9706.5600858530361</v>
      </c>
      <c r="AA685" s="34">
        <f t="shared" si="583"/>
        <v>838226.88465747237</v>
      </c>
      <c r="AB685" s="34">
        <f t="shared" si="584"/>
        <v>0</v>
      </c>
      <c r="AC685" s="34">
        <f t="shared" si="585"/>
        <v>0</v>
      </c>
      <c r="AD685" s="34">
        <f t="shared" si="586"/>
        <v>0</v>
      </c>
      <c r="AE685" s="34">
        <f t="shared" si="587"/>
        <v>0</v>
      </c>
      <c r="AF685" s="34">
        <f t="shared" si="588"/>
        <v>0</v>
      </c>
      <c r="AG685" s="29">
        <f t="shared" si="589"/>
        <v>838226.88465747237</v>
      </c>
      <c r="AH685" s="34">
        <f t="shared" si="590"/>
        <v>0</v>
      </c>
      <c r="AI685" s="34">
        <f t="shared" si="591"/>
        <v>0</v>
      </c>
      <c r="AJ685" s="34">
        <f t="shared" si="592"/>
        <v>0</v>
      </c>
      <c r="AK685" s="34">
        <f t="shared" si="593"/>
        <v>0</v>
      </c>
      <c r="AL685" s="34">
        <f t="shared" si="594"/>
        <v>0</v>
      </c>
      <c r="AM685" s="34">
        <f t="shared" si="595"/>
        <v>0</v>
      </c>
      <c r="AN685" s="34">
        <f t="shared" si="596"/>
        <v>0</v>
      </c>
      <c r="AO685" s="34">
        <f t="shared" si="597"/>
        <v>0</v>
      </c>
      <c r="AP685" s="34">
        <f t="shared" si="598"/>
        <v>0</v>
      </c>
      <c r="AQ685" s="34">
        <f t="shared" si="599"/>
        <v>0</v>
      </c>
      <c r="AR685" s="34">
        <f t="shared" si="600"/>
        <v>0</v>
      </c>
      <c r="AS685" s="30">
        <f t="shared" si="601"/>
        <v>1.7588870936984833</v>
      </c>
      <c r="AT685" s="29">
        <f t="shared" si="602"/>
        <v>0</v>
      </c>
      <c r="AU685" s="29">
        <f t="shared" si="603"/>
        <v>0</v>
      </c>
      <c r="AV685" s="34">
        <f t="shared" si="604"/>
        <v>0</v>
      </c>
      <c r="AW685" s="34">
        <f t="shared" si="605"/>
        <v>0</v>
      </c>
      <c r="AX685" s="29">
        <f t="shared" si="606"/>
        <v>0</v>
      </c>
      <c r="AY685" s="34">
        <f t="shared" si="607"/>
        <v>0</v>
      </c>
      <c r="AZ685" s="37">
        <f t="shared" si="608"/>
        <v>0</v>
      </c>
      <c r="BA685" s="37">
        <f t="shared" si="609"/>
        <v>0</v>
      </c>
      <c r="BB685" s="35">
        <f t="shared" si="610"/>
        <v>1.0777551015865861E-3</v>
      </c>
      <c r="BC685" s="31">
        <f t="shared" si="611"/>
        <v>0.48019836583750819</v>
      </c>
      <c r="BD685" s="34">
        <f t="shared" si="612"/>
        <v>0</v>
      </c>
    </row>
    <row r="686" spans="1:56" x14ac:dyDescent="0.2">
      <c r="A686" s="27">
        <f t="shared" si="613"/>
        <v>682</v>
      </c>
      <c r="B686" s="28">
        <f t="shared" si="560"/>
        <v>682</v>
      </c>
      <c r="C686" s="27">
        <f t="shared" si="561"/>
        <v>56</v>
      </c>
      <c r="D686" s="28">
        <f t="shared" si="562"/>
        <v>76</v>
      </c>
      <c r="E686" s="29">
        <f t="shared" si="563"/>
        <v>0</v>
      </c>
      <c r="F686" s="30">
        <f t="shared" si="564"/>
        <v>9.97973501552968E-3</v>
      </c>
      <c r="G686" s="31">
        <f t="shared" si="565"/>
        <v>8.3547299639996631E-4</v>
      </c>
      <c r="H686" s="32">
        <f t="shared" si="566"/>
        <v>0.02</v>
      </c>
      <c r="I686" s="32">
        <f t="shared" si="567"/>
        <v>0</v>
      </c>
      <c r="J686" s="33">
        <f t="shared" si="614"/>
        <v>0</v>
      </c>
      <c r="K686" s="30">
        <f t="shared" si="568"/>
        <v>0</v>
      </c>
      <c r="L686" s="33">
        <f t="shared" si="569"/>
        <v>0</v>
      </c>
      <c r="M686" s="30">
        <f t="shared" si="570"/>
        <v>0</v>
      </c>
      <c r="N686" s="33">
        <f t="shared" si="571"/>
        <v>0</v>
      </c>
      <c r="O686" s="31">
        <f t="shared" si="572"/>
        <v>0</v>
      </c>
      <c r="P686" s="33">
        <f t="shared" si="573"/>
        <v>0</v>
      </c>
      <c r="Q686" s="34">
        <f t="shared" si="615"/>
        <v>843080.1647003988</v>
      </c>
      <c r="R686" s="29">
        <f t="shared" si="574"/>
        <v>0</v>
      </c>
      <c r="S686" s="34">
        <f t="shared" si="575"/>
        <v>843080.1647003988</v>
      </c>
      <c r="T686" s="29">
        <f t="shared" si="576"/>
        <v>702.56680391699899</v>
      </c>
      <c r="U686" s="29">
        <f t="shared" si="577"/>
        <v>0</v>
      </c>
      <c r="V686" s="35">
        <f t="shared" si="578"/>
        <v>9.1902029603996304E-4</v>
      </c>
      <c r="W686" s="34">
        <f t="shared" si="579"/>
        <v>0</v>
      </c>
      <c r="X686" s="34">
        <f t="shared" si="580"/>
        <v>842377.59789648175</v>
      </c>
      <c r="Y686" s="36">
        <f t="shared" si="581"/>
        <v>-5.3377717630124222E-3</v>
      </c>
      <c r="Z686" s="34">
        <f t="shared" si="582"/>
        <v>-4496.4193558460729</v>
      </c>
      <c r="AA686" s="34">
        <f t="shared" si="583"/>
        <v>840129.38821855874</v>
      </c>
      <c r="AB686" s="34">
        <f t="shared" si="584"/>
        <v>0</v>
      </c>
      <c r="AC686" s="34">
        <f t="shared" si="585"/>
        <v>0</v>
      </c>
      <c r="AD686" s="34">
        <f t="shared" si="586"/>
        <v>0</v>
      </c>
      <c r="AE686" s="34">
        <f t="shared" si="587"/>
        <v>0</v>
      </c>
      <c r="AF686" s="34">
        <f t="shared" si="588"/>
        <v>0</v>
      </c>
      <c r="AG686" s="29">
        <f t="shared" si="589"/>
        <v>840129.38821855874</v>
      </c>
      <c r="AH686" s="34">
        <f t="shared" si="590"/>
        <v>0</v>
      </c>
      <c r="AI686" s="34">
        <f t="shared" si="591"/>
        <v>0</v>
      </c>
      <c r="AJ686" s="34">
        <f t="shared" si="592"/>
        <v>0</v>
      </c>
      <c r="AK686" s="34">
        <f t="shared" si="593"/>
        <v>0</v>
      </c>
      <c r="AL686" s="34">
        <f t="shared" si="594"/>
        <v>0</v>
      </c>
      <c r="AM686" s="34">
        <f t="shared" si="595"/>
        <v>0</v>
      </c>
      <c r="AN686" s="34">
        <f t="shared" si="596"/>
        <v>0</v>
      </c>
      <c r="AO686" s="34">
        <f t="shared" si="597"/>
        <v>0</v>
      </c>
      <c r="AP686" s="34">
        <f t="shared" si="598"/>
        <v>0</v>
      </c>
      <c r="AQ686" s="34">
        <f t="shared" si="599"/>
        <v>0</v>
      </c>
      <c r="AR686" s="34">
        <f t="shared" si="600"/>
        <v>0</v>
      </c>
      <c r="AS686" s="30">
        <f t="shared" si="601"/>
        <v>1.760346157581538</v>
      </c>
      <c r="AT686" s="29">
        <f t="shared" si="602"/>
        <v>0</v>
      </c>
      <c r="AU686" s="29">
        <f t="shared" si="603"/>
        <v>0</v>
      </c>
      <c r="AV686" s="34">
        <f t="shared" si="604"/>
        <v>0</v>
      </c>
      <c r="AW686" s="34">
        <f t="shared" si="605"/>
        <v>0</v>
      </c>
      <c r="AX686" s="29">
        <f t="shared" si="606"/>
        <v>0</v>
      </c>
      <c r="AY686" s="34">
        <f t="shared" si="607"/>
        <v>0</v>
      </c>
      <c r="AZ686" s="37">
        <f t="shared" si="608"/>
        <v>0</v>
      </c>
      <c r="BA686" s="37">
        <f t="shared" si="609"/>
        <v>0</v>
      </c>
      <c r="BB686" s="35">
        <f t="shared" si="610"/>
        <v>1.0777551015865861E-3</v>
      </c>
      <c r="BC686" s="31">
        <f t="shared" si="611"/>
        <v>0.47968138677577438</v>
      </c>
      <c r="BD686" s="34">
        <f t="shared" si="612"/>
        <v>0</v>
      </c>
    </row>
    <row r="687" spans="1:56" x14ac:dyDescent="0.2">
      <c r="A687" s="27">
        <f t="shared" si="613"/>
        <v>683</v>
      </c>
      <c r="B687" s="28">
        <f t="shared" si="560"/>
        <v>683</v>
      </c>
      <c r="C687" s="27">
        <f t="shared" si="561"/>
        <v>56</v>
      </c>
      <c r="D687" s="28">
        <f t="shared" si="562"/>
        <v>76</v>
      </c>
      <c r="E687" s="29">
        <f t="shared" si="563"/>
        <v>0</v>
      </c>
      <c r="F687" s="30">
        <f t="shared" si="564"/>
        <v>9.97973501552968E-3</v>
      </c>
      <c r="G687" s="31">
        <f t="shared" si="565"/>
        <v>8.3547299639996631E-4</v>
      </c>
      <c r="H687" s="32">
        <f t="shared" si="566"/>
        <v>0.02</v>
      </c>
      <c r="I687" s="32">
        <f t="shared" si="567"/>
        <v>0</v>
      </c>
      <c r="J687" s="33">
        <f t="shared" si="614"/>
        <v>0</v>
      </c>
      <c r="K687" s="30">
        <f t="shared" si="568"/>
        <v>0</v>
      </c>
      <c r="L687" s="33">
        <f t="shared" si="569"/>
        <v>0</v>
      </c>
      <c r="M687" s="30">
        <f t="shared" si="570"/>
        <v>0</v>
      </c>
      <c r="N687" s="33">
        <f t="shared" si="571"/>
        <v>0</v>
      </c>
      <c r="O687" s="31">
        <f t="shared" si="572"/>
        <v>0</v>
      </c>
      <c r="P687" s="33">
        <f t="shared" si="573"/>
        <v>0</v>
      </c>
      <c r="Q687" s="34">
        <f t="shared" si="615"/>
        <v>837881.17854063562</v>
      </c>
      <c r="R687" s="29">
        <f t="shared" si="574"/>
        <v>0</v>
      </c>
      <c r="S687" s="34">
        <f t="shared" si="575"/>
        <v>837881.17854063562</v>
      </c>
      <c r="T687" s="29">
        <f t="shared" si="576"/>
        <v>698.23431545052972</v>
      </c>
      <c r="U687" s="29">
        <f t="shared" si="577"/>
        <v>0</v>
      </c>
      <c r="V687" s="35">
        <f t="shared" si="578"/>
        <v>9.1902029603996304E-4</v>
      </c>
      <c r="W687" s="34">
        <f t="shared" si="579"/>
        <v>0</v>
      </c>
      <c r="X687" s="34">
        <f t="shared" si="580"/>
        <v>837182.94422518509</v>
      </c>
      <c r="Y687" s="36">
        <f t="shared" si="581"/>
        <v>2.2865899065944717E-3</v>
      </c>
      <c r="Z687" s="34">
        <f t="shared" si="582"/>
        <v>1914.2940702383507</v>
      </c>
      <c r="AA687" s="34">
        <f t="shared" si="583"/>
        <v>838140.09126030421</v>
      </c>
      <c r="AB687" s="34">
        <f t="shared" si="584"/>
        <v>0</v>
      </c>
      <c r="AC687" s="34">
        <f t="shared" si="585"/>
        <v>0</v>
      </c>
      <c r="AD687" s="34">
        <f t="shared" si="586"/>
        <v>0</v>
      </c>
      <c r="AE687" s="34">
        <f t="shared" si="587"/>
        <v>0</v>
      </c>
      <c r="AF687" s="34">
        <f t="shared" si="588"/>
        <v>0</v>
      </c>
      <c r="AG687" s="29">
        <f t="shared" si="589"/>
        <v>838140.09126030421</v>
      </c>
      <c r="AH687" s="34">
        <f t="shared" si="590"/>
        <v>0</v>
      </c>
      <c r="AI687" s="34">
        <f t="shared" si="591"/>
        <v>0</v>
      </c>
      <c r="AJ687" s="34">
        <f t="shared" si="592"/>
        <v>0</v>
      </c>
      <c r="AK687" s="34">
        <f t="shared" si="593"/>
        <v>0</v>
      </c>
      <c r="AL687" s="34">
        <f t="shared" si="594"/>
        <v>0</v>
      </c>
      <c r="AM687" s="34">
        <f t="shared" si="595"/>
        <v>0</v>
      </c>
      <c r="AN687" s="34">
        <f t="shared" si="596"/>
        <v>0</v>
      </c>
      <c r="AO687" s="34">
        <f t="shared" si="597"/>
        <v>0</v>
      </c>
      <c r="AP687" s="34">
        <f t="shared" si="598"/>
        <v>0</v>
      </c>
      <c r="AQ687" s="34">
        <f t="shared" si="599"/>
        <v>0</v>
      </c>
      <c r="AR687" s="34">
        <f t="shared" si="600"/>
        <v>0</v>
      </c>
      <c r="AS687" s="30">
        <f t="shared" si="601"/>
        <v>1.7618064318136948</v>
      </c>
      <c r="AT687" s="29">
        <f t="shared" si="602"/>
        <v>0</v>
      </c>
      <c r="AU687" s="29">
        <f t="shared" si="603"/>
        <v>0</v>
      </c>
      <c r="AV687" s="34">
        <f t="shared" si="604"/>
        <v>0</v>
      </c>
      <c r="AW687" s="34">
        <f t="shared" si="605"/>
        <v>0</v>
      </c>
      <c r="AX687" s="29">
        <f t="shared" si="606"/>
        <v>0</v>
      </c>
      <c r="AY687" s="34">
        <f t="shared" si="607"/>
        <v>0</v>
      </c>
      <c r="AZ687" s="37">
        <f t="shared" si="608"/>
        <v>0</v>
      </c>
      <c r="BA687" s="37">
        <f t="shared" si="609"/>
        <v>0</v>
      </c>
      <c r="BB687" s="35">
        <f t="shared" si="610"/>
        <v>1.0777551015865861E-3</v>
      </c>
      <c r="BC687" s="31">
        <f t="shared" si="611"/>
        <v>0.47916496429100819</v>
      </c>
      <c r="BD687" s="34">
        <f t="shared" si="612"/>
        <v>0</v>
      </c>
    </row>
    <row r="688" spans="1:56" x14ac:dyDescent="0.2">
      <c r="A688" s="27">
        <f t="shared" si="613"/>
        <v>684</v>
      </c>
      <c r="B688" s="28">
        <f t="shared" si="560"/>
        <v>684</v>
      </c>
      <c r="C688" s="27">
        <f t="shared" si="561"/>
        <v>57</v>
      </c>
      <c r="D688" s="28">
        <f t="shared" si="562"/>
        <v>77</v>
      </c>
      <c r="E688" s="29">
        <f t="shared" si="563"/>
        <v>0</v>
      </c>
      <c r="F688" s="30">
        <f t="shared" si="564"/>
        <v>1.103123761687707E-2</v>
      </c>
      <c r="G688" s="31">
        <f t="shared" si="565"/>
        <v>9.2395063706507408E-4</v>
      </c>
      <c r="H688" s="32">
        <f t="shared" si="566"/>
        <v>0.02</v>
      </c>
      <c r="I688" s="32">
        <f t="shared" si="567"/>
        <v>0</v>
      </c>
      <c r="J688" s="33">
        <f t="shared" si="614"/>
        <v>0</v>
      </c>
      <c r="K688" s="30">
        <f t="shared" si="568"/>
        <v>0</v>
      </c>
      <c r="L688" s="33">
        <f t="shared" si="569"/>
        <v>0</v>
      </c>
      <c r="M688" s="30">
        <f t="shared" si="570"/>
        <v>0</v>
      </c>
      <c r="N688" s="33">
        <f t="shared" si="571"/>
        <v>0</v>
      </c>
      <c r="O688" s="31">
        <f t="shared" si="572"/>
        <v>0</v>
      </c>
      <c r="P688" s="33">
        <f t="shared" si="573"/>
        <v>0</v>
      </c>
      <c r="Q688" s="34">
        <f t="shared" si="615"/>
        <v>839097.23829542345</v>
      </c>
      <c r="R688" s="29">
        <f t="shared" si="574"/>
        <v>0</v>
      </c>
      <c r="S688" s="34">
        <f t="shared" si="575"/>
        <v>839097.23829542345</v>
      </c>
      <c r="T688" s="29">
        <f t="shared" si="576"/>
        <v>699.24769857951958</v>
      </c>
      <c r="U688" s="29">
        <f t="shared" si="577"/>
        <v>0</v>
      </c>
      <c r="V688" s="35">
        <f t="shared" si="578"/>
        <v>1.0163457007715815E-3</v>
      </c>
      <c r="W688" s="34">
        <f t="shared" si="579"/>
        <v>0</v>
      </c>
      <c r="X688" s="34">
        <f t="shared" si="580"/>
        <v>838397.99059684388</v>
      </c>
      <c r="Y688" s="36">
        <f t="shared" si="581"/>
        <v>-1.1797094383236839E-4</v>
      </c>
      <c r="Z688" s="34">
        <f t="shared" si="582"/>
        <v>-98.906602257870787</v>
      </c>
      <c r="AA688" s="34">
        <f t="shared" si="583"/>
        <v>838348.53729571495</v>
      </c>
      <c r="AB688" s="34">
        <f t="shared" si="584"/>
        <v>0</v>
      </c>
      <c r="AC688" s="34">
        <f t="shared" si="585"/>
        <v>0</v>
      </c>
      <c r="AD688" s="34">
        <f t="shared" si="586"/>
        <v>0</v>
      </c>
      <c r="AE688" s="34">
        <f t="shared" si="587"/>
        <v>0</v>
      </c>
      <c r="AF688" s="34">
        <f t="shared" si="588"/>
        <v>0</v>
      </c>
      <c r="AG688" s="29">
        <f t="shared" si="589"/>
        <v>838348.53729571495</v>
      </c>
      <c r="AH688" s="34">
        <f t="shared" si="590"/>
        <v>0</v>
      </c>
      <c r="AI688" s="34">
        <f t="shared" si="591"/>
        <v>0</v>
      </c>
      <c r="AJ688" s="34">
        <f t="shared" si="592"/>
        <v>0</v>
      </c>
      <c r="AK688" s="34">
        <f t="shared" si="593"/>
        <v>0</v>
      </c>
      <c r="AL688" s="34">
        <f t="shared" si="594"/>
        <v>0</v>
      </c>
      <c r="AM688" s="34">
        <f t="shared" si="595"/>
        <v>0</v>
      </c>
      <c r="AN688" s="34">
        <f t="shared" si="596"/>
        <v>0</v>
      </c>
      <c r="AO688" s="34">
        <f t="shared" si="597"/>
        <v>0</v>
      </c>
      <c r="AP688" s="34">
        <f t="shared" si="598"/>
        <v>0</v>
      </c>
      <c r="AQ688" s="34">
        <f t="shared" si="599"/>
        <v>0</v>
      </c>
      <c r="AR688" s="34">
        <f t="shared" si="600"/>
        <v>0</v>
      </c>
      <c r="AS688" s="30">
        <f t="shared" si="601"/>
        <v>1.7632679173989851</v>
      </c>
      <c r="AT688" s="29">
        <f t="shared" si="602"/>
        <v>0</v>
      </c>
      <c r="AU688" s="29">
        <f t="shared" si="603"/>
        <v>0</v>
      </c>
      <c r="AV688" s="34">
        <f t="shared" si="604"/>
        <v>0</v>
      </c>
      <c r="AW688" s="34">
        <f t="shared" si="605"/>
        <v>0</v>
      </c>
      <c r="AX688" s="29">
        <f t="shared" si="606"/>
        <v>0</v>
      </c>
      <c r="AY688" s="34">
        <f t="shared" si="607"/>
        <v>0</v>
      </c>
      <c r="AZ688" s="37">
        <f t="shared" si="608"/>
        <v>0</v>
      </c>
      <c r="BA688" s="37">
        <f t="shared" si="609"/>
        <v>0</v>
      </c>
      <c r="BB688" s="35">
        <f t="shared" si="610"/>
        <v>1.104103846949922E-3</v>
      </c>
      <c r="BC688" s="31">
        <f t="shared" si="611"/>
        <v>0.47010912778960701</v>
      </c>
      <c r="BD688" s="34">
        <f t="shared" si="612"/>
        <v>0</v>
      </c>
    </row>
    <row r="689" spans="1:56" x14ac:dyDescent="0.2">
      <c r="A689" s="27">
        <f t="shared" si="613"/>
        <v>685</v>
      </c>
      <c r="B689" s="28">
        <f t="shared" si="560"/>
        <v>685</v>
      </c>
      <c r="C689" s="27">
        <f t="shared" si="561"/>
        <v>57</v>
      </c>
      <c r="D689" s="28">
        <f t="shared" si="562"/>
        <v>77</v>
      </c>
      <c r="E689" s="29">
        <f t="shared" si="563"/>
        <v>0</v>
      </c>
      <c r="F689" s="30">
        <f t="shared" si="564"/>
        <v>1.103123761687707E-2</v>
      </c>
      <c r="G689" s="31">
        <f t="shared" si="565"/>
        <v>9.2395063706507408E-4</v>
      </c>
      <c r="H689" s="32">
        <f t="shared" si="566"/>
        <v>0.02</v>
      </c>
      <c r="I689" s="32">
        <f t="shared" si="567"/>
        <v>0</v>
      </c>
      <c r="J689" s="33">
        <f t="shared" si="614"/>
        <v>0</v>
      </c>
      <c r="K689" s="30">
        <f t="shared" si="568"/>
        <v>0</v>
      </c>
      <c r="L689" s="33">
        <f t="shared" si="569"/>
        <v>0</v>
      </c>
      <c r="M689" s="30">
        <f t="shared" si="570"/>
        <v>0</v>
      </c>
      <c r="N689" s="33">
        <f t="shared" si="571"/>
        <v>0</v>
      </c>
      <c r="O689" s="31">
        <f t="shared" si="572"/>
        <v>0</v>
      </c>
      <c r="P689" s="33">
        <f t="shared" si="573"/>
        <v>0</v>
      </c>
      <c r="Q689" s="34">
        <f t="shared" si="615"/>
        <v>838299.08399458602</v>
      </c>
      <c r="R689" s="29">
        <f t="shared" si="574"/>
        <v>0</v>
      </c>
      <c r="S689" s="34">
        <f t="shared" si="575"/>
        <v>838299.08399458602</v>
      </c>
      <c r="T689" s="29">
        <f t="shared" si="576"/>
        <v>698.58256999548837</v>
      </c>
      <c r="U689" s="29">
        <f t="shared" si="577"/>
        <v>0</v>
      </c>
      <c r="V689" s="35">
        <f t="shared" si="578"/>
        <v>1.0163457007715815E-3</v>
      </c>
      <c r="W689" s="34">
        <f t="shared" si="579"/>
        <v>0</v>
      </c>
      <c r="X689" s="34">
        <f t="shared" si="580"/>
        <v>837600.50142459047</v>
      </c>
      <c r="Y689" s="36">
        <f t="shared" si="581"/>
        <v>-9.8580157637320198E-3</v>
      </c>
      <c r="Z689" s="34">
        <f t="shared" si="582"/>
        <v>-8257.0789467534578</v>
      </c>
      <c r="AA689" s="34">
        <f t="shared" si="583"/>
        <v>833471.96195121377</v>
      </c>
      <c r="AB689" s="34">
        <f t="shared" si="584"/>
        <v>0</v>
      </c>
      <c r="AC689" s="34">
        <f t="shared" si="585"/>
        <v>0</v>
      </c>
      <c r="AD689" s="34">
        <f t="shared" si="586"/>
        <v>0</v>
      </c>
      <c r="AE689" s="34">
        <f t="shared" si="587"/>
        <v>0</v>
      </c>
      <c r="AF689" s="34">
        <f t="shared" si="588"/>
        <v>0</v>
      </c>
      <c r="AG689" s="29">
        <f t="shared" si="589"/>
        <v>833471.96195121377</v>
      </c>
      <c r="AH689" s="34">
        <f t="shared" si="590"/>
        <v>0</v>
      </c>
      <c r="AI689" s="34">
        <f t="shared" si="591"/>
        <v>0</v>
      </c>
      <c r="AJ689" s="34">
        <f t="shared" si="592"/>
        <v>0</v>
      </c>
      <c r="AK689" s="34">
        <f t="shared" si="593"/>
        <v>0</v>
      </c>
      <c r="AL689" s="34">
        <f t="shared" si="594"/>
        <v>0</v>
      </c>
      <c r="AM689" s="34">
        <f t="shared" si="595"/>
        <v>0</v>
      </c>
      <c r="AN689" s="34">
        <f t="shared" si="596"/>
        <v>0</v>
      </c>
      <c r="AO689" s="34">
        <f t="shared" si="597"/>
        <v>0</v>
      </c>
      <c r="AP689" s="34">
        <f t="shared" si="598"/>
        <v>0</v>
      </c>
      <c r="AQ689" s="34">
        <f t="shared" si="599"/>
        <v>0</v>
      </c>
      <c r="AR689" s="34">
        <f t="shared" si="600"/>
        <v>0</v>
      </c>
      <c r="AS689" s="30">
        <f t="shared" si="601"/>
        <v>1.764730615342271</v>
      </c>
      <c r="AT689" s="29">
        <f t="shared" si="602"/>
        <v>0</v>
      </c>
      <c r="AU689" s="29">
        <f t="shared" si="603"/>
        <v>0</v>
      </c>
      <c r="AV689" s="34">
        <f t="shared" si="604"/>
        <v>0</v>
      </c>
      <c r="AW689" s="34">
        <f t="shared" si="605"/>
        <v>0</v>
      </c>
      <c r="AX689" s="29">
        <f t="shared" si="606"/>
        <v>0</v>
      </c>
      <c r="AY689" s="34">
        <f t="shared" si="607"/>
        <v>0</v>
      </c>
      <c r="AZ689" s="37">
        <f t="shared" si="608"/>
        <v>0</v>
      </c>
      <c r="BA689" s="37">
        <f t="shared" si="609"/>
        <v>0</v>
      </c>
      <c r="BB689" s="35">
        <f t="shared" si="610"/>
        <v>1.104103846949922E-3</v>
      </c>
      <c r="BC689" s="31">
        <f t="shared" si="611"/>
        <v>0.46959065094540647</v>
      </c>
      <c r="BD689" s="34">
        <f t="shared" si="612"/>
        <v>0</v>
      </c>
    </row>
    <row r="690" spans="1:56" x14ac:dyDescent="0.2">
      <c r="A690" s="27">
        <f t="shared" si="613"/>
        <v>686</v>
      </c>
      <c r="B690" s="28">
        <f t="shared" si="560"/>
        <v>686</v>
      </c>
      <c r="C690" s="27">
        <f t="shared" si="561"/>
        <v>57</v>
      </c>
      <c r="D690" s="28">
        <f t="shared" si="562"/>
        <v>77</v>
      </c>
      <c r="E690" s="29">
        <f t="shared" si="563"/>
        <v>0</v>
      </c>
      <c r="F690" s="30">
        <f t="shared" si="564"/>
        <v>1.103123761687707E-2</v>
      </c>
      <c r="G690" s="31">
        <f t="shared" si="565"/>
        <v>9.2395063706507408E-4</v>
      </c>
      <c r="H690" s="32">
        <f t="shared" si="566"/>
        <v>0.02</v>
      </c>
      <c r="I690" s="32">
        <f t="shared" si="567"/>
        <v>0</v>
      </c>
      <c r="J690" s="33">
        <f t="shared" si="614"/>
        <v>0</v>
      </c>
      <c r="K690" s="30">
        <f t="shared" si="568"/>
        <v>0</v>
      </c>
      <c r="L690" s="33">
        <f t="shared" si="569"/>
        <v>0</v>
      </c>
      <c r="M690" s="30">
        <f t="shared" si="570"/>
        <v>0</v>
      </c>
      <c r="N690" s="33">
        <f t="shared" si="571"/>
        <v>0</v>
      </c>
      <c r="O690" s="31">
        <f t="shared" si="572"/>
        <v>0</v>
      </c>
      <c r="P690" s="33">
        <f t="shared" si="573"/>
        <v>0</v>
      </c>
      <c r="Q690" s="34">
        <f t="shared" si="615"/>
        <v>829343.42247783707</v>
      </c>
      <c r="R690" s="29">
        <f t="shared" si="574"/>
        <v>0</v>
      </c>
      <c r="S690" s="34">
        <f t="shared" si="575"/>
        <v>829343.42247783707</v>
      </c>
      <c r="T690" s="29">
        <f t="shared" si="576"/>
        <v>691.11951873153089</v>
      </c>
      <c r="U690" s="29">
        <f t="shared" si="577"/>
        <v>0</v>
      </c>
      <c r="V690" s="35">
        <f t="shared" si="578"/>
        <v>1.0163457007715815E-3</v>
      </c>
      <c r="W690" s="34">
        <f t="shared" si="579"/>
        <v>0</v>
      </c>
      <c r="X690" s="34">
        <f t="shared" si="580"/>
        <v>828652.30295910558</v>
      </c>
      <c r="Y690" s="36">
        <f t="shared" si="581"/>
        <v>1.4660515726681034E-3</v>
      </c>
      <c r="Z690" s="34">
        <f t="shared" si="582"/>
        <v>1214.8470119482424</v>
      </c>
      <c r="AA690" s="34">
        <f t="shared" si="583"/>
        <v>829259.7264650797</v>
      </c>
      <c r="AB690" s="34">
        <f t="shared" si="584"/>
        <v>0</v>
      </c>
      <c r="AC690" s="34">
        <f t="shared" si="585"/>
        <v>0</v>
      </c>
      <c r="AD690" s="34">
        <f t="shared" si="586"/>
        <v>0</v>
      </c>
      <c r="AE690" s="34">
        <f t="shared" si="587"/>
        <v>0</v>
      </c>
      <c r="AF690" s="34">
        <f t="shared" si="588"/>
        <v>0</v>
      </c>
      <c r="AG690" s="29">
        <f t="shared" si="589"/>
        <v>829259.7264650797</v>
      </c>
      <c r="AH690" s="34">
        <f t="shared" si="590"/>
        <v>0</v>
      </c>
      <c r="AI690" s="34">
        <f t="shared" si="591"/>
        <v>0</v>
      </c>
      <c r="AJ690" s="34">
        <f t="shared" si="592"/>
        <v>0</v>
      </c>
      <c r="AK690" s="34">
        <f t="shared" si="593"/>
        <v>0</v>
      </c>
      <c r="AL690" s="34">
        <f t="shared" si="594"/>
        <v>0</v>
      </c>
      <c r="AM690" s="34">
        <f t="shared" si="595"/>
        <v>0</v>
      </c>
      <c r="AN690" s="34">
        <f t="shared" si="596"/>
        <v>0</v>
      </c>
      <c r="AO690" s="34">
        <f t="shared" si="597"/>
        <v>0</v>
      </c>
      <c r="AP690" s="34">
        <f t="shared" si="598"/>
        <v>0</v>
      </c>
      <c r="AQ690" s="34">
        <f t="shared" si="599"/>
        <v>0</v>
      </c>
      <c r="AR690" s="34">
        <f t="shared" si="600"/>
        <v>0</v>
      </c>
      <c r="AS690" s="30">
        <f t="shared" si="601"/>
        <v>1.7661945266492509</v>
      </c>
      <c r="AT690" s="29">
        <f t="shared" si="602"/>
        <v>0</v>
      </c>
      <c r="AU690" s="29">
        <f t="shared" si="603"/>
        <v>0</v>
      </c>
      <c r="AV690" s="34">
        <f t="shared" si="604"/>
        <v>0</v>
      </c>
      <c r="AW690" s="34">
        <f t="shared" si="605"/>
        <v>0</v>
      </c>
      <c r="AX690" s="29">
        <f t="shared" si="606"/>
        <v>0</v>
      </c>
      <c r="AY690" s="34">
        <f t="shared" si="607"/>
        <v>0</v>
      </c>
      <c r="AZ690" s="37">
        <f t="shared" si="608"/>
        <v>0</v>
      </c>
      <c r="BA690" s="37">
        <f t="shared" si="609"/>
        <v>0</v>
      </c>
      <c r="BB690" s="35">
        <f t="shared" si="610"/>
        <v>1.104103846949922E-3</v>
      </c>
      <c r="BC690" s="31">
        <f t="shared" si="611"/>
        <v>0.46907274592213449</v>
      </c>
      <c r="BD690" s="34">
        <f t="shared" si="612"/>
        <v>0</v>
      </c>
    </row>
    <row r="691" spans="1:56" x14ac:dyDescent="0.2">
      <c r="A691" s="27">
        <f t="shared" si="613"/>
        <v>687</v>
      </c>
      <c r="B691" s="28">
        <f t="shared" si="560"/>
        <v>687</v>
      </c>
      <c r="C691" s="27">
        <f t="shared" si="561"/>
        <v>57</v>
      </c>
      <c r="D691" s="28">
        <f t="shared" si="562"/>
        <v>77</v>
      </c>
      <c r="E691" s="29">
        <f t="shared" si="563"/>
        <v>0</v>
      </c>
      <c r="F691" s="30">
        <f t="shared" si="564"/>
        <v>1.103123761687707E-2</v>
      </c>
      <c r="G691" s="31">
        <f t="shared" si="565"/>
        <v>9.2395063706507408E-4</v>
      </c>
      <c r="H691" s="32">
        <f t="shared" si="566"/>
        <v>0.02</v>
      </c>
      <c r="I691" s="32">
        <f t="shared" si="567"/>
        <v>0</v>
      </c>
      <c r="J691" s="33">
        <f t="shared" si="614"/>
        <v>0</v>
      </c>
      <c r="K691" s="30">
        <f t="shared" si="568"/>
        <v>0</v>
      </c>
      <c r="L691" s="33">
        <f t="shared" si="569"/>
        <v>0</v>
      </c>
      <c r="M691" s="30">
        <f t="shared" si="570"/>
        <v>0</v>
      </c>
      <c r="N691" s="33">
        <f t="shared" si="571"/>
        <v>0</v>
      </c>
      <c r="O691" s="31">
        <f t="shared" si="572"/>
        <v>0</v>
      </c>
      <c r="P691" s="33">
        <f t="shared" si="573"/>
        <v>0</v>
      </c>
      <c r="Q691" s="34">
        <f t="shared" si="615"/>
        <v>829867.14997105382</v>
      </c>
      <c r="R691" s="29">
        <f t="shared" si="574"/>
        <v>0</v>
      </c>
      <c r="S691" s="34">
        <f t="shared" si="575"/>
        <v>829867.14997105382</v>
      </c>
      <c r="T691" s="29">
        <f t="shared" si="576"/>
        <v>691.55595830921152</v>
      </c>
      <c r="U691" s="29">
        <f t="shared" si="577"/>
        <v>0</v>
      </c>
      <c r="V691" s="35">
        <f t="shared" si="578"/>
        <v>1.0163457007715815E-3</v>
      </c>
      <c r="W691" s="34">
        <f t="shared" si="579"/>
        <v>0</v>
      </c>
      <c r="X691" s="34">
        <f t="shared" si="580"/>
        <v>829175.59401274461</v>
      </c>
      <c r="Y691" s="36">
        <f t="shared" si="581"/>
        <v>1.916301761145256E-2</v>
      </c>
      <c r="Z691" s="34">
        <f t="shared" si="582"/>
        <v>15889.506511052863</v>
      </c>
      <c r="AA691" s="34">
        <f t="shared" si="583"/>
        <v>837120.34726827103</v>
      </c>
      <c r="AB691" s="34">
        <f t="shared" si="584"/>
        <v>0</v>
      </c>
      <c r="AC691" s="34">
        <f t="shared" si="585"/>
        <v>0</v>
      </c>
      <c r="AD691" s="34">
        <f t="shared" si="586"/>
        <v>0</v>
      </c>
      <c r="AE691" s="34">
        <f t="shared" si="587"/>
        <v>0</v>
      </c>
      <c r="AF691" s="34">
        <f t="shared" si="588"/>
        <v>0</v>
      </c>
      <c r="AG691" s="29">
        <f t="shared" si="589"/>
        <v>837120.34726827103</v>
      </c>
      <c r="AH691" s="34">
        <f t="shared" si="590"/>
        <v>0</v>
      </c>
      <c r="AI691" s="34">
        <f t="shared" si="591"/>
        <v>0</v>
      </c>
      <c r="AJ691" s="34">
        <f t="shared" si="592"/>
        <v>0</v>
      </c>
      <c r="AK691" s="34">
        <f t="shared" si="593"/>
        <v>0</v>
      </c>
      <c r="AL691" s="34">
        <f t="shared" si="594"/>
        <v>0</v>
      </c>
      <c r="AM691" s="34">
        <f t="shared" si="595"/>
        <v>0</v>
      </c>
      <c r="AN691" s="34">
        <f t="shared" si="596"/>
        <v>0</v>
      </c>
      <c r="AO691" s="34">
        <f t="shared" si="597"/>
        <v>0</v>
      </c>
      <c r="AP691" s="34">
        <f t="shared" si="598"/>
        <v>0</v>
      </c>
      <c r="AQ691" s="34">
        <f t="shared" si="599"/>
        <v>0</v>
      </c>
      <c r="AR691" s="34">
        <f t="shared" si="600"/>
        <v>0</v>
      </c>
      <c r="AS691" s="30">
        <f t="shared" si="601"/>
        <v>1.7676596523264563</v>
      </c>
      <c r="AT691" s="29">
        <f t="shared" si="602"/>
        <v>0</v>
      </c>
      <c r="AU691" s="29">
        <f t="shared" si="603"/>
        <v>0</v>
      </c>
      <c r="AV691" s="34">
        <f t="shared" si="604"/>
        <v>0</v>
      </c>
      <c r="AW691" s="34">
        <f t="shared" si="605"/>
        <v>0</v>
      </c>
      <c r="AX691" s="29">
        <f t="shared" si="606"/>
        <v>0</v>
      </c>
      <c r="AY691" s="34">
        <f t="shared" si="607"/>
        <v>0</v>
      </c>
      <c r="AZ691" s="37">
        <f t="shared" si="608"/>
        <v>0</v>
      </c>
      <c r="BA691" s="37">
        <f t="shared" si="609"/>
        <v>0</v>
      </c>
      <c r="BB691" s="35">
        <f t="shared" si="610"/>
        <v>1.104103846949922E-3</v>
      </c>
      <c r="BC691" s="31">
        <f t="shared" si="611"/>
        <v>0.46855541208913765</v>
      </c>
      <c r="BD691" s="34">
        <f t="shared" si="612"/>
        <v>0</v>
      </c>
    </row>
    <row r="692" spans="1:56" x14ac:dyDescent="0.2">
      <c r="A692" s="27">
        <f t="shared" si="613"/>
        <v>688</v>
      </c>
      <c r="B692" s="28">
        <f t="shared" si="560"/>
        <v>688</v>
      </c>
      <c r="C692" s="27">
        <f t="shared" si="561"/>
        <v>57</v>
      </c>
      <c r="D692" s="28">
        <f t="shared" si="562"/>
        <v>77</v>
      </c>
      <c r="E692" s="29">
        <f t="shared" si="563"/>
        <v>0</v>
      </c>
      <c r="F692" s="30">
        <f t="shared" si="564"/>
        <v>1.103123761687707E-2</v>
      </c>
      <c r="G692" s="31">
        <f t="shared" si="565"/>
        <v>9.2395063706507408E-4</v>
      </c>
      <c r="H692" s="32">
        <f t="shared" si="566"/>
        <v>0.02</v>
      </c>
      <c r="I692" s="32">
        <f t="shared" si="567"/>
        <v>0</v>
      </c>
      <c r="J692" s="33">
        <f t="shared" si="614"/>
        <v>0</v>
      </c>
      <c r="K692" s="30">
        <f t="shared" si="568"/>
        <v>0</v>
      </c>
      <c r="L692" s="33">
        <f t="shared" si="569"/>
        <v>0</v>
      </c>
      <c r="M692" s="30">
        <f t="shared" si="570"/>
        <v>0</v>
      </c>
      <c r="N692" s="33">
        <f t="shared" si="571"/>
        <v>0</v>
      </c>
      <c r="O692" s="31">
        <f t="shared" si="572"/>
        <v>0</v>
      </c>
      <c r="P692" s="33">
        <f t="shared" si="573"/>
        <v>0</v>
      </c>
      <c r="Q692" s="34">
        <f t="shared" si="615"/>
        <v>845065.10052379745</v>
      </c>
      <c r="R692" s="29">
        <f t="shared" si="574"/>
        <v>0</v>
      </c>
      <c r="S692" s="34">
        <f t="shared" si="575"/>
        <v>845065.10052379745</v>
      </c>
      <c r="T692" s="29">
        <f t="shared" si="576"/>
        <v>704.22091710316454</v>
      </c>
      <c r="U692" s="29">
        <f t="shared" si="577"/>
        <v>0</v>
      </c>
      <c r="V692" s="35">
        <f t="shared" si="578"/>
        <v>1.0163457007715815E-3</v>
      </c>
      <c r="W692" s="34">
        <f t="shared" si="579"/>
        <v>0</v>
      </c>
      <c r="X692" s="34">
        <f t="shared" si="580"/>
        <v>844360.87960669433</v>
      </c>
      <c r="Y692" s="36">
        <f t="shared" si="581"/>
        <v>-8.5365919835989068E-3</v>
      </c>
      <c r="Z692" s="34">
        <f t="shared" si="582"/>
        <v>-7207.9643161150289</v>
      </c>
      <c r="AA692" s="34">
        <f t="shared" si="583"/>
        <v>840756.89744863682</v>
      </c>
      <c r="AB692" s="34">
        <f t="shared" si="584"/>
        <v>0</v>
      </c>
      <c r="AC692" s="34">
        <f t="shared" si="585"/>
        <v>0</v>
      </c>
      <c r="AD692" s="34">
        <f t="shared" si="586"/>
        <v>0</v>
      </c>
      <c r="AE692" s="34">
        <f t="shared" si="587"/>
        <v>0</v>
      </c>
      <c r="AF692" s="34">
        <f t="shared" si="588"/>
        <v>0</v>
      </c>
      <c r="AG692" s="29">
        <f t="shared" si="589"/>
        <v>840756.89744863682</v>
      </c>
      <c r="AH692" s="34">
        <f t="shared" si="590"/>
        <v>0</v>
      </c>
      <c r="AI692" s="34">
        <f t="shared" si="591"/>
        <v>0</v>
      </c>
      <c r="AJ692" s="34">
        <f t="shared" si="592"/>
        <v>0</v>
      </c>
      <c r="AK692" s="34">
        <f t="shared" si="593"/>
        <v>0</v>
      </c>
      <c r="AL692" s="34">
        <f t="shared" si="594"/>
        <v>0</v>
      </c>
      <c r="AM692" s="34">
        <f t="shared" si="595"/>
        <v>0</v>
      </c>
      <c r="AN692" s="34">
        <f t="shared" si="596"/>
        <v>0</v>
      </c>
      <c r="AO692" s="34">
        <f t="shared" si="597"/>
        <v>0</v>
      </c>
      <c r="AP692" s="34">
        <f t="shared" si="598"/>
        <v>0</v>
      </c>
      <c r="AQ692" s="34">
        <f t="shared" si="599"/>
        <v>0</v>
      </c>
      <c r="AR692" s="34">
        <f t="shared" si="600"/>
        <v>0</v>
      </c>
      <c r="AS692" s="30">
        <f t="shared" si="601"/>
        <v>1.7691259933812533</v>
      </c>
      <c r="AT692" s="29">
        <f t="shared" si="602"/>
        <v>0</v>
      </c>
      <c r="AU692" s="29">
        <f t="shared" si="603"/>
        <v>0</v>
      </c>
      <c r="AV692" s="34">
        <f t="shared" si="604"/>
        <v>0</v>
      </c>
      <c r="AW692" s="34">
        <f t="shared" si="605"/>
        <v>0</v>
      </c>
      <c r="AX692" s="29">
        <f t="shared" si="606"/>
        <v>0</v>
      </c>
      <c r="AY692" s="34">
        <f t="shared" si="607"/>
        <v>0</v>
      </c>
      <c r="AZ692" s="37">
        <f t="shared" si="608"/>
        <v>0</v>
      </c>
      <c r="BA692" s="37">
        <f t="shared" si="609"/>
        <v>0</v>
      </c>
      <c r="BB692" s="35">
        <f t="shared" si="610"/>
        <v>1.104103846949922E-3</v>
      </c>
      <c r="BC692" s="31">
        <f t="shared" si="611"/>
        <v>0.46803864881645807</v>
      </c>
      <c r="BD692" s="34">
        <f t="shared" si="612"/>
        <v>0</v>
      </c>
    </row>
    <row r="693" spans="1:56" x14ac:dyDescent="0.2">
      <c r="A693" s="27">
        <f t="shared" si="613"/>
        <v>689</v>
      </c>
      <c r="B693" s="28">
        <f t="shared" si="560"/>
        <v>689</v>
      </c>
      <c r="C693" s="27">
        <f t="shared" si="561"/>
        <v>57</v>
      </c>
      <c r="D693" s="28">
        <f t="shared" si="562"/>
        <v>77</v>
      </c>
      <c r="E693" s="29">
        <f t="shared" si="563"/>
        <v>0</v>
      </c>
      <c r="F693" s="30">
        <f t="shared" si="564"/>
        <v>1.103123761687707E-2</v>
      </c>
      <c r="G693" s="31">
        <f t="shared" si="565"/>
        <v>9.2395063706507408E-4</v>
      </c>
      <c r="H693" s="32">
        <f t="shared" si="566"/>
        <v>0.02</v>
      </c>
      <c r="I693" s="32">
        <f t="shared" si="567"/>
        <v>0</v>
      </c>
      <c r="J693" s="33">
        <f t="shared" si="614"/>
        <v>0</v>
      </c>
      <c r="K693" s="30">
        <f t="shared" si="568"/>
        <v>0</v>
      </c>
      <c r="L693" s="33">
        <f t="shared" si="569"/>
        <v>0</v>
      </c>
      <c r="M693" s="30">
        <f t="shared" si="570"/>
        <v>0</v>
      </c>
      <c r="N693" s="33">
        <f t="shared" si="571"/>
        <v>0</v>
      </c>
      <c r="O693" s="31">
        <f t="shared" si="572"/>
        <v>0</v>
      </c>
      <c r="P693" s="33">
        <f t="shared" si="573"/>
        <v>0</v>
      </c>
      <c r="Q693" s="34">
        <f t="shared" si="615"/>
        <v>837152.91529057932</v>
      </c>
      <c r="R693" s="29">
        <f t="shared" si="574"/>
        <v>0</v>
      </c>
      <c r="S693" s="34">
        <f t="shared" si="575"/>
        <v>837152.91529057932</v>
      </c>
      <c r="T693" s="29">
        <f t="shared" si="576"/>
        <v>697.62742940881617</v>
      </c>
      <c r="U693" s="29">
        <f t="shared" si="577"/>
        <v>0</v>
      </c>
      <c r="V693" s="35">
        <f t="shared" si="578"/>
        <v>1.0163457007715815E-3</v>
      </c>
      <c r="W693" s="34">
        <f t="shared" si="579"/>
        <v>0</v>
      </c>
      <c r="X693" s="34">
        <f t="shared" si="580"/>
        <v>836455.28786117048</v>
      </c>
      <c r="Y693" s="36">
        <f t="shared" si="581"/>
        <v>3.2311448308719459E-3</v>
      </c>
      <c r="Z693" s="34">
        <f t="shared" si="582"/>
        <v>2702.7081796281263</v>
      </c>
      <c r="AA693" s="34">
        <f t="shared" si="583"/>
        <v>837806.64195098449</v>
      </c>
      <c r="AB693" s="34">
        <f t="shared" si="584"/>
        <v>0</v>
      </c>
      <c r="AC693" s="34">
        <f t="shared" si="585"/>
        <v>0</v>
      </c>
      <c r="AD693" s="34">
        <f t="shared" si="586"/>
        <v>0</v>
      </c>
      <c r="AE693" s="34">
        <f t="shared" si="587"/>
        <v>0</v>
      </c>
      <c r="AF693" s="34">
        <f t="shared" si="588"/>
        <v>0</v>
      </c>
      <c r="AG693" s="29">
        <f t="shared" si="589"/>
        <v>837806.64195098449</v>
      </c>
      <c r="AH693" s="34">
        <f t="shared" si="590"/>
        <v>0</v>
      </c>
      <c r="AI693" s="34">
        <f t="shared" si="591"/>
        <v>0</v>
      </c>
      <c r="AJ693" s="34">
        <f t="shared" si="592"/>
        <v>0</v>
      </c>
      <c r="AK693" s="34">
        <f t="shared" si="593"/>
        <v>0</v>
      </c>
      <c r="AL693" s="34">
        <f t="shared" si="594"/>
        <v>0</v>
      </c>
      <c r="AM693" s="34">
        <f t="shared" si="595"/>
        <v>0</v>
      </c>
      <c r="AN693" s="34">
        <f t="shared" si="596"/>
        <v>0</v>
      </c>
      <c r="AO693" s="34">
        <f t="shared" si="597"/>
        <v>0</v>
      </c>
      <c r="AP693" s="34">
        <f t="shared" si="598"/>
        <v>0</v>
      </c>
      <c r="AQ693" s="34">
        <f t="shared" si="599"/>
        <v>0</v>
      </c>
      <c r="AR693" s="34">
        <f t="shared" si="600"/>
        <v>0</v>
      </c>
      <c r="AS693" s="30">
        <f t="shared" si="601"/>
        <v>1.7705935508218436</v>
      </c>
      <c r="AT693" s="29">
        <f t="shared" si="602"/>
        <v>0</v>
      </c>
      <c r="AU693" s="29">
        <f t="shared" si="603"/>
        <v>0</v>
      </c>
      <c r="AV693" s="34">
        <f t="shared" si="604"/>
        <v>0</v>
      </c>
      <c r="AW693" s="34">
        <f t="shared" si="605"/>
        <v>0</v>
      </c>
      <c r="AX693" s="29">
        <f t="shared" si="606"/>
        <v>0</v>
      </c>
      <c r="AY693" s="34">
        <f t="shared" si="607"/>
        <v>0</v>
      </c>
      <c r="AZ693" s="37">
        <f t="shared" si="608"/>
        <v>0</v>
      </c>
      <c r="BA693" s="37">
        <f t="shared" si="609"/>
        <v>0</v>
      </c>
      <c r="BB693" s="35">
        <f t="shared" si="610"/>
        <v>1.104103846949922E-3</v>
      </c>
      <c r="BC693" s="31">
        <f t="shared" si="611"/>
        <v>0.46752245547483279</v>
      </c>
      <c r="BD693" s="34">
        <f t="shared" si="612"/>
        <v>0</v>
      </c>
    </row>
    <row r="694" spans="1:56" x14ac:dyDescent="0.2">
      <c r="A694" s="27">
        <f t="shared" si="613"/>
        <v>690</v>
      </c>
      <c r="B694" s="28">
        <f t="shared" si="560"/>
        <v>690</v>
      </c>
      <c r="C694" s="27">
        <f t="shared" si="561"/>
        <v>57</v>
      </c>
      <c r="D694" s="28">
        <f t="shared" si="562"/>
        <v>77</v>
      </c>
      <c r="E694" s="29">
        <f t="shared" si="563"/>
        <v>0</v>
      </c>
      <c r="F694" s="30">
        <f t="shared" si="564"/>
        <v>1.103123761687707E-2</v>
      </c>
      <c r="G694" s="31">
        <f t="shared" si="565"/>
        <v>9.2395063706507408E-4</v>
      </c>
      <c r="H694" s="32">
        <f t="shared" si="566"/>
        <v>0.02</v>
      </c>
      <c r="I694" s="32">
        <f t="shared" si="567"/>
        <v>0</v>
      </c>
      <c r="J694" s="33">
        <f t="shared" si="614"/>
        <v>0</v>
      </c>
      <c r="K694" s="30">
        <f t="shared" si="568"/>
        <v>0</v>
      </c>
      <c r="L694" s="33">
        <f t="shared" si="569"/>
        <v>0</v>
      </c>
      <c r="M694" s="30">
        <f t="shared" si="570"/>
        <v>0</v>
      </c>
      <c r="N694" s="33">
        <f t="shared" si="571"/>
        <v>0</v>
      </c>
      <c r="O694" s="31">
        <f t="shared" si="572"/>
        <v>0</v>
      </c>
      <c r="P694" s="33">
        <f t="shared" si="573"/>
        <v>0</v>
      </c>
      <c r="Q694" s="34">
        <f t="shared" si="615"/>
        <v>839157.99604079861</v>
      </c>
      <c r="R694" s="29">
        <f t="shared" si="574"/>
        <v>0</v>
      </c>
      <c r="S694" s="34">
        <f t="shared" si="575"/>
        <v>839157.99604079861</v>
      </c>
      <c r="T694" s="29">
        <f t="shared" si="576"/>
        <v>699.29833003399892</v>
      </c>
      <c r="U694" s="29">
        <f t="shared" si="577"/>
        <v>0</v>
      </c>
      <c r="V694" s="35">
        <f t="shared" si="578"/>
        <v>1.0163457007715815E-3</v>
      </c>
      <c r="W694" s="34">
        <f t="shared" si="579"/>
        <v>0</v>
      </c>
      <c r="X694" s="34">
        <f t="shared" si="580"/>
        <v>838458.69771076459</v>
      </c>
      <c r="Y694" s="36">
        <f t="shared" si="581"/>
        <v>-3.074276733214476E-3</v>
      </c>
      <c r="Z694" s="34">
        <f t="shared" si="582"/>
        <v>-2577.6540661335134</v>
      </c>
      <c r="AA694" s="34">
        <f t="shared" si="583"/>
        <v>837169.87067769782</v>
      </c>
      <c r="AB694" s="34">
        <f t="shared" si="584"/>
        <v>0</v>
      </c>
      <c r="AC694" s="34">
        <f t="shared" si="585"/>
        <v>0</v>
      </c>
      <c r="AD694" s="34">
        <f t="shared" si="586"/>
        <v>0</v>
      </c>
      <c r="AE694" s="34">
        <f t="shared" si="587"/>
        <v>0</v>
      </c>
      <c r="AF694" s="34">
        <f t="shared" si="588"/>
        <v>0</v>
      </c>
      <c r="AG694" s="29">
        <f t="shared" si="589"/>
        <v>837169.87067769782</v>
      </c>
      <c r="AH694" s="34">
        <f t="shared" si="590"/>
        <v>0</v>
      </c>
      <c r="AI694" s="34">
        <f t="shared" si="591"/>
        <v>0</v>
      </c>
      <c r="AJ694" s="34">
        <f t="shared" si="592"/>
        <v>0</v>
      </c>
      <c r="AK694" s="34">
        <f t="shared" si="593"/>
        <v>0</v>
      </c>
      <c r="AL694" s="34">
        <f t="shared" si="594"/>
        <v>0</v>
      </c>
      <c r="AM694" s="34">
        <f t="shared" si="595"/>
        <v>0</v>
      </c>
      <c r="AN694" s="34">
        <f t="shared" si="596"/>
        <v>0</v>
      </c>
      <c r="AO694" s="34">
        <f t="shared" si="597"/>
        <v>0</v>
      </c>
      <c r="AP694" s="34">
        <f t="shared" si="598"/>
        <v>0</v>
      </c>
      <c r="AQ694" s="34">
        <f t="shared" si="599"/>
        <v>0</v>
      </c>
      <c r="AR694" s="34">
        <f t="shared" si="600"/>
        <v>0</v>
      </c>
      <c r="AS694" s="30">
        <f t="shared" si="601"/>
        <v>1.7720623256572658</v>
      </c>
      <c r="AT694" s="29">
        <f t="shared" si="602"/>
        <v>0</v>
      </c>
      <c r="AU694" s="29">
        <f t="shared" si="603"/>
        <v>0</v>
      </c>
      <c r="AV694" s="34">
        <f t="shared" si="604"/>
        <v>0</v>
      </c>
      <c r="AW694" s="34">
        <f t="shared" si="605"/>
        <v>0</v>
      </c>
      <c r="AX694" s="29">
        <f t="shared" si="606"/>
        <v>0</v>
      </c>
      <c r="AY694" s="34">
        <f t="shared" si="607"/>
        <v>0</v>
      </c>
      <c r="AZ694" s="37">
        <f t="shared" si="608"/>
        <v>0</v>
      </c>
      <c r="BA694" s="37">
        <f t="shared" si="609"/>
        <v>0</v>
      </c>
      <c r="BB694" s="35">
        <f t="shared" si="610"/>
        <v>1.104103846949922E-3</v>
      </c>
      <c r="BC694" s="31">
        <f t="shared" si="611"/>
        <v>0.46700683143569277</v>
      </c>
      <c r="BD694" s="34">
        <f t="shared" si="612"/>
        <v>0</v>
      </c>
    </row>
    <row r="695" spans="1:56" x14ac:dyDescent="0.2">
      <c r="A695" s="27">
        <f t="shared" si="613"/>
        <v>691</v>
      </c>
      <c r="B695" s="28">
        <f t="shared" si="560"/>
        <v>691</v>
      </c>
      <c r="C695" s="27">
        <f t="shared" si="561"/>
        <v>57</v>
      </c>
      <c r="D695" s="28">
        <f t="shared" si="562"/>
        <v>77</v>
      </c>
      <c r="E695" s="29">
        <f t="shared" si="563"/>
        <v>0</v>
      </c>
      <c r="F695" s="30">
        <f t="shared" si="564"/>
        <v>1.103123761687707E-2</v>
      </c>
      <c r="G695" s="31">
        <f t="shared" si="565"/>
        <v>9.2395063706507408E-4</v>
      </c>
      <c r="H695" s="32">
        <f t="shared" si="566"/>
        <v>0.02</v>
      </c>
      <c r="I695" s="32">
        <f t="shared" si="567"/>
        <v>0</v>
      </c>
      <c r="J695" s="33">
        <f t="shared" si="614"/>
        <v>0</v>
      </c>
      <c r="K695" s="30">
        <f t="shared" si="568"/>
        <v>0</v>
      </c>
      <c r="L695" s="33">
        <f t="shared" si="569"/>
        <v>0</v>
      </c>
      <c r="M695" s="30">
        <f t="shared" si="570"/>
        <v>0</v>
      </c>
      <c r="N695" s="33">
        <f t="shared" si="571"/>
        <v>0</v>
      </c>
      <c r="O695" s="31">
        <f t="shared" si="572"/>
        <v>0</v>
      </c>
      <c r="P695" s="33">
        <f t="shared" si="573"/>
        <v>0</v>
      </c>
      <c r="Q695" s="34">
        <f t="shared" si="615"/>
        <v>835881.04364463105</v>
      </c>
      <c r="R695" s="29">
        <f t="shared" si="574"/>
        <v>0</v>
      </c>
      <c r="S695" s="34">
        <f t="shared" si="575"/>
        <v>835881.04364463105</v>
      </c>
      <c r="T695" s="29">
        <f t="shared" si="576"/>
        <v>696.56753637052589</v>
      </c>
      <c r="U695" s="29">
        <f t="shared" si="577"/>
        <v>0</v>
      </c>
      <c r="V695" s="35">
        <f t="shared" si="578"/>
        <v>1.0163457007715815E-3</v>
      </c>
      <c r="W695" s="34">
        <f t="shared" si="579"/>
        <v>0</v>
      </c>
      <c r="X695" s="34">
        <f t="shared" si="580"/>
        <v>835184.47610826057</v>
      </c>
      <c r="Y695" s="36">
        <f t="shared" si="581"/>
        <v>8.4732425547295875E-4</v>
      </c>
      <c r="Z695" s="34">
        <f t="shared" si="582"/>
        <v>707.67206440100495</v>
      </c>
      <c r="AA695" s="34">
        <f t="shared" si="583"/>
        <v>835538.31214046106</v>
      </c>
      <c r="AB695" s="34">
        <f t="shared" si="584"/>
        <v>0</v>
      </c>
      <c r="AC695" s="34">
        <f t="shared" si="585"/>
        <v>0</v>
      </c>
      <c r="AD695" s="34">
        <f t="shared" si="586"/>
        <v>0</v>
      </c>
      <c r="AE695" s="34">
        <f t="shared" si="587"/>
        <v>0</v>
      </c>
      <c r="AF695" s="34">
        <f t="shared" si="588"/>
        <v>0</v>
      </c>
      <c r="AG695" s="29">
        <f t="shared" si="589"/>
        <v>835538.31214046106</v>
      </c>
      <c r="AH695" s="34">
        <f t="shared" si="590"/>
        <v>0</v>
      </c>
      <c r="AI695" s="34">
        <f t="shared" si="591"/>
        <v>0</v>
      </c>
      <c r="AJ695" s="34">
        <f t="shared" si="592"/>
        <v>0</v>
      </c>
      <c r="AK695" s="34">
        <f t="shared" si="593"/>
        <v>0</v>
      </c>
      <c r="AL695" s="34">
        <f t="shared" si="594"/>
        <v>0</v>
      </c>
      <c r="AM695" s="34">
        <f t="shared" si="595"/>
        <v>0</v>
      </c>
      <c r="AN695" s="34">
        <f t="shared" si="596"/>
        <v>0</v>
      </c>
      <c r="AO695" s="34">
        <f t="shared" si="597"/>
        <v>0</v>
      </c>
      <c r="AP695" s="34">
        <f t="shared" si="598"/>
        <v>0</v>
      </c>
      <c r="AQ695" s="34">
        <f t="shared" si="599"/>
        <v>0</v>
      </c>
      <c r="AR695" s="34">
        <f t="shared" si="600"/>
        <v>0</v>
      </c>
      <c r="AS695" s="30">
        <f t="shared" si="601"/>
        <v>1.7735323188973957</v>
      </c>
      <c r="AT695" s="29">
        <f t="shared" si="602"/>
        <v>0</v>
      </c>
      <c r="AU695" s="29">
        <f t="shared" si="603"/>
        <v>0</v>
      </c>
      <c r="AV695" s="34">
        <f t="shared" si="604"/>
        <v>0</v>
      </c>
      <c r="AW695" s="34">
        <f t="shared" si="605"/>
        <v>0</v>
      </c>
      <c r="AX695" s="29">
        <f t="shared" si="606"/>
        <v>0</v>
      </c>
      <c r="AY695" s="34">
        <f t="shared" si="607"/>
        <v>0</v>
      </c>
      <c r="AZ695" s="37">
        <f t="shared" si="608"/>
        <v>0</v>
      </c>
      <c r="BA695" s="37">
        <f t="shared" si="609"/>
        <v>0</v>
      </c>
      <c r="BB695" s="35">
        <f t="shared" si="610"/>
        <v>1.104103846949922E-3</v>
      </c>
      <c r="BC695" s="31">
        <f t="shared" si="611"/>
        <v>0.46649177607116205</v>
      </c>
      <c r="BD695" s="34">
        <f t="shared" si="612"/>
        <v>0</v>
      </c>
    </row>
    <row r="696" spans="1:56" x14ac:dyDescent="0.2">
      <c r="A696" s="27">
        <f t="shared" si="613"/>
        <v>692</v>
      </c>
      <c r="B696" s="28">
        <f t="shared" si="560"/>
        <v>692</v>
      </c>
      <c r="C696" s="27">
        <f t="shared" si="561"/>
        <v>57</v>
      </c>
      <c r="D696" s="28">
        <f t="shared" si="562"/>
        <v>77</v>
      </c>
      <c r="E696" s="29">
        <f t="shared" si="563"/>
        <v>0</v>
      </c>
      <c r="F696" s="30">
        <f t="shared" si="564"/>
        <v>1.103123761687707E-2</v>
      </c>
      <c r="G696" s="31">
        <f t="shared" si="565"/>
        <v>9.2395063706507408E-4</v>
      </c>
      <c r="H696" s="32">
        <f t="shared" si="566"/>
        <v>0.02</v>
      </c>
      <c r="I696" s="32">
        <f t="shared" si="567"/>
        <v>0</v>
      </c>
      <c r="J696" s="33">
        <f t="shared" si="614"/>
        <v>0</v>
      </c>
      <c r="K696" s="30">
        <f t="shared" si="568"/>
        <v>0</v>
      </c>
      <c r="L696" s="33">
        <f t="shared" si="569"/>
        <v>0</v>
      </c>
      <c r="M696" s="30">
        <f t="shared" si="570"/>
        <v>0</v>
      </c>
      <c r="N696" s="33">
        <f t="shared" si="571"/>
        <v>0</v>
      </c>
      <c r="O696" s="31">
        <f t="shared" si="572"/>
        <v>0</v>
      </c>
      <c r="P696" s="33">
        <f t="shared" si="573"/>
        <v>0</v>
      </c>
      <c r="Q696" s="34">
        <f t="shared" si="615"/>
        <v>835892.14817266155</v>
      </c>
      <c r="R696" s="29">
        <f t="shared" si="574"/>
        <v>0</v>
      </c>
      <c r="S696" s="34">
        <f t="shared" si="575"/>
        <v>835892.14817266155</v>
      </c>
      <c r="T696" s="29">
        <f t="shared" si="576"/>
        <v>696.57679014388464</v>
      </c>
      <c r="U696" s="29">
        <f t="shared" si="577"/>
        <v>0</v>
      </c>
      <c r="V696" s="35">
        <f t="shared" si="578"/>
        <v>1.0163457007715815E-3</v>
      </c>
      <c r="W696" s="34">
        <f t="shared" si="579"/>
        <v>0</v>
      </c>
      <c r="X696" s="34">
        <f t="shared" si="580"/>
        <v>835195.57138251769</v>
      </c>
      <c r="Y696" s="36">
        <f t="shared" si="581"/>
        <v>-1.1826511929205141E-2</v>
      </c>
      <c r="Z696" s="34">
        <f t="shared" si="582"/>
        <v>-9877.4503881746496</v>
      </c>
      <c r="AA696" s="34">
        <f t="shared" si="583"/>
        <v>830256.84618843033</v>
      </c>
      <c r="AB696" s="34">
        <f t="shared" si="584"/>
        <v>0</v>
      </c>
      <c r="AC696" s="34">
        <f t="shared" si="585"/>
        <v>0</v>
      </c>
      <c r="AD696" s="34">
        <f t="shared" si="586"/>
        <v>0</v>
      </c>
      <c r="AE696" s="34">
        <f t="shared" si="587"/>
        <v>0</v>
      </c>
      <c r="AF696" s="34">
        <f t="shared" si="588"/>
        <v>0</v>
      </c>
      <c r="AG696" s="29">
        <f t="shared" si="589"/>
        <v>830256.84618843033</v>
      </c>
      <c r="AH696" s="34">
        <f t="shared" si="590"/>
        <v>0</v>
      </c>
      <c r="AI696" s="34">
        <f t="shared" si="591"/>
        <v>0</v>
      </c>
      <c r="AJ696" s="34">
        <f t="shared" si="592"/>
        <v>0</v>
      </c>
      <c r="AK696" s="34">
        <f t="shared" si="593"/>
        <v>0</v>
      </c>
      <c r="AL696" s="34">
        <f t="shared" si="594"/>
        <v>0</v>
      </c>
      <c r="AM696" s="34">
        <f t="shared" si="595"/>
        <v>0</v>
      </c>
      <c r="AN696" s="34">
        <f t="shared" si="596"/>
        <v>0</v>
      </c>
      <c r="AO696" s="34">
        <f t="shared" si="597"/>
        <v>0</v>
      </c>
      <c r="AP696" s="34">
        <f t="shared" si="598"/>
        <v>0</v>
      </c>
      <c r="AQ696" s="34">
        <f t="shared" si="599"/>
        <v>0</v>
      </c>
      <c r="AR696" s="34">
        <f t="shared" si="600"/>
        <v>0</v>
      </c>
      <c r="AS696" s="30">
        <f t="shared" si="601"/>
        <v>1.7750035315529458</v>
      </c>
      <c r="AT696" s="29">
        <f t="shared" si="602"/>
        <v>0</v>
      </c>
      <c r="AU696" s="29">
        <f t="shared" si="603"/>
        <v>0</v>
      </c>
      <c r="AV696" s="34">
        <f t="shared" si="604"/>
        <v>0</v>
      </c>
      <c r="AW696" s="34">
        <f t="shared" si="605"/>
        <v>0</v>
      </c>
      <c r="AX696" s="29">
        <f t="shared" si="606"/>
        <v>0</v>
      </c>
      <c r="AY696" s="34">
        <f t="shared" si="607"/>
        <v>0</v>
      </c>
      <c r="AZ696" s="37">
        <f t="shared" si="608"/>
        <v>0</v>
      </c>
      <c r="BA696" s="37">
        <f t="shared" si="609"/>
        <v>0</v>
      </c>
      <c r="BB696" s="35">
        <f t="shared" si="610"/>
        <v>1.104103846949922E-3</v>
      </c>
      <c r="BC696" s="31">
        <f t="shared" si="611"/>
        <v>0.46597728875405736</v>
      </c>
      <c r="BD696" s="34">
        <f t="shared" si="612"/>
        <v>0</v>
      </c>
    </row>
    <row r="697" spans="1:56" x14ac:dyDescent="0.2">
      <c r="A697" s="27">
        <f t="shared" si="613"/>
        <v>693</v>
      </c>
      <c r="B697" s="28">
        <f t="shared" si="560"/>
        <v>693</v>
      </c>
      <c r="C697" s="27">
        <f t="shared" si="561"/>
        <v>57</v>
      </c>
      <c r="D697" s="28">
        <f t="shared" si="562"/>
        <v>77</v>
      </c>
      <c r="E697" s="29">
        <f t="shared" si="563"/>
        <v>0</v>
      </c>
      <c r="F697" s="30">
        <f t="shared" si="564"/>
        <v>1.103123761687707E-2</v>
      </c>
      <c r="G697" s="31">
        <f t="shared" si="565"/>
        <v>9.2395063706507408E-4</v>
      </c>
      <c r="H697" s="32">
        <f t="shared" si="566"/>
        <v>0.02</v>
      </c>
      <c r="I697" s="32">
        <f t="shared" si="567"/>
        <v>0</v>
      </c>
      <c r="J697" s="33">
        <f t="shared" si="614"/>
        <v>0</v>
      </c>
      <c r="K697" s="30">
        <f t="shared" si="568"/>
        <v>0</v>
      </c>
      <c r="L697" s="33">
        <f t="shared" si="569"/>
        <v>0</v>
      </c>
      <c r="M697" s="30">
        <f t="shared" si="570"/>
        <v>0</v>
      </c>
      <c r="N697" s="33">
        <f t="shared" si="571"/>
        <v>0</v>
      </c>
      <c r="O697" s="31">
        <f t="shared" si="572"/>
        <v>0</v>
      </c>
      <c r="P697" s="33">
        <f t="shared" si="573"/>
        <v>0</v>
      </c>
      <c r="Q697" s="34">
        <f t="shared" si="615"/>
        <v>825318.12099434307</v>
      </c>
      <c r="R697" s="29">
        <f t="shared" si="574"/>
        <v>0</v>
      </c>
      <c r="S697" s="34">
        <f t="shared" si="575"/>
        <v>825318.12099434307</v>
      </c>
      <c r="T697" s="29">
        <f t="shared" si="576"/>
        <v>687.76510082861932</v>
      </c>
      <c r="U697" s="29">
        <f t="shared" si="577"/>
        <v>0</v>
      </c>
      <c r="V697" s="35">
        <f t="shared" si="578"/>
        <v>1.0163457007715815E-3</v>
      </c>
      <c r="W697" s="34">
        <f t="shared" si="579"/>
        <v>0</v>
      </c>
      <c r="X697" s="34">
        <f t="shared" si="580"/>
        <v>824630.35589351447</v>
      </c>
      <c r="Y697" s="36">
        <f t="shared" si="581"/>
        <v>-9.8185815168081447E-3</v>
      </c>
      <c r="Z697" s="34">
        <f t="shared" si="582"/>
        <v>-8096.7003705749839</v>
      </c>
      <c r="AA697" s="34">
        <f t="shared" si="583"/>
        <v>820582.00570822693</v>
      </c>
      <c r="AB697" s="34">
        <f t="shared" si="584"/>
        <v>0</v>
      </c>
      <c r="AC697" s="34">
        <f t="shared" si="585"/>
        <v>0</v>
      </c>
      <c r="AD697" s="34">
        <f t="shared" si="586"/>
        <v>0</v>
      </c>
      <c r="AE697" s="34">
        <f t="shared" si="587"/>
        <v>0</v>
      </c>
      <c r="AF697" s="34">
        <f t="shared" si="588"/>
        <v>0</v>
      </c>
      <c r="AG697" s="29">
        <f t="shared" si="589"/>
        <v>820582.00570822693</v>
      </c>
      <c r="AH697" s="34">
        <f t="shared" si="590"/>
        <v>0</v>
      </c>
      <c r="AI697" s="34">
        <f t="shared" si="591"/>
        <v>0</v>
      </c>
      <c r="AJ697" s="34">
        <f t="shared" si="592"/>
        <v>0</v>
      </c>
      <c r="AK697" s="34">
        <f t="shared" si="593"/>
        <v>0</v>
      </c>
      <c r="AL697" s="34">
        <f t="shared" si="594"/>
        <v>0</v>
      </c>
      <c r="AM697" s="34">
        <f t="shared" si="595"/>
        <v>0</v>
      </c>
      <c r="AN697" s="34">
        <f t="shared" si="596"/>
        <v>0</v>
      </c>
      <c r="AO697" s="34">
        <f t="shared" si="597"/>
        <v>0</v>
      </c>
      <c r="AP697" s="34">
        <f t="shared" si="598"/>
        <v>0</v>
      </c>
      <c r="AQ697" s="34">
        <f t="shared" si="599"/>
        <v>0</v>
      </c>
      <c r="AR697" s="34">
        <f t="shared" si="600"/>
        <v>0</v>
      </c>
      <c r="AS697" s="30">
        <f t="shared" si="601"/>
        <v>1.7764759646354682</v>
      </c>
      <c r="AT697" s="29">
        <f t="shared" si="602"/>
        <v>0</v>
      </c>
      <c r="AU697" s="29">
        <f t="shared" si="603"/>
        <v>0</v>
      </c>
      <c r="AV697" s="34">
        <f t="shared" si="604"/>
        <v>0</v>
      </c>
      <c r="AW697" s="34">
        <f t="shared" si="605"/>
        <v>0</v>
      </c>
      <c r="AX697" s="29">
        <f t="shared" si="606"/>
        <v>0</v>
      </c>
      <c r="AY697" s="34">
        <f t="shared" si="607"/>
        <v>0</v>
      </c>
      <c r="AZ697" s="37">
        <f t="shared" si="608"/>
        <v>0</v>
      </c>
      <c r="BA697" s="37">
        <f t="shared" si="609"/>
        <v>0</v>
      </c>
      <c r="BB697" s="35">
        <f t="shared" si="610"/>
        <v>1.104103846949922E-3</v>
      </c>
      <c r="BC697" s="31">
        <f t="shared" si="611"/>
        <v>0.46546336885788708</v>
      </c>
      <c r="BD697" s="34">
        <f t="shared" si="612"/>
        <v>0</v>
      </c>
    </row>
    <row r="698" spans="1:56" x14ac:dyDescent="0.2">
      <c r="A698" s="27">
        <f t="shared" si="613"/>
        <v>694</v>
      </c>
      <c r="B698" s="28">
        <f t="shared" si="560"/>
        <v>694</v>
      </c>
      <c r="C698" s="27">
        <f t="shared" si="561"/>
        <v>57</v>
      </c>
      <c r="D698" s="28">
        <f t="shared" si="562"/>
        <v>77</v>
      </c>
      <c r="E698" s="29">
        <f t="shared" si="563"/>
        <v>0</v>
      </c>
      <c r="F698" s="30">
        <f t="shared" si="564"/>
        <v>1.103123761687707E-2</v>
      </c>
      <c r="G698" s="31">
        <f t="shared" si="565"/>
        <v>9.2395063706507408E-4</v>
      </c>
      <c r="H698" s="32">
        <f t="shared" si="566"/>
        <v>0.02</v>
      </c>
      <c r="I698" s="32">
        <f t="shared" si="567"/>
        <v>0</v>
      </c>
      <c r="J698" s="33">
        <f t="shared" si="614"/>
        <v>0</v>
      </c>
      <c r="K698" s="30">
        <f t="shared" si="568"/>
        <v>0</v>
      </c>
      <c r="L698" s="33">
        <f t="shared" si="569"/>
        <v>0</v>
      </c>
      <c r="M698" s="30">
        <f t="shared" si="570"/>
        <v>0</v>
      </c>
      <c r="N698" s="33">
        <f t="shared" si="571"/>
        <v>0</v>
      </c>
      <c r="O698" s="31">
        <f t="shared" si="572"/>
        <v>0</v>
      </c>
      <c r="P698" s="33">
        <f t="shared" si="573"/>
        <v>0</v>
      </c>
      <c r="Q698" s="34">
        <f t="shared" si="615"/>
        <v>816533.65552293952</v>
      </c>
      <c r="R698" s="29">
        <f t="shared" si="574"/>
        <v>0</v>
      </c>
      <c r="S698" s="34">
        <f t="shared" si="575"/>
        <v>816533.65552293952</v>
      </c>
      <c r="T698" s="29">
        <f t="shared" si="576"/>
        <v>680.44471293578295</v>
      </c>
      <c r="U698" s="29">
        <f t="shared" si="577"/>
        <v>0</v>
      </c>
      <c r="V698" s="35">
        <f t="shared" si="578"/>
        <v>1.0163457007715815E-3</v>
      </c>
      <c r="W698" s="34">
        <f t="shared" si="579"/>
        <v>0</v>
      </c>
      <c r="X698" s="34">
        <f t="shared" si="580"/>
        <v>815853.21081000369</v>
      </c>
      <c r="Y698" s="36">
        <f t="shared" si="581"/>
        <v>-2.51775425708467E-3</v>
      </c>
      <c r="Z698" s="34">
        <f t="shared" si="582"/>
        <v>-2054.1178946730834</v>
      </c>
      <c r="AA698" s="34">
        <f t="shared" si="583"/>
        <v>814826.15186266718</v>
      </c>
      <c r="AB698" s="34">
        <f t="shared" si="584"/>
        <v>0</v>
      </c>
      <c r="AC698" s="34">
        <f t="shared" si="585"/>
        <v>0</v>
      </c>
      <c r="AD698" s="34">
        <f t="shared" si="586"/>
        <v>0</v>
      </c>
      <c r="AE698" s="34">
        <f t="shared" si="587"/>
        <v>0</v>
      </c>
      <c r="AF698" s="34">
        <f t="shared" si="588"/>
        <v>0</v>
      </c>
      <c r="AG698" s="29">
        <f t="shared" si="589"/>
        <v>814826.15186266718</v>
      </c>
      <c r="AH698" s="34">
        <f t="shared" si="590"/>
        <v>0</v>
      </c>
      <c r="AI698" s="34">
        <f t="shared" si="591"/>
        <v>0</v>
      </c>
      <c r="AJ698" s="34">
        <f t="shared" si="592"/>
        <v>0</v>
      </c>
      <c r="AK698" s="34">
        <f t="shared" si="593"/>
        <v>0</v>
      </c>
      <c r="AL698" s="34">
        <f t="shared" si="594"/>
        <v>0</v>
      </c>
      <c r="AM698" s="34">
        <f t="shared" si="595"/>
        <v>0</v>
      </c>
      <c r="AN698" s="34">
        <f t="shared" si="596"/>
        <v>0</v>
      </c>
      <c r="AO698" s="34">
        <f t="shared" si="597"/>
        <v>0</v>
      </c>
      <c r="AP698" s="34">
        <f t="shared" si="598"/>
        <v>0</v>
      </c>
      <c r="AQ698" s="34">
        <f t="shared" si="599"/>
        <v>0</v>
      </c>
      <c r="AR698" s="34">
        <f t="shared" si="600"/>
        <v>0</v>
      </c>
      <c r="AS698" s="30">
        <f t="shared" si="601"/>
        <v>1.7779496191573534</v>
      </c>
      <c r="AT698" s="29">
        <f t="shared" si="602"/>
        <v>0</v>
      </c>
      <c r="AU698" s="29">
        <f t="shared" si="603"/>
        <v>0</v>
      </c>
      <c r="AV698" s="34">
        <f t="shared" si="604"/>
        <v>0</v>
      </c>
      <c r="AW698" s="34">
        <f t="shared" si="605"/>
        <v>0</v>
      </c>
      <c r="AX698" s="29">
        <f t="shared" si="606"/>
        <v>0</v>
      </c>
      <c r="AY698" s="34">
        <f t="shared" si="607"/>
        <v>0</v>
      </c>
      <c r="AZ698" s="37">
        <f t="shared" si="608"/>
        <v>0</v>
      </c>
      <c r="BA698" s="37">
        <f t="shared" si="609"/>
        <v>0</v>
      </c>
      <c r="BB698" s="35">
        <f t="shared" si="610"/>
        <v>1.104103846949922E-3</v>
      </c>
      <c r="BC698" s="31">
        <f t="shared" si="611"/>
        <v>0.46495001575685058</v>
      </c>
      <c r="BD698" s="34">
        <f t="shared" si="612"/>
        <v>0</v>
      </c>
    </row>
    <row r="699" spans="1:56" x14ac:dyDescent="0.2">
      <c r="A699" s="27">
        <f t="shared" si="613"/>
        <v>695</v>
      </c>
      <c r="B699" s="28">
        <f t="shared" si="560"/>
        <v>695</v>
      </c>
      <c r="C699" s="27">
        <f t="shared" si="561"/>
        <v>57</v>
      </c>
      <c r="D699" s="28">
        <f t="shared" si="562"/>
        <v>77</v>
      </c>
      <c r="E699" s="29">
        <f t="shared" si="563"/>
        <v>0</v>
      </c>
      <c r="F699" s="30">
        <f t="shared" si="564"/>
        <v>1.103123761687707E-2</v>
      </c>
      <c r="G699" s="31">
        <f t="shared" si="565"/>
        <v>9.2395063706507408E-4</v>
      </c>
      <c r="H699" s="32">
        <f t="shared" si="566"/>
        <v>0.02</v>
      </c>
      <c r="I699" s="32">
        <f t="shared" si="567"/>
        <v>0</v>
      </c>
      <c r="J699" s="33">
        <f t="shared" si="614"/>
        <v>0</v>
      </c>
      <c r="K699" s="30">
        <f t="shared" si="568"/>
        <v>0</v>
      </c>
      <c r="L699" s="33">
        <f t="shared" si="569"/>
        <v>0</v>
      </c>
      <c r="M699" s="30">
        <f t="shared" si="570"/>
        <v>0</v>
      </c>
      <c r="N699" s="33">
        <f t="shared" si="571"/>
        <v>0</v>
      </c>
      <c r="O699" s="31">
        <f t="shared" si="572"/>
        <v>0</v>
      </c>
      <c r="P699" s="33">
        <f t="shared" si="573"/>
        <v>0</v>
      </c>
      <c r="Q699" s="34">
        <f t="shared" si="615"/>
        <v>813799.09291533055</v>
      </c>
      <c r="R699" s="29">
        <f t="shared" si="574"/>
        <v>0</v>
      </c>
      <c r="S699" s="34">
        <f t="shared" si="575"/>
        <v>813799.09291533055</v>
      </c>
      <c r="T699" s="29">
        <f t="shared" si="576"/>
        <v>678.16591076277552</v>
      </c>
      <c r="U699" s="29">
        <f t="shared" si="577"/>
        <v>0</v>
      </c>
      <c r="V699" s="35">
        <f t="shared" si="578"/>
        <v>1.0163457007715815E-3</v>
      </c>
      <c r="W699" s="34">
        <f t="shared" si="579"/>
        <v>0</v>
      </c>
      <c r="X699" s="34">
        <f t="shared" si="580"/>
        <v>813120.92700456781</v>
      </c>
      <c r="Y699" s="36">
        <f t="shared" si="581"/>
        <v>1.200316779824151E-2</v>
      </c>
      <c r="Z699" s="34">
        <f t="shared" si="582"/>
        <v>9760.0269270975132</v>
      </c>
      <c r="AA699" s="34">
        <f t="shared" si="583"/>
        <v>818000.94046811655</v>
      </c>
      <c r="AB699" s="34">
        <f t="shared" si="584"/>
        <v>0</v>
      </c>
      <c r="AC699" s="34">
        <f t="shared" si="585"/>
        <v>0</v>
      </c>
      <c r="AD699" s="34">
        <f t="shared" si="586"/>
        <v>0</v>
      </c>
      <c r="AE699" s="34">
        <f t="shared" si="587"/>
        <v>0</v>
      </c>
      <c r="AF699" s="34">
        <f t="shared" si="588"/>
        <v>0</v>
      </c>
      <c r="AG699" s="29">
        <f t="shared" si="589"/>
        <v>818000.94046811655</v>
      </c>
      <c r="AH699" s="34">
        <f t="shared" si="590"/>
        <v>0</v>
      </c>
      <c r="AI699" s="34">
        <f t="shared" si="591"/>
        <v>0</v>
      </c>
      <c r="AJ699" s="34">
        <f t="shared" si="592"/>
        <v>0</v>
      </c>
      <c r="AK699" s="34">
        <f t="shared" si="593"/>
        <v>0</v>
      </c>
      <c r="AL699" s="34">
        <f t="shared" si="594"/>
        <v>0</v>
      </c>
      <c r="AM699" s="34">
        <f t="shared" si="595"/>
        <v>0</v>
      </c>
      <c r="AN699" s="34">
        <f t="shared" si="596"/>
        <v>0</v>
      </c>
      <c r="AO699" s="34">
        <f t="shared" si="597"/>
        <v>0</v>
      </c>
      <c r="AP699" s="34">
        <f t="shared" si="598"/>
        <v>0</v>
      </c>
      <c r="AQ699" s="34">
        <f t="shared" si="599"/>
        <v>0</v>
      </c>
      <c r="AR699" s="34">
        <f t="shared" si="600"/>
        <v>0</v>
      </c>
      <c r="AS699" s="30">
        <f t="shared" si="601"/>
        <v>1.7794244961318317</v>
      </c>
      <c r="AT699" s="29">
        <f t="shared" si="602"/>
        <v>0</v>
      </c>
      <c r="AU699" s="29">
        <f t="shared" si="603"/>
        <v>0</v>
      </c>
      <c r="AV699" s="34">
        <f t="shared" si="604"/>
        <v>0</v>
      </c>
      <c r="AW699" s="34">
        <f t="shared" si="605"/>
        <v>0</v>
      </c>
      <c r="AX699" s="29">
        <f t="shared" si="606"/>
        <v>0</v>
      </c>
      <c r="AY699" s="34">
        <f t="shared" si="607"/>
        <v>0</v>
      </c>
      <c r="AZ699" s="37">
        <f t="shared" si="608"/>
        <v>0</v>
      </c>
      <c r="BA699" s="37">
        <f t="shared" si="609"/>
        <v>0</v>
      </c>
      <c r="BB699" s="35">
        <f t="shared" si="610"/>
        <v>1.104103846949922E-3</v>
      </c>
      <c r="BC699" s="31">
        <f t="shared" si="611"/>
        <v>0.46443722882583721</v>
      </c>
      <c r="BD699" s="34">
        <f t="shared" si="612"/>
        <v>0</v>
      </c>
    </row>
    <row r="700" spans="1:56" x14ac:dyDescent="0.2">
      <c r="A700" s="27">
        <f t="shared" si="613"/>
        <v>696</v>
      </c>
      <c r="B700" s="28">
        <f t="shared" si="560"/>
        <v>696</v>
      </c>
      <c r="C700" s="27">
        <f t="shared" si="561"/>
        <v>58</v>
      </c>
      <c r="D700" s="28">
        <f t="shared" si="562"/>
        <v>78</v>
      </c>
      <c r="E700" s="29">
        <f t="shared" si="563"/>
        <v>0</v>
      </c>
      <c r="F700" s="30">
        <f t="shared" si="564"/>
        <v>1.221273099516532E-2</v>
      </c>
      <c r="G700" s="31">
        <f t="shared" si="565"/>
        <v>1.0234691636581417E-3</v>
      </c>
      <c r="H700" s="32">
        <f t="shared" si="566"/>
        <v>0.02</v>
      </c>
      <c r="I700" s="32">
        <f t="shared" si="567"/>
        <v>0</v>
      </c>
      <c r="J700" s="33">
        <f t="shared" si="614"/>
        <v>0</v>
      </c>
      <c r="K700" s="30">
        <f t="shared" si="568"/>
        <v>0</v>
      </c>
      <c r="L700" s="33">
        <f t="shared" si="569"/>
        <v>0</v>
      </c>
      <c r="M700" s="30">
        <f t="shared" si="570"/>
        <v>0</v>
      </c>
      <c r="N700" s="33">
        <f t="shared" si="571"/>
        <v>0</v>
      </c>
      <c r="O700" s="31">
        <f t="shared" si="572"/>
        <v>0</v>
      </c>
      <c r="P700" s="33">
        <f t="shared" si="573"/>
        <v>0</v>
      </c>
      <c r="Q700" s="34">
        <f t="shared" si="615"/>
        <v>822880.95393166528</v>
      </c>
      <c r="R700" s="29">
        <f t="shared" si="574"/>
        <v>0</v>
      </c>
      <c r="S700" s="34">
        <f t="shared" si="575"/>
        <v>822880.95393166528</v>
      </c>
      <c r="T700" s="29">
        <f t="shared" si="576"/>
        <v>685.73412827638776</v>
      </c>
      <c r="U700" s="29">
        <f t="shared" si="577"/>
        <v>0</v>
      </c>
      <c r="V700" s="35">
        <f t="shared" si="578"/>
        <v>1.125816080023956E-3</v>
      </c>
      <c r="W700" s="34">
        <f t="shared" si="579"/>
        <v>0</v>
      </c>
      <c r="X700" s="34">
        <f t="shared" si="580"/>
        <v>822195.21980338893</v>
      </c>
      <c r="Y700" s="36">
        <f t="shared" si="581"/>
        <v>7.150256919870035E-4</v>
      </c>
      <c r="Z700" s="34">
        <f t="shared" si="582"/>
        <v>587.89070598832461</v>
      </c>
      <c r="AA700" s="34">
        <f t="shared" si="583"/>
        <v>822489.16515638307</v>
      </c>
      <c r="AB700" s="34">
        <f t="shared" si="584"/>
        <v>0</v>
      </c>
      <c r="AC700" s="34">
        <f t="shared" si="585"/>
        <v>0</v>
      </c>
      <c r="AD700" s="34">
        <f t="shared" si="586"/>
        <v>0</v>
      </c>
      <c r="AE700" s="34">
        <f t="shared" si="587"/>
        <v>0</v>
      </c>
      <c r="AF700" s="34">
        <f t="shared" si="588"/>
        <v>0</v>
      </c>
      <c r="AG700" s="29">
        <f t="shared" si="589"/>
        <v>822489.16515638307</v>
      </c>
      <c r="AH700" s="34">
        <f t="shared" si="590"/>
        <v>0</v>
      </c>
      <c r="AI700" s="34">
        <f t="shared" si="591"/>
        <v>0</v>
      </c>
      <c r="AJ700" s="34">
        <f t="shared" si="592"/>
        <v>0</v>
      </c>
      <c r="AK700" s="34">
        <f t="shared" si="593"/>
        <v>0</v>
      </c>
      <c r="AL700" s="34">
        <f t="shared" si="594"/>
        <v>0</v>
      </c>
      <c r="AM700" s="34">
        <f t="shared" si="595"/>
        <v>0</v>
      </c>
      <c r="AN700" s="34">
        <f t="shared" si="596"/>
        <v>0</v>
      </c>
      <c r="AO700" s="34">
        <f t="shared" si="597"/>
        <v>0</v>
      </c>
      <c r="AP700" s="34">
        <f t="shared" si="598"/>
        <v>0</v>
      </c>
      <c r="AQ700" s="34">
        <f t="shared" si="599"/>
        <v>0</v>
      </c>
      <c r="AR700" s="34">
        <f t="shared" si="600"/>
        <v>0</v>
      </c>
      <c r="AS700" s="30">
        <f t="shared" si="601"/>
        <v>1.7809005965729749</v>
      </c>
      <c r="AT700" s="29">
        <f t="shared" si="602"/>
        <v>0</v>
      </c>
      <c r="AU700" s="29">
        <f t="shared" si="603"/>
        <v>0</v>
      </c>
      <c r="AV700" s="34">
        <f t="shared" si="604"/>
        <v>0</v>
      </c>
      <c r="AW700" s="34">
        <f t="shared" si="605"/>
        <v>0</v>
      </c>
      <c r="AX700" s="29">
        <f t="shared" si="606"/>
        <v>0</v>
      </c>
      <c r="AY700" s="34">
        <f t="shared" si="607"/>
        <v>0</v>
      </c>
      <c r="AZ700" s="37">
        <f t="shared" si="608"/>
        <v>0</v>
      </c>
      <c r="BA700" s="37">
        <f t="shared" si="609"/>
        <v>0</v>
      </c>
      <c r="BB700" s="35">
        <f t="shared" si="610"/>
        <v>1.1320910329637446E-3</v>
      </c>
      <c r="BC700" s="31">
        <f t="shared" si="611"/>
        <v>0.45498551850743374</v>
      </c>
      <c r="BD700" s="34">
        <f t="shared" si="612"/>
        <v>0</v>
      </c>
    </row>
    <row r="701" spans="1:56" x14ac:dyDescent="0.2">
      <c r="A701" s="27">
        <f t="shared" si="613"/>
        <v>697</v>
      </c>
      <c r="B701" s="28">
        <f t="shared" si="560"/>
        <v>697</v>
      </c>
      <c r="C701" s="27">
        <f t="shared" si="561"/>
        <v>58</v>
      </c>
      <c r="D701" s="28">
        <f t="shared" si="562"/>
        <v>78</v>
      </c>
      <c r="E701" s="29">
        <f t="shared" si="563"/>
        <v>0</v>
      </c>
      <c r="F701" s="30">
        <f t="shared" si="564"/>
        <v>1.221273099516532E-2</v>
      </c>
      <c r="G701" s="31">
        <f t="shared" si="565"/>
        <v>1.0234691636581417E-3</v>
      </c>
      <c r="H701" s="32">
        <f t="shared" si="566"/>
        <v>0.02</v>
      </c>
      <c r="I701" s="32">
        <f t="shared" si="567"/>
        <v>0</v>
      </c>
      <c r="J701" s="33">
        <f t="shared" si="614"/>
        <v>0</v>
      </c>
      <c r="K701" s="30">
        <f t="shared" si="568"/>
        <v>0</v>
      </c>
      <c r="L701" s="33">
        <f t="shared" si="569"/>
        <v>0</v>
      </c>
      <c r="M701" s="30">
        <f t="shared" si="570"/>
        <v>0</v>
      </c>
      <c r="N701" s="33">
        <f t="shared" si="571"/>
        <v>0</v>
      </c>
      <c r="O701" s="31">
        <f t="shared" si="572"/>
        <v>0</v>
      </c>
      <c r="P701" s="33">
        <f t="shared" si="573"/>
        <v>0</v>
      </c>
      <c r="Q701" s="34">
        <f t="shared" si="615"/>
        <v>822783.11050937721</v>
      </c>
      <c r="R701" s="29">
        <f t="shared" si="574"/>
        <v>0</v>
      </c>
      <c r="S701" s="34">
        <f t="shared" si="575"/>
        <v>822783.11050937721</v>
      </c>
      <c r="T701" s="29">
        <f t="shared" si="576"/>
        <v>685.65259209114777</v>
      </c>
      <c r="U701" s="29">
        <f t="shared" si="577"/>
        <v>0</v>
      </c>
      <c r="V701" s="35">
        <f t="shared" si="578"/>
        <v>1.125816080023956E-3</v>
      </c>
      <c r="W701" s="34">
        <f t="shared" si="579"/>
        <v>0</v>
      </c>
      <c r="X701" s="34">
        <f t="shared" si="580"/>
        <v>822097.45791728608</v>
      </c>
      <c r="Y701" s="36">
        <f t="shared" si="581"/>
        <v>4.1928591970414875E-3</v>
      </c>
      <c r="Z701" s="34">
        <f t="shared" si="582"/>
        <v>3446.9388872929203</v>
      </c>
      <c r="AA701" s="34">
        <f t="shared" si="583"/>
        <v>823820.92736093258</v>
      </c>
      <c r="AB701" s="34">
        <f t="shared" si="584"/>
        <v>0</v>
      </c>
      <c r="AC701" s="34">
        <f t="shared" si="585"/>
        <v>0</v>
      </c>
      <c r="AD701" s="34">
        <f t="shared" si="586"/>
        <v>0</v>
      </c>
      <c r="AE701" s="34">
        <f t="shared" si="587"/>
        <v>0</v>
      </c>
      <c r="AF701" s="34">
        <f t="shared" si="588"/>
        <v>0</v>
      </c>
      <c r="AG701" s="29">
        <f t="shared" si="589"/>
        <v>823820.92736093258</v>
      </c>
      <c r="AH701" s="34">
        <f t="shared" si="590"/>
        <v>0</v>
      </c>
      <c r="AI701" s="34">
        <f t="shared" si="591"/>
        <v>0</v>
      </c>
      <c r="AJ701" s="34">
        <f t="shared" si="592"/>
        <v>0</v>
      </c>
      <c r="AK701" s="34">
        <f t="shared" si="593"/>
        <v>0</v>
      </c>
      <c r="AL701" s="34">
        <f t="shared" si="594"/>
        <v>0</v>
      </c>
      <c r="AM701" s="34">
        <f t="shared" si="595"/>
        <v>0</v>
      </c>
      <c r="AN701" s="34">
        <f t="shared" si="596"/>
        <v>0</v>
      </c>
      <c r="AO701" s="34">
        <f t="shared" si="597"/>
        <v>0</v>
      </c>
      <c r="AP701" s="34">
        <f t="shared" si="598"/>
        <v>0</v>
      </c>
      <c r="AQ701" s="34">
        <f t="shared" si="599"/>
        <v>0</v>
      </c>
      <c r="AR701" s="34">
        <f t="shared" si="600"/>
        <v>0</v>
      </c>
      <c r="AS701" s="30">
        <f t="shared" si="601"/>
        <v>1.7823779214956936</v>
      </c>
      <c r="AT701" s="29">
        <f t="shared" si="602"/>
        <v>0</v>
      </c>
      <c r="AU701" s="29">
        <f t="shared" si="603"/>
        <v>0</v>
      </c>
      <c r="AV701" s="34">
        <f t="shared" si="604"/>
        <v>0</v>
      </c>
      <c r="AW701" s="34">
        <f t="shared" si="605"/>
        <v>0</v>
      </c>
      <c r="AX701" s="29">
        <f t="shared" si="606"/>
        <v>0</v>
      </c>
      <c r="AY701" s="34">
        <f t="shared" si="607"/>
        <v>0</v>
      </c>
      <c r="AZ701" s="37">
        <f t="shared" si="608"/>
        <v>0</v>
      </c>
      <c r="BA701" s="37">
        <f t="shared" si="609"/>
        <v>0</v>
      </c>
      <c r="BB701" s="35">
        <f t="shared" si="610"/>
        <v>1.1320910329637446E-3</v>
      </c>
      <c r="BC701" s="31">
        <f t="shared" si="611"/>
        <v>0.45447101594554001</v>
      </c>
      <c r="BD701" s="34">
        <f t="shared" si="612"/>
        <v>0</v>
      </c>
    </row>
    <row r="702" spans="1:56" x14ac:dyDescent="0.2">
      <c r="A702" s="27">
        <f t="shared" si="613"/>
        <v>698</v>
      </c>
      <c r="B702" s="28">
        <f t="shared" si="560"/>
        <v>698</v>
      </c>
      <c r="C702" s="27">
        <f t="shared" si="561"/>
        <v>58</v>
      </c>
      <c r="D702" s="28">
        <f t="shared" si="562"/>
        <v>78</v>
      </c>
      <c r="E702" s="29">
        <f t="shared" si="563"/>
        <v>0</v>
      </c>
      <c r="F702" s="30">
        <f t="shared" si="564"/>
        <v>1.221273099516532E-2</v>
      </c>
      <c r="G702" s="31">
        <f t="shared" si="565"/>
        <v>1.0234691636581417E-3</v>
      </c>
      <c r="H702" s="32">
        <f t="shared" si="566"/>
        <v>0.02</v>
      </c>
      <c r="I702" s="32">
        <f t="shared" si="567"/>
        <v>0</v>
      </c>
      <c r="J702" s="33">
        <f t="shared" si="614"/>
        <v>0</v>
      </c>
      <c r="K702" s="30">
        <f t="shared" si="568"/>
        <v>0</v>
      </c>
      <c r="L702" s="33">
        <f t="shared" si="569"/>
        <v>0</v>
      </c>
      <c r="M702" s="30">
        <f t="shared" si="570"/>
        <v>0</v>
      </c>
      <c r="N702" s="33">
        <f t="shared" si="571"/>
        <v>0</v>
      </c>
      <c r="O702" s="31">
        <f t="shared" si="572"/>
        <v>0</v>
      </c>
      <c r="P702" s="33">
        <f t="shared" si="573"/>
        <v>0</v>
      </c>
      <c r="Q702" s="34">
        <f t="shared" si="615"/>
        <v>825544.39680457895</v>
      </c>
      <c r="R702" s="29">
        <f t="shared" si="574"/>
        <v>0</v>
      </c>
      <c r="S702" s="34">
        <f t="shared" si="575"/>
        <v>825544.39680457895</v>
      </c>
      <c r="T702" s="29">
        <f t="shared" si="576"/>
        <v>687.95366400381579</v>
      </c>
      <c r="U702" s="29">
        <f t="shared" si="577"/>
        <v>0</v>
      </c>
      <c r="V702" s="35">
        <f t="shared" si="578"/>
        <v>1.125816080023956E-3</v>
      </c>
      <c r="W702" s="34">
        <f t="shared" si="579"/>
        <v>0</v>
      </c>
      <c r="X702" s="34">
        <f t="shared" si="580"/>
        <v>824856.44314057508</v>
      </c>
      <c r="Y702" s="36">
        <f t="shared" si="581"/>
        <v>6.735468935221478E-3</v>
      </c>
      <c r="Z702" s="34">
        <f t="shared" si="582"/>
        <v>5555.7949487906253</v>
      </c>
      <c r="AA702" s="34">
        <f t="shared" si="583"/>
        <v>827634.34061497042</v>
      </c>
      <c r="AB702" s="34">
        <f t="shared" si="584"/>
        <v>0</v>
      </c>
      <c r="AC702" s="34">
        <f t="shared" si="585"/>
        <v>0</v>
      </c>
      <c r="AD702" s="34">
        <f t="shared" si="586"/>
        <v>0</v>
      </c>
      <c r="AE702" s="34">
        <f t="shared" si="587"/>
        <v>0</v>
      </c>
      <c r="AF702" s="34">
        <f t="shared" si="588"/>
        <v>0</v>
      </c>
      <c r="AG702" s="29">
        <f t="shared" si="589"/>
        <v>827634.34061497042</v>
      </c>
      <c r="AH702" s="34">
        <f t="shared" si="590"/>
        <v>0</v>
      </c>
      <c r="AI702" s="34">
        <f t="shared" si="591"/>
        <v>0</v>
      </c>
      <c r="AJ702" s="34">
        <f t="shared" si="592"/>
        <v>0</v>
      </c>
      <c r="AK702" s="34">
        <f t="shared" si="593"/>
        <v>0</v>
      </c>
      <c r="AL702" s="34">
        <f t="shared" si="594"/>
        <v>0</v>
      </c>
      <c r="AM702" s="34">
        <f t="shared" si="595"/>
        <v>0</v>
      </c>
      <c r="AN702" s="34">
        <f t="shared" si="596"/>
        <v>0</v>
      </c>
      <c r="AO702" s="34">
        <f t="shared" si="597"/>
        <v>0</v>
      </c>
      <c r="AP702" s="34">
        <f t="shared" si="598"/>
        <v>0</v>
      </c>
      <c r="AQ702" s="34">
        <f t="shared" si="599"/>
        <v>0</v>
      </c>
      <c r="AR702" s="34">
        <f t="shared" si="600"/>
        <v>0</v>
      </c>
      <c r="AS702" s="30">
        <f t="shared" si="601"/>
        <v>1.7838564719157435</v>
      </c>
      <c r="AT702" s="29">
        <f t="shared" si="602"/>
        <v>0</v>
      </c>
      <c r="AU702" s="29">
        <f t="shared" si="603"/>
        <v>0</v>
      </c>
      <c r="AV702" s="34">
        <f t="shared" si="604"/>
        <v>0</v>
      </c>
      <c r="AW702" s="34">
        <f t="shared" si="605"/>
        <v>0</v>
      </c>
      <c r="AX702" s="29">
        <f t="shared" si="606"/>
        <v>0</v>
      </c>
      <c r="AY702" s="34">
        <f t="shared" si="607"/>
        <v>0</v>
      </c>
      <c r="AZ702" s="37">
        <f t="shared" si="608"/>
        <v>0</v>
      </c>
      <c r="BA702" s="37">
        <f t="shared" si="609"/>
        <v>0</v>
      </c>
      <c r="BB702" s="35">
        <f t="shared" si="610"/>
        <v>1.1320910329637446E-3</v>
      </c>
      <c r="BC702" s="31">
        <f t="shared" si="611"/>
        <v>0.45395709518872651</v>
      </c>
      <c r="BD702" s="34">
        <f t="shared" si="612"/>
        <v>0</v>
      </c>
    </row>
    <row r="703" spans="1:56" x14ac:dyDescent="0.2">
      <c r="A703" s="27">
        <f t="shared" si="613"/>
        <v>699</v>
      </c>
      <c r="B703" s="28">
        <f t="shared" si="560"/>
        <v>699</v>
      </c>
      <c r="C703" s="27">
        <f t="shared" si="561"/>
        <v>58</v>
      </c>
      <c r="D703" s="28">
        <f t="shared" si="562"/>
        <v>78</v>
      </c>
      <c r="E703" s="29">
        <f t="shared" si="563"/>
        <v>0</v>
      </c>
      <c r="F703" s="30">
        <f t="shared" si="564"/>
        <v>1.221273099516532E-2</v>
      </c>
      <c r="G703" s="31">
        <f t="shared" si="565"/>
        <v>1.0234691636581417E-3</v>
      </c>
      <c r="H703" s="32">
        <f t="shared" si="566"/>
        <v>0.02</v>
      </c>
      <c r="I703" s="32">
        <f t="shared" si="567"/>
        <v>0</v>
      </c>
      <c r="J703" s="33">
        <f t="shared" si="614"/>
        <v>0</v>
      </c>
      <c r="K703" s="30">
        <f t="shared" si="568"/>
        <v>0</v>
      </c>
      <c r="L703" s="33">
        <f t="shared" si="569"/>
        <v>0</v>
      </c>
      <c r="M703" s="30">
        <f t="shared" si="570"/>
        <v>0</v>
      </c>
      <c r="N703" s="33">
        <f t="shared" si="571"/>
        <v>0</v>
      </c>
      <c r="O703" s="31">
        <f t="shared" si="572"/>
        <v>0</v>
      </c>
      <c r="P703" s="33">
        <f t="shared" si="573"/>
        <v>0</v>
      </c>
      <c r="Q703" s="34">
        <f t="shared" si="615"/>
        <v>830412.23808936565</v>
      </c>
      <c r="R703" s="29">
        <f t="shared" si="574"/>
        <v>0</v>
      </c>
      <c r="S703" s="34">
        <f t="shared" si="575"/>
        <v>830412.23808936565</v>
      </c>
      <c r="T703" s="29">
        <f t="shared" si="576"/>
        <v>692.01019840780475</v>
      </c>
      <c r="U703" s="29">
        <f t="shared" si="577"/>
        <v>0</v>
      </c>
      <c r="V703" s="35">
        <f t="shared" si="578"/>
        <v>1.125816080023956E-3</v>
      </c>
      <c r="W703" s="34">
        <f t="shared" si="579"/>
        <v>0</v>
      </c>
      <c r="X703" s="34">
        <f t="shared" si="580"/>
        <v>829720.22789095785</v>
      </c>
      <c r="Y703" s="36">
        <f t="shared" si="581"/>
        <v>2.166276191418226E-2</v>
      </c>
      <c r="Z703" s="34">
        <f t="shared" si="582"/>
        <v>17974.031752182866</v>
      </c>
      <c r="AA703" s="34">
        <f t="shared" si="583"/>
        <v>838707.24376704928</v>
      </c>
      <c r="AB703" s="34">
        <f t="shared" si="584"/>
        <v>0</v>
      </c>
      <c r="AC703" s="34">
        <f t="shared" si="585"/>
        <v>0</v>
      </c>
      <c r="AD703" s="34">
        <f t="shared" si="586"/>
        <v>0</v>
      </c>
      <c r="AE703" s="34">
        <f t="shared" si="587"/>
        <v>0</v>
      </c>
      <c r="AF703" s="34">
        <f t="shared" si="588"/>
        <v>0</v>
      </c>
      <c r="AG703" s="29">
        <f t="shared" si="589"/>
        <v>838707.24376704928</v>
      </c>
      <c r="AH703" s="34">
        <f t="shared" si="590"/>
        <v>0</v>
      </c>
      <c r="AI703" s="34">
        <f t="shared" si="591"/>
        <v>0</v>
      </c>
      <c r="AJ703" s="34">
        <f t="shared" si="592"/>
        <v>0</v>
      </c>
      <c r="AK703" s="34">
        <f t="shared" si="593"/>
        <v>0</v>
      </c>
      <c r="AL703" s="34">
        <f t="shared" si="594"/>
        <v>0</v>
      </c>
      <c r="AM703" s="34">
        <f t="shared" si="595"/>
        <v>0</v>
      </c>
      <c r="AN703" s="34">
        <f t="shared" si="596"/>
        <v>0</v>
      </c>
      <c r="AO703" s="34">
        <f t="shared" si="597"/>
        <v>0</v>
      </c>
      <c r="AP703" s="34">
        <f t="shared" si="598"/>
        <v>0</v>
      </c>
      <c r="AQ703" s="34">
        <f t="shared" si="599"/>
        <v>0</v>
      </c>
      <c r="AR703" s="34">
        <f t="shared" si="600"/>
        <v>0</v>
      </c>
      <c r="AS703" s="30">
        <f t="shared" si="601"/>
        <v>1.7853362488497209</v>
      </c>
      <c r="AT703" s="29">
        <f t="shared" si="602"/>
        <v>0</v>
      </c>
      <c r="AU703" s="29">
        <f t="shared" si="603"/>
        <v>0</v>
      </c>
      <c r="AV703" s="34">
        <f t="shared" si="604"/>
        <v>0</v>
      </c>
      <c r="AW703" s="34">
        <f t="shared" si="605"/>
        <v>0</v>
      </c>
      <c r="AX703" s="29">
        <f t="shared" si="606"/>
        <v>0</v>
      </c>
      <c r="AY703" s="34">
        <f t="shared" si="607"/>
        <v>0</v>
      </c>
      <c r="AZ703" s="37">
        <f t="shared" si="608"/>
        <v>0</v>
      </c>
      <c r="BA703" s="37">
        <f t="shared" si="609"/>
        <v>0</v>
      </c>
      <c r="BB703" s="35">
        <f t="shared" si="610"/>
        <v>1.1320910329637446E-3</v>
      </c>
      <c r="BC703" s="31">
        <f t="shared" si="611"/>
        <v>0.45344375557908212</v>
      </c>
      <c r="BD703" s="34">
        <f t="shared" si="612"/>
        <v>0</v>
      </c>
    </row>
    <row r="704" spans="1:56" x14ac:dyDescent="0.2">
      <c r="A704" s="27">
        <f t="shared" si="613"/>
        <v>700</v>
      </c>
      <c r="B704" s="28">
        <f t="shared" si="560"/>
        <v>700</v>
      </c>
      <c r="C704" s="27">
        <f t="shared" si="561"/>
        <v>58</v>
      </c>
      <c r="D704" s="28">
        <f t="shared" si="562"/>
        <v>78</v>
      </c>
      <c r="E704" s="29">
        <f t="shared" si="563"/>
        <v>0</v>
      </c>
      <c r="F704" s="30">
        <f t="shared" si="564"/>
        <v>1.221273099516532E-2</v>
      </c>
      <c r="G704" s="31">
        <f t="shared" si="565"/>
        <v>1.0234691636581417E-3</v>
      </c>
      <c r="H704" s="32">
        <f t="shared" si="566"/>
        <v>0.02</v>
      </c>
      <c r="I704" s="32">
        <f t="shared" si="567"/>
        <v>0</v>
      </c>
      <c r="J704" s="33">
        <f t="shared" si="614"/>
        <v>0</v>
      </c>
      <c r="K704" s="30">
        <f t="shared" si="568"/>
        <v>0</v>
      </c>
      <c r="L704" s="33">
        <f t="shared" si="569"/>
        <v>0</v>
      </c>
      <c r="M704" s="30">
        <f t="shared" si="570"/>
        <v>0</v>
      </c>
      <c r="N704" s="33">
        <f t="shared" si="571"/>
        <v>0</v>
      </c>
      <c r="O704" s="31">
        <f t="shared" si="572"/>
        <v>0</v>
      </c>
      <c r="P704" s="33">
        <f t="shared" si="573"/>
        <v>0</v>
      </c>
      <c r="Q704" s="34">
        <f t="shared" si="615"/>
        <v>847694.25964314071</v>
      </c>
      <c r="R704" s="29">
        <f t="shared" si="574"/>
        <v>0</v>
      </c>
      <c r="S704" s="34">
        <f t="shared" si="575"/>
        <v>847694.25964314071</v>
      </c>
      <c r="T704" s="29">
        <f t="shared" si="576"/>
        <v>706.41188303595061</v>
      </c>
      <c r="U704" s="29">
        <f t="shared" si="577"/>
        <v>0</v>
      </c>
      <c r="V704" s="35">
        <f t="shared" si="578"/>
        <v>1.125816080023956E-3</v>
      </c>
      <c r="W704" s="34">
        <f t="shared" si="579"/>
        <v>0</v>
      </c>
      <c r="X704" s="34">
        <f t="shared" si="580"/>
        <v>846987.84776010481</v>
      </c>
      <c r="Y704" s="36">
        <f t="shared" si="581"/>
        <v>-2.3442953133254729E-3</v>
      </c>
      <c r="Z704" s="34">
        <f t="shared" si="582"/>
        <v>-1985.5896419476428</v>
      </c>
      <c r="AA704" s="34">
        <f t="shared" si="583"/>
        <v>845995.05293913104</v>
      </c>
      <c r="AB704" s="34">
        <f t="shared" si="584"/>
        <v>0</v>
      </c>
      <c r="AC704" s="34">
        <f t="shared" si="585"/>
        <v>0</v>
      </c>
      <c r="AD704" s="34">
        <f t="shared" si="586"/>
        <v>0</v>
      </c>
      <c r="AE704" s="34">
        <f t="shared" si="587"/>
        <v>0</v>
      </c>
      <c r="AF704" s="34">
        <f t="shared" si="588"/>
        <v>0</v>
      </c>
      <c r="AG704" s="29">
        <f t="shared" si="589"/>
        <v>845995.05293913104</v>
      </c>
      <c r="AH704" s="34">
        <f t="shared" si="590"/>
        <v>0</v>
      </c>
      <c r="AI704" s="34">
        <f t="shared" si="591"/>
        <v>0</v>
      </c>
      <c r="AJ704" s="34">
        <f t="shared" si="592"/>
        <v>0</v>
      </c>
      <c r="AK704" s="34">
        <f t="shared" si="593"/>
        <v>0</v>
      </c>
      <c r="AL704" s="34">
        <f t="shared" si="594"/>
        <v>0</v>
      </c>
      <c r="AM704" s="34">
        <f t="shared" si="595"/>
        <v>0</v>
      </c>
      <c r="AN704" s="34">
        <f t="shared" si="596"/>
        <v>0</v>
      </c>
      <c r="AO704" s="34">
        <f t="shared" si="597"/>
        <v>0</v>
      </c>
      <c r="AP704" s="34">
        <f t="shared" si="598"/>
        <v>0</v>
      </c>
      <c r="AQ704" s="34">
        <f t="shared" si="599"/>
        <v>0</v>
      </c>
      <c r="AR704" s="34">
        <f t="shared" si="600"/>
        <v>0</v>
      </c>
      <c r="AS704" s="30">
        <f t="shared" si="601"/>
        <v>1.7868172533150659</v>
      </c>
      <c r="AT704" s="29">
        <f t="shared" si="602"/>
        <v>0</v>
      </c>
      <c r="AU704" s="29">
        <f t="shared" si="603"/>
        <v>0</v>
      </c>
      <c r="AV704" s="34">
        <f t="shared" si="604"/>
        <v>0</v>
      </c>
      <c r="AW704" s="34">
        <f t="shared" si="605"/>
        <v>0</v>
      </c>
      <c r="AX704" s="29">
        <f t="shared" si="606"/>
        <v>0</v>
      </c>
      <c r="AY704" s="34">
        <f t="shared" si="607"/>
        <v>0</v>
      </c>
      <c r="AZ704" s="37">
        <f t="shared" si="608"/>
        <v>0</v>
      </c>
      <c r="BA704" s="37">
        <f t="shared" si="609"/>
        <v>0</v>
      </c>
      <c r="BB704" s="35">
        <f t="shared" si="610"/>
        <v>1.1320910329637446E-3</v>
      </c>
      <c r="BC704" s="31">
        <f t="shared" si="611"/>
        <v>0.45293099645943902</v>
      </c>
      <c r="BD704" s="34">
        <f t="shared" si="612"/>
        <v>0</v>
      </c>
    </row>
    <row r="705" spans="1:56" x14ac:dyDescent="0.2">
      <c r="A705" s="27">
        <f t="shared" si="613"/>
        <v>701</v>
      </c>
      <c r="B705" s="28">
        <f t="shared" si="560"/>
        <v>701</v>
      </c>
      <c r="C705" s="27">
        <f t="shared" si="561"/>
        <v>58</v>
      </c>
      <c r="D705" s="28">
        <f t="shared" si="562"/>
        <v>78</v>
      </c>
      <c r="E705" s="29">
        <f t="shared" si="563"/>
        <v>0</v>
      </c>
      <c r="F705" s="30">
        <f t="shared" si="564"/>
        <v>1.221273099516532E-2</v>
      </c>
      <c r="G705" s="31">
        <f t="shared" si="565"/>
        <v>1.0234691636581417E-3</v>
      </c>
      <c r="H705" s="32">
        <f t="shared" si="566"/>
        <v>0.02</v>
      </c>
      <c r="I705" s="32">
        <f t="shared" si="567"/>
        <v>0</v>
      </c>
      <c r="J705" s="33">
        <f t="shared" si="614"/>
        <v>0</v>
      </c>
      <c r="K705" s="30">
        <f t="shared" si="568"/>
        <v>0</v>
      </c>
      <c r="L705" s="33">
        <f t="shared" si="569"/>
        <v>0</v>
      </c>
      <c r="M705" s="30">
        <f t="shared" si="570"/>
        <v>0</v>
      </c>
      <c r="N705" s="33">
        <f t="shared" si="571"/>
        <v>0</v>
      </c>
      <c r="O705" s="31">
        <f t="shared" si="572"/>
        <v>0</v>
      </c>
      <c r="P705" s="33">
        <f t="shared" si="573"/>
        <v>0</v>
      </c>
      <c r="Q705" s="34">
        <f t="shared" si="615"/>
        <v>845002.25811815716</v>
      </c>
      <c r="R705" s="29">
        <f t="shared" si="574"/>
        <v>0</v>
      </c>
      <c r="S705" s="34">
        <f t="shared" si="575"/>
        <v>845002.25811815716</v>
      </c>
      <c r="T705" s="29">
        <f t="shared" si="576"/>
        <v>704.16854843179772</v>
      </c>
      <c r="U705" s="29">
        <f t="shared" si="577"/>
        <v>0</v>
      </c>
      <c r="V705" s="35">
        <f t="shared" si="578"/>
        <v>1.125816080023956E-3</v>
      </c>
      <c r="W705" s="34">
        <f t="shared" si="579"/>
        <v>0</v>
      </c>
      <c r="X705" s="34">
        <f t="shared" si="580"/>
        <v>844298.08956972533</v>
      </c>
      <c r="Y705" s="36">
        <f t="shared" si="581"/>
        <v>-3.5664829055248592E-3</v>
      </c>
      <c r="Z705" s="34">
        <f t="shared" si="582"/>
        <v>-3011.1747036177217</v>
      </c>
      <c r="AA705" s="34">
        <f t="shared" si="583"/>
        <v>842792.50221791642</v>
      </c>
      <c r="AB705" s="34">
        <f t="shared" si="584"/>
        <v>0</v>
      </c>
      <c r="AC705" s="34">
        <f t="shared" si="585"/>
        <v>0</v>
      </c>
      <c r="AD705" s="34">
        <f t="shared" si="586"/>
        <v>0</v>
      </c>
      <c r="AE705" s="34">
        <f t="shared" si="587"/>
        <v>0</v>
      </c>
      <c r="AF705" s="34">
        <f t="shared" si="588"/>
        <v>0</v>
      </c>
      <c r="AG705" s="29">
        <f t="shared" si="589"/>
        <v>842792.50221791642</v>
      </c>
      <c r="AH705" s="34">
        <f t="shared" si="590"/>
        <v>0</v>
      </c>
      <c r="AI705" s="34">
        <f t="shared" si="591"/>
        <v>0</v>
      </c>
      <c r="AJ705" s="34">
        <f t="shared" si="592"/>
        <v>0</v>
      </c>
      <c r="AK705" s="34">
        <f t="shared" si="593"/>
        <v>0</v>
      </c>
      <c r="AL705" s="34">
        <f t="shared" si="594"/>
        <v>0</v>
      </c>
      <c r="AM705" s="34">
        <f t="shared" si="595"/>
        <v>0</v>
      </c>
      <c r="AN705" s="34">
        <f t="shared" si="596"/>
        <v>0</v>
      </c>
      <c r="AO705" s="34">
        <f t="shared" si="597"/>
        <v>0</v>
      </c>
      <c r="AP705" s="34">
        <f t="shared" si="598"/>
        <v>0</v>
      </c>
      <c r="AQ705" s="34">
        <f t="shared" si="599"/>
        <v>0</v>
      </c>
      <c r="AR705" s="34">
        <f t="shared" si="600"/>
        <v>0</v>
      </c>
      <c r="AS705" s="30">
        <f t="shared" si="601"/>
        <v>1.7882994863300621</v>
      </c>
      <c r="AT705" s="29">
        <f t="shared" si="602"/>
        <v>0</v>
      </c>
      <c r="AU705" s="29">
        <f t="shared" si="603"/>
        <v>0</v>
      </c>
      <c r="AV705" s="34">
        <f t="shared" si="604"/>
        <v>0</v>
      </c>
      <c r="AW705" s="34">
        <f t="shared" si="605"/>
        <v>0</v>
      </c>
      <c r="AX705" s="29">
        <f t="shared" si="606"/>
        <v>0</v>
      </c>
      <c r="AY705" s="34">
        <f t="shared" si="607"/>
        <v>0</v>
      </c>
      <c r="AZ705" s="37">
        <f t="shared" si="608"/>
        <v>0</v>
      </c>
      <c r="BA705" s="37">
        <f t="shared" si="609"/>
        <v>0</v>
      </c>
      <c r="BB705" s="35">
        <f t="shared" si="610"/>
        <v>1.1320910329637446E-3</v>
      </c>
      <c r="BC705" s="31">
        <f t="shared" si="611"/>
        <v>0.4524188171733729</v>
      </c>
      <c r="BD705" s="34">
        <f t="shared" si="612"/>
        <v>0</v>
      </c>
    </row>
    <row r="706" spans="1:56" x14ac:dyDescent="0.2">
      <c r="A706" s="27">
        <f t="shared" si="613"/>
        <v>702</v>
      </c>
      <c r="B706" s="28">
        <f t="shared" si="560"/>
        <v>702</v>
      </c>
      <c r="C706" s="27">
        <f t="shared" si="561"/>
        <v>58</v>
      </c>
      <c r="D706" s="28">
        <f t="shared" si="562"/>
        <v>78</v>
      </c>
      <c r="E706" s="29">
        <f t="shared" si="563"/>
        <v>0</v>
      </c>
      <c r="F706" s="30">
        <f t="shared" si="564"/>
        <v>1.221273099516532E-2</v>
      </c>
      <c r="G706" s="31">
        <f t="shared" si="565"/>
        <v>1.0234691636581417E-3</v>
      </c>
      <c r="H706" s="32">
        <f t="shared" si="566"/>
        <v>0.02</v>
      </c>
      <c r="I706" s="32">
        <f t="shared" si="567"/>
        <v>0</v>
      </c>
      <c r="J706" s="33">
        <f t="shared" si="614"/>
        <v>0</v>
      </c>
      <c r="K706" s="30">
        <f t="shared" si="568"/>
        <v>0</v>
      </c>
      <c r="L706" s="33">
        <f t="shared" si="569"/>
        <v>0</v>
      </c>
      <c r="M706" s="30">
        <f t="shared" si="570"/>
        <v>0</v>
      </c>
      <c r="N706" s="33">
        <f t="shared" si="571"/>
        <v>0</v>
      </c>
      <c r="O706" s="31">
        <f t="shared" si="572"/>
        <v>0</v>
      </c>
      <c r="P706" s="33">
        <f t="shared" si="573"/>
        <v>0</v>
      </c>
      <c r="Q706" s="34">
        <f t="shared" si="615"/>
        <v>841286.91486610763</v>
      </c>
      <c r="R706" s="29">
        <f t="shared" si="574"/>
        <v>0</v>
      </c>
      <c r="S706" s="34">
        <f t="shared" si="575"/>
        <v>841286.91486610763</v>
      </c>
      <c r="T706" s="29">
        <f t="shared" si="576"/>
        <v>701.07242905508974</v>
      </c>
      <c r="U706" s="29">
        <f t="shared" si="577"/>
        <v>0</v>
      </c>
      <c r="V706" s="35">
        <f t="shared" si="578"/>
        <v>1.125816080023956E-3</v>
      </c>
      <c r="W706" s="34">
        <f t="shared" si="579"/>
        <v>0</v>
      </c>
      <c r="X706" s="34">
        <f t="shared" si="580"/>
        <v>840585.84243705252</v>
      </c>
      <c r="Y706" s="36">
        <f t="shared" si="581"/>
        <v>-1.27409247675635E-2</v>
      </c>
      <c r="Z706" s="34">
        <f t="shared" si="582"/>
        <v>-10709.840979169472</v>
      </c>
      <c r="AA706" s="34">
        <f t="shared" si="583"/>
        <v>835230.92194746784</v>
      </c>
      <c r="AB706" s="34">
        <f t="shared" si="584"/>
        <v>0</v>
      </c>
      <c r="AC706" s="34">
        <f t="shared" si="585"/>
        <v>0</v>
      </c>
      <c r="AD706" s="34">
        <f t="shared" si="586"/>
        <v>0</v>
      </c>
      <c r="AE706" s="34">
        <f t="shared" si="587"/>
        <v>0</v>
      </c>
      <c r="AF706" s="34">
        <f t="shared" si="588"/>
        <v>0</v>
      </c>
      <c r="AG706" s="29">
        <f t="shared" si="589"/>
        <v>835230.92194746784</v>
      </c>
      <c r="AH706" s="34">
        <f t="shared" si="590"/>
        <v>0</v>
      </c>
      <c r="AI706" s="34">
        <f t="shared" si="591"/>
        <v>0</v>
      </c>
      <c r="AJ706" s="34">
        <f t="shared" si="592"/>
        <v>0</v>
      </c>
      <c r="AK706" s="34">
        <f t="shared" si="593"/>
        <v>0</v>
      </c>
      <c r="AL706" s="34">
        <f t="shared" si="594"/>
        <v>0</v>
      </c>
      <c r="AM706" s="34">
        <f t="shared" si="595"/>
        <v>0</v>
      </c>
      <c r="AN706" s="34">
        <f t="shared" si="596"/>
        <v>0</v>
      </c>
      <c r="AO706" s="34">
        <f t="shared" si="597"/>
        <v>0</v>
      </c>
      <c r="AP706" s="34">
        <f t="shared" si="598"/>
        <v>0</v>
      </c>
      <c r="AQ706" s="34">
        <f t="shared" si="599"/>
        <v>0</v>
      </c>
      <c r="AR706" s="34">
        <f t="shared" si="600"/>
        <v>0</v>
      </c>
      <c r="AS706" s="30">
        <f t="shared" si="601"/>
        <v>1.7897829489138386</v>
      </c>
      <c r="AT706" s="29">
        <f t="shared" si="602"/>
        <v>0</v>
      </c>
      <c r="AU706" s="29">
        <f t="shared" si="603"/>
        <v>0</v>
      </c>
      <c r="AV706" s="34">
        <f t="shared" si="604"/>
        <v>0</v>
      </c>
      <c r="AW706" s="34">
        <f t="shared" si="605"/>
        <v>0</v>
      </c>
      <c r="AX706" s="29">
        <f t="shared" si="606"/>
        <v>0</v>
      </c>
      <c r="AY706" s="34">
        <f t="shared" si="607"/>
        <v>0</v>
      </c>
      <c r="AZ706" s="37">
        <f t="shared" si="608"/>
        <v>0</v>
      </c>
      <c r="BA706" s="37">
        <f t="shared" si="609"/>
        <v>0</v>
      </c>
      <c r="BB706" s="35">
        <f t="shared" si="610"/>
        <v>1.1320910329637446E-3</v>
      </c>
      <c r="BC706" s="31">
        <f t="shared" si="611"/>
        <v>0.45190721706520171</v>
      </c>
      <c r="BD706" s="34">
        <f t="shared" si="612"/>
        <v>0</v>
      </c>
    </row>
    <row r="707" spans="1:56" x14ac:dyDescent="0.2">
      <c r="A707" s="27">
        <f t="shared" si="613"/>
        <v>703</v>
      </c>
      <c r="B707" s="28">
        <f t="shared" si="560"/>
        <v>703</v>
      </c>
      <c r="C707" s="27">
        <f t="shared" si="561"/>
        <v>58</v>
      </c>
      <c r="D707" s="28">
        <f t="shared" si="562"/>
        <v>78</v>
      </c>
      <c r="E707" s="29">
        <f t="shared" si="563"/>
        <v>0</v>
      </c>
      <c r="F707" s="30">
        <f t="shared" si="564"/>
        <v>1.221273099516532E-2</v>
      </c>
      <c r="G707" s="31">
        <f t="shared" si="565"/>
        <v>1.0234691636581417E-3</v>
      </c>
      <c r="H707" s="32">
        <f t="shared" si="566"/>
        <v>0.02</v>
      </c>
      <c r="I707" s="32">
        <f t="shared" si="567"/>
        <v>0</v>
      </c>
      <c r="J707" s="33">
        <f t="shared" si="614"/>
        <v>0</v>
      </c>
      <c r="K707" s="30">
        <f t="shared" si="568"/>
        <v>0</v>
      </c>
      <c r="L707" s="33">
        <f t="shared" si="569"/>
        <v>0</v>
      </c>
      <c r="M707" s="30">
        <f t="shared" si="570"/>
        <v>0</v>
      </c>
      <c r="N707" s="33">
        <f t="shared" si="571"/>
        <v>0</v>
      </c>
      <c r="O707" s="31">
        <f t="shared" si="572"/>
        <v>0</v>
      </c>
      <c r="P707" s="33">
        <f t="shared" si="573"/>
        <v>0</v>
      </c>
      <c r="Q707" s="34">
        <f t="shared" si="615"/>
        <v>829876.00145788305</v>
      </c>
      <c r="R707" s="29">
        <f t="shared" si="574"/>
        <v>0</v>
      </c>
      <c r="S707" s="34">
        <f t="shared" si="575"/>
        <v>829876.00145788305</v>
      </c>
      <c r="T707" s="29">
        <f t="shared" si="576"/>
        <v>691.56333454823596</v>
      </c>
      <c r="U707" s="29">
        <f t="shared" si="577"/>
        <v>0</v>
      </c>
      <c r="V707" s="35">
        <f t="shared" si="578"/>
        <v>1.125816080023956E-3</v>
      </c>
      <c r="W707" s="34">
        <f t="shared" si="579"/>
        <v>0</v>
      </c>
      <c r="X707" s="34">
        <f t="shared" si="580"/>
        <v>829184.43812333478</v>
      </c>
      <c r="Y707" s="36">
        <f t="shared" si="581"/>
        <v>5.4979238859420576E-4</v>
      </c>
      <c r="Z707" s="34">
        <f t="shared" si="582"/>
        <v>455.87929282097264</v>
      </c>
      <c r="AA707" s="34">
        <f t="shared" si="583"/>
        <v>829412.3777697453</v>
      </c>
      <c r="AB707" s="34">
        <f t="shared" si="584"/>
        <v>0</v>
      </c>
      <c r="AC707" s="34">
        <f t="shared" si="585"/>
        <v>0</v>
      </c>
      <c r="AD707" s="34">
        <f t="shared" si="586"/>
        <v>0</v>
      </c>
      <c r="AE707" s="34">
        <f t="shared" si="587"/>
        <v>0</v>
      </c>
      <c r="AF707" s="34">
        <f t="shared" si="588"/>
        <v>0</v>
      </c>
      <c r="AG707" s="29">
        <f t="shared" si="589"/>
        <v>829412.3777697453</v>
      </c>
      <c r="AH707" s="34">
        <f t="shared" si="590"/>
        <v>0</v>
      </c>
      <c r="AI707" s="34">
        <f t="shared" si="591"/>
        <v>0</v>
      </c>
      <c r="AJ707" s="34">
        <f t="shared" si="592"/>
        <v>0</v>
      </c>
      <c r="AK707" s="34">
        <f t="shared" si="593"/>
        <v>0</v>
      </c>
      <c r="AL707" s="34">
        <f t="shared" si="594"/>
        <v>0</v>
      </c>
      <c r="AM707" s="34">
        <f t="shared" si="595"/>
        <v>0</v>
      </c>
      <c r="AN707" s="34">
        <f t="shared" si="596"/>
        <v>0</v>
      </c>
      <c r="AO707" s="34">
        <f t="shared" si="597"/>
        <v>0</v>
      </c>
      <c r="AP707" s="34">
        <f t="shared" si="598"/>
        <v>0</v>
      </c>
      <c r="AQ707" s="34">
        <f t="shared" si="599"/>
        <v>0</v>
      </c>
      <c r="AR707" s="34">
        <f t="shared" si="600"/>
        <v>0</v>
      </c>
      <c r="AS707" s="30">
        <f t="shared" si="601"/>
        <v>1.7912676420863696</v>
      </c>
      <c r="AT707" s="29">
        <f t="shared" si="602"/>
        <v>0</v>
      </c>
      <c r="AU707" s="29">
        <f t="shared" si="603"/>
        <v>0</v>
      </c>
      <c r="AV707" s="34">
        <f t="shared" si="604"/>
        <v>0</v>
      </c>
      <c r="AW707" s="34">
        <f t="shared" si="605"/>
        <v>0</v>
      </c>
      <c r="AX707" s="29">
        <f t="shared" si="606"/>
        <v>0</v>
      </c>
      <c r="AY707" s="34">
        <f t="shared" si="607"/>
        <v>0</v>
      </c>
      <c r="AZ707" s="37">
        <f t="shared" si="608"/>
        <v>0</v>
      </c>
      <c r="BA707" s="37">
        <f t="shared" si="609"/>
        <v>0</v>
      </c>
      <c r="BB707" s="35">
        <f t="shared" si="610"/>
        <v>1.1320910329637446E-3</v>
      </c>
      <c r="BC707" s="31">
        <f t="shared" si="611"/>
        <v>0.45139619547998511</v>
      </c>
      <c r="BD707" s="34">
        <f t="shared" si="612"/>
        <v>0</v>
      </c>
    </row>
    <row r="708" spans="1:56" x14ac:dyDescent="0.2">
      <c r="A708" s="27">
        <f t="shared" si="613"/>
        <v>704</v>
      </c>
      <c r="B708" s="28">
        <f t="shared" ref="B708:B771" si="616">Duration0+A708</f>
        <v>704</v>
      </c>
      <c r="C708" s="27">
        <f t="shared" ref="C708:C771" si="617">INT(B708/12)</f>
        <v>58</v>
      </c>
      <c r="D708" s="28">
        <f t="shared" ref="D708:D771" si="618">AgeAtEntry+C708</f>
        <v>78</v>
      </c>
      <c r="E708" s="29">
        <f t="shared" ref="E708:E771" si="619">IF(PremiumType="SINGLE",IF(B708=0,PremiumPPInput,0),IF(B708&lt;12*PolicyTerm,PremiumPPInput,0))</f>
        <v>0</v>
      </c>
      <c r="F708" s="30">
        <f t="shared" ref="F708:F771" si="620">INDEX(MortRates,MATCH(MIN(D708,120),MortAges,0),MAX(MIN(C708,5),0)+1)</f>
        <v>1.221273099516532E-2</v>
      </c>
      <c r="G708" s="31">
        <f t="shared" ref="G708:G771" si="621">1-(1-F708)^(1/12)</f>
        <v>1.0234691636581417E-3</v>
      </c>
      <c r="H708" s="32">
        <f t="shared" ref="H708:H771" si="622">MAX(LapseBase-LapseStep*C708,LapseFloor)</f>
        <v>0.02</v>
      </c>
      <c r="I708" s="32">
        <f t="shared" ref="I708:I771" si="623">IF(HasSurrCharge,INDEX(SurrRates,MIN(C708,SurrDurMax)+1,MATCH(SurrChargeID,SurrTypes,0)),0)</f>
        <v>0</v>
      </c>
      <c r="J708" s="33">
        <f t="shared" si="614"/>
        <v>0</v>
      </c>
      <c r="K708" s="30">
        <f t="shared" ref="K708:K771" si="624">IF(B708=12*PolicyTerm,J708,0)</f>
        <v>0</v>
      </c>
      <c r="L708" s="33">
        <f t="shared" ref="L708:L771" si="625">J708-K708</f>
        <v>0</v>
      </c>
      <c r="M708" s="30">
        <f t="shared" ref="M708:M771" si="626">IF(B708=0,PolicyCount,0)</f>
        <v>0</v>
      </c>
      <c r="N708" s="33">
        <f t="shared" ref="N708:N771" si="627">L708+M708</f>
        <v>0</v>
      </c>
      <c r="O708" s="31">
        <f t="shared" ref="O708:O771" si="628">N708*G708</f>
        <v>0</v>
      </c>
      <c r="P708" s="33">
        <f t="shared" ref="P708:P771" si="629">(N708-O708)*(1-(1-H708)^(1/12))</f>
        <v>0</v>
      </c>
      <c r="Q708" s="34">
        <f t="shared" si="615"/>
        <v>829640.31741615571</v>
      </c>
      <c r="R708" s="29">
        <f t="shared" ref="R708:R771" si="630">(1-LoadPremRate)*E708</f>
        <v>0</v>
      </c>
      <c r="S708" s="34">
        <f t="shared" ref="S708:S771" si="631">Q708+R708</f>
        <v>829640.31741615571</v>
      </c>
      <c r="T708" s="29">
        <f t="shared" ref="T708:T771" si="632">MaintFeeRateAnn/12*S708</f>
        <v>691.36693118012977</v>
      </c>
      <c r="U708" s="29">
        <f t="shared" ref="U708:U771" si="633">MAX(SumAssured-S708,0)</f>
        <v>0</v>
      </c>
      <c r="V708" s="35">
        <f t="shared" ref="V708:V771" si="634">CoiMultiple*G708</f>
        <v>1.125816080023956E-3</v>
      </c>
      <c r="W708" s="34">
        <f t="shared" ref="W708:W771" si="635">V708*U708</f>
        <v>0</v>
      </c>
      <c r="X708" s="34">
        <f t="shared" ref="X708:X771" si="636">S708-T708-W708</f>
        <v>828948.95048497559</v>
      </c>
      <c r="Y708" s="36">
        <f t="shared" ref="Y708:Y771" si="637">EXP((Mu-0.5*Sigma^2)/12+Sigma*SQRT(1/12)*INDEX(NormRand,ScenID,A708+1))-1</f>
        <v>2.0480199505082508E-2</v>
      </c>
      <c r="Z708" s="34">
        <f t="shared" ref="Z708:Z771" si="638">Y708*X708</f>
        <v>16977.039885461061</v>
      </c>
      <c r="AA708" s="34">
        <f t="shared" ref="AA708:AA771" si="639">X708+0.5*Z708</f>
        <v>837437.47042770614</v>
      </c>
      <c r="AB708" s="34">
        <f t="shared" ref="AB708:AB771" si="640">Q708*J708</f>
        <v>0</v>
      </c>
      <c r="AC708" s="34">
        <f t="shared" ref="AC708:AC771" si="641">Q708*L708</f>
        <v>0</v>
      </c>
      <c r="AD708" s="34">
        <f t="shared" ref="AD708:AD771" si="642">S708*N708</f>
        <v>0</v>
      </c>
      <c r="AE708" s="34">
        <f t="shared" ref="AE708:AE771" si="643">E708*N708</f>
        <v>0</v>
      </c>
      <c r="AF708" s="34">
        <f t="shared" ref="AF708:AF771" si="644">R708*N708</f>
        <v>0</v>
      </c>
      <c r="AG708" s="29">
        <f t="shared" ref="AG708:AG771" si="645">MAX(SumAssured,AA708)</f>
        <v>837437.47042770614</v>
      </c>
      <c r="AH708" s="34">
        <f t="shared" ref="AH708:AH771" si="646">AG708*O708</f>
        <v>0</v>
      </c>
      <c r="AI708" s="34">
        <f t="shared" ref="AI708:AI771" si="647">AA708*O708</f>
        <v>0</v>
      </c>
      <c r="AJ708" s="34">
        <f t="shared" ref="AJ708:AJ771" si="648">AA708*P708</f>
        <v>0</v>
      </c>
      <c r="AK708" s="34">
        <f t="shared" ref="AK708:AK771" si="649">I708*AA708*P708</f>
        <v>0</v>
      </c>
      <c r="AL708" s="34">
        <f t="shared" ref="AL708:AL771" si="650">AJ708-AK708</f>
        <v>0</v>
      </c>
      <c r="AM708" s="34">
        <f t="shared" ref="AM708:AM771" si="651">Q708*K708</f>
        <v>0</v>
      </c>
      <c r="AN708" s="34">
        <f t="shared" ref="AN708:AN771" si="652">AH708+AL708+AM708</f>
        <v>0</v>
      </c>
      <c r="AO708" s="34">
        <f t="shared" ref="AO708:AO771" si="653">(AG708-AA708)*O708</f>
        <v>0</v>
      </c>
      <c r="AP708" s="34">
        <f t="shared" ref="AP708:AP771" si="654">W708*N708</f>
        <v>0</v>
      </c>
      <c r="AQ708" s="34">
        <f t="shared" ref="AQ708:AQ771" si="655">T708*N708</f>
        <v>0</v>
      </c>
      <c r="AR708" s="34">
        <f t="shared" ref="AR708:AR771" si="656">Z708*J709+0.5*Z708*(O708+P708)</f>
        <v>0</v>
      </c>
      <c r="AS708" s="30">
        <f t="shared" ref="AS708:AS771" si="657">(1+InflationRate)^(A708/12)</f>
        <v>1.7927535668684753</v>
      </c>
      <c r="AT708" s="29">
        <f t="shared" ref="AT708:AT771" si="658">ExpenseAcq*M708+N708*ExpenseMaint/12*AS708</f>
        <v>0</v>
      </c>
      <c r="AU708" s="29">
        <f t="shared" ref="AU708:AU771" si="659">CommissionRate*AE708</f>
        <v>0</v>
      </c>
      <c r="AV708" s="34">
        <f t="shared" ref="AV708:AV771" si="660">AB709-AB708</f>
        <v>0</v>
      </c>
      <c r="AW708" s="34">
        <f t="shared" ref="AW708:AW771" si="661">AE708+AR708-AN708-AT708-AU708-AV708</f>
        <v>0</v>
      </c>
      <c r="AX708" s="29">
        <f t="shared" ref="AX708:AX771" si="662">LoadPremRate*E708*N708+AK708+AQ708-AU708-AT708</f>
        <v>0</v>
      </c>
      <c r="AY708" s="34">
        <f t="shared" ref="AY708:AY771" si="663">AP708-AO708</f>
        <v>0</v>
      </c>
      <c r="AZ708" s="37">
        <f t="shared" ref="AZ708:AZ771" si="664">(AW708-AX708-AY708)/MAX(1,ABS(AW708),ABS(AX708),ABS(AY708))</f>
        <v>0</v>
      </c>
      <c r="BA708" s="37">
        <f t="shared" ref="BA708:BA771" si="665">IF(OR(K708&gt;0,K709&gt;0),0,(AC709-(AC708+AF708-AQ708-AP708+AR708-AI708-AJ708-AM708))/MAX(1,ABS(AC708),ABS(AC709)))</f>
        <v>0</v>
      </c>
      <c r="BB708" s="35">
        <f t="shared" ref="BB708:BB771" si="666">(1+INDEX(DiscRateAnn,INT(A708/12)+1))^(1/12)-1</f>
        <v>1.1320910329637446E-3</v>
      </c>
      <c r="BC708" s="31">
        <f t="shared" ref="BC708:BC771" si="667">(1+BB708)^-A708</f>
        <v>0.45088575176352247</v>
      </c>
      <c r="BD708" s="34">
        <f t="shared" ref="BD708:BD771" si="668">AW708*BC708</f>
        <v>0</v>
      </c>
    </row>
    <row r="709" spans="1:56" x14ac:dyDescent="0.2">
      <c r="A709" s="27">
        <f t="shared" ref="A709:A772" si="669">A708+1</f>
        <v>705</v>
      </c>
      <c r="B709" s="28">
        <f t="shared" si="616"/>
        <v>705</v>
      </c>
      <c r="C709" s="27">
        <f t="shared" si="617"/>
        <v>58</v>
      </c>
      <c r="D709" s="28">
        <f t="shared" si="618"/>
        <v>78</v>
      </c>
      <c r="E709" s="29">
        <f t="shared" si="619"/>
        <v>0</v>
      </c>
      <c r="F709" s="30">
        <f t="shared" si="620"/>
        <v>1.221273099516532E-2</v>
      </c>
      <c r="G709" s="31">
        <f t="shared" si="621"/>
        <v>1.0234691636581417E-3</v>
      </c>
      <c r="H709" s="32">
        <f t="shared" si="622"/>
        <v>0.02</v>
      </c>
      <c r="I709" s="32">
        <f t="shared" si="623"/>
        <v>0</v>
      </c>
      <c r="J709" s="33">
        <f t="shared" ref="J709:J772" si="670">N708-P708-O708</f>
        <v>0</v>
      </c>
      <c r="K709" s="30">
        <f t="shared" si="624"/>
        <v>0</v>
      </c>
      <c r="L709" s="33">
        <f t="shared" si="625"/>
        <v>0</v>
      </c>
      <c r="M709" s="30">
        <f t="shared" si="626"/>
        <v>0</v>
      </c>
      <c r="N709" s="33">
        <f t="shared" si="627"/>
        <v>0</v>
      </c>
      <c r="O709" s="31">
        <f t="shared" si="628"/>
        <v>0</v>
      </c>
      <c r="P709" s="33">
        <f t="shared" si="629"/>
        <v>0</v>
      </c>
      <c r="Q709" s="34">
        <f t="shared" ref="Q709:Q772" si="671">X708+Z708</f>
        <v>845925.99037043669</v>
      </c>
      <c r="R709" s="29">
        <f t="shared" si="630"/>
        <v>0</v>
      </c>
      <c r="S709" s="34">
        <f t="shared" si="631"/>
        <v>845925.99037043669</v>
      </c>
      <c r="T709" s="29">
        <f t="shared" si="632"/>
        <v>704.93832530869724</v>
      </c>
      <c r="U709" s="29">
        <f t="shared" si="633"/>
        <v>0</v>
      </c>
      <c r="V709" s="35">
        <f t="shared" si="634"/>
        <v>1.125816080023956E-3</v>
      </c>
      <c r="W709" s="34">
        <f t="shared" si="635"/>
        <v>0</v>
      </c>
      <c r="X709" s="34">
        <f t="shared" si="636"/>
        <v>845221.05204512796</v>
      </c>
      <c r="Y709" s="36">
        <f t="shared" si="637"/>
        <v>4.9065860060535371E-3</v>
      </c>
      <c r="Z709" s="34">
        <f t="shared" si="638"/>
        <v>4147.149785986473</v>
      </c>
      <c r="AA709" s="34">
        <f t="shared" si="639"/>
        <v>847294.62693812116</v>
      </c>
      <c r="AB709" s="34">
        <f t="shared" si="640"/>
        <v>0</v>
      </c>
      <c r="AC709" s="34">
        <f t="shared" si="641"/>
        <v>0</v>
      </c>
      <c r="AD709" s="34">
        <f t="shared" si="642"/>
        <v>0</v>
      </c>
      <c r="AE709" s="34">
        <f t="shared" si="643"/>
        <v>0</v>
      </c>
      <c r="AF709" s="34">
        <f t="shared" si="644"/>
        <v>0</v>
      </c>
      <c r="AG709" s="29">
        <f t="shared" si="645"/>
        <v>847294.62693812116</v>
      </c>
      <c r="AH709" s="34">
        <f t="shared" si="646"/>
        <v>0</v>
      </c>
      <c r="AI709" s="34">
        <f t="shared" si="647"/>
        <v>0</v>
      </c>
      <c r="AJ709" s="34">
        <f t="shared" si="648"/>
        <v>0</v>
      </c>
      <c r="AK709" s="34">
        <f t="shared" si="649"/>
        <v>0</v>
      </c>
      <c r="AL709" s="34">
        <f t="shared" si="650"/>
        <v>0</v>
      </c>
      <c r="AM709" s="34">
        <f t="shared" si="651"/>
        <v>0</v>
      </c>
      <c r="AN709" s="34">
        <f t="shared" si="652"/>
        <v>0</v>
      </c>
      <c r="AO709" s="34">
        <f t="shared" si="653"/>
        <v>0</v>
      </c>
      <c r="AP709" s="34">
        <f t="shared" si="654"/>
        <v>0</v>
      </c>
      <c r="AQ709" s="34">
        <f t="shared" si="655"/>
        <v>0</v>
      </c>
      <c r="AR709" s="34">
        <f t="shared" si="656"/>
        <v>0</v>
      </c>
      <c r="AS709" s="30">
        <f t="shared" si="657"/>
        <v>1.794240724281823</v>
      </c>
      <c r="AT709" s="29">
        <f t="shared" si="658"/>
        <v>0</v>
      </c>
      <c r="AU709" s="29">
        <f t="shared" si="659"/>
        <v>0</v>
      </c>
      <c r="AV709" s="34">
        <f t="shared" si="660"/>
        <v>0</v>
      </c>
      <c r="AW709" s="34">
        <f t="shared" si="661"/>
        <v>0</v>
      </c>
      <c r="AX709" s="29">
        <f t="shared" si="662"/>
        <v>0</v>
      </c>
      <c r="AY709" s="34">
        <f t="shared" si="663"/>
        <v>0</v>
      </c>
      <c r="AZ709" s="37">
        <f t="shared" si="664"/>
        <v>0</v>
      </c>
      <c r="BA709" s="37">
        <f t="shared" si="665"/>
        <v>0</v>
      </c>
      <c r="BB709" s="35">
        <f t="shared" si="666"/>
        <v>1.1320910329637446E-3</v>
      </c>
      <c r="BC709" s="31">
        <f t="shared" si="667"/>
        <v>0.45037588526235384</v>
      </c>
      <c r="BD709" s="34">
        <f t="shared" si="668"/>
        <v>0</v>
      </c>
    </row>
    <row r="710" spans="1:56" x14ac:dyDescent="0.2">
      <c r="A710" s="27">
        <f t="shared" si="669"/>
        <v>706</v>
      </c>
      <c r="B710" s="28">
        <f t="shared" si="616"/>
        <v>706</v>
      </c>
      <c r="C710" s="27">
        <f t="shared" si="617"/>
        <v>58</v>
      </c>
      <c r="D710" s="28">
        <f t="shared" si="618"/>
        <v>78</v>
      </c>
      <c r="E710" s="29">
        <f t="shared" si="619"/>
        <v>0</v>
      </c>
      <c r="F710" s="30">
        <f t="shared" si="620"/>
        <v>1.221273099516532E-2</v>
      </c>
      <c r="G710" s="31">
        <f t="shared" si="621"/>
        <v>1.0234691636581417E-3</v>
      </c>
      <c r="H710" s="32">
        <f t="shared" si="622"/>
        <v>0.02</v>
      </c>
      <c r="I710" s="32">
        <f t="shared" si="623"/>
        <v>0</v>
      </c>
      <c r="J710" s="33">
        <f t="shared" si="670"/>
        <v>0</v>
      </c>
      <c r="K710" s="30">
        <f t="shared" si="624"/>
        <v>0</v>
      </c>
      <c r="L710" s="33">
        <f t="shared" si="625"/>
        <v>0</v>
      </c>
      <c r="M710" s="30">
        <f t="shared" si="626"/>
        <v>0</v>
      </c>
      <c r="N710" s="33">
        <f t="shared" si="627"/>
        <v>0</v>
      </c>
      <c r="O710" s="31">
        <f t="shared" si="628"/>
        <v>0</v>
      </c>
      <c r="P710" s="33">
        <f t="shared" si="629"/>
        <v>0</v>
      </c>
      <c r="Q710" s="34">
        <f t="shared" si="671"/>
        <v>849368.20183111448</v>
      </c>
      <c r="R710" s="29">
        <f t="shared" si="630"/>
        <v>0</v>
      </c>
      <c r="S710" s="34">
        <f t="shared" si="631"/>
        <v>849368.20183111448</v>
      </c>
      <c r="T710" s="29">
        <f t="shared" si="632"/>
        <v>707.80683485926215</v>
      </c>
      <c r="U710" s="29">
        <f t="shared" si="633"/>
        <v>0</v>
      </c>
      <c r="V710" s="35">
        <f t="shared" si="634"/>
        <v>1.125816080023956E-3</v>
      </c>
      <c r="W710" s="34">
        <f t="shared" si="635"/>
        <v>0</v>
      </c>
      <c r="X710" s="34">
        <f t="shared" si="636"/>
        <v>848660.39499625517</v>
      </c>
      <c r="Y710" s="36">
        <f t="shared" si="637"/>
        <v>3.220470363093364E-3</v>
      </c>
      <c r="Z710" s="34">
        <f t="shared" si="638"/>
        <v>2733.0856504165477</v>
      </c>
      <c r="AA710" s="34">
        <f t="shared" si="639"/>
        <v>850026.93782146345</v>
      </c>
      <c r="AB710" s="34">
        <f t="shared" si="640"/>
        <v>0</v>
      </c>
      <c r="AC710" s="34">
        <f t="shared" si="641"/>
        <v>0</v>
      </c>
      <c r="AD710" s="34">
        <f t="shared" si="642"/>
        <v>0</v>
      </c>
      <c r="AE710" s="34">
        <f t="shared" si="643"/>
        <v>0</v>
      </c>
      <c r="AF710" s="34">
        <f t="shared" si="644"/>
        <v>0</v>
      </c>
      <c r="AG710" s="29">
        <f t="shared" si="645"/>
        <v>850026.93782146345</v>
      </c>
      <c r="AH710" s="34">
        <f t="shared" si="646"/>
        <v>0</v>
      </c>
      <c r="AI710" s="34">
        <f t="shared" si="647"/>
        <v>0</v>
      </c>
      <c r="AJ710" s="34">
        <f t="shared" si="648"/>
        <v>0</v>
      </c>
      <c r="AK710" s="34">
        <f t="shared" si="649"/>
        <v>0</v>
      </c>
      <c r="AL710" s="34">
        <f t="shared" si="650"/>
        <v>0</v>
      </c>
      <c r="AM710" s="34">
        <f t="shared" si="651"/>
        <v>0</v>
      </c>
      <c r="AN710" s="34">
        <f t="shared" si="652"/>
        <v>0</v>
      </c>
      <c r="AO710" s="34">
        <f t="shared" si="653"/>
        <v>0</v>
      </c>
      <c r="AP710" s="34">
        <f t="shared" si="654"/>
        <v>0</v>
      </c>
      <c r="AQ710" s="34">
        <f t="shared" si="655"/>
        <v>0</v>
      </c>
      <c r="AR710" s="34">
        <f t="shared" si="656"/>
        <v>0</v>
      </c>
      <c r="AS710" s="30">
        <f t="shared" si="657"/>
        <v>1.795729115348927</v>
      </c>
      <c r="AT710" s="29">
        <f t="shared" si="658"/>
        <v>0</v>
      </c>
      <c r="AU710" s="29">
        <f t="shared" si="659"/>
        <v>0</v>
      </c>
      <c r="AV710" s="34">
        <f t="shared" si="660"/>
        <v>0</v>
      </c>
      <c r="AW710" s="34">
        <f t="shared" si="661"/>
        <v>0</v>
      </c>
      <c r="AX710" s="29">
        <f t="shared" si="662"/>
        <v>0</v>
      </c>
      <c r="AY710" s="34">
        <f t="shared" si="663"/>
        <v>0</v>
      </c>
      <c r="AZ710" s="37">
        <f t="shared" si="664"/>
        <v>0</v>
      </c>
      <c r="BA710" s="37">
        <f t="shared" si="665"/>
        <v>0</v>
      </c>
      <c r="BB710" s="35">
        <f t="shared" si="666"/>
        <v>1.1320910329637446E-3</v>
      </c>
      <c r="BC710" s="31">
        <f t="shared" si="667"/>
        <v>0.44986659532375789</v>
      </c>
      <c r="BD710" s="34">
        <f t="shared" si="668"/>
        <v>0</v>
      </c>
    </row>
    <row r="711" spans="1:56" x14ac:dyDescent="0.2">
      <c r="A711" s="27">
        <f t="shared" si="669"/>
        <v>707</v>
      </c>
      <c r="B711" s="28">
        <f t="shared" si="616"/>
        <v>707</v>
      </c>
      <c r="C711" s="27">
        <f t="shared" si="617"/>
        <v>58</v>
      </c>
      <c r="D711" s="28">
        <f t="shared" si="618"/>
        <v>78</v>
      </c>
      <c r="E711" s="29">
        <f t="shared" si="619"/>
        <v>0</v>
      </c>
      <c r="F711" s="30">
        <f t="shared" si="620"/>
        <v>1.221273099516532E-2</v>
      </c>
      <c r="G711" s="31">
        <f t="shared" si="621"/>
        <v>1.0234691636581417E-3</v>
      </c>
      <c r="H711" s="32">
        <f t="shared" si="622"/>
        <v>0.02</v>
      </c>
      <c r="I711" s="32">
        <f t="shared" si="623"/>
        <v>0</v>
      </c>
      <c r="J711" s="33">
        <f t="shared" si="670"/>
        <v>0</v>
      </c>
      <c r="K711" s="30">
        <f t="shared" si="624"/>
        <v>0</v>
      </c>
      <c r="L711" s="33">
        <f t="shared" si="625"/>
        <v>0</v>
      </c>
      <c r="M711" s="30">
        <f t="shared" si="626"/>
        <v>0</v>
      </c>
      <c r="N711" s="33">
        <f t="shared" si="627"/>
        <v>0</v>
      </c>
      <c r="O711" s="31">
        <f t="shared" si="628"/>
        <v>0</v>
      </c>
      <c r="P711" s="33">
        <f t="shared" si="629"/>
        <v>0</v>
      </c>
      <c r="Q711" s="34">
        <f t="shared" si="671"/>
        <v>851393.48064667173</v>
      </c>
      <c r="R711" s="29">
        <f t="shared" si="630"/>
        <v>0</v>
      </c>
      <c r="S711" s="34">
        <f t="shared" si="631"/>
        <v>851393.48064667173</v>
      </c>
      <c r="T711" s="29">
        <f t="shared" si="632"/>
        <v>709.49456720555986</v>
      </c>
      <c r="U711" s="29">
        <f t="shared" si="633"/>
        <v>0</v>
      </c>
      <c r="V711" s="35">
        <f t="shared" si="634"/>
        <v>1.125816080023956E-3</v>
      </c>
      <c r="W711" s="34">
        <f t="shared" si="635"/>
        <v>0</v>
      </c>
      <c r="X711" s="34">
        <f t="shared" si="636"/>
        <v>850683.98607946618</v>
      </c>
      <c r="Y711" s="36">
        <f t="shared" si="637"/>
        <v>3.2110097089010914E-3</v>
      </c>
      <c r="Z711" s="34">
        <f t="shared" si="638"/>
        <v>2731.5545385078467</v>
      </c>
      <c r="AA711" s="34">
        <f t="shared" si="639"/>
        <v>852049.76334872015</v>
      </c>
      <c r="AB711" s="34">
        <f t="shared" si="640"/>
        <v>0</v>
      </c>
      <c r="AC711" s="34">
        <f t="shared" si="641"/>
        <v>0</v>
      </c>
      <c r="AD711" s="34">
        <f t="shared" si="642"/>
        <v>0</v>
      </c>
      <c r="AE711" s="34">
        <f t="shared" si="643"/>
        <v>0</v>
      </c>
      <c r="AF711" s="34">
        <f t="shared" si="644"/>
        <v>0</v>
      </c>
      <c r="AG711" s="29">
        <f t="shared" si="645"/>
        <v>852049.76334872015</v>
      </c>
      <c r="AH711" s="34">
        <f t="shared" si="646"/>
        <v>0</v>
      </c>
      <c r="AI711" s="34">
        <f t="shared" si="647"/>
        <v>0</v>
      </c>
      <c r="AJ711" s="34">
        <f t="shared" si="648"/>
        <v>0</v>
      </c>
      <c r="AK711" s="34">
        <f t="shared" si="649"/>
        <v>0</v>
      </c>
      <c r="AL711" s="34">
        <f t="shared" si="650"/>
        <v>0</v>
      </c>
      <c r="AM711" s="34">
        <f t="shared" si="651"/>
        <v>0</v>
      </c>
      <c r="AN711" s="34">
        <f t="shared" si="652"/>
        <v>0</v>
      </c>
      <c r="AO711" s="34">
        <f t="shared" si="653"/>
        <v>0</v>
      </c>
      <c r="AP711" s="34">
        <f t="shared" si="654"/>
        <v>0</v>
      </c>
      <c r="AQ711" s="34">
        <f t="shared" si="655"/>
        <v>0</v>
      </c>
      <c r="AR711" s="34">
        <f t="shared" si="656"/>
        <v>0</v>
      </c>
      <c r="AS711" s="30">
        <f t="shared" si="657"/>
        <v>1.7972187410931502</v>
      </c>
      <c r="AT711" s="29">
        <f t="shared" si="658"/>
        <v>0</v>
      </c>
      <c r="AU711" s="29">
        <f t="shared" si="659"/>
        <v>0</v>
      </c>
      <c r="AV711" s="34">
        <f t="shared" si="660"/>
        <v>0</v>
      </c>
      <c r="AW711" s="34">
        <f t="shared" si="661"/>
        <v>0</v>
      </c>
      <c r="AX711" s="29">
        <f t="shared" si="662"/>
        <v>0</v>
      </c>
      <c r="AY711" s="34">
        <f t="shared" si="663"/>
        <v>0</v>
      </c>
      <c r="AZ711" s="37">
        <f t="shared" si="664"/>
        <v>0</v>
      </c>
      <c r="BA711" s="37">
        <f t="shared" si="665"/>
        <v>0</v>
      </c>
      <c r="BB711" s="35">
        <f t="shared" si="666"/>
        <v>1.1320910329637446E-3</v>
      </c>
      <c r="BC711" s="31">
        <f t="shared" si="667"/>
        <v>0.44935788129575144</v>
      </c>
      <c r="BD711" s="34">
        <f t="shared" si="668"/>
        <v>0</v>
      </c>
    </row>
    <row r="712" spans="1:56" x14ac:dyDescent="0.2">
      <c r="A712" s="27">
        <f t="shared" si="669"/>
        <v>708</v>
      </c>
      <c r="B712" s="28">
        <f t="shared" si="616"/>
        <v>708</v>
      </c>
      <c r="C712" s="27">
        <f t="shared" si="617"/>
        <v>59</v>
      </c>
      <c r="D712" s="28">
        <f t="shared" si="618"/>
        <v>79</v>
      </c>
      <c r="E712" s="29">
        <f t="shared" si="619"/>
        <v>0</v>
      </c>
      <c r="F712" s="30">
        <f t="shared" si="620"/>
        <v>1.354211291262747E-2</v>
      </c>
      <c r="G712" s="31">
        <f t="shared" si="621"/>
        <v>1.1355750500949835E-3</v>
      </c>
      <c r="H712" s="32">
        <f t="shared" si="622"/>
        <v>0.02</v>
      </c>
      <c r="I712" s="32">
        <f t="shared" si="623"/>
        <v>0</v>
      </c>
      <c r="J712" s="33">
        <f t="shared" si="670"/>
        <v>0</v>
      </c>
      <c r="K712" s="30">
        <f t="shared" si="624"/>
        <v>0</v>
      </c>
      <c r="L712" s="33">
        <f t="shared" si="625"/>
        <v>0</v>
      </c>
      <c r="M712" s="30">
        <f t="shared" si="626"/>
        <v>0</v>
      </c>
      <c r="N712" s="33">
        <f t="shared" si="627"/>
        <v>0</v>
      </c>
      <c r="O712" s="31">
        <f t="shared" si="628"/>
        <v>0</v>
      </c>
      <c r="P712" s="33">
        <f t="shared" si="629"/>
        <v>0</v>
      </c>
      <c r="Q712" s="34">
        <f t="shared" si="671"/>
        <v>853415.54061797401</v>
      </c>
      <c r="R712" s="29">
        <f t="shared" si="630"/>
        <v>0</v>
      </c>
      <c r="S712" s="34">
        <f t="shared" si="631"/>
        <v>853415.54061797401</v>
      </c>
      <c r="T712" s="29">
        <f t="shared" si="632"/>
        <v>711.17961718164509</v>
      </c>
      <c r="U712" s="29">
        <f t="shared" si="633"/>
        <v>0</v>
      </c>
      <c r="V712" s="35">
        <f t="shared" si="634"/>
        <v>1.2491325551044819E-3</v>
      </c>
      <c r="W712" s="34">
        <f t="shared" si="635"/>
        <v>0</v>
      </c>
      <c r="X712" s="34">
        <f t="shared" si="636"/>
        <v>852704.36100079236</v>
      </c>
      <c r="Y712" s="36">
        <f t="shared" si="637"/>
        <v>1.0509477405351575E-4</v>
      </c>
      <c r="Z712" s="34">
        <f t="shared" si="638"/>
        <v>89.614772153825797</v>
      </c>
      <c r="AA712" s="34">
        <f t="shared" si="639"/>
        <v>852749.16838686925</v>
      </c>
      <c r="AB712" s="34">
        <f t="shared" si="640"/>
        <v>0</v>
      </c>
      <c r="AC712" s="34">
        <f t="shared" si="641"/>
        <v>0</v>
      </c>
      <c r="AD712" s="34">
        <f t="shared" si="642"/>
        <v>0</v>
      </c>
      <c r="AE712" s="34">
        <f t="shared" si="643"/>
        <v>0</v>
      </c>
      <c r="AF712" s="34">
        <f t="shared" si="644"/>
        <v>0</v>
      </c>
      <c r="AG712" s="29">
        <f t="shared" si="645"/>
        <v>852749.16838686925</v>
      </c>
      <c r="AH712" s="34">
        <f t="shared" si="646"/>
        <v>0</v>
      </c>
      <c r="AI712" s="34">
        <f t="shared" si="647"/>
        <v>0</v>
      </c>
      <c r="AJ712" s="34">
        <f t="shared" si="648"/>
        <v>0</v>
      </c>
      <c r="AK712" s="34">
        <f t="shared" si="649"/>
        <v>0</v>
      </c>
      <c r="AL712" s="34">
        <f t="shared" si="650"/>
        <v>0</v>
      </c>
      <c r="AM712" s="34">
        <f t="shared" si="651"/>
        <v>0</v>
      </c>
      <c r="AN712" s="34">
        <f t="shared" si="652"/>
        <v>0</v>
      </c>
      <c r="AO712" s="34">
        <f t="shared" si="653"/>
        <v>0</v>
      </c>
      <c r="AP712" s="34">
        <f t="shared" si="654"/>
        <v>0</v>
      </c>
      <c r="AQ712" s="34">
        <f t="shared" si="655"/>
        <v>0</v>
      </c>
      <c r="AR712" s="34">
        <f t="shared" si="656"/>
        <v>0</v>
      </c>
      <c r="AS712" s="30">
        <f t="shared" si="657"/>
        <v>1.7987096025387042</v>
      </c>
      <c r="AT712" s="29">
        <f t="shared" si="658"/>
        <v>0</v>
      </c>
      <c r="AU712" s="29">
        <f t="shared" si="659"/>
        <v>0</v>
      </c>
      <c r="AV712" s="34">
        <f t="shared" si="660"/>
        <v>0</v>
      </c>
      <c r="AW712" s="34">
        <f t="shared" si="661"/>
        <v>0</v>
      </c>
      <c r="AX712" s="29">
        <f t="shared" si="662"/>
        <v>0</v>
      </c>
      <c r="AY712" s="34">
        <f t="shared" si="663"/>
        <v>0</v>
      </c>
      <c r="AZ712" s="37">
        <f t="shared" si="664"/>
        <v>0</v>
      </c>
      <c r="BA712" s="37">
        <f t="shared" si="665"/>
        <v>0</v>
      </c>
      <c r="BB712" s="35">
        <f t="shared" si="666"/>
        <v>1.1608923845471963E-3</v>
      </c>
      <c r="BC712" s="31">
        <f t="shared" si="667"/>
        <v>0.43980004366355713</v>
      </c>
      <c r="BD712" s="34">
        <f t="shared" si="668"/>
        <v>0</v>
      </c>
    </row>
    <row r="713" spans="1:56" x14ac:dyDescent="0.2">
      <c r="A713" s="27">
        <f t="shared" si="669"/>
        <v>709</v>
      </c>
      <c r="B713" s="28">
        <f t="shared" si="616"/>
        <v>709</v>
      </c>
      <c r="C713" s="27">
        <f t="shared" si="617"/>
        <v>59</v>
      </c>
      <c r="D713" s="28">
        <f t="shared" si="618"/>
        <v>79</v>
      </c>
      <c r="E713" s="29">
        <f t="shared" si="619"/>
        <v>0</v>
      </c>
      <c r="F713" s="30">
        <f t="shared" si="620"/>
        <v>1.354211291262747E-2</v>
      </c>
      <c r="G713" s="31">
        <f t="shared" si="621"/>
        <v>1.1355750500949835E-3</v>
      </c>
      <c r="H713" s="32">
        <f t="shared" si="622"/>
        <v>0.02</v>
      </c>
      <c r="I713" s="32">
        <f t="shared" si="623"/>
        <v>0</v>
      </c>
      <c r="J713" s="33">
        <f t="shared" si="670"/>
        <v>0</v>
      </c>
      <c r="K713" s="30">
        <f t="shared" si="624"/>
        <v>0</v>
      </c>
      <c r="L713" s="33">
        <f t="shared" si="625"/>
        <v>0</v>
      </c>
      <c r="M713" s="30">
        <f t="shared" si="626"/>
        <v>0</v>
      </c>
      <c r="N713" s="33">
        <f t="shared" si="627"/>
        <v>0</v>
      </c>
      <c r="O713" s="31">
        <f t="shared" si="628"/>
        <v>0</v>
      </c>
      <c r="P713" s="33">
        <f t="shared" si="629"/>
        <v>0</v>
      </c>
      <c r="Q713" s="34">
        <f t="shared" si="671"/>
        <v>852793.97577294614</v>
      </c>
      <c r="R713" s="29">
        <f t="shared" si="630"/>
        <v>0</v>
      </c>
      <c r="S713" s="34">
        <f t="shared" si="631"/>
        <v>852793.97577294614</v>
      </c>
      <c r="T713" s="29">
        <f t="shared" si="632"/>
        <v>710.66164647745518</v>
      </c>
      <c r="U713" s="29">
        <f t="shared" si="633"/>
        <v>0</v>
      </c>
      <c r="V713" s="35">
        <f t="shared" si="634"/>
        <v>1.2491325551044819E-3</v>
      </c>
      <c r="W713" s="34">
        <f t="shared" si="635"/>
        <v>0</v>
      </c>
      <c r="X713" s="34">
        <f t="shared" si="636"/>
        <v>852083.31412646873</v>
      </c>
      <c r="Y713" s="36">
        <f t="shared" si="637"/>
        <v>-1.3411700412119254E-3</v>
      </c>
      <c r="Z713" s="34">
        <f t="shared" si="638"/>
        <v>-1142.7886135229901</v>
      </c>
      <c r="AA713" s="34">
        <f t="shared" si="639"/>
        <v>851511.91981970728</v>
      </c>
      <c r="AB713" s="34">
        <f t="shared" si="640"/>
        <v>0</v>
      </c>
      <c r="AC713" s="34">
        <f t="shared" si="641"/>
        <v>0</v>
      </c>
      <c r="AD713" s="34">
        <f t="shared" si="642"/>
        <v>0</v>
      </c>
      <c r="AE713" s="34">
        <f t="shared" si="643"/>
        <v>0</v>
      </c>
      <c r="AF713" s="34">
        <f t="shared" si="644"/>
        <v>0</v>
      </c>
      <c r="AG713" s="29">
        <f t="shared" si="645"/>
        <v>851511.91981970728</v>
      </c>
      <c r="AH713" s="34">
        <f t="shared" si="646"/>
        <v>0</v>
      </c>
      <c r="AI713" s="34">
        <f t="shared" si="647"/>
        <v>0</v>
      </c>
      <c r="AJ713" s="34">
        <f t="shared" si="648"/>
        <v>0</v>
      </c>
      <c r="AK713" s="34">
        <f t="shared" si="649"/>
        <v>0</v>
      </c>
      <c r="AL713" s="34">
        <f t="shared" si="650"/>
        <v>0</v>
      </c>
      <c r="AM713" s="34">
        <f t="shared" si="651"/>
        <v>0</v>
      </c>
      <c r="AN713" s="34">
        <f t="shared" si="652"/>
        <v>0</v>
      </c>
      <c r="AO713" s="34">
        <f t="shared" si="653"/>
        <v>0</v>
      </c>
      <c r="AP713" s="34">
        <f t="shared" si="654"/>
        <v>0</v>
      </c>
      <c r="AQ713" s="34">
        <f t="shared" si="655"/>
        <v>0</v>
      </c>
      <c r="AR713" s="34">
        <f t="shared" si="656"/>
        <v>0</v>
      </c>
      <c r="AS713" s="30">
        <f t="shared" si="657"/>
        <v>1.8002017007106508</v>
      </c>
      <c r="AT713" s="29">
        <f t="shared" si="658"/>
        <v>0</v>
      </c>
      <c r="AU713" s="29">
        <f t="shared" si="659"/>
        <v>0</v>
      </c>
      <c r="AV713" s="34">
        <f t="shared" si="660"/>
        <v>0</v>
      </c>
      <c r="AW713" s="34">
        <f t="shared" si="661"/>
        <v>0</v>
      </c>
      <c r="AX713" s="29">
        <f t="shared" si="662"/>
        <v>0</v>
      </c>
      <c r="AY713" s="34">
        <f t="shared" si="663"/>
        <v>0</v>
      </c>
      <c r="AZ713" s="37">
        <f t="shared" si="664"/>
        <v>0</v>
      </c>
      <c r="BA713" s="37">
        <f t="shared" si="665"/>
        <v>0</v>
      </c>
      <c r="BB713" s="35">
        <f t="shared" si="666"/>
        <v>1.1608923845471963E-3</v>
      </c>
      <c r="BC713" s="31">
        <f t="shared" si="667"/>
        <v>0.43929007516069585</v>
      </c>
      <c r="BD713" s="34">
        <f t="shared" si="668"/>
        <v>0</v>
      </c>
    </row>
    <row r="714" spans="1:56" x14ac:dyDescent="0.2">
      <c r="A714" s="27">
        <f t="shared" si="669"/>
        <v>710</v>
      </c>
      <c r="B714" s="28">
        <f t="shared" si="616"/>
        <v>710</v>
      </c>
      <c r="C714" s="27">
        <f t="shared" si="617"/>
        <v>59</v>
      </c>
      <c r="D714" s="28">
        <f t="shared" si="618"/>
        <v>79</v>
      </c>
      <c r="E714" s="29">
        <f t="shared" si="619"/>
        <v>0</v>
      </c>
      <c r="F714" s="30">
        <f t="shared" si="620"/>
        <v>1.354211291262747E-2</v>
      </c>
      <c r="G714" s="31">
        <f t="shared" si="621"/>
        <v>1.1355750500949835E-3</v>
      </c>
      <c r="H714" s="32">
        <f t="shared" si="622"/>
        <v>0.02</v>
      </c>
      <c r="I714" s="32">
        <f t="shared" si="623"/>
        <v>0</v>
      </c>
      <c r="J714" s="33">
        <f t="shared" si="670"/>
        <v>0</v>
      </c>
      <c r="K714" s="30">
        <f t="shared" si="624"/>
        <v>0</v>
      </c>
      <c r="L714" s="33">
        <f t="shared" si="625"/>
        <v>0</v>
      </c>
      <c r="M714" s="30">
        <f t="shared" si="626"/>
        <v>0</v>
      </c>
      <c r="N714" s="33">
        <f t="shared" si="627"/>
        <v>0</v>
      </c>
      <c r="O714" s="31">
        <f t="shared" si="628"/>
        <v>0</v>
      </c>
      <c r="P714" s="33">
        <f t="shared" si="629"/>
        <v>0</v>
      </c>
      <c r="Q714" s="34">
        <f t="shared" si="671"/>
        <v>850940.52551294572</v>
      </c>
      <c r="R714" s="29">
        <f t="shared" si="630"/>
        <v>0</v>
      </c>
      <c r="S714" s="34">
        <f t="shared" si="631"/>
        <v>850940.52551294572</v>
      </c>
      <c r="T714" s="29">
        <f t="shared" si="632"/>
        <v>709.11710459412143</v>
      </c>
      <c r="U714" s="29">
        <f t="shared" si="633"/>
        <v>0</v>
      </c>
      <c r="V714" s="35">
        <f t="shared" si="634"/>
        <v>1.2491325551044819E-3</v>
      </c>
      <c r="W714" s="34">
        <f t="shared" si="635"/>
        <v>0</v>
      </c>
      <c r="X714" s="34">
        <f t="shared" si="636"/>
        <v>850231.40840835159</v>
      </c>
      <c r="Y714" s="36">
        <f t="shared" si="637"/>
        <v>-1.0218253132195376E-2</v>
      </c>
      <c r="Z714" s="34">
        <f t="shared" si="638"/>
        <v>-8687.8797520595253</v>
      </c>
      <c r="AA714" s="34">
        <f t="shared" si="639"/>
        <v>845887.46853232186</v>
      </c>
      <c r="AB714" s="34">
        <f t="shared" si="640"/>
        <v>0</v>
      </c>
      <c r="AC714" s="34">
        <f t="shared" si="641"/>
        <v>0</v>
      </c>
      <c r="AD714" s="34">
        <f t="shared" si="642"/>
        <v>0</v>
      </c>
      <c r="AE714" s="34">
        <f t="shared" si="643"/>
        <v>0</v>
      </c>
      <c r="AF714" s="34">
        <f t="shared" si="644"/>
        <v>0</v>
      </c>
      <c r="AG714" s="29">
        <f t="shared" si="645"/>
        <v>845887.46853232186</v>
      </c>
      <c r="AH714" s="34">
        <f t="shared" si="646"/>
        <v>0</v>
      </c>
      <c r="AI714" s="34">
        <f t="shared" si="647"/>
        <v>0</v>
      </c>
      <c r="AJ714" s="34">
        <f t="shared" si="648"/>
        <v>0</v>
      </c>
      <c r="AK714" s="34">
        <f t="shared" si="649"/>
        <v>0</v>
      </c>
      <c r="AL714" s="34">
        <f t="shared" si="650"/>
        <v>0</v>
      </c>
      <c r="AM714" s="34">
        <f t="shared" si="651"/>
        <v>0</v>
      </c>
      <c r="AN714" s="34">
        <f t="shared" si="652"/>
        <v>0</v>
      </c>
      <c r="AO714" s="34">
        <f t="shared" si="653"/>
        <v>0</v>
      </c>
      <c r="AP714" s="34">
        <f t="shared" si="654"/>
        <v>0</v>
      </c>
      <c r="AQ714" s="34">
        <f t="shared" si="655"/>
        <v>0</v>
      </c>
      <c r="AR714" s="34">
        <f t="shared" si="656"/>
        <v>0</v>
      </c>
      <c r="AS714" s="30">
        <f t="shared" si="657"/>
        <v>1.8016950366349009</v>
      </c>
      <c r="AT714" s="29">
        <f t="shared" si="658"/>
        <v>0</v>
      </c>
      <c r="AU714" s="29">
        <f t="shared" si="659"/>
        <v>0</v>
      </c>
      <c r="AV714" s="34">
        <f t="shared" si="660"/>
        <v>0</v>
      </c>
      <c r="AW714" s="34">
        <f t="shared" si="661"/>
        <v>0</v>
      </c>
      <c r="AX714" s="29">
        <f t="shared" si="662"/>
        <v>0</v>
      </c>
      <c r="AY714" s="34">
        <f t="shared" si="663"/>
        <v>0</v>
      </c>
      <c r="AZ714" s="37">
        <f t="shared" si="664"/>
        <v>0</v>
      </c>
      <c r="BA714" s="37">
        <f t="shared" si="665"/>
        <v>0</v>
      </c>
      <c r="BB714" s="35">
        <f t="shared" si="666"/>
        <v>1.1608923845471963E-3</v>
      </c>
      <c r="BC714" s="31">
        <f t="shared" si="667"/>
        <v>0.43878069798991309</v>
      </c>
      <c r="BD714" s="34">
        <f t="shared" si="668"/>
        <v>0</v>
      </c>
    </row>
    <row r="715" spans="1:56" x14ac:dyDescent="0.2">
      <c r="A715" s="27">
        <f t="shared" si="669"/>
        <v>711</v>
      </c>
      <c r="B715" s="28">
        <f t="shared" si="616"/>
        <v>711</v>
      </c>
      <c r="C715" s="27">
        <f t="shared" si="617"/>
        <v>59</v>
      </c>
      <c r="D715" s="28">
        <f t="shared" si="618"/>
        <v>79</v>
      </c>
      <c r="E715" s="29">
        <f t="shared" si="619"/>
        <v>0</v>
      </c>
      <c r="F715" s="30">
        <f t="shared" si="620"/>
        <v>1.354211291262747E-2</v>
      </c>
      <c r="G715" s="31">
        <f t="shared" si="621"/>
        <v>1.1355750500949835E-3</v>
      </c>
      <c r="H715" s="32">
        <f t="shared" si="622"/>
        <v>0.02</v>
      </c>
      <c r="I715" s="32">
        <f t="shared" si="623"/>
        <v>0</v>
      </c>
      <c r="J715" s="33">
        <f t="shared" si="670"/>
        <v>0</v>
      </c>
      <c r="K715" s="30">
        <f t="shared" si="624"/>
        <v>0</v>
      </c>
      <c r="L715" s="33">
        <f t="shared" si="625"/>
        <v>0</v>
      </c>
      <c r="M715" s="30">
        <f t="shared" si="626"/>
        <v>0</v>
      </c>
      <c r="N715" s="33">
        <f t="shared" si="627"/>
        <v>0</v>
      </c>
      <c r="O715" s="31">
        <f t="shared" si="628"/>
        <v>0</v>
      </c>
      <c r="P715" s="33">
        <f t="shared" si="629"/>
        <v>0</v>
      </c>
      <c r="Q715" s="34">
        <f t="shared" si="671"/>
        <v>841543.52865629201</v>
      </c>
      <c r="R715" s="29">
        <f t="shared" si="630"/>
        <v>0</v>
      </c>
      <c r="S715" s="34">
        <f t="shared" si="631"/>
        <v>841543.52865629201</v>
      </c>
      <c r="T715" s="29">
        <f t="shared" si="632"/>
        <v>701.28627388024336</v>
      </c>
      <c r="U715" s="29">
        <f t="shared" si="633"/>
        <v>0</v>
      </c>
      <c r="V715" s="35">
        <f t="shared" si="634"/>
        <v>1.2491325551044819E-3</v>
      </c>
      <c r="W715" s="34">
        <f t="shared" si="635"/>
        <v>0</v>
      </c>
      <c r="X715" s="34">
        <f t="shared" si="636"/>
        <v>840842.24238241173</v>
      </c>
      <c r="Y715" s="36">
        <f t="shared" si="637"/>
        <v>7.6064229138195216E-4</v>
      </c>
      <c r="Z715" s="34">
        <f t="shared" si="638"/>
        <v>639.58016993649642</v>
      </c>
      <c r="AA715" s="34">
        <f t="shared" si="639"/>
        <v>841162.03246737993</v>
      </c>
      <c r="AB715" s="34">
        <f t="shared" si="640"/>
        <v>0</v>
      </c>
      <c r="AC715" s="34">
        <f t="shared" si="641"/>
        <v>0</v>
      </c>
      <c r="AD715" s="34">
        <f t="shared" si="642"/>
        <v>0</v>
      </c>
      <c r="AE715" s="34">
        <f t="shared" si="643"/>
        <v>0</v>
      </c>
      <c r="AF715" s="34">
        <f t="shared" si="644"/>
        <v>0</v>
      </c>
      <c r="AG715" s="29">
        <f t="shared" si="645"/>
        <v>841162.03246737993</v>
      </c>
      <c r="AH715" s="34">
        <f t="shared" si="646"/>
        <v>0</v>
      </c>
      <c r="AI715" s="34">
        <f t="shared" si="647"/>
        <v>0</v>
      </c>
      <c r="AJ715" s="34">
        <f t="shared" si="648"/>
        <v>0</v>
      </c>
      <c r="AK715" s="34">
        <f t="shared" si="649"/>
        <v>0</v>
      </c>
      <c r="AL715" s="34">
        <f t="shared" si="650"/>
        <v>0</v>
      </c>
      <c r="AM715" s="34">
        <f t="shared" si="651"/>
        <v>0</v>
      </c>
      <c r="AN715" s="34">
        <f t="shared" si="652"/>
        <v>0</v>
      </c>
      <c r="AO715" s="34">
        <f t="shared" si="653"/>
        <v>0</v>
      </c>
      <c r="AP715" s="34">
        <f t="shared" si="654"/>
        <v>0</v>
      </c>
      <c r="AQ715" s="34">
        <f t="shared" si="655"/>
        <v>0</v>
      </c>
      <c r="AR715" s="34">
        <f t="shared" si="656"/>
        <v>0</v>
      </c>
      <c r="AS715" s="30">
        <f t="shared" si="657"/>
        <v>1.8031896113382182</v>
      </c>
      <c r="AT715" s="29">
        <f t="shared" si="658"/>
        <v>0</v>
      </c>
      <c r="AU715" s="29">
        <f t="shared" si="659"/>
        <v>0</v>
      </c>
      <c r="AV715" s="34">
        <f t="shared" si="660"/>
        <v>0</v>
      </c>
      <c r="AW715" s="34">
        <f t="shared" si="661"/>
        <v>0</v>
      </c>
      <c r="AX715" s="29">
        <f t="shared" si="662"/>
        <v>0</v>
      </c>
      <c r="AY715" s="34">
        <f t="shared" si="663"/>
        <v>0</v>
      </c>
      <c r="AZ715" s="37">
        <f t="shared" si="664"/>
        <v>0</v>
      </c>
      <c r="BA715" s="37">
        <f t="shared" si="665"/>
        <v>0</v>
      </c>
      <c r="BB715" s="35">
        <f t="shared" si="666"/>
        <v>1.1608923845471963E-3</v>
      </c>
      <c r="BC715" s="31">
        <f t="shared" si="667"/>
        <v>0.43827191146553179</v>
      </c>
      <c r="BD715" s="34">
        <f t="shared" si="668"/>
        <v>0</v>
      </c>
    </row>
    <row r="716" spans="1:56" x14ac:dyDescent="0.2">
      <c r="A716" s="27">
        <f t="shared" si="669"/>
        <v>712</v>
      </c>
      <c r="B716" s="28">
        <f t="shared" si="616"/>
        <v>712</v>
      </c>
      <c r="C716" s="27">
        <f t="shared" si="617"/>
        <v>59</v>
      </c>
      <c r="D716" s="28">
        <f t="shared" si="618"/>
        <v>79</v>
      </c>
      <c r="E716" s="29">
        <f t="shared" si="619"/>
        <v>0</v>
      </c>
      <c r="F716" s="30">
        <f t="shared" si="620"/>
        <v>1.354211291262747E-2</v>
      </c>
      <c r="G716" s="31">
        <f t="shared" si="621"/>
        <v>1.1355750500949835E-3</v>
      </c>
      <c r="H716" s="32">
        <f t="shared" si="622"/>
        <v>0.02</v>
      </c>
      <c r="I716" s="32">
        <f t="shared" si="623"/>
        <v>0</v>
      </c>
      <c r="J716" s="33">
        <f t="shared" si="670"/>
        <v>0</v>
      </c>
      <c r="K716" s="30">
        <f t="shared" si="624"/>
        <v>0</v>
      </c>
      <c r="L716" s="33">
        <f t="shared" si="625"/>
        <v>0</v>
      </c>
      <c r="M716" s="30">
        <f t="shared" si="626"/>
        <v>0</v>
      </c>
      <c r="N716" s="33">
        <f t="shared" si="627"/>
        <v>0</v>
      </c>
      <c r="O716" s="31">
        <f t="shared" si="628"/>
        <v>0</v>
      </c>
      <c r="P716" s="33">
        <f t="shared" si="629"/>
        <v>0</v>
      </c>
      <c r="Q716" s="34">
        <f t="shared" si="671"/>
        <v>841481.82255234825</v>
      </c>
      <c r="R716" s="29">
        <f t="shared" si="630"/>
        <v>0</v>
      </c>
      <c r="S716" s="34">
        <f t="shared" si="631"/>
        <v>841481.82255234825</v>
      </c>
      <c r="T716" s="29">
        <f t="shared" si="632"/>
        <v>701.23485212695698</v>
      </c>
      <c r="U716" s="29">
        <f t="shared" si="633"/>
        <v>0</v>
      </c>
      <c r="V716" s="35">
        <f t="shared" si="634"/>
        <v>1.2491325551044819E-3</v>
      </c>
      <c r="W716" s="34">
        <f t="shared" si="635"/>
        <v>0</v>
      </c>
      <c r="X716" s="34">
        <f t="shared" si="636"/>
        <v>840780.58770022134</v>
      </c>
      <c r="Y716" s="36">
        <f t="shared" si="637"/>
        <v>-1.61948901310347E-2</v>
      </c>
      <c r="Z716" s="34">
        <f t="shared" si="638"/>
        <v>-13616.34924211187</v>
      </c>
      <c r="AA716" s="34">
        <f t="shared" si="639"/>
        <v>833972.41307916539</v>
      </c>
      <c r="AB716" s="34">
        <f t="shared" si="640"/>
        <v>0</v>
      </c>
      <c r="AC716" s="34">
        <f t="shared" si="641"/>
        <v>0</v>
      </c>
      <c r="AD716" s="34">
        <f t="shared" si="642"/>
        <v>0</v>
      </c>
      <c r="AE716" s="34">
        <f t="shared" si="643"/>
        <v>0</v>
      </c>
      <c r="AF716" s="34">
        <f t="shared" si="644"/>
        <v>0</v>
      </c>
      <c r="AG716" s="29">
        <f t="shared" si="645"/>
        <v>833972.41307916539</v>
      </c>
      <c r="AH716" s="34">
        <f t="shared" si="646"/>
        <v>0</v>
      </c>
      <c r="AI716" s="34">
        <f t="shared" si="647"/>
        <v>0</v>
      </c>
      <c r="AJ716" s="34">
        <f t="shared" si="648"/>
        <v>0</v>
      </c>
      <c r="AK716" s="34">
        <f t="shared" si="649"/>
        <v>0</v>
      </c>
      <c r="AL716" s="34">
        <f t="shared" si="650"/>
        <v>0</v>
      </c>
      <c r="AM716" s="34">
        <f t="shared" si="651"/>
        <v>0</v>
      </c>
      <c r="AN716" s="34">
        <f t="shared" si="652"/>
        <v>0</v>
      </c>
      <c r="AO716" s="34">
        <f t="shared" si="653"/>
        <v>0</v>
      </c>
      <c r="AP716" s="34">
        <f t="shared" si="654"/>
        <v>0</v>
      </c>
      <c r="AQ716" s="34">
        <f t="shared" si="655"/>
        <v>0</v>
      </c>
      <c r="AR716" s="34">
        <f t="shared" si="656"/>
        <v>0</v>
      </c>
      <c r="AS716" s="30">
        <f t="shared" si="657"/>
        <v>1.8046854258482166</v>
      </c>
      <c r="AT716" s="29">
        <f t="shared" si="658"/>
        <v>0</v>
      </c>
      <c r="AU716" s="29">
        <f t="shared" si="659"/>
        <v>0</v>
      </c>
      <c r="AV716" s="34">
        <f t="shared" si="660"/>
        <v>0</v>
      </c>
      <c r="AW716" s="34">
        <f t="shared" si="661"/>
        <v>0</v>
      </c>
      <c r="AX716" s="29">
        <f t="shared" si="662"/>
        <v>0</v>
      </c>
      <c r="AY716" s="34">
        <f t="shared" si="663"/>
        <v>0</v>
      </c>
      <c r="AZ716" s="37">
        <f t="shared" si="664"/>
        <v>0</v>
      </c>
      <c r="BA716" s="37">
        <f t="shared" si="665"/>
        <v>0</v>
      </c>
      <c r="BB716" s="35">
        <f t="shared" si="666"/>
        <v>1.1608923845471963E-3</v>
      </c>
      <c r="BC716" s="31">
        <f t="shared" si="667"/>
        <v>0.43776371490267024</v>
      </c>
      <c r="BD716" s="34">
        <f t="shared" si="668"/>
        <v>0</v>
      </c>
    </row>
    <row r="717" spans="1:56" x14ac:dyDescent="0.2">
      <c r="A717" s="27">
        <f t="shared" si="669"/>
        <v>713</v>
      </c>
      <c r="B717" s="28">
        <f t="shared" si="616"/>
        <v>713</v>
      </c>
      <c r="C717" s="27">
        <f t="shared" si="617"/>
        <v>59</v>
      </c>
      <c r="D717" s="28">
        <f t="shared" si="618"/>
        <v>79</v>
      </c>
      <c r="E717" s="29">
        <f t="shared" si="619"/>
        <v>0</v>
      </c>
      <c r="F717" s="30">
        <f t="shared" si="620"/>
        <v>1.354211291262747E-2</v>
      </c>
      <c r="G717" s="31">
        <f t="shared" si="621"/>
        <v>1.1355750500949835E-3</v>
      </c>
      <c r="H717" s="32">
        <f t="shared" si="622"/>
        <v>0.02</v>
      </c>
      <c r="I717" s="32">
        <f t="shared" si="623"/>
        <v>0</v>
      </c>
      <c r="J717" s="33">
        <f t="shared" si="670"/>
        <v>0</v>
      </c>
      <c r="K717" s="30">
        <f t="shared" si="624"/>
        <v>0</v>
      </c>
      <c r="L717" s="33">
        <f t="shared" si="625"/>
        <v>0</v>
      </c>
      <c r="M717" s="30">
        <f t="shared" si="626"/>
        <v>0</v>
      </c>
      <c r="N717" s="33">
        <f t="shared" si="627"/>
        <v>0</v>
      </c>
      <c r="O717" s="31">
        <f t="shared" si="628"/>
        <v>0</v>
      </c>
      <c r="P717" s="33">
        <f t="shared" si="629"/>
        <v>0</v>
      </c>
      <c r="Q717" s="34">
        <f t="shared" si="671"/>
        <v>827164.23845810944</v>
      </c>
      <c r="R717" s="29">
        <f t="shared" si="630"/>
        <v>0</v>
      </c>
      <c r="S717" s="34">
        <f t="shared" si="631"/>
        <v>827164.23845810944</v>
      </c>
      <c r="T717" s="29">
        <f t="shared" si="632"/>
        <v>689.30353204842459</v>
      </c>
      <c r="U717" s="29">
        <f t="shared" si="633"/>
        <v>0</v>
      </c>
      <c r="V717" s="35">
        <f t="shared" si="634"/>
        <v>1.2491325551044819E-3</v>
      </c>
      <c r="W717" s="34">
        <f t="shared" si="635"/>
        <v>0</v>
      </c>
      <c r="X717" s="34">
        <f t="shared" si="636"/>
        <v>826474.93492606096</v>
      </c>
      <c r="Y717" s="36">
        <f t="shared" si="637"/>
        <v>-4.3335045142525175E-3</v>
      </c>
      <c r="Z717" s="34">
        <f t="shared" si="638"/>
        <v>-3581.532861418641</v>
      </c>
      <c r="AA717" s="34">
        <f t="shared" si="639"/>
        <v>824684.16849535168</v>
      </c>
      <c r="AB717" s="34">
        <f t="shared" si="640"/>
        <v>0</v>
      </c>
      <c r="AC717" s="34">
        <f t="shared" si="641"/>
        <v>0</v>
      </c>
      <c r="AD717" s="34">
        <f t="shared" si="642"/>
        <v>0</v>
      </c>
      <c r="AE717" s="34">
        <f t="shared" si="643"/>
        <v>0</v>
      </c>
      <c r="AF717" s="34">
        <f t="shared" si="644"/>
        <v>0</v>
      </c>
      <c r="AG717" s="29">
        <f t="shared" si="645"/>
        <v>824684.16849535168</v>
      </c>
      <c r="AH717" s="34">
        <f t="shared" si="646"/>
        <v>0</v>
      </c>
      <c r="AI717" s="34">
        <f t="shared" si="647"/>
        <v>0</v>
      </c>
      <c r="AJ717" s="34">
        <f t="shared" si="648"/>
        <v>0</v>
      </c>
      <c r="AK717" s="34">
        <f t="shared" si="649"/>
        <v>0</v>
      </c>
      <c r="AL717" s="34">
        <f t="shared" si="650"/>
        <v>0</v>
      </c>
      <c r="AM717" s="34">
        <f t="shared" si="651"/>
        <v>0</v>
      </c>
      <c r="AN717" s="34">
        <f t="shared" si="652"/>
        <v>0</v>
      </c>
      <c r="AO717" s="34">
        <f t="shared" si="653"/>
        <v>0</v>
      </c>
      <c r="AP717" s="34">
        <f t="shared" si="654"/>
        <v>0</v>
      </c>
      <c r="AQ717" s="34">
        <f t="shared" si="655"/>
        <v>0</v>
      </c>
      <c r="AR717" s="34">
        <f t="shared" si="656"/>
        <v>0</v>
      </c>
      <c r="AS717" s="30">
        <f t="shared" si="657"/>
        <v>1.8061824811933627</v>
      </c>
      <c r="AT717" s="29">
        <f t="shared" si="658"/>
        <v>0</v>
      </c>
      <c r="AU717" s="29">
        <f t="shared" si="659"/>
        <v>0</v>
      </c>
      <c r="AV717" s="34">
        <f t="shared" si="660"/>
        <v>0</v>
      </c>
      <c r="AW717" s="34">
        <f t="shared" si="661"/>
        <v>0</v>
      </c>
      <c r="AX717" s="29">
        <f t="shared" si="662"/>
        <v>0</v>
      </c>
      <c r="AY717" s="34">
        <f t="shared" si="663"/>
        <v>0</v>
      </c>
      <c r="AZ717" s="37">
        <f t="shared" si="664"/>
        <v>0</v>
      </c>
      <c r="BA717" s="37">
        <f t="shared" si="665"/>
        <v>0</v>
      </c>
      <c r="BB717" s="35">
        <f t="shared" si="666"/>
        <v>1.1608923845471963E-3</v>
      </c>
      <c r="BC717" s="31">
        <f t="shared" si="667"/>
        <v>0.43725610761724071</v>
      </c>
      <c r="BD717" s="34">
        <f t="shared" si="668"/>
        <v>0</v>
      </c>
    </row>
    <row r="718" spans="1:56" x14ac:dyDescent="0.2">
      <c r="A718" s="27">
        <f t="shared" si="669"/>
        <v>714</v>
      </c>
      <c r="B718" s="28">
        <f t="shared" si="616"/>
        <v>714</v>
      </c>
      <c r="C718" s="27">
        <f t="shared" si="617"/>
        <v>59</v>
      </c>
      <c r="D718" s="28">
        <f t="shared" si="618"/>
        <v>79</v>
      </c>
      <c r="E718" s="29">
        <f t="shared" si="619"/>
        <v>0</v>
      </c>
      <c r="F718" s="30">
        <f t="shared" si="620"/>
        <v>1.354211291262747E-2</v>
      </c>
      <c r="G718" s="31">
        <f t="shared" si="621"/>
        <v>1.1355750500949835E-3</v>
      </c>
      <c r="H718" s="32">
        <f t="shared" si="622"/>
        <v>0.02</v>
      </c>
      <c r="I718" s="32">
        <f t="shared" si="623"/>
        <v>0</v>
      </c>
      <c r="J718" s="33">
        <f t="shared" si="670"/>
        <v>0</v>
      </c>
      <c r="K718" s="30">
        <f t="shared" si="624"/>
        <v>0</v>
      </c>
      <c r="L718" s="33">
        <f t="shared" si="625"/>
        <v>0</v>
      </c>
      <c r="M718" s="30">
        <f t="shared" si="626"/>
        <v>0</v>
      </c>
      <c r="N718" s="33">
        <f t="shared" si="627"/>
        <v>0</v>
      </c>
      <c r="O718" s="31">
        <f t="shared" si="628"/>
        <v>0</v>
      </c>
      <c r="P718" s="33">
        <f t="shared" si="629"/>
        <v>0</v>
      </c>
      <c r="Q718" s="34">
        <f t="shared" si="671"/>
        <v>822893.40206464229</v>
      </c>
      <c r="R718" s="29">
        <f t="shared" si="630"/>
        <v>0</v>
      </c>
      <c r="S718" s="34">
        <f t="shared" si="631"/>
        <v>822893.40206464229</v>
      </c>
      <c r="T718" s="29">
        <f t="shared" si="632"/>
        <v>685.74450172053525</v>
      </c>
      <c r="U718" s="29">
        <f t="shared" si="633"/>
        <v>0</v>
      </c>
      <c r="V718" s="35">
        <f t="shared" si="634"/>
        <v>1.2491325551044819E-3</v>
      </c>
      <c r="W718" s="34">
        <f t="shared" si="635"/>
        <v>0</v>
      </c>
      <c r="X718" s="34">
        <f t="shared" si="636"/>
        <v>822207.65756292176</v>
      </c>
      <c r="Y718" s="36">
        <f t="shared" si="637"/>
        <v>7.3443168632736366E-3</v>
      </c>
      <c r="Z718" s="34">
        <f t="shared" si="638"/>
        <v>6038.5535645520822</v>
      </c>
      <c r="AA718" s="34">
        <f t="shared" si="639"/>
        <v>825226.93434519775</v>
      </c>
      <c r="AB718" s="34">
        <f t="shared" si="640"/>
        <v>0</v>
      </c>
      <c r="AC718" s="34">
        <f t="shared" si="641"/>
        <v>0</v>
      </c>
      <c r="AD718" s="34">
        <f t="shared" si="642"/>
        <v>0</v>
      </c>
      <c r="AE718" s="34">
        <f t="shared" si="643"/>
        <v>0</v>
      </c>
      <c r="AF718" s="34">
        <f t="shared" si="644"/>
        <v>0</v>
      </c>
      <c r="AG718" s="29">
        <f t="shared" si="645"/>
        <v>825226.93434519775</v>
      </c>
      <c r="AH718" s="34">
        <f t="shared" si="646"/>
        <v>0</v>
      </c>
      <c r="AI718" s="34">
        <f t="shared" si="647"/>
        <v>0</v>
      </c>
      <c r="AJ718" s="34">
        <f t="shared" si="648"/>
        <v>0</v>
      </c>
      <c r="AK718" s="34">
        <f t="shared" si="649"/>
        <v>0</v>
      </c>
      <c r="AL718" s="34">
        <f t="shared" si="650"/>
        <v>0</v>
      </c>
      <c r="AM718" s="34">
        <f t="shared" si="651"/>
        <v>0</v>
      </c>
      <c r="AN718" s="34">
        <f t="shared" si="652"/>
        <v>0</v>
      </c>
      <c r="AO718" s="34">
        <f t="shared" si="653"/>
        <v>0</v>
      </c>
      <c r="AP718" s="34">
        <f t="shared" si="654"/>
        <v>0</v>
      </c>
      <c r="AQ718" s="34">
        <f t="shared" si="655"/>
        <v>0</v>
      </c>
      <c r="AR718" s="34">
        <f t="shared" si="656"/>
        <v>0</v>
      </c>
      <c r="AS718" s="30">
        <f t="shared" si="657"/>
        <v>1.8076807784029769</v>
      </c>
      <c r="AT718" s="29">
        <f t="shared" si="658"/>
        <v>0</v>
      </c>
      <c r="AU718" s="29">
        <f t="shared" si="659"/>
        <v>0</v>
      </c>
      <c r="AV718" s="34">
        <f t="shared" si="660"/>
        <v>0</v>
      </c>
      <c r="AW718" s="34">
        <f t="shared" si="661"/>
        <v>0</v>
      </c>
      <c r="AX718" s="29">
        <f t="shared" si="662"/>
        <v>0</v>
      </c>
      <c r="AY718" s="34">
        <f t="shared" si="663"/>
        <v>0</v>
      </c>
      <c r="AZ718" s="37">
        <f t="shared" si="664"/>
        <v>0</v>
      </c>
      <c r="BA718" s="37">
        <f t="shared" si="665"/>
        <v>0</v>
      </c>
      <c r="BB718" s="35">
        <f t="shared" si="666"/>
        <v>1.1608923845471963E-3</v>
      </c>
      <c r="BC718" s="31">
        <f t="shared" si="667"/>
        <v>0.4367490889259486</v>
      </c>
      <c r="BD718" s="34">
        <f t="shared" si="668"/>
        <v>0</v>
      </c>
    </row>
    <row r="719" spans="1:56" x14ac:dyDescent="0.2">
      <c r="A719" s="27">
        <f t="shared" si="669"/>
        <v>715</v>
      </c>
      <c r="B719" s="28">
        <f t="shared" si="616"/>
        <v>715</v>
      </c>
      <c r="C719" s="27">
        <f t="shared" si="617"/>
        <v>59</v>
      </c>
      <c r="D719" s="28">
        <f t="shared" si="618"/>
        <v>79</v>
      </c>
      <c r="E719" s="29">
        <f t="shared" si="619"/>
        <v>0</v>
      </c>
      <c r="F719" s="30">
        <f t="shared" si="620"/>
        <v>1.354211291262747E-2</v>
      </c>
      <c r="G719" s="31">
        <f t="shared" si="621"/>
        <v>1.1355750500949835E-3</v>
      </c>
      <c r="H719" s="32">
        <f t="shared" si="622"/>
        <v>0.02</v>
      </c>
      <c r="I719" s="32">
        <f t="shared" si="623"/>
        <v>0</v>
      </c>
      <c r="J719" s="33">
        <f t="shared" si="670"/>
        <v>0</v>
      </c>
      <c r="K719" s="30">
        <f t="shared" si="624"/>
        <v>0</v>
      </c>
      <c r="L719" s="33">
        <f t="shared" si="625"/>
        <v>0</v>
      </c>
      <c r="M719" s="30">
        <f t="shared" si="626"/>
        <v>0</v>
      </c>
      <c r="N719" s="33">
        <f t="shared" si="627"/>
        <v>0</v>
      </c>
      <c r="O719" s="31">
        <f t="shared" si="628"/>
        <v>0</v>
      </c>
      <c r="P719" s="33">
        <f t="shared" si="629"/>
        <v>0</v>
      </c>
      <c r="Q719" s="34">
        <f t="shared" si="671"/>
        <v>828246.21112747386</v>
      </c>
      <c r="R719" s="29">
        <f t="shared" si="630"/>
        <v>0</v>
      </c>
      <c r="S719" s="34">
        <f t="shared" si="631"/>
        <v>828246.21112747386</v>
      </c>
      <c r="T719" s="29">
        <f t="shared" si="632"/>
        <v>690.20517593956163</v>
      </c>
      <c r="U719" s="29">
        <f t="shared" si="633"/>
        <v>0</v>
      </c>
      <c r="V719" s="35">
        <f t="shared" si="634"/>
        <v>1.2491325551044819E-3</v>
      </c>
      <c r="W719" s="34">
        <f t="shared" si="635"/>
        <v>0</v>
      </c>
      <c r="X719" s="34">
        <f t="shared" si="636"/>
        <v>827556.00595153426</v>
      </c>
      <c r="Y719" s="36">
        <f t="shared" si="637"/>
        <v>-8.3857843422435741E-3</v>
      </c>
      <c r="Z719" s="34">
        <f t="shared" si="638"/>
        <v>-6939.7061970380064</v>
      </c>
      <c r="AA719" s="34">
        <f t="shared" si="639"/>
        <v>824086.15285301523</v>
      </c>
      <c r="AB719" s="34">
        <f t="shared" si="640"/>
        <v>0</v>
      </c>
      <c r="AC719" s="34">
        <f t="shared" si="641"/>
        <v>0</v>
      </c>
      <c r="AD719" s="34">
        <f t="shared" si="642"/>
        <v>0</v>
      </c>
      <c r="AE719" s="34">
        <f t="shared" si="643"/>
        <v>0</v>
      </c>
      <c r="AF719" s="34">
        <f t="shared" si="644"/>
        <v>0</v>
      </c>
      <c r="AG719" s="29">
        <f t="shared" si="645"/>
        <v>824086.15285301523</v>
      </c>
      <c r="AH719" s="34">
        <f t="shared" si="646"/>
        <v>0</v>
      </c>
      <c r="AI719" s="34">
        <f t="shared" si="647"/>
        <v>0</v>
      </c>
      <c r="AJ719" s="34">
        <f t="shared" si="648"/>
        <v>0</v>
      </c>
      <c r="AK719" s="34">
        <f t="shared" si="649"/>
        <v>0</v>
      </c>
      <c r="AL719" s="34">
        <f t="shared" si="650"/>
        <v>0</v>
      </c>
      <c r="AM719" s="34">
        <f t="shared" si="651"/>
        <v>0</v>
      </c>
      <c r="AN719" s="34">
        <f t="shared" si="652"/>
        <v>0</v>
      </c>
      <c r="AO719" s="34">
        <f t="shared" si="653"/>
        <v>0</v>
      </c>
      <c r="AP719" s="34">
        <f t="shared" si="654"/>
        <v>0</v>
      </c>
      <c r="AQ719" s="34">
        <f t="shared" si="655"/>
        <v>0</v>
      </c>
      <c r="AR719" s="34">
        <f t="shared" si="656"/>
        <v>0</v>
      </c>
      <c r="AS719" s="30">
        <f t="shared" si="657"/>
        <v>1.8091803185072333</v>
      </c>
      <c r="AT719" s="29">
        <f t="shared" si="658"/>
        <v>0</v>
      </c>
      <c r="AU719" s="29">
        <f t="shared" si="659"/>
        <v>0</v>
      </c>
      <c r="AV719" s="34">
        <f t="shared" si="660"/>
        <v>0</v>
      </c>
      <c r="AW719" s="34">
        <f t="shared" si="661"/>
        <v>0</v>
      </c>
      <c r="AX719" s="29">
        <f t="shared" si="662"/>
        <v>0</v>
      </c>
      <c r="AY719" s="34">
        <f t="shared" si="663"/>
        <v>0</v>
      </c>
      <c r="AZ719" s="37">
        <f t="shared" si="664"/>
        <v>0</v>
      </c>
      <c r="BA719" s="37">
        <f t="shared" si="665"/>
        <v>0</v>
      </c>
      <c r="BB719" s="35">
        <f t="shared" si="666"/>
        <v>1.1608923845471963E-3</v>
      </c>
      <c r="BC719" s="31">
        <f t="shared" si="667"/>
        <v>0.43624265814629198</v>
      </c>
      <c r="BD719" s="34">
        <f t="shared" si="668"/>
        <v>0</v>
      </c>
    </row>
    <row r="720" spans="1:56" x14ac:dyDescent="0.2">
      <c r="A720" s="27">
        <f t="shared" si="669"/>
        <v>716</v>
      </c>
      <c r="B720" s="28">
        <f t="shared" si="616"/>
        <v>716</v>
      </c>
      <c r="C720" s="27">
        <f t="shared" si="617"/>
        <v>59</v>
      </c>
      <c r="D720" s="28">
        <f t="shared" si="618"/>
        <v>79</v>
      </c>
      <c r="E720" s="29">
        <f t="shared" si="619"/>
        <v>0</v>
      </c>
      <c r="F720" s="30">
        <f t="shared" si="620"/>
        <v>1.354211291262747E-2</v>
      </c>
      <c r="G720" s="31">
        <f t="shared" si="621"/>
        <v>1.1355750500949835E-3</v>
      </c>
      <c r="H720" s="32">
        <f t="shared" si="622"/>
        <v>0.02</v>
      </c>
      <c r="I720" s="32">
        <f t="shared" si="623"/>
        <v>0</v>
      </c>
      <c r="J720" s="33">
        <f t="shared" si="670"/>
        <v>0</v>
      </c>
      <c r="K720" s="30">
        <f t="shared" si="624"/>
        <v>0</v>
      </c>
      <c r="L720" s="33">
        <f t="shared" si="625"/>
        <v>0</v>
      </c>
      <c r="M720" s="30">
        <f t="shared" si="626"/>
        <v>0</v>
      </c>
      <c r="N720" s="33">
        <f t="shared" si="627"/>
        <v>0</v>
      </c>
      <c r="O720" s="31">
        <f t="shared" si="628"/>
        <v>0</v>
      </c>
      <c r="P720" s="33">
        <f t="shared" si="629"/>
        <v>0</v>
      </c>
      <c r="Q720" s="34">
        <f t="shared" si="671"/>
        <v>820616.2997544962</v>
      </c>
      <c r="R720" s="29">
        <f t="shared" si="630"/>
        <v>0</v>
      </c>
      <c r="S720" s="34">
        <f t="shared" si="631"/>
        <v>820616.2997544962</v>
      </c>
      <c r="T720" s="29">
        <f t="shared" si="632"/>
        <v>683.84691646208023</v>
      </c>
      <c r="U720" s="29">
        <f t="shared" si="633"/>
        <v>0</v>
      </c>
      <c r="V720" s="35">
        <f t="shared" si="634"/>
        <v>1.2491325551044819E-3</v>
      </c>
      <c r="W720" s="34">
        <f t="shared" si="635"/>
        <v>0</v>
      </c>
      <c r="X720" s="34">
        <f t="shared" si="636"/>
        <v>819932.45283803414</v>
      </c>
      <c r="Y720" s="36">
        <f t="shared" si="637"/>
        <v>-4.1239663463332743E-4</v>
      </c>
      <c r="Z720" s="34">
        <f t="shared" si="638"/>
        <v>-338.13738417705474</v>
      </c>
      <c r="AA720" s="34">
        <f t="shared" si="639"/>
        <v>819763.38414594566</v>
      </c>
      <c r="AB720" s="34">
        <f t="shared" si="640"/>
        <v>0</v>
      </c>
      <c r="AC720" s="34">
        <f t="shared" si="641"/>
        <v>0</v>
      </c>
      <c r="AD720" s="34">
        <f t="shared" si="642"/>
        <v>0</v>
      </c>
      <c r="AE720" s="34">
        <f t="shared" si="643"/>
        <v>0</v>
      </c>
      <c r="AF720" s="34">
        <f t="shared" si="644"/>
        <v>0</v>
      </c>
      <c r="AG720" s="29">
        <f t="shared" si="645"/>
        <v>819763.38414594566</v>
      </c>
      <c r="AH720" s="34">
        <f t="shared" si="646"/>
        <v>0</v>
      </c>
      <c r="AI720" s="34">
        <f t="shared" si="647"/>
        <v>0</v>
      </c>
      <c r="AJ720" s="34">
        <f t="shared" si="648"/>
        <v>0</v>
      </c>
      <c r="AK720" s="34">
        <f t="shared" si="649"/>
        <v>0</v>
      </c>
      <c r="AL720" s="34">
        <f t="shared" si="650"/>
        <v>0</v>
      </c>
      <c r="AM720" s="34">
        <f t="shared" si="651"/>
        <v>0</v>
      </c>
      <c r="AN720" s="34">
        <f t="shared" si="652"/>
        <v>0</v>
      </c>
      <c r="AO720" s="34">
        <f t="shared" si="653"/>
        <v>0</v>
      </c>
      <c r="AP720" s="34">
        <f t="shared" si="654"/>
        <v>0</v>
      </c>
      <c r="AQ720" s="34">
        <f t="shared" si="655"/>
        <v>0</v>
      </c>
      <c r="AR720" s="34">
        <f t="shared" si="656"/>
        <v>0</v>
      </c>
      <c r="AS720" s="30">
        <f t="shared" si="657"/>
        <v>1.8106811025371601</v>
      </c>
      <c r="AT720" s="29">
        <f t="shared" si="658"/>
        <v>0</v>
      </c>
      <c r="AU720" s="29">
        <f t="shared" si="659"/>
        <v>0</v>
      </c>
      <c r="AV720" s="34">
        <f t="shared" si="660"/>
        <v>0</v>
      </c>
      <c r="AW720" s="34">
        <f t="shared" si="661"/>
        <v>0</v>
      </c>
      <c r="AX720" s="29">
        <f t="shared" si="662"/>
        <v>0</v>
      </c>
      <c r="AY720" s="34">
        <f t="shared" si="663"/>
        <v>0</v>
      </c>
      <c r="AZ720" s="37">
        <f t="shared" si="664"/>
        <v>0</v>
      </c>
      <c r="BA720" s="37">
        <f t="shared" si="665"/>
        <v>0</v>
      </c>
      <c r="BB720" s="35">
        <f t="shared" si="666"/>
        <v>1.1608923845471963E-3</v>
      </c>
      <c r="BC720" s="31">
        <f t="shared" si="667"/>
        <v>0.43573681459656</v>
      </c>
      <c r="BD720" s="34">
        <f t="shared" si="668"/>
        <v>0</v>
      </c>
    </row>
    <row r="721" spans="1:56" x14ac:dyDescent="0.2">
      <c r="A721" s="27">
        <f t="shared" si="669"/>
        <v>717</v>
      </c>
      <c r="B721" s="28">
        <f t="shared" si="616"/>
        <v>717</v>
      </c>
      <c r="C721" s="27">
        <f t="shared" si="617"/>
        <v>59</v>
      </c>
      <c r="D721" s="28">
        <f t="shared" si="618"/>
        <v>79</v>
      </c>
      <c r="E721" s="29">
        <f t="shared" si="619"/>
        <v>0</v>
      </c>
      <c r="F721" s="30">
        <f t="shared" si="620"/>
        <v>1.354211291262747E-2</v>
      </c>
      <c r="G721" s="31">
        <f t="shared" si="621"/>
        <v>1.1355750500949835E-3</v>
      </c>
      <c r="H721" s="32">
        <f t="shared" si="622"/>
        <v>0.02</v>
      </c>
      <c r="I721" s="32">
        <f t="shared" si="623"/>
        <v>0</v>
      </c>
      <c r="J721" s="33">
        <f t="shared" si="670"/>
        <v>0</v>
      </c>
      <c r="K721" s="30">
        <f t="shared" si="624"/>
        <v>0</v>
      </c>
      <c r="L721" s="33">
        <f t="shared" si="625"/>
        <v>0</v>
      </c>
      <c r="M721" s="30">
        <f t="shared" si="626"/>
        <v>0</v>
      </c>
      <c r="N721" s="33">
        <f t="shared" si="627"/>
        <v>0</v>
      </c>
      <c r="O721" s="31">
        <f t="shared" si="628"/>
        <v>0</v>
      </c>
      <c r="P721" s="33">
        <f t="shared" si="629"/>
        <v>0</v>
      </c>
      <c r="Q721" s="34">
        <f t="shared" si="671"/>
        <v>819594.31545385707</v>
      </c>
      <c r="R721" s="29">
        <f t="shared" si="630"/>
        <v>0</v>
      </c>
      <c r="S721" s="34">
        <f t="shared" si="631"/>
        <v>819594.31545385707</v>
      </c>
      <c r="T721" s="29">
        <f t="shared" si="632"/>
        <v>682.99526287821425</v>
      </c>
      <c r="U721" s="29">
        <f t="shared" si="633"/>
        <v>0</v>
      </c>
      <c r="V721" s="35">
        <f t="shared" si="634"/>
        <v>1.2491325551044819E-3</v>
      </c>
      <c r="W721" s="34">
        <f t="shared" si="635"/>
        <v>0</v>
      </c>
      <c r="X721" s="34">
        <f t="shared" si="636"/>
        <v>818911.32019097882</v>
      </c>
      <c r="Y721" s="36">
        <f t="shared" si="637"/>
        <v>1.2207083494840454E-2</v>
      </c>
      <c r="Z721" s="34">
        <f t="shared" si="638"/>
        <v>9996.5188604413033</v>
      </c>
      <c r="AA721" s="34">
        <f t="shared" si="639"/>
        <v>823909.57962119952</v>
      </c>
      <c r="AB721" s="34">
        <f t="shared" si="640"/>
        <v>0</v>
      </c>
      <c r="AC721" s="34">
        <f t="shared" si="641"/>
        <v>0</v>
      </c>
      <c r="AD721" s="34">
        <f t="shared" si="642"/>
        <v>0</v>
      </c>
      <c r="AE721" s="34">
        <f t="shared" si="643"/>
        <v>0</v>
      </c>
      <c r="AF721" s="34">
        <f t="shared" si="644"/>
        <v>0</v>
      </c>
      <c r="AG721" s="29">
        <f t="shared" si="645"/>
        <v>823909.57962119952</v>
      </c>
      <c r="AH721" s="34">
        <f t="shared" si="646"/>
        <v>0</v>
      </c>
      <c r="AI721" s="34">
        <f t="shared" si="647"/>
        <v>0</v>
      </c>
      <c r="AJ721" s="34">
        <f t="shared" si="648"/>
        <v>0</v>
      </c>
      <c r="AK721" s="34">
        <f t="shared" si="649"/>
        <v>0</v>
      </c>
      <c r="AL721" s="34">
        <f t="shared" si="650"/>
        <v>0</v>
      </c>
      <c r="AM721" s="34">
        <f t="shared" si="651"/>
        <v>0</v>
      </c>
      <c r="AN721" s="34">
        <f t="shared" si="652"/>
        <v>0</v>
      </c>
      <c r="AO721" s="34">
        <f t="shared" si="653"/>
        <v>0</v>
      </c>
      <c r="AP721" s="34">
        <f t="shared" si="654"/>
        <v>0</v>
      </c>
      <c r="AQ721" s="34">
        <f t="shared" si="655"/>
        <v>0</v>
      </c>
      <c r="AR721" s="34">
        <f t="shared" si="656"/>
        <v>0</v>
      </c>
      <c r="AS721" s="30">
        <f t="shared" si="657"/>
        <v>1.8121831315246413</v>
      </c>
      <c r="AT721" s="29">
        <f t="shared" si="658"/>
        <v>0</v>
      </c>
      <c r="AU721" s="29">
        <f t="shared" si="659"/>
        <v>0</v>
      </c>
      <c r="AV721" s="34">
        <f t="shared" si="660"/>
        <v>0</v>
      </c>
      <c r="AW721" s="34">
        <f t="shared" si="661"/>
        <v>0</v>
      </c>
      <c r="AX721" s="29">
        <f t="shared" si="662"/>
        <v>0</v>
      </c>
      <c r="AY721" s="34">
        <f t="shared" si="663"/>
        <v>0</v>
      </c>
      <c r="AZ721" s="37">
        <f t="shared" si="664"/>
        <v>0</v>
      </c>
      <c r="BA721" s="37">
        <f t="shared" si="665"/>
        <v>0</v>
      </c>
      <c r="BB721" s="35">
        <f t="shared" si="666"/>
        <v>1.1608923845471963E-3</v>
      </c>
      <c r="BC721" s="31">
        <f t="shared" si="667"/>
        <v>0.43523155759583237</v>
      </c>
      <c r="BD721" s="34">
        <f t="shared" si="668"/>
        <v>0</v>
      </c>
    </row>
    <row r="722" spans="1:56" x14ac:dyDescent="0.2">
      <c r="A722" s="27">
        <f t="shared" si="669"/>
        <v>718</v>
      </c>
      <c r="B722" s="28">
        <f t="shared" si="616"/>
        <v>718</v>
      </c>
      <c r="C722" s="27">
        <f t="shared" si="617"/>
        <v>59</v>
      </c>
      <c r="D722" s="28">
        <f t="shared" si="618"/>
        <v>79</v>
      </c>
      <c r="E722" s="29">
        <f t="shared" si="619"/>
        <v>0</v>
      </c>
      <c r="F722" s="30">
        <f t="shared" si="620"/>
        <v>1.354211291262747E-2</v>
      </c>
      <c r="G722" s="31">
        <f t="shared" si="621"/>
        <v>1.1355750500949835E-3</v>
      </c>
      <c r="H722" s="32">
        <f t="shared" si="622"/>
        <v>0.02</v>
      </c>
      <c r="I722" s="32">
        <f t="shared" si="623"/>
        <v>0</v>
      </c>
      <c r="J722" s="33">
        <f t="shared" si="670"/>
        <v>0</v>
      </c>
      <c r="K722" s="30">
        <f t="shared" si="624"/>
        <v>0</v>
      </c>
      <c r="L722" s="33">
        <f t="shared" si="625"/>
        <v>0</v>
      </c>
      <c r="M722" s="30">
        <f t="shared" si="626"/>
        <v>0</v>
      </c>
      <c r="N722" s="33">
        <f t="shared" si="627"/>
        <v>0</v>
      </c>
      <c r="O722" s="31">
        <f t="shared" si="628"/>
        <v>0</v>
      </c>
      <c r="P722" s="33">
        <f t="shared" si="629"/>
        <v>0</v>
      </c>
      <c r="Q722" s="34">
        <f t="shared" si="671"/>
        <v>828907.8390514201</v>
      </c>
      <c r="R722" s="29">
        <f t="shared" si="630"/>
        <v>0</v>
      </c>
      <c r="S722" s="34">
        <f t="shared" si="631"/>
        <v>828907.8390514201</v>
      </c>
      <c r="T722" s="29">
        <f t="shared" si="632"/>
        <v>690.7565325428501</v>
      </c>
      <c r="U722" s="29">
        <f t="shared" si="633"/>
        <v>0</v>
      </c>
      <c r="V722" s="35">
        <f t="shared" si="634"/>
        <v>1.2491325551044819E-3</v>
      </c>
      <c r="W722" s="34">
        <f t="shared" si="635"/>
        <v>0</v>
      </c>
      <c r="X722" s="34">
        <f t="shared" si="636"/>
        <v>828217.08251887723</v>
      </c>
      <c r="Y722" s="36">
        <f t="shared" si="637"/>
        <v>-2.5627100642879874E-3</v>
      </c>
      <c r="Z722" s="34">
        <f t="shared" si="638"/>
        <v>-2122.4802527863612</v>
      </c>
      <c r="AA722" s="34">
        <f t="shared" si="639"/>
        <v>827155.84239248408</v>
      </c>
      <c r="AB722" s="34">
        <f t="shared" si="640"/>
        <v>0</v>
      </c>
      <c r="AC722" s="34">
        <f t="shared" si="641"/>
        <v>0</v>
      </c>
      <c r="AD722" s="34">
        <f t="shared" si="642"/>
        <v>0</v>
      </c>
      <c r="AE722" s="34">
        <f t="shared" si="643"/>
        <v>0</v>
      </c>
      <c r="AF722" s="34">
        <f t="shared" si="644"/>
        <v>0</v>
      </c>
      <c r="AG722" s="29">
        <f t="shared" si="645"/>
        <v>827155.84239248408</v>
      </c>
      <c r="AH722" s="34">
        <f t="shared" si="646"/>
        <v>0</v>
      </c>
      <c r="AI722" s="34">
        <f t="shared" si="647"/>
        <v>0</v>
      </c>
      <c r="AJ722" s="34">
        <f t="shared" si="648"/>
        <v>0</v>
      </c>
      <c r="AK722" s="34">
        <f t="shared" si="649"/>
        <v>0</v>
      </c>
      <c r="AL722" s="34">
        <f t="shared" si="650"/>
        <v>0</v>
      </c>
      <c r="AM722" s="34">
        <f t="shared" si="651"/>
        <v>0</v>
      </c>
      <c r="AN722" s="34">
        <f t="shared" si="652"/>
        <v>0</v>
      </c>
      <c r="AO722" s="34">
        <f t="shared" si="653"/>
        <v>0</v>
      </c>
      <c r="AP722" s="34">
        <f t="shared" si="654"/>
        <v>0</v>
      </c>
      <c r="AQ722" s="34">
        <f t="shared" si="655"/>
        <v>0</v>
      </c>
      <c r="AR722" s="34">
        <f t="shared" si="656"/>
        <v>0</v>
      </c>
      <c r="AS722" s="30">
        <f t="shared" si="657"/>
        <v>1.8136864065024161</v>
      </c>
      <c r="AT722" s="29">
        <f t="shared" si="658"/>
        <v>0</v>
      </c>
      <c r="AU722" s="29">
        <f t="shared" si="659"/>
        <v>0</v>
      </c>
      <c r="AV722" s="34">
        <f t="shared" si="660"/>
        <v>0</v>
      </c>
      <c r="AW722" s="34">
        <f t="shared" si="661"/>
        <v>0</v>
      </c>
      <c r="AX722" s="29">
        <f t="shared" si="662"/>
        <v>0</v>
      </c>
      <c r="AY722" s="34">
        <f t="shared" si="663"/>
        <v>0</v>
      </c>
      <c r="AZ722" s="37">
        <f t="shared" si="664"/>
        <v>0</v>
      </c>
      <c r="BA722" s="37">
        <f t="shared" si="665"/>
        <v>0</v>
      </c>
      <c r="BB722" s="35">
        <f t="shared" si="666"/>
        <v>1.1608923845471963E-3</v>
      </c>
      <c r="BC722" s="31">
        <f t="shared" si="667"/>
        <v>0.43472688646397839</v>
      </c>
      <c r="BD722" s="34">
        <f t="shared" si="668"/>
        <v>0</v>
      </c>
    </row>
    <row r="723" spans="1:56" x14ac:dyDescent="0.2">
      <c r="A723" s="27">
        <f t="shared" si="669"/>
        <v>719</v>
      </c>
      <c r="B723" s="28">
        <f t="shared" si="616"/>
        <v>719</v>
      </c>
      <c r="C723" s="27">
        <f t="shared" si="617"/>
        <v>59</v>
      </c>
      <c r="D723" s="28">
        <f t="shared" si="618"/>
        <v>79</v>
      </c>
      <c r="E723" s="29">
        <f t="shared" si="619"/>
        <v>0</v>
      </c>
      <c r="F723" s="30">
        <f t="shared" si="620"/>
        <v>1.354211291262747E-2</v>
      </c>
      <c r="G723" s="31">
        <f t="shared" si="621"/>
        <v>1.1355750500949835E-3</v>
      </c>
      <c r="H723" s="32">
        <f t="shared" si="622"/>
        <v>0.02</v>
      </c>
      <c r="I723" s="32">
        <f t="shared" si="623"/>
        <v>0</v>
      </c>
      <c r="J723" s="33">
        <f t="shared" si="670"/>
        <v>0</v>
      </c>
      <c r="K723" s="30">
        <f t="shared" si="624"/>
        <v>0</v>
      </c>
      <c r="L723" s="33">
        <f t="shared" si="625"/>
        <v>0</v>
      </c>
      <c r="M723" s="30">
        <f t="shared" si="626"/>
        <v>0</v>
      </c>
      <c r="N723" s="33">
        <f t="shared" si="627"/>
        <v>0</v>
      </c>
      <c r="O723" s="31">
        <f t="shared" si="628"/>
        <v>0</v>
      </c>
      <c r="P723" s="33">
        <f t="shared" si="629"/>
        <v>0</v>
      </c>
      <c r="Q723" s="34">
        <f t="shared" si="671"/>
        <v>826094.60226609092</v>
      </c>
      <c r="R723" s="29">
        <f t="shared" si="630"/>
        <v>0</v>
      </c>
      <c r="S723" s="34">
        <f t="shared" si="631"/>
        <v>826094.60226609092</v>
      </c>
      <c r="T723" s="29">
        <f t="shared" si="632"/>
        <v>688.41216855507582</v>
      </c>
      <c r="U723" s="29">
        <f t="shared" si="633"/>
        <v>0</v>
      </c>
      <c r="V723" s="35">
        <f t="shared" si="634"/>
        <v>1.2491325551044819E-3</v>
      </c>
      <c r="W723" s="34">
        <f t="shared" si="635"/>
        <v>0</v>
      </c>
      <c r="X723" s="34">
        <f t="shared" si="636"/>
        <v>825406.19009753584</v>
      </c>
      <c r="Y723" s="36">
        <f t="shared" si="637"/>
        <v>-1.633008864019625E-3</v>
      </c>
      <c r="Z723" s="34">
        <f t="shared" si="638"/>
        <v>-1347.8956248459435</v>
      </c>
      <c r="AA723" s="34">
        <f t="shared" si="639"/>
        <v>824732.24228511285</v>
      </c>
      <c r="AB723" s="34">
        <f t="shared" si="640"/>
        <v>0</v>
      </c>
      <c r="AC723" s="34">
        <f t="shared" si="641"/>
        <v>0</v>
      </c>
      <c r="AD723" s="34">
        <f t="shared" si="642"/>
        <v>0</v>
      </c>
      <c r="AE723" s="34">
        <f t="shared" si="643"/>
        <v>0</v>
      </c>
      <c r="AF723" s="34">
        <f t="shared" si="644"/>
        <v>0</v>
      </c>
      <c r="AG723" s="29">
        <f t="shared" si="645"/>
        <v>824732.24228511285</v>
      </c>
      <c r="AH723" s="34">
        <f t="shared" si="646"/>
        <v>0</v>
      </c>
      <c r="AI723" s="34">
        <f t="shared" si="647"/>
        <v>0</v>
      </c>
      <c r="AJ723" s="34">
        <f t="shared" si="648"/>
        <v>0</v>
      </c>
      <c r="AK723" s="34">
        <f t="shared" si="649"/>
        <v>0</v>
      </c>
      <c r="AL723" s="34">
        <f t="shared" si="650"/>
        <v>0</v>
      </c>
      <c r="AM723" s="34">
        <f t="shared" si="651"/>
        <v>0</v>
      </c>
      <c r="AN723" s="34">
        <f t="shared" si="652"/>
        <v>0</v>
      </c>
      <c r="AO723" s="34">
        <f t="shared" si="653"/>
        <v>0</v>
      </c>
      <c r="AP723" s="34">
        <f t="shared" si="654"/>
        <v>0</v>
      </c>
      <c r="AQ723" s="34">
        <f t="shared" si="655"/>
        <v>0</v>
      </c>
      <c r="AR723" s="34">
        <f t="shared" si="656"/>
        <v>0</v>
      </c>
      <c r="AS723" s="30">
        <f t="shared" si="657"/>
        <v>1.8151909285040817</v>
      </c>
      <c r="AT723" s="29">
        <f t="shared" si="658"/>
        <v>0</v>
      </c>
      <c r="AU723" s="29">
        <f t="shared" si="659"/>
        <v>0</v>
      </c>
      <c r="AV723" s="34">
        <f t="shared" si="660"/>
        <v>0</v>
      </c>
      <c r="AW723" s="34">
        <f t="shared" si="661"/>
        <v>0</v>
      </c>
      <c r="AX723" s="29">
        <f t="shared" si="662"/>
        <v>0</v>
      </c>
      <c r="AY723" s="34">
        <f t="shared" si="663"/>
        <v>0</v>
      </c>
      <c r="AZ723" s="37">
        <f t="shared" si="664"/>
        <v>0</v>
      </c>
      <c r="BA723" s="37">
        <f t="shared" si="665"/>
        <v>0</v>
      </c>
      <c r="BB723" s="35">
        <f t="shared" si="666"/>
        <v>1.1608923845471963E-3</v>
      </c>
      <c r="BC723" s="31">
        <f t="shared" si="667"/>
        <v>0.43422280052165613</v>
      </c>
      <c r="BD723" s="34">
        <f t="shared" si="668"/>
        <v>0</v>
      </c>
    </row>
    <row r="724" spans="1:56" x14ac:dyDescent="0.2">
      <c r="A724" s="27">
        <f t="shared" si="669"/>
        <v>720</v>
      </c>
      <c r="B724" s="28">
        <f t="shared" si="616"/>
        <v>720</v>
      </c>
      <c r="C724" s="27">
        <f t="shared" si="617"/>
        <v>60</v>
      </c>
      <c r="D724" s="28">
        <f t="shared" si="618"/>
        <v>80</v>
      </c>
      <c r="E724" s="29">
        <f t="shared" si="619"/>
        <v>0</v>
      </c>
      <c r="F724" s="30">
        <f t="shared" si="620"/>
        <v>1.5039967766402909E-2</v>
      </c>
      <c r="G724" s="31">
        <f t="shared" si="621"/>
        <v>1.2620541927376161E-3</v>
      </c>
      <c r="H724" s="32">
        <f t="shared" si="622"/>
        <v>0.02</v>
      </c>
      <c r="I724" s="32">
        <f t="shared" si="623"/>
        <v>0</v>
      </c>
      <c r="J724" s="33">
        <f t="shared" si="670"/>
        <v>0</v>
      </c>
      <c r="K724" s="30">
        <f t="shared" si="624"/>
        <v>0</v>
      </c>
      <c r="L724" s="33">
        <f t="shared" si="625"/>
        <v>0</v>
      </c>
      <c r="M724" s="30">
        <f t="shared" si="626"/>
        <v>0</v>
      </c>
      <c r="N724" s="33">
        <f t="shared" si="627"/>
        <v>0</v>
      </c>
      <c r="O724" s="31">
        <f t="shared" si="628"/>
        <v>0</v>
      </c>
      <c r="P724" s="33">
        <f t="shared" si="629"/>
        <v>0</v>
      </c>
      <c r="Q724" s="34">
        <f t="shared" si="671"/>
        <v>824058.29447268986</v>
      </c>
      <c r="R724" s="29">
        <f t="shared" si="630"/>
        <v>0</v>
      </c>
      <c r="S724" s="34">
        <f t="shared" si="631"/>
        <v>824058.29447268986</v>
      </c>
      <c r="T724" s="29">
        <f t="shared" si="632"/>
        <v>686.71524539390828</v>
      </c>
      <c r="U724" s="29">
        <f t="shared" si="633"/>
        <v>0</v>
      </c>
      <c r="V724" s="35">
        <f t="shared" si="634"/>
        <v>1.3882596120113778E-3</v>
      </c>
      <c r="W724" s="34">
        <f t="shared" si="635"/>
        <v>0</v>
      </c>
      <c r="X724" s="34">
        <f t="shared" si="636"/>
        <v>823371.57922729594</v>
      </c>
      <c r="Y724" s="36">
        <f t="shared" si="637"/>
        <v>1.09526805603406E-2</v>
      </c>
      <c r="Z724" s="34">
        <f t="shared" si="638"/>
        <v>9018.1258897397438</v>
      </c>
      <c r="AA724" s="34">
        <f t="shared" si="639"/>
        <v>827880.6421721658</v>
      </c>
      <c r="AB724" s="34">
        <f t="shared" si="640"/>
        <v>0</v>
      </c>
      <c r="AC724" s="34">
        <f t="shared" si="641"/>
        <v>0</v>
      </c>
      <c r="AD724" s="34">
        <f t="shared" si="642"/>
        <v>0</v>
      </c>
      <c r="AE724" s="34">
        <f t="shared" si="643"/>
        <v>0</v>
      </c>
      <c r="AF724" s="34">
        <f t="shared" si="644"/>
        <v>0</v>
      </c>
      <c r="AG724" s="29">
        <f t="shared" si="645"/>
        <v>827880.6421721658</v>
      </c>
      <c r="AH724" s="34">
        <f t="shared" si="646"/>
        <v>0</v>
      </c>
      <c r="AI724" s="34">
        <f t="shared" si="647"/>
        <v>0</v>
      </c>
      <c r="AJ724" s="34">
        <f t="shared" si="648"/>
        <v>0</v>
      </c>
      <c r="AK724" s="34">
        <f t="shared" si="649"/>
        <v>0</v>
      </c>
      <c r="AL724" s="34">
        <f t="shared" si="650"/>
        <v>0</v>
      </c>
      <c r="AM724" s="34">
        <f t="shared" si="651"/>
        <v>0</v>
      </c>
      <c r="AN724" s="34">
        <f t="shared" si="652"/>
        <v>0</v>
      </c>
      <c r="AO724" s="34">
        <f t="shared" si="653"/>
        <v>0</v>
      </c>
      <c r="AP724" s="34">
        <f t="shared" si="654"/>
        <v>0</v>
      </c>
      <c r="AQ724" s="34">
        <f t="shared" si="655"/>
        <v>0</v>
      </c>
      <c r="AR724" s="34">
        <f t="shared" si="656"/>
        <v>0</v>
      </c>
      <c r="AS724" s="30">
        <f t="shared" si="657"/>
        <v>1.8166966985640913</v>
      </c>
      <c r="AT724" s="29">
        <f t="shared" si="658"/>
        <v>0</v>
      </c>
      <c r="AU724" s="29">
        <f t="shared" si="659"/>
        <v>0</v>
      </c>
      <c r="AV724" s="34">
        <f t="shared" si="660"/>
        <v>0</v>
      </c>
      <c r="AW724" s="34">
        <f t="shared" si="661"/>
        <v>0</v>
      </c>
      <c r="AX724" s="29">
        <f t="shared" si="662"/>
        <v>0</v>
      </c>
      <c r="AY724" s="34">
        <f t="shared" si="663"/>
        <v>0</v>
      </c>
      <c r="AZ724" s="37">
        <f t="shared" si="664"/>
        <v>0</v>
      </c>
      <c r="BA724" s="37">
        <f t="shared" si="665"/>
        <v>0</v>
      </c>
      <c r="BB724" s="35">
        <f t="shared" si="666"/>
        <v>1.1896846248979909E-3</v>
      </c>
      <c r="BC724" s="31">
        <f t="shared" si="667"/>
        <v>0.42483101203908807</v>
      </c>
      <c r="BD724" s="34">
        <f t="shared" si="668"/>
        <v>0</v>
      </c>
    </row>
    <row r="725" spans="1:56" x14ac:dyDescent="0.2">
      <c r="A725" s="27">
        <f t="shared" si="669"/>
        <v>721</v>
      </c>
      <c r="B725" s="28">
        <f t="shared" si="616"/>
        <v>721</v>
      </c>
      <c r="C725" s="27">
        <f t="shared" si="617"/>
        <v>60</v>
      </c>
      <c r="D725" s="28">
        <f t="shared" si="618"/>
        <v>80</v>
      </c>
      <c r="E725" s="29">
        <f t="shared" si="619"/>
        <v>0</v>
      </c>
      <c r="F725" s="30">
        <f t="shared" si="620"/>
        <v>1.5039967766402909E-2</v>
      </c>
      <c r="G725" s="31">
        <f t="shared" si="621"/>
        <v>1.2620541927376161E-3</v>
      </c>
      <c r="H725" s="32">
        <f t="shared" si="622"/>
        <v>0.02</v>
      </c>
      <c r="I725" s="32">
        <f t="shared" si="623"/>
        <v>0</v>
      </c>
      <c r="J725" s="33">
        <f t="shared" si="670"/>
        <v>0</v>
      </c>
      <c r="K725" s="30">
        <f t="shared" si="624"/>
        <v>0</v>
      </c>
      <c r="L725" s="33">
        <f t="shared" si="625"/>
        <v>0</v>
      </c>
      <c r="M725" s="30">
        <f t="shared" si="626"/>
        <v>0</v>
      </c>
      <c r="N725" s="33">
        <f t="shared" si="627"/>
        <v>0</v>
      </c>
      <c r="O725" s="31">
        <f t="shared" si="628"/>
        <v>0</v>
      </c>
      <c r="P725" s="33">
        <f t="shared" si="629"/>
        <v>0</v>
      </c>
      <c r="Q725" s="34">
        <f t="shared" si="671"/>
        <v>832389.70511703566</v>
      </c>
      <c r="R725" s="29">
        <f t="shared" si="630"/>
        <v>0</v>
      </c>
      <c r="S725" s="34">
        <f t="shared" si="631"/>
        <v>832389.70511703566</v>
      </c>
      <c r="T725" s="29">
        <f t="shared" si="632"/>
        <v>693.65808759752974</v>
      </c>
      <c r="U725" s="29">
        <f t="shared" si="633"/>
        <v>0</v>
      </c>
      <c r="V725" s="35">
        <f t="shared" si="634"/>
        <v>1.3882596120113778E-3</v>
      </c>
      <c r="W725" s="34">
        <f t="shared" si="635"/>
        <v>0</v>
      </c>
      <c r="X725" s="34">
        <f t="shared" si="636"/>
        <v>831696.04702943808</v>
      </c>
      <c r="Y725" s="36">
        <f t="shared" si="637"/>
        <v>-6.3666846035637104E-3</v>
      </c>
      <c r="Z725" s="34">
        <f t="shared" si="638"/>
        <v>-5295.1464174671228</v>
      </c>
      <c r="AA725" s="34">
        <f t="shared" si="639"/>
        <v>829048.4738207045</v>
      </c>
      <c r="AB725" s="34">
        <f t="shared" si="640"/>
        <v>0</v>
      </c>
      <c r="AC725" s="34">
        <f t="shared" si="641"/>
        <v>0</v>
      </c>
      <c r="AD725" s="34">
        <f t="shared" si="642"/>
        <v>0</v>
      </c>
      <c r="AE725" s="34">
        <f t="shared" si="643"/>
        <v>0</v>
      </c>
      <c r="AF725" s="34">
        <f t="shared" si="644"/>
        <v>0</v>
      </c>
      <c r="AG725" s="29">
        <f t="shared" si="645"/>
        <v>829048.4738207045</v>
      </c>
      <c r="AH725" s="34">
        <f t="shared" si="646"/>
        <v>0</v>
      </c>
      <c r="AI725" s="34">
        <f t="shared" si="647"/>
        <v>0</v>
      </c>
      <c r="AJ725" s="34">
        <f t="shared" si="648"/>
        <v>0</v>
      </c>
      <c r="AK725" s="34">
        <f t="shared" si="649"/>
        <v>0</v>
      </c>
      <c r="AL725" s="34">
        <f t="shared" si="650"/>
        <v>0</v>
      </c>
      <c r="AM725" s="34">
        <f t="shared" si="651"/>
        <v>0</v>
      </c>
      <c r="AN725" s="34">
        <f t="shared" si="652"/>
        <v>0</v>
      </c>
      <c r="AO725" s="34">
        <f t="shared" si="653"/>
        <v>0</v>
      </c>
      <c r="AP725" s="34">
        <f t="shared" si="654"/>
        <v>0</v>
      </c>
      <c r="AQ725" s="34">
        <f t="shared" si="655"/>
        <v>0</v>
      </c>
      <c r="AR725" s="34">
        <f t="shared" si="656"/>
        <v>0</v>
      </c>
      <c r="AS725" s="30">
        <f t="shared" si="657"/>
        <v>1.8182037177177572</v>
      </c>
      <c r="AT725" s="29">
        <f t="shared" si="658"/>
        <v>0</v>
      </c>
      <c r="AU725" s="29">
        <f t="shared" si="659"/>
        <v>0</v>
      </c>
      <c r="AV725" s="34">
        <f t="shared" si="660"/>
        <v>0</v>
      </c>
      <c r="AW725" s="34">
        <f t="shared" si="661"/>
        <v>0</v>
      </c>
      <c r="AX725" s="29">
        <f t="shared" si="662"/>
        <v>0</v>
      </c>
      <c r="AY725" s="34">
        <f t="shared" si="663"/>
        <v>0</v>
      </c>
      <c r="AZ725" s="37">
        <f t="shared" si="664"/>
        <v>0</v>
      </c>
      <c r="BA725" s="37">
        <f t="shared" si="665"/>
        <v>0</v>
      </c>
      <c r="BB725" s="35">
        <f t="shared" si="666"/>
        <v>1.1896846248979909E-3</v>
      </c>
      <c r="BC725" s="31">
        <f t="shared" si="667"/>
        <v>0.4243261976857598</v>
      </c>
      <c r="BD725" s="34">
        <f t="shared" si="668"/>
        <v>0</v>
      </c>
    </row>
    <row r="726" spans="1:56" x14ac:dyDescent="0.2">
      <c r="A726" s="27">
        <f t="shared" si="669"/>
        <v>722</v>
      </c>
      <c r="B726" s="28">
        <f t="shared" si="616"/>
        <v>722</v>
      </c>
      <c r="C726" s="27">
        <f t="shared" si="617"/>
        <v>60</v>
      </c>
      <c r="D726" s="28">
        <f t="shared" si="618"/>
        <v>80</v>
      </c>
      <c r="E726" s="29">
        <f t="shared" si="619"/>
        <v>0</v>
      </c>
      <c r="F726" s="30">
        <f t="shared" si="620"/>
        <v>1.5039967766402909E-2</v>
      </c>
      <c r="G726" s="31">
        <f t="shared" si="621"/>
        <v>1.2620541927376161E-3</v>
      </c>
      <c r="H726" s="32">
        <f t="shared" si="622"/>
        <v>0.02</v>
      </c>
      <c r="I726" s="32">
        <f t="shared" si="623"/>
        <v>0</v>
      </c>
      <c r="J726" s="33">
        <f t="shared" si="670"/>
        <v>0</v>
      </c>
      <c r="K726" s="30">
        <f t="shared" si="624"/>
        <v>0</v>
      </c>
      <c r="L726" s="33">
        <f t="shared" si="625"/>
        <v>0</v>
      </c>
      <c r="M726" s="30">
        <f t="shared" si="626"/>
        <v>0</v>
      </c>
      <c r="N726" s="33">
        <f t="shared" si="627"/>
        <v>0</v>
      </c>
      <c r="O726" s="31">
        <f t="shared" si="628"/>
        <v>0</v>
      </c>
      <c r="P726" s="33">
        <f t="shared" si="629"/>
        <v>0</v>
      </c>
      <c r="Q726" s="34">
        <f t="shared" si="671"/>
        <v>826400.90061197092</v>
      </c>
      <c r="R726" s="29">
        <f t="shared" si="630"/>
        <v>0</v>
      </c>
      <c r="S726" s="34">
        <f t="shared" si="631"/>
        <v>826400.90061197092</v>
      </c>
      <c r="T726" s="29">
        <f t="shared" si="632"/>
        <v>688.66741717664252</v>
      </c>
      <c r="U726" s="29">
        <f t="shared" si="633"/>
        <v>0</v>
      </c>
      <c r="V726" s="35">
        <f t="shared" si="634"/>
        <v>1.3882596120113778E-3</v>
      </c>
      <c r="W726" s="34">
        <f t="shared" si="635"/>
        <v>0</v>
      </c>
      <c r="X726" s="34">
        <f t="shared" si="636"/>
        <v>825712.23319479427</v>
      </c>
      <c r="Y726" s="36">
        <f t="shared" si="637"/>
        <v>2.0818634972408212E-3</v>
      </c>
      <c r="Z726" s="34">
        <f t="shared" si="638"/>
        <v>1719.0201575134429</v>
      </c>
      <c r="AA726" s="34">
        <f t="shared" si="639"/>
        <v>826571.74327355099</v>
      </c>
      <c r="AB726" s="34">
        <f t="shared" si="640"/>
        <v>0</v>
      </c>
      <c r="AC726" s="34">
        <f t="shared" si="641"/>
        <v>0</v>
      </c>
      <c r="AD726" s="34">
        <f t="shared" si="642"/>
        <v>0</v>
      </c>
      <c r="AE726" s="34">
        <f t="shared" si="643"/>
        <v>0</v>
      </c>
      <c r="AF726" s="34">
        <f t="shared" si="644"/>
        <v>0</v>
      </c>
      <c r="AG726" s="29">
        <f t="shared" si="645"/>
        <v>826571.74327355099</v>
      </c>
      <c r="AH726" s="34">
        <f t="shared" si="646"/>
        <v>0</v>
      </c>
      <c r="AI726" s="34">
        <f t="shared" si="647"/>
        <v>0</v>
      </c>
      <c r="AJ726" s="34">
        <f t="shared" si="648"/>
        <v>0</v>
      </c>
      <c r="AK726" s="34">
        <f t="shared" si="649"/>
        <v>0</v>
      </c>
      <c r="AL726" s="34">
        <f t="shared" si="650"/>
        <v>0</v>
      </c>
      <c r="AM726" s="34">
        <f t="shared" si="651"/>
        <v>0</v>
      </c>
      <c r="AN726" s="34">
        <f t="shared" si="652"/>
        <v>0</v>
      </c>
      <c r="AO726" s="34">
        <f t="shared" si="653"/>
        <v>0</v>
      </c>
      <c r="AP726" s="34">
        <f t="shared" si="654"/>
        <v>0</v>
      </c>
      <c r="AQ726" s="34">
        <f t="shared" si="655"/>
        <v>0</v>
      </c>
      <c r="AR726" s="34">
        <f t="shared" si="656"/>
        <v>0</v>
      </c>
      <c r="AS726" s="30">
        <f t="shared" si="657"/>
        <v>1.8197119870012499</v>
      </c>
      <c r="AT726" s="29">
        <f t="shared" si="658"/>
        <v>0</v>
      </c>
      <c r="AU726" s="29">
        <f t="shared" si="659"/>
        <v>0</v>
      </c>
      <c r="AV726" s="34">
        <f t="shared" si="660"/>
        <v>0</v>
      </c>
      <c r="AW726" s="34">
        <f t="shared" si="661"/>
        <v>0</v>
      </c>
      <c r="AX726" s="29">
        <f t="shared" si="662"/>
        <v>0</v>
      </c>
      <c r="AY726" s="34">
        <f t="shared" si="663"/>
        <v>0</v>
      </c>
      <c r="AZ726" s="37">
        <f t="shared" si="664"/>
        <v>0</v>
      </c>
      <c r="BA726" s="37">
        <f t="shared" si="665"/>
        <v>0</v>
      </c>
      <c r="BB726" s="35">
        <f t="shared" si="666"/>
        <v>1.1896846248979909E-3</v>
      </c>
      <c r="BC726" s="31">
        <f t="shared" si="667"/>
        <v>0.42382198318866654</v>
      </c>
      <c r="BD726" s="34">
        <f t="shared" si="668"/>
        <v>0</v>
      </c>
    </row>
    <row r="727" spans="1:56" x14ac:dyDescent="0.2">
      <c r="A727" s="27">
        <f t="shared" si="669"/>
        <v>723</v>
      </c>
      <c r="B727" s="28">
        <f t="shared" si="616"/>
        <v>723</v>
      </c>
      <c r="C727" s="27">
        <f t="shared" si="617"/>
        <v>60</v>
      </c>
      <c r="D727" s="28">
        <f t="shared" si="618"/>
        <v>80</v>
      </c>
      <c r="E727" s="29">
        <f t="shared" si="619"/>
        <v>0</v>
      </c>
      <c r="F727" s="30">
        <f t="shared" si="620"/>
        <v>1.5039967766402909E-2</v>
      </c>
      <c r="G727" s="31">
        <f t="shared" si="621"/>
        <v>1.2620541927376161E-3</v>
      </c>
      <c r="H727" s="32">
        <f t="shared" si="622"/>
        <v>0.02</v>
      </c>
      <c r="I727" s="32">
        <f t="shared" si="623"/>
        <v>0</v>
      </c>
      <c r="J727" s="33">
        <f t="shared" si="670"/>
        <v>0</v>
      </c>
      <c r="K727" s="30">
        <f t="shared" si="624"/>
        <v>0</v>
      </c>
      <c r="L727" s="33">
        <f t="shared" si="625"/>
        <v>0</v>
      </c>
      <c r="M727" s="30">
        <f t="shared" si="626"/>
        <v>0</v>
      </c>
      <c r="N727" s="33">
        <f t="shared" si="627"/>
        <v>0</v>
      </c>
      <c r="O727" s="31">
        <f t="shared" si="628"/>
        <v>0</v>
      </c>
      <c r="P727" s="33">
        <f t="shared" si="629"/>
        <v>0</v>
      </c>
      <c r="Q727" s="34">
        <f t="shared" si="671"/>
        <v>827431.25335230771</v>
      </c>
      <c r="R727" s="29">
        <f t="shared" si="630"/>
        <v>0</v>
      </c>
      <c r="S727" s="34">
        <f t="shared" si="631"/>
        <v>827431.25335230771</v>
      </c>
      <c r="T727" s="29">
        <f t="shared" si="632"/>
        <v>689.52604446025646</v>
      </c>
      <c r="U727" s="29">
        <f t="shared" si="633"/>
        <v>0</v>
      </c>
      <c r="V727" s="35">
        <f t="shared" si="634"/>
        <v>1.3882596120113778E-3</v>
      </c>
      <c r="W727" s="34">
        <f t="shared" si="635"/>
        <v>0</v>
      </c>
      <c r="X727" s="34">
        <f t="shared" si="636"/>
        <v>826741.72730784747</v>
      </c>
      <c r="Y727" s="36">
        <f t="shared" si="637"/>
        <v>3.2000910414762274E-3</v>
      </c>
      <c r="Z727" s="34">
        <f t="shared" si="638"/>
        <v>2645.6487951724248</v>
      </c>
      <c r="AA727" s="34">
        <f t="shared" si="639"/>
        <v>828064.55170543364</v>
      </c>
      <c r="AB727" s="34">
        <f t="shared" si="640"/>
        <v>0</v>
      </c>
      <c r="AC727" s="34">
        <f t="shared" si="641"/>
        <v>0</v>
      </c>
      <c r="AD727" s="34">
        <f t="shared" si="642"/>
        <v>0</v>
      </c>
      <c r="AE727" s="34">
        <f t="shared" si="643"/>
        <v>0</v>
      </c>
      <c r="AF727" s="34">
        <f t="shared" si="644"/>
        <v>0</v>
      </c>
      <c r="AG727" s="29">
        <f t="shared" si="645"/>
        <v>828064.55170543364</v>
      </c>
      <c r="AH727" s="34">
        <f t="shared" si="646"/>
        <v>0</v>
      </c>
      <c r="AI727" s="34">
        <f t="shared" si="647"/>
        <v>0</v>
      </c>
      <c r="AJ727" s="34">
        <f t="shared" si="648"/>
        <v>0</v>
      </c>
      <c r="AK727" s="34">
        <f t="shared" si="649"/>
        <v>0</v>
      </c>
      <c r="AL727" s="34">
        <f t="shared" si="650"/>
        <v>0</v>
      </c>
      <c r="AM727" s="34">
        <f t="shared" si="651"/>
        <v>0</v>
      </c>
      <c r="AN727" s="34">
        <f t="shared" si="652"/>
        <v>0</v>
      </c>
      <c r="AO727" s="34">
        <f t="shared" si="653"/>
        <v>0</v>
      </c>
      <c r="AP727" s="34">
        <f t="shared" si="654"/>
        <v>0</v>
      </c>
      <c r="AQ727" s="34">
        <f t="shared" si="655"/>
        <v>0</v>
      </c>
      <c r="AR727" s="34">
        <f t="shared" si="656"/>
        <v>0</v>
      </c>
      <c r="AS727" s="30">
        <f t="shared" si="657"/>
        <v>1.8212215074516003</v>
      </c>
      <c r="AT727" s="29">
        <f t="shared" si="658"/>
        <v>0</v>
      </c>
      <c r="AU727" s="29">
        <f t="shared" si="659"/>
        <v>0</v>
      </c>
      <c r="AV727" s="34">
        <f t="shared" si="660"/>
        <v>0</v>
      </c>
      <c r="AW727" s="34">
        <f t="shared" si="661"/>
        <v>0</v>
      </c>
      <c r="AX727" s="29">
        <f t="shared" si="662"/>
        <v>0</v>
      </c>
      <c r="AY727" s="34">
        <f t="shared" si="663"/>
        <v>0</v>
      </c>
      <c r="AZ727" s="37">
        <f t="shared" si="664"/>
        <v>0</v>
      </c>
      <c r="BA727" s="37">
        <f t="shared" si="665"/>
        <v>0</v>
      </c>
      <c r="BB727" s="35">
        <f t="shared" si="666"/>
        <v>1.1896846248979909E-3</v>
      </c>
      <c r="BC727" s="31">
        <f t="shared" si="667"/>
        <v>0.42331836783501625</v>
      </c>
      <c r="BD727" s="34">
        <f t="shared" si="668"/>
        <v>0</v>
      </c>
    </row>
    <row r="728" spans="1:56" x14ac:dyDescent="0.2">
      <c r="A728" s="27">
        <f t="shared" si="669"/>
        <v>724</v>
      </c>
      <c r="B728" s="28">
        <f t="shared" si="616"/>
        <v>724</v>
      </c>
      <c r="C728" s="27">
        <f t="shared" si="617"/>
        <v>60</v>
      </c>
      <c r="D728" s="28">
        <f t="shared" si="618"/>
        <v>80</v>
      </c>
      <c r="E728" s="29">
        <f t="shared" si="619"/>
        <v>0</v>
      </c>
      <c r="F728" s="30">
        <f t="shared" si="620"/>
        <v>1.5039967766402909E-2</v>
      </c>
      <c r="G728" s="31">
        <f t="shared" si="621"/>
        <v>1.2620541927376161E-3</v>
      </c>
      <c r="H728" s="32">
        <f t="shared" si="622"/>
        <v>0.02</v>
      </c>
      <c r="I728" s="32">
        <f t="shared" si="623"/>
        <v>0</v>
      </c>
      <c r="J728" s="33">
        <f t="shared" si="670"/>
        <v>0</v>
      </c>
      <c r="K728" s="30">
        <f t="shared" si="624"/>
        <v>0</v>
      </c>
      <c r="L728" s="33">
        <f t="shared" si="625"/>
        <v>0</v>
      </c>
      <c r="M728" s="30">
        <f t="shared" si="626"/>
        <v>0</v>
      </c>
      <c r="N728" s="33">
        <f t="shared" si="627"/>
        <v>0</v>
      </c>
      <c r="O728" s="31">
        <f t="shared" si="628"/>
        <v>0</v>
      </c>
      <c r="P728" s="33">
        <f t="shared" si="629"/>
        <v>0</v>
      </c>
      <c r="Q728" s="34">
        <f t="shared" si="671"/>
        <v>829387.37610301992</v>
      </c>
      <c r="R728" s="29">
        <f t="shared" si="630"/>
        <v>0</v>
      </c>
      <c r="S728" s="34">
        <f t="shared" si="631"/>
        <v>829387.37610301992</v>
      </c>
      <c r="T728" s="29">
        <f t="shared" si="632"/>
        <v>691.15614675251663</v>
      </c>
      <c r="U728" s="29">
        <f t="shared" si="633"/>
        <v>0</v>
      </c>
      <c r="V728" s="35">
        <f t="shared" si="634"/>
        <v>1.3882596120113778E-3</v>
      </c>
      <c r="W728" s="34">
        <f t="shared" si="635"/>
        <v>0</v>
      </c>
      <c r="X728" s="34">
        <f t="shared" si="636"/>
        <v>828696.21995626739</v>
      </c>
      <c r="Y728" s="36">
        <f t="shared" si="637"/>
        <v>-1.3825704690965113E-3</v>
      </c>
      <c r="Z728" s="34">
        <f t="shared" si="638"/>
        <v>-1145.7309215634423</v>
      </c>
      <c r="AA728" s="34">
        <f t="shared" si="639"/>
        <v>828123.35449548566</v>
      </c>
      <c r="AB728" s="34">
        <f t="shared" si="640"/>
        <v>0</v>
      </c>
      <c r="AC728" s="34">
        <f t="shared" si="641"/>
        <v>0</v>
      </c>
      <c r="AD728" s="34">
        <f t="shared" si="642"/>
        <v>0</v>
      </c>
      <c r="AE728" s="34">
        <f t="shared" si="643"/>
        <v>0</v>
      </c>
      <c r="AF728" s="34">
        <f t="shared" si="644"/>
        <v>0</v>
      </c>
      <c r="AG728" s="29">
        <f t="shared" si="645"/>
        <v>828123.35449548566</v>
      </c>
      <c r="AH728" s="34">
        <f t="shared" si="646"/>
        <v>0</v>
      </c>
      <c r="AI728" s="34">
        <f t="shared" si="647"/>
        <v>0</v>
      </c>
      <c r="AJ728" s="34">
        <f t="shared" si="648"/>
        <v>0</v>
      </c>
      <c r="AK728" s="34">
        <f t="shared" si="649"/>
        <v>0</v>
      </c>
      <c r="AL728" s="34">
        <f t="shared" si="650"/>
        <v>0</v>
      </c>
      <c r="AM728" s="34">
        <f t="shared" si="651"/>
        <v>0</v>
      </c>
      <c r="AN728" s="34">
        <f t="shared" si="652"/>
        <v>0</v>
      </c>
      <c r="AO728" s="34">
        <f t="shared" si="653"/>
        <v>0</v>
      </c>
      <c r="AP728" s="34">
        <f t="shared" si="654"/>
        <v>0</v>
      </c>
      <c r="AQ728" s="34">
        <f t="shared" si="655"/>
        <v>0</v>
      </c>
      <c r="AR728" s="34">
        <f t="shared" si="656"/>
        <v>0</v>
      </c>
      <c r="AS728" s="30">
        <f t="shared" si="657"/>
        <v>1.8227322801066985</v>
      </c>
      <c r="AT728" s="29">
        <f t="shared" si="658"/>
        <v>0</v>
      </c>
      <c r="AU728" s="29">
        <f t="shared" si="659"/>
        <v>0</v>
      </c>
      <c r="AV728" s="34">
        <f t="shared" si="660"/>
        <v>0</v>
      </c>
      <c r="AW728" s="34">
        <f t="shared" si="661"/>
        <v>0</v>
      </c>
      <c r="AX728" s="29">
        <f t="shared" si="662"/>
        <v>0</v>
      </c>
      <c r="AY728" s="34">
        <f t="shared" si="663"/>
        <v>0</v>
      </c>
      <c r="AZ728" s="37">
        <f t="shared" si="664"/>
        <v>0</v>
      </c>
      <c r="BA728" s="37">
        <f t="shared" si="665"/>
        <v>0</v>
      </c>
      <c r="BB728" s="35">
        <f t="shared" si="666"/>
        <v>1.1896846248979909E-3</v>
      </c>
      <c r="BC728" s="31">
        <f t="shared" si="667"/>
        <v>0.42281535091286443</v>
      </c>
      <c r="BD728" s="34">
        <f t="shared" si="668"/>
        <v>0</v>
      </c>
    </row>
    <row r="729" spans="1:56" x14ac:dyDescent="0.2">
      <c r="A729" s="27">
        <f t="shared" si="669"/>
        <v>725</v>
      </c>
      <c r="B729" s="28">
        <f t="shared" si="616"/>
        <v>725</v>
      </c>
      <c r="C729" s="27">
        <f t="shared" si="617"/>
        <v>60</v>
      </c>
      <c r="D729" s="28">
        <f t="shared" si="618"/>
        <v>80</v>
      </c>
      <c r="E729" s="29">
        <f t="shared" si="619"/>
        <v>0</v>
      </c>
      <c r="F729" s="30">
        <f t="shared" si="620"/>
        <v>1.5039967766402909E-2</v>
      </c>
      <c r="G729" s="31">
        <f t="shared" si="621"/>
        <v>1.2620541927376161E-3</v>
      </c>
      <c r="H729" s="32">
        <f t="shared" si="622"/>
        <v>0.02</v>
      </c>
      <c r="I729" s="32">
        <f t="shared" si="623"/>
        <v>0</v>
      </c>
      <c r="J729" s="33">
        <f t="shared" si="670"/>
        <v>0</v>
      </c>
      <c r="K729" s="30">
        <f t="shared" si="624"/>
        <v>0</v>
      </c>
      <c r="L729" s="33">
        <f t="shared" si="625"/>
        <v>0</v>
      </c>
      <c r="M729" s="30">
        <f t="shared" si="626"/>
        <v>0</v>
      </c>
      <c r="N729" s="33">
        <f t="shared" si="627"/>
        <v>0</v>
      </c>
      <c r="O729" s="31">
        <f t="shared" si="628"/>
        <v>0</v>
      </c>
      <c r="P729" s="33">
        <f t="shared" si="629"/>
        <v>0</v>
      </c>
      <c r="Q729" s="34">
        <f t="shared" si="671"/>
        <v>827550.48903470393</v>
      </c>
      <c r="R729" s="29">
        <f t="shared" si="630"/>
        <v>0</v>
      </c>
      <c r="S729" s="34">
        <f t="shared" si="631"/>
        <v>827550.48903470393</v>
      </c>
      <c r="T729" s="29">
        <f t="shared" si="632"/>
        <v>689.62540752891994</v>
      </c>
      <c r="U729" s="29">
        <f t="shared" si="633"/>
        <v>0</v>
      </c>
      <c r="V729" s="35">
        <f t="shared" si="634"/>
        <v>1.3882596120113778E-3</v>
      </c>
      <c r="W729" s="34">
        <f t="shared" si="635"/>
        <v>0</v>
      </c>
      <c r="X729" s="34">
        <f t="shared" si="636"/>
        <v>826860.86362717499</v>
      </c>
      <c r="Y729" s="36">
        <f t="shared" si="637"/>
        <v>2.0059562589809232E-3</v>
      </c>
      <c r="Z729" s="34">
        <f t="shared" si="638"/>
        <v>1658.6467246993034</v>
      </c>
      <c r="AA729" s="34">
        <f t="shared" si="639"/>
        <v>827690.18698952463</v>
      </c>
      <c r="AB729" s="34">
        <f t="shared" si="640"/>
        <v>0</v>
      </c>
      <c r="AC729" s="34">
        <f t="shared" si="641"/>
        <v>0</v>
      </c>
      <c r="AD729" s="34">
        <f t="shared" si="642"/>
        <v>0</v>
      </c>
      <c r="AE729" s="34">
        <f t="shared" si="643"/>
        <v>0</v>
      </c>
      <c r="AF729" s="34">
        <f t="shared" si="644"/>
        <v>0</v>
      </c>
      <c r="AG729" s="29">
        <f t="shared" si="645"/>
        <v>827690.18698952463</v>
      </c>
      <c r="AH729" s="34">
        <f t="shared" si="646"/>
        <v>0</v>
      </c>
      <c r="AI729" s="34">
        <f t="shared" si="647"/>
        <v>0</v>
      </c>
      <c r="AJ729" s="34">
        <f t="shared" si="648"/>
        <v>0</v>
      </c>
      <c r="AK729" s="34">
        <f t="shared" si="649"/>
        <v>0</v>
      </c>
      <c r="AL729" s="34">
        <f t="shared" si="650"/>
        <v>0</v>
      </c>
      <c r="AM729" s="34">
        <f t="shared" si="651"/>
        <v>0</v>
      </c>
      <c r="AN729" s="34">
        <f t="shared" si="652"/>
        <v>0</v>
      </c>
      <c r="AO729" s="34">
        <f t="shared" si="653"/>
        <v>0</v>
      </c>
      <c r="AP729" s="34">
        <f t="shared" si="654"/>
        <v>0</v>
      </c>
      <c r="AQ729" s="34">
        <f t="shared" si="655"/>
        <v>0</v>
      </c>
      <c r="AR729" s="34">
        <f t="shared" si="656"/>
        <v>0</v>
      </c>
      <c r="AS729" s="30">
        <f t="shared" si="657"/>
        <v>1.8242443060052964</v>
      </c>
      <c r="AT729" s="29">
        <f t="shared" si="658"/>
        <v>0</v>
      </c>
      <c r="AU729" s="29">
        <f t="shared" si="659"/>
        <v>0</v>
      </c>
      <c r="AV729" s="34">
        <f t="shared" si="660"/>
        <v>0</v>
      </c>
      <c r="AW729" s="34">
        <f t="shared" si="661"/>
        <v>0</v>
      </c>
      <c r="AX729" s="29">
        <f t="shared" si="662"/>
        <v>0</v>
      </c>
      <c r="AY729" s="34">
        <f t="shared" si="663"/>
        <v>0</v>
      </c>
      <c r="AZ729" s="37">
        <f t="shared" si="664"/>
        <v>0</v>
      </c>
      <c r="BA729" s="37">
        <f t="shared" si="665"/>
        <v>0</v>
      </c>
      <c r="BB729" s="35">
        <f t="shared" si="666"/>
        <v>1.1896846248979909E-3</v>
      </c>
      <c r="BC729" s="31">
        <f t="shared" si="667"/>
        <v>0.42231293171111212</v>
      </c>
      <c r="BD729" s="34">
        <f t="shared" si="668"/>
        <v>0</v>
      </c>
    </row>
    <row r="730" spans="1:56" x14ac:dyDescent="0.2">
      <c r="A730" s="27">
        <f t="shared" si="669"/>
        <v>726</v>
      </c>
      <c r="B730" s="28">
        <f t="shared" si="616"/>
        <v>726</v>
      </c>
      <c r="C730" s="27">
        <f t="shared" si="617"/>
        <v>60</v>
      </c>
      <c r="D730" s="28">
        <f t="shared" si="618"/>
        <v>80</v>
      </c>
      <c r="E730" s="29">
        <f t="shared" si="619"/>
        <v>0</v>
      </c>
      <c r="F730" s="30">
        <f t="shared" si="620"/>
        <v>1.5039967766402909E-2</v>
      </c>
      <c r="G730" s="31">
        <f t="shared" si="621"/>
        <v>1.2620541927376161E-3</v>
      </c>
      <c r="H730" s="32">
        <f t="shared" si="622"/>
        <v>0.02</v>
      </c>
      <c r="I730" s="32">
        <f t="shared" si="623"/>
        <v>0</v>
      </c>
      <c r="J730" s="33">
        <f t="shared" si="670"/>
        <v>0</v>
      </c>
      <c r="K730" s="30">
        <f t="shared" si="624"/>
        <v>0</v>
      </c>
      <c r="L730" s="33">
        <f t="shared" si="625"/>
        <v>0</v>
      </c>
      <c r="M730" s="30">
        <f t="shared" si="626"/>
        <v>0</v>
      </c>
      <c r="N730" s="33">
        <f t="shared" si="627"/>
        <v>0</v>
      </c>
      <c r="O730" s="31">
        <f t="shared" si="628"/>
        <v>0</v>
      </c>
      <c r="P730" s="33">
        <f t="shared" si="629"/>
        <v>0</v>
      </c>
      <c r="Q730" s="34">
        <f t="shared" si="671"/>
        <v>828519.51035187428</v>
      </c>
      <c r="R730" s="29">
        <f t="shared" si="630"/>
        <v>0</v>
      </c>
      <c r="S730" s="34">
        <f t="shared" si="631"/>
        <v>828519.51035187428</v>
      </c>
      <c r="T730" s="29">
        <f t="shared" si="632"/>
        <v>690.43292529322866</v>
      </c>
      <c r="U730" s="29">
        <f t="shared" si="633"/>
        <v>0</v>
      </c>
      <c r="V730" s="35">
        <f t="shared" si="634"/>
        <v>1.3882596120113778E-3</v>
      </c>
      <c r="W730" s="34">
        <f t="shared" si="635"/>
        <v>0</v>
      </c>
      <c r="X730" s="34">
        <f t="shared" si="636"/>
        <v>827829.07742658106</v>
      </c>
      <c r="Y730" s="36">
        <f t="shared" si="637"/>
        <v>-4.7280903967429344E-3</v>
      </c>
      <c r="Z730" s="34">
        <f t="shared" si="638"/>
        <v>-3914.0507111251809</v>
      </c>
      <c r="AA730" s="34">
        <f t="shared" si="639"/>
        <v>825872.05207101849</v>
      </c>
      <c r="AB730" s="34">
        <f t="shared" si="640"/>
        <v>0</v>
      </c>
      <c r="AC730" s="34">
        <f t="shared" si="641"/>
        <v>0</v>
      </c>
      <c r="AD730" s="34">
        <f t="shared" si="642"/>
        <v>0</v>
      </c>
      <c r="AE730" s="34">
        <f t="shared" si="643"/>
        <v>0</v>
      </c>
      <c r="AF730" s="34">
        <f t="shared" si="644"/>
        <v>0</v>
      </c>
      <c r="AG730" s="29">
        <f t="shared" si="645"/>
        <v>825872.05207101849</v>
      </c>
      <c r="AH730" s="34">
        <f t="shared" si="646"/>
        <v>0</v>
      </c>
      <c r="AI730" s="34">
        <f t="shared" si="647"/>
        <v>0</v>
      </c>
      <c r="AJ730" s="34">
        <f t="shared" si="648"/>
        <v>0</v>
      </c>
      <c r="AK730" s="34">
        <f t="shared" si="649"/>
        <v>0</v>
      </c>
      <c r="AL730" s="34">
        <f t="shared" si="650"/>
        <v>0</v>
      </c>
      <c r="AM730" s="34">
        <f t="shared" si="651"/>
        <v>0</v>
      </c>
      <c r="AN730" s="34">
        <f t="shared" si="652"/>
        <v>0</v>
      </c>
      <c r="AO730" s="34">
        <f t="shared" si="653"/>
        <v>0</v>
      </c>
      <c r="AP730" s="34">
        <f t="shared" si="654"/>
        <v>0</v>
      </c>
      <c r="AQ730" s="34">
        <f t="shared" si="655"/>
        <v>0</v>
      </c>
      <c r="AR730" s="34">
        <f t="shared" si="656"/>
        <v>0</v>
      </c>
      <c r="AS730" s="30">
        <f t="shared" si="657"/>
        <v>1.8257575861870068</v>
      </c>
      <c r="AT730" s="29">
        <f t="shared" si="658"/>
        <v>0</v>
      </c>
      <c r="AU730" s="29">
        <f t="shared" si="659"/>
        <v>0</v>
      </c>
      <c r="AV730" s="34">
        <f t="shared" si="660"/>
        <v>0</v>
      </c>
      <c r="AW730" s="34">
        <f t="shared" si="661"/>
        <v>0</v>
      </c>
      <c r="AX730" s="29">
        <f t="shared" si="662"/>
        <v>0</v>
      </c>
      <c r="AY730" s="34">
        <f t="shared" si="663"/>
        <v>0</v>
      </c>
      <c r="AZ730" s="37">
        <f t="shared" si="664"/>
        <v>0</v>
      </c>
      <c r="BA730" s="37">
        <f t="shared" si="665"/>
        <v>0</v>
      </c>
      <c r="BB730" s="35">
        <f t="shared" si="666"/>
        <v>1.1896846248979909E-3</v>
      </c>
      <c r="BC730" s="31">
        <f t="shared" si="667"/>
        <v>0.42181110951950562</v>
      </c>
      <c r="BD730" s="34">
        <f t="shared" si="668"/>
        <v>0</v>
      </c>
    </row>
    <row r="731" spans="1:56" x14ac:dyDescent="0.2">
      <c r="A731" s="27">
        <f t="shared" si="669"/>
        <v>727</v>
      </c>
      <c r="B731" s="28">
        <f t="shared" si="616"/>
        <v>727</v>
      </c>
      <c r="C731" s="27">
        <f t="shared" si="617"/>
        <v>60</v>
      </c>
      <c r="D731" s="28">
        <f t="shared" si="618"/>
        <v>80</v>
      </c>
      <c r="E731" s="29">
        <f t="shared" si="619"/>
        <v>0</v>
      </c>
      <c r="F731" s="30">
        <f t="shared" si="620"/>
        <v>1.5039967766402909E-2</v>
      </c>
      <c r="G731" s="31">
        <f t="shared" si="621"/>
        <v>1.2620541927376161E-3</v>
      </c>
      <c r="H731" s="32">
        <f t="shared" si="622"/>
        <v>0.02</v>
      </c>
      <c r="I731" s="32">
        <f t="shared" si="623"/>
        <v>0</v>
      </c>
      <c r="J731" s="33">
        <f t="shared" si="670"/>
        <v>0</v>
      </c>
      <c r="K731" s="30">
        <f t="shared" si="624"/>
        <v>0</v>
      </c>
      <c r="L731" s="33">
        <f t="shared" si="625"/>
        <v>0</v>
      </c>
      <c r="M731" s="30">
        <f t="shared" si="626"/>
        <v>0</v>
      </c>
      <c r="N731" s="33">
        <f t="shared" si="627"/>
        <v>0</v>
      </c>
      <c r="O731" s="31">
        <f t="shared" si="628"/>
        <v>0</v>
      </c>
      <c r="P731" s="33">
        <f t="shared" si="629"/>
        <v>0</v>
      </c>
      <c r="Q731" s="34">
        <f t="shared" si="671"/>
        <v>823915.02671545593</v>
      </c>
      <c r="R731" s="29">
        <f t="shared" si="630"/>
        <v>0</v>
      </c>
      <c r="S731" s="34">
        <f t="shared" si="631"/>
        <v>823915.02671545593</v>
      </c>
      <c r="T731" s="29">
        <f t="shared" si="632"/>
        <v>686.59585559621337</v>
      </c>
      <c r="U731" s="29">
        <f t="shared" si="633"/>
        <v>0</v>
      </c>
      <c r="V731" s="35">
        <f t="shared" si="634"/>
        <v>1.3882596120113778E-3</v>
      </c>
      <c r="W731" s="34">
        <f t="shared" si="635"/>
        <v>0</v>
      </c>
      <c r="X731" s="34">
        <f t="shared" si="636"/>
        <v>823228.43085985968</v>
      </c>
      <c r="Y731" s="36">
        <f t="shared" si="637"/>
        <v>-1.8636944169686753E-2</v>
      </c>
      <c r="Z731" s="34">
        <f t="shared" si="638"/>
        <v>-15342.462304834036</v>
      </c>
      <c r="AA731" s="34">
        <f t="shared" si="639"/>
        <v>815557.19970744266</v>
      </c>
      <c r="AB731" s="34">
        <f t="shared" si="640"/>
        <v>0</v>
      </c>
      <c r="AC731" s="34">
        <f t="shared" si="641"/>
        <v>0</v>
      </c>
      <c r="AD731" s="34">
        <f t="shared" si="642"/>
        <v>0</v>
      </c>
      <c r="AE731" s="34">
        <f t="shared" si="643"/>
        <v>0</v>
      </c>
      <c r="AF731" s="34">
        <f t="shared" si="644"/>
        <v>0</v>
      </c>
      <c r="AG731" s="29">
        <f t="shared" si="645"/>
        <v>815557.19970744266</v>
      </c>
      <c r="AH731" s="34">
        <f t="shared" si="646"/>
        <v>0</v>
      </c>
      <c r="AI731" s="34">
        <f t="shared" si="647"/>
        <v>0</v>
      </c>
      <c r="AJ731" s="34">
        <f t="shared" si="648"/>
        <v>0</v>
      </c>
      <c r="AK731" s="34">
        <f t="shared" si="649"/>
        <v>0</v>
      </c>
      <c r="AL731" s="34">
        <f t="shared" si="650"/>
        <v>0</v>
      </c>
      <c r="AM731" s="34">
        <f t="shared" si="651"/>
        <v>0</v>
      </c>
      <c r="AN731" s="34">
        <f t="shared" si="652"/>
        <v>0</v>
      </c>
      <c r="AO731" s="34">
        <f t="shared" si="653"/>
        <v>0</v>
      </c>
      <c r="AP731" s="34">
        <f t="shared" si="654"/>
        <v>0</v>
      </c>
      <c r="AQ731" s="34">
        <f t="shared" si="655"/>
        <v>0</v>
      </c>
      <c r="AR731" s="34">
        <f t="shared" si="656"/>
        <v>0</v>
      </c>
      <c r="AS731" s="30">
        <f t="shared" si="657"/>
        <v>1.8272721216923058</v>
      </c>
      <c r="AT731" s="29">
        <f t="shared" si="658"/>
        <v>0</v>
      </c>
      <c r="AU731" s="29">
        <f t="shared" si="659"/>
        <v>0</v>
      </c>
      <c r="AV731" s="34">
        <f t="shared" si="660"/>
        <v>0</v>
      </c>
      <c r="AW731" s="34">
        <f t="shared" si="661"/>
        <v>0</v>
      </c>
      <c r="AX731" s="29">
        <f t="shared" si="662"/>
        <v>0</v>
      </c>
      <c r="AY731" s="34">
        <f t="shared" si="663"/>
        <v>0</v>
      </c>
      <c r="AZ731" s="37">
        <f t="shared" si="664"/>
        <v>0</v>
      </c>
      <c r="BA731" s="37">
        <f t="shared" si="665"/>
        <v>0</v>
      </c>
      <c r="BB731" s="35">
        <f t="shared" si="666"/>
        <v>1.1896846248979909E-3</v>
      </c>
      <c r="BC731" s="31">
        <f t="shared" si="667"/>
        <v>0.42130988362863503</v>
      </c>
      <c r="BD731" s="34">
        <f t="shared" si="668"/>
        <v>0</v>
      </c>
    </row>
    <row r="732" spans="1:56" x14ac:dyDescent="0.2">
      <c r="A732" s="27">
        <f t="shared" si="669"/>
        <v>728</v>
      </c>
      <c r="B732" s="28">
        <f t="shared" si="616"/>
        <v>728</v>
      </c>
      <c r="C732" s="27">
        <f t="shared" si="617"/>
        <v>60</v>
      </c>
      <c r="D732" s="28">
        <f t="shared" si="618"/>
        <v>80</v>
      </c>
      <c r="E732" s="29">
        <f t="shared" si="619"/>
        <v>0</v>
      </c>
      <c r="F732" s="30">
        <f t="shared" si="620"/>
        <v>1.5039967766402909E-2</v>
      </c>
      <c r="G732" s="31">
        <f t="shared" si="621"/>
        <v>1.2620541927376161E-3</v>
      </c>
      <c r="H732" s="32">
        <f t="shared" si="622"/>
        <v>0.02</v>
      </c>
      <c r="I732" s="32">
        <f t="shared" si="623"/>
        <v>0</v>
      </c>
      <c r="J732" s="33">
        <f t="shared" si="670"/>
        <v>0</v>
      </c>
      <c r="K732" s="30">
        <f t="shared" si="624"/>
        <v>0</v>
      </c>
      <c r="L732" s="33">
        <f t="shared" si="625"/>
        <v>0</v>
      </c>
      <c r="M732" s="30">
        <f t="shared" si="626"/>
        <v>0</v>
      </c>
      <c r="N732" s="33">
        <f t="shared" si="627"/>
        <v>0</v>
      </c>
      <c r="O732" s="31">
        <f t="shared" si="628"/>
        <v>0</v>
      </c>
      <c r="P732" s="33">
        <f t="shared" si="629"/>
        <v>0</v>
      </c>
      <c r="Q732" s="34">
        <f t="shared" si="671"/>
        <v>807885.96855502564</v>
      </c>
      <c r="R732" s="29">
        <f t="shared" si="630"/>
        <v>0</v>
      </c>
      <c r="S732" s="34">
        <f t="shared" si="631"/>
        <v>807885.96855502564</v>
      </c>
      <c r="T732" s="29">
        <f t="shared" si="632"/>
        <v>673.23830712918812</v>
      </c>
      <c r="U732" s="29">
        <f t="shared" si="633"/>
        <v>0</v>
      </c>
      <c r="V732" s="35">
        <f t="shared" si="634"/>
        <v>1.3882596120113778E-3</v>
      </c>
      <c r="W732" s="34">
        <f t="shared" si="635"/>
        <v>0</v>
      </c>
      <c r="X732" s="34">
        <f t="shared" si="636"/>
        <v>807212.7302478964</v>
      </c>
      <c r="Y732" s="36">
        <f t="shared" si="637"/>
        <v>1.3232747532074818E-3</v>
      </c>
      <c r="Z732" s="34">
        <f t="shared" si="638"/>
        <v>1068.1642264047227</v>
      </c>
      <c r="AA732" s="34">
        <f t="shared" si="639"/>
        <v>807746.81236109871</v>
      </c>
      <c r="AB732" s="34">
        <f t="shared" si="640"/>
        <v>0</v>
      </c>
      <c r="AC732" s="34">
        <f t="shared" si="641"/>
        <v>0</v>
      </c>
      <c r="AD732" s="34">
        <f t="shared" si="642"/>
        <v>0</v>
      </c>
      <c r="AE732" s="34">
        <f t="shared" si="643"/>
        <v>0</v>
      </c>
      <c r="AF732" s="34">
        <f t="shared" si="644"/>
        <v>0</v>
      </c>
      <c r="AG732" s="29">
        <f t="shared" si="645"/>
        <v>807746.81236109871</v>
      </c>
      <c r="AH732" s="34">
        <f t="shared" si="646"/>
        <v>0</v>
      </c>
      <c r="AI732" s="34">
        <f t="shared" si="647"/>
        <v>0</v>
      </c>
      <c r="AJ732" s="34">
        <f t="shared" si="648"/>
        <v>0</v>
      </c>
      <c r="AK732" s="34">
        <f t="shared" si="649"/>
        <v>0</v>
      </c>
      <c r="AL732" s="34">
        <f t="shared" si="650"/>
        <v>0</v>
      </c>
      <c r="AM732" s="34">
        <f t="shared" si="651"/>
        <v>0</v>
      </c>
      <c r="AN732" s="34">
        <f t="shared" si="652"/>
        <v>0</v>
      </c>
      <c r="AO732" s="34">
        <f t="shared" si="653"/>
        <v>0</v>
      </c>
      <c r="AP732" s="34">
        <f t="shared" si="654"/>
        <v>0</v>
      </c>
      <c r="AQ732" s="34">
        <f t="shared" si="655"/>
        <v>0</v>
      </c>
      <c r="AR732" s="34">
        <f t="shared" si="656"/>
        <v>0</v>
      </c>
      <c r="AS732" s="30">
        <f t="shared" si="657"/>
        <v>1.8287879135625318</v>
      </c>
      <c r="AT732" s="29">
        <f t="shared" si="658"/>
        <v>0</v>
      </c>
      <c r="AU732" s="29">
        <f t="shared" si="659"/>
        <v>0</v>
      </c>
      <c r="AV732" s="34">
        <f t="shared" si="660"/>
        <v>0</v>
      </c>
      <c r="AW732" s="34">
        <f t="shared" si="661"/>
        <v>0</v>
      </c>
      <c r="AX732" s="29">
        <f t="shared" si="662"/>
        <v>0</v>
      </c>
      <c r="AY732" s="34">
        <f t="shared" si="663"/>
        <v>0</v>
      </c>
      <c r="AZ732" s="37">
        <f t="shared" si="664"/>
        <v>0</v>
      </c>
      <c r="BA732" s="37">
        <f t="shared" si="665"/>
        <v>0</v>
      </c>
      <c r="BB732" s="35">
        <f t="shared" si="666"/>
        <v>1.1896846248979909E-3</v>
      </c>
      <c r="BC732" s="31">
        <f t="shared" si="667"/>
        <v>0.42080925332993374</v>
      </c>
      <c r="BD732" s="34">
        <f t="shared" si="668"/>
        <v>0</v>
      </c>
    </row>
    <row r="733" spans="1:56" x14ac:dyDescent="0.2">
      <c r="A733" s="27">
        <f t="shared" si="669"/>
        <v>729</v>
      </c>
      <c r="B733" s="28">
        <f t="shared" si="616"/>
        <v>729</v>
      </c>
      <c r="C733" s="27">
        <f t="shared" si="617"/>
        <v>60</v>
      </c>
      <c r="D733" s="28">
        <f t="shared" si="618"/>
        <v>80</v>
      </c>
      <c r="E733" s="29">
        <f t="shared" si="619"/>
        <v>0</v>
      </c>
      <c r="F733" s="30">
        <f t="shared" si="620"/>
        <v>1.5039967766402909E-2</v>
      </c>
      <c r="G733" s="31">
        <f t="shared" si="621"/>
        <v>1.2620541927376161E-3</v>
      </c>
      <c r="H733" s="32">
        <f t="shared" si="622"/>
        <v>0.02</v>
      </c>
      <c r="I733" s="32">
        <f t="shared" si="623"/>
        <v>0</v>
      </c>
      <c r="J733" s="33">
        <f t="shared" si="670"/>
        <v>0</v>
      </c>
      <c r="K733" s="30">
        <f t="shared" si="624"/>
        <v>0</v>
      </c>
      <c r="L733" s="33">
        <f t="shared" si="625"/>
        <v>0</v>
      </c>
      <c r="M733" s="30">
        <f t="shared" si="626"/>
        <v>0</v>
      </c>
      <c r="N733" s="33">
        <f t="shared" si="627"/>
        <v>0</v>
      </c>
      <c r="O733" s="31">
        <f t="shared" si="628"/>
        <v>0</v>
      </c>
      <c r="P733" s="33">
        <f t="shared" si="629"/>
        <v>0</v>
      </c>
      <c r="Q733" s="34">
        <f t="shared" si="671"/>
        <v>808280.89447430114</v>
      </c>
      <c r="R733" s="29">
        <f t="shared" si="630"/>
        <v>0</v>
      </c>
      <c r="S733" s="34">
        <f t="shared" si="631"/>
        <v>808280.89447430114</v>
      </c>
      <c r="T733" s="29">
        <f t="shared" si="632"/>
        <v>673.56741206191771</v>
      </c>
      <c r="U733" s="29">
        <f t="shared" si="633"/>
        <v>0</v>
      </c>
      <c r="V733" s="35">
        <f t="shared" si="634"/>
        <v>1.3882596120113778E-3</v>
      </c>
      <c r="W733" s="34">
        <f t="shared" si="635"/>
        <v>0</v>
      </c>
      <c r="X733" s="34">
        <f t="shared" si="636"/>
        <v>807607.32706223917</v>
      </c>
      <c r="Y733" s="36">
        <f t="shared" si="637"/>
        <v>7.9003999854756479E-3</v>
      </c>
      <c r="Z733" s="34">
        <f t="shared" si="638"/>
        <v>6380.4209149925409</v>
      </c>
      <c r="AA733" s="34">
        <f t="shared" si="639"/>
        <v>810797.5375197354</v>
      </c>
      <c r="AB733" s="34">
        <f t="shared" si="640"/>
        <v>0</v>
      </c>
      <c r="AC733" s="34">
        <f t="shared" si="641"/>
        <v>0</v>
      </c>
      <c r="AD733" s="34">
        <f t="shared" si="642"/>
        <v>0</v>
      </c>
      <c r="AE733" s="34">
        <f t="shared" si="643"/>
        <v>0</v>
      </c>
      <c r="AF733" s="34">
        <f t="shared" si="644"/>
        <v>0</v>
      </c>
      <c r="AG733" s="29">
        <f t="shared" si="645"/>
        <v>810797.5375197354</v>
      </c>
      <c r="AH733" s="34">
        <f t="shared" si="646"/>
        <v>0</v>
      </c>
      <c r="AI733" s="34">
        <f t="shared" si="647"/>
        <v>0</v>
      </c>
      <c r="AJ733" s="34">
        <f t="shared" si="648"/>
        <v>0</v>
      </c>
      <c r="AK733" s="34">
        <f t="shared" si="649"/>
        <v>0</v>
      </c>
      <c r="AL733" s="34">
        <f t="shared" si="650"/>
        <v>0</v>
      </c>
      <c r="AM733" s="34">
        <f t="shared" si="651"/>
        <v>0</v>
      </c>
      <c r="AN733" s="34">
        <f t="shared" si="652"/>
        <v>0</v>
      </c>
      <c r="AO733" s="34">
        <f t="shared" si="653"/>
        <v>0</v>
      </c>
      <c r="AP733" s="34">
        <f t="shared" si="654"/>
        <v>0</v>
      </c>
      <c r="AQ733" s="34">
        <f t="shared" si="655"/>
        <v>0</v>
      </c>
      <c r="AR733" s="34">
        <f t="shared" si="656"/>
        <v>0</v>
      </c>
      <c r="AS733" s="30">
        <f t="shared" si="657"/>
        <v>1.8303049628398878</v>
      </c>
      <c r="AT733" s="29">
        <f t="shared" si="658"/>
        <v>0</v>
      </c>
      <c r="AU733" s="29">
        <f t="shared" si="659"/>
        <v>0</v>
      </c>
      <c r="AV733" s="34">
        <f t="shared" si="660"/>
        <v>0</v>
      </c>
      <c r="AW733" s="34">
        <f t="shared" si="661"/>
        <v>0</v>
      </c>
      <c r="AX733" s="29">
        <f t="shared" si="662"/>
        <v>0</v>
      </c>
      <c r="AY733" s="34">
        <f t="shared" si="663"/>
        <v>0</v>
      </c>
      <c r="AZ733" s="37">
        <f t="shared" si="664"/>
        <v>0</v>
      </c>
      <c r="BA733" s="37">
        <f t="shared" si="665"/>
        <v>0</v>
      </c>
      <c r="BB733" s="35">
        <f t="shared" si="666"/>
        <v>1.1896846248979909E-3</v>
      </c>
      <c r="BC733" s="31">
        <f t="shared" si="667"/>
        <v>0.42030921791567655</v>
      </c>
      <c r="BD733" s="34">
        <f t="shared" si="668"/>
        <v>0</v>
      </c>
    </row>
    <row r="734" spans="1:56" x14ac:dyDescent="0.2">
      <c r="A734" s="27">
        <f t="shared" si="669"/>
        <v>730</v>
      </c>
      <c r="B734" s="28">
        <f t="shared" si="616"/>
        <v>730</v>
      </c>
      <c r="C734" s="27">
        <f t="shared" si="617"/>
        <v>60</v>
      </c>
      <c r="D734" s="28">
        <f t="shared" si="618"/>
        <v>80</v>
      </c>
      <c r="E734" s="29">
        <f t="shared" si="619"/>
        <v>0</v>
      </c>
      <c r="F734" s="30">
        <f t="shared" si="620"/>
        <v>1.5039967766402909E-2</v>
      </c>
      <c r="G734" s="31">
        <f t="shared" si="621"/>
        <v>1.2620541927376161E-3</v>
      </c>
      <c r="H734" s="32">
        <f t="shared" si="622"/>
        <v>0.02</v>
      </c>
      <c r="I734" s="32">
        <f t="shared" si="623"/>
        <v>0</v>
      </c>
      <c r="J734" s="33">
        <f t="shared" si="670"/>
        <v>0</v>
      </c>
      <c r="K734" s="30">
        <f t="shared" si="624"/>
        <v>0</v>
      </c>
      <c r="L734" s="33">
        <f t="shared" si="625"/>
        <v>0</v>
      </c>
      <c r="M734" s="30">
        <f t="shared" si="626"/>
        <v>0</v>
      </c>
      <c r="N734" s="33">
        <f t="shared" si="627"/>
        <v>0</v>
      </c>
      <c r="O734" s="31">
        <f t="shared" si="628"/>
        <v>0</v>
      </c>
      <c r="P734" s="33">
        <f t="shared" si="629"/>
        <v>0</v>
      </c>
      <c r="Q734" s="34">
        <f t="shared" si="671"/>
        <v>813987.74797723175</v>
      </c>
      <c r="R734" s="29">
        <f t="shared" si="630"/>
        <v>0</v>
      </c>
      <c r="S734" s="34">
        <f t="shared" si="631"/>
        <v>813987.74797723175</v>
      </c>
      <c r="T734" s="29">
        <f t="shared" si="632"/>
        <v>678.3231233143598</v>
      </c>
      <c r="U734" s="29">
        <f t="shared" si="633"/>
        <v>0</v>
      </c>
      <c r="V734" s="35">
        <f t="shared" si="634"/>
        <v>1.3882596120113778E-3</v>
      </c>
      <c r="W734" s="34">
        <f t="shared" si="635"/>
        <v>0</v>
      </c>
      <c r="X734" s="34">
        <f t="shared" si="636"/>
        <v>813309.42485391733</v>
      </c>
      <c r="Y734" s="36">
        <f t="shared" si="637"/>
        <v>1.2033979995045296E-3</v>
      </c>
      <c r="Z734" s="34">
        <f t="shared" si="638"/>
        <v>978.73493484738367</v>
      </c>
      <c r="AA734" s="34">
        <f t="shared" si="639"/>
        <v>813798.792321341</v>
      </c>
      <c r="AB734" s="34">
        <f t="shared" si="640"/>
        <v>0</v>
      </c>
      <c r="AC734" s="34">
        <f t="shared" si="641"/>
        <v>0</v>
      </c>
      <c r="AD734" s="34">
        <f t="shared" si="642"/>
        <v>0</v>
      </c>
      <c r="AE734" s="34">
        <f t="shared" si="643"/>
        <v>0</v>
      </c>
      <c r="AF734" s="34">
        <f t="shared" si="644"/>
        <v>0</v>
      </c>
      <c r="AG734" s="29">
        <f t="shared" si="645"/>
        <v>813798.792321341</v>
      </c>
      <c r="AH734" s="34">
        <f t="shared" si="646"/>
        <v>0</v>
      </c>
      <c r="AI734" s="34">
        <f t="shared" si="647"/>
        <v>0</v>
      </c>
      <c r="AJ734" s="34">
        <f t="shared" si="648"/>
        <v>0</v>
      </c>
      <c r="AK734" s="34">
        <f t="shared" si="649"/>
        <v>0</v>
      </c>
      <c r="AL734" s="34">
        <f t="shared" si="650"/>
        <v>0</v>
      </c>
      <c r="AM734" s="34">
        <f t="shared" si="651"/>
        <v>0</v>
      </c>
      <c r="AN734" s="34">
        <f t="shared" si="652"/>
        <v>0</v>
      </c>
      <c r="AO734" s="34">
        <f t="shared" si="653"/>
        <v>0</v>
      </c>
      <c r="AP734" s="34">
        <f t="shared" si="654"/>
        <v>0</v>
      </c>
      <c r="AQ734" s="34">
        <f t="shared" si="655"/>
        <v>0</v>
      </c>
      <c r="AR734" s="34">
        <f t="shared" si="656"/>
        <v>0</v>
      </c>
      <c r="AS734" s="30">
        <f t="shared" si="657"/>
        <v>1.8318232705674402</v>
      </c>
      <c r="AT734" s="29">
        <f t="shared" si="658"/>
        <v>0</v>
      </c>
      <c r="AU734" s="29">
        <f t="shared" si="659"/>
        <v>0</v>
      </c>
      <c r="AV734" s="34">
        <f t="shared" si="660"/>
        <v>0</v>
      </c>
      <c r="AW734" s="34">
        <f t="shared" si="661"/>
        <v>0</v>
      </c>
      <c r="AX734" s="29">
        <f t="shared" si="662"/>
        <v>0</v>
      </c>
      <c r="AY734" s="34">
        <f t="shared" si="663"/>
        <v>0</v>
      </c>
      <c r="AZ734" s="37">
        <f t="shared" si="664"/>
        <v>0</v>
      </c>
      <c r="BA734" s="37">
        <f t="shared" si="665"/>
        <v>0</v>
      </c>
      <c r="BB734" s="35">
        <f t="shared" si="666"/>
        <v>1.1896846248979909E-3</v>
      </c>
      <c r="BC734" s="31">
        <f t="shared" si="667"/>
        <v>0.41980977667897967</v>
      </c>
      <c r="BD734" s="34">
        <f t="shared" si="668"/>
        <v>0</v>
      </c>
    </row>
    <row r="735" spans="1:56" x14ac:dyDescent="0.2">
      <c r="A735" s="27">
        <f t="shared" si="669"/>
        <v>731</v>
      </c>
      <c r="B735" s="28">
        <f t="shared" si="616"/>
        <v>731</v>
      </c>
      <c r="C735" s="27">
        <f t="shared" si="617"/>
        <v>60</v>
      </c>
      <c r="D735" s="28">
        <f t="shared" si="618"/>
        <v>80</v>
      </c>
      <c r="E735" s="29">
        <f t="shared" si="619"/>
        <v>0</v>
      </c>
      <c r="F735" s="30">
        <f t="shared" si="620"/>
        <v>1.5039967766402909E-2</v>
      </c>
      <c r="G735" s="31">
        <f t="shared" si="621"/>
        <v>1.2620541927376161E-3</v>
      </c>
      <c r="H735" s="32">
        <f t="shared" si="622"/>
        <v>0.02</v>
      </c>
      <c r="I735" s="32">
        <f t="shared" si="623"/>
        <v>0</v>
      </c>
      <c r="J735" s="33">
        <f t="shared" si="670"/>
        <v>0</v>
      </c>
      <c r="K735" s="30">
        <f t="shared" si="624"/>
        <v>0</v>
      </c>
      <c r="L735" s="33">
        <f t="shared" si="625"/>
        <v>0</v>
      </c>
      <c r="M735" s="30">
        <f t="shared" si="626"/>
        <v>0</v>
      </c>
      <c r="N735" s="33">
        <f t="shared" si="627"/>
        <v>0</v>
      </c>
      <c r="O735" s="31">
        <f t="shared" si="628"/>
        <v>0</v>
      </c>
      <c r="P735" s="33">
        <f t="shared" si="629"/>
        <v>0</v>
      </c>
      <c r="Q735" s="34">
        <f t="shared" si="671"/>
        <v>814288.15978876466</v>
      </c>
      <c r="R735" s="29">
        <f t="shared" si="630"/>
        <v>0</v>
      </c>
      <c r="S735" s="34">
        <f t="shared" si="631"/>
        <v>814288.15978876466</v>
      </c>
      <c r="T735" s="29">
        <f t="shared" si="632"/>
        <v>678.57346649063732</v>
      </c>
      <c r="U735" s="29">
        <f t="shared" si="633"/>
        <v>0</v>
      </c>
      <c r="V735" s="35">
        <f t="shared" si="634"/>
        <v>1.3882596120113778E-3</v>
      </c>
      <c r="W735" s="34">
        <f t="shared" si="635"/>
        <v>0</v>
      </c>
      <c r="X735" s="34">
        <f t="shared" si="636"/>
        <v>813609.58632227406</v>
      </c>
      <c r="Y735" s="36">
        <f t="shared" si="637"/>
        <v>1.7235228154480975E-2</v>
      </c>
      <c r="Z735" s="34">
        <f t="shared" si="638"/>
        <v>14022.746848937277</v>
      </c>
      <c r="AA735" s="34">
        <f t="shared" si="639"/>
        <v>820620.95974674274</v>
      </c>
      <c r="AB735" s="34">
        <f t="shared" si="640"/>
        <v>0</v>
      </c>
      <c r="AC735" s="34">
        <f t="shared" si="641"/>
        <v>0</v>
      </c>
      <c r="AD735" s="34">
        <f t="shared" si="642"/>
        <v>0</v>
      </c>
      <c r="AE735" s="34">
        <f t="shared" si="643"/>
        <v>0</v>
      </c>
      <c r="AF735" s="34">
        <f t="shared" si="644"/>
        <v>0</v>
      </c>
      <c r="AG735" s="29">
        <f t="shared" si="645"/>
        <v>820620.95974674274</v>
      </c>
      <c r="AH735" s="34">
        <f t="shared" si="646"/>
        <v>0</v>
      </c>
      <c r="AI735" s="34">
        <f t="shared" si="647"/>
        <v>0</v>
      </c>
      <c r="AJ735" s="34">
        <f t="shared" si="648"/>
        <v>0</v>
      </c>
      <c r="AK735" s="34">
        <f t="shared" si="649"/>
        <v>0</v>
      </c>
      <c r="AL735" s="34">
        <f t="shared" si="650"/>
        <v>0</v>
      </c>
      <c r="AM735" s="34">
        <f t="shared" si="651"/>
        <v>0</v>
      </c>
      <c r="AN735" s="34">
        <f t="shared" si="652"/>
        <v>0</v>
      </c>
      <c r="AO735" s="34">
        <f t="shared" si="653"/>
        <v>0</v>
      </c>
      <c r="AP735" s="34">
        <f t="shared" si="654"/>
        <v>0</v>
      </c>
      <c r="AQ735" s="34">
        <f t="shared" si="655"/>
        <v>0</v>
      </c>
      <c r="AR735" s="34">
        <f t="shared" si="656"/>
        <v>0</v>
      </c>
      <c r="AS735" s="30">
        <f t="shared" si="657"/>
        <v>1.8333428377891223</v>
      </c>
      <c r="AT735" s="29">
        <f t="shared" si="658"/>
        <v>0</v>
      </c>
      <c r="AU735" s="29">
        <f t="shared" si="659"/>
        <v>0</v>
      </c>
      <c r="AV735" s="34">
        <f t="shared" si="660"/>
        <v>0</v>
      </c>
      <c r="AW735" s="34">
        <f t="shared" si="661"/>
        <v>0</v>
      </c>
      <c r="AX735" s="29">
        <f t="shared" si="662"/>
        <v>0</v>
      </c>
      <c r="AY735" s="34">
        <f t="shared" si="663"/>
        <v>0</v>
      </c>
      <c r="AZ735" s="37">
        <f t="shared" si="664"/>
        <v>0</v>
      </c>
      <c r="BA735" s="37">
        <f t="shared" si="665"/>
        <v>0</v>
      </c>
      <c r="BB735" s="35">
        <f t="shared" si="666"/>
        <v>1.1896846248979909E-3</v>
      </c>
      <c r="BC735" s="31">
        <f t="shared" si="667"/>
        <v>0.41931092891379917</v>
      </c>
      <c r="BD735" s="34">
        <f t="shared" si="668"/>
        <v>0</v>
      </c>
    </row>
    <row r="736" spans="1:56" x14ac:dyDescent="0.2">
      <c r="A736" s="27">
        <f t="shared" si="669"/>
        <v>732</v>
      </c>
      <c r="B736" s="28">
        <f t="shared" si="616"/>
        <v>732</v>
      </c>
      <c r="C736" s="27">
        <f t="shared" si="617"/>
        <v>61</v>
      </c>
      <c r="D736" s="28">
        <f t="shared" si="618"/>
        <v>81</v>
      </c>
      <c r="E736" s="29">
        <f t="shared" si="619"/>
        <v>0</v>
      </c>
      <c r="F736" s="30">
        <f t="shared" si="620"/>
        <v>1.673000019441017E-2</v>
      </c>
      <c r="G736" s="31">
        <f t="shared" si="621"/>
        <v>1.40497271440998E-3</v>
      </c>
      <c r="H736" s="32">
        <f t="shared" si="622"/>
        <v>0.02</v>
      </c>
      <c r="I736" s="32">
        <f t="shared" si="623"/>
        <v>0</v>
      </c>
      <c r="J736" s="33">
        <f t="shared" si="670"/>
        <v>0</v>
      </c>
      <c r="K736" s="30">
        <f t="shared" si="624"/>
        <v>0</v>
      </c>
      <c r="L736" s="33">
        <f t="shared" si="625"/>
        <v>0</v>
      </c>
      <c r="M736" s="30">
        <f t="shared" si="626"/>
        <v>0</v>
      </c>
      <c r="N736" s="33">
        <f t="shared" si="627"/>
        <v>0</v>
      </c>
      <c r="O736" s="31">
        <f t="shared" si="628"/>
        <v>0</v>
      </c>
      <c r="P736" s="33">
        <f t="shared" si="629"/>
        <v>0</v>
      </c>
      <c r="Q736" s="34">
        <f t="shared" si="671"/>
        <v>827632.3331712113</v>
      </c>
      <c r="R736" s="29">
        <f t="shared" si="630"/>
        <v>0</v>
      </c>
      <c r="S736" s="34">
        <f t="shared" si="631"/>
        <v>827632.3331712113</v>
      </c>
      <c r="T736" s="29">
        <f t="shared" si="632"/>
        <v>689.6936109760095</v>
      </c>
      <c r="U736" s="29">
        <f t="shared" si="633"/>
        <v>0</v>
      </c>
      <c r="V736" s="35">
        <f t="shared" si="634"/>
        <v>1.5454699858509782E-3</v>
      </c>
      <c r="W736" s="34">
        <f t="shared" si="635"/>
        <v>0</v>
      </c>
      <c r="X736" s="34">
        <f t="shared" si="636"/>
        <v>826942.63956023532</v>
      </c>
      <c r="Y736" s="36">
        <f t="shared" si="637"/>
        <v>-1.8684166045289552E-2</v>
      </c>
      <c r="Z736" s="34">
        <f t="shared" si="638"/>
        <v>-15450.733587473465</v>
      </c>
      <c r="AA736" s="34">
        <f t="shared" si="639"/>
        <v>819217.27276649862</v>
      </c>
      <c r="AB736" s="34">
        <f t="shared" si="640"/>
        <v>0</v>
      </c>
      <c r="AC736" s="34">
        <f t="shared" si="641"/>
        <v>0</v>
      </c>
      <c r="AD736" s="34">
        <f t="shared" si="642"/>
        <v>0</v>
      </c>
      <c r="AE736" s="34">
        <f t="shared" si="643"/>
        <v>0</v>
      </c>
      <c r="AF736" s="34">
        <f t="shared" si="644"/>
        <v>0</v>
      </c>
      <c r="AG736" s="29">
        <f t="shared" si="645"/>
        <v>819217.27276649862</v>
      </c>
      <c r="AH736" s="34">
        <f t="shared" si="646"/>
        <v>0</v>
      </c>
      <c r="AI736" s="34">
        <f t="shared" si="647"/>
        <v>0</v>
      </c>
      <c r="AJ736" s="34">
        <f t="shared" si="648"/>
        <v>0</v>
      </c>
      <c r="AK736" s="34">
        <f t="shared" si="649"/>
        <v>0</v>
      </c>
      <c r="AL736" s="34">
        <f t="shared" si="650"/>
        <v>0</v>
      </c>
      <c r="AM736" s="34">
        <f t="shared" si="651"/>
        <v>0</v>
      </c>
      <c r="AN736" s="34">
        <f t="shared" si="652"/>
        <v>0</v>
      </c>
      <c r="AO736" s="34">
        <f t="shared" si="653"/>
        <v>0</v>
      </c>
      <c r="AP736" s="34">
        <f t="shared" si="654"/>
        <v>0</v>
      </c>
      <c r="AQ736" s="34">
        <f t="shared" si="655"/>
        <v>0</v>
      </c>
      <c r="AR736" s="34">
        <f t="shared" si="656"/>
        <v>0</v>
      </c>
      <c r="AS736" s="30">
        <f t="shared" si="657"/>
        <v>1.8348636655497323</v>
      </c>
      <c r="AT736" s="29">
        <f t="shared" si="658"/>
        <v>0</v>
      </c>
      <c r="AU736" s="29">
        <f t="shared" si="659"/>
        <v>0</v>
      </c>
      <c r="AV736" s="34">
        <f t="shared" si="660"/>
        <v>0</v>
      </c>
      <c r="AW736" s="34">
        <f t="shared" si="661"/>
        <v>0</v>
      </c>
      <c r="AX736" s="29">
        <f t="shared" si="662"/>
        <v>0</v>
      </c>
      <c r="AY736" s="34">
        <f t="shared" si="663"/>
        <v>0</v>
      </c>
      <c r="AZ736" s="37">
        <f t="shared" si="664"/>
        <v>0</v>
      </c>
      <c r="BA736" s="37">
        <f t="shared" si="665"/>
        <v>0</v>
      </c>
      <c r="BB736" s="35">
        <f t="shared" si="666"/>
        <v>1.2192900015992603E-3</v>
      </c>
      <c r="BC736" s="31">
        <f t="shared" si="667"/>
        <v>0.40984485123032827</v>
      </c>
      <c r="BD736" s="34">
        <f t="shared" si="668"/>
        <v>0</v>
      </c>
    </row>
    <row r="737" spans="1:56" x14ac:dyDescent="0.2">
      <c r="A737" s="27">
        <f t="shared" si="669"/>
        <v>733</v>
      </c>
      <c r="B737" s="28">
        <f t="shared" si="616"/>
        <v>733</v>
      </c>
      <c r="C737" s="27">
        <f t="shared" si="617"/>
        <v>61</v>
      </c>
      <c r="D737" s="28">
        <f t="shared" si="618"/>
        <v>81</v>
      </c>
      <c r="E737" s="29">
        <f t="shared" si="619"/>
        <v>0</v>
      </c>
      <c r="F737" s="30">
        <f t="shared" si="620"/>
        <v>1.673000019441017E-2</v>
      </c>
      <c r="G737" s="31">
        <f t="shared" si="621"/>
        <v>1.40497271440998E-3</v>
      </c>
      <c r="H737" s="32">
        <f t="shared" si="622"/>
        <v>0.02</v>
      </c>
      <c r="I737" s="32">
        <f t="shared" si="623"/>
        <v>0</v>
      </c>
      <c r="J737" s="33">
        <f t="shared" si="670"/>
        <v>0</v>
      </c>
      <c r="K737" s="30">
        <f t="shared" si="624"/>
        <v>0</v>
      </c>
      <c r="L737" s="33">
        <f t="shared" si="625"/>
        <v>0</v>
      </c>
      <c r="M737" s="30">
        <f t="shared" si="626"/>
        <v>0</v>
      </c>
      <c r="N737" s="33">
        <f t="shared" si="627"/>
        <v>0</v>
      </c>
      <c r="O737" s="31">
        <f t="shared" si="628"/>
        <v>0</v>
      </c>
      <c r="P737" s="33">
        <f t="shared" si="629"/>
        <v>0</v>
      </c>
      <c r="Q737" s="34">
        <f t="shared" si="671"/>
        <v>811491.9059727618</v>
      </c>
      <c r="R737" s="29">
        <f t="shared" si="630"/>
        <v>0</v>
      </c>
      <c r="S737" s="34">
        <f t="shared" si="631"/>
        <v>811491.9059727618</v>
      </c>
      <c r="T737" s="29">
        <f t="shared" si="632"/>
        <v>676.24325497730149</v>
      </c>
      <c r="U737" s="29">
        <f t="shared" si="633"/>
        <v>0</v>
      </c>
      <c r="V737" s="35">
        <f t="shared" si="634"/>
        <v>1.5454699858509782E-3</v>
      </c>
      <c r="W737" s="34">
        <f t="shared" si="635"/>
        <v>0</v>
      </c>
      <c r="X737" s="34">
        <f t="shared" si="636"/>
        <v>810815.66271778452</v>
      </c>
      <c r="Y737" s="36">
        <f t="shared" si="637"/>
        <v>-1.184282168224382E-2</v>
      </c>
      <c r="Z737" s="34">
        <f t="shared" si="638"/>
        <v>-9602.3453107370715</v>
      </c>
      <c r="AA737" s="34">
        <f t="shared" si="639"/>
        <v>806014.49006241595</v>
      </c>
      <c r="AB737" s="34">
        <f t="shared" si="640"/>
        <v>0</v>
      </c>
      <c r="AC737" s="34">
        <f t="shared" si="641"/>
        <v>0</v>
      </c>
      <c r="AD737" s="34">
        <f t="shared" si="642"/>
        <v>0</v>
      </c>
      <c r="AE737" s="34">
        <f t="shared" si="643"/>
        <v>0</v>
      </c>
      <c r="AF737" s="34">
        <f t="shared" si="644"/>
        <v>0</v>
      </c>
      <c r="AG737" s="29">
        <f t="shared" si="645"/>
        <v>806014.49006241595</v>
      </c>
      <c r="AH737" s="34">
        <f t="shared" si="646"/>
        <v>0</v>
      </c>
      <c r="AI737" s="34">
        <f t="shared" si="647"/>
        <v>0</v>
      </c>
      <c r="AJ737" s="34">
        <f t="shared" si="648"/>
        <v>0</v>
      </c>
      <c r="AK737" s="34">
        <f t="shared" si="649"/>
        <v>0</v>
      </c>
      <c r="AL737" s="34">
        <f t="shared" si="650"/>
        <v>0</v>
      </c>
      <c r="AM737" s="34">
        <f t="shared" si="651"/>
        <v>0</v>
      </c>
      <c r="AN737" s="34">
        <f t="shared" si="652"/>
        <v>0</v>
      </c>
      <c r="AO737" s="34">
        <f t="shared" si="653"/>
        <v>0</v>
      </c>
      <c r="AP737" s="34">
        <f t="shared" si="654"/>
        <v>0</v>
      </c>
      <c r="AQ737" s="34">
        <f t="shared" si="655"/>
        <v>0</v>
      </c>
      <c r="AR737" s="34">
        <f t="shared" si="656"/>
        <v>0</v>
      </c>
      <c r="AS737" s="30">
        <f t="shared" si="657"/>
        <v>1.8363857548949347</v>
      </c>
      <c r="AT737" s="29">
        <f t="shared" si="658"/>
        <v>0</v>
      </c>
      <c r="AU737" s="29">
        <f t="shared" si="659"/>
        <v>0</v>
      </c>
      <c r="AV737" s="34">
        <f t="shared" si="660"/>
        <v>0</v>
      </c>
      <c r="AW737" s="34">
        <f t="shared" si="661"/>
        <v>0</v>
      </c>
      <c r="AX737" s="29">
        <f t="shared" si="662"/>
        <v>0</v>
      </c>
      <c r="AY737" s="34">
        <f t="shared" si="663"/>
        <v>0</v>
      </c>
      <c r="AZ737" s="37">
        <f t="shared" si="664"/>
        <v>0</v>
      </c>
      <c r="BA737" s="37">
        <f t="shared" si="665"/>
        <v>0</v>
      </c>
      <c r="BB737" s="35">
        <f t="shared" si="666"/>
        <v>1.2192900015992603E-3</v>
      </c>
      <c r="BC737" s="31">
        <f t="shared" si="667"/>
        <v>0.40934574006227314</v>
      </c>
      <c r="BD737" s="34">
        <f t="shared" si="668"/>
        <v>0</v>
      </c>
    </row>
    <row r="738" spans="1:56" x14ac:dyDescent="0.2">
      <c r="A738" s="27">
        <f t="shared" si="669"/>
        <v>734</v>
      </c>
      <c r="B738" s="28">
        <f t="shared" si="616"/>
        <v>734</v>
      </c>
      <c r="C738" s="27">
        <f t="shared" si="617"/>
        <v>61</v>
      </c>
      <c r="D738" s="28">
        <f t="shared" si="618"/>
        <v>81</v>
      </c>
      <c r="E738" s="29">
        <f t="shared" si="619"/>
        <v>0</v>
      </c>
      <c r="F738" s="30">
        <f t="shared" si="620"/>
        <v>1.673000019441017E-2</v>
      </c>
      <c r="G738" s="31">
        <f t="shared" si="621"/>
        <v>1.40497271440998E-3</v>
      </c>
      <c r="H738" s="32">
        <f t="shared" si="622"/>
        <v>0.02</v>
      </c>
      <c r="I738" s="32">
        <f t="shared" si="623"/>
        <v>0</v>
      </c>
      <c r="J738" s="33">
        <f t="shared" si="670"/>
        <v>0</v>
      </c>
      <c r="K738" s="30">
        <f t="shared" si="624"/>
        <v>0</v>
      </c>
      <c r="L738" s="33">
        <f t="shared" si="625"/>
        <v>0</v>
      </c>
      <c r="M738" s="30">
        <f t="shared" si="626"/>
        <v>0</v>
      </c>
      <c r="N738" s="33">
        <f t="shared" si="627"/>
        <v>0</v>
      </c>
      <c r="O738" s="31">
        <f t="shared" si="628"/>
        <v>0</v>
      </c>
      <c r="P738" s="33">
        <f t="shared" si="629"/>
        <v>0</v>
      </c>
      <c r="Q738" s="34">
        <f t="shared" si="671"/>
        <v>801213.31740704749</v>
      </c>
      <c r="R738" s="29">
        <f t="shared" si="630"/>
        <v>0</v>
      </c>
      <c r="S738" s="34">
        <f t="shared" si="631"/>
        <v>801213.31740704749</v>
      </c>
      <c r="T738" s="29">
        <f t="shared" si="632"/>
        <v>667.67776450587291</v>
      </c>
      <c r="U738" s="29">
        <f t="shared" si="633"/>
        <v>0</v>
      </c>
      <c r="V738" s="35">
        <f t="shared" si="634"/>
        <v>1.5454699858509782E-3</v>
      </c>
      <c r="W738" s="34">
        <f t="shared" si="635"/>
        <v>0</v>
      </c>
      <c r="X738" s="34">
        <f t="shared" si="636"/>
        <v>800545.63964254165</v>
      </c>
      <c r="Y738" s="36">
        <f t="shared" si="637"/>
        <v>1.3909640184712746E-3</v>
      </c>
      <c r="Z738" s="34">
        <f t="shared" si="638"/>
        <v>1113.5301798868466</v>
      </c>
      <c r="AA738" s="34">
        <f t="shared" si="639"/>
        <v>801102.40473248507</v>
      </c>
      <c r="AB738" s="34">
        <f t="shared" si="640"/>
        <v>0</v>
      </c>
      <c r="AC738" s="34">
        <f t="shared" si="641"/>
        <v>0</v>
      </c>
      <c r="AD738" s="34">
        <f t="shared" si="642"/>
        <v>0</v>
      </c>
      <c r="AE738" s="34">
        <f t="shared" si="643"/>
        <v>0</v>
      </c>
      <c r="AF738" s="34">
        <f t="shared" si="644"/>
        <v>0</v>
      </c>
      <c r="AG738" s="29">
        <f t="shared" si="645"/>
        <v>801102.40473248507</v>
      </c>
      <c r="AH738" s="34">
        <f t="shared" si="646"/>
        <v>0</v>
      </c>
      <c r="AI738" s="34">
        <f t="shared" si="647"/>
        <v>0</v>
      </c>
      <c r="AJ738" s="34">
        <f t="shared" si="648"/>
        <v>0</v>
      </c>
      <c r="AK738" s="34">
        <f t="shared" si="649"/>
        <v>0</v>
      </c>
      <c r="AL738" s="34">
        <f t="shared" si="650"/>
        <v>0</v>
      </c>
      <c r="AM738" s="34">
        <f t="shared" si="651"/>
        <v>0</v>
      </c>
      <c r="AN738" s="34">
        <f t="shared" si="652"/>
        <v>0</v>
      </c>
      <c r="AO738" s="34">
        <f t="shared" si="653"/>
        <v>0</v>
      </c>
      <c r="AP738" s="34">
        <f t="shared" si="654"/>
        <v>0</v>
      </c>
      <c r="AQ738" s="34">
        <f t="shared" si="655"/>
        <v>0</v>
      </c>
      <c r="AR738" s="34">
        <f t="shared" si="656"/>
        <v>0</v>
      </c>
      <c r="AS738" s="30">
        <f t="shared" si="657"/>
        <v>1.8379091068712625</v>
      </c>
      <c r="AT738" s="29">
        <f t="shared" si="658"/>
        <v>0</v>
      </c>
      <c r="AU738" s="29">
        <f t="shared" si="659"/>
        <v>0</v>
      </c>
      <c r="AV738" s="34">
        <f t="shared" si="660"/>
        <v>0</v>
      </c>
      <c r="AW738" s="34">
        <f t="shared" si="661"/>
        <v>0</v>
      </c>
      <c r="AX738" s="29">
        <f t="shared" si="662"/>
        <v>0</v>
      </c>
      <c r="AY738" s="34">
        <f t="shared" si="663"/>
        <v>0</v>
      </c>
      <c r="AZ738" s="37">
        <f t="shared" si="664"/>
        <v>0</v>
      </c>
      <c r="BA738" s="37">
        <f t="shared" si="665"/>
        <v>0</v>
      </c>
      <c r="BB738" s="35">
        <f t="shared" si="666"/>
        <v>1.2192900015992603E-3</v>
      </c>
      <c r="BC738" s="31">
        <f t="shared" si="667"/>
        <v>0.40884723671436585</v>
      </c>
      <c r="BD738" s="34">
        <f t="shared" si="668"/>
        <v>0</v>
      </c>
    </row>
    <row r="739" spans="1:56" x14ac:dyDescent="0.2">
      <c r="A739" s="27">
        <f t="shared" si="669"/>
        <v>735</v>
      </c>
      <c r="B739" s="28">
        <f t="shared" si="616"/>
        <v>735</v>
      </c>
      <c r="C739" s="27">
        <f t="shared" si="617"/>
        <v>61</v>
      </c>
      <c r="D739" s="28">
        <f t="shared" si="618"/>
        <v>81</v>
      </c>
      <c r="E739" s="29">
        <f t="shared" si="619"/>
        <v>0</v>
      </c>
      <c r="F739" s="30">
        <f t="shared" si="620"/>
        <v>1.673000019441017E-2</v>
      </c>
      <c r="G739" s="31">
        <f t="shared" si="621"/>
        <v>1.40497271440998E-3</v>
      </c>
      <c r="H739" s="32">
        <f t="shared" si="622"/>
        <v>0.02</v>
      </c>
      <c r="I739" s="32">
        <f t="shared" si="623"/>
        <v>0</v>
      </c>
      <c r="J739" s="33">
        <f t="shared" si="670"/>
        <v>0</v>
      </c>
      <c r="K739" s="30">
        <f t="shared" si="624"/>
        <v>0</v>
      </c>
      <c r="L739" s="33">
        <f t="shared" si="625"/>
        <v>0</v>
      </c>
      <c r="M739" s="30">
        <f t="shared" si="626"/>
        <v>0</v>
      </c>
      <c r="N739" s="33">
        <f t="shared" si="627"/>
        <v>0</v>
      </c>
      <c r="O739" s="31">
        <f t="shared" si="628"/>
        <v>0</v>
      </c>
      <c r="P739" s="33">
        <f t="shared" si="629"/>
        <v>0</v>
      </c>
      <c r="Q739" s="34">
        <f t="shared" si="671"/>
        <v>801659.16982242849</v>
      </c>
      <c r="R739" s="29">
        <f t="shared" si="630"/>
        <v>0</v>
      </c>
      <c r="S739" s="34">
        <f t="shared" si="631"/>
        <v>801659.16982242849</v>
      </c>
      <c r="T739" s="29">
        <f t="shared" si="632"/>
        <v>668.04930818535706</v>
      </c>
      <c r="U739" s="29">
        <f t="shared" si="633"/>
        <v>0</v>
      </c>
      <c r="V739" s="35">
        <f t="shared" si="634"/>
        <v>1.5454699858509782E-3</v>
      </c>
      <c r="W739" s="34">
        <f t="shared" si="635"/>
        <v>0</v>
      </c>
      <c r="X739" s="34">
        <f t="shared" si="636"/>
        <v>800991.12051424314</v>
      </c>
      <c r="Y739" s="36">
        <f t="shared" si="637"/>
        <v>-4.2163105112824617E-4</v>
      </c>
      <c r="Z739" s="34">
        <f t="shared" si="638"/>
        <v>-337.72272808681203</v>
      </c>
      <c r="AA739" s="34">
        <f t="shared" si="639"/>
        <v>800822.25915019971</v>
      </c>
      <c r="AB739" s="34">
        <f t="shared" si="640"/>
        <v>0</v>
      </c>
      <c r="AC739" s="34">
        <f t="shared" si="641"/>
        <v>0</v>
      </c>
      <c r="AD739" s="34">
        <f t="shared" si="642"/>
        <v>0</v>
      </c>
      <c r="AE739" s="34">
        <f t="shared" si="643"/>
        <v>0</v>
      </c>
      <c r="AF739" s="34">
        <f t="shared" si="644"/>
        <v>0</v>
      </c>
      <c r="AG739" s="29">
        <f t="shared" si="645"/>
        <v>800822.25915019971</v>
      </c>
      <c r="AH739" s="34">
        <f t="shared" si="646"/>
        <v>0</v>
      </c>
      <c r="AI739" s="34">
        <f t="shared" si="647"/>
        <v>0</v>
      </c>
      <c r="AJ739" s="34">
        <f t="shared" si="648"/>
        <v>0</v>
      </c>
      <c r="AK739" s="34">
        <f t="shared" si="649"/>
        <v>0</v>
      </c>
      <c r="AL739" s="34">
        <f t="shared" si="650"/>
        <v>0</v>
      </c>
      <c r="AM739" s="34">
        <f t="shared" si="651"/>
        <v>0</v>
      </c>
      <c r="AN739" s="34">
        <f t="shared" si="652"/>
        <v>0</v>
      </c>
      <c r="AO739" s="34">
        <f t="shared" si="653"/>
        <v>0</v>
      </c>
      <c r="AP739" s="34">
        <f t="shared" si="654"/>
        <v>0</v>
      </c>
      <c r="AQ739" s="34">
        <f t="shared" si="655"/>
        <v>0</v>
      </c>
      <c r="AR739" s="34">
        <f t="shared" si="656"/>
        <v>0</v>
      </c>
      <c r="AS739" s="30">
        <f t="shared" si="657"/>
        <v>1.8394337225261164</v>
      </c>
      <c r="AT739" s="29">
        <f t="shared" si="658"/>
        <v>0</v>
      </c>
      <c r="AU739" s="29">
        <f t="shared" si="659"/>
        <v>0</v>
      </c>
      <c r="AV739" s="34">
        <f t="shared" si="660"/>
        <v>0</v>
      </c>
      <c r="AW739" s="34">
        <f t="shared" si="661"/>
        <v>0</v>
      </c>
      <c r="AX739" s="29">
        <f t="shared" si="662"/>
        <v>0</v>
      </c>
      <c r="AY739" s="34">
        <f t="shared" si="663"/>
        <v>0</v>
      </c>
      <c r="AZ739" s="37">
        <f t="shared" si="664"/>
        <v>0</v>
      </c>
      <c r="BA739" s="37">
        <f t="shared" si="665"/>
        <v>0</v>
      </c>
      <c r="BB739" s="35">
        <f t="shared" si="666"/>
        <v>1.2192900015992603E-3</v>
      </c>
      <c r="BC739" s="31">
        <f t="shared" si="667"/>
        <v>0.40834934044639992</v>
      </c>
      <c r="BD739" s="34">
        <f t="shared" si="668"/>
        <v>0</v>
      </c>
    </row>
    <row r="740" spans="1:56" x14ac:dyDescent="0.2">
      <c r="A740" s="27">
        <f t="shared" si="669"/>
        <v>736</v>
      </c>
      <c r="B740" s="28">
        <f t="shared" si="616"/>
        <v>736</v>
      </c>
      <c r="C740" s="27">
        <f t="shared" si="617"/>
        <v>61</v>
      </c>
      <c r="D740" s="28">
        <f t="shared" si="618"/>
        <v>81</v>
      </c>
      <c r="E740" s="29">
        <f t="shared" si="619"/>
        <v>0</v>
      </c>
      <c r="F740" s="30">
        <f t="shared" si="620"/>
        <v>1.673000019441017E-2</v>
      </c>
      <c r="G740" s="31">
        <f t="shared" si="621"/>
        <v>1.40497271440998E-3</v>
      </c>
      <c r="H740" s="32">
        <f t="shared" si="622"/>
        <v>0.02</v>
      </c>
      <c r="I740" s="32">
        <f t="shared" si="623"/>
        <v>0</v>
      </c>
      <c r="J740" s="33">
        <f t="shared" si="670"/>
        <v>0</v>
      </c>
      <c r="K740" s="30">
        <f t="shared" si="624"/>
        <v>0</v>
      </c>
      <c r="L740" s="33">
        <f t="shared" si="625"/>
        <v>0</v>
      </c>
      <c r="M740" s="30">
        <f t="shared" si="626"/>
        <v>0</v>
      </c>
      <c r="N740" s="33">
        <f t="shared" si="627"/>
        <v>0</v>
      </c>
      <c r="O740" s="31">
        <f t="shared" si="628"/>
        <v>0</v>
      </c>
      <c r="P740" s="33">
        <f t="shared" si="629"/>
        <v>0</v>
      </c>
      <c r="Q740" s="34">
        <f t="shared" si="671"/>
        <v>800653.39778615627</v>
      </c>
      <c r="R740" s="29">
        <f t="shared" si="630"/>
        <v>0</v>
      </c>
      <c r="S740" s="34">
        <f t="shared" si="631"/>
        <v>800653.39778615627</v>
      </c>
      <c r="T740" s="29">
        <f t="shared" si="632"/>
        <v>667.21116482179696</v>
      </c>
      <c r="U740" s="29">
        <f t="shared" si="633"/>
        <v>0</v>
      </c>
      <c r="V740" s="35">
        <f t="shared" si="634"/>
        <v>1.5454699858509782E-3</v>
      </c>
      <c r="W740" s="34">
        <f t="shared" si="635"/>
        <v>0</v>
      </c>
      <c r="X740" s="34">
        <f t="shared" si="636"/>
        <v>799986.18662133452</v>
      </c>
      <c r="Y740" s="36">
        <f t="shared" si="637"/>
        <v>6.7643632083715932E-3</v>
      </c>
      <c r="Z740" s="34">
        <f t="shared" si="638"/>
        <v>5411.3971279868465</v>
      </c>
      <c r="AA740" s="34">
        <f t="shared" si="639"/>
        <v>802691.88518532796</v>
      </c>
      <c r="AB740" s="34">
        <f t="shared" si="640"/>
        <v>0</v>
      </c>
      <c r="AC740" s="34">
        <f t="shared" si="641"/>
        <v>0</v>
      </c>
      <c r="AD740" s="34">
        <f t="shared" si="642"/>
        <v>0</v>
      </c>
      <c r="AE740" s="34">
        <f t="shared" si="643"/>
        <v>0</v>
      </c>
      <c r="AF740" s="34">
        <f t="shared" si="644"/>
        <v>0</v>
      </c>
      <c r="AG740" s="29">
        <f t="shared" si="645"/>
        <v>802691.88518532796</v>
      </c>
      <c r="AH740" s="34">
        <f t="shared" si="646"/>
        <v>0</v>
      </c>
      <c r="AI740" s="34">
        <f t="shared" si="647"/>
        <v>0</v>
      </c>
      <c r="AJ740" s="34">
        <f t="shared" si="648"/>
        <v>0</v>
      </c>
      <c r="AK740" s="34">
        <f t="shared" si="649"/>
        <v>0</v>
      </c>
      <c r="AL740" s="34">
        <f t="shared" si="650"/>
        <v>0</v>
      </c>
      <c r="AM740" s="34">
        <f t="shared" si="651"/>
        <v>0</v>
      </c>
      <c r="AN740" s="34">
        <f t="shared" si="652"/>
        <v>0</v>
      </c>
      <c r="AO740" s="34">
        <f t="shared" si="653"/>
        <v>0</v>
      </c>
      <c r="AP740" s="34">
        <f t="shared" si="654"/>
        <v>0</v>
      </c>
      <c r="AQ740" s="34">
        <f t="shared" si="655"/>
        <v>0</v>
      </c>
      <c r="AR740" s="34">
        <f t="shared" si="656"/>
        <v>0</v>
      </c>
      <c r="AS740" s="30">
        <f t="shared" si="657"/>
        <v>1.8409596029077655</v>
      </c>
      <c r="AT740" s="29">
        <f t="shared" si="658"/>
        <v>0</v>
      </c>
      <c r="AU740" s="29">
        <f t="shared" si="659"/>
        <v>0</v>
      </c>
      <c r="AV740" s="34">
        <f t="shared" si="660"/>
        <v>0</v>
      </c>
      <c r="AW740" s="34">
        <f t="shared" si="661"/>
        <v>0</v>
      </c>
      <c r="AX740" s="29">
        <f t="shared" si="662"/>
        <v>0</v>
      </c>
      <c r="AY740" s="34">
        <f t="shared" si="663"/>
        <v>0</v>
      </c>
      <c r="AZ740" s="37">
        <f t="shared" si="664"/>
        <v>0</v>
      </c>
      <c r="BA740" s="37">
        <f t="shared" si="665"/>
        <v>0</v>
      </c>
      <c r="BB740" s="35">
        <f t="shared" si="666"/>
        <v>1.2192900015992603E-3</v>
      </c>
      <c r="BC740" s="31">
        <f t="shared" si="667"/>
        <v>0.40785205051907009</v>
      </c>
      <c r="BD740" s="34">
        <f t="shared" si="668"/>
        <v>0</v>
      </c>
    </row>
    <row r="741" spans="1:56" x14ac:dyDescent="0.2">
      <c r="A741" s="27">
        <f t="shared" si="669"/>
        <v>737</v>
      </c>
      <c r="B741" s="28">
        <f t="shared" si="616"/>
        <v>737</v>
      </c>
      <c r="C741" s="27">
        <f t="shared" si="617"/>
        <v>61</v>
      </c>
      <c r="D741" s="28">
        <f t="shared" si="618"/>
        <v>81</v>
      </c>
      <c r="E741" s="29">
        <f t="shared" si="619"/>
        <v>0</v>
      </c>
      <c r="F741" s="30">
        <f t="shared" si="620"/>
        <v>1.673000019441017E-2</v>
      </c>
      <c r="G741" s="31">
        <f t="shared" si="621"/>
        <v>1.40497271440998E-3</v>
      </c>
      <c r="H741" s="32">
        <f t="shared" si="622"/>
        <v>0.02</v>
      </c>
      <c r="I741" s="32">
        <f t="shared" si="623"/>
        <v>0</v>
      </c>
      <c r="J741" s="33">
        <f t="shared" si="670"/>
        <v>0</v>
      </c>
      <c r="K741" s="30">
        <f t="shared" si="624"/>
        <v>0</v>
      </c>
      <c r="L741" s="33">
        <f t="shared" si="625"/>
        <v>0</v>
      </c>
      <c r="M741" s="30">
        <f t="shared" si="626"/>
        <v>0</v>
      </c>
      <c r="N741" s="33">
        <f t="shared" si="627"/>
        <v>0</v>
      </c>
      <c r="O741" s="31">
        <f t="shared" si="628"/>
        <v>0</v>
      </c>
      <c r="P741" s="33">
        <f t="shared" si="629"/>
        <v>0</v>
      </c>
      <c r="Q741" s="34">
        <f t="shared" si="671"/>
        <v>805397.58374932141</v>
      </c>
      <c r="R741" s="29">
        <f t="shared" si="630"/>
        <v>0</v>
      </c>
      <c r="S741" s="34">
        <f t="shared" si="631"/>
        <v>805397.58374932141</v>
      </c>
      <c r="T741" s="29">
        <f t="shared" si="632"/>
        <v>671.16465312443449</v>
      </c>
      <c r="U741" s="29">
        <f t="shared" si="633"/>
        <v>0</v>
      </c>
      <c r="V741" s="35">
        <f t="shared" si="634"/>
        <v>1.5454699858509782E-3</v>
      </c>
      <c r="W741" s="34">
        <f t="shared" si="635"/>
        <v>0</v>
      </c>
      <c r="X741" s="34">
        <f t="shared" si="636"/>
        <v>804726.419096197</v>
      </c>
      <c r="Y741" s="36">
        <f t="shared" si="637"/>
        <v>9.2588389900103429E-3</v>
      </c>
      <c r="Z741" s="34">
        <f t="shared" si="638"/>
        <v>7450.8323454192723</v>
      </c>
      <c r="AA741" s="34">
        <f t="shared" si="639"/>
        <v>808451.83526890667</v>
      </c>
      <c r="AB741" s="34">
        <f t="shared" si="640"/>
        <v>0</v>
      </c>
      <c r="AC741" s="34">
        <f t="shared" si="641"/>
        <v>0</v>
      </c>
      <c r="AD741" s="34">
        <f t="shared" si="642"/>
        <v>0</v>
      </c>
      <c r="AE741" s="34">
        <f t="shared" si="643"/>
        <v>0</v>
      </c>
      <c r="AF741" s="34">
        <f t="shared" si="644"/>
        <v>0</v>
      </c>
      <c r="AG741" s="29">
        <f t="shared" si="645"/>
        <v>808451.83526890667</v>
      </c>
      <c r="AH741" s="34">
        <f t="shared" si="646"/>
        <v>0</v>
      </c>
      <c r="AI741" s="34">
        <f t="shared" si="647"/>
        <v>0</v>
      </c>
      <c r="AJ741" s="34">
        <f t="shared" si="648"/>
        <v>0</v>
      </c>
      <c r="AK741" s="34">
        <f t="shared" si="649"/>
        <v>0</v>
      </c>
      <c r="AL741" s="34">
        <f t="shared" si="650"/>
        <v>0</v>
      </c>
      <c r="AM741" s="34">
        <f t="shared" si="651"/>
        <v>0</v>
      </c>
      <c r="AN741" s="34">
        <f t="shared" si="652"/>
        <v>0</v>
      </c>
      <c r="AO741" s="34">
        <f t="shared" si="653"/>
        <v>0</v>
      </c>
      <c r="AP741" s="34">
        <f t="shared" si="654"/>
        <v>0</v>
      </c>
      <c r="AQ741" s="34">
        <f t="shared" si="655"/>
        <v>0</v>
      </c>
      <c r="AR741" s="34">
        <f t="shared" si="656"/>
        <v>0</v>
      </c>
      <c r="AS741" s="30">
        <f t="shared" si="657"/>
        <v>1.8424867490653491</v>
      </c>
      <c r="AT741" s="29">
        <f t="shared" si="658"/>
        <v>0</v>
      </c>
      <c r="AU741" s="29">
        <f t="shared" si="659"/>
        <v>0</v>
      </c>
      <c r="AV741" s="34">
        <f t="shared" si="660"/>
        <v>0</v>
      </c>
      <c r="AW741" s="34">
        <f t="shared" si="661"/>
        <v>0</v>
      </c>
      <c r="AX741" s="29">
        <f t="shared" si="662"/>
        <v>0</v>
      </c>
      <c r="AY741" s="34">
        <f t="shared" si="663"/>
        <v>0</v>
      </c>
      <c r="AZ741" s="37">
        <f t="shared" si="664"/>
        <v>0</v>
      </c>
      <c r="BA741" s="37">
        <f t="shared" si="665"/>
        <v>0</v>
      </c>
      <c r="BB741" s="35">
        <f t="shared" si="666"/>
        <v>1.2192900015992603E-3</v>
      </c>
      <c r="BC741" s="31">
        <f t="shared" si="667"/>
        <v>0.407355366193972</v>
      </c>
      <c r="BD741" s="34">
        <f t="shared" si="668"/>
        <v>0</v>
      </c>
    </row>
    <row r="742" spans="1:56" x14ac:dyDescent="0.2">
      <c r="A742" s="27">
        <f t="shared" si="669"/>
        <v>738</v>
      </c>
      <c r="B742" s="28">
        <f t="shared" si="616"/>
        <v>738</v>
      </c>
      <c r="C742" s="27">
        <f t="shared" si="617"/>
        <v>61</v>
      </c>
      <c r="D742" s="28">
        <f t="shared" si="618"/>
        <v>81</v>
      </c>
      <c r="E742" s="29">
        <f t="shared" si="619"/>
        <v>0</v>
      </c>
      <c r="F742" s="30">
        <f t="shared" si="620"/>
        <v>1.673000019441017E-2</v>
      </c>
      <c r="G742" s="31">
        <f t="shared" si="621"/>
        <v>1.40497271440998E-3</v>
      </c>
      <c r="H742" s="32">
        <f t="shared" si="622"/>
        <v>0.02</v>
      </c>
      <c r="I742" s="32">
        <f t="shared" si="623"/>
        <v>0</v>
      </c>
      <c r="J742" s="33">
        <f t="shared" si="670"/>
        <v>0</v>
      </c>
      <c r="K742" s="30">
        <f t="shared" si="624"/>
        <v>0</v>
      </c>
      <c r="L742" s="33">
        <f t="shared" si="625"/>
        <v>0</v>
      </c>
      <c r="M742" s="30">
        <f t="shared" si="626"/>
        <v>0</v>
      </c>
      <c r="N742" s="33">
        <f t="shared" si="627"/>
        <v>0</v>
      </c>
      <c r="O742" s="31">
        <f t="shared" si="628"/>
        <v>0</v>
      </c>
      <c r="P742" s="33">
        <f t="shared" si="629"/>
        <v>0</v>
      </c>
      <c r="Q742" s="34">
        <f t="shared" si="671"/>
        <v>812177.25144161633</v>
      </c>
      <c r="R742" s="29">
        <f t="shared" si="630"/>
        <v>0</v>
      </c>
      <c r="S742" s="34">
        <f t="shared" si="631"/>
        <v>812177.25144161633</v>
      </c>
      <c r="T742" s="29">
        <f t="shared" si="632"/>
        <v>676.81437620134693</v>
      </c>
      <c r="U742" s="29">
        <f t="shared" si="633"/>
        <v>0</v>
      </c>
      <c r="V742" s="35">
        <f t="shared" si="634"/>
        <v>1.5454699858509782E-3</v>
      </c>
      <c r="W742" s="34">
        <f t="shared" si="635"/>
        <v>0</v>
      </c>
      <c r="X742" s="34">
        <f t="shared" si="636"/>
        <v>811500.43706541497</v>
      </c>
      <c r="Y742" s="36">
        <f t="shared" si="637"/>
        <v>-2.2778121328297374E-3</v>
      </c>
      <c r="Z742" s="34">
        <f t="shared" si="638"/>
        <v>-1848.445541344237</v>
      </c>
      <c r="AA742" s="34">
        <f t="shared" si="639"/>
        <v>810576.21429474279</v>
      </c>
      <c r="AB742" s="34">
        <f t="shared" si="640"/>
        <v>0</v>
      </c>
      <c r="AC742" s="34">
        <f t="shared" si="641"/>
        <v>0</v>
      </c>
      <c r="AD742" s="34">
        <f t="shared" si="642"/>
        <v>0</v>
      </c>
      <c r="AE742" s="34">
        <f t="shared" si="643"/>
        <v>0</v>
      </c>
      <c r="AF742" s="34">
        <f t="shared" si="644"/>
        <v>0</v>
      </c>
      <c r="AG742" s="29">
        <f t="shared" si="645"/>
        <v>810576.21429474279</v>
      </c>
      <c r="AH742" s="34">
        <f t="shared" si="646"/>
        <v>0</v>
      </c>
      <c r="AI742" s="34">
        <f t="shared" si="647"/>
        <v>0</v>
      </c>
      <c r="AJ742" s="34">
        <f t="shared" si="648"/>
        <v>0</v>
      </c>
      <c r="AK742" s="34">
        <f t="shared" si="649"/>
        <v>0</v>
      </c>
      <c r="AL742" s="34">
        <f t="shared" si="650"/>
        <v>0</v>
      </c>
      <c r="AM742" s="34">
        <f t="shared" si="651"/>
        <v>0</v>
      </c>
      <c r="AN742" s="34">
        <f t="shared" si="652"/>
        <v>0</v>
      </c>
      <c r="AO742" s="34">
        <f t="shared" si="653"/>
        <v>0</v>
      </c>
      <c r="AP742" s="34">
        <f t="shared" si="654"/>
        <v>0</v>
      </c>
      <c r="AQ742" s="34">
        <f t="shared" si="655"/>
        <v>0</v>
      </c>
      <c r="AR742" s="34">
        <f t="shared" si="656"/>
        <v>0</v>
      </c>
      <c r="AS742" s="30">
        <f t="shared" si="657"/>
        <v>1.8440151620488767</v>
      </c>
      <c r="AT742" s="29">
        <f t="shared" si="658"/>
        <v>0</v>
      </c>
      <c r="AU742" s="29">
        <f t="shared" si="659"/>
        <v>0</v>
      </c>
      <c r="AV742" s="34">
        <f t="shared" si="660"/>
        <v>0</v>
      </c>
      <c r="AW742" s="34">
        <f t="shared" si="661"/>
        <v>0</v>
      </c>
      <c r="AX742" s="29">
        <f t="shared" si="662"/>
        <v>0</v>
      </c>
      <c r="AY742" s="34">
        <f t="shared" si="663"/>
        <v>0</v>
      </c>
      <c r="AZ742" s="37">
        <f t="shared" si="664"/>
        <v>0</v>
      </c>
      <c r="BA742" s="37">
        <f t="shared" si="665"/>
        <v>0</v>
      </c>
      <c r="BB742" s="35">
        <f t="shared" si="666"/>
        <v>1.2192900015992603E-3</v>
      </c>
      <c r="BC742" s="31">
        <f t="shared" si="667"/>
        <v>0.40685928673359995</v>
      </c>
      <c r="BD742" s="34">
        <f t="shared" si="668"/>
        <v>0</v>
      </c>
    </row>
    <row r="743" spans="1:56" x14ac:dyDescent="0.2">
      <c r="A743" s="27">
        <f t="shared" si="669"/>
        <v>739</v>
      </c>
      <c r="B743" s="28">
        <f t="shared" si="616"/>
        <v>739</v>
      </c>
      <c r="C743" s="27">
        <f t="shared" si="617"/>
        <v>61</v>
      </c>
      <c r="D743" s="28">
        <f t="shared" si="618"/>
        <v>81</v>
      </c>
      <c r="E743" s="29">
        <f t="shared" si="619"/>
        <v>0</v>
      </c>
      <c r="F743" s="30">
        <f t="shared" si="620"/>
        <v>1.673000019441017E-2</v>
      </c>
      <c r="G743" s="31">
        <f t="shared" si="621"/>
        <v>1.40497271440998E-3</v>
      </c>
      <c r="H743" s="32">
        <f t="shared" si="622"/>
        <v>0.02</v>
      </c>
      <c r="I743" s="32">
        <f t="shared" si="623"/>
        <v>0</v>
      </c>
      <c r="J743" s="33">
        <f t="shared" si="670"/>
        <v>0</v>
      </c>
      <c r="K743" s="30">
        <f t="shared" si="624"/>
        <v>0</v>
      </c>
      <c r="L743" s="33">
        <f t="shared" si="625"/>
        <v>0</v>
      </c>
      <c r="M743" s="30">
        <f t="shared" si="626"/>
        <v>0</v>
      </c>
      <c r="N743" s="33">
        <f t="shared" si="627"/>
        <v>0</v>
      </c>
      <c r="O743" s="31">
        <f t="shared" si="628"/>
        <v>0</v>
      </c>
      <c r="P743" s="33">
        <f t="shared" si="629"/>
        <v>0</v>
      </c>
      <c r="Q743" s="34">
        <f t="shared" si="671"/>
        <v>809651.99152407073</v>
      </c>
      <c r="R743" s="29">
        <f t="shared" si="630"/>
        <v>0</v>
      </c>
      <c r="S743" s="34">
        <f t="shared" si="631"/>
        <v>809651.99152407073</v>
      </c>
      <c r="T743" s="29">
        <f t="shared" si="632"/>
        <v>674.70999293672571</v>
      </c>
      <c r="U743" s="29">
        <f t="shared" si="633"/>
        <v>0</v>
      </c>
      <c r="V743" s="35">
        <f t="shared" si="634"/>
        <v>1.5454699858509782E-3</v>
      </c>
      <c r="W743" s="34">
        <f t="shared" si="635"/>
        <v>0</v>
      </c>
      <c r="X743" s="34">
        <f t="shared" si="636"/>
        <v>808977.28153113404</v>
      </c>
      <c r="Y743" s="36">
        <f t="shared" si="637"/>
        <v>-7.7445060244309971E-3</v>
      </c>
      <c r="Z743" s="34">
        <f t="shared" si="638"/>
        <v>-6265.1294304456787</v>
      </c>
      <c r="AA743" s="34">
        <f t="shared" si="639"/>
        <v>805844.71681591123</v>
      </c>
      <c r="AB743" s="34">
        <f t="shared" si="640"/>
        <v>0</v>
      </c>
      <c r="AC743" s="34">
        <f t="shared" si="641"/>
        <v>0</v>
      </c>
      <c r="AD743" s="34">
        <f t="shared" si="642"/>
        <v>0</v>
      </c>
      <c r="AE743" s="34">
        <f t="shared" si="643"/>
        <v>0</v>
      </c>
      <c r="AF743" s="34">
        <f t="shared" si="644"/>
        <v>0</v>
      </c>
      <c r="AG743" s="29">
        <f t="shared" si="645"/>
        <v>805844.71681591123</v>
      </c>
      <c r="AH743" s="34">
        <f t="shared" si="646"/>
        <v>0</v>
      </c>
      <c r="AI743" s="34">
        <f t="shared" si="647"/>
        <v>0</v>
      </c>
      <c r="AJ743" s="34">
        <f t="shared" si="648"/>
        <v>0</v>
      </c>
      <c r="AK743" s="34">
        <f t="shared" si="649"/>
        <v>0</v>
      </c>
      <c r="AL743" s="34">
        <f t="shared" si="650"/>
        <v>0</v>
      </c>
      <c r="AM743" s="34">
        <f t="shared" si="651"/>
        <v>0</v>
      </c>
      <c r="AN743" s="34">
        <f t="shared" si="652"/>
        <v>0</v>
      </c>
      <c r="AO743" s="34">
        <f t="shared" si="653"/>
        <v>0</v>
      </c>
      <c r="AP743" s="34">
        <f t="shared" si="654"/>
        <v>0</v>
      </c>
      <c r="AQ743" s="34">
        <f t="shared" si="655"/>
        <v>0</v>
      </c>
      <c r="AR743" s="34">
        <f t="shared" si="656"/>
        <v>0</v>
      </c>
      <c r="AS743" s="30">
        <f t="shared" si="657"/>
        <v>1.8455448429092287</v>
      </c>
      <c r="AT743" s="29">
        <f t="shared" si="658"/>
        <v>0</v>
      </c>
      <c r="AU743" s="29">
        <f t="shared" si="659"/>
        <v>0</v>
      </c>
      <c r="AV743" s="34">
        <f t="shared" si="660"/>
        <v>0</v>
      </c>
      <c r="AW743" s="34">
        <f t="shared" si="661"/>
        <v>0</v>
      </c>
      <c r="AX743" s="29">
        <f t="shared" si="662"/>
        <v>0</v>
      </c>
      <c r="AY743" s="34">
        <f t="shared" si="663"/>
        <v>0</v>
      </c>
      <c r="AZ743" s="37">
        <f t="shared" si="664"/>
        <v>0</v>
      </c>
      <c r="BA743" s="37">
        <f t="shared" si="665"/>
        <v>0</v>
      </c>
      <c r="BB743" s="35">
        <f t="shared" si="666"/>
        <v>1.2192900015992603E-3</v>
      </c>
      <c r="BC743" s="31">
        <f t="shared" si="667"/>
        <v>0.40636381140134653</v>
      </c>
      <c r="BD743" s="34">
        <f t="shared" si="668"/>
        <v>0</v>
      </c>
    </row>
    <row r="744" spans="1:56" x14ac:dyDescent="0.2">
      <c r="A744" s="27">
        <f t="shared" si="669"/>
        <v>740</v>
      </c>
      <c r="B744" s="28">
        <f t="shared" si="616"/>
        <v>740</v>
      </c>
      <c r="C744" s="27">
        <f t="shared" si="617"/>
        <v>61</v>
      </c>
      <c r="D744" s="28">
        <f t="shared" si="618"/>
        <v>81</v>
      </c>
      <c r="E744" s="29">
        <f t="shared" si="619"/>
        <v>0</v>
      </c>
      <c r="F744" s="30">
        <f t="shared" si="620"/>
        <v>1.673000019441017E-2</v>
      </c>
      <c r="G744" s="31">
        <f t="shared" si="621"/>
        <v>1.40497271440998E-3</v>
      </c>
      <c r="H744" s="32">
        <f t="shared" si="622"/>
        <v>0.02</v>
      </c>
      <c r="I744" s="32">
        <f t="shared" si="623"/>
        <v>0</v>
      </c>
      <c r="J744" s="33">
        <f t="shared" si="670"/>
        <v>0</v>
      </c>
      <c r="K744" s="30">
        <f t="shared" si="624"/>
        <v>0</v>
      </c>
      <c r="L744" s="33">
        <f t="shared" si="625"/>
        <v>0</v>
      </c>
      <c r="M744" s="30">
        <f t="shared" si="626"/>
        <v>0</v>
      </c>
      <c r="N744" s="33">
        <f t="shared" si="627"/>
        <v>0</v>
      </c>
      <c r="O744" s="31">
        <f t="shared" si="628"/>
        <v>0</v>
      </c>
      <c r="P744" s="33">
        <f t="shared" si="629"/>
        <v>0</v>
      </c>
      <c r="Q744" s="34">
        <f t="shared" si="671"/>
        <v>802712.15210068831</v>
      </c>
      <c r="R744" s="29">
        <f t="shared" si="630"/>
        <v>0</v>
      </c>
      <c r="S744" s="34">
        <f t="shared" si="631"/>
        <v>802712.15210068831</v>
      </c>
      <c r="T744" s="29">
        <f t="shared" si="632"/>
        <v>668.92679341724033</v>
      </c>
      <c r="U744" s="29">
        <f t="shared" si="633"/>
        <v>0</v>
      </c>
      <c r="V744" s="35">
        <f t="shared" si="634"/>
        <v>1.5454699858509782E-3</v>
      </c>
      <c r="W744" s="34">
        <f t="shared" si="635"/>
        <v>0</v>
      </c>
      <c r="X744" s="34">
        <f t="shared" si="636"/>
        <v>802043.22530727112</v>
      </c>
      <c r="Y744" s="36">
        <f t="shared" si="637"/>
        <v>8.3837697280313428E-3</v>
      </c>
      <c r="Z744" s="34">
        <f t="shared" si="638"/>
        <v>6724.1457129037217</v>
      </c>
      <c r="AA744" s="34">
        <f t="shared" si="639"/>
        <v>805405.29816372297</v>
      </c>
      <c r="AB744" s="34">
        <f t="shared" si="640"/>
        <v>0</v>
      </c>
      <c r="AC744" s="34">
        <f t="shared" si="641"/>
        <v>0</v>
      </c>
      <c r="AD744" s="34">
        <f t="shared" si="642"/>
        <v>0</v>
      </c>
      <c r="AE744" s="34">
        <f t="shared" si="643"/>
        <v>0</v>
      </c>
      <c r="AF744" s="34">
        <f t="shared" si="644"/>
        <v>0</v>
      </c>
      <c r="AG744" s="29">
        <f t="shared" si="645"/>
        <v>805405.29816372297</v>
      </c>
      <c r="AH744" s="34">
        <f t="shared" si="646"/>
        <v>0</v>
      </c>
      <c r="AI744" s="34">
        <f t="shared" si="647"/>
        <v>0</v>
      </c>
      <c r="AJ744" s="34">
        <f t="shared" si="648"/>
        <v>0</v>
      </c>
      <c r="AK744" s="34">
        <f t="shared" si="649"/>
        <v>0</v>
      </c>
      <c r="AL744" s="34">
        <f t="shared" si="650"/>
        <v>0</v>
      </c>
      <c r="AM744" s="34">
        <f t="shared" si="651"/>
        <v>0</v>
      </c>
      <c r="AN744" s="34">
        <f t="shared" si="652"/>
        <v>0</v>
      </c>
      <c r="AO744" s="34">
        <f t="shared" si="653"/>
        <v>0</v>
      </c>
      <c r="AP744" s="34">
        <f t="shared" si="654"/>
        <v>0</v>
      </c>
      <c r="AQ744" s="34">
        <f t="shared" si="655"/>
        <v>0</v>
      </c>
      <c r="AR744" s="34">
        <f t="shared" si="656"/>
        <v>0</v>
      </c>
      <c r="AS744" s="30">
        <f t="shared" si="657"/>
        <v>1.8470757926981571</v>
      </c>
      <c r="AT744" s="29">
        <f t="shared" si="658"/>
        <v>0</v>
      </c>
      <c r="AU744" s="29">
        <f t="shared" si="659"/>
        <v>0</v>
      </c>
      <c r="AV744" s="34">
        <f t="shared" si="660"/>
        <v>0</v>
      </c>
      <c r="AW744" s="34">
        <f t="shared" si="661"/>
        <v>0</v>
      </c>
      <c r="AX744" s="29">
        <f t="shared" si="662"/>
        <v>0</v>
      </c>
      <c r="AY744" s="34">
        <f t="shared" si="663"/>
        <v>0</v>
      </c>
      <c r="AZ744" s="37">
        <f t="shared" si="664"/>
        <v>0</v>
      </c>
      <c r="BA744" s="37">
        <f t="shared" si="665"/>
        <v>0</v>
      </c>
      <c r="BB744" s="35">
        <f t="shared" si="666"/>
        <v>1.2192900015992603E-3</v>
      </c>
      <c r="BC744" s="31">
        <f t="shared" si="667"/>
        <v>0.40586893946150143</v>
      </c>
      <c r="BD744" s="34">
        <f t="shared" si="668"/>
        <v>0</v>
      </c>
    </row>
    <row r="745" spans="1:56" x14ac:dyDescent="0.2">
      <c r="A745" s="27">
        <f t="shared" si="669"/>
        <v>741</v>
      </c>
      <c r="B745" s="28">
        <f t="shared" si="616"/>
        <v>741</v>
      </c>
      <c r="C745" s="27">
        <f t="shared" si="617"/>
        <v>61</v>
      </c>
      <c r="D745" s="28">
        <f t="shared" si="618"/>
        <v>81</v>
      </c>
      <c r="E745" s="29">
        <f t="shared" si="619"/>
        <v>0</v>
      </c>
      <c r="F745" s="30">
        <f t="shared" si="620"/>
        <v>1.673000019441017E-2</v>
      </c>
      <c r="G745" s="31">
        <f t="shared" si="621"/>
        <v>1.40497271440998E-3</v>
      </c>
      <c r="H745" s="32">
        <f t="shared" si="622"/>
        <v>0.02</v>
      </c>
      <c r="I745" s="32">
        <f t="shared" si="623"/>
        <v>0</v>
      </c>
      <c r="J745" s="33">
        <f t="shared" si="670"/>
        <v>0</v>
      </c>
      <c r="K745" s="30">
        <f t="shared" si="624"/>
        <v>0</v>
      </c>
      <c r="L745" s="33">
        <f t="shared" si="625"/>
        <v>0</v>
      </c>
      <c r="M745" s="30">
        <f t="shared" si="626"/>
        <v>0</v>
      </c>
      <c r="N745" s="33">
        <f t="shared" si="627"/>
        <v>0</v>
      </c>
      <c r="O745" s="31">
        <f t="shared" si="628"/>
        <v>0</v>
      </c>
      <c r="P745" s="33">
        <f t="shared" si="629"/>
        <v>0</v>
      </c>
      <c r="Q745" s="34">
        <f t="shared" si="671"/>
        <v>808767.37102017482</v>
      </c>
      <c r="R745" s="29">
        <f t="shared" si="630"/>
        <v>0</v>
      </c>
      <c r="S745" s="34">
        <f t="shared" si="631"/>
        <v>808767.37102017482</v>
      </c>
      <c r="T745" s="29">
        <f t="shared" si="632"/>
        <v>673.97280918347906</v>
      </c>
      <c r="U745" s="29">
        <f t="shared" si="633"/>
        <v>0</v>
      </c>
      <c r="V745" s="35">
        <f t="shared" si="634"/>
        <v>1.5454699858509782E-3</v>
      </c>
      <c r="W745" s="34">
        <f t="shared" si="635"/>
        <v>0</v>
      </c>
      <c r="X745" s="34">
        <f t="shared" si="636"/>
        <v>808093.39821099129</v>
      </c>
      <c r="Y745" s="36">
        <f t="shared" si="637"/>
        <v>-7.1359641180355204E-3</v>
      </c>
      <c r="Z745" s="34">
        <f t="shared" si="638"/>
        <v>-5766.5254936550227</v>
      </c>
      <c r="AA745" s="34">
        <f t="shared" si="639"/>
        <v>805210.13546416373</v>
      </c>
      <c r="AB745" s="34">
        <f t="shared" si="640"/>
        <v>0</v>
      </c>
      <c r="AC745" s="34">
        <f t="shared" si="641"/>
        <v>0</v>
      </c>
      <c r="AD745" s="34">
        <f t="shared" si="642"/>
        <v>0</v>
      </c>
      <c r="AE745" s="34">
        <f t="shared" si="643"/>
        <v>0</v>
      </c>
      <c r="AF745" s="34">
        <f t="shared" si="644"/>
        <v>0</v>
      </c>
      <c r="AG745" s="29">
        <f t="shared" si="645"/>
        <v>805210.13546416373</v>
      </c>
      <c r="AH745" s="34">
        <f t="shared" si="646"/>
        <v>0</v>
      </c>
      <c r="AI745" s="34">
        <f t="shared" si="647"/>
        <v>0</v>
      </c>
      <c r="AJ745" s="34">
        <f t="shared" si="648"/>
        <v>0</v>
      </c>
      <c r="AK745" s="34">
        <f t="shared" si="649"/>
        <v>0</v>
      </c>
      <c r="AL745" s="34">
        <f t="shared" si="650"/>
        <v>0</v>
      </c>
      <c r="AM745" s="34">
        <f t="shared" si="651"/>
        <v>0</v>
      </c>
      <c r="AN745" s="34">
        <f t="shared" si="652"/>
        <v>0</v>
      </c>
      <c r="AO745" s="34">
        <f t="shared" si="653"/>
        <v>0</v>
      </c>
      <c r="AP745" s="34">
        <f t="shared" si="654"/>
        <v>0</v>
      </c>
      <c r="AQ745" s="34">
        <f t="shared" si="655"/>
        <v>0</v>
      </c>
      <c r="AR745" s="34">
        <f t="shared" si="656"/>
        <v>0</v>
      </c>
      <c r="AS745" s="30">
        <f t="shared" si="657"/>
        <v>1.8486080124682867</v>
      </c>
      <c r="AT745" s="29">
        <f t="shared" si="658"/>
        <v>0</v>
      </c>
      <c r="AU745" s="29">
        <f t="shared" si="659"/>
        <v>0</v>
      </c>
      <c r="AV745" s="34">
        <f t="shared" si="660"/>
        <v>0</v>
      </c>
      <c r="AW745" s="34">
        <f t="shared" si="661"/>
        <v>0</v>
      </c>
      <c r="AX745" s="29">
        <f t="shared" si="662"/>
        <v>0</v>
      </c>
      <c r="AY745" s="34">
        <f t="shared" si="663"/>
        <v>0</v>
      </c>
      <c r="AZ745" s="37">
        <f t="shared" si="664"/>
        <v>0</v>
      </c>
      <c r="BA745" s="37">
        <f t="shared" si="665"/>
        <v>0</v>
      </c>
      <c r="BB745" s="35">
        <f t="shared" si="666"/>
        <v>1.2192900015992603E-3</v>
      </c>
      <c r="BC745" s="31">
        <f t="shared" si="667"/>
        <v>0.40537467017925027</v>
      </c>
      <c r="BD745" s="34">
        <f t="shared" si="668"/>
        <v>0</v>
      </c>
    </row>
    <row r="746" spans="1:56" x14ac:dyDescent="0.2">
      <c r="A746" s="27">
        <f t="shared" si="669"/>
        <v>742</v>
      </c>
      <c r="B746" s="28">
        <f t="shared" si="616"/>
        <v>742</v>
      </c>
      <c r="C746" s="27">
        <f t="shared" si="617"/>
        <v>61</v>
      </c>
      <c r="D746" s="28">
        <f t="shared" si="618"/>
        <v>81</v>
      </c>
      <c r="E746" s="29">
        <f t="shared" si="619"/>
        <v>0</v>
      </c>
      <c r="F746" s="30">
        <f t="shared" si="620"/>
        <v>1.673000019441017E-2</v>
      </c>
      <c r="G746" s="31">
        <f t="shared" si="621"/>
        <v>1.40497271440998E-3</v>
      </c>
      <c r="H746" s="32">
        <f t="shared" si="622"/>
        <v>0.02</v>
      </c>
      <c r="I746" s="32">
        <f t="shared" si="623"/>
        <v>0</v>
      </c>
      <c r="J746" s="33">
        <f t="shared" si="670"/>
        <v>0</v>
      </c>
      <c r="K746" s="30">
        <f t="shared" si="624"/>
        <v>0</v>
      </c>
      <c r="L746" s="33">
        <f t="shared" si="625"/>
        <v>0</v>
      </c>
      <c r="M746" s="30">
        <f t="shared" si="626"/>
        <v>0</v>
      </c>
      <c r="N746" s="33">
        <f t="shared" si="627"/>
        <v>0</v>
      </c>
      <c r="O746" s="31">
        <f t="shared" si="628"/>
        <v>0</v>
      </c>
      <c r="P746" s="33">
        <f t="shared" si="629"/>
        <v>0</v>
      </c>
      <c r="Q746" s="34">
        <f t="shared" si="671"/>
        <v>802326.87271733629</v>
      </c>
      <c r="R746" s="29">
        <f t="shared" si="630"/>
        <v>0</v>
      </c>
      <c r="S746" s="34">
        <f t="shared" si="631"/>
        <v>802326.87271733629</v>
      </c>
      <c r="T746" s="29">
        <f t="shared" si="632"/>
        <v>668.60572726444695</v>
      </c>
      <c r="U746" s="29">
        <f t="shared" si="633"/>
        <v>0</v>
      </c>
      <c r="V746" s="35">
        <f t="shared" si="634"/>
        <v>1.5454699858509782E-3</v>
      </c>
      <c r="W746" s="34">
        <f t="shared" si="635"/>
        <v>0</v>
      </c>
      <c r="X746" s="34">
        <f t="shared" si="636"/>
        <v>801658.26699007186</v>
      </c>
      <c r="Y746" s="36">
        <f t="shared" si="637"/>
        <v>1.0485613325993848E-2</v>
      </c>
      <c r="Z746" s="34">
        <f t="shared" si="638"/>
        <v>8405.8786072442308</v>
      </c>
      <c r="AA746" s="34">
        <f t="shared" si="639"/>
        <v>805861.20629369398</v>
      </c>
      <c r="AB746" s="34">
        <f t="shared" si="640"/>
        <v>0</v>
      </c>
      <c r="AC746" s="34">
        <f t="shared" si="641"/>
        <v>0</v>
      </c>
      <c r="AD746" s="34">
        <f t="shared" si="642"/>
        <v>0</v>
      </c>
      <c r="AE746" s="34">
        <f t="shared" si="643"/>
        <v>0</v>
      </c>
      <c r="AF746" s="34">
        <f t="shared" si="644"/>
        <v>0</v>
      </c>
      <c r="AG746" s="29">
        <f t="shared" si="645"/>
        <v>805861.20629369398</v>
      </c>
      <c r="AH746" s="34">
        <f t="shared" si="646"/>
        <v>0</v>
      </c>
      <c r="AI746" s="34">
        <f t="shared" si="647"/>
        <v>0</v>
      </c>
      <c r="AJ746" s="34">
        <f t="shared" si="648"/>
        <v>0</v>
      </c>
      <c r="AK746" s="34">
        <f t="shared" si="649"/>
        <v>0</v>
      </c>
      <c r="AL746" s="34">
        <f t="shared" si="650"/>
        <v>0</v>
      </c>
      <c r="AM746" s="34">
        <f t="shared" si="651"/>
        <v>0</v>
      </c>
      <c r="AN746" s="34">
        <f t="shared" si="652"/>
        <v>0</v>
      </c>
      <c r="AO746" s="34">
        <f t="shared" si="653"/>
        <v>0</v>
      </c>
      <c r="AP746" s="34">
        <f t="shared" si="654"/>
        <v>0</v>
      </c>
      <c r="AQ746" s="34">
        <f t="shared" si="655"/>
        <v>0</v>
      </c>
      <c r="AR746" s="34">
        <f t="shared" si="656"/>
        <v>0</v>
      </c>
      <c r="AS746" s="30">
        <f t="shared" si="657"/>
        <v>1.8501415032731148</v>
      </c>
      <c r="AT746" s="29">
        <f t="shared" si="658"/>
        <v>0</v>
      </c>
      <c r="AU746" s="29">
        <f t="shared" si="659"/>
        <v>0</v>
      </c>
      <c r="AV746" s="34">
        <f t="shared" si="660"/>
        <v>0</v>
      </c>
      <c r="AW746" s="34">
        <f t="shared" si="661"/>
        <v>0</v>
      </c>
      <c r="AX746" s="29">
        <f t="shared" si="662"/>
        <v>0</v>
      </c>
      <c r="AY746" s="34">
        <f t="shared" si="663"/>
        <v>0</v>
      </c>
      <c r="AZ746" s="37">
        <f t="shared" si="664"/>
        <v>0</v>
      </c>
      <c r="BA746" s="37">
        <f t="shared" si="665"/>
        <v>0</v>
      </c>
      <c r="BB746" s="35">
        <f t="shared" si="666"/>
        <v>1.2192900015992603E-3</v>
      </c>
      <c r="BC746" s="31">
        <f t="shared" si="667"/>
        <v>0.40488100282067352</v>
      </c>
      <c r="BD746" s="34">
        <f t="shared" si="668"/>
        <v>0</v>
      </c>
    </row>
    <row r="747" spans="1:56" x14ac:dyDescent="0.2">
      <c r="A747" s="27">
        <f t="shared" si="669"/>
        <v>743</v>
      </c>
      <c r="B747" s="28">
        <f t="shared" si="616"/>
        <v>743</v>
      </c>
      <c r="C747" s="27">
        <f t="shared" si="617"/>
        <v>61</v>
      </c>
      <c r="D747" s="28">
        <f t="shared" si="618"/>
        <v>81</v>
      </c>
      <c r="E747" s="29">
        <f t="shared" si="619"/>
        <v>0</v>
      </c>
      <c r="F747" s="30">
        <f t="shared" si="620"/>
        <v>1.673000019441017E-2</v>
      </c>
      <c r="G747" s="31">
        <f t="shared" si="621"/>
        <v>1.40497271440998E-3</v>
      </c>
      <c r="H747" s="32">
        <f t="shared" si="622"/>
        <v>0.02</v>
      </c>
      <c r="I747" s="32">
        <f t="shared" si="623"/>
        <v>0</v>
      </c>
      <c r="J747" s="33">
        <f t="shared" si="670"/>
        <v>0</v>
      </c>
      <c r="K747" s="30">
        <f t="shared" si="624"/>
        <v>0</v>
      </c>
      <c r="L747" s="33">
        <f t="shared" si="625"/>
        <v>0</v>
      </c>
      <c r="M747" s="30">
        <f t="shared" si="626"/>
        <v>0</v>
      </c>
      <c r="N747" s="33">
        <f t="shared" si="627"/>
        <v>0</v>
      </c>
      <c r="O747" s="31">
        <f t="shared" si="628"/>
        <v>0</v>
      </c>
      <c r="P747" s="33">
        <f t="shared" si="629"/>
        <v>0</v>
      </c>
      <c r="Q747" s="34">
        <f t="shared" si="671"/>
        <v>810064.14559731609</v>
      </c>
      <c r="R747" s="29">
        <f t="shared" si="630"/>
        <v>0</v>
      </c>
      <c r="S747" s="34">
        <f t="shared" si="631"/>
        <v>810064.14559731609</v>
      </c>
      <c r="T747" s="29">
        <f t="shared" si="632"/>
        <v>675.05345466443009</v>
      </c>
      <c r="U747" s="29">
        <f t="shared" si="633"/>
        <v>0</v>
      </c>
      <c r="V747" s="35">
        <f t="shared" si="634"/>
        <v>1.5454699858509782E-3</v>
      </c>
      <c r="W747" s="34">
        <f t="shared" si="635"/>
        <v>0</v>
      </c>
      <c r="X747" s="34">
        <f t="shared" si="636"/>
        <v>809389.09214265167</v>
      </c>
      <c r="Y747" s="36">
        <f t="shared" si="637"/>
        <v>-1.1368721099374035E-3</v>
      </c>
      <c r="Z747" s="34">
        <f t="shared" si="638"/>
        <v>-920.17188494453592</v>
      </c>
      <c r="AA747" s="34">
        <f t="shared" si="639"/>
        <v>808929.00620017946</v>
      </c>
      <c r="AB747" s="34">
        <f t="shared" si="640"/>
        <v>0</v>
      </c>
      <c r="AC747" s="34">
        <f t="shared" si="641"/>
        <v>0</v>
      </c>
      <c r="AD747" s="34">
        <f t="shared" si="642"/>
        <v>0</v>
      </c>
      <c r="AE747" s="34">
        <f t="shared" si="643"/>
        <v>0</v>
      </c>
      <c r="AF747" s="34">
        <f t="shared" si="644"/>
        <v>0</v>
      </c>
      <c r="AG747" s="29">
        <f t="shared" si="645"/>
        <v>808929.00620017946</v>
      </c>
      <c r="AH747" s="34">
        <f t="shared" si="646"/>
        <v>0</v>
      </c>
      <c r="AI747" s="34">
        <f t="shared" si="647"/>
        <v>0</v>
      </c>
      <c r="AJ747" s="34">
        <f t="shared" si="648"/>
        <v>0</v>
      </c>
      <c r="AK747" s="34">
        <f t="shared" si="649"/>
        <v>0</v>
      </c>
      <c r="AL747" s="34">
        <f t="shared" si="650"/>
        <v>0</v>
      </c>
      <c r="AM747" s="34">
        <f t="shared" si="651"/>
        <v>0</v>
      </c>
      <c r="AN747" s="34">
        <f t="shared" si="652"/>
        <v>0</v>
      </c>
      <c r="AO747" s="34">
        <f t="shared" si="653"/>
        <v>0</v>
      </c>
      <c r="AP747" s="34">
        <f t="shared" si="654"/>
        <v>0</v>
      </c>
      <c r="AQ747" s="34">
        <f t="shared" si="655"/>
        <v>0</v>
      </c>
      <c r="AR747" s="34">
        <f t="shared" si="656"/>
        <v>0</v>
      </c>
      <c r="AS747" s="30">
        <f t="shared" si="657"/>
        <v>1.8516762661670136</v>
      </c>
      <c r="AT747" s="29">
        <f t="shared" si="658"/>
        <v>0</v>
      </c>
      <c r="AU747" s="29">
        <f t="shared" si="659"/>
        <v>0</v>
      </c>
      <c r="AV747" s="34">
        <f t="shared" si="660"/>
        <v>0</v>
      </c>
      <c r="AW747" s="34">
        <f t="shared" si="661"/>
        <v>0</v>
      </c>
      <c r="AX747" s="29">
        <f t="shared" si="662"/>
        <v>0</v>
      </c>
      <c r="AY747" s="34">
        <f t="shared" si="663"/>
        <v>0</v>
      </c>
      <c r="AZ747" s="37">
        <f t="shared" si="664"/>
        <v>0</v>
      </c>
      <c r="BA747" s="37">
        <f t="shared" si="665"/>
        <v>0</v>
      </c>
      <c r="BB747" s="35">
        <f t="shared" si="666"/>
        <v>1.2192900015992603E-3</v>
      </c>
      <c r="BC747" s="31">
        <f t="shared" si="667"/>
        <v>0.40438793665274553</v>
      </c>
      <c r="BD747" s="34">
        <f t="shared" si="668"/>
        <v>0</v>
      </c>
    </row>
    <row r="748" spans="1:56" x14ac:dyDescent="0.2">
      <c r="A748" s="27">
        <f t="shared" si="669"/>
        <v>744</v>
      </c>
      <c r="B748" s="28">
        <f t="shared" si="616"/>
        <v>744</v>
      </c>
      <c r="C748" s="27">
        <f t="shared" si="617"/>
        <v>62</v>
      </c>
      <c r="D748" s="28">
        <f t="shared" si="618"/>
        <v>82</v>
      </c>
      <c r="E748" s="29">
        <f t="shared" si="619"/>
        <v>0</v>
      </c>
      <c r="F748" s="30">
        <f t="shared" si="620"/>
        <v>1.8639543208444149E-2</v>
      </c>
      <c r="G748" s="31">
        <f t="shared" si="621"/>
        <v>1.5667254680585829E-3</v>
      </c>
      <c r="H748" s="32">
        <f t="shared" si="622"/>
        <v>0.02</v>
      </c>
      <c r="I748" s="32">
        <f t="shared" si="623"/>
        <v>0</v>
      </c>
      <c r="J748" s="33">
        <f t="shared" si="670"/>
        <v>0</v>
      </c>
      <c r="K748" s="30">
        <f t="shared" si="624"/>
        <v>0</v>
      </c>
      <c r="L748" s="33">
        <f t="shared" si="625"/>
        <v>0</v>
      </c>
      <c r="M748" s="30">
        <f t="shared" si="626"/>
        <v>0</v>
      </c>
      <c r="N748" s="33">
        <f t="shared" si="627"/>
        <v>0</v>
      </c>
      <c r="O748" s="31">
        <f t="shared" si="628"/>
        <v>0</v>
      </c>
      <c r="P748" s="33">
        <f t="shared" si="629"/>
        <v>0</v>
      </c>
      <c r="Q748" s="34">
        <f t="shared" si="671"/>
        <v>808468.92025770713</v>
      </c>
      <c r="R748" s="29">
        <f t="shared" si="630"/>
        <v>0</v>
      </c>
      <c r="S748" s="34">
        <f t="shared" si="631"/>
        <v>808468.92025770713</v>
      </c>
      <c r="T748" s="29">
        <f t="shared" si="632"/>
        <v>673.72410021475594</v>
      </c>
      <c r="U748" s="29">
        <f t="shared" si="633"/>
        <v>0</v>
      </c>
      <c r="V748" s="35">
        <f t="shared" si="634"/>
        <v>1.7233980148644414E-3</v>
      </c>
      <c r="W748" s="34">
        <f t="shared" si="635"/>
        <v>0</v>
      </c>
      <c r="X748" s="34">
        <f t="shared" si="636"/>
        <v>807795.19615749235</v>
      </c>
      <c r="Y748" s="36">
        <f t="shared" si="637"/>
        <v>7.0693512719628426E-3</v>
      </c>
      <c r="Z748" s="34">
        <f t="shared" si="638"/>
        <v>5710.5879974414429</v>
      </c>
      <c r="AA748" s="34">
        <f t="shared" si="639"/>
        <v>810650.49015621305</v>
      </c>
      <c r="AB748" s="34">
        <f t="shared" si="640"/>
        <v>0</v>
      </c>
      <c r="AC748" s="34">
        <f t="shared" si="641"/>
        <v>0</v>
      </c>
      <c r="AD748" s="34">
        <f t="shared" si="642"/>
        <v>0</v>
      </c>
      <c r="AE748" s="34">
        <f t="shared" si="643"/>
        <v>0</v>
      </c>
      <c r="AF748" s="34">
        <f t="shared" si="644"/>
        <v>0</v>
      </c>
      <c r="AG748" s="29">
        <f t="shared" si="645"/>
        <v>810650.49015621305</v>
      </c>
      <c r="AH748" s="34">
        <f t="shared" si="646"/>
        <v>0</v>
      </c>
      <c r="AI748" s="34">
        <f t="shared" si="647"/>
        <v>0</v>
      </c>
      <c r="AJ748" s="34">
        <f t="shared" si="648"/>
        <v>0</v>
      </c>
      <c r="AK748" s="34">
        <f t="shared" si="649"/>
        <v>0</v>
      </c>
      <c r="AL748" s="34">
        <f t="shared" si="650"/>
        <v>0</v>
      </c>
      <c r="AM748" s="34">
        <f t="shared" si="651"/>
        <v>0</v>
      </c>
      <c r="AN748" s="34">
        <f t="shared" si="652"/>
        <v>0</v>
      </c>
      <c r="AO748" s="34">
        <f t="shared" si="653"/>
        <v>0</v>
      </c>
      <c r="AP748" s="34">
        <f t="shared" si="654"/>
        <v>0</v>
      </c>
      <c r="AQ748" s="34">
        <f t="shared" si="655"/>
        <v>0</v>
      </c>
      <c r="AR748" s="34">
        <f t="shared" si="656"/>
        <v>0</v>
      </c>
      <c r="AS748" s="30">
        <f t="shared" si="657"/>
        <v>1.85321230220523</v>
      </c>
      <c r="AT748" s="29">
        <f t="shared" si="658"/>
        <v>0</v>
      </c>
      <c r="AU748" s="29">
        <f t="shared" si="659"/>
        <v>0</v>
      </c>
      <c r="AV748" s="34">
        <f t="shared" si="660"/>
        <v>0</v>
      </c>
      <c r="AW748" s="34">
        <f t="shared" si="661"/>
        <v>0</v>
      </c>
      <c r="AX748" s="29">
        <f t="shared" si="662"/>
        <v>0</v>
      </c>
      <c r="AY748" s="34">
        <f t="shared" si="663"/>
        <v>0</v>
      </c>
      <c r="AZ748" s="37">
        <f t="shared" si="664"/>
        <v>0</v>
      </c>
      <c r="BA748" s="37">
        <f t="shared" si="665"/>
        <v>0</v>
      </c>
      <c r="BB748" s="35">
        <f t="shared" si="666"/>
        <v>1.2480637776637327E-3</v>
      </c>
      <c r="BC748" s="31">
        <f t="shared" si="667"/>
        <v>0.39535132399554723</v>
      </c>
      <c r="BD748" s="34">
        <f t="shared" si="668"/>
        <v>0</v>
      </c>
    </row>
    <row r="749" spans="1:56" x14ac:dyDescent="0.2">
      <c r="A749" s="27">
        <f t="shared" si="669"/>
        <v>745</v>
      </c>
      <c r="B749" s="28">
        <f t="shared" si="616"/>
        <v>745</v>
      </c>
      <c r="C749" s="27">
        <f t="shared" si="617"/>
        <v>62</v>
      </c>
      <c r="D749" s="28">
        <f t="shared" si="618"/>
        <v>82</v>
      </c>
      <c r="E749" s="29">
        <f t="shared" si="619"/>
        <v>0</v>
      </c>
      <c r="F749" s="30">
        <f t="shared" si="620"/>
        <v>1.8639543208444149E-2</v>
      </c>
      <c r="G749" s="31">
        <f t="shared" si="621"/>
        <v>1.5667254680585829E-3</v>
      </c>
      <c r="H749" s="32">
        <f t="shared" si="622"/>
        <v>0.02</v>
      </c>
      <c r="I749" s="32">
        <f t="shared" si="623"/>
        <v>0</v>
      </c>
      <c r="J749" s="33">
        <f t="shared" si="670"/>
        <v>0</v>
      </c>
      <c r="K749" s="30">
        <f t="shared" si="624"/>
        <v>0</v>
      </c>
      <c r="L749" s="33">
        <f t="shared" si="625"/>
        <v>0</v>
      </c>
      <c r="M749" s="30">
        <f t="shared" si="626"/>
        <v>0</v>
      </c>
      <c r="N749" s="33">
        <f t="shared" si="627"/>
        <v>0</v>
      </c>
      <c r="O749" s="31">
        <f t="shared" si="628"/>
        <v>0</v>
      </c>
      <c r="P749" s="33">
        <f t="shared" si="629"/>
        <v>0</v>
      </c>
      <c r="Q749" s="34">
        <f t="shared" si="671"/>
        <v>813505.78415493376</v>
      </c>
      <c r="R749" s="29">
        <f t="shared" si="630"/>
        <v>0</v>
      </c>
      <c r="S749" s="34">
        <f t="shared" si="631"/>
        <v>813505.78415493376</v>
      </c>
      <c r="T749" s="29">
        <f t="shared" si="632"/>
        <v>677.92148679577815</v>
      </c>
      <c r="U749" s="29">
        <f t="shared" si="633"/>
        <v>0</v>
      </c>
      <c r="V749" s="35">
        <f t="shared" si="634"/>
        <v>1.7233980148644414E-3</v>
      </c>
      <c r="W749" s="34">
        <f t="shared" si="635"/>
        <v>0</v>
      </c>
      <c r="X749" s="34">
        <f t="shared" si="636"/>
        <v>812827.862668138</v>
      </c>
      <c r="Y749" s="36">
        <f t="shared" si="637"/>
        <v>-7.7629629102520248E-3</v>
      </c>
      <c r="Z749" s="34">
        <f t="shared" si="638"/>
        <v>-6309.9525503121813</v>
      </c>
      <c r="AA749" s="34">
        <f t="shared" si="639"/>
        <v>809672.88639298186</v>
      </c>
      <c r="AB749" s="34">
        <f t="shared" si="640"/>
        <v>0</v>
      </c>
      <c r="AC749" s="34">
        <f t="shared" si="641"/>
        <v>0</v>
      </c>
      <c r="AD749" s="34">
        <f t="shared" si="642"/>
        <v>0</v>
      </c>
      <c r="AE749" s="34">
        <f t="shared" si="643"/>
        <v>0</v>
      </c>
      <c r="AF749" s="34">
        <f t="shared" si="644"/>
        <v>0</v>
      </c>
      <c r="AG749" s="29">
        <f t="shared" si="645"/>
        <v>809672.88639298186</v>
      </c>
      <c r="AH749" s="34">
        <f t="shared" si="646"/>
        <v>0</v>
      </c>
      <c r="AI749" s="34">
        <f t="shared" si="647"/>
        <v>0</v>
      </c>
      <c r="AJ749" s="34">
        <f t="shared" si="648"/>
        <v>0</v>
      </c>
      <c r="AK749" s="34">
        <f t="shared" si="649"/>
        <v>0</v>
      </c>
      <c r="AL749" s="34">
        <f t="shared" si="650"/>
        <v>0</v>
      </c>
      <c r="AM749" s="34">
        <f t="shared" si="651"/>
        <v>0</v>
      </c>
      <c r="AN749" s="34">
        <f t="shared" si="652"/>
        <v>0</v>
      </c>
      <c r="AO749" s="34">
        <f t="shared" si="653"/>
        <v>0</v>
      </c>
      <c r="AP749" s="34">
        <f t="shared" si="654"/>
        <v>0</v>
      </c>
      <c r="AQ749" s="34">
        <f t="shared" si="655"/>
        <v>0</v>
      </c>
      <c r="AR749" s="34">
        <f t="shared" si="656"/>
        <v>0</v>
      </c>
      <c r="AS749" s="30">
        <f t="shared" si="657"/>
        <v>1.8547496124438843</v>
      </c>
      <c r="AT749" s="29">
        <f t="shared" si="658"/>
        <v>0</v>
      </c>
      <c r="AU749" s="29">
        <f t="shared" si="659"/>
        <v>0</v>
      </c>
      <c r="AV749" s="34">
        <f t="shared" si="660"/>
        <v>0</v>
      </c>
      <c r="AW749" s="34">
        <f t="shared" si="661"/>
        <v>0</v>
      </c>
      <c r="AX749" s="29">
        <f t="shared" si="662"/>
        <v>0</v>
      </c>
      <c r="AY749" s="34">
        <f t="shared" si="663"/>
        <v>0</v>
      </c>
      <c r="AZ749" s="37">
        <f t="shared" si="664"/>
        <v>0</v>
      </c>
      <c r="BA749" s="37">
        <f t="shared" si="665"/>
        <v>0</v>
      </c>
      <c r="BB749" s="35">
        <f t="shared" si="666"/>
        <v>1.2480637776637327E-3</v>
      </c>
      <c r="BC749" s="31">
        <f t="shared" si="667"/>
        <v>0.39485851538519295</v>
      </c>
      <c r="BD749" s="34">
        <f t="shared" si="668"/>
        <v>0</v>
      </c>
    </row>
    <row r="750" spans="1:56" x14ac:dyDescent="0.2">
      <c r="A750" s="27">
        <f t="shared" si="669"/>
        <v>746</v>
      </c>
      <c r="B750" s="28">
        <f t="shared" si="616"/>
        <v>746</v>
      </c>
      <c r="C750" s="27">
        <f t="shared" si="617"/>
        <v>62</v>
      </c>
      <c r="D750" s="28">
        <f t="shared" si="618"/>
        <v>82</v>
      </c>
      <c r="E750" s="29">
        <f t="shared" si="619"/>
        <v>0</v>
      </c>
      <c r="F750" s="30">
        <f t="shared" si="620"/>
        <v>1.8639543208444149E-2</v>
      </c>
      <c r="G750" s="31">
        <f t="shared" si="621"/>
        <v>1.5667254680585829E-3</v>
      </c>
      <c r="H750" s="32">
        <f t="shared" si="622"/>
        <v>0.02</v>
      </c>
      <c r="I750" s="32">
        <f t="shared" si="623"/>
        <v>0</v>
      </c>
      <c r="J750" s="33">
        <f t="shared" si="670"/>
        <v>0</v>
      </c>
      <c r="K750" s="30">
        <f t="shared" si="624"/>
        <v>0</v>
      </c>
      <c r="L750" s="33">
        <f t="shared" si="625"/>
        <v>0</v>
      </c>
      <c r="M750" s="30">
        <f t="shared" si="626"/>
        <v>0</v>
      </c>
      <c r="N750" s="33">
        <f t="shared" si="627"/>
        <v>0</v>
      </c>
      <c r="O750" s="31">
        <f t="shared" si="628"/>
        <v>0</v>
      </c>
      <c r="P750" s="33">
        <f t="shared" si="629"/>
        <v>0</v>
      </c>
      <c r="Q750" s="34">
        <f t="shared" si="671"/>
        <v>806517.91011782584</v>
      </c>
      <c r="R750" s="29">
        <f t="shared" si="630"/>
        <v>0</v>
      </c>
      <c r="S750" s="34">
        <f t="shared" si="631"/>
        <v>806517.91011782584</v>
      </c>
      <c r="T750" s="29">
        <f t="shared" si="632"/>
        <v>672.09825843152157</v>
      </c>
      <c r="U750" s="29">
        <f t="shared" si="633"/>
        <v>0</v>
      </c>
      <c r="V750" s="35">
        <f t="shared" si="634"/>
        <v>1.7233980148644414E-3</v>
      </c>
      <c r="W750" s="34">
        <f t="shared" si="635"/>
        <v>0</v>
      </c>
      <c r="X750" s="34">
        <f t="shared" si="636"/>
        <v>805845.81185939431</v>
      </c>
      <c r="Y750" s="36">
        <f t="shared" si="637"/>
        <v>1.7509959314352175E-2</v>
      </c>
      <c r="Z750" s="34">
        <f t="shared" si="638"/>
        <v>14110.327379299091</v>
      </c>
      <c r="AA750" s="34">
        <f t="shared" si="639"/>
        <v>812900.97554904385</v>
      </c>
      <c r="AB750" s="34">
        <f t="shared" si="640"/>
        <v>0</v>
      </c>
      <c r="AC750" s="34">
        <f t="shared" si="641"/>
        <v>0</v>
      </c>
      <c r="AD750" s="34">
        <f t="shared" si="642"/>
        <v>0</v>
      </c>
      <c r="AE750" s="34">
        <f t="shared" si="643"/>
        <v>0</v>
      </c>
      <c r="AF750" s="34">
        <f t="shared" si="644"/>
        <v>0</v>
      </c>
      <c r="AG750" s="29">
        <f t="shared" si="645"/>
        <v>812900.97554904385</v>
      </c>
      <c r="AH750" s="34">
        <f t="shared" si="646"/>
        <v>0</v>
      </c>
      <c r="AI750" s="34">
        <f t="shared" si="647"/>
        <v>0</v>
      </c>
      <c r="AJ750" s="34">
        <f t="shared" si="648"/>
        <v>0</v>
      </c>
      <c r="AK750" s="34">
        <f t="shared" si="649"/>
        <v>0</v>
      </c>
      <c r="AL750" s="34">
        <f t="shared" si="650"/>
        <v>0</v>
      </c>
      <c r="AM750" s="34">
        <f t="shared" si="651"/>
        <v>0</v>
      </c>
      <c r="AN750" s="34">
        <f t="shared" si="652"/>
        <v>0</v>
      </c>
      <c r="AO750" s="34">
        <f t="shared" si="653"/>
        <v>0</v>
      </c>
      <c r="AP750" s="34">
        <f t="shared" si="654"/>
        <v>0</v>
      </c>
      <c r="AQ750" s="34">
        <f t="shared" si="655"/>
        <v>0</v>
      </c>
      <c r="AR750" s="34">
        <f t="shared" si="656"/>
        <v>0</v>
      </c>
      <c r="AS750" s="30">
        <f t="shared" si="657"/>
        <v>1.8562881979399752</v>
      </c>
      <c r="AT750" s="29">
        <f t="shared" si="658"/>
        <v>0</v>
      </c>
      <c r="AU750" s="29">
        <f t="shared" si="659"/>
        <v>0</v>
      </c>
      <c r="AV750" s="34">
        <f t="shared" si="660"/>
        <v>0</v>
      </c>
      <c r="AW750" s="34">
        <f t="shared" si="661"/>
        <v>0</v>
      </c>
      <c r="AX750" s="29">
        <f t="shared" si="662"/>
        <v>0</v>
      </c>
      <c r="AY750" s="34">
        <f t="shared" si="663"/>
        <v>0</v>
      </c>
      <c r="AZ750" s="37">
        <f t="shared" si="664"/>
        <v>0</v>
      </c>
      <c r="BA750" s="37">
        <f t="shared" si="665"/>
        <v>0</v>
      </c>
      <c r="BB750" s="35">
        <f t="shared" si="666"/>
        <v>1.2480637776637327E-3</v>
      </c>
      <c r="BC750" s="31">
        <f t="shared" si="667"/>
        <v>0.39436632106474145</v>
      </c>
      <c r="BD750" s="34">
        <f t="shared" si="668"/>
        <v>0</v>
      </c>
    </row>
    <row r="751" spans="1:56" x14ac:dyDescent="0.2">
      <c r="A751" s="27">
        <f t="shared" si="669"/>
        <v>747</v>
      </c>
      <c r="B751" s="28">
        <f t="shared" si="616"/>
        <v>747</v>
      </c>
      <c r="C751" s="27">
        <f t="shared" si="617"/>
        <v>62</v>
      </c>
      <c r="D751" s="28">
        <f t="shared" si="618"/>
        <v>82</v>
      </c>
      <c r="E751" s="29">
        <f t="shared" si="619"/>
        <v>0</v>
      </c>
      <c r="F751" s="30">
        <f t="shared" si="620"/>
        <v>1.8639543208444149E-2</v>
      </c>
      <c r="G751" s="31">
        <f t="shared" si="621"/>
        <v>1.5667254680585829E-3</v>
      </c>
      <c r="H751" s="32">
        <f t="shared" si="622"/>
        <v>0.02</v>
      </c>
      <c r="I751" s="32">
        <f t="shared" si="623"/>
        <v>0</v>
      </c>
      <c r="J751" s="33">
        <f t="shared" si="670"/>
        <v>0</v>
      </c>
      <c r="K751" s="30">
        <f t="shared" si="624"/>
        <v>0</v>
      </c>
      <c r="L751" s="33">
        <f t="shared" si="625"/>
        <v>0</v>
      </c>
      <c r="M751" s="30">
        <f t="shared" si="626"/>
        <v>0</v>
      </c>
      <c r="N751" s="33">
        <f t="shared" si="627"/>
        <v>0</v>
      </c>
      <c r="O751" s="31">
        <f t="shared" si="628"/>
        <v>0</v>
      </c>
      <c r="P751" s="33">
        <f t="shared" si="629"/>
        <v>0</v>
      </c>
      <c r="Q751" s="34">
        <f t="shared" si="671"/>
        <v>819956.1392386934</v>
      </c>
      <c r="R751" s="29">
        <f t="shared" si="630"/>
        <v>0</v>
      </c>
      <c r="S751" s="34">
        <f t="shared" si="631"/>
        <v>819956.1392386934</v>
      </c>
      <c r="T751" s="29">
        <f t="shared" si="632"/>
        <v>683.29678269891122</v>
      </c>
      <c r="U751" s="29">
        <f t="shared" si="633"/>
        <v>0</v>
      </c>
      <c r="V751" s="35">
        <f t="shared" si="634"/>
        <v>1.7233980148644414E-3</v>
      </c>
      <c r="W751" s="34">
        <f t="shared" si="635"/>
        <v>0</v>
      </c>
      <c r="X751" s="34">
        <f t="shared" si="636"/>
        <v>819272.84245599445</v>
      </c>
      <c r="Y751" s="36">
        <f t="shared" si="637"/>
        <v>1.3405891434341122E-2</v>
      </c>
      <c r="Z751" s="34">
        <f t="shared" si="638"/>
        <v>10983.082781069119</v>
      </c>
      <c r="AA751" s="34">
        <f t="shared" si="639"/>
        <v>824764.38384652906</v>
      </c>
      <c r="AB751" s="34">
        <f t="shared" si="640"/>
        <v>0</v>
      </c>
      <c r="AC751" s="34">
        <f t="shared" si="641"/>
        <v>0</v>
      </c>
      <c r="AD751" s="34">
        <f t="shared" si="642"/>
        <v>0</v>
      </c>
      <c r="AE751" s="34">
        <f t="shared" si="643"/>
        <v>0</v>
      </c>
      <c r="AF751" s="34">
        <f t="shared" si="644"/>
        <v>0</v>
      </c>
      <c r="AG751" s="29">
        <f t="shared" si="645"/>
        <v>824764.38384652906</v>
      </c>
      <c r="AH751" s="34">
        <f t="shared" si="646"/>
        <v>0</v>
      </c>
      <c r="AI751" s="34">
        <f t="shared" si="647"/>
        <v>0</v>
      </c>
      <c r="AJ751" s="34">
        <f t="shared" si="648"/>
        <v>0</v>
      </c>
      <c r="AK751" s="34">
        <f t="shared" si="649"/>
        <v>0</v>
      </c>
      <c r="AL751" s="34">
        <f t="shared" si="650"/>
        <v>0</v>
      </c>
      <c r="AM751" s="34">
        <f t="shared" si="651"/>
        <v>0</v>
      </c>
      <c r="AN751" s="34">
        <f t="shared" si="652"/>
        <v>0</v>
      </c>
      <c r="AO751" s="34">
        <f t="shared" si="653"/>
        <v>0</v>
      </c>
      <c r="AP751" s="34">
        <f t="shared" si="654"/>
        <v>0</v>
      </c>
      <c r="AQ751" s="34">
        <f t="shared" si="655"/>
        <v>0</v>
      </c>
      <c r="AR751" s="34">
        <f t="shared" si="656"/>
        <v>0</v>
      </c>
      <c r="AS751" s="30">
        <f t="shared" si="657"/>
        <v>1.8578280597513777</v>
      </c>
      <c r="AT751" s="29">
        <f t="shared" si="658"/>
        <v>0</v>
      </c>
      <c r="AU751" s="29">
        <f t="shared" si="659"/>
        <v>0</v>
      </c>
      <c r="AV751" s="34">
        <f t="shared" si="660"/>
        <v>0</v>
      </c>
      <c r="AW751" s="34">
        <f t="shared" si="661"/>
        <v>0</v>
      </c>
      <c r="AX751" s="29">
        <f t="shared" si="662"/>
        <v>0</v>
      </c>
      <c r="AY751" s="34">
        <f t="shared" si="663"/>
        <v>0</v>
      </c>
      <c r="AZ751" s="37">
        <f t="shared" si="664"/>
        <v>0</v>
      </c>
      <c r="BA751" s="37">
        <f t="shared" si="665"/>
        <v>0</v>
      </c>
      <c r="BB751" s="35">
        <f t="shared" si="666"/>
        <v>1.2480637776637327E-3</v>
      </c>
      <c r="BC751" s="31">
        <f t="shared" si="667"/>
        <v>0.39387474026847563</v>
      </c>
      <c r="BD751" s="34">
        <f t="shared" si="668"/>
        <v>0</v>
      </c>
    </row>
    <row r="752" spans="1:56" x14ac:dyDescent="0.2">
      <c r="A752" s="27">
        <f t="shared" si="669"/>
        <v>748</v>
      </c>
      <c r="B752" s="28">
        <f t="shared" si="616"/>
        <v>748</v>
      </c>
      <c r="C752" s="27">
        <f t="shared" si="617"/>
        <v>62</v>
      </c>
      <c r="D752" s="28">
        <f t="shared" si="618"/>
        <v>82</v>
      </c>
      <c r="E752" s="29">
        <f t="shared" si="619"/>
        <v>0</v>
      </c>
      <c r="F752" s="30">
        <f t="shared" si="620"/>
        <v>1.8639543208444149E-2</v>
      </c>
      <c r="G752" s="31">
        <f t="shared" si="621"/>
        <v>1.5667254680585829E-3</v>
      </c>
      <c r="H752" s="32">
        <f t="shared" si="622"/>
        <v>0.02</v>
      </c>
      <c r="I752" s="32">
        <f t="shared" si="623"/>
        <v>0</v>
      </c>
      <c r="J752" s="33">
        <f t="shared" si="670"/>
        <v>0</v>
      </c>
      <c r="K752" s="30">
        <f t="shared" si="624"/>
        <v>0</v>
      </c>
      <c r="L752" s="33">
        <f t="shared" si="625"/>
        <v>0</v>
      </c>
      <c r="M752" s="30">
        <f t="shared" si="626"/>
        <v>0</v>
      </c>
      <c r="N752" s="33">
        <f t="shared" si="627"/>
        <v>0</v>
      </c>
      <c r="O752" s="31">
        <f t="shared" si="628"/>
        <v>0</v>
      </c>
      <c r="P752" s="33">
        <f t="shared" si="629"/>
        <v>0</v>
      </c>
      <c r="Q752" s="34">
        <f t="shared" si="671"/>
        <v>830255.92523706355</v>
      </c>
      <c r="R752" s="29">
        <f t="shared" si="630"/>
        <v>0</v>
      </c>
      <c r="S752" s="34">
        <f t="shared" si="631"/>
        <v>830255.92523706355</v>
      </c>
      <c r="T752" s="29">
        <f t="shared" si="632"/>
        <v>691.87993769755303</v>
      </c>
      <c r="U752" s="29">
        <f t="shared" si="633"/>
        <v>0</v>
      </c>
      <c r="V752" s="35">
        <f t="shared" si="634"/>
        <v>1.7233980148644414E-3</v>
      </c>
      <c r="W752" s="34">
        <f t="shared" si="635"/>
        <v>0</v>
      </c>
      <c r="X752" s="34">
        <f t="shared" si="636"/>
        <v>829564.045299366</v>
      </c>
      <c r="Y752" s="36">
        <f t="shared" si="637"/>
        <v>5.8726527896084679E-3</v>
      </c>
      <c r="Z752" s="34">
        <f t="shared" si="638"/>
        <v>4871.7416047862071</v>
      </c>
      <c r="AA752" s="34">
        <f t="shared" si="639"/>
        <v>831999.91610175907</v>
      </c>
      <c r="AB752" s="34">
        <f t="shared" si="640"/>
        <v>0</v>
      </c>
      <c r="AC752" s="34">
        <f t="shared" si="641"/>
        <v>0</v>
      </c>
      <c r="AD752" s="34">
        <f t="shared" si="642"/>
        <v>0</v>
      </c>
      <c r="AE752" s="34">
        <f t="shared" si="643"/>
        <v>0</v>
      </c>
      <c r="AF752" s="34">
        <f t="shared" si="644"/>
        <v>0</v>
      </c>
      <c r="AG752" s="29">
        <f t="shared" si="645"/>
        <v>831999.91610175907</v>
      </c>
      <c r="AH752" s="34">
        <f t="shared" si="646"/>
        <v>0</v>
      </c>
      <c r="AI752" s="34">
        <f t="shared" si="647"/>
        <v>0</v>
      </c>
      <c r="AJ752" s="34">
        <f t="shared" si="648"/>
        <v>0</v>
      </c>
      <c r="AK752" s="34">
        <f t="shared" si="649"/>
        <v>0</v>
      </c>
      <c r="AL752" s="34">
        <f t="shared" si="650"/>
        <v>0</v>
      </c>
      <c r="AM752" s="34">
        <f t="shared" si="651"/>
        <v>0</v>
      </c>
      <c r="AN752" s="34">
        <f t="shared" si="652"/>
        <v>0</v>
      </c>
      <c r="AO752" s="34">
        <f t="shared" si="653"/>
        <v>0</v>
      </c>
      <c r="AP752" s="34">
        <f t="shared" si="654"/>
        <v>0</v>
      </c>
      <c r="AQ752" s="34">
        <f t="shared" si="655"/>
        <v>0</v>
      </c>
      <c r="AR752" s="34">
        <f t="shared" si="656"/>
        <v>0</v>
      </c>
      <c r="AS752" s="30">
        <f t="shared" si="657"/>
        <v>1.8593691989368433</v>
      </c>
      <c r="AT752" s="29">
        <f t="shared" si="658"/>
        <v>0</v>
      </c>
      <c r="AU752" s="29">
        <f t="shared" si="659"/>
        <v>0</v>
      </c>
      <c r="AV752" s="34">
        <f t="shared" si="660"/>
        <v>0</v>
      </c>
      <c r="AW752" s="34">
        <f t="shared" si="661"/>
        <v>0</v>
      </c>
      <c r="AX752" s="29">
        <f t="shared" si="662"/>
        <v>0</v>
      </c>
      <c r="AY752" s="34">
        <f t="shared" si="663"/>
        <v>0</v>
      </c>
      <c r="AZ752" s="37">
        <f t="shared" si="664"/>
        <v>0</v>
      </c>
      <c r="BA752" s="37">
        <f t="shared" si="665"/>
        <v>0</v>
      </c>
      <c r="BB752" s="35">
        <f t="shared" si="666"/>
        <v>1.2480637776637327E-3</v>
      </c>
      <c r="BC752" s="31">
        <f t="shared" si="667"/>
        <v>0.39338377223163262</v>
      </c>
      <c r="BD752" s="34">
        <f t="shared" si="668"/>
        <v>0</v>
      </c>
    </row>
    <row r="753" spans="1:56" x14ac:dyDescent="0.2">
      <c r="A753" s="27">
        <f t="shared" si="669"/>
        <v>749</v>
      </c>
      <c r="B753" s="28">
        <f t="shared" si="616"/>
        <v>749</v>
      </c>
      <c r="C753" s="27">
        <f t="shared" si="617"/>
        <v>62</v>
      </c>
      <c r="D753" s="28">
        <f t="shared" si="618"/>
        <v>82</v>
      </c>
      <c r="E753" s="29">
        <f t="shared" si="619"/>
        <v>0</v>
      </c>
      <c r="F753" s="30">
        <f t="shared" si="620"/>
        <v>1.8639543208444149E-2</v>
      </c>
      <c r="G753" s="31">
        <f t="shared" si="621"/>
        <v>1.5667254680585829E-3</v>
      </c>
      <c r="H753" s="32">
        <f t="shared" si="622"/>
        <v>0.02</v>
      </c>
      <c r="I753" s="32">
        <f t="shared" si="623"/>
        <v>0</v>
      </c>
      <c r="J753" s="33">
        <f t="shared" si="670"/>
        <v>0</v>
      </c>
      <c r="K753" s="30">
        <f t="shared" si="624"/>
        <v>0</v>
      </c>
      <c r="L753" s="33">
        <f t="shared" si="625"/>
        <v>0</v>
      </c>
      <c r="M753" s="30">
        <f t="shared" si="626"/>
        <v>0</v>
      </c>
      <c r="N753" s="33">
        <f t="shared" si="627"/>
        <v>0</v>
      </c>
      <c r="O753" s="31">
        <f t="shared" si="628"/>
        <v>0</v>
      </c>
      <c r="P753" s="33">
        <f t="shared" si="629"/>
        <v>0</v>
      </c>
      <c r="Q753" s="34">
        <f t="shared" si="671"/>
        <v>834435.78690415225</v>
      </c>
      <c r="R753" s="29">
        <f t="shared" si="630"/>
        <v>0</v>
      </c>
      <c r="S753" s="34">
        <f t="shared" si="631"/>
        <v>834435.78690415225</v>
      </c>
      <c r="T753" s="29">
        <f t="shared" si="632"/>
        <v>695.36315575346021</v>
      </c>
      <c r="U753" s="29">
        <f t="shared" si="633"/>
        <v>0</v>
      </c>
      <c r="V753" s="35">
        <f t="shared" si="634"/>
        <v>1.7233980148644414E-3</v>
      </c>
      <c r="W753" s="34">
        <f t="shared" si="635"/>
        <v>0</v>
      </c>
      <c r="X753" s="34">
        <f t="shared" si="636"/>
        <v>833740.42374839878</v>
      </c>
      <c r="Y753" s="36">
        <f t="shared" si="637"/>
        <v>-8.2187243653071285E-3</v>
      </c>
      <c r="Z753" s="34">
        <f t="shared" si="638"/>
        <v>-6852.2827350024554</v>
      </c>
      <c r="AA753" s="34">
        <f t="shared" si="639"/>
        <v>830314.28238089755</v>
      </c>
      <c r="AB753" s="34">
        <f t="shared" si="640"/>
        <v>0</v>
      </c>
      <c r="AC753" s="34">
        <f t="shared" si="641"/>
        <v>0</v>
      </c>
      <c r="AD753" s="34">
        <f t="shared" si="642"/>
        <v>0</v>
      </c>
      <c r="AE753" s="34">
        <f t="shared" si="643"/>
        <v>0</v>
      </c>
      <c r="AF753" s="34">
        <f t="shared" si="644"/>
        <v>0</v>
      </c>
      <c r="AG753" s="29">
        <f t="shared" si="645"/>
        <v>830314.28238089755</v>
      </c>
      <c r="AH753" s="34">
        <f t="shared" si="646"/>
        <v>0</v>
      </c>
      <c r="AI753" s="34">
        <f t="shared" si="647"/>
        <v>0</v>
      </c>
      <c r="AJ753" s="34">
        <f t="shared" si="648"/>
        <v>0</v>
      </c>
      <c r="AK753" s="34">
        <f t="shared" si="649"/>
        <v>0</v>
      </c>
      <c r="AL753" s="34">
        <f t="shared" si="650"/>
        <v>0</v>
      </c>
      <c r="AM753" s="34">
        <f t="shared" si="651"/>
        <v>0</v>
      </c>
      <c r="AN753" s="34">
        <f t="shared" si="652"/>
        <v>0</v>
      </c>
      <c r="AO753" s="34">
        <f t="shared" si="653"/>
        <v>0</v>
      </c>
      <c r="AP753" s="34">
        <f t="shared" si="654"/>
        <v>0</v>
      </c>
      <c r="AQ753" s="34">
        <f t="shared" si="655"/>
        <v>0</v>
      </c>
      <c r="AR753" s="34">
        <f t="shared" si="656"/>
        <v>0</v>
      </c>
      <c r="AS753" s="30">
        <f t="shared" si="657"/>
        <v>1.8609116165560027</v>
      </c>
      <c r="AT753" s="29">
        <f t="shared" si="658"/>
        <v>0</v>
      </c>
      <c r="AU753" s="29">
        <f t="shared" si="659"/>
        <v>0</v>
      </c>
      <c r="AV753" s="34">
        <f t="shared" si="660"/>
        <v>0</v>
      </c>
      <c r="AW753" s="34">
        <f t="shared" si="661"/>
        <v>0</v>
      </c>
      <c r="AX753" s="29">
        <f t="shared" si="662"/>
        <v>0</v>
      </c>
      <c r="AY753" s="34">
        <f t="shared" si="663"/>
        <v>0</v>
      </c>
      <c r="AZ753" s="37">
        <f t="shared" si="664"/>
        <v>0</v>
      </c>
      <c r="BA753" s="37">
        <f t="shared" si="665"/>
        <v>0</v>
      </c>
      <c r="BB753" s="35">
        <f t="shared" si="666"/>
        <v>1.2480637776637327E-3</v>
      </c>
      <c r="BC753" s="31">
        <f t="shared" si="667"/>
        <v>0.39289341619040291</v>
      </c>
      <c r="BD753" s="34">
        <f t="shared" si="668"/>
        <v>0</v>
      </c>
    </row>
    <row r="754" spans="1:56" x14ac:dyDescent="0.2">
      <c r="A754" s="27">
        <f t="shared" si="669"/>
        <v>750</v>
      </c>
      <c r="B754" s="28">
        <f t="shared" si="616"/>
        <v>750</v>
      </c>
      <c r="C754" s="27">
        <f t="shared" si="617"/>
        <v>62</v>
      </c>
      <c r="D754" s="28">
        <f t="shared" si="618"/>
        <v>82</v>
      </c>
      <c r="E754" s="29">
        <f t="shared" si="619"/>
        <v>0</v>
      </c>
      <c r="F754" s="30">
        <f t="shared" si="620"/>
        <v>1.8639543208444149E-2</v>
      </c>
      <c r="G754" s="31">
        <f t="shared" si="621"/>
        <v>1.5667254680585829E-3</v>
      </c>
      <c r="H754" s="32">
        <f t="shared" si="622"/>
        <v>0.02</v>
      </c>
      <c r="I754" s="32">
        <f t="shared" si="623"/>
        <v>0</v>
      </c>
      <c r="J754" s="33">
        <f t="shared" si="670"/>
        <v>0</v>
      </c>
      <c r="K754" s="30">
        <f t="shared" si="624"/>
        <v>0</v>
      </c>
      <c r="L754" s="33">
        <f t="shared" si="625"/>
        <v>0</v>
      </c>
      <c r="M754" s="30">
        <f t="shared" si="626"/>
        <v>0</v>
      </c>
      <c r="N754" s="33">
        <f t="shared" si="627"/>
        <v>0</v>
      </c>
      <c r="O754" s="31">
        <f t="shared" si="628"/>
        <v>0</v>
      </c>
      <c r="P754" s="33">
        <f t="shared" si="629"/>
        <v>0</v>
      </c>
      <c r="Q754" s="34">
        <f t="shared" si="671"/>
        <v>826888.14101339632</v>
      </c>
      <c r="R754" s="29">
        <f t="shared" si="630"/>
        <v>0</v>
      </c>
      <c r="S754" s="34">
        <f t="shared" si="631"/>
        <v>826888.14101339632</v>
      </c>
      <c r="T754" s="29">
        <f t="shared" si="632"/>
        <v>689.07345084449696</v>
      </c>
      <c r="U754" s="29">
        <f t="shared" si="633"/>
        <v>0</v>
      </c>
      <c r="V754" s="35">
        <f t="shared" si="634"/>
        <v>1.7233980148644414E-3</v>
      </c>
      <c r="W754" s="34">
        <f t="shared" si="635"/>
        <v>0</v>
      </c>
      <c r="X754" s="34">
        <f t="shared" si="636"/>
        <v>826199.06756255182</v>
      </c>
      <c r="Y754" s="36">
        <f t="shared" si="637"/>
        <v>6.7838786071896529E-3</v>
      </c>
      <c r="Z754" s="34">
        <f t="shared" si="638"/>
        <v>5604.8341797176336</v>
      </c>
      <c r="AA754" s="34">
        <f t="shared" si="639"/>
        <v>829001.48465241061</v>
      </c>
      <c r="AB754" s="34">
        <f t="shared" si="640"/>
        <v>0</v>
      </c>
      <c r="AC754" s="34">
        <f t="shared" si="641"/>
        <v>0</v>
      </c>
      <c r="AD754" s="34">
        <f t="shared" si="642"/>
        <v>0</v>
      </c>
      <c r="AE754" s="34">
        <f t="shared" si="643"/>
        <v>0</v>
      </c>
      <c r="AF754" s="34">
        <f t="shared" si="644"/>
        <v>0</v>
      </c>
      <c r="AG754" s="29">
        <f t="shared" si="645"/>
        <v>829001.48465241061</v>
      </c>
      <c r="AH754" s="34">
        <f t="shared" si="646"/>
        <v>0</v>
      </c>
      <c r="AI754" s="34">
        <f t="shared" si="647"/>
        <v>0</v>
      </c>
      <c r="AJ754" s="34">
        <f t="shared" si="648"/>
        <v>0</v>
      </c>
      <c r="AK754" s="34">
        <f t="shared" si="649"/>
        <v>0</v>
      </c>
      <c r="AL754" s="34">
        <f t="shared" si="650"/>
        <v>0</v>
      </c>
      <c r="AM754" s="34">
        <f t="shared" si="651"/>
        <v>0</v>
      </c>
      <c r="AN754" s="34">
        <f t="shared" si="652"/>
        <v>0</v>
      </c>
      <c r="AO754" s="34">
        <f t="shared" si="653"/>
        <v>0</v>
      </c>
      <c r="AP754" s="34">
        <f t="shared" si="654"/>
        <v>0</v>
      </c>
      <c r="AQ754" s="34">
        <f t="shared" si="655"/>
        <v>0</v>
      </c>
      <c r="AR754" s="34">
        <f t="shared" si="656"/>
        <v>0</v>
      </c>
      <c r="AS754" s="30">
        <f t="shared" si="657"/>
        <v>1.8624553136693656</v>
      </c>
      <c r="AT754" s="29">
        <f t="shared" si="658"/>
        <v>0</v>
      </c>
      <c r="AU754" s="29">
        <f t="shared" si="659"/>
        <v>0</v>
      </c>
      <c r="AV754" s="34">
        <f t="shared" si="660"/>
        <v>0</v>
      </c>
      <c r="AW754" s="34">
        <f t="shared" si="661"/>
        <v>0</v>
      </c>
      <c r="AX754" s="29">
        <f t="shared" si="662"/>
        <v>0</v>
      </c>
      <c r="AY754" s="34">
        <f t="shared" si="663"/>
        <v>0</v>
      </c>
      <c r="AZ754" s="37">
        <f t="shared" si="664"/>
        <v>0</v>
      </c>
      <c r="BA754" s="37">
        <f t="shared" si="665"/>
        <v>0</v>
      </c>
      <c r="BB754" s="35">
        <f t="shared" si="666"/>
        <v>1.2480637776637327E-3</v>
      </c>
      <c r="BC754" s="31">
        <f t="shared" si="667"/>
        <v>0.39240367138192878</v>
      </c>
      <c r="BD754" s="34">
        <f t="shared" si="668"/>
        <v>0</v>
      </c>
    </row>
    <row r="755" spans="1:56" x14ac:dyDescent="0.2">
      <c r="A755" s="27">
        <f t="shared" si="669"/>
        <v>751</v>
      </c>
      <c r="B755" s="28">
        <f t="shared" si="616"/>
        <v>751</v>
      </c>
      <c r="C755" s="27">
        <f t="shared" si="617"/>
        <v>62</v>
      </c>
      <c r="D755" s="28">
        <f t="shared" si="618"/>
        <v>82</v>
      </c>
      <c r="E755" s="29">
        <f t="shared" si="619"/>
        <v>0</v>
      </c>
      <c r="F755" s="30">
        <f t="shared" si="620"/>
        <v>1.8639543208444149E-2</v>
      </c>
      <c r="G755" s="31">
        <f t="shared" si="621"/>
        <v>1.5667254680585829E-3</v>
      </c>
      <c r="H755" s="32">
        <f t="shared" si="622"/>
        <v>0.02</v>
      </c>
      <c r="I755" s="32">
        <f t="shared" si="623"/>
        <v>0</v>
      </c>
      <c r="J755" s="33">
        <f t="shared" si="670"/>
        <v>0</v>
      </c>
      <c r="K755" s="30">
        <f t="shared" si="624"/>
        <v>0</v>
      </c>
      <c r="L755" s="33">
        <f t="shared" si="625"/>
        <v>0</v>
      </c>
      <c r="M755" s="30">
        <f t="shared" si="626"/>
        <v>0</v>
      </c>
      <c r="N755" s="33">
        <f t="shared" si="627"/>
        <v>0</v>
      </c>
      <c r="O755" s="31">
        <f t="shared" si="628"/>
        <v>0</v>
      </c>
      <c r="P755" s="33">
        <f t="shared" si="629"/>
        <v>0</v>
      </c>
      <c r="Q755" s="34">
        <f t="shared" si="671"/>
        <v>831803.9017422694</v>
      </c>
      <c r="R755" s="29">
        <f t="shared" si="630"/>
        <v>0</v>
      </c>
      <c r="S755" s="34">
        <f t="shared" si="631"/>
        <v>831803.9017422694</v>
      </c>
      <c r="T755" s="29">
        <f t="shared" si="632"/>
        <v>693.16991811855792</v>
      </c>
      <c r="U755" s="29">
        <f t="shared" si="633"/>
        <v>0</v>
      </c>
      <c r="V755" s="35">
        <f t="shared" si="634"/>
        <v>1.7233980148644414E-3</v>
      </c>
      <c r="W755" s="34">
        <f t="shared" si="635"/>
        <v>0</v>
      </c>
      <c r="X755" s="34">
        <f t="shared" si="636"/>
        <v>831110.73182415089</v>
      </c>
      <c r="Y755" s="36">
        <f t="shared" si="637"/>
        <v>-1.0046506469168381E-2</v>
      </c>
      <c r="Z755" s="34">
        <f t="shared" si="638"/>
        <v>-8349.759343866599</v>
      </c>
      <c r="AA755" s="34">
        <f t="shared" si="639"/>
        <v>826935.85215221765</v>
      </c>
      <c r="AB755" s="34">
        <f t="shared" si="640"/>
        <v>0</v>
      </c>
      <c r="AC755" s="34">
        <f t="shared" si="641"/>
        <v>0</v>
      </c>
      <c r="AD755" s="34">
        <f t="shared" si="642"/>
        <v>0</v>
      </c>
      <c r="AE755" s="34">
        <f t="shared" si="643"/>
        <v>0</v>
      </c>
      <c r="AF755" s="34">
        <f t="shared" si="644"/>
        <v>0</v>
      </c>
      <c r="AG755" s="29">
        <f t="shared" si="645"/>
        <v>826935.85215221765</v>
      </c>
      <c r="AH755" s="34">
        <f t="shared" si="646"/>
        <v>0</v>
      </c>
      <c r="AI755" s="34">
        <f t="shared" si="647"/>
        <v>0</v>
      </c>
      <c r="AJ755" s="34">
        <f t="shared" si="648"/>
        <v>0</v>
      </c>
      <c r="AK755" s="34">
        <f t="shared" si="649"/>
        <v>0</v>
      </c>
      <c r="AL755" s="34">
        <f t="shared" si="650"/>
        <v>0</v>
      </c>
      <c r="AM755" s="34">
        <f t="shared" si="651"/>
        <v>0</v>
      </c>
      <c r="AN755" s="34">
        <f t="shared" si="652"/>
        <v>0</v>
      </c>
      <c r="AO755" s="34">
        <f t="shared" si="653"/>
        <v>0</v>
      </c>
      <c r="AP755" s="34">
        <f t="shared" si="654"/>
        <v>0</v>
      </c>
      <c r="AQ755" s="34">
        <f t="shared" si="655"/>
        <v>0</v>
      </c>
      <c r="AR755" s="34">
        <f t="shared" si="656"/>
        <v>0</v>
      </c>
      <c r="AS755" s="30">
        <f t="shared" si="657"/>
        <v>1.8640002913383211</v>
      </c>
      <c r="AT755" s="29">
        <f t="shared" si="658"/>
        <v>0</v>
      </c>
      <c r="AU755" s="29">
        <f t="shared" si="659"/>
        <v>0</v>
      </c>
      <c r="AV755" s="34">
        <f t="shared" si="660"/>
        <v>0</v>
      </c>
      <c r="AW755" s="34">
        <f t="shared" si="661"/>
        <v>0</v>
      </c>
      <c r="AX755" s="29">
        <f t="shared" si="662"/>
        <v>0</v>
      </c>
      <c r="AY755" s="34">
        <f t="shared" si="663"/>
        <v>0</v>
      </c>
      <c r="AZ755" s="37">
        <f t="shared" si="664"/>
        <v>0</v>
      </c>
      <c r="BA755" s="37">
        <f t="shared" si="665"/>
        <v>0</v>
      </c>
      <c r="BB755" s="35">
        <f t="shared" si="666"/>
        <v>1.2480637776637327E-3</v>
      </c>
      <c r="BC755" s="31">
        <f t="shared" si="667"/>
        <v>0.3919145370443039</v>
      </c>
      <c r="BD755" s="34">
        <f t="shared" si="668"/>
        <v>0</v>
      </c>
    </row>
    <row r="756" spans="1:56" x14ac:dyDescent="0.2">
      <c r="A756" s="27">
        <f t="shared" si="669"/>
        <v>752</v>
      </c>
      <c r="B756" s="28">
        <f t="shared" si="616"/>
        <v>752</v>
      </c>
      <c r="C756" s="27">
        <f t="shared" si="617"/>
        <v>62</v>
      </c>
      <c r="D756" s="28">
        <f t="shared" si="618"/>
        <v>82</v>
      </c>
      <c r="E756" s="29">
        <f t="shared" si="619"/>
        <v>0</v>
      </c>
      <c r="F756" s="30">
        <f t="shared" si="620"/>
        <v>1.8639543208444149E-2</v>
      </c>
      <c r="G756" s="31">
        <f t="shared" si="621"/>
        <v>1.5667254680585829E-3</v>
      </c>
      <c r="H756" s="32">
        <f t="shared" si="622"/>
        <v>0.02</v>
      </c>
      <c r="I756" s="32">
        <f t="shared" si="623"/>
        <v>0</v>
      </c>
      <c r="J756" s="33">
        <f t="shared" si="670"/>
        <v>0</v>
      </c>
      <c r="K756" s="30">
        <f t="shared" si="624"/>
        <v>0</v>
      </c>
      <c r="L756" s="33">
        <f t="shared" si="625"/>
        <v>0</v>
      </c>
      <c r="M756" s="30">
        <f t="shared" si="626"/>
        <v>0</v>
      </c>
      <c r="N756" s="33">
        <f t="shared" si="627"/>
        <v>0</v>
      </c>
      <c r="O756" s="31">
        <f t="shared" si="628"/>
        <v>0</v>
      </c>
      <c r="P756" s="33">
        <f t="shared" si="629"/>
        <v>0</v>
      </c>
      <c r="Q756" s="34">
        <f t="shared" si="671"/>
        <v>822760.97248028428</v>
      </c>
      <c r="R756" s="29">
        <f t="shared" si="630"/>
        <v>0</v>
      </c>
      <c r="S756" s="34">
        <f t="shared" si="631"/>
        <v>822760.97248028428</v>
      </c>
      <c r="T756" s="29">
        <f t="shared" si="632"/>
        <v>685.63414373357023</v>
      </c>
      <c r="U756" s="29">
        <f t="shared" si="633"/>
        <v>0</v>
      </c>
      <c r="V756" s="35">
        <f t="shared" si="634"/>
        <v>1.7233980148644414E-3</v>
      </c>
      <c r="W756" s="34">
        <f t="shared" si="635"/>
        <v>0</v>
      </c>
      <c r="X756" s="34">
        <f t="shared" si="636"/>
        <v>822075.33833655075</v>
      </c>
      <c r="Y756" s="36">
        <f t="shared" si="637"/>
        <v>-1.5631118928018828E-2</v>
      </c>
      <c r="Z756" s="34">
        <f t="shared" si="638"/>
        <v>-12849.957381329941</v>
      </c>
      <c r="AA756" s="34">
        <f t="shared" si="639"/>
        <v>815650.35964588576</v>
      </c>
      <c r="AB756" s="34">
        <f t="shared" si="640"/>
        <v>0</v>
      </c>
      <c r="AC756" s="34">
        <f t="shared" si="641"/>
        <v>0</v>
      </c>
      <c r="AD756" s="34">
        <f t="shared" si="642"/>
        <v>0</v>
      </c>
      <c r="AE756" s="34">
        <f t="shared" si="643"/>
        <v>0</v>
      </c>
      <c r="AF756" s="34">
        <f t="shared" si="644"/>
        <v>0</v>
      </c>
      <c r="AG756" s="29">
        <f t="shared" si="645"/>
        <v>815650.35964588576</v>
      </c>
      <c r="AH756" s="34">
        <f t="shared" si="646"/>
        <v>0</v>
      </c>
      <c r="AI756" s="34">
        <f t="shared" si="647"/>
        <v>0</v>
      </c>
      <c r="AJ756" s="34">
        <f t="shared" si="648"/>
        <v>0</v>
      </c>
      <c r="AK756" s="34">
        <f t="shared" si="649"/>
        <v>0</v>
      </c>
      <c r="AL756" s="34">
        <f t="shared" si="650"/>
        <v>0</v>
      </c>
      <c r="AM756" s="34">
        <f t="shared" si="651"/>
        <v>0</v>
      </c>
      <c r="AN756" s="34">
        <f t="shared" si="652"/>
        <v>0</v>
      </c>
      <c r="AO756" s="34">
        <f t="shared" si="653"/>
        <v>0</v>
      </c>
      <c r="AP756" s="34">
        <f t="shared" si="654"/>
        <v>0</v>
      </c>
      <c r="AQ756" s="34">
        <f t="shared" si="655"/>
        <v>0</v>
      </c>
      <c r="AR756" s="34">
        <f t="shared" si="656"/>
        <v>0</v>
      </c>
      <c r="AS756" s="30">
        <f t="shared" si="657"/>
        <v>1.8655465506251387</v>
      </c>
      <c r="AT756" s="29">
        <f t="shared" si="658"/>
        <v>0</v>
      </c>
      <c r="AU756" s="29">
        <f t="shared" si="659"/>
        <v>0</v>
      </c>
      <c r="AV756" s="34">
        <f t="shared" si="660"/>
        <v>0</v>
      </c>
      <c r="AW756" s="34">
        <f t="shared" si="661"/>
        <v>0</v>
      </c>
      <c r="AX756" s="29">
        <f t="shared" si="662"/>
        <v>0</v>
      </c>
      <c r="AY756" s="34">
        <f t="shared" si="663"/>
        <v>0</v>
      </c>
      <c r="AZ756" s="37">
        <f t="shared" si="664"/>
        <v>0</v>
      </c>
      <c r="BA756" s="37">
        <f t="shared" si="665"/>
        <v>0</v>
      </c>
      <c r="BB756" s="35">
        <f t="shared" si="666"/>
        <v>1.2480637776637327E-3</v>
      </c>
      <c r="BC756" s="31">
        <f t="shared" si="667"/>
        <v>0.39142601241657143</v>
      </c>
      <c r="BD756" s="34">
        <f t="shared" si="668"/>
        <v>0</v>
      </c>
    </row>
    <row r="757" spans="1:56" x14ac:dyDescent="0.2">
      <c r="A757" s="27">
        <f t="shared" si="669"/>
        <v>753</v>
      </c>
      <c r="B757" s="28">
        <f t="shared" si="616"/>
        <v>753</v>
      </c>
      <c r="C757" s="27">
        <f t="shared" si="617"/>
        <v>62</v>
      </c>
      <c r="D757" s="28">
        <f t="shared" si="618"/>
        <v>82</v>
      </c>
      <c r="E757" s="29">
        <f t="shared" si="619"/>
        <v>0</v>
      </c>
      <c r="F757" s="30">
        <f t="shared" si="620"/>
        <v>1.8639543208444149E-2</v>
      </c>
      <c r="G757" s="31">
        <f t="shared" si="621"/>
        <v>1.5667254680585829E-3</v>
      </c>
      <c r="H757" s="32">
        <f t="shared" si="622"/>
        <v>0.02</v>
      </c>
      <c r="I757" s="32">
        <f t="shared" si="623"/>
        <v>0</v>
      </c>
      <c r="J757" s="33">
        <f t="shared" si="670"/>
        <v>0</v>
      </c>
      <c r="K757" s="30">
        <f t="shared" si="624"/>
        <v>0</v>
      </c>
      <c r="L757" s="33">
        <f t="shared" si="625"/>
        <v>0</v>
      </c>
      <c r="M757" s="30">
        <f t="shared" si="626"/>
        <v>0</v>
      </c>
      <c r="N757" s="33">
        <f t="shared" si="627"/>
        <v>0</v>
      </c>
      <c r="O757" s="31">
        <f t="shared" si="628"/>
        <v>0</v>
      </c>
      <c r="P757" s="33">
        <f t="shared" si="629"/>
        <v>0</v>
      </c>
      <c r="Q757" s="34">
        <f t="shared" si="671"/>
        <v>809225.38095522078</v>
      </c>
      <c r="R757" s="29">
        <f t="shared" si="630"/>
        <v>0</v>
      </c>
      <c r="S757" s="34">
        <f t="shared" si="631"/>
        <v>809225.38095522078</v>
      </c>
      <c r="T757" s="29">
        <f t="shared" si="632"/>
        <v>674.35448412935068</v>
      </c>
      <c r="U757" s="29">
        <f t="shared" si="633"/>
        <v>0</v>
      </c>
      <c r="V757" s="35">
        <f t="shared" si="634"/>
        <v>1.7233980148644414E-3</v>
      </c>
      <c r="W757" s="34">
        <f t="shared" si="635"/>
        <v>0</v>
      </c>
      <c r="X757" s="34">
        <f t="shared" si="636"/>
        <v>808551.02647109143</v>
      </c>
      <c r="Y757" s="36">
        <f t="shared" si="637"/>
        <v>1.4565521424692029E-3</v>
      </c>
      <c r="Z757" s="34">
        <f t="shared" si="638"/>
        <v>1177.6967299021414</v>
      </c>
      <c r="AA757" s="34">
        <f t="shared" si="639"/>
        <v>809139.87483604252</v>
      </c>
      <c r="AB757" s="34">
        <f t="shared" si="640"/>
        <v>0</v>
      </c>
      <c r="AC757" s="34">
        <f t="shared" si="641"/>
        <v>0</v>
      </c>
      <c r="AD757" s="34">
        <f t="shared" si="642"/>
        <v>0</v>
      </c>
      <c r="AE757" s="34">
        <f t="shared" si="643"/>
        <v>0</v>
      </c>
      <c r="AF757" s="34">
        <f t="shared" si="644"/>
        <v>0</v>
      </c>
      <c r="AG757" s="29">
        <f t="shared" si="645"/>
        <v>809139.87483604252</v>
      </c>
      <c r="AH757" s="34">
        <f t="shared" si="646"/>
        <v>0</v>
      </c>
      <c r="AI757" s="34">
        <f t="shared" si="647"/>
        <v>0</v>
      </c>
      <c r="AJ757" s="34">
        <f t="shared" si="648"/>
        <v>0</v>
      </c>
      <c r="AK757" s="34">
        <f t="shared" si="649"/>
        <v>0</v>
      </c>
      <c r="AL757" s="34">
        <f t="shared" si="650"/>
        <v>0</v>
      </c>
      <c r="AM757" s="34">
        <f t="shared" si="651"/>
        <v>0</v>
      </c>
      <c r="AN757" s="34">
        <f t="shared" si="652"/>
        <v>0</v>
      </c>
      <c r="AO757" s="34">
        <f t="shared" si="653"/>
        <v>0</v>
      </c>
      <c r="AP757" s="34">
        <f t="shared" si="654"/>
        <v>0</v>
      </c>
      <c r="AQ757" s="34">
        <f t="shared" si="655"/>
        <v>0</v>
      </c>
      <c r="AR757" s="34">
        <f t="shared" si="656"/>
        <v>0</v>
      </c>
      <c r="AS757" s="30">
        <f t="shared" si="657"/>
        <v>1.8670940925929695</v>
      </c>
      <c r="AT757" s="29">
        <f t="shared" si="658"/>
        <v>0</v>
      </c>
      <c r="AU757" s="29">
        <f t="shared" si="659"/>
        <v>0</v>
      </c>
      <c r="AV757" s="34">
        <f t="shared" si="660"/>
        <v>0</v>
      </c>
      <c r="AW757" s="34">
        <f t="shared" si="661"/>
        <v>0</v>
      </c>
      <c r="AX757" s="29">
        <f t="shared" si="662"/>
        <v>0</v>
      </c>
      <c r="AY757" s="34">
        <f t="shared" si="663"/>
        <v>0</v>
      </c>
      <c r="AZ757" s="37">
        <f t="shared" si="664"/>
        <v>0</v>
      </c>
      <c r="BA757" s="37">
        <f t="shared" si="665"/>
        <v>0</v>
      </c>
      <c r="BB757" s="35">
        <f t="shared" si="666"/>
        <v>1.2480637776637327E-3</v>
      </c>
      <c r="BC757" s="31">
        <f t="shared" si="667"/>
        <v>0.3909380967387231</v>
      </c>
      <c r="BD757" s="34">
        <f t="shared" si="668"/>
        <v>0</v>
      </c>
    </row>
    <row r="758" spans="1:56" x14ac:dyDescent="0.2">
      <c r="A758" s="27">
        <f t="shared" si="669"/>
        <v>754</v>
      </c>
      <c r="B758" s="28">
        <f t="shared" si="616"/>
        <v>754</v>
      </c>
      <c r="C758" s="27">
        <f t="shared" si="617"/>
        <v>62</v>
      </c>
      <c r="D758" s="28">
        <f t="shared" si="618"/>
        <v>82</v>
      </c>
      <c r="E758" s="29">
        <f t="shared" si="619"/>
        <v>0</v>
      </c>
      <c r="F758" s="30">
        <f t="shared" si="620"/>
        <v>1.8639543208444149E-2</v>
      </c>
      <c r="G758" s="31">
        <f t="shared" si="621"/>
        <v>1.5667254680585829E-3</v>
      </c>
      <c r="H758" s="32">
        <f t="shared" si="622"/>
        <v>0.02</v>
      </c>
      <c r="I758" s="32">
        <f t="shared" si="623"/>
        <v>0</v>
      </c>
      <c r="J758" s="33">
        <f t="shared" si="670"/>
        <v>0</v>
      </c>
      <c r="K758" s="30">
        <f t="shared" si="624"/>
        <v>0</v>
      </c>
      <c r="L758" s="33">
        <f t="shared" si="625"/>
        <v>0</v>
      </c>
      <c r="M758" s="30">
        <f t="shared" si="626"/>
        <v>0</v>
      </c>
      <c r="N758" s="33">
        <f t="shared" si="627"/>
        <v>0</v>
      </c>
      <c r="O758" s="31">
        <f t="shared" si="628"/>
        <v>0</v>
      </c>
      <c r="P758" s="33">
        <f t="shared" si="629"/>
        <v>0</v>
      </c>
      <c r="Q758" s="34">
        <f t="shared" si="671"/>
        <v>809728.72320099361</v>
      </c>
      <c r="R758" s="29">
        <f t="shared" si="630"/>
        <v>0</v>
      </c>
      <c r="S758" s="34">
        <f t="shared" si="631"/>
        <v>809728.72320099361</v>
      </c>
      <c r="T758" s="29">
        <f t="shared" si="632"/>
        <v>674.77393600082803</v>
      </c>
      <c r="U758" s="29">
        <f t="shared" si="633"/>
        <v>0</v>
      </c>
      <c r="V758" s="35">
        <f t="shared" si="634"/>
        <v>1.7233980148644414E-3</v>
      </c>
      <c r="W758" s="34">
        <f t="shared" si="635"/>
        <v>0</v>
      </c>
      <c r="X758" s="34">
        <f t="shared" si="636"/>
        <v>809053.94926499273</v>
      </c>
      <c r="Y758" s="36">
        <f t="shared" si="637"/>
        <v>-3.4998008769433486E-3</v>
      </c>
      <c r="Z758" s="34">
        <f t="shared" si="638"/>
        <v>-2831.5277211321009</v>
      </c>
      <c r="AA758" s="34">
        <f t="shared" si="639"/>
        <v>807638.18540442665</v>
      </c>
      <c r="AB758" s="34">
        <f t="shared" si="640"/>
        <v>0</v>
      </c>
      <c r="AC758" s="34">
        <f t="shared" si="641"/>
        <v>0</v>
      </c>
      <c r="AD758" s="34">
        <f t="shared" si="642"/>
        <v>0</v>
      </c>
      <c r="AE758" s="34">
        <f t="shared" si="643"/>
        <v>0</v>
      </c>
      <c r="AF758" s="34">
        <f t="shared" si="644"/>
        <v>0</v>
      </c>
      <c r="AG758" s="29">
        <f t="shared" si="645"/>
        <v>807638.18540442665</v>
      </c>
      <c r="AH758" s="34">
        <f t="shared" si="646"/>
        <v>0</v>
      </c>
      <c r="AI758" s="34">
        <f t="shared" si="647"/>
        <v>0</v>
      </c>
      <c r="AJ758" s="34">
        <f t="shared" si="648"/>
        <v>0</v>
      </c>
      <c r="AK758" s="34">
        <f t="shared" si="649"/>
        <v>0</v>
      </c>
      <c r="AL758" s="34">
        <f t="shared" si="650"/>
        <v>0</v>
      </c>
      <c r="AM758" s="34">
        <f t="shared" si="651"/>
        <v>0</v>
      </c>
      <c r="AN758" s="34">
        <f t="shared" si="652"/>
        <v>0</v>
      </c>
      <c r="AO758" s="34">
        <f t="shared" si="653"/>
        <v>0</v>
      </c>
      <c r="AP758" s="34">
        <f t="shared" si="654"/>
        <v>0</v>
      </c>
      <c r="AQ758" s="34">
        <f t="shared" si="655"/>
        <v>0</v>
      </c>
      <c r="AR758" s="34">
        <f t="shared" si="656"/>
        <v>0</v>
      </c>
      <c r="AS758" s="30">
        <f t="shared" si="657"/>
        <v>1.8686429183058459</v>
      </c>
      <c r="AT758" s="29">
        <f t="shared" si="658"/>
        <v>0</v>
      </c>
      <c r="AU758" s="29">
        <f t="shared" si="659"/>
        <v>0</v>
      </c>
      <c r="AV758" s="34">
        <f t="shared" si="660"/>
        <v>0</v>
      </c>
      <c r="AW758" s="34">
        <f t="shared" si="661"/>
        <v>0</v>
      </c>
      <c r="AX758" s="29">
        <f t="shared" si="662"/>
        <v>0</v>
      </c>
      <c r="AY758" s="34">
        <f t="shared" si="663"/>
        <v>0</v>
      </c>
      <c r="AZ758" s="37">
        <f t="shared" si="664"/>
        <v>0</v>
      </c>
      <c r="BA758" s="37">
        <f t="shared" si="665"/>
        <v>0</v>
      </c>
      <c r="BB758" s="35">
        <f t="shared" si="666"/>
        <v>1.2480637776637327E-3</v>
      </c>
      <c r="BC758" s="31">
        <f t="shared" si="667"/>
        <v>0.39045078925169779</v>
      </c>
      <c r="BD758" s="34">
        <f t="shared" si="668"/>
        <v>0</v>
      </c>
    </row>
    <row r="759" spans="1:56" x14ac:dyDescent="0.2">
      <c r="A759" s="27">
        <f t="shared" si="669"/>
        <v>755</v>
      </c>
      <c r="B759" s="28">
        <f t="shared" si="616"/>
        <v>755</v>
      </c>
      <c r="C759" s="27">
        <f t="shared" si="617"/>
        <v>62</v>
      </c>
      <c r="D759" s="28">
        <f t="shared" si="618"/>
        <v>82</v>
      </c>
      <c r="E759" s="29">
        <f t="shared" si="619"/>
        <v>0</v>
      </c>
      <c r="F759" s="30">
        <f t="shared" si="620"/>
        <v>1.8639543208444149E-2</v>
      </c>
      <c r="G759" s="31">
        <f t="shared" si="621"/>
        <v>1.5667254680585829E-3</v>
      </c>
      <c r="H759" s="32">
        <f t="shared" si="622"/>
        <v>0.02</v>
      </c>
      <c r="I759" s="32">
        <f t="shared" si="623"/>
        <v>0</v>
      </c>
      <c r="J759" s="33">
        <f t="shared" si="670"/>
        <v>0</v>
      </c>
      <c r="K759" s="30">
        <f t="shared" si="624"/>
        <v>0</v>
      </c>
      <c r="L759" s="33">
        <f t="shared" si="625"/>
        <v>0</v>
      </c>
      <c r="M759" s="30">
        <f t="shared" si="626"/>
        <v>0</v>
      </c>
      <c r="N759" s="33">
        <f t="shared" si="627"/>
        <v>0</v>
      </c>
      <c r="O759" s="31">
        <f t="shared" si="628"/>
        <v>0</v>
      </c>
      <c r="P759" s="33">
        <f t="shared" si="629"/>
        <v>0</v>
      </c>
      <c r="Q759" s="34">
        <f t="shared" si="671"/>
        <v>806222.42154386058</v>
      </c>
      <c r="R759" s="29">
        <f t="shared" si="630"/>
        <v>0</v>
      </c>
      <c r="S759" s="34">
        <f t="shared" si="631"/>
        <v>806222.42154386058</v>
      </c>
      <c r="T759" s="29">
        <f t="shared" si="632"/>
        <v>671.85201795321723</v>
      </c>
      <c r="U759" s="29">
        <f t="shared" si="633"/>
        <v>0</v>
      </c>
      <c r="V759" s="35">
        <f t="shared" si="634"/>
        <v>1.7233980148644414E-3</v>
      </c>
      <c r="W759" s="34">
        <f t="shared" si="635"/>
        <v>0</v>
      </c>
      <c r="X759" s="34">
        <f t="shared" si="636"/>
        <v>805550.5695259074</v>
      </c>
      <c r="Y759" s="36">
        <f t="shared" si="637"/>
        <v>-3.3330476744751758E-3</v>
      </c>
      <c r="Z759" s="34">
        <f t="shared" si="638"/>
        <v>-2684.9384524304792</v>
      </c>
      <c r="AA759" s="34">
        <f t="shared" si="639"/>
        <v>804208.10029969213</v>
      </c>
      <c r="AB759" s="34">
        <f t="shared" si="640"/>
        <v>0</v>
      </c>
      <c r="AC759" s="34">
        <f t="shared" si="641"/>
        <v>0</v>
      </c>
      <c r="AD759" s="34">
        <f t="shared" si="642"/>
        <v>0</v>
      </c>
      <c r="AE759" s="34">
        <f t="shared" si="643"/>
        <v>0</v>
      </c>
      <c r="AF759" s="34">
        <f t="shared" si="644"/>
        <v>0</v>
      </c>
      <c r="AG759" s="29">
        <f t="shared" si="645"/>
        <v>804208.10029969213</v>
      </c>
      <c r="AH759" s="34">
        <f t="shared" si="646"/>
        <v>0</v>
      </c>
      <c r="AI759" s="34">
        <f t="shared" si="647"/>
        <v>0</v>
      </c>
      <c r="AJ759" s="34">
        <f t="shared" si="648"/>
        <v>0</v>
      </c>
      <c r="AK759" s="34">
        <f t="shared" si="649"/>
        <v>0</v>
      </c>
      <c r="AL759" s="34">
        <f t="shared" si="650"/>
        <v>0</v>
      </c>
      <c r="AM759" s="34">
        <f t="shared" si="651"/>
        <v>0</v>
      </c>
      <c r="AN759" s="34">
        <f t="shared" si="652"/>
        <v>0</v>
      </c>
      <c r="AO759" s="34">
        <f t="shared" si="653"/>
        <v>0</v>
      </c>
      <c r="AP759" s="34">
        <f t="shared" si="654"/>
        <v>0</v>
      </c>
      <c r="AQ759" s="34">
        <f t="shared" si="655"/>
        <v>0</v>
      </c>
      <c r="AR759" s="34">
        <f t="shared" si="656"/>
        <v>0</v>
      </c>
      <c r="AS759" s="30">
        <f t="shared" si="657"/>
        <v>1.8701930288286837</v>
      </c>
      <c r="AT759" s="29">
        <f t="shared" si="658"/>
        <v>0</v>
      </c>
      <c r="AU759" s="29">
        <f t="shared" si="659"/>
        <v>0</v>
      </c>
      <c r="AV759" s="34">
        <f t="shared" si="660"/>
        <v>0</v>
      </c>
      <c r="AW759" s="34">
        <f t="shared" si="661"/>
        <v>0</v>
      </c>
      <c r="AX759" s="29">
        <f t="shared" si="662"/>
        <v>0</v>
      </c>
      <c r="AY759" s="34">
        <f t="shared" si="663"/>
        <v>0</v>
      </c>
      <c r="AZ759" s="37">
        <f t="shared" si="664"/>
        <v>0</v>
      </c>
      <c r="BA759" s="37">
        <f t="shared" si="665"/>
        <v>0</v>
      </c>
      <c r="BB759" s="35">
        <f t="shared" si="666"/>
        <v>1.2480637776637327E-3</v>
      </c>
      <c r="BC759" s="31">
        <f t="shared" si="667"/>
        <v>0.38996408919738096</v>
      </c>
      <c r="BD759" s="34">
        <f t="shared" si="668"/>
        <v>0</v>
      </c>
    </row>
    <row r="760" spans="1:56" x14ac:dyDescent="0.2">
      <c r="A760" s="27">
        <f t="shared" si="669"/>
        <v>756</v>
      </c>
      <c r="B760" s="28">
        <f t="shared" si="616"/>
        <v>756</v>
      </c>
      <c r="C760" s="27">
        <f t="shared" si="617"/>
        <v>63</v>
      </c>
      <c r="D760" s="28">
        <f t="shared" si="618"/>
        <v>83</v>
      </c>
      <c r="E760" s="29">
        <f t="shared" si="619"/>
        <v>0</v>
      </c>
      <c r="F760" s="30">
        <f t="shared" si="620"/>
        <v>2.080015439954273E-2</v>
      </c>
      <c r="G760" s="31">
        <f t="shared" si="621"/>
        <v>1.7500938719053893E-3</v>
      </c>
      <c r="H760" s="32">
        <f t="shared" si="622"/>
        <v>0.02</v>
      </c>
      <c r="I760" s="32">
        <f t="shared" si="623"/>
        <v>0</v>
      </c>
      <c r="J760" s="33">
        <f t="shared" si="670"/>
        <v>0</v>
      </c>
      <c r="K760" s="30">
        <f t="shared" si="624"/>
        <v>0</v>
      </c>
      <c r="L760" s="33">
        <f t="shared" si="625"/>
        <v>0</v>
      </c>
      <c r="M760" s="30">
        <f t="shared" si="626"/>
        <v>0</v>
      </c>
      <c r="N760" s="33">
        <f t="shared" si="627"/>
        <v>0</v>
      </c>
      <c r="O760" s="31">
        <f t="shared" si="628"/>
        <v>0</v>
      </c>
      <c r="P760" s="33">
        <f t="shared" si="629"/>
        <v>0</v>
      </c>
      <c r="Q760" s="34">
        <f t="shared" si="671"/>
        <v>802865.63107347686</v>
      </c>
      <c r="R760" s="29">
        <f t="shared" si="630"/>
        <v>0</v>
      </c>
      <c r="S760" s="34">
        <f t="shared" si="631"/>
        <v>802865.63107347686</v>
      </c>
      <c r="T760" s="29">
        <f t="shared" si="632"/>
        <v>669.05469256123081</v>
      </c>
      <c r="U760" s="29">
        <f t="shared" si="633"/>
        <v>0</v>
      </c>
      <c r="V760" s="35">
        <f t="shared" si="634"/>
        <v>1.9251032590959284E-3</v>
      </c>
      <c r="W760" s="34">
        <f t="shared" si="635"/>
        <v>0</v>
      </c>
      <c r="X760" s="34">
        <f t="shared" si="636"/>
        <v>802196.57638091559</v>
      </c>
      <c r="Y760" s="36">
        <f t="shared" si="637"/>
        <v>3.4259080958833898E-3</v>
      </c>
      <c r="Z760" s="34">
        <f t="shared" si="638"/>
        <v>2748.251745513317</v>
      </c>
      <c r="AA760" s="34">
        <f t="shared" si="639"/>
        <v>803570.70225367229</v>
      </c>
      <c r="AB760" s="34">
        <f t="shared" si="640"/>
        <v>0</v>
      </c>
      <c r="AC760" s="34">
        <f t="shared" si="641"/>
        <v>0</v>
      </c>
      <c r="AD760" s="34">
        <f t="shared" si="642"/>
        <v>0</v>
      </c>
      <c r="AE760" s="34">
        <f t="shared" si="643"/>
        <v>0</v>
      </c>
      <c r="AF760" s="34">
        <f t="shared" si="644"/>
        <v>0</v>
      </c>
      <c r="AG760" s="29">
        <f t="shared" si="645"/>
        <v>803570.70225367229</v>
      </c>
      <c r="AH760" s="34">
        <f t="shared" si="646"/>
        <v>0</v>
      </c>
      <c r="AI760" s="34">
        <f t="shared" si="647"/>
        <v>0</v>
      </c>
      <c r="AJ760" s="34">
        <f t="shared" si="648"/>
        <v>0</v>
      </c>
      <c r="AK760" s="34">
        <f t="shared" si="649"/>
        <v>0</v>
      </c>
      <c r="AL760" s="34">
        <f t="shared" si="650"/>
        <v>0</v>
      </c>
      <c r="AM760" s="34">
        <f t="shared" si="651"/>
        <v>0</v>
      </c>
      <c r="AN760" s="34">
        <f t="shared" si="652"/>
        <v>0</v>
      </c>
      <c r="AO760" s="34">
        <f t="shared" si="653"/>
        <v>0</v>
      </c>
      <c r="AP760" s="34">
        <f t="shared" si="654"/>
        <v>0</v>
      </c>
      <c r="AQ760" s="34">
        <f t="shared" si="655"/>
        <v>0</v>
      </c>
      <c r="AR760" s="34">
        <f t="shared" si="656"/>
        <v>0</v>
      </c>
      <c r="AS760" s="30">
        <f t="shared" si="657"/>
        <v>1.8717444252272817</v>
      </c>
      <c r="AT760" s="29">
        <f t="shared" si="658"/>
        <v>0</v>
      </c>
      <c r="AU760" s="29">
        <f t="shared" si="659"/>
        <v>0</v>
      </c>
      <c r="AV760" s="34">
        <f t="shared" si="660"/>
        <v>0</v>
      </c>
      <c r="AW760" s="34">
        <f t="shared" si="661"/>
        <v>0</v>
      </c>
      <c r="AX760" s="29">
        <f t="shared" si="662"/>
        <v>0</v>
      </c>
      <c r="AY760" s="34">
        <f t="shared" si="663"/>
        <v>0</v>
      </c>
      <c r="AZ760" s="37">
        <f t="shared" si="664"/>
        <v>0</v>
      </c>
      <c r="BA760" s="37">
        <f t="shared" si="665"/>
        <v>0</v>
      </c>
      <c r="BB760" s="35">
        <f t="shared" si="666"/>
        <v>1.2768284607227454E-3</v>
      </c>
      <c r="BC760" s="31">
        <f t="shared" si="667"/>
        <v>0.38111024437290508</v>
      </c>
      <c r="BD760" s="34">
        <f t="shared" si="668"/>
        <v>0</v>
      </c>
    </row>
    <row r="761" spans="1:56" x14ac:dyDescent="0.2">
      <c r="A761" s="27">
        <f t="shared" si="669"/>
        <v>757</v>
      </c>
      <c r="B761" s="28">
        <f t="shared" si="616"/>
        <v>757</v>
      </c>
      <c r="C761" s="27">
        <f t="shared" si="617"/>
        <v>63</v>
      </c>
      <c r="D761" s="28">
        <f t="shared" si="618"/>
        <v>83</v>
      </c>
      <c r="E761" s="29">
        <f t="shared" si="619"/>
        <v>0</v>
      </c>
      <c r="F761" s="30">
        <f t="shared" si="620"/>
        <v>2.080015439954273E-2</v>
      </c>
      <c r="G761" s="31">
        <f t="shared" si="621"/>
        <v>1.7500938719053893E-3</v>
      </c>
      <c r="H761" s="32">
        <f t="shared" si="622"/>
        <v>0.02</v>
      </c>
      <c r="I761" s="32">
        <f t="shared" si="623"/>
        <v>0</v>
      </c>
      <c r="J761" s="33">
        <f t="shared" si="670"/>
        <v>0</v>
      </c>
      <c r="K761" s="30">
        <f t="shared" si="624"/>
        <v>0</v>
      </c>
      <c r="L761" s="33">
        <f t="shared" si="625"/>
        <v>0</v>
      </c>
      <c r="M761" s="30">
        <f t="shared" si="626"/>
        <v>0</v>
      </c>
      <c r="N761" s="33">
        <f t="shared" si="627"/>
        <v>0</v>
      </c>
      <c r="O761" s="31">
        <f t="shared" si="628"/>
        <v>0</v>
      </c>
      <c r="P761" s="33">
        <f t="shared" si="629"/>
        <v>0</v>
      </c>
      <c r="Q761" s="34">
        <f t="shared" si="671"/>
        <v>804944.82812642888</v>
      </c>
      <c r="R761" s="29">
        <f t="shared" si="630"/>
        <v>0</v>
      </c>
      <c r="S761" s="34">
        <f t="shared" si="631"/>
        <v>804944.82812642888</v>
      </c>
      <c r="T761" s="29">
        <f t="shared" si="632"/>
        <v>670.78735677202405</v>
      </c>
      <c r="U761" s="29">
        <f t="shared" si="633"/>
        <v>0</v>
      </c>
      <c r="V761" s="35">
        <f t="shared" si="634"/>
        <v>1.9251032590959284E-3</v>
      </c>
      <c r="W761" s="34">
        <f t="shared" si="635"/>
        <v>0</v>
      </c>
      <c r="X761" s="34">
        <f t="shared" si="636"/>
        <v>804274.04076965689</v>
      </c>
      <c r="Y761" s="36">
        <f t="shared" si="637"/>
        <v>2.1907201751543148E-3</v>
      </c>
      <c r="Z761" s="34">
        <f t="shared" si="638"/>
        <v>1761.9393674669714</v>
      </c>
      <c r="AA761" s="34">
        <f t="shared" si="639"/>
        <v>805155.01045339042</v>
      </c>
      <c r="AB761" s="34">
        <f t="shared" si="640"/>
        <v>0</v>
      </c>
      <c r="AC761" s="34">
        <f t="shared" si="641"/>
        <v>0</v>
      </c>
      <c r="AD761" s="34">
        <f t="shared" si="642"/>
        <v>0</v>
      </c>
      <c r="AE761" s="34">
        <f t="shared" si="643"/>
        <v>0</v>
      </c>
      <c r="AF761" s="34">
        <f t="shared" si="644"/>
        <v>0</v>
      </c>
      <c r="AG761" s="29">
        <f t="shared" si="645"/>
        <v>805155.01045339042</v>
      </c>
      <c r="AH761" s="34">
        <f t="shared" si="646"/>
        <v>0</v>
      </c>
      <c r="AI761" s="34">
        <f t="shared" si="647"/>
        <v>0</v>
      </c>
      <c r="AJ761" s="34">
        <f t="shared" si="648"/>
        <v>0</v>
      </c>
      <c r="AK761" s="34">
        <f t="shared" si="649"/>
        <v>0</v>
      </c>
      <c r="AL761" s="34">
        <f t="shared" si="650"/>
        <v>0</v>
      </c>
      <c r="AM761" s="34">
        <f t="shared" si="651"/>
        <v>0</v>
      </c>
      <c r="AN761" s="34">
        <f t="shared" si="652"/>
        <v>0</v>
      </c>
      <c r="AO761" s="34">
        <f t="shared" si="653"/>
        <v>0</v>
      </c>
      <c r="AP761" s="34">
        <f t="shared" si="654"/>
        <v>0</v>
      </c>
      <c r="AQ761" s="34">
        <f t="shared" si="655"/>
        <v>0</v>
      </c>
      <c r="AR761" s="34">
        <f t="shared" si="656"/>
        <v>0</v>
      </c>
      <c r="AS761" s="30">
        <f t="shared" si="657"/>
        <v>1.873297108568323</v>
      </c>
      <c r="AT761" s="29">
        <f t="shared" si="658"/>
        <v>0</v>
      </c>
      <c r="AU761" s="29">
        <f t="shared" si="659"/>
        <v>0</v>
      </c>
      <c r="AV761" s="34">
        <f t="shared" si="660"/>
        <v>0</v>
      </c>
      <c r="AW761" s="34">
        <f t="shared" si="661"/>
        <v>0</v>
      </c>
      <c r="AX761" s="29">
        <f t="shared" si="662"/>
        <v>0</v>
      </c>
      <c r="AY761" s="34">
        <f t="shared" si="663"/>
        <v>0</v>
      </c>
      <c r="AZ761" s="37">
        <f t="shared" si="664"/>
        <v>0</v>
      </c>
      <c r="BA761" s="37">
        <f t="shared" si="665"/>
        <v>0</v>
      </c>
      <c r="BB761" s="35">
        <f t="shared" si="666"/>
        <v>1.2768284607227454E-3</v>
      </c>
      <c r="BC761" s="31">
        <f t="shared" si="667"/>
        <v>0.38062425249447879</v>
      </c>
      <c r="BD761" s="34">
        <f t="shared" si="668"/>
        <v>0</v>
      </c>
    </row>
    <row r="762" spans="1:56" x14ac:dyDescent="0.2">
      <c r="A762" s="27">
        <f t="shared" si="669"/>
        <v>758</v>
      </c>
      <c r="B762" s="28">
        <f t="shared" si="616"/>
        <v>758</v>
      </c>
      <c r="C762" s="27">
        <f t="shared" si="617"/>
        <v>63</v>
      </c>
      <c r="D762" s="28">
        <f t="shared" si="618"/>
        <v>83</v>
      </c>
      <c r="E762" s="29">
        <f t="shared" si="619"/>
        <v>0</v>
      </c>
      <c r="F762" s="30">
        <f t="shared" si="620"/>
        <v>2.080015439954273E-2</v>
      </c>
      <c r="G762" s="31">
        <f t="shared" si="621"/>
        <v>1.7500938719053893E-3</v>
      </c>
      <c r="H762" s="32">
        <f t="shared" si="622"/>
        <v>0.02</v>
      </c>
      <c r="I762" s="32">
        <f t="shared" si="623"/>
        <v>0</v>
      </c>
      <c r="J762" s="33">
        <f t="shared" si="670"/>
        <v>0</v>
      </c>
      <c r="K762" s="30">
        <f t="shared" si="624"/>
        <v>0</v>
      </c>
      <c r="L762" s="33">
        <f t="shared" si="625"/>
        <v>0</v>
      </c>
      <c r="M762" s="30">
        <f t="shared" si="626"/>
        <v>0</v>
      </c>
      <c r="N762" s="33">
        <f t="shared" si="627"/>
        <v>0</v>
      </c>
      <c r="O762" s="31">
        <f t="shared" si="628"/>
        <v>0</v>
      </c>
      <c r="P762" s="33">
        <f t="shared" si="629"/>
        <v>0</v>
      </c>
      <c r="Q762" s="34">
        <f t="shared" si="671"/>
        <v>806035.98013712384</v>
      </c>
      <c r="R762" s="29">
        <f t="shared" si="630"/>
        <v>0</v>
      </c>
      <c r="S762" s="34">
        <f t="shared" si="631"/>
        <v>806035.98013712384</v>
      </c>
      <c r="T762" s="29">
        <f t="shared" si="632"/>
        <v>671.69665011426991</v>
      </c>
      <c r="U762" s="29">
        <f t="shared" si="633"/>
        <v>0</v>
      </c>
      <c r="V762" s="35">
        <f t="shared" si="634"/>
        <v>1.9251032590959284E-3</v>
      </c>
      <c r="W762" s="34">
        <f t="shared" si="635"/>
        <v>0</v>
      </c>
      <c r="X762" s="34">
        <f t="shared" si="636"/>
        <v>805364.28348700958</v>
      </c>
      <c r="Y762" s="36">
        <f t="shared" si="637"/>
        <v>-1.6696369187085724E-2</v>
      </c>
      <c r="Z762" s="34">
        <f t="shared" si="638"/>
        <v>-13446.659407191879</v>
      </c>
      <c r="AA762" s="34">
        <f t="shared" si="639"/>
        <v>798640.95378341363</v>
      </c>
      <c r="AB762" s="34">
        <f t="shared" si="640"/>
        <v>0</v>
      </c>
      <c r="AC762" s="34">
        <f t="shared" si="641"/>
        <v>0</v>
      </c>
      <c r="AD762" s="34">
        <f t="shared" si="642"/>
        <v>0</v>
      </c>
      <c r="AE762" s="34">
        <f t="shared" si="643"/>
        <v>0</v>
      </c>
      <c r="AF762" s="34">
        <f t="shared" si="644"/>
        <v>0</v>
      </c>
      <c r="AG762" s="29">
        <f t="shared" si="645"/>
        <v>798640.95378341363</v>
      </c>
      <c r="AH762" s="34">
        <f t="shared" si="646"/>
        <v>0</v>
      </c>
      <c r="AI762" s="34">
        <f t="shared" si="647"/>
        <v>0</v>
      </c>
      <c r="AJ762" s="34">
        <f t="shared" si="648"/>
        <v>0</v>
      </c>
      <c r="AK762" s="34">
        <f t="shared" si="649"/>
        <v>0</v>
      </c>
      <c r="AL762" s="34">
        <f t="shared" si="650"/>
        <v>0</v>
      </c>
      <c r="AM762" s="34">
        <f t="shared" si="651"/>
        <v>0</v>
      </c>
      <c r="AN762" s="34">
        <f t="shared" si="652"/>
        <v>0</v>
      </c>
      <c r="AO762" s="34">
        <f t="shared" si="653"/>
        <v>0</v>
      </c>
      <c r="AP762" s="34">
        <f t="shared" si="654"/>
        <v>0</v>
      </c>
      <c r="AQ762" s="34">
        <f t="shared" si="655"/>
        <v>0</v>
      </c>
      <c r="AR762" s="34">
        <f t="shared" si="656"/>
        <v>0</v>
      </c>
      <c r="AS762" s="30">
        <f t="shared" si="657"/>
        <v>1.8748510799193749</v>
      </c>
      <c r="AT762" s="29">
        <f t="shared" si="658"/>
        <v>0</v>
      </c>
      <c r="AU762" s="29">
        <f t="shared" si="659"/>
        <v>0</v>
      </c>
      <c r="AV762" s="34">
        <f t="shared" si="660"/>
        <v>0</v>
      </c>
      <c r="AW762" s="34">
        <f t="shared" si="661"/>
        <v>0</v>
      </c>
      <c r="AX762" s="29">
        <f t="shared" si="662"/>
        <v>0</v>
      </c>
      <c r="AY762" s="34">
        <f t="shared" si="663"/>
        <v>0</v>
      </c>
      <c r="AZ762" s="37">
        <f t="shared" si="664"/>
        <v>0</v>
      </c>
      <c r="BA762" s="37">
        <f t="shared" si="665"/>
        <v>0</v>
      </c>
      <c r="BB762" s="35">
        <f t="shared" si="666"/>
        <v>1.2768284607227454E-3</v>
      </c>
      <c r="BC762" s="31">
        <f t="shared" si="667"/>
        <v>0.38013888035301685</v>
      </c>
      <c r="BD762" s="34">
        <f t="shared" si="668"/>
        <v>0</v>
      </c>
    </row>
    <row r="763" spans="1:56" x14ac:dyDescent="0.2">
      <c r="A763" s="27">
        <f t="shared" si="669"/>
        <v>759</v>
      </c>
      <c r="B763" s="28">
        <f t="shared" si="616"/>
        <v>759</v>
      </c>
      <c r="C763" s="27">
        <f t="shared" si="617"/>
        <v>63</v>
      </c>
      <c r="D763" s="28">
        <f t="shared" si="618"/>
        <v>83</v>
      </c>
      <c r="E763" s="29">
        <f t="shared" si="619"/>
        <v>0</v>
      </c>
      <c r="F763" s="30">
        <f t="shared" si="620"/>
        <v>2.080015439954273E-2</v>
      </c>
      <c r="G763" s="31">
        <f t="shared" si="621"/>
        <v>1.7500938719053893E-3</v>
      </c>
      <c r="H763" s="32">
        <f t="shared" si="622"/>
        <v>0.02</v>
      </c>
      <c r="I763" s="32">
        <f t="shared" si="623"/>
        <v>0</v>
      </c>
      <c r="J763" s="33">
        <f t="shared" si="670"/>
        <v>0</v>
      </c>
      <c r="K763" s="30">
        <f t="shared" si="624"/>
        <v>0</v>
      </c>
      <c r="L763" s="33">
        <f t="shared" si="625"/>
        <v>0</v>
      </c>
      <c r="M763" s="30">
        <f t="shared" si="626"/>
        <v>0</v>
      </c>
      <c r="N763" s="33">
        <f t="shared" si="627"/>
        <v>0</v>
      </c>
      <c r="O763" s="31">
        <f t="shared" si="628"/>
        <v>0</v>
      </c>
      <c r="P763" s="33">
        <f t="shared" si="629"/>
        <v>0</v>
      </c>
      <c r="Q763" s="34">
        <f t="shared" si="671"/>
        <v>791917.62407981767</v>
      </c>
      <c r="R763" s="29">
        <f t="shared" si="630"/>
        <v>0</v>
      </c>
      <c r="S763" s="34">
        <f t="shared" si="631"/>
        <v>791917.62407981767</v>
      </c>
      <c r="T763" s="29">
        <f t="shared" si="632"/>
        <v>659.93135339984815</v>
      </c>
      <c r="U763" s="29">
        <f t="shared" si="633"/>
        <v>0</v>
      </c>
      <c r="V763" s="35">
        <f t="shared" si="634"/>
        <v>1.9251032590959284E-3</v>
      </c>
      <c r="W763" s="34">
        <f t="shared" si="635"/>
        <v>0</v>
      </c>
      <c r="X763" s="34">
        <f t="shared" si="636"/>
        <v>791257.69272641779</v>
      </c>
      <c r="Y763" s="36">
        <f t="shared" si="637"/>
        <v>1.6810959490898947E-2</v>
      </c>
      <c r="Z763" s="34">
        <f t="shared" si="638"/>
        <v>13301.801019285977</v>
      </c>
      <c r="AA763" s="34">
        <f t="shared" si="639"/>
        <v>797908.59323606081</v>
      </c>
      <c r="AB763" s="34">
        <f t="shared" si="640"/>
        <v>0</v>
      </c>
      <c r="AC763" s="34">
        <f t="shared" si="641"/>
        <v>0</v>
      </c>
      <c r="AD763" s="34">
        <f t="shared" si="642"/>
        <v>0</v>
      </c>
      <c r="AE763" s="34">
        <f t="shared" si="643"/>
        <v>0</v>
      </c>
      <c r="AF763" s="34">
        <f t="shared" si="644"/>
        <v>0</v>
      </c>
      <c r="AG763" s="29">
        <f t="shared" si="645"/>
        <v>797908.59323606081</v>
      </c>
      <c r="AH763" s="34">
        <f t="shared" si="646"/>
        <v>0</v>
      </c>
      <c r="AI763" s="34">
        <f t="shared" si="647"/>
        <v>0</v>
      </c>
      <c r="AJ763" s="34">
        <f t="shared" si="648"/>
        <v>0</v>
      </c>
      <c r="AK763" s="34">
        <f t="shared" si="649"/>
        <v>0</v>
      </c>
      <c r="AL763" s="34">
        <f t="shared" si="650"/>
        <v>0</v>
      </c>
      <c r="AM763" s="34">
        <f t="shared" si="651"/>
        <v>0</v>
      </c>
      <c r="AN763" s="34">
        <f t="shared" si="652"/>
        <v>0</v>
      </c>
      <c r="AO763" s="34">
        <f t="shared" si="653"/>
        <v>0</v>
      </c>
      <c r="AP763" s="34">
        <f t="shared" si="654"/>
        <v>0</v>
      </c>
      <c r="AQ763" s="34">
        <f t="shared" si="655"/>
        <v>0</v>
      </c>
      <c r="AR763" s="34">
        <f t="shared" si="656"/>
        <v>0</v>
      </c>
      <c r="AS763" s="30">
        <f t="shared" si="657"/>
        <v>1.8764063403488913</v>
      </c>
      <c r="AT763" s="29">
        <f t="shared" si="658"/>
        <v>0</v>
      </c>
      <c r="AU763" s="29">
        <f t="shared" si="659"/>
        <v>0</v>
      </c>
      <c r="AV763" s="34">
        <f t="shared" si="660"/>
        <v>0</v>
      </c>
      <c r="AW763" s="34">
        <f t="shared" si="661"/>
        <v>0</v>
      </c>
      <c r="AX763" s="29">
        <f t="shared" si="662"/>
        <v>0</v>
      </c>
      <c r="AY763" s="34">
        <f t="shared" si="663"/>
        <v>0</v>
      </c>
      <c r="AZ763" s="37">
        <f t="shared" si="664"/>
        <v>0</v>
      </c>
      <c r="BA763" s="37">
        <f t="shared" si="665"/>
        <v>0</v>
      </c>
      <c r="BB763" s="35">
        <f t="shared" si="666"/>
        <v>1.2768284607227454E-3</v>
      </c>
      <c r="BC763" s="31">
        <f t="shared" si="667"/>
        <v>0.37965412715823033</v>
      </c>
      <c r="BD763" s="34">
        <f t="shared" si="668"/>
        <v>0</v>
      </c>
    </row>
    <row r="764" spans="1:56" x14ac:dyDescent="0.2">
      <c r="A764" s="27">
        <f t="shared" si="669"/>
        <v>760</v>
      </c>
      <c r="B764" s="28">
        <f t="shared" si="616"/>
        <v>760</v>
      </c>
      <c r="C764" s="27">
        <f t="shared" si="617"/>
        <v>63</v>
      </c>
      <c r="D764" s="28">
        <f t="shared" si="618"/>
        <v>83</v>
      </c>
      <c r="E764" s="29">
        <f t="shared" si="619"/>
        <v>0</v>
      </c>
      <c r="F764" s="30">
        <f t="shared" si="620"/>
        <v>2.080015439954273E-2</v>
      </c>
      <c r="G764" s="31">
        <f t="shared" si="621"/>
        <v>1.7500938719053893E-3</v>
      </c>
      <c r="H764" s="32">
        <f t="shared" si="622"/>
        <v>0.02</v>
      </c>
      <c r="I764" s="32">
        <f t="shared" si="623"/>
        <v>0</v>
      </c>
      <c r="J764" s="33">
        <f t="shared" si="670"/>
        <v>0</v>
      </c>
      <c r="K764" s="30">
        <f t="shared" si="624"/>
        <v>0</v>
      </c>
      <c r="L764" s="33">
        <f t="shared" si="625"/>
        <v>0</v>
      </c>
      <c r="M764" s="30">
        <f t="shared" si="626"/>
        <v>0</v>
      </c>
      <c r="N764" s="33">
        <f t="shared" si="627"/>
        <v>0</v>
      </c>
      <c r="O764" s="31">
        <f t="shared" si="628"/>
        <v>0</v>
      </c>
      <c r="P764" s="33">
        <f t="shared" si="629"/>
        <v>0</v>
      </c>
      <c r="Q764" s="34">
        <f t="shared" si="671"/>
        <v>804559.49374570372</v>
      </c>
      <c r="R764" s="29">
        <f t="shared" si="630"/>
        <v>0</v>
      </c>
      <c r="S764" s="34">
        <f t="shared" si="631"/>
        <v>804559.49374570372</v>
      </c>
      <c r="T764" s="29">
        <f t="shared" si="632"/>
        <v>670.46624478808644</v>
      </c>
      <c r="U764" s="29">
        <f t="shared" si="633"/>
        <v>0</v>
      </c>
      <c r="V764" s="35">
        <f t="shared" si="634"/>
        <v>1.9251032590959284E-3</v>
      </c>
      <c r="W764" s="34">
        <f t="shared" si="635"/>
        <v>0</v>
      </c>
      <c r="X764" s="34">
        <f t="shared" si="636"/>
        <v>803889.02750091557</v>
      </c>
      <c r="Y764" s="36">
        <f t="shared" si="637"/>
        <v>1.7068359646018161E-2</v>
      </c>
      <c r="Z764" s="34">
        <f t="shared" si="638"/>
        <v>13721.067036873412</v>
      </c>
      <c r="AA764" s="34">
        <f t="shared" si="639"/>
        <v>810749.56101935229</v>
      </c>
      <c r="AB764" s="34">
        <f t="shared" si="640"/>
        <v>0</v>
      </c>
      <c r="AC764" s="34">
        <f t="shared" si="641"/>
        <v>0</v>
      </c>
      <c r="AD764" s="34">
        <f t="shared" si="642"/>
        <v>0</v>
      </c>
      <c r="AE764" s="34">
        <f t="shared" si="643"/>
        <v>0</v>
      </c>
      <c r="AF764" s="34">
        <f t="shared" si="644"/>
        <v>0</v>
      </c>
      <c r="AG764" s="29">
        <f t="shared" si="645"/>
        <v>810749.56101935229</v>
      </c>
      <c r="AH764" s="34">
        <f t="shared" si="646"/>
        <v>0</v>
      </c>
      <c r="AI764" s="34">
        <f t="shared" si="647"/>
        <v>0</v>
      </c>
      <c r="AJ764" s="34">
        <f t="shared" si="648"/>
        <v>0</v>
      </c>
      <c r="AK764" s="34">
        <f t="shared" si="649"/>
        <v>0</v>
      </c>
      <c r="AL764" s="34">
        <f t="shared" si="650"/>
        <v>0</v>
      </c>
      <c r="AM764" s="34">
        <f t="shared" si="651"/>
        <v>0</v>
      </c>
      <c r="AN764" s="34">
        <f t="shared" si="652"/>
        <v>0</v>
      </c>
      <c r="AO764" s="34">
        <f t="shared" si="653"/>
        <v>0</v>
      </c>
      <c r="AP764" s="34">
        <f t="shared" si="654"/>
        <v>0</v>
      </c>
      <c r="AQ764" s="34">
        <f t="shared" si="655"/>
        <v>0</v>
      </c>
      <c r="AR764" s="34">
        <f t="shared" si="656"/>
        <v>0</v>
      </c>
      <c r="AS764" s="30">
        <f t="shared" si="657"/>
        <v>1.8779628909262116</v>
      </c>
      <c r="AT764" s="29">
        <f t="shared" si="658"/>
        <v>0</v>
      </c>
      <c r="AU764" s="29">
        <f t="shared" si="659"/>
        <v>0</v>
      </c>
      <c r="AV764" s="34">
        <f t="shared" si="660"/>
        <v>0</v>
      </c>
      <c r="AW764" s="34">
        <f t="shared" si="661"/>
        <v>0</v>
      </c>
      <c r="AX764" s="29">
        <f t="shared" si="662"/>
        <v>0</v>
      </c>
      <c r="AY764" s="34">
        <f t="shared" si="663"/>
        <v>0</v>
      </c>
      <c r="AZ764" s="37">
        <f t="shared" si="664"/>
        <v>0</v>
      </c>
      <c r="BA764" s="37">
        <f t="shared" si="665"/>
        <v>0</v>
      </c>
      <c r="BB764" s="35">
        <f t="shared" si="666"/>
        <v>1.2768284607227454E-3</v>
      </c>
      <c r="BC764" s="31">
        <f t="shared" si="667"/>
        <v>0.37916999212083857</v>
      </c>
      <c r="BD764" s="34">
        <f t="shared" si="668"/>
        <v>0</v>
      </c>
    </row>
    <row r="765" spans="1:56" x14ac:dyDescent="0.2">
      <c r="A765" s="27">
        <f t="shared" si="669"/>
        <v>761</v>
      </c>
      <c r="B765" s="28">
        <f t="shared" si="616"/>
        <v>761</v>
      </c>
      <c r="C765" s="27">
        <f t="shared" si="617"/>
        <v>63</v>
      </c>
      <c r="D765" s="28">
        <f t="shared" si="618"/>
        <v>83</v>
      </c>
      <c r="E765" s="29">
        <f t="shared" si="619"/>
        <v>0</v>
      </c>
      <c r="F765" s="30">
        <f t="shared" si="620"/>
        <v>2.080015439954273E-2</v>
      </c>
      <c r="G765" s="31">
        <f t="shared" si="621"/>
        <v>1.7500938719053893E-3</v>
      </c>
      <c r="H765" s="32">
        <f t="shared" si="622"/>
        <v>0.02</v>
      </c>
      <c r="I765" s="32">
        <f t="shared" si="623"/>
        <v>0</v>
      </c>
      <c r="J765" s="33">
        <f t="shared" si="670"/>
        <v>0</v>
      </c>
      <c r="K765" s="30">
        <f t="shared" si="624"/>
        <v>0</v>
      </c>
      <c r="L765" s="33">
        <f t="shared" si="625"/>
        <v>0</v>
      </c>
      <c r="M765" s="30">
        <f t="shared" si="626"/>
        <v>0</v>
      </c>
      <c r="N765" s="33">
        <f t="shared" si="627"/>
        <v>0</v>
      </c>
      <c r="O765" s="31">
        <f t="shared" si="628"/>
        <v>0</v>
      </c>
      <c r="P765" s="33">
        <f t="shared" si="629"/>
        <v>0</v>
      </c>
      <c r="Q765" s="34">
        <f t="shared" si="671"/>
        <v>817610.094537789</v>
      </c>
      <c r="R765" s="29">
        <f t="shared" si="630"/>
        <v>0</v>
      </c>
      <c r="S765" s="34">
        <f t="shared" si="631"/>
        <v>817610.094537789</v>
      </c>
      <c r="T765" s="29">
        <f t="shared" si="632"/>
        <v>681.34174544815755</v>
      </c>
      <c r="U765" s="29">
        <f t="shared" si="633"/>
        <v>0</v>
      </c>
      <c r="V765" s="35">
        <f t="shared" si="634"/>
        <v>1.9251032590959284E-3</v>
      </c>
      <c r="W765" s="34">
        <f t="shared" si="635"/>
        <v>0</v>
      </c>
      <c r="X765" s="34">
        <f t="shared" si="636"/>
        <v>816928.75279234082</v>
      </c>
      <c r="Y765" s="36">
        <f t="shared" si="637"/>
        <v>-1.0054161915727056E-2</v>
      </c>
      <c r="Z765" s="34">
        <f t="shared" si="638"/>
        <v>-8213.5339541871563</v>
      </c>
      <c r="AA765" s="34">
        <f t="shared" si="639"/>
        <v>812821.98581524729</v>
      </c>
      <c r="AB765" s="34">
        <f t="shared" si="640"/>
        <v>0</v>
      </c>
      <c r="AC765" s="34">
        <f t="shared" si="641"/>
        <v>0</v>
      </c>
      <c r="AD765" s="34">
        <f t="shared" si="642"/>
        <v>0</v>
      </c>
      <c r="AE765" s="34">
        <f t="shared" si="643"/>
        <v>0</v>
      </c>
      <c r="AF765" s="34">
        <f t="shared" si="644"/>
        <v>0</v>
      </c>
      <c r="AG765" s="29">
        <f t="shared" si="645"/>
        <v>812821.98581524729</v>
      </c>
      <c r="AH765" s="34">
        <f t="shared" si="646"/>
        <v>0</v>
      </c>
      <c r="AI765" s="34">
        <f t="shared" si="647"/>
        <v>0</v>
      </c>
      <c r="AJ765" s="34">
        <f t="shared" si="648"/>
        <v>0</v>
      </c>
      <c r="AK765" s="34">
        <f t="shared" si="649"/>
        <v>0</v>
      </c>
      <c r="AL765" s="34">
        <f t="shared" si="650"/>
        <v>0</v>
      </c>
      <c r="AM765" s="34">
        <f t="shared" si="651"/>
        <v>0</v>
      </c>
      <c r="AN765" s="34">
        <f t="shared" si="652"/>
        <v>0</v>
      </c>
      <c r="AO765" s="34">
        <f t="shared" si="653"/>
        <v>0</v>
      </c>
      <c r="AP765" s="34">
        <f t="shared" si="654"/>
        <v>0</v>
      </c>
      <c r="AQ765" s="34">
        <f t="shared" si="655"/>
        <v>0</v>
      </c>
      <c r="AR765" s="34">
        <f t="shared" si="656"/>
        <v>0</v>
      </c>
      <c r="AS765" s="30">
        <f t="shared" si="657"/>
        <v>1.8795207327215626</v>
      </c>
      <c r="AT765" s="29">
        <f t="shared" si="658"/>
        <v>0</v>
      </c>
      <c r="AU765" s="29">
        <f t="shared" si="659"/>
        <v>0</v>
      </c>
      <c r="AV765" s="34">
        <f t="shared" si="660"/>
        <v>0</v>
      </c>
      <c r="AW765" s="34">
        <f t="shared" si="661"/>
        <v>0</v>
      </c>
      <c r="AX765" s="29">
        <f t="shared" si="662"/>
        <v>0</v>
      </c>
      <c r="AY765" s="34">
        <f t="shared" si="663"/>
        <v>0</v>
      </c>
      <c r="AZ765" s="37">
        <f t="shared" si="664"/>
        <v>0</v>
      </c>
      <c r="BA765" s="37">
        <f t="shared" si="665"/>
        <v>0</v>
      </c>
      <c r="BB765" s="35">
        <f t="shared" si="666"/>
        <v>1.2768284607227454E-3</v>
      </c>
      <c r="BC765" s="31">
        <f t="shared" si="667"/>
        <v>0.37868647445256676</v>
      </c>
      <c r="BD765" s="34">
        <f t="shared" si="668"/>
        <v>0</v>
      </c>
    </row>
    <row r="766" spans="1:56" x14ac:dyDescent="0.2">
      <c r="A766" s="27">
        <f t="shared" si="669"/>
        <v>762</v>
      </c>
      <c r="B766" s="28">
        <f t="shared" si="616"/>
        <v>762</v>
      </c>
      <c r="C766" s="27">
        <f t="shared" si="617"/>
        <v>63</v>
      </c>
      <c r="D766" s="28">
        <f t="shared" si="618"/>
        <v>83</v>
      </c>
      <c r="E766" s="29">
        <f t="shared" si="619"/>
        <v>0</v>
      </c>
      <c r="F766" s="30">
        <f t="shared" si="620"/>
        <v>2.080015439954273E-2</v>
      </c>
      <c r="G766" s="31">
        <f t="shared" si="621"/>
        <v>1.7500938719053893E-3</v>
      </c>
      <c r="H766" s="32">
        <f t="shared" si="622"/>
        <v>0.02</v>
      </c>
      <c r="I766" s="32">
        <f t="shared" si="623"/>
        <v>0</v>
      </c>
      <c r="J766" s="33">
        <f t="shared" si="670"/>
        <v>0</v>
      </c>
      <c r="K766" s="30">
        <f t="shared" si="624"/>
        <v>0</v>
      </c>
      <c r="L766" s="33">
        <f t="shared" si="625"/>
        <v>0</v>
      </c>
      <c r="M766" s="30">
        <f t="shared" si="626"/>
        <v>0</v>
      </c>
      <c r="N766" s="33">
        <f t="shared" si="627"/>
        <v>0</v>
      </c>
      <c r="O766" s="31">
        <f t="shared" si="628"/>
        <v>0</v>
      </c>
      <c r="P766" s="33">
        <f t="shared" si="629"/>
        <v>0</v>
      </c>
      <c r="Q766" s="34">
        <f t="shared" si="671"/>
        <v>808715.21883815364</v>
      </c>
      <c r="R766" s="29">
        <f t="shared" si="630"/>
        <v>0</v>
      </c>
      <c r="S766" s="34">
        <f t="shared" si="631"/>
        <v>808715.21883815364</v>
      </c>
      <c r="T766" s="29">
        <f t="shared" si="632"/>
        <v>673.9293490317948</v>
      </c>
      <c r="U766" s="29">
        <f t="shared" si="633"/>
        <v>0</v>
      </c>
      <c r="V766" s="35">
        <f t="shared" si="634"/>
        <v>1.9251032590959284E-3</v>
      </c>
      <c r="W766" s="34">
        <f t="shared" si="635"/>
        <v>0</v>
      </c>
      <c r="X766" s="34">
        <f t="shared" si="636"/>
        <v>808041.28948912187</v>
      </c>
      <c r="Y766" s="36">
        <f t="shared" si="637"/>
        <v>1.1150265249854074E-2</v>
      </c>
      <c r="Z766" s="34">
        <f t="shared" si="638"/>
        <v>9009.8747106378323</v>
      </c>
      <c r="AA766" s="34">
        <f t="shared" si="639"/>
        <v>812546.2268444408</v>
      </c>
      <c r="AB766" s="34">
        <f t="shared" si="640"/>
        <v>0</v>
      </c>
      <c r="AC766" s="34">
        <f t="shared" si="641"/>
        <v>0</v>
      </c>
      <c r="AD766" s="34">
        <f t="shared" si="642"/>
        <v>0</v>
      </c>
      <c r="AE766" s="34">
        <f t="shared" si="643"/>
        <v>0</v>
      </c>
      <c r="AF766" s="34">
        <f t="shared" si="644"/>
        <v>0</v>
      </c>
      <c r="AG766" s="29">
        <f t="shared" si="645"/>
        <v>812546.2268444408</v>
      </c>
      <c r="AH766" s="34">
        <f t="shared" si="646"/>
        <v>0</v>
      </c>
      <c r="AI766" s="34">
        <f t="shared" si="647"/>
        <v>0</v>
      </c>
      <c r="AJ766" s="34">
        <f t="shared" si="648"/>
        <v>0</v>
      </c>
      <c r="AK766" s="34">
        <f t="shared" si="649"/>
        <v>0</v>
      </c>
      <c r="AL766" s="34">
        <f t="shared" si="650"/>
        <v>0</v>
      </c>
      <c r="AM766" s="34">
        <f t="shared" si="651"/>
        <v>0</v>
      </c>
      <c r="AN766" s="34">
        <f t="shared" si="652"/>
        <v>0</v>
      </c>
      <c r="AO766" s="34">
        <f t="shared" si="653"/>
        <v>0</v>
      </c>
      <c r="AP766" s="34">
        <f t="shared" si="654"/>
        <v>0</v>
      </c>
      <c r="AQ766" s="34">
        <f t="shared" si="655"/>
        <v>0</v>
      </c>
      <c r="AR766" s="34">
        <f t="shared" si="656"/>
        <v>0</v>
      </c>
      <c r="AS766" s="30">
        <f t="shared" si="657"/>
        <v>1.8810798668060593</v>
      </c>
      <c r="AT766" s="29">
        <f t="shared" si="658"/>
        <v>0</v>
      </c>
      <c r="AU766" s="29">
        <f t="shared" si="659"/>
        <v>0</v>
      </c>
      <c r="AV766" s="34">
        <f t="shared" si="660"/>
        <v>0</v>
      </c>
      <c r="AW766" s="34">
        <f t="shared" si="661"/>
        <v>0</v>
      </c>
      <c r="AX766" s="29">
        <f t="shared" si="662"/>
        <v>0</v>
      </c>
      <c r="AY766" s="34">
        <f t="shared" si="663"/>
        <v>0</v>
      </c>
      <c r="AZ766" s="37">
        <f t="shared" si="664"/>
        <v>0</v>
      </c>
      <c r="BA766" s="37">
        <f t="shared" si="665"/>
        <v>0</v>
      </c>
      <c r="BB766" s="35">
        <f t="shared" si="666"/>
        <v>1.2768284607227454E-3</v>
      </c>
      <c r="BC766" s="31">
        <f t="shared" si="667"/>
        <v>0.37820357336614591</v>
      </c>
      <c r="BD766" s="34">
        <f t="shared" si="668"/>
        <v>0</v>
      </c>
    </row>
    <row r="767" spans="1:56" x14ac:dyDescent="0.2">
      <c r="A767" s="27">
        <f t="shared" si="669"/>
        <v>763</v>
      </c>
      <c r="B767" s="28">
        <f t="shared" si="616"/>
        <v>763</v>
      </c>
      <c r="C767" s="27">
        <f t="shared" si="617"/>
        <v>63</v>
      </c>
      <c r="D767" s="28">
        <f t="shared" si="618"/>
        <v>83</v>
      </c>
      <c r="E767" s="29">
        <f t="shared" si="619"/>
        <v>0</v>
      </c>
      <c r="F767" s="30">
        <f t="shared" si="620"/>
        <v>2.080015439954273E-2</v>
      </c>
      <c r="G767" s="31">
        <f t="shared" si="621"/>
        <v>1.7500938719053893E-3</v>
      </c>
      <c r="H767" s="32">
        <f t="shared" si="622"/>
        <v>0.02</v>
      </c>
      <c r="I767" s="32">
        <f t="shared" si="623"/>
        <v>0</v>
      </c>
      <c r="J767" s="33">
        <f t="shared" si="670"/>
        <v>0</v>
      </c>
      <c r="K767" s="30">
        <f t="shared" si="624"/>
        <v>0</v>
      </c>
      <c r="L767" s="33">
        <f t="shared" si="625"/>
        <v>0</v>
      </c>
      <c r="M767" s="30">
        <f t="shared" si="626"/>
        <v>0</v>
      </c>
      <c r="N767" s="33">
        <f t="shared" si="627"/>
        <v>0</v>
      </c>
      <c r="O767" s="31">
        <f t="shared" si="628"/>
        <v>0</v>
      </c>
      <c r="P767" s="33">
        <f t="shared" si="629"/>
        <v>0</v>
      </c>
      <c r="Q767" s="34">
        <f t="shared" si="671"/>
        <v>817051.16419975972</v>
      </c>
      <c r="R767" s="29">
        <f t="shared" si="630"/>
        <v>0</v>
      </c>
      <c r="S767" s="34">
        <f t="shared" si="631"/>
        <v>817051.16419975972</v>
      </c>
      <c r="T767" s="29">
        <f t="shared" si="632"/>
        <v>680.87597016646646</v>
      </c>
      <c r="U767" s="29">
        <f t="shared" si="633"/>
        <v>0</v>
      </c>
      <c r="V767" s="35">
        <f t="shared" si="634"/>
        <v>1.9251032590959284E-3</v>
      </c>
      <c r="W767" s="34">
        <f t="shared" si="635"/>
        <v>0</v>
      </c>
      <c r="X767" s="34">
        <f t="shared" si="636"/>
        <v>816370.28822959331</v>
      </c>
      <c r="Y767" s="36">
        <f t="shared" si="637"/>
        <v>-4.5652098093329485E-3</v>
      </c>
      <c r="Z767" s="34">
        <f t="shared" si="638"/>
        <v>-3726.9016478737058</v>
      </c>
      <c r="AA767" s="34">
        <f t="shared" si="639"/>
        <v>814506.83740565646</v>
      </c>
      <c r="AB767" s="34">
        <f t="shared" si="640"/>
        <v>0</v>
      </c>
      <c r="AC767" s="34">
        <f t="shared" si="641"/>
        <v>0</v>
      </c>
      <c r="AD767" s="34">
        <f t="shared" si="642"/>
        <v>0</v>
      </c>
      <c r="AE767" s="34">
        <f t="shared" si="643"/>
        <v>0</v>
      </c>
      <c r="AF767" s="34">
        <f t="shared" si="644"/>
        <v>0</v>
      </c>
      <c r="AG767" s="29">
        <f t="shared" si="645"/>
        <v>814506.83740565646</v>
      </c>
      <c r="AH767" s="34">
        <f t="shared" si="646"/>
        <v>0</v>
      </c>
      <c r="AI767" s="34">
        <f t="shared" si="647"/>
        <v>0</v>
      </c>
      <c r="AJ767" s="34">
        <f t="shared" si="648"/>
        <v>0</v>
      </c>
      <c r="AK767" s="34">
        <f t="shared" si="649"/>
        <v>0</v>
      </c>
      <c r="AL767" s="34">
        <f t="shared" si="650"/>
        <v>0</v>
      </c>
      <c r="AM767" s="34">
        <f t="shared" si="651"/>
        <v>0</v>
      </c>
      <c r="AN767" s="34">
        <f t="shared" si="652"/>
        <v>0</v>
      </c>
      <c r="AO767" s="34">
        <f t="shared" si="653"/>
        <v>0</v>
      </c>
      <c r="AP767" s="34">
        <f t="shared" si="654"/>
        <v>0</v>
      </c>
      <c r="AQ767" s="34">
        <f t="shared" si="655"/>
        <v>0</v>
      </c>
      <c r="AR767" s="34">
        <f t="shared" si="656"/>
        <v>0</v>
      </c>
      <c r="AS767" s="30">
        <f t="shared" si="657"/>
        <v>1.8826402942517044</v>
      </c>
      <c r="AT767" s="29">
        <f t="shared" si="658"/>
        <v>0</v>
      </c>
      <c r="AU767" s="29">
        <f t="shared" si="659"/>
        <v>0</v>
      </c>
      <c r="AV767" s="34">
        <f t="shared" si="660"/>
        <v>0</v>
      </c>
      <c r="AW767" s="34">
        <f t="shared" si="661"/>
        <v>0</v>
      </c>
      <c r="AX767" s="29">
        <f t="shared" si="662"/>
        <v>0</v>
      </c>
      <c r="AY767" s="34">
        <f t="shared" si="663"/>
        <v>0</v>
      </c>
      <c r="AZ767" s="37">
        <f t="shared" si="664"/>
        <v>0</v>
      </c>
      <c r="BA767" s="37">
        <f t="shared" si="665"/>
        <v>0</v>
      </c>
      <c r="BB767" s="35">
        <f t="shared" si="666"/>
        <v>1.2768284607227454E-3</v>
      </c>
      <c r="BC767" s="31">
        <f t="shared" si="667"/>
        <v>0.37772128807531036</v>
      </c>
      <c r="BD767" s="34">
        <f t="shared" si="668"/>
        <v>0</v>
      </c>
    </row>
    <row r="768" spans="1:56" x14ac:dyDescent="0.2">
      <c r="A768" s="27">
        <f t="shared" si="669"/>
        <v>764</v>
      </c>
      <c r="B768" s="28">
        <f t="shared" si="616"/>
        <v>764</v>
      </c>
      <c r="C768" s="27">
        <f t="shared" si="617"/>
        <v>63</v>
      </c>
      <c r="D768" s="28">
        <f t="shared" si="618"/>
        <v>83</v>
      </c>
      <c r="E768" s="29">
        <f t="shared" si="619"/>
        <v>0</v>
      </c>
      <c r="F768" s="30">
        <f t="shared" si="620"/>
        <v>2.080015439954273E-2</v>
      </c>
      <c r="G768" s="31">
        <f t="shared" si="621"/>
        <v>1.7500938719053893E-3</v>
      </c>
      <c r="H768" s="32">
        <f t="shared" si="622"/>
        <v>0.02</v>
      </c>
      <c r="I768" s="32">
        <f t="shared" si="623"/>
        <v>0</v>
      </c>
      <c r="J768" s="33">
        <f t="shared" si="670"/>
        <v>0</v>
      </c>
      <c r="K768" s="30">
        <f t="shared" si="624"/>
        <v>0</v>
      </c>
      <c r="L768" s="33">
        <f t="shared" si="625"/>
        <v>0</v>
      </c>
      <c r="M768" s="30">
        <f t="shared" si="626"/>
        <v>0</v>
      </c>
      <c r="N768" s="33">
        <f t="shared" si="627"/>
        <v>0</v>
      </c>
      <c r="O768" s="31">
        <f t="shared" si="628"/>
        <v>0</v>
      </c>
      <c r="P768" s="33">
        <f t="shared" si="629"/>
        <v>0</v>
      </c>
      <c r="Q768" s="34">
        <f t="shared" si="671"/>
        <v>812643.38658171962</v>
      </c>
      <c r="R768" s="29">
        <f t="shared" si="630"/>
        <v>0</v>
      </c>
      <c r="S768" s="34">
        <f t="shared" si="631"/>
        <v>812643.38658171962</v>
      </c>
      <c r="T768" s="29">
        <f t="shared" si="632"/>
        <v>677.20282215143311</v>
      </c>
      <c r="U768" s="29">
        <f t="shared" si="633"/>
        <v>0</v>
      </c>
      <c r="V768" s="35">
        <f t="shared" si="634"/>
        <v>1.9251032590959284E-3</v>
      </c>
      <c r="W768" s="34">
        <f t="shared" si="635"/>
        <v>0</v>
      </c>
      <c r="X768" s="34">
        <f t="shared" si="636"/>
        <v>811966.18375956814</v>
      </c>
      <c r="Y768" s="36">
        <f t="shared" si="637"/>
        <v>9.4000366253681467E-3</v>
      </c>
      <c r="Z768" s="34">
        <f t="shared" si="638"/>
        <v>7632.5118659003438</v>
      </c>
      <c r="AA768" s="34">
        <f t="shared" si="639"/>
        <v>815782.43969251832</v>
      </c>
      <c r="AB768" s="34">
        <f t="shared" si="640"/>
        <v>0</v>
      </c>
      <c r="AC768" s="34">
        <f t="shared" si="641"/>
        <v>0</v>
      </c>
      <c r="AD768" s="34">
        <f t="shared" si="642"/>
        <v>0</v>
      </c>
      <c r="AE768" s="34">
        <f t="shared" si="643"/>
        <v>0</v>
      </c>
      <c r="AF768" s="34">
        <f t="shared" si="644"/>
        <v>0</v>
      </c>
      <c r="AG768" s="29">
        <f t="shared" si="645"/>
        <v>815782.43969251832</v>
      </c>
      <c r="AH768" s="34">
        <f t="shared" si="646"/>
        <v>0</v>
      </c>
      <c r="AI768" s="34">
        <f t="shared" si="647"/>
        <v>0</v>
      </c>
      <c r="AJ768" s="34">
        <f t="shared" si="648"/>
        <v>0</v>
      </c>
      <c r="AK768" s="34">
        <f t="shared" si="649"/>
        <v>0</v>
      </c>
      <c r="AL768" s="34">
        <f t="shared" si="650"/>
        <v>0</v>
      </c>
      <c r="AM768" s="34">
        <f t="shared" si="651"/>
        <v>0</v>
      </c>
      <c r="AN768" s="34">
        <f t="shared" si="652"/>
        <v>0</v>
      </c>
      <c r="AO768" s="34">
        <f t="shared" si="653"/>
        <v>0</v>
      </c>
      <c r="AP768" s="34">
        <f t="shared" si="654"/>
        <v>0</v>
      </c>
      <c r="AQ768" s="34">
        <f t="shared" si="655"/>
        <v>0</v>
      </c>
      <c r="AR768" s="34">
        <f t="shared" si="656"/>
        <v>0</v>
      </c>
      <c r="AS768" s="30">
        <f t="shared" si="657"/>
        <v>1.8842020161313902</v>
      </c>
      <c r="AT768" s="29">
        <f t="shared" si="658"/>
        <v>0</v>
      </c>
      <c r="AU768" s="29">
        <f t="shared" si="659"/>
        <v>0</v>
      </c>
      <c r="AV768" s="34">
        <f t="shared" si="660"/>
        <v>0</v>
      </c>
      <c r="AW768" s="34">
        <f t="shared" si="661"/>
        <v>0</v>
      </c>
      <c r="AX768" s="29">
        <f t="shared" si="662"/>
        <v>0</v>
      </c>
      <c r="AY768" s="34">
        <f t="shared" si="663"/>
        <v>0</v>
      </c>
      <c r="AZ768" s="37">
        <f t="shared" si="664"/>
        <v>0</v>
      </c>
      <c r="BA768" s="37">
        <f t="shared" si="665"/>
        <v>0</v>
      </c>
      <c r="BB768" s="35">
        <f t="shared" si="666"/>
        <v>1.2768284607227454E-3</v>
      </c>
      <c r="BC768" s="31">
        <f t="shared" si="667"/>
        <v>0.37723961779479792</v>
      </c>
      <c r="BD768" s="34">
        <f t="shared" si="668"/>
        <v>0</v>
      </c>
    </row>
    <row r="769" spans="1:56" x14ac:dyDescent="0.2">
      <c r="A769" s="27">
        <f t="shared" si="669"/>
        <v>765</v>
      </c>
      <c r="B769" s="28">
        <f t="shared" si="616"/>
        <v>765</v>
      </c>
      <c r="C769" s="27">
        <f t="shared" si="617"/>
        <v>63</v>
      </c>
      <c r="D769" s="28">
        <f t="shared" si="618"/>
        <v>83</v>
      </c>
      <c r="E769" s="29">
        <f t="shared" si="619"/>
        <v>0</v>
      </c>
      <c r="F769" s="30">
        <f t="shared" si="620"/>
        <v>2.080015439954273E-2</v>
      </c>
      <c r="G769" s="31">
        <f t="shared" si="621"/>
        <v>1.7500938719053893E-3</v>
      </c>
      <c r="H769" s="32">
        <f t="shared" si="622"/>
        <v>0.02</v>
      </c>
      <c r="I769" s="32">
        <f t="shared" si="623"/>
        <v>0</v>
      </c>
      <c r="J769" s="33">
        <f t="shared" si="670"/>
        <v>0</v>
      </c>
      <c r="K769" s="30">
        <f t="shared" si="624"/>
        <v>0</v>
      </c>
      <c r="L769" s="33">
        <f t="shared" si="625"/>
        <v>0</v>
      </c>
      <c r="M769" s="30">
        <f t="shared" si="626"/>
        <v>0</v>
      </c>
      <c r="N769" s="33">
        <f t="shared" si="627"/>
        <v>0</v>
      </c>
      <c r="O769" s="31">
        <f t="shared" si="628"/>
        <v>0</v>
      </c>
      <c r="P769" s="33">
        <f t="shared" si="629"/>
        <v>0</v>
      </c>
      <c r="Q769" s="34">
        <f t="shared" si="671"/>
        <v>819598.69562546851</v>
      </c>
      <c r="R769" s="29">
        <f t="shared" si="630"/>
        <v>0</v>
      </c>
      <c r="S769" s="34">
        <f t="shared" si="631"/>
        <v>819598.69562546851</v>
      </c>
      <c r="T769" s="29">
        <f t="shared" si="632"/>
        <v>682.99891302122376</v>
      </c>
      <c r="U769" s="29">
        <f t="shared" si="633"/>
        <v>0</v>
      </c>
      <c r="V769" s="35">
        <f t="shared" si="634"/>
        <v>1.9251032590959284E-3</v>
      </c>
      <c r="W769" s="34">
        <f t="shared" si="635"/>
        <v>0</v>
      </c>
      <c r="X769" s="34">
        <f t="shared" si="636"/>
        <v>818915.69671244733</v>
      </c>
      <c r="Y769" s="36">
        <f t="shared" si="637"/>
        <v>1.0133768100083262E-2</v>
      </c>
      <c r="Z769" s="34">
        <f t="shared" si="638"/>
        <v>8298.7017640020586</v>
      </c>
      <c r="AA769" s="34">
        <f t="shared" si="639"/>
        <v>823065.04759444832</v>
      </c>
      <c r="AB769" s="34">
        <f t="shared" si="640"/>
        <v>0</v>
      </c>
      <c r="AC769" s="34">
        <f t="shared" si="641"/>
        <v>0</v>
      </c>
      <c r="AD769" s="34">
        <f t="shared" si="642"/>
        <v>0</v>
      </c>
      <c r="AE769" s="34">
        <f t="shared" si="643"/>
        <v>0</v>
      </c>
      <c r="AF769" s="34">
        <f t="shared" si="644"/>
        <v>0</v>
      </c>
      <c r="AG769" s="29">
        <f t="shared" si="645"/>
        <v>823065.04759444832</v>
      </c>
      <c r="AH769" s="34">
        <f t="shared" si="646"/>
        <v>0</v>
      </c>
      <c r="AI769" s="34">
        <f t="shared" si="647"/>
        <v>0</v>
      </c>
      <c r="AJ769" s="34">
        <f t="shared" si="648"/>
        <v>0</v>
      </c>
      <c r="AK769" s="34">
        <f t="shared" si="649"/>
        <v>0</v>
      </c>
      <c r="AL769" s="34">
        <f t="shared" si="650"/>
        <v>0</v>
      </c>
      <c r="AM769" s="34">
        <f t="shared" si="651"/>
        <v>0</v>
      </c>
      <c r="AN769" s="34">
        <f t="shared" si="652"/>
        <v>0</v>
      </c>
      <c r="AO769" s="34">
        <f t="shared" si="653"/>
        <v>0</v>
      </c>
      <c r="AP769" s="34">
        <f t="shared" si="654"/>
        <v>0</v>
      </c>
      <c r="AQ769" s="34">
        <f t="shared" si="655"/>
        <v>0</v>
      </c>
      <c r="AR769" s="34">
        <f t="shared" si="656"/>
        <v>0</v>
      </c>
      <c r="AS769" s="30">
        <f t="shared" si="657"/>
        <v>1.8857650335188991</v>
      </c>
      <c r="AT769" s="29">
        <f t="shared" si="658"/>
        <v>0</v>
      </c>
      <c r="AU769" s="29">
        <f t="shared" si="659"/>
        <v>0</v>
      </c>
      <c r="AV769" s="34">
        <f t="shared" si="660"/>
        <v>0</v>
      </c>
      <c r="AW769" s="34">
        <f t="shared" si="661"/>
        <v>0</v>
      </c>
      <c r="AX769" s="29">
        <f t="shared" si="662"/>
        <v>0</v>
      </c>
      <c r="AY769" s="34">
        <f t="shared" si="663"/>
        <v>0</v>
      </c>
      <c r="AZ769" s="37">
        <f t="shared" si="664"/>
        <v>0</v>
      </c>
      <c r="BA769" s="37">
        <f t="shared" si="665"/>
        <v>0</v>
      </c>
      <c r="BB769" s="35">
        <f t="shared" si="666"/>
        <v>1.2768284607227454E-3</v>
      </c>
      <c r="BC769" s="31">
        <f t="shared" si="667"/>
        <v>0.37675856174034678</v>
      </c>
      <c r="BD769" s="34">
        <f t="shared" si="668"/>
        <v>0</v>
      </c>
    </row>
    <row r="770" spans="1:56" x14ac:dyDescent="0.2">
      <c r="A770" s="27">
        <f t="shared" si="669"/>
        <v>766</v>
      </c>
      <c r="B770" s="28">
        <f t="shared" si="616"/>
        <v>766</v>
      </c>
      <c r="C770" s="27">
        <f t="shared" si="617"/>
        <v>63</v>
      </c>
      <c r="D770" s="28">
        <f t="shared" si="618"/>
        <v>83</v>
      </c>
      <c r="E770" s="29">
        <f t="shared" si="619"/>
        <v>0</v>
      </c>
      <c r="F770" s="30">
        <f t="shared" si="620"/>
        <v>2.080015439954273E-2</v>
      </c>
      <c r="G770" s="31">
        <f t="shared" si="621"/>
        <v>1.7500938719053893E-3</v>
      </c>
      <c r="H770" s="32">
        <f t="shared" si="622"/>
        <v>0.02</v>
      </c>
      <c r="I770" s="32">
        <f t="shared" si="623"/>
        <v>0</v>
      </c>
      <c r="J770" s="33">
        <f t="shared" si="670"/>
        <v>0</v>
      </c>
      <c r="K770" s="30">
        <f t="shared" si="624"/>
        <v>0</v>
      </c>
      <c r="L770" s="33">
        <f t="shared" si="625"/>
        <v>0</v>
      </c>
      <c r="M770" s="30">
        <f t="shared" si="626"/>
        <v>0</v>
      </c>
      <c r="N770" s="33">
        <f t="shared" si="627"/>
        <v>0</v>
      </c>
      <c r="O770" s="31">
        <f t="shared" si="628"/>
        <v>0</v>
      </c>
      <c r="P770" s="33">
        <f t="shared" si="629"/>
        <v>0</v>
      </c>
      <c r="Q770" s="34">
        <f t="shared" si="671"/>
        <v>827214.39847644942</v>
      </c>
      <c r="R770" s="29">
        <f t="shared" si="630"/>
        <v>0</v>
      </c>
      <c r="S770" s="34">
        <f t="shared" si="631"/>
        <v>827214.39847644942</v>
      </c>
      <c r="T770" s="29">
        <f t="shared" si="632"/>
        <v>689.34533206370793</v>
      </c>
      <c r="U770" s="29">
        <f t="shared" si="633"/>
        <v>0</v>
      </c>
      <c r="V770" s="35">
        <f t="shared" si="634"/>
        <v>1.9251032590959284E-3</v>
      </c>
      <c r="W770" s="34">
        <f t="shared" si="635"/>
        <v>0</v>
      </c>
      <c r="X770" s="34">
        <f t="shared" si="636"/>
        <v>826525.05314438569</v>
      </c>
      <c r="Y770" s="36">
        <f t="shared" si="637"/>
        <v>1.4682702718985308E-2</v>
      </c>
      <c r="Z770" s="34">
        <f t="shared" si="638"/>
        <v>12135.621645112547</v>
      </c>
      <c r="AA770" s="34">
        <f t="shared" si="639"/>
        <v>832592.86396694195</v>
      </c>
      <c r="AB770" s="34">
        <f t="shared" si="640"/>
        <v>0</v>
      </c>
      <c r="AC770" s="34">
        <f t="shared" si="641"/>
        <v>0</v>
      </c>
      <c r="AD770" s="34">
        <f t="shared" si="642"/>
        <v>0</v>
      </c>
      <c r="AE770" s="34">
        <f t="shared" si="643"/>
        <v>0</v>
      </c>
      <c r="AF770" s="34">
        <f t="shared" si="644"/>
        <v>0</v>
      </c>
      <c r="AG770" s="29">
        <f t="shared" si="645"/>
        <v>832592.86396694195</v>
      </c>
      <c r="AH770" s="34">
        <f t="shared" si="646"/>
        <v>0</v>
      </c>
      <c r="AI770" s="34">
        <f t="shared" si="647"/>
        <v>0</v>
      </c>
      <c r="AJ770" s="34">
        <f t="shared" si="648"/>
        <v>0</v>
      </c>
      <c r="AK770" s="34">
        <f t="shared" si="649"/>
        <v>0</v>
      </c>
      <c r="AL770" s="34">
        <f t="shared" si="650"/>
        <v>0</v>
      </c>
      <c r="AM770" s="34">
        <f t="shared" si="651"/>
        <v>0</v>
      </c>
      <c r="AN770" s="34">
        <f t="shared" si="652"/>
        <v>0</v>
      </c>
      <c r="AO770" s="34">
        <f t="shared" si="653"/>
        <v>0</v>
      </c>
      <c r="AP770" s="34">
        <f t="shared" si="654"/>
        <v>0</v>
      </c>
      <c r="AQ770" s="34">
        <f t="shared" si="655"/>
        <v>0</v>
      </c>
      <c r="AR770" s="34">
        <f t="shared" si="656"/>
        <v>0</v>
      </c>
      <c r="AS770" s="30">
        <f t="shared" si="657"/>
        <v>1.8873293474889044</v>
      </c>
      <c r="AT770" s="29">
        <f t="shared" si="658"/>
        <v>0</v>
      </c>
      <c r="AU770" s="29">
        <f t="shared" si="659"/>
        <v>0</v>
      </c>
      <c r="AV770" s="34">
        <f t="shared" si="660"/>
        <v>0</v>
      </c>
      <c r="AW770" s="34">
        <f t="shared" si="661"/>
        <v>0</v>
      </c>
      <c r="AX770" s="29">
        <f t="shared" si="662"/>
        <v>0</v>
      </c>
      <c r="AY770" s="34">
        <f t="shared" si="663"/>
        <v>0</v>
      </c>
      <c r="AZ770" s="37">
        <f t="shared" si="664"/>
        <v>0</v>
      </c>
      <c r="BA770" s="37">
        <f t="shared" si="665"/>
        <v>0</v>
      </c>
      <c r="BB770" s="35">
        <f t="shared" si="666"/>
        <v>1.2768284607227454E-3</v>
      </c>
      <c r="BC770" s="31">
        <f t="shared" si="667"/>
        <v>0.37627811912869613</v>
      </c>
      <c r="BD770" s="34">
        <f t="shared" si="668"/>
        <v>0</v>
      </c>
    </row>
    <row r="771" spans="1:56" x14ac:dyDescent="0.2">
      <c r="A771" s="27">
        <f t="shared" si="669"/>
        <v>767</v>
      </c>
      <c r="B771" s="28">
        <f t="shared" si="616"/>
        <v>767</v>
      </c>
      <c r="C771" s="27">
        <f t="shared" si="617"/>
        <v>63</v>
      </c>
      <c r="D771" s="28">
        <f t="shared" si="618"/>
        <v>83</v>
      </c>
      <c r="E771" s="29">
        <f t="shared" si="619"/>
        <v>0</v>
      </c>
      <c r="F771" s="30">
        <f t="shared" si="620"/>
        <v>2.080015439954273E-2</v>
      </c>
      <c r="G771" s="31">
        <f t="shared" si="621"/>
        <v>1.7500938719053893E-3</v>
      </c>
      <c r="H771" s="32">
        <f t="shared" si="622"/>
        <v>0.02</v>
      </c>
      <c r="I771" s="32">
        <f t="shared" si="623"/>
        <v>0</v>
      </c>
      <c r="J771" s="33">
        <f t="shared" si="670"/>
        <v>0</v>
      </c>
      <c r="K771" s="30">
        <f t="shared" si="624"/>
        <v>0</v>
      </c>
      <c r="L771" s="33">
        <f t="shared" si="625"/>
        <v>0</v>
      </c>
      <c r="M771" s="30">
        <f t="shared" si="626"/>
        <v>0</v>
      </c>
      <c r="N771" s="33">
        <f t="shared" si="627"/>
        <v>0</v>
      </c>
      <c r="O771" s="31">
        <f t="shared" si="628"/>
        <v>0</v>
      </c>
      <c r="P771" s="33">
        <f t="shared" si="629"/>
        <v>0</v>
      </c>
      <c r="Q771" s="34">
        <f t="shared" si="671"/>
        <v>838660.67478949821</v>
      </c>
      <c r="R771" s="29">
        <f t="shared" si="630"/>
        <v>0</v>
      </c>
      <c r="S771" s="34">
        <f t="shared" si="631"/>
        <v>838660.67478949821</v>
      </c>
      <c r="T771" s="29">
        <f t="shared" si="632"/>
        <v>698.88389565791522</v>
      </c>
      <c r="U771" s="29">
        <f t="shared" si="633"/>
        <v>0</v>
      </c>
      <c r="V771" s="35">
        <f t="shared" si="634"/>
        <v>1.9251032590959284E-3</v>
      </c>
      <c r="W771" s="34">
        <f t="shared" si="635"/>
        <v>0</v>
      </c>
      <c r="X771" s="34">
        <f t="shared" si="636"/>
        <v>837961.79089384025</v>
      </c>
      <c r="Y771" s="36">
        <f t="shared" si="637"/>
        <v>-9.8436964581410935E-3</v>
      </c>
      <c r="Z771" s="34">
        <f t="shared" si="638"/>
        <v>-8248.6415130792629</v>
      </c>
      <c r="AA771" s="34">
        <f t="shared" si="639"/>
        <v>833837.47013730067</v>
      </c>
      <c r="AB771" s="34">
        <f t="shared" si="640"/>
        <v>0</v>
      </c>
      <c r="AC771" s="34">
        <f t="shared" si="641"/>
        <v>0</v>
      </c>
      <c r="AD771" s="34">
        <f t="shared" si="642"/>
        <v>0</v>
      </c>
      <c r="AE771" s="34">
        <f t="shared" si="643"/>
        <v>0</v>
      </c>
      <c r="AF771" s="34">
        <f t="shared" si="644"/>
        <v>0</v>
      </c>
      <c r="AG771" s="29">
        <f t="shared" si="645"/>
        <v>833837.47013730067</v>
      </c>
      <c r="AH771" s="34">
        <f t="shared" si="646"/>
        <v>0</v>
      </c>
      <c r="AI771" s="34">
        <f t="shared" si="647"/>
        <v>0</v>
      </c>
      <c r="AJ771" s="34">
        <f t="shared" si="648"/>
        <v>0</v>
      </c>
      <c r="AK771" s="34">
        <f t="shared" si="649"/>
        <v>0</v>
      </c>
      <c r="AL771" s="34">
        <f t="shared" si="650"/>
        <v>0</v>
      </c>
      <c r="AM771" s="34">
        <f t="shared" si="651"/>
        <v>0</v>
      </c>
      <c r="AN771" s="34">
        <f t="shared" si="652"/>
        <v>0</v>
      </c>
      <c r="AO771" s="34">
        <f t="shared" si="653"/>
        <v>0</v>
      </c>
      <c r="AP771" s="34">
        <f t="shared" si="654"/>
        <v>0</v>
      </c>
      <c r="AQ771" s="34">
        <f t="shared" si="655"/>
        <v>0</v>
      </c>
      <c r="AR771" s="34">
        <f t="shared" si="656"/>
        <v>0</v>
      </c>
      <c r="AS771" s="30">
        <f t="shared" si="657"/>
        <v>1.8888949591169706</v>
      </c>
      <c r="AT771" s="29">
        <f t="shared" si="658"/>
        <v>0</v>
      </c>
      <c r="AU771" s="29">
        <f t="shared" si="659"/>
        <v>0</v>
      </c>
      <c r="AV771" s="34">
        <f t="shared" si="660"/>
        <v>0</v>
      </c>
      <c r="AW771" s="34">
        <f t="shared" si="661"/>
        <v>0</v>
      </c>
      <c r="AX771" s="29">
        <f t="shared" si="662"/>
        <v>0</v>
      </c>
      <c r="AY771" s="34">
        <f t="shared" si="663"/>
        <v>0</v>
      </c>
      <c r="AZ771" s="37">
        <f t="shared" si="664"/>
        <v>0</v>
      </c>
      <c r="BA771" s="37">
        <f t="shared" si="665"/>
        <v>0</v>
      </c>
      <c r="BB771" s="35">
        <f t="shared" si="666"/>
        <v>1.2768284607227454E-3</v>
      </c>
      <c r="BC771" s="31">
        <f t="shared" si="667"/>
        <v>0.37579828917758323</v>
      </c>
      <c r="BD771" s="34">
        <f t="shared" si="668"/>
        <v>0</v>
      </c>
    </row>
    <row r="772" spans="1:56" x14ac:dyDescent="0.2">
      <c r="A772" s="27">
        <f t="shared" si="669"/>
        <v>768</v>
      </c>
      <c r="B772" s="28">
        <f t="shared" ref="B772:B835" si="672">Duration0+A772</f>
        <v>768</v>
      </c>
      <c r="C772" s="27">
        <f t="shared" ref="C772:C835" si="673">INT(B772/12)</f>
        <v>64</v>
      </c>
      <c r="D772" s="28">
        <f t="shared" ref="D772:D835" si="674">AgeAtEntry+C772</f>
        <v>84</v>
      </c>
      <c r="E772" s="29">
        <f t="shared" ref="E772:E835" si="675">IF(PremiumType="SINGLE",IF(B772=0,PremiumPPInput,0),IF(B772&lt;12*PolicyTerm,PremiumPPInput,0))</f>
        <v>0</v>
      </c>
      <c r="F772" s="30">
        <f t="shared" ref="F772:F835" si="676">INDEX(MortRates,MATCH(MIN(D772,120),MortAges,0),MAX(MIN(C772,5),0)+1)</f>
        <v>2.3248316349456209E-2</v>
      </c>
      <c r="G772" s="31">
        <f t="shared" ref="G772:G835" si="677">1-(1-F772)^(1/12)</f>
        <v>1.9583151040193369E-3</v>
      </c>
      <c r="H772" s="32">
        <f t="shared" ref="H772:H835" si="678">MAX(LapseBase-LapseStep*C772,LapseFloor)</f>
        <v>0.02</v>
      </c>
      <c r="I772" s="32">
        <f t="shared" ref="I772:I835" si="679">IF(HasSurrCharge,INDEX(SurrRates,MIN(C772,SurrDurMax)+1,MATCH(SurrChargeID,SurrTypes,0)),0)</f>
        <v>0</v>
      </c>
      <c r="J772" s="33">
        <f t="shared" si="670"/>
        <v>0</v>
      </c>
      <c r="K772" s="30">
        <f t="shared" ref="K772:K835" si="680">IF(B772=12*PolicyTerm,J772,0)</f>
        <v>0</v>
      </c>
      <c r="L772" s="33">
        <f t="shared" ref="L772:L835" si="681">J772-K772</f>
        <v>0</v>
      </c>
      <c r="M772" s="30">
        <f t="shared" ref="M772:M835" si="682">IF(B772=0,PolicyCount,0)</f>
        <v>0</v>
      </c>
      <c r="N772" s="33">
        <f t="shared" ref="N772:N835" si="683">L772+M772</f>
        <v>0</v>
      </c>
      <c r="O772" s="31">
        <f t="shared" ref="O772:O835" si="684">N772*G772</f>
        <v>0</v>
      </c>
      <c r="P772" s="33">
        <f t="shared" ref="P772:P835" si="685">(N772-O772)*(1-(1-H772)^(1/12))</f>
        <v>0</v>
      </c>
      <c r="Q772" s="34">
        <f t="shared" si="671"/>
        <v>829713.14938076097</v>
      </c>
      <c r="R772" s="29">
        <f t="shared" ref="R772:R835" si="686">(1-LoadPremRate)*E772</f>
        <v>0</v>
      </c>
      <c r="S772" s="34">
        <f t="shared" ref="S772:S835" si="687">Q772+R772</f>
        <v>829713.14938076097</v>
      </c>
      <c r="T772" s="29">
        <f t="shared" ref="T772:T835" si="688">MaintFeeRateAnn/12*S772</f>
        <v>691.42762448396752</v>
      </c>
      <c r="U772" s="29">
        <f t="shared" ref="U772:U835" si="689">MAX(SumAssured-S772,0)</f>
        <v>0</v>
      </c>
      <c r="V772" s="35">
        <f t="shared" ref="V772:V835" si="690">CoiMultiple*G772</f>
        <v>2.1541466144212708E-3</v>
      </c>
      <c r="W772" s="34">
        <f t="shared" ref="W772:W835" si="691">V772*U772</f>
        <v>0</v>
      </c>
      <c r="X772" s="34">
        <f t="shared" ref="X772:X835" si="692">S772-T772-W772</f>
        <v>829021.72175627702</v>
      </c>
      <c r="Y772" s="36">
        <f t="shared" ref="Y772:Y835" si="693">EXP((Mu-0.5*Sigma^2)/12+Sigma*SQRT(1/12)*INDEX(NormRand,ScenID,A772+1))-1</f>
        <v>-1.5882176039614171E-2</v>
      </c>
      <c r="Z772" s="34">
        <f t="shared" ref="Z772:Z835" si="694">Y772*X772</f>
        <v>-13166.668925597229</v>
      </c>
      <c r="AA772" s="34">
        <f t="shared" ref="AA772:AA835" si="695">X772+0.5*Z772</f>
        <v>822438.38729347836</v>
      </c>
      <c r="AB772" s="34">
        <f t="shared" ref="AB772:AB835" si="696">Q772*J772</f>
        <v>0</v>
      </c>
      <c r="AC772" s="34">
        <f t="shared" ref="AC772:AC835" si="697">Q772*L772</f>
        <v>0</v>
      </c>
      <c r="AD772" s="34">
        <f t="shared" ref="AD772:AD835" si="698">S772*N772</f>
        <v>0</v>
      </c>
      <c r="AE772" s="34">
        <f t="shared" ref="AE772:AE835" si="699">E772*N772</f>
        <v>0</v>
      </c>
      <c r="AF772" s="34">
        <f t="shared" ref="AF772:AF835" si="700">R772*N772</f>
        <v>0</v>
      </c>
      <c r="AG772" s="29">
        <f t="shared" ref="AG772:AG835" si="701">MAX(SumAssured,AA772)</f>
        <v>822438.38729347836</v>
      </c>
      <c r="AH772" s="34">
        <f t="shared" ref="AH772:AH835" si="702">AG772*O772</f>
        <v>0</v>
      </c>
      <c r="AI772" s="34">
        <f t="shared" ref="AI772:AI835" si="703">AA772*O772</f>
        <v>0</v>
      </c>
      <c r="AJ772" s="34">
        <f t="shared" ref="AJ772:AJ835" si="704">AA772*P772</f>
        <v>0</v>
      </c>
      <c r="AK772" s="34">
        <f t="shared" ref="AK772:AK835" si="705">I772*AA772*P772</f>
        <v>0</v>
      </c>
      <c r="AL772" s="34">
        <f t="shared" ref="AL772:AL835" si="706">AJ772-AK772</f>
        <v>0</v>
      </c>
      <c r="AM772" s="34">
        <f t="shared" ref="AM772:AM835" si="707">Q772*K772</f>
        <v>0</v>
      </c>
      <c r="AN772" s="34">
        <f t="shared" ref="AN772:AN835" si="708">AH772+AL772+AM772</f>
        <v>0</v>
      </c>
      <c r="AO772" s="34">
        <f t="shared" ref="AO772:AO835" si="709">(AG772-AA772)*O772</f>
        <v>0</v>
      </c>
      <c r="AP772" s="34">
        <f t="shared" ref="AP772:AP835" si="710">W772*N772</f>
        <v>0</v>
      </c>
      <c r="AQ772" s="34">
        <f t="shared" ref="AQ772:AQ835" si="711">T772*N772</f>
        <v>0</v>
      </c>
      <c r="AR772" s="34">
        <f t="shared" ref="AR772:AR835" si="712">Z772*J773+0.5*Z772*(O772+P772)</f>
        <v>0</v>
      </c>
      <c r="AS772" s="30">
        <f t="shared" ref="AS772:AS835" si="713">(1+InflationRate)^(A772/12)</f>
        <v>1.890461869479555</v>
      </c>
      <c r="AT772" s="29">
        <f t="shared" ref="AT772:AT835" si="714">ExpenseAcq*M772+N772*ExpenseMaint/12*AS772</f>
        <v>0</v>
      </c>
      <c r="AU772" s="29">
        <f t="shared" ref="AU772:AU835" si="715">CommissionRate*AE772</f>
        <v>0</v>
      </c>
      <c r="AV772" s="34">
        <f t="shared" ref="AV772:AV835" si="716">AB773-AB772</f>
        <v>0</v>
      </c>
      <c r="AW772" s="34">
        <f t="shared" ref="AW772:AW835" si="717">AE772+AR772-AN772-AT772-AU772-AV772</f>
        <v>0</v>
      </c>
      <c r="AX772" s="29">
        <f t="shared" ref="AX772:AX835" si="718">LoadPremRate*E772*N772+AK772+AQ772-AU772-AT772</f>
        <v>0</v>
      </c>
      <c r="AY772" s="34">
        <f t="shared" ref="AY772:AY835" si="719">AP772-AO772</f>
        <v>0</v>
      </c>
      <c r="AZ772" s="37">
        <f t="shared" ref="AZ772:AZ835" si="720">(AW772-AX772-AY772)/MAX(1,ABS(AW772),ABS(AX772),ABS(AY772))</f>
        <v>0</v>
      </c>
      <c r="BA772" s="37">
        <f t="shared" ref="BA772:BA835" si="721">IF(OR(K772&gt;0,K773&gt;0),0,(AC773-(AC772+AF772-AQ772-AP772+AR772-AI772-AJ772-AM772))/MAX(1,ABS(AC772),ABS(AC773)))</f>
        <v>0</v>
      </c>
      <c r="BB772" s="35">
        <f t="shared" ref="BB772:BB835" si="722">(1+INDEX(DiscRateAnn,INT(A772/12)+1))^(1/12)-1</f>
        <v>1.3064055117777418E-3</v>
      </c>
      <c r="BC772" s="31">
        <f t="shared" ref="BC772:BC835" si="723">(1+BB772)^-A772</f>
        <v>0.36690048260812486</v>
      </c>
      <c r="BD772" s="34">
        <f t="shared" ref="BD772:BD835" si="724">AW772*BC772</f>
        <v>0</v>
      </c>
    </row>
    <row r="773" spans="1:56" x14ac:dyDescent="0.2">
      <c r="A773" s="27">
        <f t="shared" ref="A773:A836" si="725">A772+1</f>
        <v>769</v>
      </c>
      <c r="B773" s="28">
        <f t="shared" si="672"/>
        <v>769</v>
      </c>
      <c r="C773" s="27">
        <f t="shared" si="673"/>
        <v>64</v>
      </c>
      <c r="D773" s="28">
        <f t="shared" si="674"/>
        <v>84</v>
      </c>
      <c r="E773" s="29">
        <f t="shared" si="675"/>
        <v>0</v>
      </c>
      <c r="F773" s="30">
        <f t="shared" si="676"/>
        <v>2.3248316349456209E-2</v>
      </c>
      <c r="G773" s="31">
        <f t="shared" si="677"/>
        <v>1.9583151040193369E-3</v>
      </c>
      <c r="H773" s="32">
        <f t="shared" si="678"/>
        <v>0.02</v>
      </c>
      <c r="I773" s="32">
        <f t="shared" si="679"/>
        <v>0</v>
      </c>
      <c r="J773" s="33">
        <f t="shared" ref="J773:J836" si="726">N772-P772-O772</f>
        <v>0</v>
      </c>
      <c r="K773" s="30">
        <f t="shared" si="680"/>
        <v>0</v>
      </c>
      <c r="L773" s="33">
        <f t="shared" si="681"/>
        <v>0</v>
      </c>
      <c r="M773" s="30">
        <f t="shared" si="682"/>
        <v>0</v>
      </c>
      <c r="N773" s="33">
        <f t="shared" si="683"/>
        <v>0</v>
      </c>
      <c r="O773" s="31">
        <f t="shared" si="684"/>
        <v>0</v>
      </c>
      <c r="P773" s="33">
        <f t="shared" si="685"/>
        <v>0</v>
      </c>
      <c r="Q773" s="34">
        <f t="shared" ref="Q773:Q836" si="727">X772+Z772</f>
        <v>815855.05283067981</v>
      </c>
      <c r="R773" s="29">
        <f t="shared" si="686"/>
        <v>0</v>
      </c>
      <c r="S773" s="34">
        <f t="shared" si="687"/>
        <v>815855.05283067981</v>
      </c>
      <c r="T773" s="29">
        <f t="shared" si="688"/>
        <v>679.87921069223319</v>
      </c>
      <c r="U773" s="29">
        <f t="shared" si="689"/>
        <v>0</v>
      </c>
      <c r="V773" s="35">
        <f t="shared" si="690"/>
        <v>2.1541466144212708E-3</v>
      </c>
      <c r="W773" s="34">
        <f t="shared" si="691"/>
        <v>0</v>
      </c>
      <c r="X773" s="34">
        <f t="shared" si="692"/>
        <v>815175.17361998756</v>
      </c>
      <c r="Y773" s="36">
        <f t="shared" si="693"/>
        <v>-4.5767762728521344E-3</v>
      </c>
      <c r="Z773" s="34">
        <f t="shared" si="694"/>
        <v>-3730.8743928420781</v>
      </c>
      <c r="AA773" s="34">
        <f t="shared" si="695"/>
        <v>813309.73642356647</v>
      </c>
      <c r="AB773" s="34">
        <f t="shared" si="696"/>
        <v>0</v>
      </c>
      <c r="AC773" s="34">
        <f t="shared" si="697"/>
        <v>0</v>
      </c>
      <c r="AD773" s="34">
        <f t="shared" si="698"/>
        <v>0</v>
      </c>
      <c r="AE773" s="34">
        <f t="shared" si="699"/>
        <v>0</v>
      </c>
      <c r="AF773" s="34">
        <f t="shared" si="700"/>
        <v>0</v>
      </c>
      <c r="AG773" s="29">
        <f t="shared" si="701"/>
        <v>813309.73642356647</v>
      </c>
      <c r="AH773" s="34">
        <f t="shared" si="702"/>
        <v>0</v>
      </c>
      <c r="AI773" s="34">
        <f t="shared" si="703"/>
        <v>0</v>
      </c>
      <c r="AJ773" s="34">
        <f t="shared" si="704"/>
        <v>0</v>
      </c>
      <c r="AK773" s="34">
        <f t="shared" si="705"/>
        <v>0</v>
      </c>
      <c r="AL773" s="34">
        <f t="shared" si="706"/>
        <v>0</v>
      </c>
      <c r="AM773" s="34">
        <f t="shared" si="707"/>
        <v>0</v>
      </c>
      <c r="AN773" s="34">
        <f t="shared" si="708"/>
        <v>0</v>
      </c>
      <c r="AO773" s="34">
        <f t="shared" si="709"/>
        <v>0</v>
      </c>
      <c r="AP773" s="34">
        <f t="shared" si="710"/>
        <v>0</v>
      </c>
      <c r="AQ773" s="34">
        <f t="shared" si="711"/>
        <v>0</v>
      </c>
      <c r="AR773" s="34">
        <f t="shared" si="712"/>
        <v>0</v>
      </c>
      <c r="AS773" s="30">
        <f t="shared" si="713"/>
        <v>1.8920300796540062</v>
      </c>
      <c r="AT773" s="29">
        <f t="shared" si="714"/>
        <v>0</v>
      </c>
      <c r="AU773" s="29">
        <f t="shared" si="715"/>
        <v>0</v>
      </c>
      <c r="AV773" s="34">
        <f t="shared" si="716"/>
        <v>0</v>
      </c>
      <c r="AW773" s="34">
        <f t="shared" si="717"/>
        <v>0</v>
      </c>
      <c r="AX773" s="29">
        <f t="shared" si="718"/>
        <v>0</v>
      </c>
      <c r="AY773" s="34">
        <f t="shared" si="719"/>
        <v>0</v>
      </c>
      <c r="AZ773" s="37">
        <f t="shared" si="720"/>
        <v>0</v>
      </c>
      <c r="BA773" s="37">
        <f t="shared" si="721"/>
        <v>0</v>
      </c>
      <c r="BB773" s="35">
        <f t="shared" si="722"/>
        <v>1.3064055117777418E-3</v>
      </c>
      <c r="BC773" s="31">
        <f t="shared" si="723"/>
        <v>0.36642178716573609</v>
      </c>
      <c r="BD773" s="34">
        <f t="shared" si="724"/>
        <v>0</v>
      </c>
    </row>
    <row r="774" spans="1:56" x14ac:dyDescent="0.2">
      <c r="A774" s="27">
        <f t="shared" si="725"/>
        <v>770</v>
      </c>
      <c r="B774" s="28">
        <f t="shared" si="672"/>
        <v>770</v>
      </c>
      <c r="C774" s="27">
        <f t="shared" si="673"/>
        <v>64</v>
      </c>
      <c r="D774" s="28">
        <f t="shared" si="674"/>
        <v>84</v>
      </c>
      <c r="E774" s="29">
        <f t="shared" si="675"/>
        <v>0</v>
      </c>
      <c r="F774" s="30">
        <f t="shared" si="676"/>
        <v>2.3248316349456209E-2</v>
      </c>
      <c r="G774" s="31">
        <f t="shared" si="677"/>
        <v>1.9583151040193369E-3</v>
      </c>
      <c r="H774" s="32">
        <f t="shared" si="678"/>
        <v>0.02</v>
      </c>
      <c r="I774" s="32">
        <f t="shared" si="679"/>
        <v>0</v>
      </c>
      <c r="J774" s="33">
        <f t="shared" si="726"/>
        <v>0</v>
      </c>
      <c r="K774" s="30">
        <f t="shared" si="680"/>
        <v>0</v>
      </c>
      <c r="L774" s="33">
        <f t="shared" si="681"/>
        <v>0</v>
      </c>
      <c r="M774" s="30">
        <f t="shared" si="682"/>
        <v>0</v>
      </c>
      <c r="N774" s="33">
        <f t="shared" si="683"/>
        <v>0</v>
      </c>
      <c r="O774" s="31">
        <f t="shared" si="684"/>
        <v>0</v>
      </c>
      <c r="P774" s="33">
        <f t="shared" si="685"/>
        <v>0</v>
      </c>
      <c r="Q774" s="34">
        <f t="shared" si="727"/>
        <v>811444.2992271455</v>
      </c>
      <c r="R774" s="29">
        <f t="shared" si="686"/>
        <v>0</v>
      </c>
      <c r="S774" s="34">
        <f t="shared" si="687"/>
        <v>811444.2992271455</v>
      </c>
      <c r="T774" s="29">
        <f t="shared" si="688"/>
        <v>676.20358268928794</v>
      </c>
      <c r="U774" s="29">
        <f t="shared" si="689"/>
        <v>0</v>
      </c>
      <c r="V774" s="35">
        <f t="shared" si="690"/>
        <v>2.1541466144212708E-3</v>
      </c>
      <c r="W774" s="34">
        <f t="shared" si="691"/>
        <v>0</v>
      </c>
      <c r="X774" s="34">
        <f t="shared" si="692"/>
        <v>810768.09564445622</v>
      </c>
      <c r="Y774" s="36">
        <f t="shared" si="693"/>
        <v>8.5013585356883414E-3</v>
      </c>
      <c r="Z774" s="34">
        <f t="shared" si="694"/>
        <v>6892.6302703707797</v>
      </c>
      <c r="AA774" s="34">
        <f t="shared" si="695"/>
        <v>814214.41077964159</v>
      </c>
      <c r="AB774" s="34">
        <f t="shared" si="696"/>
        <v>0</v>
      </c>
      <c r="AC774" s="34">
        <f t="shared" si="697"/>
        <v>0</v>
      </c>
      <c r="AD774" s="34">
        <f t="shared" si="698"/>
        <v>0</v>
      </c>
      <c r="AE774" s="34">
        <f t="shared" si="699"/>
        <v>0</v>
      </c>
      <c r="AF774" s="34">
        <f t="shared" si="700"/>
        <v>0</v>
      </c>
      <c r="AG774" s="29">
        <f t="shared" si="701"/>
        <v>814214.41077964159</v>
      </c>
      <c r="AH774" s="34">
        <f t="shared" si="702"/>
        <v>0</v>
      </c>
      <c r="AI774" s="34">
        <f t="shared" si="703"/>
        <v>0</v>
      </c>
      <c r="AJ774" s="34">
        <f t="shared" si="704"/>
        <v>0</v>
      </c>
      <c r="AK774" s="34">
        <f t="shared" si="705"/>
        <v>0</v>
      </c>
      <c r="AL774" s="34">
        <f t="shared" si="706"/>
        <v>0</v>
      </c>
      <c r="AM774" s="34">
        <f t="shared" si="707"/>
        <v>0</v>
      </c>
      <c r="AN774" s="34">
        <f t="shared" si="708"/>
        <v>0</v>
      </c>
      <c r="AO774" s="34">
        <f t="shared" si="709"/>
        <v>0</v>
      </c>
      <c r="AP774" s="34">
        <f t="shared" si="710"/>
        <v>0</v>
      </c>
      <c r="AQ774" s="34">
        <f t="shared" si="711"/>
        <v>0</v>
      </c>
      <c r="AR774" s="34">
        <f t="shared" si="712"/>
        <v>0</v>
      </c>
      <c r="AS774" s="30">
        <f t="shared" si="713"/>
        <v>1.8935995907185688</v>
      </c>
      <c r="AT774" s="29">
        <f t="shared" si="714"/>
        <v>0</v>
      </c>
      <c r="AU774" s="29">
        <f t="shared" si="715"/>
        <v>0</v>
      </c>
      <c r="AV774" s="34">
        <f t="shared" si="716"/>
        <v>0</v>
      </c>
      <c r="AW774" s="34">
        <f t="shared" si="717"/>
        <v>0</v>
      </c>
      <c r="AX774" s="29">
        <f t="shared" si="718"/>
        <v>0</v>
      </c>
      <c r="AY774" s="34">
        <f t="shared" si="719"/>
        <v>0</v>
      </c>
      <c r="AZ774" s="37">
        <f t="shared" si="720"/>
        <v>0</v>
      </c>
      <c r="BA774" s="37">
        <f t="shared" si="721"/>
        <v>0</v>
      </c>
      <c r="BB774" s="35">
        <f t="shared" si="722"/>
        <v>1.3064055117777418E-3</v>
      </c>
      <c r="BC774" s="31">
        <f t="shared" si="723"/>
        <v>0.36594371627779038</v>
      </c>
      <c r="BD774" s="34">
        <f t="shared" si="724"/>
        <v>0</v>
      </c>
    </row>
    <row r="775" spans="1:56" x14ac:dyDescent="0.2">
      <c r="A775" s="27">
        <f t="shared" si="725"/>
        <v>771</v>
      </c>
      <c r="B775" s="28">
        <f t="shared" si="672"/>
        <v>771</v>
      </c>
      <c r="C775" s="27">
        <f t="shared" si="673"/>
        <v>64</v>
      </c>
      <c r="D775" s="28">
        <f t="shared" si="674"/>
        <v>84</v>
      </c>
      <c r="E775" s="29">
        <f t="shared" si="675"/>
        <v>0</v>
      </c>
      <c r="F775" s="30">
        <f t="shared" si="676"/>
        <v>2.3248316349456209E-2</v>
      </c>
      <c r="G775" s="31">
        <f t="shared" si="677"/>
        <v>1.9583151040193369E-3</v>
      </c>
      <c r="H775" s="32">
        <f t="shared" si="678"/>
        <v>0.02</v>
      </c>
      <c r="I775" s="32">
        <f t="shared" si="679"/>
        <v>0</v>
      </c>
      <c r="J775" s="33">
        <f t="shared" si="726"/>
        <v>0</v>
      </c>
      <c r="K775" s="30">
        <f t="shared" si="680"/>
        <v>0</v>
      </c>
      <c r="L775" s="33">
        <f t="shared" si="681"/>
        <v>0</v>
      </c>
      <c r="M775" s="30">
        <f t="shared" si="682"/>
        <v>0</v>
      </c>
      <c r="N775" s="33">
        <f t="shared" si="683"/>
        <v>0</v>
      </c>
      <c r="O775" s="31">
        <f t="shared" si="684"/>
        <v>0</v>
      </c>
      <c r="P775" s="33">
        <f t="shared" si="685"/>
        <v>0</v>
      </c>
      <c r="Q775" s="34">
        <f t="shared" si="727"/>
        <v>817660.72591482697</v>
      </c>
      <c r="R775" s="29">
        <f t="shared" si="686"/>
        <v>0</v>
      </c>
      <c r="S775" s="34">
        <f t="shared" si="687"/>
        <v>817660.72591482697</v>
      </c>
      <c r="T775" s="29">
        <f t="shared" si="688"/>
        <v>681.38393826235585</v>
      </c>
      <c r="U775" s="29">
        <f t="shared" si="689"/>
        <v>0</v>
      </c>
      <c r="V775" s="35">
        <f t="shared" si="690"/>
        <v>2.1541466144212708E-3</v>
      </c>
      <c r="W775" s="34">
        <f t="shared" si="691"/>
        <v>0</v>
      </c>
      <c r="X775" s="34">
        <f t="shared" si="692"/>
        <v>816979.34197656461</v>
      </c>
      <c r="Y775" s="36">
        <f t="shared" si="693"/>
        <v>-4.119322629094202E-3</v>
      </c>
      <c r="Z775" s="34">
        <f t="shared" si="694"/>
        <v>-3365.4014909065531</v>
      </c>
      <c r="AA775" s="34">
        <f t="shared" si="695"/>
        <v>815296.64123111137</v>
      </c>
      <c r="AB775" s="34">
        <f t="shared" si="696"/>
        <v>0</v>
      </c>
      <c r="AC775" s="34">
        <f t="shared" si="697"/>
        <v>0</v>
      </c>
      <c r="AD775" s="34">
        <f t="shared" si="698"/>
        <v>0</v>
      </c>
      <c r="AE775" s="34">
        <f t="shared" si="699"/>
        <v>0</v>
      </c>
      <c r="AF775" s="34">
        <f t="shared" si="700"/>
        <v>0</v>
      </c>
      <c r="AG775" s="29">
        <f t="shared" si="701"/>
        <v>815296.64123111137</v>
      </c>
      <c r="AH775" s="34">
        <f t="shared" si="702"/>
        <v>0</v>
      </c>
      <c r="AI775" s="34">
        <f t="shared" si="703"/>
        <v>0</v>
      </c>
      <c r="AJ775" s="34">
        <f t="shared" si="704"/>
        <v>0</v>
      </c>
      <c r="AK775" s="34">
        <f t="shared" si="705"/>
        <v>0</v>
      </c>
      <c r="AL775" s="34">
        <f t="shared" si="706"/>
        <v>0</v>
      </c>
      <c r="AM775" s="34">
        <f t="shared" si="707"/>
        <v>0</v>
      </c>
      <c r="AN775" s="34">
        <f t="shared" si="708"/>
        <v>0</v>
      </c>
      <c r="AO775" s="34">
        <f t="shared" si="709"/>
        <v>0</v>
      </c>
      <c r="AP775" s="34">
        <f t="shared" si="710"/>
        <v>0</v>
      </c>
      <c r="AQ775" s="34">
        <f t="shared" si="711"/>
        <v>0</v>
      </c>
      <c r="AR775" s="34">
        <f t="shared" si="712"/>
        <v>0</v>
      </c>
      <c r="AS775" s="30">
        <f t="shared" si="713"/>
        <v>1.8951704037523802</v>
      </c>
      <c r="AT775" s="29">
        <f t="shared" si="714"/>
        <v>0</v>
      </c>
      <c r="AU775" s="29">
        <f t="shared" si="715"/>
        <v>0</v>
      </c>
      <c r="AV775" s="34">
        <f t="shared" si="716"/>
        <v>0</v>
      </c>
      <c r="AW775" s="34">
        <f t="shared" si="717"/>
        <v>0</v>
      </c>
      <c r="AX775" s="29">
        <f t="shared" si="718"/>
        <v>0</v>
      </c>
      <c r="AY775" s="34">
        <f t="shared" si="719"/>
        <v>0</v>
      </c>
      <c r="AZ775" s="37">
        <f t="shared" si="720"/>
        <v>0</v>
      </c>
      <c r="BA775" s="37">
        <f t="shared" si="721"/>
        <v>0</v>
      </c>
      <c r="BB775" s="35">
        <f t="shared" si="722"/>
        <v>1.3064055117777418E-3</v>
      </c>
      <c r="BC775" s="31">
        <f t="shared" si="723"/>
        <v>0.36546626912943081</v>
      </c>
      <c r="BD775" s="34">
        <f t="shared" si="724"/>
        <v>0</v>
      </c>
    </row>
    <row r="776" spans="1:56" x14ac:dyDescent="0.2">
      <c r="A776" s="27">
        <f t="shared" si="725"/>
        <v>772</v>
      </c>
      <c r="B776" s="28">
        <f t="shared" si="672"/>
        <v>772</v>
      </c>
      <c r="C776" s="27">
        <f t="shared" si="673"/>
        <v>64</v>
      </c>
      <c r="D776" s="28">
        <f t="shared" si="674"/>
        <v>84</v>
      </c>
      <c r="E776" s="29">
        <f t="shared" si="675"/>
        <v>0</v>
      </c>
      <c r="F776" s="30">
        <f t="shared" si="676"/>
        <v>2.3248316349456209E-2</v>
      </c>
      <c r="G776" s="31">
        <f t="shared" si="677"/>
        <v>1.9583151040193369E-3</v>
      </c>
      <c r="H776" s="32">
        <f t="shared" si="678"/>
        <v>0.02</v>
      </c>
      <c r="I776" s="32">
        <f t="shared" si="679"/>
        <v>0</v>
      </c>
      <c r="J776" s="33">
        <f t="shared" si="726"/>
        <v>0</v>
      </c>
      <c r="K776" s="30">
        <f t="shared" si="680"/>
        <v>0</v>
      </c>
      <c r="L776" s="33">
        <f t="shared" si="681"/>
        <v>0</v>
      </c>
      <c r="M776" s="30">
        <f t="shared" si="682"/>
        <v>0</v>
      </c>
      <c r="N776" s="33">
        <f t="shared" si="683"/>
        <v>0</v>
      </c>
      <c r="O776" s="31">
        <f t="shared" si="684"/>
        <v>0</v>
      </c>
      <c r="P776" s="33">
        <f t="shared" si="685"/>
        <v>0</v>
      </c>
      <c r="Q776" s="34">
        <f t="shared" si="727"/>
        <v>813613.94048565801</v>
      </c>
      <c r="R776" s="29">
        <f t="shared" si="686"/>
        <v>0</v>
      </c>
      <c r="S776" s="34">
        <f t="shared" si="687"/>
        <v>813613.94048565801</v>
      </c>
      <c r="T776" s="29">
        <f t="shared" si="688"/>
        <v>678.01161707138169</v>
      </c>
      <c r="U776" s="29">
        <f t="shared" si="689"/>
        <v>0</v>
      </c>
      <c r="V776" s="35">
        <f t="shared" si="690"/>
        <v>2.1541466144212708E-3</v>
      </c>
      <c r="W776" s="34">
        <f t="shared" si="691"/>
        <v>0</v>
      </c>
      <c r="X776" s="34">
        <f t="shared" si="692"/>
        <v>812935.92886858666</v>
      </c>
      <c r="Y776" s="36">
        <f t="shared" si="693"/>
        <v>-5.8458273282474549E-3</v>
      </c>
      <c r="Z776" s="34">
        <f t="shared" si="694"/>
        <v>-4752.2830690942128</v>
      </c>
      <c r="AA776" s="34">
        <f t="shared" si="695"/>
        <v>810559.78733403957</v>
      </c>
      <c r="AB776" s="34">
        <f t="shared" si="696"/>
        <v>0</v>
      </c>
      <c r="AC776" s="34">
        <f t="shared" si="697"/>
        <v>0</v>
      </c>
      <c r="AD776" s="34">
        <f t="shared" si="698"/>
        <v>0</v>
      </c>
      <c r="AE776" s="34">
        <f t="shared" si="699"/>
        <v>0</v>
      </c>
      <c r="AF776" s="34">
        <f t="shared" si="700"/>
        <v>0</v>
      </c>
      <c r="AG776" s="29">
        <f t="shared" si="701"/>
        <v>810559.78733403957</v>
      </c>
      <c r="AH776" s="34">
        <f t="shared" si="702"/>
        <v>0</v>
      </c>
      <c r="AI776" s="34">
        <f t="shared" si="703"/>
        <v>0</v>
      </c>
      <c r="AJ776" s="34">
        <f t="shared" si="704"/>
        <v>0</v>
      </c>
      <c r="AK776" s="34">
        <f t="shared" si="705"/>
        <v>0</v>
      </c>
      <c r="AL776" s="34">
        <f t="shared" si="706"/>
        <v>0</v>
      </c>
      <c r="AM776" s="34">
        <f t="shared" si="707"/>
        <v>0</v>
      </c>
      <c r="AN776" s="34">
        <f t="shared" si="708"/>
        <v>0</v>
      </c>
      <c r="AO776" s="34">
        <f t="shared" si="709"/>
        <v>0</v>
      </c>
      <c r="AP776" s="34">
        <f t="shared" si="710"/>
        <v>0</v>
      </c>
      <c r="AQ776" s="34">
        <f t="shared" si="711"/>
        <v>0</v>
      </c>
      <c r="AR776" s="34">
        <f t="shared" si="712"/>
        <v>0</v>
      </c>
      <c r="AS776" s="30">
        <f t="shared" si="713"/>
        <v>1.8967425198354737</v>
      </c>
      <c r="AT776" s="29">
        <f t="shared" si="714"/>
        <v>0</v>
      </c>
      <c r="AU776" s="29">
        <f t="shared" si="715"/>
        <v>0</v>
      </c>
      <c r="AV776" s="34">
        <f t="shared" si="716"/>
        <v>0</v>
      </c>
      <c r="AW776" s="34">
        <f t="shared" si="717"/>
        <v>0</v>
      </c>
      <c r="AX776" s="29">
        <f t="shared" si="718"/>
        <v>0</v>
      </c>
      <c r="AY776" s="34">
        <f t="shared" si="719"/>
        <v>0</v>
      </c>
      <c r="AZ776" s="37">
        <f t="shared" si="720"/>
        <v>0</v>
      </c>
      <c r="BA776" s="37">
        <f t="shared" si="721"/>
        <v>0</v>
      </c>
      <c r="BB776" s="35">
        <f t="shared" si="722"/>
        <v>1.3064055117777418E-3</v>
      </c>
      <c r="BC776" s="31">
        <f t="shared" si="723"/>
        <v>0.36498944490686375</v>
      </c>
      <c r="BD776" s="34">
        <f t="shared" si="724"/>
        <v>0</v>
      </c>
    </row>
    <row r="777" spans="1:56" x14ac:dyDescent="0.2">
      <c r="A777" s="27">
        <f t="shared" si="725"/>
        <v>773</v>
      </c>
      <c r="B777" s="28">
        <f t="shared" si="672"/>
        <v>773</v>
      </c>
      <c r="C777" s="27">
        <f t="shared" si="673"/>
        <v>64</v>
      </c>
      <c r="D777" s="28">
        <f t="shared" si="674"/>
        <v>84</v>
      </c>
      <c r="E777" s="29">
        <f t="shared" si="675"/>
        <v>0</v>
      </c>
      <c r="F777" s="30">
        <f t="shared" si="676"/>
        <v>2.3248316349456209E-2</v>
      </c>
      <c r="G777" s="31">
        <f t="shared" si="677"/>
        <v>1.9583151040193369E-3</v>
      </c>
      <c r="H777" s="32">
        <f t="shared" si="678"/>
        <v>0.02</v>
      </c>
      <c r="I777" s="32">
        <f t="shared" si="679"/>
        <v>0</v>
      </c>
      <c r="J777" s="33">
        <f t="shared" si="726"/>
        <v>0</v>
      </c>
      <c r="K777" s="30">
        <f t="shared" si="680"/>
        <v>0</v>
      </c>
      <c r="L777" s="33">
        <f t="shared" si="681"/>
        <v>0</v>
      </c>
      <c r="M777" s="30">
        <f t="shared" si="682"/>
        <v>0</v>
      </c>
      <c r="N777" s="33">
        <f t="shared" si="683"/>
        <v>0</v>
      </c>
      <c r="O777" s="31">
        <f t="shared" si="684"/>
        <v>0</v>
      </c>
      <c r="P777" s="33">
        <f t="shared" si="685"/>
        <v>0</v>
      </c>
      <c r="Q777" s="34">
        <f t="shared" si="727"/>
        <v>808183.64579949249</v>
      </c>
      <c r="R777" s="29">
        <f t="shared" si="686"/>
        <v>0</v>
      </c>
      <c r="S777" s="34">
        <f t="shared" si="687"/>
        <v>808183.64579949249</v>
      </c>
      <c r="T777" s="29">
        <f t="shared" si="688"/>
        <v>673.4863714995771</v>
      </c>
      <c r="U777" s="29">
        <f t="shared" si="689"/>
        <v>0</v>
      </c>
      <c r="V777" s="35">
        <f t="shared" si="690"/>
        <v>2.1541466144212708E-3</v>
      </c>
      <c r="W777" s="34">
        <f t="shared" si="691"/>
        <v>0</v>
      </c>
      <c r="X777" s="34">
        <f t="shared" si="692"/>
        <v>807510.15942799288</v>
      </c>
      <c r="Y777" s="36">
        <f t="shared" si="693"/>
        <v>4.3401298429537327E-3</v>
      </c>
      <c r="Z777" s="34">
        <f t="shared" si="694"/>
        <v>3504.6989414217583</v>
      </c>
      <c r="AA777" s="34">
        <f t="shared" si="695"/>
        <v>809262.50889870373</v>
      </c>
      <c r="AB777" s="34">
        <f t="shared" si="696"/>
        <v>0</v>
      </c>
      <c r="AC777" s="34">
        <f t="shared" si="697"/>
        <v>0</v>
      </c>
      <c r="AD777" s="34">
        <f t="shared" si="698"/>
        <v>0</v>
      </c>
      <c r="AE777" s="34">
        <f t="shared" si="699"/>
        <v>0</v>
      </c>
      <c r="AF777" s="34">
        <f t="shared" si="700"/>
        <v>0</v>
      </c>
      <c r="AG777" s="29">
        <f t="shared" si="701"/>
        <v>809262.50889870373</v>
      </c>
      <c r="AH777" s="34">
        <f t="shared" si="702"/>
        <v>0</v>
      </c>
      <c r="AI777" s="34">
        <f t="shared" si="703"/>
        <v>0</v>
      </c>
      <c r="AJ777" s="34">
        <f t="shared" si="704"/>
        <v>0</v>
      </c>
      <c r="AK777" s="34">
        <f t="shared" si="705"/>
        <v>0</v>
      </c>
      <c r="AL777" s="34">
        <f t="shared" si="706"/>
        <v>0</v>
      </c>
      <c r="AM777" s="34">
        <f t="shared" si="707"/>
        <v>0</v>
      </c>
      <c r="AN777" s="34">
        <f t="shared" si="708"/>
        <v>0</v>
      </c>
      <c r="AO777" s="34">
        <f t="shared" si="709"/>
        <v>0</v>
      </c>
      <c r="AP777" s="34">
        <f t="shared" si="710"/>
        <v>0</v>
      </c>
      <c r="AQ777" s="34">
        <f t="shared" si="711"/>
        <v>0</v>
      </c>
      <c r="AR777" s="34">
        <f t="shared" si="712"/>
        <v>0</v>
      </c>
      <c r="AS777" s="30">
        <f t="shared" si="713"/>
        <v>1.8983159400487786</v>
      </c>
      <c r="AT777" s="29">
        <f t="shared" si="714"/>
        <v>0</v>
      </c>
      <c r="AU777" s="29">
        <f t="shared" si="715"/>
        <v>0</v>
      </c>
      <c r="AV777" s="34">
        <f t="shared" si="716"/>
        <v>0</v>
      </c>
      <c r="AW777" s="34">
        <f t="shared" si="717"/>
        <v>0</v>
      </c>
      <c r="AX777" s="29">
        <f t="shared" si="718"/>
        <v>0</v>
      </c>
      <c r="AY777" s="34">
        <f t="shared" si="719"/>
        <v>0</v>
      </c>
      <c r="AZ777" s="37">
        <f t="shared" si="720"/>
        <v>0</v>
      </c>
      <c r="BA777" s="37">
        <f t="shared" si="721"/>
        <v>0</v>
      </c>
      <c r="BB777" s="35">
        <f t="shared" si="722"/>
        <v>1.3064055117777418E-3</v>
      </c>
      <c r="BC777" s="31">
        <f t="shared" si="723"/>
        <v>0.36451324279735725</v>
      </c>
      <c r="BD777" s="34">
        <f t="shared" si="724"/>
        <v>0</v>
      </c>
    </row>
    <row r="778" spans="1:56" x14ac:dyDescent="0.2">
      <c r="A778" s="27">
        <f t="shared" si="725"/>
        <v>774</v>
      </c>
      <c r="B778" s="28">
        <f t="shared" si="672"/>
        <v>774</v>
      </c>
      <c r="C778" s="27">
        <f t="shared" si="673"/>
        <v>64</v>
      </c>
      <c r="D778" s="28">
        <f t="shared" si="674"/>
        <v>84</v>
      </c>
      <c r="E778" s="29">
        <f t="shared" si="675"/>
        <v>0</v>
      </c>
      <c r="F778" s="30">
        <f t="shared" si="676"/>
        <v>2.3248316349456209E-2</v>
      </c>
      <c r="G778" s="31">
        <f t="shared" si="677"/>
        <v>1.9583151040193369E-3</v>
      </c>
      <c r="H778" s="32">
        <f t="shared" si="678"/>
        <v>0.02</v>
      </c>
      <c r="I778" s="32">
        <f t="shared" si="679"/>
        <v>0</v>
      </c>
      <c r="J778" s="33">
        <f t="shared" si="726"/>
        <v>0</v>
      </c>
      <c r="K778" s="30">
        <f t="shared" si="680"/>
        <v>0</v>
      </c>
      <c r="L778" s="33">
        <f t="shared" si="681"/>
        <v>0</v>
      </c>
      <c r="M778" s="30">
        <f t="shared" si="682"/>
        <v>0</v>
      </c>
      <c r="N778" s="33">
        <f t="shared" si="683"/>
        <v>0</v>
      </c>
      <c r="O778" s="31">
        <f t="shared" si="684"/>
        <v>0</v>
      </c>
      <c r="P778" s="33">
        <f t="shared" si="685"/>
        <v>0</v>
      </c>
      <c r="Q778" s="34">
        <f t="shared" si="727"/>
        <v>811014.85836941469</v>
      </c>
      <c r="R778" s="29">
        <f t="shared" si="686"/>
        <v>0</v>
      </c>
      <c r="S778" s="34">
        <f t="shared" si="687"/>
        <v>811014.85836941469</v>
      </c>
      <c r="T778" s="29">
        <f t="shared" si="688"/>
        <v>675.84571530784558</v>
      </c>
      <c r="U778" s="29">
        <f t="shared" si="689"/>
        <v>0</v>
      </c>
      <c r="V778" s="35">
        <f t="shared" si="690"/>
        <v>2.1541466144212708E-3</v>
      </c>
      <c r="W778" s="34">
        <f t="shared" si="691"/>
        <v>0</v>
      </c>
      <c r="X778" s="34">
        <f t="shared" si="692"/>
        <v>810339.01265410683</v>
      </c>
      <c r="Y778" s="36">
        <f t="shared" si="693"/>
        <v>-5.4815738369500266E-3</v>
      </c>
      <c r="Z778" s="34">
        <f t="shared" si="694"/>
        <v>-4441.9331308246683</v>
      </c>
      <c r="AA778" s="34">
        <f t="shared" si="695"/>
        <v>808118.04608869448</v>
      </c>
      <c r="AB778" s="34">
        <f t="shared" si="696"/>
        <v>0</v>
      </c>
      <c r="AC778" s="34">
        <f t="shared" si="697"/>
        <v>0</v>
      </c>
      <c r="AD778" s="34">
        <f t="shared" si="698"/>
        <v>0</v>
      </c>
      <c r="AE778" s="34">
        <f t="shared" si="699"/>
        <v>0</v>
      </c>
      <c r="AF778" s="34">
        <f t="shared" si="700"/>
        <v>0</v>
      </c>
      <c r="AG778" s="29">
        <f t="shared" si="701"/>
        <v>808118.04608869448</v>
      </c>
      <c r="AH778" s="34">
        <f t="shared" si="702"/>
        <v>0</v>
      </c>
      <c r="AI778" s="34">
        <f t="shared" si="703"/>
        <v>0</v>
      </c>
      <c r="AJ778" s="34">
        <f t="shared" si="704"/>
        <v>0</v>
      </c>
      <c r="AK778" s="34">
        <f t="shared" si="705"/>
        <v>0</v>
      </c>
      <c r="AL778" s="34">
        <f t="shared" si="706"/>
        <v>0</v>
      </c>
      <c r="AM778" s="34">
        <f t="shared" si="707"/>
        <v>0</v>
      </c>
      <c r="AN778" s="34">
        <f t="shared" si="708"/>
        <v>0</v>
      </c>
      <c r="AO778" s="34">
        <f t="shared" si="709"/>
        <v>0</v>
      </c>
      <c r="AP778" s="34">
        <f t="shared" si="710"/>
        <v>0</v>
      </c>
      <c r="AQ778" s="34">
        <f t="shared" si="711"/>
        <v>0</v>
      </c>
      <c r="AR778" s="34">
        <f t="shared" si="712"/>
        <v>0</v>
      </c>
      <c r="AS778" s="30">
        <f t="shared" si="713"/>
        <v>1.8998906654741199</v>
      </c>
      <c r="AT778" s="29">
        <f t="shared" si="714"/>
        <v>0</v>
      </c>
      <c r="AU778" s="29">
        <f t="shared" si="715"/>
        <v>0</v>
      </c>
      <c r="AV778" s="34">
        <f t="shared" si="716"/>
        <v>0</v>
      </c>
      <c r="AW778" s="34">
        <f t="shared" si="717"/>
        <v>0</v>
      </c>
      <c r="AX778" s="29">
        <f t="shared" si="718"/>
        <v>0</v>
      </c>
      <c r="AY778" s="34">
        <f t="shared" si="719"/>
        <v>0</v>
      </c>
      <c r="AZ778" s="37">
        <f t="shared" si="720"/>
        <v>0</v>
      </c>
      <c r="BA778" s="37">
        <f t="shared" si="721"/>
        <v>0</v>
      </c>
      <c r="BB778" s="35">
        <f t="shared" si="722"/>
        <v>1.3064055117777418E-3</v>
      </c>
      <c r="BC778" s="31">
        <f t="shared" si="723"/>
        <v>0.36403766198923981</v>
      </c>
      <c r="BD778" s="34">
        <f t="shared" si="724"/>
        <v>0</v>
      </c>
    </row>
    <row r="779" spans="1:56" x14ac:dyDescent="0.2">
      <c r="A779" s="27">
        <f t="shared" si="725"/>
        <v>775</v>
      </c>
      <c r="B779" s="28">
        <f t="shared" si="672"/>
        <v>775</v>
      </c>
      <c r="C779" s="27">
        <f t="shared" si="673"/>
        <v>64</v>
      </c>
      <c r="D779" s="28">
        <f t="shared" si="674"/>
        <v>84</v>
      </c>
      <c r="E779" s="29">
        <f t="shared" si="675"/>
        <v>0</v>
      </c>
      <c r="F779" s="30">
        <f t="shared" si="676"/>
        <v>2.3248316349456209E-2</v>
      </c>
      <c r="G779" s="31">
        <f t="shared" si="677"/>
        <v>1.9583151040193369E-3</v>
      </c>
      <c r="H779" s="32">
        <f t="shared" si="678"/>
        <v>0.02</v>
      </c>
      <c r="I779" s="32">
        <f t="shared" si="679"/>
        <v>0</v>
      </c>
      <c r="J779" s="33">
        <f t="shared" si="726"/>
        <v>0</v>
      </c>
      <c r="K779" s="30">
        <f t="shared" si="680"/>
        <v>0</v>
      </c>
      <c r="L779" s="33">
        <f t="shared" si="681"/>
        <v>0</v>
      </c>
      <c r="M779" s="30">
        <f t="shared" si="682"/>
        <v>0</v>
      </c>
      <c r="N779" s="33">
        <f t="shared" si="683"/>
        <v>0</v>
      </c>
      <c r="O779" s="31">
        <f t="shared" si="684"/>
        <v>0</v>
      </c>
      <c r="P779" s="33">
        <f t="shared" si="685"/>
        <v>0</v>
      </c>
      <c r="Q779" s="34">
        <f t="shared" si="727"/>
        <v>805897.07952328213</v>
      </c>
      <c r="R779" s="29">
        <f t="shared" si="686"/>
        <v>0</v>
      </c>
      <c r="S779" s="34">
        <f t="shared" si="687"/>
        <v>805897.07952328213</v>
      </c>
      <c r="T779" s="29">
        <f t="shared" si="688"/>
        <v>671.58089960273514</v>
      </c>
      <c r="U779" s="29">
        <f t="shared" si="689"/>
        <v>0</v>
      </c>
      <c r="V779" s="35">
        <f t="shared" si="690"/>
        <v>2.1541466144212708E-3</v>
      </c>
      <c r="W779" s="34">
        <f t="shared" si="691"/>
        <v>0</v>
      </c>
      <c r="X779" s="34">
        <f t="shared" si="692"/>
        <v>805225.49862367939</v>
      </c>
      <c r="Y779" s="36">
        <f t="shared" si="693"/>
        <v>1.5079687305293632E-2</v>
      </c>
      <c r="Z779" s="34">
        <f t="shared" si="694"/>
        <v>12142.548729494232</v>
      </c>
      <c r="AA779" s="34">
        <f t="shared" si="695"/>
        <v>811296.7729884265</v>
      </c>
      <c r="AB779" s="34">
        <f t="shared" si="696"/>
        <v>0</v>
      </c>
      <c r="AC779" s="34">
        <f t="shared" si="697"/>
        <v>0</v>
      </c>
      <c r="AD779" s="34">
        <f t="shared" si="698"/>
        <v>0</v>
      </c>
      <c r="AE779" s="34">
        <f t="shared" si="699"/>
        <v>0</v>
      </c>
      <c r="AF779" s="34">
        <f t="shared" si="700"/>
        <v>0</v>
      </c>
      <c r="AG779" s="29">
        <f t="shared" si="701"/>
        <v>811296.7729884265</v>
      </c>
      <c r="AH779" s="34">
        <f t="shared" si="702"/>
        <v>0</v>
      </c>
      <c r="AI779" s="34">
        <f t="shared" si="703"/>
        <v>0</v>
      </c>
      <c r="AJ779" s="34">
        <f t="shared" si="704"/>
        <v>0</v>
      </c>
      <c r="AK779" s="34">
        <f t="shared" si="705"/>
        <v>0</v>
      </c>
      <c r="AL779" s="34">
        <f t="shared" si="706"/>
        <v>0</v>
      </c>
      <c r="AM779" s="34">
        <f t="shared" si="707"/>
        <v>0</v>
      </c>
      <c r="AN779" s="34">
        <f t="shared" si="708"/>
        <v>0</v>
      </c>
      <c r="AO779" s="34">
        <f t="shared" si="709"/>
        <v>0</v>
      </c>
      <c r="AP779" s="34">
        <f t="shared" si="710"/>
        <v>0</v>
      </c>
      <c r="AQ779" s="34">
        <f t="shared" si="711"/>
        <v>0</v>
      </c>
      <c r="AR779" s="34">
        <f t="shared" si="712"/>
        <v>0</v>
      </c>
      <c r="AS779" s="30">
        <f t="shared" si="713"/>
        <v>1.9014666971942211</v>
      </c>
      <c r="AT779" s="29">
        <f t="shared" si="714"/>
        <v>0</v>
      </c>
      <c r="AU779" s="29">
        <f t="shared" si="715"/>
        <v>0</v>
      </c>
      <c r="AV779" s="34">
        <f t="shared" si="716"/>
        <v>0</v>
      </c>
      <c r="AW779" s="34">
        <f t="shared" si="717"/>
        <v>0</v>
      </c>
      <c r="AX779" s="29">
        <f t="shared" si="718"/>
        <v>0</v>
      </c>
      <c r="AY779" s="34">
        <f t="shared" si="719"/>
        <v>0</v>
      </c>
      <c r="AZ779" s="37">
        <f t="shared" si="720"/>
        <v>0</v>
      </c>
      <c r="BA779" s="37">
        <f t="shared" si="721"/>
        <v>0</v>
      </c>
      <c r="BB779" s="35">
        <f t="shared" si="722"/>
        <v>1.3064055117777418E-3</v>
      </c>
      <c r="BC779" s="31">
        <f t="shared" si="723"/>
        <v>0.36356270167189886</v>
      </c>
      <c r="BD779" s="34">
        <f t="shared" si="724"/>
        <v>0</v>
      </c>
    </row>
    <row r="780" spans="1:56" x14ac:dyDescent="0.2">
      <c r="A780" s="27">
        <f t="shared" si="725"/>
        <v>776</v>
      </c>
      <c r="B780" s="28">
        <f t="shared" si="672"/>
        <v>776</v>
      </c>
      <c r="C780" s="27">
        <f t="shared" si="673"/>
        <v>64</v>
      </c>
      <c r="D780" s="28">
        <f t="shared" si="674"/>
        <v>84</v>
      </c>
      <c r="E780" s="29">
        <f t="shared" si="675"/>
        <v>0</v>
      </c>
      <c r="F780" s="30">
        <f t="shared" si="676"/>
        <v>2.3248316349456209E-2</v>
      </c>
      <c r="G780" s="31">
        <f t="shared" si="677"/>
        <v>1.9583151040193369E-3</v>
      </c>
      <c r="H780" s="32">
        <f t="shared" si="678"/>
        <v>0.02</v>
      </c>
      <c r="I780" s="32">
        <f t="shared" si="679"/>
        <v>0</v>
      </c>
      <c r="J780" s="33">
        <f t="shared" si="726"/>
        <v>0</v>
      </c>
      <c r="K780" s="30">
        <f t="shared" si="680"/>
        <v>0</v>
      </c>
      <c r="L780" s="33">
        <f t="shared" si="681"/>
        <v>0</v>
      </c>
      <c r="M780" s="30">
        <f t="shared" si="682"/>
        <v>0</v>
      </c>
      <c r="N780" s="33">
        <f t="shared" si="683"/>
        <v>0</v>
      </c>
      <c r="O780" s="31">
        <f t="shared" si="684"/>
        <v>0</v>
      </c>
      <c r="P780" s="33">
        <f t="shared" si="685"/>
        <v>0</v>
      </c>
      <c r="Q780" s="34">
        <f t="shared" si="727"/>
        <v>817368.04735317361</v>
      </c>
      <c r="R780" s="29">
        <f t="shared" si="686"/>
        <v>0</v>
      </c>
      <c r="S780" s="34">
        <f t="shared" si="687"/>
        <v>817368.04735317361</v>
      </c>
      <c r="T780" s="29">
        <f t="shared" si="688"/>
        <v>681.14003946097807</v>
      </c>
      <c r="U780" s="29">
        <f t="shared" si="689"/>
        <v>0</v>
      </c>
      <c r="V780" s="35">
        <f t="shared" si="690"/>
        <v>2.1541466144212708E-3</v>
      </c>
      <c r="W780" s="34">
        <f t="shared" si="691"/>
        <v>0</v>
      </c>
      <c r="X780" s="34">
        <f t="shared" si="692"/>
        <v>816686.90731371264</v>
      </c>
      <c r="Y780" s="36">
        <f t="shared" si="693"/>
        <v>6.4071666722966825E-3</v>
      </c>
      <c r="Z780" s="34">
        <f t="shared" si="694"/>
        <v>5232.6491342414693</v>
      </c>
      <c r="AA780" s="34">
        <f t="shared" si="695"/>
        <v>819303.23188083339</v>
      </c>
      <c r="AB780" s="34">
        <f t="shared" si="696"/>
        <v>0</v>
      </c>
      <c r="AC780" s="34">
        <f t="shared" si="697"/>
        <v>0</v>
      </c>
      <c r="AD780" s="34">
        <f t="shared" si="698"/>
        <v>0</v>
      </c>
      <c r="AE780" s="34">
        <f t="shared" si="699"/>
        <v>0</v>
      </c>
      <c r="AF780" s="34">
        <f t="shared" si="700"/>
        <v>0</v>
      </c>
      <c r="AG780" s="29">
        <f t="shared" si="701"/>
        <v>819303.23188083339</v>
      </c>
      <c r="AH780" s="34">
        <f t="shared" si="702"/>
        <v>0</v>
      </c>
      <c r="AI780" s="34">
        <f t="shared" si="703"/>
        <v>0</v>
      </c>
      <c r="AJ780" s="34">
        <f t="shared" si="704"/>
        <v>0</v>
      </c>
      <c r="AK780" s="34">
        <f t="shared" si="705"/>
        <v>0</v>
      </c>
      <c r="AL780" s="34">
        <f t="shared" si="706"/>
        <v>0</v>
      </c>
      <c r="AM780" s="34">
        <f t="shared" si="707"/>
        <v>0</v>
      </c>
      <c r="AN780" s="34">
        <f t="shared" si="708"/>
        <v>0</v>
      </c>
      <c r="AO780" s="34">
        <f t="shared" si="709"/>
        <v>0</v>
      </c>
      <c r="AP780" s="34">
        <f t="shared" si="710"/>
        <v>0</v>
      </c>
      <c r="AQ780" s="34">
        <f t="shared" si="711"/>
        <v>0</v>
      </c>
      <c r="AR780" s="34">
        <f t="shared" si="712"/>
        <v>0</v>
      </c>
      <c r="AS780" s="30">
        <f t="shared" si="713"/>
        <v>1.9030440362927039</v>
      </c>
      <c r="AT780" s="29">
        <f t="shared" si="714"/>
        <v>0</v>
      </c>
      <c r="AU780" s="29">
        <f t="shared" si="715"/>
        <v>0</v>
      </c>
      <c r="AV780" s="34">
        <f t="shared" si="716"/>
        <v>0</v>
      </c>
      <c r="AW780" s="34">
        <f t="shared" si="717"/>
        <v>0</v>
      </c>
      <c r="AX780" s="29">
        <f t="shared" si="718"/>
        <v>0</v>
      </c>
      <c r="AY780" s="34">
        <f t="shared" si="719"/>
        <v>0</v>
      </c>
      <c r="AZ780" s="37">
        <f t="shared" si="720"/>
        <v>0</v>
      </c>
      <c r="BA780" s="37">
        <f t="shared" si="721"/>
        <v>0</v>
      </c>
      <c r="BB780" s="35">
        <f t="shared" si="722"/>
        <v>1.3064055117777418E-3</v>
      </c>
      <c r="BC780" s="31">
        <f t="shared" si="723"/>
        <v>0.36308836103577929</v>
      </c>
      <c r="BD780" s="34">
        <f t="shared" si="724"/>
        <v>0</v>
      </c>
    </row>
    <row r="781" spans="1:56" x14ac:dyDescent="0.2">
      <c r="A781" s="27">
        <f t="shared" si="725"/>
        <v>777</v>
      </c>
      <c r="B781" s="28">
        <f t="shared" si="672"/>
        <v>777</v>
      </c>
      <c r="C781" s="27">
        <f t="shared" si="673"/>
        <v>64</v>
      </c>
      <c r="D781" s="28">
        <f t="shared" si="674"/>
        <v>84</v>
      </c>
      <c r="E781" s="29">
        <f t="shared" si="675"/>
        <v>0</v>
      </c>
      <c r="F781" s="30">
        <f t="shared" si="676"/>
        <v>2.3248316349456209E-2</v>
      </c>
      <c r="G781" s="31">
        <f t="shared" si="677"/>
        <v>1.9583151040193369E-3</v>
      </c>
      <c r="H781" s="32">
        <f t="shared" si="678"/>
        <v>0.02</v>
      </c>
      <c r="I781" s="32">
        <f t="shared" si="679"/>
        <v>0</v>
      </c>
      <c r="J781" s="33">
        <f t="shared" si="726"/>
        <v>0</v>
      </c>
      <c r="K781" s="30">
        <f t="shared" si="680"/>
        <v>0</v>
      </c>
      <c r="L781" s="33">
        <f t="shared" si="681"/>
        <v>0</v>
      </c>
      <c r="M781" s="30">
        <f t="shared" si="682"/>
        <v>0</v>
      </c>
      <c r="N781" s="33">
        <f t="shared" si="683"/>
        <v>0</v>
      </c>
      <c r="O781" s="31">
        <f t="shared" si="684"/>
        <v>0</v>
      </c>
      <c r="P781" s="33">
        <f t="shared" si="685"/>
        <v>0</v>
      </c>
      <c r="Q781" s="34">
        <f t="shared" si="727"/>
        <v>821919.55644795415</v>
      </c>
      <c r="R781" s="29">
        <f t="shared" si="686"/>
        <v>0</v>
      </c>
      <c r="S781" s="34">
        <f t="shared" si="687"/>
        <v>821919.55644795415</v>
      </c>
      <c r="T781" s="29">
        <f t="shared" si="688"/>
        <v>684.93296370662847</v>
      </c>
      <c r="U781" s="29">
        <f t="shared" si="689"/>
        <v>0</v>
      </c>
      <c r="V781" s="35">
        <f t="shared" si="690"/>
        <v>2.1541466144212708E-3</v>
      </c>
      <c r="W781" s="34">
        <f t="shared" si="691"/>
        <v>0</v>
      </c>
      <c r="X781" s="34">
        <f t="shared" si="692"/>
        <v>821234.62348424748</v>
      </c>
      <c r="Y781" s="36">
        <f t="shared" si="693"/>
        <v>1.0142724444607287E-2</v>
      </c>
      <c r="Z781" s="34">
        <f t="shared" si="694"/>
        <v>8329.5564903715385</v>
      </c>
      <c r="AA781" s="34">
        <f t="shared" si="695"/>
        <v>825399.40172943322</v>
      </c>
      <c r="AB781" s="34">
        <f t="shared" si="696"/>
        <v>0</v>
      </c>
      <c r="AC781" s="34">
        <f t="shared" si="697"/>
        <v>0</v>
      </c>
      <c r="AD781" s="34">
        <f t="shared" si="698"/>
        <v>0</v>
      </c>
      <c r="AE781" s="34">
        <f t="shared" si="699"/>
        <v>0</v>
      </c>
      <c r="AF781" s="34">
        <f t="shared" si="700"/>
        <v>0</v>
      </c>
      <c r="AG781" s="29">
        <f t="shared" si="701"/>
        <v>825399.40172943322</v>
      </c>
      <c r="AH781" s="34">
        <f t="shared" si="702"/>
        <v>0</v>
      </c>
      <c r="AI781" s="34">
        <f t="shared" si="703"/>
        <v>0</v>
      </c>
      <c r="AJ781" s="34">
        <f t="shared" si="704"/>
        <v>0</v>
      </c>
      <c r="AK781" s="34">
        <f t="shared" si="705"/>
        <v>0</v>
      </c>
      <c r="AL781" s="34">
        <f t="shared" si="706"/>
        <v>0</v>
      </c>
      <c r="AM781" s="34">
        <f t="shared" si="707"/>
        <v>0</v>
      </c>
      <c r="AN781" s="34">
        <f t="shared" si="708"/>
        <v>0</v>
      </c>
      <c r="AO781" s="34">
        <f t="shared" si="709"/>
        <v>0</v>
      </c>
      <c r="AP781" s="34">
        <f t="shared" si="710"/>
        <v>0</v>
      </c>
      <c r="AQ781" s="34">
        <f t="shared" si="711"/>
        <v>0</v>
      </c>
      <c r="AR781" s="34">
        <f t="shared" si="712"/>
        <v>0</v>
      </c>
      <c r="AS781" s="30">
        <f t="shared" si="713"/>
        <v>1.9046226838540881</v>
      </c>
      <c r="AT781" s="29">
        <f t="shared" si="714"/>
        <v>0</v>
      </c>
      <c r="AU781" s="29">
        <f t="shared" si="715"/>
        <v>0</v>
      </c>
      <c r="AV781" s="34">
        <f t="shared" si="716"/>
        <v>0</v>
      </c>
      <c r="AW781" s="34">
        <f t="shared" si="717"/>
        <v>0</v>
      </c>
      <c r="AX781" s="29">
        <f t="shared" si="718"/>
        <v>0</v>
      </c>
      <c r="AY781" s="34">
        <f t="shared" si="719"/>
        <v>0</v>
      </c>
      <c r="AZ781" s="37">
        <f t="shared" si="720"/>
        <v>0</v>
      </c>
      <c r="BA781" s="37">
        <f t="shared" si="721"/>
        <v>0</v>
      </c>
      <c r="BB781" s="35">
        <f t="shared" si="722"/>
        <v>1.3064055117777418E-3</v>
      </c>
      <c r="BC781" s="31">
        <f t="shared" si="723"/>
        <v>0.36261463927238252</v>
      </c>
      <c r="BD781" s="34">
        <f t="shared" si="724"/>
        <v>0</v>
      </c>
    </row>
    <row r="782" spans="1:56" x14ac:dyDescent="0.2">
      <c r="A782" s="27">
        <f t="shared" si="725"/>
        <v>778</v>
      </c>
      <c r="B782" s="28">
        <f t="shared" si="672"/>
        <v>778</v>
      </c>
      <c r="C782" s="27">
        <f t="shared" si="673"/>
        <v>64</v>
      </c>
      <c r="D782" s="28">
        <f t="shared" si="674"/>
        <v>84</v>
      </c>
      <c r="E782" s="29">
        <f t="shared" si="675"/>
        <v>0</v>
      </c>
      <c r="F782" s="30">
        <f t="shared" si="676"/>
        <v>2.3248316349456209E-2</v>
      </c>
      <c r="G782" s="31">
        <f t="shared" si="677"/>
        <v>1.9583151040193369E-3</v>
      </c>
      <c r="H782" s="32">
        <f t="shared" si="678"/>
        <v>0.02</v>
      </c>
      <c r="I782" s="32">
        <f t="shared" si="679"/>
        <v>0</v>
      </c>
      <c r="J782" s="33">
        <f t="shared" si="726"/>
        <v>0</v>
      </c>
      <c r="K782" s="30">
        <f t="shared" si="680"/>
        <v>0</v>
      </c>
      <c r="L782" s="33">
        <f t="shared" si="681"/>
        <v>0</v>
      </c>
      <c r="M782" s="30">
        <f t="shared" si="682"/>
        <v>0</v>
      </c>
      <c r="N782" s="33">
        <f t="shared" si="683"/>
        <v>0</v>
      </c>
      <c r="O782" s="31">
        <f t="shared" si="684"/>
        <v>0</v>
      </c>
      <c r="P782" s="33">
        <f t="shared" si="685"/>
        <v>0</v>
      </c>
      <c r="Q782" s="34">
        <f t="shared" si="727"/>
        <v>829564.17997461907</v>
      </c>
      <c r="R782" s="29">
        <f t="shared" si="686"/>
        <v>0</v>
      </c>
      <c r="S782" s="34">
        <f t="shared" si="687"/>
        <v>829564.17997461907</v>
      </c>
      <c r="T782" s="29">
        <f t="shared" si="688"/>
        <v>691.30348331218261</v>
      </c>
      <c r="U782" s="29">
        <f t="shared" si="689"/>
        <v>0</v>
      </c>
      <c r="V782" s="35">
        <f t="shared" si="690"/>
        <v>2.1541466144212708E-3</v>
      </c>
      <c r="W782" s="34">
        <f t="shared" si="691"/>
        <v>0</v>
      </c>
      <c r="X782" s="34">
        <f t="shared" si="692"/>
        <v>828872.87649130693</v>
      </c>
      <c r="Y782" s="36">
        <f t="shared" si="693"/>
        <v>5.8496107116878804E-3</v>
      </c>
      <c r="Z782" s="34">
        <f t="shared" si="694"/>
        <v>4848.5836569510948</v>
      </c>
      <c r="AA782" s="34">
        <f t="shared" si="695"/>
        <v>831297.16831978248</v>
      </c>
      <c r="AB782" s="34">
        <f t="shared" si="696"/>
        <v>0</v>
      </c>
      <c r="AC782" s="34">
        <f t="shared" si="697"/>
        <v>0</v>
      </c>
      <c r="AD782" s="34">
        <f t="shared" si="698"/>
        <v>0</v>
      </c>
      <c r="AE782" s="34">
        <f t="shared" si="699"/>
        <v>0</v>
      </c>
      <c r="AF782" s="34">
        <f t="shared" si="700"/>
        <v>0</v>
      </c>
      <c r="AG782" s="29">
        <f t="shared" si="701"/>
        <v>831297.16831978248</v>
      </c>
      <c r="AH782" s="34">
        <f t="shared" si="702"/>
        <v>0</v>
      </c>
      <c r="AI782" s="34">
        <f t="shared" si="703"/>
        <v>0</v>
      </c>
      <c r="AJ782" s="34">
        <f t="shared" si="704"/>
        <v>0</v>
      </c>
      <c r="AK782" s="34">
        <f t="shared" si="705"/>
        <v>0</v>
      </c>
      <c r="AL782" s="34">
        <f t="shared" si="706"/>
        <v>0</v>
      </c>
      <c r="AM782" s="34">
        <f t="shared" si="707"/>
        <v>0</v>
      </c>
      <c r="AN782" s="34">
        <f t="shared" si="708"/>
        <v>0</v>
      </c>
      <c r="AO782" s="34">
        <f t="shared" si="709"/>
        <v>0</v>
      </c>
      <c r="AP782" s="34">
        <f t="shared" si="710"/>
        <v>0</v>
      </c>
      <c r="AQ782" s="34">
        <f t="shared" si="711"/>
        <v>0</v>
      </c>
      <c r="AR782" s="34">
        <f t="shared" si="712"/>
        <v>0</v>
      </c>
      <c r="AS782" s="30">
        <f t="shared" si="713"/>
        <v>1.9062026409637935</v>
      </c>
      <c r="AT782" s="29">
        <f t="shared" si="714"/>
        <v>0</v>
      </c>
      <c r="AU782" s="29">
        <f t="shared" si="715"/>
        <v>0</v>
      </c>
      <c r="AV782" s="34">
        <f t="shared" si="716"/>
        <v>0</v>
      </c>
      <c r="AW782" s="34">
        <f t="shared" si="717"/>
        <v>0</v>
      </c>
      <c r="AX782" s="29">
        <f t="shared" si="718"/>
        <v>0</v>
      </c>
      <c r="AY782" s="34">
        <f t="shared" si="719"/>
        <v>0</v>
      </c>
      <c r="AZ782" s="37">
        <f t="shared" si="720"/>
        <v>0</v>
      </c>
      <c r="BA782" s="37">
        <f t="shared" si="721"/>
        <v>0</v>
      </c>
      <c r="BB782" s="35">
        <f t="shared" si="722"/>
        <v>1.3064055117777418E-3</v>
      </c>
      <c r="BC782" s="31">
        <f t="shared" si="723"/>
        <v>0.36214153557426471</v>
      </c>
      <c r="BD782" s="34">
        <f t="shared" si="724"/>
        <v>0</v>
      </c>
    </row>
    <row r="783" spans="1:56" x14ac:dyDescent="0.2">
      <c r="A783" s="27">
        <f t="shared" si="725"/>
        <v>779</v>
      </c>
      <c r="B783" s="28">
        <f t="shared" si="672"/>
        <v>779</v>
      </c>
      <c r="C783" s="27">
        <f t="shared" si="673"/>
        <v>64</v>
      </c>
      <c r="D783" s="28">
        <f t="shared" si="674"/>
        <v>84</v>
      </c>
      <c r="E783" s="29">
        <f t="shared" si="675"/>
        <v>0</v>
      </c>
      <c r="F783" s="30">
        <f t="shared" si="676"/>
        <v>2.3248316349456209E-2</v>
      </c>
      <c r="G783" s="31">
        <f t="shared" si="677"/>
        <v>1.9583151040193369E-3</v>
      </c>
      <c r="H783" s="32">
        <f t="shared" si="678"/>
        <v>0.02</v>
      </c>
      <c r="I783" s="32">
        <f t="shared" si="679"/>
        <v>0</v>
      </c>
      <c r="J783" s="33">
        <f t="shared" si="726"/>
        <v>0</v>
      </c>
      <c r="K783" s="30">
        <f t="shared" si="680"/>
        <v>0</v>
      </c>
      <c r="L783" s="33">
        <f t="shared" si="681"/>
        <v>0</v>
      </c>
      <c r="M783" s="30">
        <f t="shared" si="682"/>
        <v>0</v>
      </c>
      <c r="N783" s="33">
        <f t="shared" si="683"/>
        <v>0</v>
      </c>
      <c r="O783" s="31">
        <f t="shared" si="684"/>
        <v>0</v>
      </c>
      <c r="P783" s="33">
        <f t="shared" si="685"/>
        <v>0</v>
      </c>
      <c r="Q783" s="34">
        <f t="shared" si="727"/>
        <v>833721.46014825802</v>
      </c>
      <c r="R783" s="29">
        <f t="shared" si="686"/>
        <v>0</v>
      </c>
      <c r="S783" s="34">
        <f t="shared" si="687"/>
        <v>833721.46014825802</v>
      </c>
      <c r="T783" s="29">
        <f t="shared" si="688"/>
        <v>694.76788345688169</v>
      </c>
      <c r="U783" s="29">
        <f t="shared" si="689"/>
        <v>0</v>
      </c>
      <c r="V783" s="35">
        <f t="shared" si="690"/>
        <v>2.1541466144212708E-3</v>
      </c>
      <c r="W783" s="34">
        <f t="shared" si="691"/>
        <v>0</v>
      </c>
      <c r="X783" s="34">
        <f t="shared" si="692"/>
        <v>833026.69226480112</v>
      </c>
      <c r="Y783" s="36">
        <f t="shared" si="693"/>
        <v>1.9355956485656023E-3</v>
      </c>
      <c r="Z783" s="34">
        <f t="shared" si="694"/>
        <v>1612.4028406867462</v>
      </c>
      <c r="AA783" s="34">
        <f t="shared" si="695"/>
        <v>833832.89368514449</v>
      </c>
      <c r="AB783" s="34">
        <f t="shared" si="696"/>
        <v>0</v>
      </c>
      <c r="AC783" s="34">
        <f t="shared" si="697"/>
        <v>0</v>
      </c>
      <c r="AD783" s="34">
        <f t="shared" si="698"/>
        <v>0</v>
      </c>
      <c r="AE783" s="34">
        <f t="shared" si="699"/>
        <v>0</v>
      </c>
      <c r="AF783" s="34">
        <f t="shared" si="700"/>
        <v>0</v>
      </c>
      <c r="AG783" s="29">
        <f t="shared" si="701"/>
        <v>833832.89368514449</v>
      </c>
      <c r="AH783" s="34">
        <f t="shared" si="702"/>
        <v>0</v>
      </c>
      <c r="AI783" s="34">
        <f t="shared" si="703"/>
        <v>0</v>
      </c>
      <c r="AJ783" s="34">
        <f t="shared" si="704"/>
        <v>0</v>
      </c>
      <c r="AK783" s="34">
        <f t="shared" si="705"/>
        <v>0</v>
      </c>
      <c r="AL783" s="34">
        <f t="shared" si="706"/>
        <v>0</v>
      </c>
      <c r="AM783" s="34">
        <f t="shared" si="707"/>
        <v>0</v>
      </c>
      <c r="AN783" s="34">
        <f t="shared" si="708"/>
        <v>0</v>
      </c>
      <c r="AO783" s="34">
        <f t="shared" si="709"/>
        <v>0</v>
      </c>
      <c r="AP783" s="34">
        <f t="shared" si="710"/>
        <v>0</v>
      </c>
      <c r="AQ783" s="34">
        <f t="shared" si="711"/>
        <v>0</v>
      </c>
      <c r="AR783" s="34">
        <f t="shared" si="712"/>
        <v>0</v>
      </c>
      <c r="AS783" s="30">
        <f t="shared" si="713"/>
        <v>1.9077839087081405</v>
      </c>
      <c r="AT783" s="29">
        <f t="shared" si="714"/>
        <v>0</v>
      </c>
      <c r="AU783" s="29">
        <f t="shared" si="715"/>
        <v>0</v>
      </c>
      <c r="AV783" s="34">
        <f t="shared" si="716"/>
        <v>0</v>
      </c>
      <c r="AW783" s="34">
        <f t="shared" si="717"/>
        <v>0</v>
      </c>
      <c r="AX783" s="29">
        <f t="shared" si="718"/>
        <v>0</v>
      </c>
      <c r="AY783" s="34">
        <f t="shared" si="719"/>
        <v>0</v>
      </c>
      <c r="AZ783" s="37">
        <f t="shared" si="720"/>
        <v>0</v>
      </c>
      <c r="BA783" s="37">
        <f t="shared" si="721"/>
        <v>0</v>
      </c>
      <c r="BB783" s="35">
        <f t="shared" si="722"/>
        <v>1.3064055117777418E-3</v>
      </c>
      <c r="BC783" s="31">
        <f t="shared" si="723"/>
        <v>0.36166904913503534</v>
      </c>
      <c r="BD783" s="34">
        <f t="shared" si="724"/>
        <v>0</v>
      </c>
    </row>
    <row r="784" spans="1:56" x14ac:dyDescent="0.2">
      <c r="A784" s="27">
        <f t="shared" si="725"/>
        <v>780</v>
      </c>
      <c r="B784" s="28">
        <f t="shared" si="672"/>
        <v>780</v>
      </c>
      <c r="C784" s="27">
        <f t="shared" si="673"/>
        <v>65</v>
      </c>
      <c r="D784" s="28">
        <f t="shared" si="674"/>
        <v>85</v>
      </c>
      <c r="E784" s="29">
        <f t="shared" si="675"/>
        <v>0</v>
      </c>
      <c r="F784" s="30">
        <f t="shared" si="676"/>
        <v>2.602626048888074E-2</v>
      </c>
      <c r="G784" s="31">
        <f t="shared" si="677"/>
        <v>2.1951651923085569E-3</v>
      </c>
      <c r="H784" s="32">
        <f t="shared" si="678"/>
        <v>0.02</v>
      </c>
      <c r="I784" s="32">
        <f t="shared" si="679"/>
        <v>0</v>
      </c>
      <c r="J784" s="33">
        <f t="shared" si="726"/>
        <v>0</v>
      </c>
      <c r="K784" s="30">
        <f t="shared" si="680"/>
        <v>0</v>
      </c>
      <c r="L784" s="33">
        <f t="shared" si="681"/>
        <v>0</v>
      </c>
      <c r="M784" s="30">
        <f t="shared" si="682"/>
        <v>0</v>
      </c>
      <c r="N784" s="33">
        <f t="shared" si="683"/>
        <v>0</v>
      </c>
      <c r="O784" s="31">
        <f t="shared" si="684"/>
        <v>0</v>
      </c>
      <c r="P784" s="33">
        <f t="shared" si="685"/>
        <v>0</v>
      </c>
      <c r="Q784" s="34">
        <f t="shared" si="727"/>
        <v>834639.09510548785</v>
      </c>
      <c r="R784" s="29">
        <f t="shared" si="686"/>
        <v>0</v>
      </c>
      <c r="S784" s="34">
        <f t="shared" si="687"/>
        <v>834639.09510548785</v>
      </c>
      <c r="T784" s="29">
        <f t="shared" si="688"/>
        <v>695.53257925457331</v>
      </c>
      <c r="U784" s="29">
        <f t="shared" si="689"/>
        <v>0</v>
      </c>
      <c r="V784" s="35">
        <f t="shared" si="690"/>
        <v>2.4146817115394126E-3</v>
      </c>
      <c r="W784" s="34">
        <f t="shared" si="691"/>
        <v>0</v>
      </c>
      <c r="X784" s="34">
        <f t="shared" si="692"/>
        <v>833943.56252623326</v>
      </c>
      <c r="Y784" s="36">
        <f t="shared" si="693"/>
        <v>1.6352142870840858E-2</v>
      </c>
      <c r="Z784" s="34">
        <f t="shared" si="694"/>
        <v>13636.764280646972</v>
      </c>
      <c r="AA784" s="34">
        <f t="shared" si="695"/>
        <v>840761.94466655678</v>
      </c>
      <c r="AB784" s="34">
        <f t="shared" si="696"/>
        <v>0</v>
      </c>
      <c r="AC784" s="34">
        <f t="shared" si="697"/>
        <v>0</v>
      </c>
      <c r="AD784" s="34">
        <f t="shared" si="698"/>
        <v>0</v>
      </c>
      <c r="AE784" s="34">
        <f t="shared" si="699"/>
        <v>0</v>
      </c>
      <c r="AF784" s="34">
        <f t="shared" si="700"/>
        <v>0</v>
      </c>
      <c r="AG784" s="29">
        <f t="shared" si="701"/>
        <v>840761.94466655678</v>
      </c>
      <c r="AH784" s="34">
        <f t="shared" si="702"/>
        <v>0</v>
      </c>
      <c r="AI784" s="34">
        <f t="shared" si="703"/>
        <v>0</v>
      </c>
      <c r="AJ784" s="34">
        <f t="shared" si="704"/>
        <v>0</v>
      </c>
      <c r="AK784" s="34">
        <f t="shared" si="705"/>
        <v>0</v>
      </c>
      <c r="AL784" s="34">
        <f t="shared" si="706"/>
        <v>0</v>
      </c>
      <c r="AM784" s="34">
        <f t="shared" si="707"/>
        <v>0</v>
      </c>
      <c r="AN784" s="34">
        <f t="shared" si="708"/>
        <v>0</v>
      </c>
      <c r="AO784" s="34">
        <f t="shared" si="709"/>
        <v>0</v>
      </c>
      <c r="AP784" s="34">
        <f t="shared" si="710"/>
        <v>0</v>
      </c>
      <c r="AQ784" s="34">
        <f t="shared" si="711"/>
        <v>0</v>
      </c>
      <c r="AR784" s="34">
        <f t="shared" si="712"/>
        <v>0</v>
      </c>
      <c r="AS784" s="30">
        <f t="shared" si="713"/>
        <v>1.9093664881743506</v>
      </c>
      <c r="AT784" s="29">
        <f t="shared" si="714"/>
        <v>0</v>
      </c>
      <c r="AU784" s="29">
        <f t="shared" si="715"/>
        <v>0</v>
      </c>
      <c r="AV784" s="34">
        <f t="shared" si="716"/>
        <v>0</v>
      </c>
      <c r="AW784" s="34">
        <f t="shared" si="717"/>
        <v>0</v>
      </c>
      <c r="AX784" s="29">
        <f t="shared" si="718"/>
        <v>0</v>
      </c>
      <c r="AY784" s="34">
        <f t="shared" si="719"/>
        <v>0</v>
      </c>
      <c r="AZ784" s="37">
        <f t="shared" si="720"/>
        <v>0</v>
      </c>
      <c r="BA784" s="37">
        <f t="shared" si="721"/>
        <v>0</v>
      </c>
      <c r="BB784" s="35">
        <f t="shared" si="722"/>
        <v>1.3343305718431786E-3</v>
      </c>
      <c r="BC784" s="31">
        <f t="shared" si="723"/>
        <v>0.35342496040859001</v>
      </c>
      <c r="BD784" s="34">
        <f t="shared" si="724"/>
        <v>0</v>
      </c>
    </row>
    <row r="785" spans="1:56" x14ac:dyDescent="0.2">
      <c r="A785" s="27">
        <f t="shared" si="725"/>
        <v>781</v>
      </c>
      <c r="B785" s="28">
        <f t="shared" si="672"/>
        <v>781</v>
      </c>
      <c r="C785" s="27">
        <f t="shared" si="673"/>
        <v>65</v>
      </c>
      <c r="D785" s="28">
        <f t="shared" si="674"/>
        <v>85</v>
      </c>
      <c r="E785" s="29">
        <f t="shared" si="675"/>
        <v>0</v>
      </c>
      <c r="F785" s="30">
        <f t="shared" si="676"/>
        <v>2.602626048888074E-2</v>
      </c>
      <c r="G785" s="31">
        <f t="shared" si="677"/>
        <v>2.1951651923085569E-3</v>
      </c>
      <c r="H785" s="32">
        <f t="shared" si="678"/>
        <v>0.02</v>
      </c>
      <c r="I785" s="32">
        <f t="shared" si="679"/>
        <v>0</v>
      </c>
      <c r="J785" s="33">
        <f t="shared" si="726"/>
        <v>0</v>
      </c>
      <c r="K785" s="30">
        <f t="shared" si="680"/>
        <v>0</v>
      </c>
      <c r="L785" s="33">
        <f t="shared" si="681"/>
        <v>0</v>
      </c>
      <c r="M785" s="30">
        <f t="shared" si="682"/>
        <v>0</v>
      </c>
      <c r="N785" s="33">
        <f t="shared" si="683"/>
        <v>0</v>
      </c>
      <c r="O785" s="31">
        <f t="shared" si="684"/>
        <v>0</v>
      </c>
      <c r="P785" s="33">
        <f t="shared" si="685"/>
        <v>0</v>
      </c>
      <c r="Q785" s="34">
        <f t="shared" si="727"/>
        <v>847580.32680688018</v>
      </c>
      <c r="R785" s="29">
        <f t="shared" si="686"/>
        <v>0</v>
      </c>
      <c r="S785" s="34">
        <f t="shared" si="687"/>
        <v>847580.32680688018</v>
      </c>
      <c r="T785" s="29">
        <f t="shared" si="688"/>
        <v>706.3169390057335</v>
      </c>
      <c r="U785" s="29">
        <f t="shared" si="689"/>
        <v>0</v>
      </c>
      <c r="V785" s="35">
        <f t="shared" si="690"/>
        <v>2.4146817115394126E-3</v>
      </c>
      <c r="W785" s="34">
        <f t="shared" si="691"/>
        <v>0</v>
      </c>
      <c r="X785" s="34">
        <f t="shared" si="692"/>
        <v>846874.00986787444</v>
      </c>
      <c r="Y785" s="36">
        <f t="shared" si="693"/>
        <v>1.1243480275350937E-2</v>
      </c>
      <c r="Z785" s="34">
        <f t="shared" si="694"/>
        <v>9521.8112256568002</v>
      </c>
      <c r="AA785" s="34">
        <f t="shared" si="695"/>
        <v>851634.91548070288</v>
      </c>
      <c r="AB785" s="34">
        <f t="shared" si="696"/>
        <v>0</v>
      </c>
      <c r="AC785" s="34">
        <f t="shared" si="697"/>
        <v>0</v>
      </c>
      <c r="AD785" s="34">
        <f t="shared" si="698"/>
        <v>0</v>
      </c>
      <c r="AE785" s="34">
        <f t="shared" si="699"/>
        <v>0</v>
      </c>
      <c r="AF785" s="34">
        <f t="shared" si="700"/>
        <v>0</v>
      </c>
      <c r="AG785" s="29">
        <f t="shared" si="701"/>
        <v>851634.91548070288</v>
      </c>
      <c r="AH785" s="34">
        <f t="shared" si="702"/>
        <v>0</v>
      </c>
      <c r="AI785" s="34">
        <f t="shared" si="703"/>
        <v>0</v>
      </c>
      <c r="AJ785" s="34">
        <f t="shared" si="704"/>
        <v>0</v>
      </c>
      <c r="AK785" s="34">
        <f t="shared" si="705"/>
        <v>0</v>
      </c>
      <c r="AL785" s="34">
        <f t="shared" si="706"/>
        <v>0</v>
      </c>
      <c r="AM785" s="34">
        <f t="shared" si="707"/>
        <v>0</v>
      </c>
      <c r="AN785" s="34">
        <f t="shared" si="708"/>
        <v>0</v>
      </c>
      <c r="AO785" s="34">
        <f t="shared" si="709"/>
        <v>0</v>
      </c>
      <c r="AP785" s="34">
        <f t="shared" si="710"/>
        <v>0</v>
      </c>
      <c r="AQ785" s="34">
        <f t="shared" si="711"/>
        <v>0</v>
      </c>
      <c r="AR785" s="34">
        <f t="shared" si="712"/>
        <v>0</v>
      </c>
      <c r="AS785" s="30">
        <f t="shared" si="713"/>
        <v>1.9109503804505461</v>
      </c>
      <c r="AT785" s="29">
        <f t="shared" si="714"/>
        <v>0</v>
      </c>
      <c r="AU785" s="29">
        <f t="shared" si="715"/>
        <v>0</v>
      </c>
      <c r="AV785" s="34">
        <f t="shared" si="716"/>
        <v>0</v>
      </c>
      <c r="AW785" s="34">
        <f t="shared" si="717"/>
        <v>0</v>
      </c>
      <c r="AX785" s="29">
        <f t="shared" si="718"/>
        <v>0</v>
      </c>
      <c r="AY785" s="34">
        <f t="shared" si="719"/>
        <v>0</v>
      </c>
      <c r="AZ785" s="37">
        <f t="shared" si="720"/>
        <v>0</v>
      </c>
      <c r="BA785" s="37">
        <f t="shared" si="721"/>
        <v>0</v>
      </c>
      <c r="BB785" s="35">
        <f t="shared" si="722"/>
        <v>1.3343305718431786E-3</v>
      </c>
      <c r="BC785" s="31">
        <f t="shared" si="723"/>
        <v>0.35295400309181013</v>
      </c>
      <c r="BD785" s="34">
        <f t="shared" si="724"/>
        <v>0</v>
      </c>
    </row>
    <row r="786" spans="1:56" x14ac:dyDescent="0.2">
      <c r="A786" s="27">
        <f t="shared" si="725"/>
        <v>782</v>
      </c>
      <c r="B786" s="28">
        <f t="shared" si="672"/>
        <v>782</v>
      </c>
      <c r="C786" s="27">
        <f t="shared" si="673"/>
        <v>65</v>
      </c>
      <c r="D786" s="28">
        <f t="shared" si="674"/>
        <v>85</v>
      </c>
      <c r="E786" s="29">
        <f t="shared" si="675"/>
        <v>0</v>
      </c>
      <c r="F786" s="30">
        <f t="shared" si="676"/>
        <v>2.602626048888074E-2</v>
      </c>
      <c r="G786" s="31">
        <f t="shared" si="677"/>
        <v>2.1951651923085569E-3</v>
      </c>
      <c r="H786" s="32">
        <f t="shared" si="678"/>
        <v>0.02</v>
      </c>
      <c r="I786" s="32">
        <f t="shared" si="679"/>
        <v>0</v>
      </c>
      <c r="J786" s="33">
        <f t="shared" si="726"/>
        <v>0</v>
      </c>
      <c r="K786" s="30">
        <f t="shared" si="680"/>
        <v>0</v>
      </c>
      <c r="L786" s="33">
        <f t="shared" si="681"/>
        <v>0</v>
      </c>
      <c r="M786" s="30">
        <f t="shared" si="682"/>
        <v>0</v>
      </c>
      <c r="N786" s="33">
        <f t="shared" si="683"/>
        <v>0</v>
      </c>
      <c r="O786" s="31">
        <f t="shared" si="684"/>
        <v>0</v>
      </c>
      <c r="P786" s="33">
        <f t="shared" si="685"/>
        <v>0</v>
      </c>
      <c r="Q786" s="34">
        <f t="shared" si="727"/>
        <v>856395.82109353121</v>
      </c>
      <c r="R786" s="29">
        <f t="shared" si="686"/>
        <v>0</v>
      </c>
      <c r="S786" s="34">
        <f t="shared" si="687"/>
        <v>856395.82109353121</v>
      </c>
      <c r="T786" s="29">
        <f t="shared" si="688"/>
        <v>713.6631842446094</v>
      </c>
      <c r="U786" s="29">
        <f t="shared" si="689"/>
        <v>0</v>
      </c>
      <c r="V786" s="35">
        <f t="shared" si="690"/>
        <v>2.4146817115394126E-3</v>
      </c>
      <c r="W786" s="34">
        <f t="shared" si="691"/>
        <v>0</v>
      </c>
      <c r="X786" s="34">
        <f t="shared" si="692"/>
        <v>855682.15790928656</v>
      </c>
      <c r="Y786" s="36">
        <f t="shared" si="693"/>
        <v>-1.9835225645505772E-2</v>
      </c>
      <c r="Z786" s="34">
        <f t="shared" si="694"/>
        <v>-16972.648682964002</v>
      </c>
      <c r="AA786" s="34">
        <f t="shared" si="695"/>
        <v>847195.83356780454</v>
      </c>
      <c r="AB786" s="34">
        <f t="shared" si="696"/>
        <v>0</v>
      </c>
      <c r="AC786" s="34">
        <f t="shared" si="697"/>
        <v>0</v>
      </c>
      <c r="AD786" s="34">
        <f t="shared" si="698"/>
        <v>0</v>
      </c>
      <c r="AE786" s="34">
        <f t="shared" si="699"/>
        <v>0</v>
      </c>
      <c r="AF786" s="34">
        <f t="shared" si="700"/>
        <v>0</v>
      </c>
      <c r="AG786" s="29">
        <f t="shared" si="701"/>
        <v>847195.83356780454</v>
      </c>
      <c r="AH786" s="34">
        <f t="shared" si="702"/>
        <v>0</v>
      </c>
      <c r="AI786" s="34">
        <f t="shared" si="703"/>
        <v>0</v>
      </c>
      <c r="AJ786" s="34">
        <f t="shared" si="704"/>
        <v>0</v>
      </c>
      <c r="AK786" s="34">
        <f t="shared" si="705"/>
        <v>0</v>
      </c>
      <c r="AL786" s="34">
        <f t="shared" si="706"/>
        <v>0</v>
      </c>
      <c r="AM786" s="34">
        <f t="shared" si="707"/>
        <v>0</v>
      </c>
      <c r="AN786" s="34">
        <f t="shared" si="708"/>
        <v>0</v>
      </c>
      <c r="AO786" s="34">
        <f t="shared" si="709"/>
        <v>0</v>
      </c>
      <c r="AP786" s="34">
        <f t="shared" si="710"/>
        <v>0</v>
      </c>
      <c r="AQ786" s="34">
        <f t="shared" si="711"/>
        <v>0</v>
      </c>
      <c r="AR786" s="34">
        <f t="shared" si="712"/>
        <v>0</v>
      </c>
      <c r="AS786" s="30">
        <f t="shared" si="713"/>
        <v>1.9125355866257545</v>
      </c>
      <c r="AT786" s="29">
        <f t="shared" si="714"/>
        <v>0</v>
      </c>
      <c r="AU786" s="29">
        <f t="shared" si="715"/>
        <v>0</v>
      </c>
      <c r="AV786" s="34">
        <f t="shared" si="716"/>
        <v>0</v>
      </c>
      <c r="AW786" s="34">
        <f t="shared" si="717"/>
        <v>0</v>
      </c>
      <c r="AX786" s="29">
        <f t="shared" si="718"/>
        <v>0</v>
      </c>
      <c r="AY786" s="34">
        <f t="shared" si="719"/>
        <v>0</v>
      </c>
      <c r="AZ786" s="37">
        <f t="shared" si="720"/>
        <v>0</v>
      </c>
      <c r="BA786" s="37">
        <f t="shared" si="721"/>
        <v>0</v>
      </c>
      <c r="BB786" s="35">
        <f t="shared" si="722"/>
        <v>1.3343305718431786E-3</v>
      </c>
      <c r="BC786" s="31">
        <f t="shared" si="723"/>
        <v>0.35248367335038311</v>
      </c>
      <c r="BD786" s="34">
        <f t="shared" si="724"/>
        <v>0</v>
      </c>
    </row>
    <row r="787" spans="1:56" x14ac:dyDescent="0.2">
      <c r="A787" s="27">
        <f t="shared" si="725"/>
        <v>783</v>
      </c>
      <c r="B787" s="28">
        <f t="shared" si="672"/>
        <v>783</v>
      </c>
      <c r="C787" s="27">
        <f t="shared" si="673"/>
        <v>65</v>
      </c>
      <c r="D787" s="28">
        <f t="shared" si="674"/>
        <v>85</v>
      </c>
      <c r="E787" s="29">
        <f t="shared" si="675"/>
        <v>0</v>
      </c>
      <c r="F787" s="30">
        <f t="shared" si="676"/>
        <v>2.602626048888074E-2</v>
      </c>
      <c r="G787" s="31">
        <f t="shared" si="677"/>
        <v>2.1951651923085569E-3</v>
      </c>
      <c r="H787" s="32">
        <f t="shared" si="678"/>
        <v>0.02</v>
      </c>
      <c r="I787" s="32">
        <f t="shared" si="679"/>
        <v>0</v>
      </c>
      <c r="J787" s="33">
        <f t="shared" si="726"/>
        <v>0</v>
      </c>
      <c r="K787" s="30">
        <f t="shared" si="680"/>
        <v>0</v>
      </c>
      <c r="L787" s="33">
        <f t="shared" si="681"/>
        <v>0</v>
      </c>
      <c r="M787" s="30">
        <f t="shared" si="682"/>
        <v>0</v>
      </c>
      <c r="N787" s="33">
        <f t="shared" si="683"/>
        <v>0</v>
      </c>
      <c r="O787" s="31">
        <f t="shared" si="684"/>
        <v>0</v>
      </c>
      <c r="P787" s="33">
        <f t="shared" si="685"/>
        <v>0</v>
      </c>
      <c r="Q787" s="34">
        <f t="shared" si="727"/>
        <v>838709.50922632252</v>
      </c>
      <c r="R787" s="29">
        <f t="shared" si="686"/>
        <v>0</v>
      </c>
      <c r="S787" s="34">
        <f t="shared" si="687"/>
        <v>838709.50922632252</v>
      </c>
      <c r="T787" s="29">
        <f t="shared" si="688"/>
        <v>698.9245910219355</v>
      </c>
      <c r="U787" s="29">
        <f t="shared" si="689"/>
        <v>0</v>
      </c>
      <c r="V787" s="35">
        <f t="shared" si="690"/>
        <v>2.4146817115394126E-3</v>
      </c>
      <c r="W787" s="34">
        <f t="shared" si="691"/>
        <v>0</v>
      </c>
      <c r="X787" s="34">
        <f t="shared" si="692"/>
        <v>838010.58463530056</v>
      </c>
      <c r="Y787" s="36">
        <f t="shared" si="693"/>
        <v>-2.4563732631688318E-4</v>
      </c>
      <c r="Z787" s="34">
        <f t="shared" si="694"/>
        <v>-205.84667943506338</v>
      </c>
      <c r="AA787" s="34">
        <f t="shared" si="695"/>
        <v>837907.66129558301</v>
      </c>
      <c r="AB787" s="34">
        <f t="shared" si="696"/>
        <v>0</v>
      </c>
      <c r="AC787" s="34">
        <f t="shared" si="697"/>
        <v>0</v>
      </c>
      <c r="AD787" s="34">
        <f t="shared" si="698"/>
        <v>0</v>
      </c>
      <c r="AE787" s="34">
        <f t="shared" si="699"/>
        <v>0</v>
      </c>
      <c r="AF787" s="34">
        <f t="shared" si="700"/>
        <v>0</v>
      </c>
      <c r="AG787" s="29">
        <f t="shared" si="701"/>
        <v>837907.66129558301</v>
      </c>
      <c r="AH787" s="34">
        <f t="shared" si="702"/>
        <v>0</v>
      </c>
      <c r="AI787" s="34">
        <f t="shared" si="703"/>
        <v>0</v>
      </c>
      <c r="AJ787" s="34">
        <f t="shared" si="704"/>
        <v>0</v>
      </c>
      <c r="AK787" s="34">
        <f t="shared" si="705"/>
        <v>0</v>
      </c>
      <c r="AL787" s="34">
        <f t="shared" si="706"/>
        <v>0</v>
      </c>
      <c r="AM787" s="34">
        <f t="shared" si="707"/>
        <v>0</v>
      </c>
      <c r="AN787" s="34">
        <f t="shared" si="708"/>
        <v>0</v>
      </c>
      <c r="AO787" s="34">
        <f t="shared" si="709"/>
        <v>0</v>
      </c>
      <c r="AP787" s="34">
        <f t="shared" si="710"/>
        <v>0</v>
      </c>
      <c r="AQ787" s="34">
        <f t="shared" si="711"/>
        <v>0</v>
      </c>
      <c r="AR787" s="34">
        <f t="shared" si="712"/>
        <v>0</v>
      </c>
      <c r="AS787" s="30">
        <f t="shared" si="713"/>
        <v>1.914122107789904</v>
      </c>
      <c r="AT787" s="29">
        <f t="shared" si="714"/>
        <v>0</v>
      </c>
      <c r="AU787" s="29">
        <f t="shared" si="715"/>
        <v>0</v>
      </c>
      <c r="AV787" s="34">
        <f t="shared" si="716"/>
        <v>0</v>
      </c>
      <c r="AW787" s="34">
        <f t="shared" si="717"/>
        <v>0</v>
      </c>
      <c r="AX787" s="29">
        <f t="shared" si="718"/>
        <v>0</v>
      </c>
      <c r="AY787" s="34">
        <f t="shared" si="719"/>
        <v>0</v>
      </c>
      <c r="AZ787" s="37">
        <f t="shared" si="720"/>
        <v>0</v>
      </c>
      <c r="BA787" s="37">
        <f t="shared" si="721"/>
        <v>0</v>
      </c>
      <c r="BB787" s="35">
        <f t="shared" si="722"/>
        <v>1.3343305718431786E-3</v>
      </c>
      <c r="BC787" s="31">
        <f t="shared" si="723"/>
        <v>0.35201397034803189</v>
      </c>
      <c r="BD787" s="34">
        <f t="shared" si="724"/>
        <v>0</v>
      </c>
    </row>
    <row r="788" spans="1:56" x14ac:dyDescent="0.2">
      <c r="A788" s="27">
        <f t="shared" si="725"/>
        <v>784</v>
      </c>
      <c r="B788" s="28">
        <f t="shared" si="672"/>
        <v>784</v>
      </c>
      <c r="C788" s="27">
        <f t="shared" si="673"/>
        <v>65</v>
      </c>
      <c r="D788" s="28">
        <f t="shared" si="674"/>
        <v>85</v>
      </c>
      <c r="E788" s="29">
        <f t="shared" si="675"/>
        <v>0</v>
      </c>
      <c r="F788" s="30">
        <f t="shared" si="676"/>
        <v>2.602626048888074E-2</v>
      </c>
      <c r="G788" s="31">
        <f t="shared" si="677"/>
        <v>2.1951651923085569E-3</v>
      </c>
      <c r="H788" s="32">
        <f t="shared" si="678"/>
        <v>0.02</v>
      </c>
      <c r="I788" s="32">
        <f t="shared" si="679"/>
        <v>0</v>
      </c>
      <c r="J788" s="33">
        <f t="shared" si="726"/>
        <v>0</v>
      </c>
      <c r="K788" s="30">
        <f t="shared" si="680"/>
        <v>0</v>
      </c>
      <c r="L788" s="33">
        <f t="shared" si="681"/>
        <v>0</v>
      </c>
      <c r="M788" s="30">
        <f t="shared" si="682"/>
        <v>0</v>
      </c>
      <c r="N788" s="33">
        <f t="shared" si="683"/>
        <v>0</v>
      </c>
      <c r="O788" s="31">
        <f t="shared" si="684"/>
        <v>0</v>
      </c>
      <c r="P788" s="33">
        <f t="shared" si="685"/>
        <v>0</v>
      </c>
      <c r="Q788" s="34">
        <f t="shared" si="727"/>
        <v>837804.73795586545</v>
      </c>
      <c r="R788" s="29">
        <f t="shared" si="686"/>
        <v>0</v>
      </c>
      <c r="S788" s="34">
        <f t="shared" si="687"/>
        <v>837804.73795586545</v>
      </c>
      <c r="T788" s="29">
        <f t="shared" si="688"/>
        <v>698.17061496322128</v>
      </c>
      <c r="U788" s="29">
        <f t="shared" si="689"/>
        <v>0</v>
      </c>
      <c r="V788" s="35">
        <f t="shared" si="690"/>
        <v>2.4146817115394126E-3</v>
      </c>
      <c r="W788" s="34">
        <f t="shared" si="691"/>
        <v>0</v>
      </c>
      <c r="X788" s="34">
        <f t="shared" si="692"/>
        <v>837106.56734090229</v>
      </c>
      <c r="Y788" s="36">
        <f t="shared" si="693"/>
        <v>-3.6045934115924716E-4</v>
      </c>
      <c r="Z788" s="34">
        <f t="shared" si="694"/>
        <v>-301.74288174378063</v>
      </c>
      <c r="AA788" s="34">
        <f t="shared" si="695"/>
        <v>836955.69590003043</v>
      </c>
      <c r="AB788" s="34">
        <f t="shared" si="696"/>
        <v>0</v>
      </c>
      <c r="AC788" s="34">
        <f t="shared" si="697"/>
        <v>0</v>
      </c>
      <c r="AD788" s="34">
        <f t="shared" si="698"/>
        <v>0</v>
      </c>
      <c r="AE788" s="34">
        <f t="shared" si="699"/>
        <v>0</v>
      </c>
      <c r="AF788" s="34">
        <f t="shared" si="700"/>
        <v>0</v>
      </c>
      <c r="AG788" s="29">
        <f t="shared" si="701"/>
        <v>836955.69590003043</v>
      </c>
      <c r="AH788" s="34">
        <f t="shared" si="702"/>
        <v>0</v>
      </c>
      <c r="AI788" s="34">
        <f t="shared" si="703"/>
        <v>0</v>
      </c>
      <c r="AJ788" s="34">
        <f t="shared" si="704"/>
        <v>0</v>
      </c>
      <c r="AK788" s="34">
        <f t="shared" si="705"/>
        <v>0</v>
      </c>
      <c r="AL788" s="34">
        <f t="shared" si="706"/>
        <v>0</v>
      </c>
      <c r="AM788" s="34">
        <f t="shared" si="707"/>
        <v>0</v>
      </c>
      <c r="AN788" s="34">
        <f t="shared" si="708"/>
        <v>0</v>
      </c>
      <c r="AO788" s="34">
        <f t="shared" si="709"/>
        <v>0</v>
      </c>
      <c r="AP788" s="34">
        <f t="shared" si="710"/>
        <v>0</v>
      </c>
      <c r="AQ788" s="34">
        <f t="shared" si="711"/>
        <v>0</v>
      </c>
      <c r="AR788" s="34">
        <f t="shared" si="712"/>
        <v>0</v>
      </c>
      <c r="AS788" s="30">
        <f t="shared" si="713"/>
        <v>1.9157099450338284</v>
      </c>
      <c r="AT788" s="29">
        <f t="shared" si="714"/>
        <v>0</v>
      </c>
      <c r="AU788" s="29">
        <f t="shared" si="715"/>
        <v>0</v>
      </c>
      <c r="AV788" s="34">
        <f t="shared" si="716"/>
        <v>0</v>
      </c>
      <c r="AW788" s="34">
        <f t="shared" si="717"/>
        <v>0</v>
      </c>
      <c r="AX788" s="29">
        <f t="shared" si="718"/>
        <v>0</v>
      </c>
      <c r="AY788" s="34">
        <f t="shared" si="719"/>
        <v>0</v>
      </c>
      <c r="AZ788" s="37">
        <f t="shared" si="720"/>
        <v>0</v>
      </c>
      <c r="BA788" s="37">
        <f t="shared" si="721"/>
        <v>0</v>
      </c>
      <c r="BB788" s="35">
        <f t="shared" si="722"/>
        <v>1.3343305718431786E-3</v>
      </c>
      <c r="BC788" s="31">
        <f t="shared" si="723"/>
        <v>0.35154489324959359</v>
      </c>
      <c r="BD788" s="34">
        <f t="shared" si="724"/>
        <v>0</v>
      </c>
    </row>
    <row r="789" spans="1:56" x14ac:dyDescent="0.2">
      <c r="A789" s="27">
        <f t="shared" si="725"/>
        <v>785</v>
      </c>
      <c r="B789" s="28">
        <f t="shared" si="672"/>
        <v>785</v>
      </c>
      <c r="C789" s="27">
        <f t="shared" si="673"/>
        <v>65</v>
      </c>
      <c r="D789" s="28">
        <f t="shared" si="674"/>
        <v>85</v>
      </c>
      <c r="E789" s="29">
        <f t="shared" si="675"/>
        <v>0</v>
      </c>
      <c r="F789" s="30">
        <f t="shared" si="676"/>
        <v>2.602626048888074E-2</v>
      </c>
      <c r="G789" s="31">
        <f t="shared" si="677"/>
        <v>2.1951651923085569E-3</v>
      </c>
      <c r="H789" s="32">
        <f t="shared" si="678"/>
        <v>0.02</v>
      </c>
      <c r="I789" s="32">
        <f t="shared" si="679"/>
        <v>0</v>
      </c>
      <c r="J789" s="33">
        <f t="shared" si="726"/>
        <v>0</v>
      </c>
      <c r="K789" s="30">
        <f t="shared" si="680"/>
        <v>0</v>
      </c>
      <c r="L789" s="33">
        <f t="shared" si="681"/>
        <v>0</v>
      </c>
      <c r="M789" s="30">
        <f t="shared" si="682"/>
        <v>0</v>
      </c>
      <c r="N789" s="33">
        <f t="shared" si="683"/>
        <v>0</v>
      </c>
      <c r="O789" s="31">
        <f t="shared" si="684"/>
        <v>0</v>
      </c>
      <c r="P789" s="33">
        <f t="shared" si="685"/>
        <v>0</v>
      </c>
      <c r="Q789" s="34">
        <f t="shared" si="727"/>
        <v>836804.82445915847</v>
      </c>
      <c r="R789" s="29">
        <f t="shared" si="686"/>
        <v>0</v>
      </c>
      <c r="S789" s="34">
        <f t="shared" si="687"/>
        <v>836804.82445915847</v>
      </c>
      <c r="T789" s="29">
        <f t="shared" si="688"/>
        <v>697.33735371596538</v>
      </c>
      <c r="U789" s="29">
        <f t="shared" si="689"/>
        <v>0</v>
      </c>
      <c r="V789" s="35">
        <f t="shared" si="690"/>
        <v>2.4146817115394126E-3</v>
      </c>
      <c r="W789" s="34">
        <f t="shared" si="691"/>
        <v>0</v>
      </c>
      <c r="X789" s="34">
        <f t="shared" si="692"/>
        <v>836107.48710544244</v>
      </c>
      <c r="Y789" s="36">
        <f t="shared" si="693"/>
        <v>6.0692699924977944E-3</v>
      </c>
      <c r="Z789" s="34">
        <f t="shared" si="694"/>
        <v>5074.5620819917986</v>
      </c>
      <c r="AA789" s="34">
        <f t="shared" si="695"/>
        <v>838644.76814643829</v>
      </c>
      <c r="AB789" s="34">
        <f t="shared" si="696"/>
        <v>0</v>
      </c>
      <c r="AC789" s="34">
        <f t="shared" si="697"/>
        <v>0</v>
      </c>
      <c r="AD789" s="34">
        <f t="shared" si="698"/>
        <v>0</v>
      </c>
      <c r="AE789" s="34">
        <f t="shared" si="699"/>
        <v>0</v>
      </c>
      <c r="AF789" s="34">
        <f t="shared" si="700"/>
        <v>0</v>
      </c>
      <c r="AG789" s="29">
        <f t="shared" si="701"/>
        <v>838644.76814643829</v>
      </c>
      <c r="AH789" s="34">
        <f t="shared" si="702"/>
        <v>0</v>
      </c>
      <c r="AI789" s="34">
        <f t="shared" si="703"/>
        <v>0</v>
      </c>
      <c r="AJ789" s="34">
        <f t="shared" si="704"/>
        <v>0</v>
      </c>
      <c r="AK789" s="34">
        <f t="shared" si="705"/>
        <v>0</v>
      </c>
      <c r="AL789" s="34">
        <f t="shared" si="706"/>
        <v>0</v>
      </c>
      <c r="AM789" s="34">
        <f t="shared" si="707"/>
        <v>0</v>
      </c>
      <c r="AN789" s="34">
        <f t="shared" si="708"/>
        <v>0</v>
      </c>
      <c r="AO789" s="34">
        <f t="shared" si="709"/>
        <v>0</v>
      </c>
      <c r="AP789" s="34">
        <f t="shared" si="710"/>
        <v>0</v>
      </c>
      <c r="AQ789" s="34">
        <f t="shared" si="711"/>
        <v>0</v>
      </c>
      <c r="AR789" s="34">
        <f t="shared" si="712"/>
        <v>0</v>
      </c>
      <c r="AS789" s="30">
        <f t="shared" si="713"/>
        <v>1.9172990994492665</v>
      </c>
      <c r="AT789" s="29">
        <f t="shared" si="714"/>
        <v>0</v>
      </c>
      <c r="AU789" s="29">
        <f t="shared" si="715"/>
        <v>0</v>
      </c>
      <c r="AV789" s="34">
        <f t="shared" si="716"/>
        <v>0</v>
      </c>
      <c r="AW789" s="34">
        <f t="shared" si="717"/>
        <v>0</v>
      </c>
      <c r="AX789" s="29">
        <f t="shared" si="718"/>
        <v>0</v>
      </c>
      <c r="AY789" s="34">
        <f t="shared" si="719"/>
        <v>0</v>
      </c>
      <c r="AZ789" s="37">
        <f t="shared" si="720"/>
        <v>0</v>
      </c>
      <c r="BA789" s="37">
        <f t="shared" si="721"/>
        <v>0</v>
      </c>
      <c r="BB789" s="35">
        <f t="shared" si="722"/>
        <v>1.3343305718431786E-3</v>
      </c>
      <c r="BC789" s="31">
        <f t="shared" si="723"/>
        <v>0.3510764412210185</v>
      </c>
      <c r="BD789" s="34">
        <f t="shared" si="724"/>
        <v>0</v>
      </c>
    </row>
    <row r="790" spans="1:56" x14ac:dyDescent="0.2">
      <c r="A790" s="27">
        <f t="shared" si="725"/>
        <v>786</v>
      </c>
      <c r="B790" s="28">
        <f t="shared" si="672"/>
        <v>786</v>
      </c>
      <c r="C790" s="27">
        <f t="shared" si="673"/>
        <v>65</v>
      </c>
      <c r="D790" s="28">
        <f t="shared" si="674"/>
        <v>85</v>
      </c>
      <c r="E790" s="29">
        <f t="shared" si="675"/>
        <v>0</v>
      </c>
      <c r="F790" s="30">
        <f t="shared" si="676"/>
        <v>2.602626048888074E-2</v>
      </c>
      <c r="G790" s="31">
        <f t="shared" si="677"/>
        <v>2.1951651923085569E-3</v>
      </c>
      <c r="H790" s="32">
        <f t="shared" si="678"/>
        <v>0.02</v>
      </c>
      <c r="I790" s="32">
        <f t="shared" si="679"/>
        <v>0</v>
      </c>
      <c r="J790" s="33">
        <f t="shared" si="726"/>
        <v>0</v>
      </c>
      <c r="K790" s="30">
        <f t="shared" si="680"/>
        <v>0</v>
      </c>
      <c r="L790" s="33">
        <f t="shared" si="681"/>
        <v>0</v>
      </c>
      <c r="M790" s="30">
        <f t="shared" si="682"/>
        <v>0</v>
      </c>
      <c r="N790" s="33">
        <f t="shared" si="683"/>
        <v>0</v>
      </c>
      <c r="O790" s="31">
        <f t="shared" si="684"/>
        <v>0</v>
      </c>
      <c r="P790" s="33">
        <f t="shared" si="685"/>
        <v>0</v>
      </c>
      <c r="Q790" s="34">
        <f t="shared" si="727"/>
        <v>841182.04918743426</v>
      </c>
      <c r="R790" s="29">
        <f t="shared" si="686"/>
        <v>0</v>
      </c>
      <c r="S790" s="34">
        <f t="shared" si="687"/>
        <v>841182.04918743426</v>
      </c>
      <c r="T790" s="29">
        <f t="shared" si="688"/>
        <v>700.98504098952856</v>
      </c>
      <c r="U790" s="29">
        <f t="shared" si="689"/>
        <v>0</v>
      </c>
      <c r="V790" s="35">
        <f t="shared" si="690"/>
        <v>2.4146817115394126E-3</v>
      </c>
      <c r="W790" s="34">
        <f t="shared" si="691"/>
        <v>0</v>
      </c>
      <c r="X790" s="34">
        <f t="shared" si="692"/>
        <v>840481.06414644478</v>
      </c>
      <c r="Y790" s="36">
        <f t="shared" si="693"/>
        <v>-6.6212385377646399E-3</v>
      </c>
      <c r="Z790" s="34">
        <f t="shared" si="694"/>
        <v>-5565.0256121878747</v>
      </c>
      <c r="AA790" s="34">
        <f t="shared" si="695"/>
        <v>837698.55134035088</v>
      </c>
      <c r="AB790" s="34">
        <f t="shared" si="696"/>
        <v>0</v>
      </c>
      <c r="AC790" s="34">
        <f t="shared" si="697"/>
        <v>0</v>
      </c>
      <c r="AD790" s="34">
        <f t="shared" si="698"/>
        <v>0</v>
      </c>
      <c r="AE790" s="34">
        <f t="shared" si="699"/>
        <v>0</v>
      </c>
      <c r="AF790" s="34">
        <f t="shared" si="700"/>
        <v>0</v>
      </c>
      <c r="AG790" s="29">
        <f t="shared" si="701"/>
        <v>837698.55134035088</v>
      </c>
      <c r="AH790" s="34">
        <f t="shared" si="702"/>
        <v>0</v>
      </c>
      <c r="AI790" s="34">
        <f t="shared" si="703"/>
        <v>0</v>
      </c>
      <c r="AJ790" s="34">
        <f t="shared" si="704"/>
        <v>0</v>
      </c>
      <c r="AK790" s="34">
        <f t="shared" si="705"/>
        <v>0</v>
      </c>
      <c r="AL790" s="34">
        <f t="shared" si="706"/>
        <v>0</v>
      </c>
      <c r="AM790" s="34">
        <f t="shared" si="707"/>
        <v>0</v>
      </c>
      <c r="AN790" s="34">
        <f t="shared" si="708"/>
        <v>0</v>
      </c>
      <c r="AO790" s="34">
        <f t="shared" si="709"/>
        <v>0</v>
      </c>
      <c r="AP790" s="34">
        <f t="shared" si="710"/>
        <v>0</v>
      </c>
      <c r="AQ790" s="34">
        <f t="shared" si="711"/>
        <v>0</v>
      </c>
      <c r="AR790" s="34">
        <f t="shared" si="712"/>
        <v>0</v>
      </c>
      <c r="AS790" s="30">
        <f t="shared" si="713"/>
        <v>1.9188895721288612</v>
      </c>
      <c r="AT790" s="29">
        <f t="shared" si="714"/>
        <v>0</v>
      </c>
      <c r="AU790" s="29">
        <f t="shared" si="715"/>
        <v>0</v>
      </c>
      <c r="AV790" s="34">
        <f t="shared" si="716"/>
        <v>0</v>
      </c>
      <c r="AW790" s="34">
        <f t="shared" si="717"/>
        <v>0</v>
      </c>
      <c r="AX790" s="29">
        <f t="shared" si="718"/>
        <v>0</v>
      </c>
      <c r="AY790" s="34">
        <f t="shared" si="719"/>
        <v>0</v>
      </c>
      <c r="AZ790" s="37">
        <f t="shared" si="720"/>
        <v>0</v>
      </c>
      <c r="BA790" s="37">
        <f t="shared" si="721"/>
        <v>0</v>
      </c>
      <c r="BB790" s="35">
        <f t="shared" si="722"/>
        <v>1.3343305718431786E-3</v>
      </c>
      <c r="BC790" s="31">
        <f t="shared" si="723"/>
        <v>0.35060861342936805</v>
      </c>
      <c r="BD790" s="34">
        <f t="shared" si="724"/>
        <v>0</v>
      </c>
    </row>
    <row r="791" spans="1:56" x14ac:dyDescent="0.2">
      <c r="A791" s="27">
        <f t="shared" si="725"/>
        <v>787</v>
      </c>
      <c r="B791" s="28">
        <f t="shared" si="672"/>
        <v>787</v>
      </c>
      <c r="C791" s="27">
        <f t="shared" si="673"/>
        <v>65</v>
      </c>
      <c r="D791" s="28">
        <f t="shared" si="674"/>
        <v>85</v>
      </c>
      <c r="E791" s="29">
        <f t="shared" si="675"/>
        <v>0</v>
      </c>
      <c r="F791" s="30">
        <f t="shared" si="676"/>
        <v>2.602626048888074E-2</v>
      </c>
      <c r="G791" s="31">
        <f t="shared" si="677"/>
        <v>2.1951651923085569E-3</v>
      </c>
      <c r="H791" s="32">
        <f t="shared" si="678"/>
        <v>0.02</v>
      </c>
      <c r="I791" s="32">
        <f t="shared" si="679"/>
        <v>0</v>
      </c>
      <c r="J791" s="33">
        <f t="shared" si="726"/>
        <v>0</v>
      </c>
      <c r="K791" s="30">
        <f t="shared" si="680"/>
        <v>0</v>
      </c>
      <c r="L791" s="33">
        <f t="shared" si="681"/>
        <v>0</v>
      </c>
      <c r="M791" s="30">
        <f t="shared" si="682"/>
        <v>0</v>
      </c>
      <c r="N791" s="33">
        <f t="shared" si="683"/>
        <v>0</v>
      </c>
      <c r="O791" s="31">
        <f t="shared" si="684"/>
        <v>0</v>
      </c>
      <c r="P791" s="33">
        <f t="shared" si="685"/>
        <v>0</v>
      </c>
      <c r="Q791" s="34">
        <f t="shared" si="727"/>
        <v>834916.03853425686</v>
      </c>
      <c r="R791" s="29">
        <f t="shared" si="686"/>
        <v>0</v>
      </c>
      <c r="S791" s="34">
        <f t="shared" si="687"/>
        <v>834916.03853425686</v>
      </c>
      <c r="T791" s="29">
        <f t="shared" si="688"/>
        <v>695.76336544521405</v>
      </c>
      <c r="U791" s="29">
        <f t="shared" si="689"/>
        <v>0</v>
      </c>
      <c r="V791" s="35">
        <f t="shared" si="690"/>
        <v>2.4146817115394126E-3</v>
      </c>
      <c r="W791" s="34">
        <f t="shared" si="691"/>
        <v>0</v>
      </c>
      <c r="X791" s="34">
        <f t="shared" si="692"/>
        <v>834220.27516881167</v>
      </c>
      <c r="Y791" s="36">
        <f t="shared" si="693"/>
        <v>-9.6721534613708471E-6</v>
      </c>
      <c r="Z791" s="34">
        <f t="shared" si="694"/>
        <v>-8.0687065220197631</v>
      </c>
      <c r="AA791" s="34">
        <f t="shared" si="695"/>
        <v>834216.24081555067</v>
      </c>
      <c r="AB791" s="34">
        <f t="shared" si="696"/>
        <v>0</v>
      </c>
      <c r="AC791" s="34">
        <f t="shared" si="697"/>
        <v>0</v>
      </c>
      <c r="AD791" s="34">
        <f t="shared" si="698"/>
        <v>0</v>
      </c>
      <c r="AE791" s="34">
        <f t="shared" si="699"/>
        <v>0</v>
      </c>
      <c r="AF791" s="34">
        <f t="shared" si="700"/>
        <v>0</v>
      </c>
      <c r="AG791" s="29">
        <f t="shared" si="701"/>
        <v>834216.24081555067</v>
      </c>
      <c r="AH791" s="34">
        <f t="shared" si="702"/>
        <v>0</v>
      </c>
      <c r="AI791" s="34">
        <f t="shared" si="703"/>
        <v>0</v>
      </c>
      <c r="AJ791" s="34">
        <f t="shared" si="704"/>
        <v>0</v>
      </c>
      <c r="AK791" s="34">
        <f t="shared" si="705"/>
        <v>0</v>
      </c>
      <c r="AL791" s="34">
        <f t="shared" si="706"/>
        <v>0</v>
      </c>
      <c r="AM791" s="34">
        <f t="shared" si="707"/>
        <v>0</v>
      </c>
      <c r="AN791" s="34">
        <f t="shared" si="708"/>
        <v>0</v>
      </c>
      <c r="AO791" s="34">
        <f t="shared" si="709"/>
        <v>0</v>
      </c>
      <c r="AP791" s="34">
        <f t="shared" si="710"/>
        <v>0</v>
      </c>
      <c r="AQ791" s="34">
        <f t="shared" si="711"/>
        <v>0</v>
      </c>
      <c r="AR791" s="34">
        <f t="shared" si="712"/>
        <v>0</v>
      </c>
      <c r="AS791" s="30">
        <f t="shared" si="713"/>
        <v>1.9204813641661636</v>
      </c>
      <c r="AT791" s="29">
        <f t="shared" si="714"/>
        <v>0</v>
      </c>
      <c r="AU791" s="29">
        <f t="shared" si="715"/>
        <v>0</v>
      </c>
      <c r="AV791" s="34">
        <f t="shared" si="716"/>
        <v>0</v>
      </c>
      <c r="AW791" s="34">
        <f t="shared" si="717"/>
        <v>0</v>
      </c>
      <c r="AX791" s="29">
        <f t="shared" si="718"/>
        <v>0</v>
      </c>
      <c r="AY791" s="34">
        <f t="shared" si="719"/>
        <v>0</v>
      </c>
      <c r="AZ791" s="37">
        <f t="shared" si="720"/>
        <v>0</v>
      </c>
      <c r="BA791" s="37">
        <f t="shared" si="721"/>
        <v>0</v>
      </c>
      <c r="BB791" s="35">
        <f t="shared" si="722"/>
        <v>1.3343305718431786E-3</v>
      </c>
      <c r="BC791" s="31">
        <f t="shared" si="723"/>
        <v>0.3501414090428141</v>
      </c>
      <c r="BD791" s="34">
        <f t="shared" si="724"/>
        <v>0</v>
      </c>
    </row>
    <row r="792" spans="1:56" x14ac:dyDescent="0.2">
      <c r="A792" s="27">
        <f t="shared" si="725"/>
        <v>788</v>
      </c>
      <c r="B792" s="28">
        <f t="shared" si="672"/>
        <v>788</v>
      </c>
      <c r="C792" s="27">
        <f t="shared" si="673"/>
        <v>65</v>
      </c>
      <c r="D792" s="28">
        <f t="shared" si="674"/>
        <v>85</v>
      </c>
      <c r="E792" s="29">
        <f t="shared" si="675"/>
        <v>0</v>
      </c>
      <c r="F792" s="30">
        <f t="shared" si="676"/>
        <v>2.602626048888074E-2</v>
      </c>
      <c r="G792" s="31">
        <f t="shared" si="677"/>
        <v>2.1951651923085569E-3</v>
      </c>
      <c r="H792" s="32">
        <f t="shared" si="678"/>
        <v>0.02</v>
      </c>
      <c r="I792" s="32">
        <f t="shared" si="679"/>
        <v>0</v>
      </c>
      <c r="J792" s="33">
        <f t="shared" si="726"/>
        <v>0</v>
      </c>
      <c r="K792" s="30">
        <f t="shared" si="680"/>
        <v>0</v>
      </c>
      <c r="L792" s="33">
        <f t="shared" si="681"/>
        <v>0</v>
      </c>
      <c r="M792" s="30">
        <f t="shared" si="682"/>
        <v>0</v>
      </c>
      <c r="N792" s="33">
        <f t="shared" si="683"/>
        <v>0</v>
      </c>
      <c r="O792" s="31">
        <f t="shared" si="684"/>
        <v>0</v>
      </c>
      <c r="P792" s="33">
        <f t="shared" si="685"/>
        <v>0</v>
      </c>
      <c r="Q792" s="34">
        <f t="shared" si="727"/>
        <v>834212.20646228967</v>
      </c>
      <c r="R792" s="29">
        <f t="shared" si="686"/>
        <v>0</v>
      </c>
      <c r="S792" s="34">
        <f t="shared" si="687"/>
        <v>834212.20646228967</v>
      </c>
      <c r="T792" s="29">
        <f t="shared" si="688"/>
        <v>695.1768387185748</v>
      </c>
      <c r="U792" s="29">
        <f t="shared" si="689"/>
        <v>0</v>
      </c>
      <c r="V792" s="35">
        <f t="shared" si="690"/>
        <v>2.4146817115394126E-3</v>
      </c>
      <c r="W792" s="34">
        <f t="shared" si="691"/>
        <v>0</v>
      </c>
      <c r="X792" s="34">
        <f t="shared" si="692"/>
        <v>833517.02962357108</v>
      </c>
      <c r="Y792" s="36">
        <f t="shared" si="693"/>
        <v>-1.5854412808655072E-2</v>
      </c>
      <c r="Z792" s="34">
        <f t="shared" si="694"/>
        <v>-13214.923070696073</v>
      </c>
      <c r="AA792" s="34">
        <f t="shared" si="695"/>
        <v>826909.56808822299</v>
      </c>
      <c r="AB792" s="34">
        <f t="shared" si="696"/>
        <v>0</v>
      </c>
      <c r="AC792" s="34">
        <f t="shared" si="697"/>
        <v>0</v>
      </c>
      <c r="AD792" s="34">
        <f t="shared" si="698"/>
        <v>0</v>
      </c>
      <c r="AE792" s="34">
        <f t="shared" si="699"/>
        <v>0</v>
      </c>
      <c r="AF792" s="34">
        <f t="shared" si="700"/>
        <v>0</v>
      </c>
      <c r="AG792" s="29">
        <f t="shared" si="701"/>
        <v>826909.56808822299</v>
      </c>
      <c r="AH792" s="34">
        <f t="shared" si="702"/>
        <v>0</v>
      </c>
      <c r="AI792" s="34">
        <f t="shared" si="703"/>
        <v>0</v>
      </c>
      <c r="AJ792" s="34">
        <f t="shared" si="704"/>
        <v>0</v>
      </c>
      <c r="AK792" s="34">
        <f t="shared" si="705"/>
        <v>0</v>
      </c>
      <c r="AL792" s="34">
        <f t="shared" si="706"/>
        <v>0</v>
      </c>
      <c r="AM792" s="34">
        <f t="shared" si="707"/>
        <v>0</v>
      </c>
      <c r="AN792" s="34">
        <f t="shared" si="708"/>
        <v>0</v>
      </c>
      <c r="AO792" s="34">
        <f t="shared" si="709"/>
        <v>0</v>
      </c>
      <c r="AP792" s="34">
        <f t="shared" si="710"/>
        <v>0</v>
      </c>
      <c r="AQ792" s="34">
        <f t="shared" si="711"/>
        <v>0</v>
      </c>
      <c r="AR792" s="34">
        <f t="shared" si="712"/>
        <v>0</v>
      </c>
      <c r="AS792" s="30">
        <f t="shared" si="713"/>
        <v>1.922074476655631</v>
      </c>
      <c r="AT792" s="29">
        <f t="shared" si="714"/>
        <v>0</v>
      </c>
      <c r="AU792" s="29">
        <f t="shared" si="715"/>
        <v>0</v>
      </c>
      <c r="AV792" s="34">
        <f t="shared" si="716"/>
        <v>0</v>
      </c>
      <c r="AW792" s="34">
        <f t="shared" si="717"/>
        <v>0</v>
      </c>
      <c r="AX792" s="29">
        <f t="shared" si="718"/>
        <v>0</v>
      </c>
      <c r="AY792" s="34">
        <f t="shared" si="719"/>
        <v>0</v>
      </c>
      <c r="AZ792" s="37">
        <f t="shared" si="720"/>
        <v>0</v>
      </c>
      <c r="BA792" s="37">
        <f t="shared" si="721"/>
        <v>0</v>
      </c>
      <c r="BB792" s="35">
        <f t="shared" si="722"/>
        <v>1.3343305718431786E-3</v>
      </c>
      <c r="BC792" s="31">
        <f t="shared" si="723"/>
        <v>0.34967482723063614</v>
      </c>
      <c r="BD792" s="34">
        <f t="shared" si="724"/>
        <v>0</v>
      </c>
    </row>
    <row r="793" spans="1:56" x14ac:dyDescent="0.2">
      <c r="A793" s="27">
        <f t="shared" si="725"/>
        <v>789</v>
      </c>
      <c r="B793" s="28">
        <f t="shared" si="672"/>
        <v>789</v>
      </c>
      <c r="C793" s="27">
        <f t="shared" si="673"/>
        <v>65</v>
      </c>
      <c r="D793" s="28">
        <f t="shared" si="674"/>
        <v>85</v>
      </c>
      <c r="E793" s="29">
        <f t="shared" si="675"/>
        <v>0</v>
      </c>
      <c r="F793" s="30">
        <f t="shared" si="676"/>
        <v>2.602626048888074E-2</v>
      </c>
      <c r="G793" s="31">
        <f t="shared" si="677"/>
        <v>2.1951651923085569E-3</v>
      </c>
      <c r="H793" s="32">
        <f t="shared" si="678"/>
        <v>0.02</v>
      </c>
      <c r="I793" s="32">
        <f t="shared" si="679"/>
        <v>0</v>
      </c>
      <c r="J793" s="33">
        <f t="shared" si="726"/>
        <v>0</v>
      </c>
      <c r="K793" s="30">
        <f t="shared" si="680"/>
        <v>0</v>
      </c>
      <c r="L793" s="33">
        <f t="shared" si="681"/>
        <v>0</v>
      </c>
      <c r="M793" s="30">
        <f t="shared" si="682"/>
        <v>0</v>
      </c>
      <c r="N793" s="33">
        <f t="shared" si="683"/>
        <v>0</v>
      </c>
      <c r="O793" s="31">
        <f t="shared" si="684"/>
        <v>0</v>
      </c>
      <c r="P793" s="33">
        <f t="shared" si="685"/>
        <v>0</v>
      </c>
      <c r="Q793" s="34">
        <f t="shared" si="727"/>
        <v>820302.10655287502</v>
      </c>
      <c r="R793" s="29">
        <f t="shared" si="686"/>
        <v>0</v>
      </c>
      <c r="S793" s="34">
        <f t="shared" si="687"/>
        <v>820302.10655287502</v>
      </c>
      <c r="T793" s="29">
        <f t="shared" si="688"/>
        <v>683.58508879406259</v>
      </c>
      <c r="U793" s="29">
        <f t="shared" si="689"/>
        <v>0</v>
      </c>
      <c r="V793" s="35">
        <f t="shared" si="690"/>
        <v>2.4146817115394126E-3</v>
      </c>
      <c r="W793" s="34">
        <f t="shared" si="691"/>
        <v>0</v>
      </c>
      <c r="X793" s="34">
        <f t="shared" si="692"/>
        <v>819618.5214640809</v>
      </c>
      <c r="Y793" s="36">
        <f t="shared" si="693"/>
        <v>4.5554274645365211E-3</v>
      </c>
      <c r="Z793" s="34">
        <f t="shared" si="694"/>
        <v>3733.7127231202903</v>
      </c>
      <c r="AA793" s="34">
        <f t="shared" si="695"/>
        <v>821485.37782564107</v>
      </c>
      <c r="AB793" s="34">
        <f t="shared" si="696"/>
        <v>0</v>
      </c>
      <c r="AC793" s="34">
        <f t="shared" si="697"/>
        <v>0</v>
      </c>
      <c r="AD793" s="34">
        <f t="shared" si="698"/>
        <v>0</v>
      </c>
      <c r="AE793" s="34">
        <f t="shared" si="699"/>
        <v>0</v>
      </c>
      <c r="AF793" s="34">
        <f t="shared" si="700"/>
        <v>0</v>
      </c>
      <c r="AG793" s="29">
        <f t="shared" si="701"/>
        <v>821485.37782564107</v>
      </c>
      <c r="AH793" s="34">
        <f t="shared" si="702"/>
        <v>0</v>
      </c>
      <c r="AI793" s="34">
        <f t="shared" si="703"/>
        <v>0</v>
      </c>
      <c r="AJ793" s="34">
        <f t="shared" si="704"/>
        <v>0</v>
      </c>
      <c r="AK793" s="34">
        <f t="shared" si="705"/>
        <v>0</v>
      </c>
      <c r="AL793" s="34">
        <f t="shared" si="706"/>
        <v>0</v>
      </c>
      <c r="AM793" s="34">
        <f t="shared" si="707"/>
        <v>0</v>
      </c>
      <c r="AN793" s="34">
        <f t="shared" si="708"/>
        <v>0</v>
      </c>
      <c r="AO793" s="34">
        <f t="shared" si="709"/>
        <v>0</v>
      </c>
      <c r="AP793" s="34">
        <f t="shared" si="710"/>
        <v>0</v>
      </c>
      <c r="AQ793" s="34">
        <f t="shared" si="711"/>
        <v>0</v>
      </c>
      <c r="AR793" s="34">
        <f t="shared" si="712"/>
        <v>0</v>
      </c>
      <c r="AS793" s="30">
        <f t="shared" si="713"/>
        <v>1.9236689106926288</v>
      </c>
      <c r="AT793" s="29">
        <f t="shared" si="714"/>
        <v>0</v>
      </c>
      <c r="AU793" s="29">
        <f t="shared" si="715"/>
        <v>0</v>
      </c>
      <c r="AV793" s="34">
        <f t="shared" si="716"/>
        <v>0</v>
      </c>
      <c r="AW793" s="34">
        <f t="shared" si="717"/>
        <v>0</v>
      </c>
      <c r="AX793" s="29">
        <f t="shared" si="718"/>
        <v>0</v>
      </c>
      <c r="AY793" s="34">
        <f t="shared" si="719"/>
        <v>0</v>
      </c>
      <c r="AZ793" s="37">
        <f t="shared" si="720"/>
        <v>0</v>
      </c>
      <c r="BA793" s="37">
        <f t="shared" si="721"/>
        <v>0</v>
      </c>
      <c r="BB793" s="35">
        <f t="shared" si="722"/>
        <v>1.3343305718431786E-3</v>
      </c>
      <c r="BC793" s="31">
        <f t="shared" si="723"/>
        <v>0.34920886716322158</v>
      </c>
      <c r="BD793" s="34">
        <f t="shared" si="724"/>
        <v>0</v>
      </c>
    </row>
    <row r="794" spans="1:56" x14ac:dyDescent="0.2">
      <c r="A794" s="27">
        <f t="shared" si="725"/>
        <v>790</v>
      </c>
      <c r="B794" s="28">
        <f t="shared" si="672"/>
        <v>790</v>
      </c>
      <c r="C794" s="27">
        <f t="shared" si="673"/>
        <v>65</v>
      </c>
      <c r="D794" s="28">
        <f t="shared" si="674"/>
        <v>85</v>
      </c>
      <c r="E794" s="29">
        <f t="shared" si="675"/>
        <v>0</v>
      </c>
      <c r="F794" s="30">
        <f t="shared" si="676"/>
        <v>2.602626048888074E-2</v>
      </c>
      <c r="G794" s="31">
        <f t="shared" si="677"/>
        <v>2.1951651923085569E-3</v>
      </c>
      <c r="H794" s="32">
        <f t="shared" si="678"/>
        <v>0.02</v>
      </c>
      <c r="I794" s="32">
        <f t="shared" si="679"/>
        <v>0</v>
      </c>
      <c r="J794" s="33">
        <f t="shared" si="726"/>
        <v>0</v>
      </c>
      <c r="K794" s="30">
        <f t="shared" si="680"/>
        <v>0</v>
      </c>
      <c r="L794" s="33">
        <f t="shared" si="681"/>
        <v>0</v>
      </c>
      <c r="M794" s="30">
        <f t="shared" si="682"/>
        <v>0</v>
      </c>
      <c r="N794" s="33">
        <f t="shared" si="683"/>
        <v>0</v>
      </c>
      <c r="O794" s="31">
        <f t="shared" si="684"/>
        <v>0</v>
      </c>
      <c r="P794" s="33">
        <f t="shared" si="685"/>
        <v>0</v>
      </c>
      <c r="Q794" s="34">
        <f t="shared" si="727"/>
        <v>823352.23418720113</v>
      </c>
      <c r="R794" s="29">
        <f t="shared" si="686"/>
        <v>0</v>
      </c>
      <c r="S794" s="34">
        <f t="shared" si="687"/>
        <v>823352.23418720113</v>
      </c>
      <c r="T794" s="29">
        <f t="shared" si="688"/>
        <v>686.12686182266771</v>
      </c>
      <c r="U794" s="29">
        <f t="shared" si="689"/>
        <v>0</v>
      </c>
      <c r="V794" s="35">
        <f t="shared" si="690"/>
        <v>2.4146817115394126E-3</v>
      </c>
      <c r="W794" s="34">
        <f t="shared" si="691"/>
        <v>0</v>
      </c>
      <c r="X794" s="34">
        <f t="shared" si="692"/>
        <v>822666.10732537846</v>
      </c>
      <c r="Y794" s="36">
        <f t="shared" si="693"/>
        <v>-4.006027527110545E-3</v>
      </c>
      <c r="Z794" s="34">
        <f t="shared" si="694"/>
        <v>-3295.6230715663442</v>
      </c>
      <c r="AA794" s="34">
        <f t="shared" si="695"/>
        <v>821018.29578959523</v>
      </c>
      <c r="AB794" s="34">
        <f t="shared" si="696"/>
        <v>0</v>
      </c>
      <c r="AC794" s="34">
        <f t="shared" si="697"/>
        <v>0</v>
      </c>
      <c r="AD794" s="34">
        <f t="shared" si="698"/>
        <v>0</v>
      </c>
      <c r="AE794" s="34">
        <f t="shared" si="699"/>
        <v>0</v>
      </c>
      <c r="AF794" s="34">
        <f t="shared" si="700"/>
        <v>0</v>
      </c>
      <c r="AG794" s="29">
        <f t="shared" si="701"/>
        <v>821018.29578959523</v>
      </c>
      <c r="AH794" s="34">
        <f t="shared" si="702"/>
        <v>0</v>
      </c>
      <c r="AI794" s="34">
        <f t="shared" si="703"/>
        <v>0</v>
      </c>
      <c r="AJ794" s="34">
        <f t="shared" si="704"/>
        <v>0</v>
      </c>
      <c r="AK794" s="34">
        <f t="shared" si="705"/>
        <v>0</v>
      </c>
      <c r="AL794" s="34">
        <f t="shared" si="706"/>
        <v>0</v>
      </c>
      <c r="AM794" s="34">
        <f t="shared" si="707"/>
        <v>0</v>
      </c>
      <c r="AN794" s="34">
        <f t="shared" si="708"/>
        <v>0</v>
      </c>
      <c r="AO794" s="34">
        <f t="shared" si="709"/>
        <v>0</v>
      </c>
      <c r="AP794" s="34">
        <f t="shared" si="710"/>
        <v>0</v>
      </c>
      <c r="AQ794" s="34">
        <f t="shared" si="711"/>
        <v>0</v>
      </c>
      <c r="AR794" s="34">
        <f t="shared" si="712"/>
        <v>0</v>
      </c>
      <c r="AS794" s="30">
        <f t="shared" si="713"/>
        <v>1.9252646673734313</v>
      </c>
      <c r="AT794" s="29">
        <f t="shared" si="714"/>
        <v>0</v>
      </c>
      <c r="AU794" s="29">
        <f t="shared" si="715"/>
        <v>0</v>
      </c>
      <c r="AV794" s="34">
        <f t="shared" si="716"/>
        <v>0</v>
      </c>
      <c r="AW794" s="34">
        <f t="shared" si="717"/>
        <v>0</v>
      </c>
      <c r="AX794" s="29">
        <f t="shared" si="718"/>
        <v>0</v>
      </c>
      <c r="AY794" s="34">
        <f t="shared" si="719"/>
        <v>0</v>
      </c>
      <c r="AZ794" s="37">
        <f t="shared" si="720"/>
        <v>0</v>
      </c>
      <c r="BA794" s="37">
        <f t="shared" si="721"/>
        <v>0</v>
      </c>
      <c r="BB794" s="35">
        <f t="shared" si="722"/>
        <v>1.3343305718431786E-3</v>
      </c>
      <c r="BC794" s="31">
        <f t="shared" si="723"/>
        <v>0.34874352801206265</v>
      </c>
      <c r="BD794" s="34">
        <f t="shared" si="724"/>
        <v>0</v>
      </c>
    </row>
    <row r="795" spans="1:56" x14ac:dyDescent="0.2">
      <c r="A795" s="27">
        <f t="shared" si="725"/>
        <v>791</v>
      </c>
      <c r="B795" s="28">
        <f t="shared" si="672"/>
        <v>791</v>
      </c>
      <c r="C795" s="27">
        <f t="shared" si="673"/>
        <v>65</v>
      </c>
      <c r="D795" s="28">
        <f t="shared" si="674"/>
        <v>85</v>
      </c>
      <c r="E795" s="29">
        <f t="shared" si="675"/>
        <v>0</v>
      </c>
      <c r="F795" s="30">
        <f t="shared" si="676"/>
        <v>2.602626048888074E-2</v>
      </c>
      <c r="G795" s="31">
        <f t="shared" si="677"/>
        <v>2.1951651923085569E-3</v>
      </c>
      <c r="H795" s="32">
        <f t="shared" si="678"/>
        <v>0.02</v>
      </c>
      <c r="I795" s="32">
        <f t="shared" si="679"/>
        <v>0</v>
      </c>
      <c r="J795" s="33">
        <f t="shared" si="726"/>
        <v>0</v>
      </c>
      <c r="K795" s="30">
        <f t="shared" si="680"/>
        <v>0</v>
      </c>
      <c r="L795" s="33">
        <f t="shared" si="681"/>
        <v>0</v>
      </c>
      <c r="M795" s="30">
        <f t="shared" si="682"/>
        <v>0</v>
      </c>
      <c r="N795" s="33">
        <f t="shared" si="683"/>
        <v>0</v>
      </c>
      <c r="O795" s="31">
        <f t="shared" si="684"/>
        <v>0</v>
      </c>
      <c r="P795" s="33">
        <f t="shared" si="685"/>
        <v>0</v>
      </c>
      <c r="Q795" s="34">
        <f t="shared" si="727"/>
        <v>819370.48425381212</v>
      </c>
      <c r="R795" s="29">
        <f t="shared" si="686"/>
        <v>0</v>
      </c>
      <c r="S795" s="34">
        <f t="shared" si="687"/>
        <v>819370.48425381212</v>
      </c>
      <c r="T795" s="29">
        <f t="shared" si="688"/>
        <v>682.80873687817677</v>
      </c>
      <c r="U795" s="29">
        <f t="shared" si="689"/>
        <v>0</v>
      </c>
      <c r="V795" s="35">
        <f t="shared" si="690"/>
        <v>2.4146817115394126E-3</v>
      </c>
      <c r="W795" s="34">
        <f t="shared" si="691"/>
        <v>0</v>
      </c>
      <c r="X795" s="34">
        <f t="shared" si="692"/>
        <v>818687.6755169339</v>
      </c>
      <c r="Y795" s="36">
        <f t="shared" si="693"/>
        <v>-4.4561593301231106E-3</v>
      </c>
      <c r="Z795" s="34">
        <f t="shared" si="694"/>
        <v>-3648.2027237115867</v>
      </c>
      <c r="AA795" s="34">
        <f t="shared" si="695"/>
        <v>816863.57415507815</v>
      </c>
      <c r="AB795" s="34">
        <f t="shared" si="696"/>
        <v>0</v>
      </c>
      <c r="AC795" s="34">
        <f t="shared" si="697"/>
        <v>0</v>
      </c>
      <c r="AD795" s="34">
        <f t="shared" si="698"/>
        <v>0</v>
      </c>
      <c r="AE795" s="34">
        <f t="shared" si="699"/>
        <v>0</v>
      </c>
      <c r="AF795" s="34">
        <f t="shared" si="700"/>
        <v>0</v>
      </c>
      <c r="AG795" s="29">
        <f t="shared" si="701"/>
        <v>816863.57415507815</v>
      </c>
      <c r="AH795" s="34">
        <f t="shared" si="702"/>
        <v>0</v>
      </c>
      <c r="AI795" s="34">
        <f t="shared" si="703"/>
        <v>0</v>
      </c>
      <c r="AJ795" s="34">
        <f t="shared" si="704"/>
        <v>0</v>
      </c>
      <c r="AK795" s="34">
        <f t="shared" si="705"/>
        <v>0</v>
      </c>
      <c r="AL795" s="34">
        <f t="shared" si="706"/>
        <v>0</v>
      </c>
      <c r="AM795" s="34">
        <f t="shared" si="707"/>
        <v>0</v>
      </c>
      <c r="AN795" s="34">
        <f t="shared" si="708"/>
        <v>0</v>
      </c>
      <c r="AO795" s="34">
        <f t="shared" si="709"/>
        <v>0</v>
      </c>
      <c r="AP795" s="34">
        <f t="shared" si="710"/>
        <v>0</v>
      </c>
      <c r="AQ795" s="34">
        <f t="shared" si="711"/>
        <v>0</v>
      </c>
      <c r="AR795" s="34">
        <f t="shared" si="712"/>
        <v>0</v>
      </c>
      <c r="AS795" s="30">
        <f t="shared" si="713"/>
        <v>1.9268617477952219</v>
      </c>
      <c r="AT795" s="29">
        <f t="shared" si="714"/>
        <v>0</v>
      </c>
      <c r="AU795" s="29">
        <f t="shared" si="715"/>
        <v>0</v>
      </c>
      <c r="AV795" s="34">
        <f t="shared" si="716"/>
        <v>0</v>
      </c>
      <c r="AW795" s="34">
        <f t="shared" si="717"/>
        <v>0</v>
      </c>
      <c r="AX795" s="29">
        <f t="shared" si="718"/>
        <v>0</v>
      </c>
      <c r="AY795" s="34">
        <f t="shared" si="719"/>
        <v>0</v>
      </c>
      <c r="AZ795" s="37">
        <f t="shared" si="720"/>
        <v>0</v>
      </c>
      <c r="BA795" s="37">
        <f t="shared" si="721"/>
        <v>0</v>
      </c>
      <c r="BB795" s="35">
        <f t="shared" si="722"/>
        <v>1.3343305718431786E-3</v>
      </c>
      <c r="BC795" s="31">
        <f t="shared" si="723"/>
        <v>0.34827880894975582</v>
      </c>
      <c r="BD795" s="34">
        <f t="shared" si="724"/>
        <v>0</v>
      </c>
    </row>
    <row r="796" spans="1:56" x14ac:dyDescent="0.2">
      <c r="A796" s="27">
        <f t="shared" si="725"/>
        <v>792</v>
      </c>
      <c r="B796" s="28">
        <f t="shared" si="672"/>
        <v>792</v>
      </c>
      <c r="C796" s="27">
        <f t="shared" si="673"/>
        <v>66</v>
      </c>
      <c r="D796" s="28">
        <f t="shared" si="674"/>
        <v>86</v>
      </c>
      <c r="E796" s="29">
        <f t="shared" si="675"/>
        <v>0</v>
      </c>
      <c r="F796" s="30">
        <f t="shared" si="676"/>
        <v>2.9182937376085849E-2</v>
      </c>
      <c r="G796" s="31">
        <f t="shared" si="677"/>
        <v>2.4650591931589805E-3</v>
      </c>
      <c r="H796" s="32">
        <f t="shared" si="678"/>
        <v>0.02</v>
      </c>
      <c r="I796" s="32">
        <f t="shared" si="679"/>
        <v>0</v>
      </c>
      <c r="J796" s="33">
        <f t="shared" si="726"/>
        <v>0</v>
      </c>
      <c r="K796" s="30">
        <f t="shared" si="680"/>
        <v>0</v>
      </c>
      <c r="L796" s="33">
        <f t="shared" si="681"/>
        <v>0</v>
      </c>
      <c r="M796" s="30">
        <f t="shared" si="682"/>
        <v>0</v>
      </c>
      <c r="N796" s="33">
        <f t="shared" si="683"/>
        <v>0</v>
      </c>
      <c r="O796" s="31">
        <f t="shared" si="684"/>
        <v>0</v>
      </c>
      <c r="P796" s="33">
        <f t="shared" si="685"/>
        <v>0</v>
      </c>
      <c r="Q796" s="34">
        <f t="shared" si="727"/>
        <v>815039.47279322229</v>
      </c>
      <c r="R796" s="29">
        <f t="shared" si="686"/>
        <v>0</v>
      </c>
      <c r="S796" s="34">
        <f t="shared" si="687"/>
        <v>815039.47279322229</v>
      </c>
      <c r="T796" s="29">
        <f t="shared" si="688"/>
        <v>679.19956066101861</v>
      </c>
      <c r="U796" s="29">
        <f t="shared" si="689"/>
        <v>0</v>
      </c>
      <c r="V796" s="35">
        <f t="shared" si="690"/>
        <v>2.7115651124748788E-3</v>
      </c>
      <c r="W796" s="34">
        <f t="shared" si="691"/>
        <v>0</v>
      </c>
      <c r="X796" s="34">
        <f t="shared" si="692"/>
        <v>814360.2732325613</v>
      </c>
      <c r="Y796" s="36">
        <f t="shared" si="693"/>
        <v>-3.9711981760293114E-4</v>
      </c>
      <c r="Z796" s="34">
        <f t="shared" si="694"/>
        <v>-323.39860316918788</v>
      </c>
      <c r="AA796" s="34">
        <f t="shared" si="695"/>
        <v>814198.57393097668</v>
      </c>
      <c r="AB796" s="34">
        <f t="shared" si="696"/>
        <v>0</v>
      </c>
      <c r="AC796" s="34">
        <f t="shared" si="697"/>
        <v>0</v>
      </c>
      <c r="AD796" s="34">
        <f t="shared" si="698"/>
        <v>0</v>
      </c>
      <c r="AE796" s="34">
        <f t="shared" si="699"/>
        <v>0</v>
      </c>
      <c r="AF796" s="34">
        <f t="shared" si="700"/>
        <v>0</v>
      </c>
      <c r="AG796" s="29">
        <f t="shared" si="701"/>
        <v>814198.57393097668</v>
      </c>
      <c r="AH796" s="34">
        <f t="shared" si="702"/>
        <v>0</v>
      </c>
      <c r="AI796" s="34">
        <f t="shared" si="703"/>
        <v>0</v>
      </c>
      <c r="AJ796" s="34">
        <f t="shared" si="704"/>
        <v>0</v>
      </c>
      <c r="AK796" s="34">
        <f t="shared" si="705"/>
        <v>0</v>
      </c>
      <c r="AL796" s="34">
        <f t="shared" si="706"/>
        <v>0</v>
      </c>
      <c r="AM796" s="34">
        <f t="shared" si="707"/>
        <v>0</v>
      </c>
      <c r="AN796" s="34">
        <f t="shared" si="708"/>
        <v>0</v>
      </c>
      <c r="AO796" s="34">
        <f t="shared" si="709"/>
        <v>0</v>
      </c>
      <c r="AP796" s="34">
        <f t="shared" si="710"/>
        <v>0</v>
      </c>
      <c r="AQ796" s="34">
        <f t="shared" si="711"/>
        <v>0</v>
      </c>
      <c r="AR796" s="34">
        <f t="shared" si="712"/>
        <v>0</v>
      </c>
      <c r="AS796" s="30">
        <f t="shared" si="713"/>
        <v>1.9284601530560941</v>
      </c>
      <c r="AT796" s="29">
        <f t="shared" si="714"/>
        <v>0</v>
      </c>
      <c r="AU796" s="29">
        <f t="shared" si="715"/>
        <v>0</v>
      </c>
      <c r="AV796" s="34">
        <f t="shared" si="716"/>
        <v>0</v>
      </c>
      <c r="AW796" s="34">
        <f t="shared" si="717"/>
        <v>0</v>
      </c>
      <c r="AX796" s="29">
        <f t="shared" si="718"/>
        <v>0</v>
      </c>
      <c r="AY796" s="34">
        <f t="shared" si="719"/>
        <v>0</v>
      </c>
      <c r="AZ796" s="37">
        <f t="shared" si="720"/>
        <v>0</v>
      </c>
      <c r="BA796" s="37">
        <f t="shared" si="721"/>
        <v>0</v>
      </c>
      <c r="BB796" s="35">
        <f t="shared" si="722"/>
        <v>1.3630680118990046E-3</v>
      </c>
      <c r="BC796" s="31">
        <f t="shared" si="723"/>
        <v>0.33999825852116172</v>
      </c>
      <c r="BD796" s="34">
        <f t="shared" si="724"/>
        <v>0</v>
      </c>
    </row>
    <row r="797" spans="1:56" x14ac:dyDescent="0.2">
      <c r="A797" s="27">
        <f t="shared" si="725"/>
        <v>793</v>
      </c>
      <c r="B797" s="28">
        <f t="shared" si="672"/>
        <v>793</v>
      </c>
      <c r="C797" s="27">
        <f t="shared" si="673"/>
        <v>66</v>
      </c>
      <c r="D797" s="28">
        <f t="shared" si="674"/>
        <v>86</v>
      </c>
      <c r="E797" s="29">
        <f t="shared" si="675"/>
        <v>0</v>
      </c>
      <c r="F797" s="30">
        <f t="shared" si="676"/>
        <v>2.9182937376085849E-2</v>
      </c>
      <c r="G797" s="31">
        <f t="shared" si="677"/>
        <v>2.4650591931589805E-3</v>
      </c>
      <c r="H797" s="32">
        <f t="shared" si="678"/>
        <v>0.02</v>
      </c>
      <c r="I797" s="32">
        <f t="shared" si="679"/>
        <v>0</v>
      </c>
      <c r="J797" s="33">
        <f t="shared" si="726"/>
        <v>0</v>
      </c>
      <c r="K797" s="30">
        <f t="shared" si="680"/>
        <v>0</v>
      </c>
      <c r="L797" s="33">
        <f t="shared" si="681"/>
        <v>0</v>
      </c>
      <c r="M797" s="30">
        <f t="shared" si="682"/>
        <v>0</v>
      </c>
      <c r="N797" s="33">
        <f t="shared" si="683"/>
        <v>0</v>
      </c>
      <c r="O797" s="31">
        <f t="shared" si="684"/>
        <v>0</v>
      </c>
      <c r="P797" s="33">
        <f t="shared" si="685"/>
        <v>0</v>
      </c>
      <c r="Q797" s="34">
        <f t="shared" si="727"/>
        <v>814036.87462939217</v>
      </c>
      <c r="R797" s="29">
        <f t="shared" si="686"/>
        <v>0</v>
      </c>
      <c r="S797" s="34">
        <f t="shared" si="687"/>
        <v>814036.87462939217</v>
      </c>
      <c r="T797" s="29">
        <f t="shared" si="688"/>
        <v>678.3640621911602</v>
      </c>
      <c r="U797" s="29">
        <f t="shared" si="689"/>
        <v>0</v>
      </c>
      <c r="V797" s="35">
        <f t="shared" si="690"/>
        <v>2.7115651124748788E-3</v>
      </c>
      <c r="W797" s="34">
        <f t="shared" si="691"/>
        <v>0</v>
      </c>
      <c r="X797" s="34">
        <f t="shared" si="692"/>
        <v>813358.51056720107</v>
      </c>
      <c r="Y797" s="36">
        <f t="shared" si="693"/>
        <v>1.5762324804737826E-3</v>
      </c>
      <c r="Z797" s="34">
        <f t="shared" si="694"/>
        <v>1282.0421026258007</v>
      </c>
      <c r="AA797" s="34">
        <f t="shared" si="695"/>
        <v>813999.53161851398</v>
      </c>
      <c r="AB797" s="34">
        <f t="shared" si="696"/>
        <v>0</v>
      </c>
      <c r="AC797" s="34">
        <f t="shared" si="697"/>
        <v>0</v>
      </c>
      <c r="AD797" s="34">
        <f t="shared" si="698"/>
        <v>0</v>
      </c>
      <c r="AE797" s="34">
        <f t="shared" si="699"/>
        <v>0</v>
      </c>
      <c r="AF797" s="34">
        <f t="shared" si="700"/>
        <v>0</v>
      </c>
      <c r="AG797" s="29">
        <f t="shared" si="701"/>
        <v>813999.53161851398</v>
      </c>
      <c r="AH797" s="34">
        <f t="shared" si="702"/>
        <v>0</v>
      </c>
      <c r="AI797" s="34">
        <f t="shared" si="703"/>
        <v>0</v>
      </c>
      <c r="AJ797" s="34">
        <f t="shared" si="704"/>
        <v>0</v>
      </c>
      <c r="AK797" s="34">
        <f t="shared" si="705"/>
        <v>0</v>
      </c>
      <c r="AL797" s="34">
        <f t="shared" si="706"/>
        <v>0</v>
      </c>
      <c r="AM797" s="34">
        <f t="shared" si="707"/>
        <v>0</v>
      </c>
      <c r="AN797" s="34">
        <f t="shared" si="708"/>
        <v>0</v>
      </c>
      <c r="AO797" s="34">
        <f t="shared" si="709"/>
        <v>0</v>
      </c>
      <c r="AP797" s="34">
        <f t="shared" si="710"/>
        <v>0</v>
      </c>
      <c r="AQ797" s="34">
        <f t="shared" si="711"/>
        <v>0</v>
      </c>
      <c r="AR797" s="34">
        <f t="shared" si="712"/>
        <v>0</v>
      </c>
      <c r="AS797" s="30">
        <f t="shared" si="713"/>
        <v>1.9300598842550516</v>
      </c>
      <c r="AT797" s="29">
        <f t="shared" si="714"/>
        <v>0</v>
      </c>
      <c r="AU797" s="29">
        <f t="shared" si="715"/>
        <v>0</v>
      </c>
      <c r="AV797" s="34">
        <f t="shared" si="716"/>
        <v>0</v>
      </c>
      <c r="AW797" s="34">
        <f t="shared" si="717"/>
        <v>0</v>
      </c>
      <c r="AX797" s="29">
        <f t="shared" si="718"/>
        <v>0</v>
      </c>
      <c r="AY797" s="34">
        <f t="shared" si="719"/>
        <v>0</v>
      </c>
      <c r="AZ797" s="37">
        <f t="shared" si="720"/>
        <v>0</v>
      </c>
      <c r="BA797" s="37">
        <f t="shared" si="721"/>
        <v>0</v>
      </c>
      <c r="BB797" s="35">
        <f t="shared" si="722"/>
        <v>1.3630680118990046E-3</v>
      </c>
      <c r="BC797" s="31">
        <f t="shared" si="723"/>
        <v>0.33953544861225254</v>
      </c>
      <c r="BD797" s="34">
        <f t="shared" si="724"/>
        <v>0</v>
      </c>
    </row>
    <row r="798" spans="1:56" x14ac:dyDescent="0.2">
      <c r="A798" s="27">
        <f t="shared" si="725"/>
        <v>794</v>
      </c>
      <c r="B798" s="28">
        <f t="shared" si="672"/>
        <v>794</v>
      </c>
      <c r="C798" s="27">
        <f t="shared" si="673"/>
        <v>66</v>
      </c>
      <c r="D798" s="28">
        <f t="shared" si="674"/>
        <v>86</v>
      </c>
      <c r="E798" s="29">
        <f t="shared" si="675"/>
        <v>0</v>
      </c>
      <c r="F798" s="30">
        <f t="shared" si="676"/>
        <v>2.9182937376085849E-2</v>
      </c>
      <c r="G798" s="31">
        <f t="shared" si="677"/>
        <v>2.4650591931589805E-3</v>
      </c>
      <c r="H798" s="32">
        <f t="shared" si="678"/>
        <v>0.02</v>
      </c>
      <c r="I798" s="32">
        <f t="shared" si="679"/>
        <v>0</v>
      </c>
      <c r="J798" s="33">
        <f t="shared" si="726"/>
        <v>0</v>
      </c>
      <c r="K798" s="30">
        <f t="shared" si="680"/>
        <v>0</v>
      </c>
      <c r="L798" s="33">
        <f t="shared" si="681"/>
        <v>0</v>
      </c>
      <c r="M798" s="30">
        <f t="shared" si="682"/>
        <v>0</v>
      </c>
      <c r="N798" s="33">
        <f t="shared" si="683"/>
        <v>0</v>
      </c>
      <c r="O798" s="31">
        <f t="shared" si="684"/>
        <v>0</v>
      </c>
      <c r="P798" s="33">
        <f t="shared" si="685"/>
        <v>0</v>
      </c>
      <c r="Q798" s="34">
        <f t="shared" si="727"/>
        <v>814640.55266982689</v>
      </c>
      <c r="R798" s="29">
        <f t="shared" si="686"/>
        <v>0</v>
      </c>
      <c r="S798" s="34">
        <f t="shared" si="687"/>
        <v>814640.55266982689</v>
      </c>
      <c r="T798" s="29">
        <f t="shared" si="688"/>
        <v>678.86712722485584</v>
      </c>
      <c r="U798" s="29">
        <f t="shared" si="689"/>
        <v>0</v>
      </c>
      <c r="V798" s="35">
        <f t="shared" si="690"/>
        <v>2.7115651124748788E-3</v>
      </c>
      <c r="W798" s="34">
        <f t="shared" si="691"/>
        <v>0</v>
      </c>
      <c r="X798" s="34">
        <f t="shared" si="692"/>
        <v>813961.68554260209</v>
      </c>
      <c r="Y798" s="36">
        <f t="shared" si="693"/>
        <v>-8.1782039648148341E-5</v>
      </c>
      <c r="Z798" s="34">
        <f t="shared" si="694"/>
        <v>-66.56744683911873</v>
      </c>
      <c r="AA798" s="34">
        <f t="shared" si="695"/>
        <v>813928.40181918256</v>
      </c>
      <c r="AB798" s="34">
        <f t="shared" si="696"/>
        <v>0</v>
      </c>
      <c r="AC798" s="34">
        <f t="shared" si="697"/>
        <v>0</v>
      </c>
      <c r="AD798" s="34">
        <f t="shared" si="698"/>
        <v>0</v>
      </c>
      <c r="AE798" s="34">
        <f t="shared" si="699"/>
        <v>0</v>
      </c>
      <c r="AF798" s="34">
        <f t="shared" si="700"/>
        <v>0</v>
      </c>
      <c r="AG798" s="29">
        <f t="shared" si="701"/>
        <v>813928.40181918256</v>
      </c>
      <c r="AH798" s="34">
        <f t="shared" si="702"/>
        <v>0</v>
      </c>
      <c r="AI798" s="34">
        <f t="shared" si="703"/>
        <v>0</v>
      </c>
      <c r="AJ798" s="34">
        <f t="shared" si="704"/>
        <v>0</v>
      </c>
      <c r="AK798" s="34">
        <f t="shared" si="705"/>
        <v>0</v>
      </c>
      <c r="AL798" s="34">
        <f t="shared" si="706"/>
        <v>0</v>
      </c>
      <c r="AM798" s="34">
        <f t="shared" si="707"/>
        <v>0</v>
      </c>
      <c r="AN798" s="34">
        <f t="shared" si="708"/>
        <v>0</v>
      </c>
      <c r="AO798" s="34">
        <f t="shared" si="709"/>
        <v>0</v>
      </c>
      <c r="AP798" s="34">
        <f t="shared" si="710"/>
        <v>0</v>
      </c>
      <c r="AQ798" s="34">
        <f t="shared" si="711"/>
        <v>0</v>
      </c>
      <c r="AR798" s="34">
        <f t="shared" si="712"/>
        <v>0</v>
      </c>
      <c r="AS798" s="30">
        <f t="shared" si="713"/>
        <v>1.9316609424920121</v>
      </c>
      <c r="AT798" s="29">
        <f t="shared" si="714"/>
        <v>0</v>
      </c>
      <c r="AU798" s="29">
        <f t="shared" si="715"/>
        <v>0</v>
      </c>
      <c r="AV798" s="34">
        <f t="shared" si="716"/>
        <v>0</v>
      </c>
      <c r="AW798" s="34">
        <f t="shared" si="717"/>
        <v>0</v>
      </c>
      <c r="AX798" s="29">
        <f t="shared" si="718"/>
        <v>0</v>
      </c>
      <c r="AY798" s="34">
        <f t="shared" si="719"/>
        <v>0</v>
      </c>
      <c r="AZ798" s="37">
        <f t="shared" si="720"/>
        <v>0</v>
      </c>
      <c r="BA798" s="37">
        <f t="shared" si="721"/>
        <v>0</v>
      </c>
      <c r="BB798" s="35">
        <f t="shared" si="722"/>
        <v>1.3630680118990046E-3</v>
      </c>
      <c r="BC798" s="31">
        <f t="shared" si="723"/>
        <v>0.33907326868601667</v>
      </c>
      <c r="BD798" s="34">
        <f t="shared" si="724"/>
        <v>0</v>
      </c>
    </row>
    <row r="799" spans="1:56" x14ac:dyDescent="0.2">
      <c r="A799" s="27">
        <f t="shared" si="725"/>
        <v>795</v>
      </c>
      <c r="B799" s="28">
        <f t="shared" si="672"/>
        <v>795</v>
      </c>
      <c r="C799" s="27">
        <f t="shared" si="673"/>
        <v>66</v>
      </c>
      <c r="D799" s="28">
        <f t="shared" si="674"/>
        <v>86</v>
      </c>
      <c r="E799" s="29">
        <f t="shared" si="675"/>
        <v>0</v>
      </c>
      <c r="F799" s="30">
        <f t="shared" si="676"/>
        <v>2.9182937376085849E-2</v>
      </c>
      <c r="G799" s="31">
        <f t="shared" si="677"/>
        <v>2.4650591931589805E-3</v>
      </c>
      <c r="H799" s="32">
        <f t="shared" si="678"/>
        <v>0.02</v>
      </c>
      <c r="I799" s="32">
        <f t="shared" si="679"/>
        <v>0</v>
      </c>
      <c r="J799" s="33">
        <f t="shared" si="726"/>
        <v>0</v>
      </c>
      <c r="K799" s="30">
        <f t="shared" si="680"/>
        <v>0</v>
      </c>
      <c r="L799" s="33">
        <f t="shared" si="681"/>
        <v>0</v>
      </c>
      <c r="M799" s="30">
        <f t="shared" si="682"/>
        <v>0</v>
      </c>
      <c r="N799" s="33">
        <f t="shared" si="683"/>
        <v>0</v>
      </c>
      <c r="O799" s="31">
        <f t="shared" si="684"/>
        <v>0</v>
      </c>
      <c r="P799" s="33">
        <f t="shared" si="685"/>
        <v>0</v>
      </c>
      <c r="Q799" s="34">
        <f t="shared" si="727"/>
        <v>813895.11809576303</v>
      </c>
      <c r="R799" s="29">
        <f t="shared" si="686"/>
        <v>0</v>
      </c>
      <c r="S799" s="34">
        <f t="shared" si="687"/>
        <v>813895.11809576303</v>
      </c>
      <c r="T799" s="29">
        <f t="shared" si="688"/>
        <v>678.24593174646918</v>
      </c>
      <c r="U799" s="29">
        <f t="shared" si="689"/>
        <v>0</v>
      </c>
      <c r="V799" s="35">
        <f t="shared" si="690"/>
        <v>2.7115651124748788E-3</v>
      </c>
      <c r="W799" s="34">
        <f t="shared" si="691"/>
        <v>0</v>
      </c>
      <c r="X799" s="34">
        <f t="shared" si="692"/>
        <v>813216.87216401659</v>
      </c>
      <c r="Y799" s="36">
        <f t="shared" si="693"/>
        <v>-1.175793433517125E-2</v>
      </c>
      <c r="Z799" s="34">
        <f t="shared" si="694"/>
        <v>-9561.7505831578601</v>
      </c>
      <c r="AA799" s="34">
        <f t="shared" si="695"/>
        <v>808435.99687243765</v>
      </c>
      <c r="AB799" s="34">
        <f t="shared" si="696"/>
        <v>0</v>
      </c>
      <c r="AC799" s="34">
        <f t="shared" si="697"/>
        <v>0</v>
      </c>
      <c r="AD799" s="34">
        <f t="shared" si="698"/>
        <v>0</v>
      </c>
      <c r="AE799" s="34">
        <f t="shared" si="699"/>
        <v>0</v>
      </c>
      <c r="AF799" s="34">
        <f t="shared" si="700"/>
        <v>0</v>
      </c>
      <c r="AG799" s="29">
        <f t="shared" si="701"/>
        <v>808435.99687243765</v>
      </c>
      <c r="AH799" s="34">
        <f t="shared" si="702"/>
        <v>0</v>
      </c>
      <c r="AI799" s="34">
        <f t="shared" si="703"/>
        <v>0</v>
      </c>
      <c r="AJ799" s="34">
        <f t="shared" si="704"/>
        <v>0</v>
      </c>
      <c r="AK799" s="34">
        <f t="shared" si="705"/>
        <v>0</v>
      </c>
      <c r="AL799" s="34">
        <f t="shared" si="706"/>
        <v>0</v>
      </c>
      <c r="AM799" s="34">
        <f t="shared" si="707"/>
        <v>0</v>
      </c>
      <c r="AN799" s="34">
        <f t="shared" si="708"/>
        <v>0</v>
      </c>
      <c r="AO799" s="34">
        <f t="shared" si="709"/>
        <v>0</v>
      </c>
      <c r="AP799" s="34">
        <f t="shared" si="710"/>
        <v>0</v>
      </c>
      <c r="AQ799" s="34">
        <f t="shared" si="711"/>
        <v>0</v>
      </c>
      <c r="AR799" s="34">
        <f t="shared" si="712"/>
        <v>0</v>
      </c>
      <c r="AS799" s="30">
        <f t="shared" si="713"/>
        <v>1.9332633288678029</v>
      </c>
      <c r="AT799" s="29">
        <f t="shared" si="714"/>
        <v>0</v>
      </c>
      <c r="AU799" s="29">
        <f t="shared" si="715"/>
        <v>0</v>
      </c>
      <c r="AV799" s="34">
        <f t="shared" si="716"/>
        <v>0</v>
      </c>
      <c r="AW799" s="34">
        <f t="shared" si="717"/>
        <v>0</v>
      </c>
      <c r="AX799" s="29">
        <f t="shared" si="718"/>
        <v>0</v>
      </c>
      <c r="AY799" s="34">
        <f t="shared" si="719"/>
        <v>0</v>
      </c>
      <c r="AZ799" s="37">
        <f t="shared" si="720"/>
        <v>0</v>
      </c>
      <c r="BA799" s="37">
        <f t="shared" si="721"/>
        <v>0</v>
      </c>
      <c r="BB799" s="35">
        <f t="shared" si="722"/>
        <v>1.3630680118990046E-3</v>
      </c>
      <c r="BC799" s="31">
        <f t="shared" si="723"/>
        <v>0.33861171788491351</v>
      </c>
      <c r="BD799" s="34">
        <f t="shared" si="724"/>
        <v>0</v>
      </c>
    </row>
    <row r="800" spans="1:56" x14ac:dyDescent="0.2">
      <c r="A800" s="27">
        <f t="shared" si="725"/>
        <v>796</v>
      </c>
      <c r="B800" s="28">
        <f t="shared" si="672"/>
        <v>796</v>
      </c>
      <c r="C800" s="27">
        <f t="shared" si="673"/>
        <v>66</v>
      </c>
      <c r="D800" s="28">
        <f t="shared" si="674"/>
        <v>86</v>
      </c>
      <c r="E800" s="29">
        <f t="shared" si="675"/>
        <v>0</v>
      </c>
      <c r="F800" s="30">
        <f t="shared" si="676"/>
        <v>2.9182937376085849E-2</v>
      </c>
      <c r="G800" s="31">
        <f t="shared" si="677"/>
        <v>2.4650591931589805E-3</v>
      </c>
      <c r="H800" s="32">
        <f t="shared" si="678"/>
        <v>0.02</v>
      </c>
      <c r="I800" s="32">
        <f t="shared" si="679"/>
        <v>0</v>
      </c>
      <c r="J800" s="33">
        <f t="shared" si="726"/>
        <v>0</v>
      </c>
      <c r="K800" s="30">
        <f t="shared" si="680"/>
        <v>0</v>
      </c>
      <c r="L800" s="33">
        <f t="shared" si="681"/>
        <v>0</v>
      </c>
      <c r="M800" s="30">
        <f t="shared" si="682"/>
        <v>0</v>
      </c>
      <c r="N800" s="33">
        <f t="shared" si="683"/>
        <v>0</v>
      </c>
      <c r="O800" s="31">
        <f t="shared" si="684"/>
        <v>0</v>
      </c>
      <c r="P800" s="33">
        <f t="shared" si="685"/>
        <v>0</v>
      </c>
      <c r="Q800" s="34">
        <f t="shared" si="727"/>
        <v>803655.12158085871</v>
      </c>
      <c r="R800" s="29">
        <f t="shared" si="686"/>
        <v>0</v>
      </c>
      <c r="S800" s="34">
        <f t="shared" si="687"/>
        <v>803655.12158085871</v>
      </c>
      <c r="T800" s="29">
        <f t="shared" si="688"/>
        <v>669.71260131738234</v>
      </c>
      <c r="U800" s="29">
        <f t="shared" si="689"/>
        <v>0</v>
      </c>
      <c r="V800" s="35">
        <f t="shared" si="690"/>
        <v>2.7115651124748788E-3</v>
      </c>
      <c r="W800" s="34">
        <f t="shared" si="691"/>
        <v>0</v>
      </c>
      <c r="X800" s="34">
        <f t="shared" si="692"/>
        <v>802985.40897954139</v>
      </c>
      <c r="Y800" s="36">
        <f t="shared" si="693"/>
        <v>4.5834035690173192E-3</v>
      </c>
      <c r="Z800" s="34">
        <f t="shared" si="694"/>
        <v>3680.4061893856615</v>
      </c>
      <c r="AA800" s="34">
        <f t="shared" si="695"/>
        <v>804825.61207423417</v>
      </c>
      <c r="AB800" s="34">
        <f t="shared" si="696"/>
        <v>0</v>
      </c>
      <c r="AC800" s="34">
        <f t="shared" si="697"/>
        <v>0</v>
      </c>
      <c r="AD800" s="34">
        <f t="shared" si="698"/>
        <v>0</v>
      </c>
      <c r="AE800" s="34">
        <f t="shared" si="699"/>
        <v>0</v>
      </c>
      <c r="AF800" s="34">
        <f t="shared" si="700"/>
        <v>0</v>
      </c>
      <c r="AG800" s="29">
        <f t="shared" si="701"/>
        <v>804825.61207423417</v>
      </c>
      <c r="AH800" s="34">
        <f t="shared" si="702"/>
        <v>0</v>
      </c>
      <c r="AI800" s="34">
        <f t="shared" si="703"/>
        <v>0</v>
      </c>
      <c r="AJ800" s="34">
        <f t="shared" si="704"/>
        <v>0</v>
      </c>
      <c r="AK800" s="34">
        <f t="shared" si="705"/>
        <v>0</v>
      </c>
      <c r="AL800" s="34">
        <f t="shared" si="706"/>
        <v>0</v>
      </c>
      <c r="AM800" s="34">
        <f t="shared" si="707"/>
        <v>0</v>
      </c>
      <c r="AN800" s="34">
        <f t="shared" si="708"/>
        <v>0</v>
      </c>
      <c r="AO800" s="34">
        <f t="shared" si="709"/>
        <v>0</v>
      </c>
      <c r="AP800" s="34">
        <f t="shared" si="710"/>
        <v>0</v>
      </c>
      <c r="AQ800" s="34">
        <f t="shared" si="711"/>
        <v>0</v>
      </c>
      <c r="AR800" s="34">
        <f t="shared" si="712"/>
        <v>0</v>
      </c>
      <c r="AS800" s="30">
        <f t="shared" si="713"/>
        <v>1.9348670444841667</v>
      </c>
      <c r="AT800" s="29">
        <f t="shared" si="714"/>
        <v>0</v>
      </c>
      <c r="AU800" s="29">
        <f t="shared" si="715"/>
        <v>0</v>
      </c>
      <c r="AV800" s="34">
        <f t="shared" si="716"/>
        <v>0</v>
      </c>
      <c r="AW800" s="34">
        <f t="shared" si="717"/>
        <v>0</v>
      </c>
      <c r="AX800" s="29">
        <f t="shared" si="718"/>
        <v>0</v>
      </c>
      <c r="AY800" s="34">
        <f t="shared" si="719"/>
        <v>0</v>
      </c>
      <c r="AZ800" s="37">
        <f t="shared" si="720"/>
        <v>0</v>
      </c>
      <c r="BA800" s="37">
        <f t="shared" si="721"/>
        <v>0</v>
      </c>
      <c r="BB800" s="35">
        <f t="shared" si="722"/>
        <v>1.3630680118990046E-3</v>
      </c>
      <c r="BC800" s="31">
        <f t="shared" si="723"/>
        <v>0.33815079535257031</v>
      </c>
      <c r="BD800" s="34">
        <f t="shared" si="724"/>
        <v>0</v>
      </c>
    </row>
    <row r="801" spans="1:56" x14ac:dyDescent="0.2">
      <c r="A801" s="27">
        <f t="shared" si="725"/>
        <v>797</v>
      </c>
      <c r="B801" s="28">
        <f t="shared" si="672"/>
        <v>797</v>
      </c>
      <c r="C801" s="27">
        <f t="shared" si="673"/>
        <v>66</v>
      </c>
      <c r="D801" s="28">
        <f t="shared" si="674"/>
        <v>86</v>
      </c>
      <c r="E801" s="29">
        <f t="shared" si="675"/>
        <v>0</v>
      </c>
      <c r="F801" s="30">
        <f t="shared" si="676"/>
        <v>2.9182937376085849E-2</v>
      </c>
      <c r="G801" s="31">
        <f t="shared" si="677"/>
        <v>2.4650591931589805E-3</v>
      </c>
      <c r="H801" s="32">
        <f t="shared" si="678"/>
        <v>0.02</v>
      </c>
      <c r="I801" s="32">
        <f t="shared" si="679"/>
        <v>0</v>
      </c>
      <c r="J801" s="33">
        <f t="shared" si="726"/>
        <v>0</v>
      </c>
      <c r="K801" s="30">
        <f t="shared" si="680"/>
        <v>0</v>
      </c>
      <c r="L801" s="33">
        <f t="shared" si="681"/>
        <v>0</v>
      </c>
      <c r="M801" s="30">
        <f t="shared" si="682"/>
        <v>0</v>
      </c>
      <c r="N801" s="33">
        <f t="shared" si="683"/>
        <v>0</v>
      </c>
      <c r="O801" s="31">
        <f t="shared" si="684"/>
        <v>0</v>
      </c>
      <c r="P801" s="33">
        <f t="shared" si="685"/>
        <v>0</v>
      </c>
      <c r="Q801" s="34">
        <f t="shared" si="727"/>
        <v>806665.81516892707</v>
      </c>
      <c r="R801" s="29">
        <f t="shared" si="686"/>
        <v>0</v>
      </c>
      <c r="S801" s="34">
        <f t="shared" si="687"/>
        <v>806665.81516892707</v>
      </c>
      <c r="T801" s="29">
        <f t="shared" si="688"/>
        <v>672.22151264077263</v>
      </c>
      <c r="U801" s="29">
        <f t="shared" si="689"/>
        <v>0</v>
      </c>
      <c r="V801" s="35">
        <f t="shared" si="690"/>
        <v>2.7115651124748788E-3</v>
      </c>
      <c r="W801" s="34">
        <f t="shared" si="691"/>
        <v>0</v>
      </c>
      <c r="X801" s="34">
        <f t="shared" si="692"/>
        <v>805993.59365628625</v>
      </c>
      <c r="Y801" s="36">
        <f t="shared" si="693"/>
        <v>-4.5218049540629579E-3</v>
      </c>
      <c r="Z801" s="34">
        <f t="shared" si="694"/>
        <v>-3644.545824738002</v>
      </c>
      <c r="AA801" s="34">
        <f t="shared" si="695"/>
        <v>804171.32074391725</v>
      </c>
      <c r="AB801" s="34">
        <f t="shared" si="696"/>
        <v>0</v>
      </c>
      <c r="AC801" s="34">
        <f t="shared" si="697"/>
        <v>0</v>
      </c>
      <c r="AD801" s="34">
        <f t="shared" si="698"/>
        <v>0</v>
      </c>
      <c r="AE801" s="34">
        <f t="shared" si="699"/>
        <v>0</v>
      </c>
      <c r="AF801" s="34">
        <f t="shared" si="700"/>
        <v>0</v>
      </c>
      <c r="AG801" s="29">
        <f t="shared" si="701"/>
        <v>804171.32074391725</v>
      </c>
      <c r="AH801" s="34">
        <f t="shared" si="702"/>
        <v>0</v>
      </c>
      <c r="AI801" s="34">
        <f t="shared" si="703"/>
        <v>0</v>
      </c>
      <c r="AJ801" s="34">
        <f t="shared" si="704"/>
        <v>0</v>
      </c>
      <c r="AK801" s="34">
        <f t="shared" si="705"/>
        <v>0</v>
      </c>
      <c r="AL801" s="34">
        <f t="shared" si="706"/>
        <v>0</v>
      </c>
      <c r="AM801" s="34">
        <f t="shared" si="707"/>
        <v>0</v>
      </c>
      <c r="AN801" s="34">
        <f t="shared" si="708"/>
        <v>0</v>
      </c>
      <c r="AO801" s="34">
        <f t="shared" si="709"/>
        <v>0</v>
      </c>
      <c r="AP801" s="34">
        <f t="shared" si="710"/>
        <v>0</v>
      </c>
      <c r="AQ801" s="34">
        <f t="shared" si="711"/>
        <v>0</v>
      </c>
      <c r="AR801" s="34">
        <f t="shared" si="712"/>
        <v>0</v>
      </c>
      <c r="AS801" s="30">
        <f t="shared" si="713"/>
        <v>1.9364720904437591</v>
      </c>
      <c r="AT801" s="29">
        <f t="shared" si="714"/>
        <v>0</v>
      </c>
      <c r="AU801" s="29">
        <f t="shared" si="715"/>
        <v>0</v>
      </c>
      <c r="AV801" s="34">
        <f t="shared" si="716"/>
        <v>0</v>
      </c>
      <c r="AW801" s="34">
        <f t="shared" si="717"/>
        <v>0</v>
      </c>
      <c r="AX801" s="29">
        <f t="shared" si="718"/>
        <v>0</v>
      </c>
      <c r="AY801" s="34">
        <f t="shared" si="719"/>
        <v>0</v>
      </c>
      <c r="AZ801" s="37">
        <f t="shared" si="720"/>
        <v>0</v>
      </c>
      <c r="BA801" s="37">
        <f t="shared" si="721"/>
        <v>0</v>
      </c>
      <c r="BB801" s="35">
        <f t="shared" si="722"/>
        <v>1.3630680118990046E-3</v>
      </c>
      <c r="BC801" s="31">
        <f t="shared" si="723"/>
        <v>0.3376905002337795</v>
      </c>
      <c r="BD801" s="34">
        <f t="shared" si="724"/>
        <v>0</v>
      </c>
    </row>
    <row r="802" spans="1:56" x14ac:dyDescent="0.2">
      <c r="A802" s="27">
        <f t="shared" si="725"/>
        <v>798</v>
      </c>
      <c r="B802" s="28">
        <f t="shared" si="672"/>
        <v>798</v>
      </c>
      <c r="C802" s="27">
        <f t="shared" si="673"/>
        <v>66</v>
      </c>
      <c r="D802" s="28">
        <f t="shared" si="674"/>
        <v>86</v>
      </c>
      <c r="E802" s="29">
        <f t="shared" si="675"/>
        <v>0</v>
      </c>
      <c r="F802" s="30">
        <f t="shared" si="676"/>
        <v>2.9182937376085849E-2</v>
      </c>
      <c r="G802" s="31">
        <f t="shared" si="677"/>
        <v>2.4650591931589805E-3</v>
      </c>
      <c r="H802" s="32">
        <f t="shared" si="678"/>
        <v>0.02</v>
      </c>
      <c r="I802" s="32">
        <f t="shared" si="679"/>
        <v>0</v>
      </c>
      <c r="J802" s="33">
        <f t="shared" si="726"/>
        <v>0</v>
      </c>
      <c r="K802" s="30">
        <f t="shared" si="680"/>
        <v>0</v>
      </c>
      <c r="L802" s="33">
        <f t="shared" si="681"/>
        <v>0</v>
      </c>
      <c r="M802" s="30">
        <f t="shared" si="682"/>
        <v>0</v>
      </c>
      <c r="N802" s="33">
        <f t="shared" si="683"/>
        <v>0</v>
      </c>
      <c r="O802" s="31">
        <f t="shared" si="684"/>
        <v>0</v>
      </c>
      <c r="P802" s="33">
        <f t="shared" si="685"/>
        <v>0</v>
      </c>
      <c r="Q802" s="34">
        <f t="shared" si="727"/>
        <v>802349.04783154826</v>
      </c>
      <c r="R802" s="29">
        <f t="shared" si="686"/>
        <v>0</v>
      </c>
      <c r="S802" s="34">
        <f t="shared" si="687"/>
        <v>802349.04783154826</v>
      </c>
      <c r="T802" s="29">
        <f t="shared" si="688"/>
        <v>668.62420652629021</v>
      </c>
      <c r="U802" s="29">
        <f t="shared" si="689"/>
        <v>0</v>
      </c>
      <c r="V802" s="35">
        <f t="shared" si="690"/>
        <v>2.7115651124748788E-3</v>
      </c>
      <c r="W802" s="34">
        <f t="shared" si="691"/>
        <v>0</v>
      </c>
      <c r="X802" s="34">
        <f t="shared" si="692"/>
        <v>801680.42362502194</v>
      </c>
      <c r="Y802" s="36">
        <f t="shared" si="693"/>
        <v>1.6859687430546E-2</v>
      </c>
      <c r="Z802" s="34">
        <f t="shared" si="694"/>
        <v>13516.081361505574</v>
      </c>
      <c r="AA802" s="34">
        <f t="shared" si="695"/>
        <v>808438.46430577477</v>
      </c>
      <c r="AB802" s="34">
        <f t="shared" si="696"/>
        <v>0</v>
      </c>
      <c r="AC802" s="34">
        <f t="shared" si="697"/>
        <v>0</v>
      </c>
      <c r="AD802" s="34">
        <f t="shared" si="698"/>
        <v>0</v>
      </c>
      <c r="AE802" s="34">
        <f t="shared" si="699"/>
        <v>0</v>
      </c>
      <c r="AF802" s="34">
        <f t="shared" si="700"/>
        <v>0</v>
      </c>
      <c r="AG802" s="29">
        <f t="shared" si="701"/>
        <v>808438.46430577477</v>
      </c>
      <c r="AH802" s="34">
        <f t="shared" si="702"/>
        <v>0</v>
      </c>
      <c r="AI802" s="34">
        <f t="shared" si="703"/>
        <v>0</v>
      </c>
      <c r="AJ802" s="34">
        <f t="shared" si="704"/>
        <v>0</v>
      </c>
      <c r="AK802" s="34">
        <f t="shared" si="705"/>
        <v>0</v>
      </c>
      <c r="AL802" s="34">
        <f t="shared" si="706"/>
        <v>0</v>
      </c>
      <c r="AM802" s="34">
        <f t="shared" si="707"/>
        <v>0</v>
      </c>
      <c r="AN802" s="34">
        <f t="shared" si="708"/>
        <v>0</v>
      </c>
      <c r="AO802" s="34">
        <f t="shared" si="709"/>
        <v>0</v>
      </c>
      <c r="AP802" s="34">
        <f t="shared" si="710"/>
        <v>0</v>
      </c>
      <c r="AQ802" s="34">
        <f t="shared" si="711"/>
        <v>0</v>
      </c>
      <c r="AR802" s="34">
        <f t="shared" si="712"/>
        <v>0</v>
      </c>
      <c r="AS802" s="30">
        <f t="shared" si="713"/>
        <v>1.9380784678501497</v>
      </c>
      <c r="AT802" s="29">
        <f t="shared" si="714"/>
        <v>0</v>
      </c>
      <c r="AU802" s="29">
        <f t="shared" si="715"/>
        <v>0</v>
      </c>
      <c r="AV802" s="34">
        <f t="shared" si="716"/>
        <v>0</v>
      </c>
      <c r="AW802" s="34">
        <f t="shared" si="717"/>
        <v>0</v>
      </c>
      <c r="AX802" s="29">
        <f t="shared" si="718"/>
        <v>0</v>
      </c>
      <c r="AY802" s="34">
        <f t="shared" si="719"/>
        <v>0</v>
      </c>
      <c r="AZ802" s="37">
        <f t="shared" si="720"/>
        <v>0</v>
      </c>
      <c r="BA802" s="37">
        <f t="shared" si="721"/>
        <v>0</v>
      </c>
      <c r="BB802" s="35">
        <f t="shared" si="722"/>
        <v>1.3630680118990046E-3</v>
      </c>
      <c r="BC802" s="31">
        <f t="shared" si="723"/>
        <v>0.33723083167449797</v>
      </c>
      <c r="BD802" s="34">
        <f t="shared" si="724"/>
        <v>0</v>
      </c>
    </row>
    <row r="803" spans="1:56" x14ac:dyDescent="0.2">
      <c r="A803" s="27">
        <f t="shared" si="725"/>
        <v>799</v>
      </c>
      <c r="B803" s="28">
        <f t="shared" si="672"/>
        <v>799</v>
      </c>
      <c r="C803" s="27">
        <f t="shared" si="673"/>
        <v>66</v>
      </c>
      <c r="D803" s="28">
        <f t="shared" si="674"/>
        <v>86</v>
      </c>
      <c r="E803" s="29">
        <f t="shared" si="675"/>
        <v>0</v>
      </c>
      <c r="F803" s="30">
        <f t="shared" si="676"/>
        <v>2.9182937376085849E-2</v>
      </c>
      <c r="G803" s="31">
        <f t="shared" si="677"/>
        <v>2.4650591931589805E-3</v>
      </c>
      <c r="H803" s="32">
        <f t="shared" si="678"/>
        <v>0.02</v>
      </c>
      <c r="I803" s="32">
        <f t="shared" si="679"/>
        <v>0</v>
      </c>
      <c r="J803" s="33">
        <f t="shared" si="726"/>
        <v>0</v>
      </c>
      <c r="K803" s="30">
        <f t="shared" si="680"/>
        <v>0</v>
      </c>
      <c r="L803" s="33">
        <f t="shared" si="681"/>
        <v>0</v>
      </c>
      <c r="M803" s="30">
        <f t="shared" si="682"/>
        <v>0</v>
      </c>
      <c r="N803" s="33">
        <f t="shared" si="683"/>
        <v>0</v>
      </c>
      <c r="O803" s="31">
        <f t="shared" si="684"/>
        <v>0</v>
      </c>
      <c r="P803" s="33">
        <f t="shared" si="685"/>
        <v>0</v>
      </c>
      <c r="Q803" s="34">
        <f t="shared" si="727"/>
        <v>815196.50498652749</v>
      </c>
      <c r="R803" s="29">
        <f t="shared" si="686"/>
        <v>0</v>
      </c>
      <c r="S803" s="34">
        <f t="shared" si="687"/>
        <v>815196.50498652749</v>
      </c>
      <c r="T803" s="29">
        <f t="shared" si="688"/>
        <v>679.33042082210625</v>
      </c>
      <c r="U803" s="29">
        <f t="shared" si="689"/>
        <v>0</v>
      </c>
      <c r="V803" s="35">
        <f t="shared" si="690"/>
        <v>2.7115651124748788E-3</v>
      </c>
      <c r="W803" s="34">
        <f t="shared" si="691"/>
        <v>0</v>
      </c>
      <c r="X803" s="34">
        <f t="shared" si="692"/>
        <v>814517.17456570535</v>
      </c>
      <c r="Y803" s="36">
        <f t="shared" si="693"/>
        <v>-1.5227689151856572E-2</v>
      </c>
      <c r="Z803" s="34">
        <f t="shared" si="694"/>
        <v>-12403.214343135056</v>
      </c>
      <c r="AA803" s="34">
        <f t="shared" si="695"/>
        <v>808315.56739413785</v>
      </c>
      <c r="AB803" s="34">
        <f t="shared" si="696"/>
        <v>0</v>
      </c>
      <c r="AC803" s="34">
        <f t="shared" si="697"/>
        <v>0</v>
      </c>
      <c r="AD803" s="34">
        <f t="shared" si="698"/>
        <v>0</v>
      </c>
      <c r="AE803" s="34">
        <f t="shared" si="699"/>
        <v>0</v>
      </c>
      <c r="AF803" s="34">
        <f t="shared" si="700"/>
        <v>0</v>
      </c>
      <c r="AG803" s="29">
        <f t="shared" si="701"/>
        <v>808315.56739413785</v>
      </c>
      <c r="AH803" s="34">
        <f t="shared" si="702"/>
        <v>0</v>
      </c>
      <c r="AI803" s="34">
        <f t="shared" si="703"/>
        <v>0</v>
      </c>
      <c r="AJ803" s="34">
        <f t="shared" si="704"/>
        <v>0</v>
      </c>
      <c r="AK803" s="34">
        <f t="shared" si="705"/>
        <v>0</v>
      </c>
      <c r="AL803" s="34">
        <f t="shared" si="706"/>
        <v>0</v>
      </c>
      <c r="AM803" s="34">
        <f t="shared" si="707"/>
        <v>0</v>
      </c>
      <c r="AN803" s="34">
        <f t="shared" si="708"/>
        <v>0</v>
      </c>
      <c r="AO803" s="34">
        <f t="shared" si="709"/>
        <v>0</v>
      </c>
      <c r="AP803" s="34">
        <f t="shared" si="710"/>
        <v>0</v>
      </c>
      <c r="AQ803" s="34">
        <f t="shared" si="711"/>
        <v>0</v>
      </c>
      <c r="AR803" s="34">
        <f t="shared" si="712"/>
        <v>0</v>
      </c>
      <c r="AS803" s="30">
        <f t="shared" si="713"/>
        <v>1.9396861778078252</v>
      </c>
      <c r="AT803" s="29">
        <f t="shared" si="714"/>
        <v>0</v>
      </c>
      <c r="AU803" s="29">
        <f t="shared" si="715"/>
        <v>0</v>
      </c>
      <c r="AV803" s="34">
        <f t="shared" si="716"/>
        <v>0</v>
      </c>
      <c r="AW803" s="34">
        <f t="shared" si="717"/>
        <v>0</v>
      </c>
      <c r="AX803" s="29">
        <f t="shared" si="718"/>
        <v>0</v>
      </c>
      <c r="AY803" s="34">
        <f t="shared" si="719"/>
        <v>0</v>
      </c>
      <c r="AZ803" s="37">
        <f t="shared" si="720"/>
        <v>0</v>
      </c>
      <c r="BA803" s="37">
        <f t="shared" si="721"/>
        <v>0</v>
      </c>
      <c r="BB803" s="35">
        <f t="shared" si="722"/>
        <v>1.3630680118990046E-3</v>
      </c>
      <c r="BC803" s="31">
        <f t="shared" si="723"/>
        <v>0.33677178882184483</v>
      </c>
      <c r="BD803" s="34">
        <f t="shared" si="724"/>
        <v>0</v>
      </c>
    </row>
    <row r="804" spans="1:56" x14ac:dyDescent="0.2">
      <c r="A804" s="27">
        <f t="shared" si="725"/>
        <v>800</v>
      </c>
      <c r="B804" s="28">
        <f t="shared" si="672"/>
        <v>800</v>
      </c>
      <c r="C804" s="27">
        <f t="shared" si="673"/>
        <v>66</v>
      </c>
      <c r="D804" s="28">
        <f t="shared" si="674"/>
        <v>86</v>
      </c>
      <c r="E804" s="29">
        <f t="shared" si="675"/>
        <v>0</v>
      </c>
      <c r="F804" s="30">
        <f t="shared" si="676"/>
        <v>2.9182937376085849E-2</v>
      </c>
      <c r="G804" s="31">
        <f t="shared" si="677"/>
        <v>2.4650591931589805E-3</v>
      </c>
      <c r="H804" s="32">
        <f t="shared" si="678"/>
        <v>0.02</v>
      </c>
      <c r="I804" s="32">
        <f t="shared" si="679"/>
        <v>0</v>
      </c>
      <c r="J804" s="33">
        <f t="shared" si="726"/>
        <v>0</v>
      </c>
      <c r="K804" s="30">
        <f t="shared" si="680"/>
        <v>0</v>
      </c>
      <c r="L804" s="33">
        <f t="shared" si="681"/>
        <v>0</v>
      </c>
      <c r="M804" s="30">
        <f t="shared" si="682"/>
        <v>0</v>
      </c>
      <c r="N804" s="33">
        <f t="shared" si="683"/>
        <v>0</v>
      </c>
      <c r="O804" s="31">
        <f t="shared" si="684"/>
        <v>0</v>
      </c>
      <c r="P804" s="33">
        <f t="shared" si="685"/>
        <v>0</v>
      </c>
      <c r="Q804" s="34">
        <f t="shared" si="727"/>
        <v>802113.96022257034</v>
      </c>
      <c r="R804" s="29">
        <f t="shared" si="686"/>
        <v>0</v>
      </c>
      <c r="S804" s="34">
        <f t="shared" si="687"/>
        <v>802113.96022257034</v>
      </c>
      <c r="T804" s="29">
        <f t="shared" si="688"/>
        <v>668.42830018547534</v>
      </c>
      <c r="U804" s="29">
        <f t="shared" si="689"/>
        <v>0</v>
      </c>
      <c r="V804" s="35">
        <f t="shared" si="690"/>
        <v>2.7115651124748788E-3</v>
      </c>
      <c r="W804" s="34">
        <f t="shared" si="691"/>
        <v>0</v>
      </c>
      <c r="X804" s="34">
        <f t="shared" si="692"/>
        <v>801445.53192238486</v>
      </c>
      <c r="Y804" s="36">
        <f t="shared" si="693"/>
        <v>1.172959377548688E-3</v>
      </c>
      <c r="Z804" s="34">
        <f t="shared" si="694"/>
        <v>940.0630522628577</v>
      </c>
      <c r="AA804" s="34">
        <f t="shared" si="695"/>
        <v>801915.5634485163</v>
      </c>
      <c r="AB804" s="34">
        <f t="shared" si="696"/>
        <v>0</v>
      </c>
      <c r="AC804" s="34">
        <f t="shared" si="697"/>
        <v>0</v>
      </c>
      <c r="AD804" s="34">
        <f t="shared" si="698"/>
        <v>0</v>
      </c>
      <c r="AE804" s="34">
        <f t="shared" si="699"/>
        <v>0</v>
      </c>
      <c r="AF804" s="34">
        <f t="shared" si="700"/>
        <v>0</v>
      </c>
      <c r="AG804" s="29">
        <f t="shared" si="701"/>
        <v>801915.5634485163</v>
      </c>
      <c r="AH804" s="34">
        <f t="shared" si="702"/>
        <v>0</v>
      </c>
      <c r="AI804" s="34">
        <f t="shared" si="703"/>
        <v>0</v>
      </c>
      <c r="AJ804" s="34">
        <f t="shared" si="704"/>
        <v>0</v>
      </c>
      <c r="AK804" s="34">
        <f t="shared" si="705"/>
        <v>0</v>
      </c>
      <c r="AL804" s="34">
        <f t="shared" si="706"/>
        <v>0</v>
      </c>
      <c r="AM804" s="34">
        <f t="shared" si="707"/>
        <v>0</v>
      </c>
      <c r="AN804" s="34">
        <f t="shared" si="708"/>
        <v>0</v>
      </c>
      <c r="AO804" s="34">
        <f t="shared" si="709"/>
        <v>0</v>
      </c>
      <c r="AP804" s="34">
        <f t="shared" si="710"/>
        <v>0</v>
      </c>
      <c r="AQ804" s="34">
        <f t="shared" si="711"/>
        <v>0</v>
      </c>
      <c r="AR804" s="34">
        <f t="shared" si="712"/>
        <v>0</v>
      </c>
      <c r="AS804" s="30">
        <f t="shared" si="713"/>
        <v>1.9412952214221875</v>
      </c>
      <c r="AT804" s="29">
        <f t="shared" si="714"/>
        <v>0</v>
      </c>
      <c r="AU804" s="29">
        <f t="shared" si="715"/>
        <v>0</v>
      </c>
      <c r="AV804" s="34">
        <f t="shared" si="716"/>
        <v>0</v>
      </c>
      <c r="AW804" s="34">
        <f t="shared" si="717"/>
        <v>0</v>
      </c>
      <c r="AX804" s="29">
        <f t="shared" si="718"/>
        <v>0</v>
      </c>
      <c r="AY804" s="34">
        <f t="shared" si="719"/>
        <v>0</v>
      </c>
      <c r="AZ804" s="37">
        <f t="shared" si="720"/>
        <v>0</v>
      </c>
      <c r="BA804" s="37">
        <f t="shared" si="721"/>
        <v>0</v>
      </c>
      <c r="BB804" s="35">
        <f t="shared" si="722"/>
        <v>1.3630680118990046E-3</v>
      </c>
      <c r="BC804" s="31">
        <f t="shared" si="723"/>
        <v>0.33631337082410068</v>
      </c>
      <c r="BD804" s="34">
        <f t="shared" si="724"/>
        <v>0</v>
      </c>
    </row>
    <row r="805" spans="1:56" x14ac:dyDescent="0.2">
      <c r="A805" s="27">
        <f t="shared" si="725"/>
        <v>801</v>
      </c>
      <c r="B805" s="28">
        <f t="shared" si="672"/>
        <v>801</v>
      </c>
      <c r="C805" s="27">
        <f t="shared" si="673"/>
        <v>66</v>
      </c>
      <c r="D805" s="28">
        <f t="shared" si="674"/>
        <v>86</v>
      </c>
      <c r="E805" s="29">
        <f t="shared" si="675"/>
        <v>0</v>
      </c>
      <c r="F805" s="30">
        <f t="shared" si="676"/>
        <v>2.9182937376085849E-2</v>
      </c>
      <c r="G805" s="31">
        <f t="shared" si="677"/>
        <v>2.4650591931589805E-3</v>
      </c>
      <c r="H805" s="32">
        <f t="shared" si="678"/>
        <v>0.02</v>
      </c>
      <c r="I805" s="32">
        <f t="shared" si="679"/>
        <v>0</v>
      </c>
      <c r="J805" s="33">
        <f t="shared" si="726"/>
        <v>0</v>
      </c>
      <c r="K805" s="30">
        <f t="shared" si="680"/>
        <v>0</v>
      </c>
      <c r="L805" s="33">
        <f t="shared" si="681"/>
        <v>0</v>
      </c>
      <c r="M805" s="30">
        <f t="shared" si="682"/>
        <v>0</v>
      </c>
      <c r="N805" s="33">
        <f t="shared" si="683"/>
        <v>0</v>
      </c>
      <c r="O805" s="31">
        <f t="shared" si="684"/>
        <v>0</v>
      </c>
      <c r="P805" s="33">
        <f t="shared" si="685"/>
        <v>0</v>
      </c>
      <c r="Q805" s="34">
        <f t="shared" si="727"/>
        <v>802385.59497464774</v>
      </c>
      <c r="R805" s="29">
        <f t="shared" si="686"/>
        <v>0</v>
      </c>
      <c r="S805" s="34">
        <f t="shared" si="687"/>
        <v>802385.59497464774</v>
      </c>
      <c r="T805" s="29">
        <f t="shared" si="688"/>
        <v>668.65466247887321</v>
      </c>
      <c r="U805" s="29">
        <f t="shared" si="689"/>
        <v>0</v>
      </c>
      <c r="V805" s="35">
        <f t="shared" si="690"/>
        <v>2.7115651124748788E-3</v>
      </c>
      <c r="W805" s="34">
        <f t="shared" si="691"/>
        <v>0</v>
      </c>
      <c r="X805" s="34">
        <f t="shared" si="692"/>
        <v>801716.94031216891</v>
      </c>
      <c r="Y805" s="36">
        <f t="shared" si="693"/>
        <v>1.3976847178446494E-2</v>
      </c>
      <c r="Z805" s="34">
        <f t="shared" si="694"/>
        <v>11205.475155114895</v>
      </c>
      <c r="AA805" s="34">
        <f t="shared" si="695"/>
        <v>807319.67788972636</v>
      </c>
      <c r="AB805" s="34">
        <f t="shared" si="696"/>
        <v>0</v>
      </c>
      <c r="AC805" s="34">
        <f t="shared" si="697"/>
        <v>0</v>
      </c>
      <c r="AD805" s="34">
        <f t="shared" si="698"/>
        <v>0</v>
      </c>
      <c r="AE805" s="34">
        <f t="shared" si="699"/>
        <v>0</v>
      </c>
      <c r="AF805" s="34">
        <f t="shared" si="700"/>
        <v>0</v>
      </c>
      <c r="AG805" s="29">
        <f t="shared" si="701"/>
        <v>807319.67788972636</v>
      </c>
      <c r="AH805" s="34">
        <f t="shared" si="702"/>
        <v>0</v>
      </c>
      <c r="AI805" s="34">
        <f t="shared" si="703"/>
        <v>0</v>
      </c>
      <c r="AJ805" s="34">
        <f t="shared" si="704"/>
        <v>0</v>
      </c>
      <c r="AK805" s="34">
        <f t="shared" si="705"/>
        <v>0</v>
      </c>
      <c r="AL805" s="34">
        <f t="shared" si="706"/>
        <v>0</v>
      </c>
      <c r="AM805" s="34">
        <f t="shared" si="707"/>
        <v>0</v>
      </c>
      <c r="AN805" s="34">
        <f t="shared" si="708"/>
        <v>0</v>
      </c>
      <c r="AO805" s="34">
        <f t="shared" si="709"/>
        <v>0</v>
      </c>
      <c r="AP805" s="34">
        <f t="shared" si="710"/>
        <v>0</v>
      </c>
      <c r="AQ805" s="34">
        <f t="shared" si="711"/>
        <v>0</v>
      </c>
      <c r="AR805" s="34">
        <f t="shared" si="712"/>
        <v>0</v>
      </c>
      <c r="AS805" s="30">
        <f t="shared" si="713"/>
        <v>1.9429055997995552</v>
      </c>
      <c r="AT805" s="29">
        <f t="shared" si="714"/>
        <v>0</v>
      </c>
      <c r="AU805" s="29">
        <f t="shared" si="715"/>
        <v>0</v>
      </c>
      <c r="AV805" s="34">
        <f t="shared" si="716"/>
        <v>0</v>
      </c>
      <c r="AW805" s="34">
        <f t="shared" si="717"/>
        <v>0</v>
      </c>
      <c r="AX805" s="29">
        <f t="shared" si="718"/>
        <v>0</v>
      </c>
      <c r="AY805" s="34">
        <f t="shared" si="719"/>
        <v>0</v>
      </c>
      <c r="AZ805" s="37">
        <f t="shared" si="720"/>
        <v>0</v>
      </c>
      <c r="BA805" s="37">
        <f t="shared" si="721"/>
        <v>0</v>
      </c>
      <c r="BB805" s="35">
        <f t="shared" si="722"/>
        <v>1.3630680118990046E-3</v>
      </c>
      <c r="BC805" s="31">
        <f t="shared" si="723"/>
        <v>0.33585557683070477</v>
      </c>
      <c r="BD805" s="34">
        <f t="shared" si="724"/>
        <v>0</v>
      </c>
    </row>
    <row r="806" spans="1:56" x14ac:dyDescent="0.2">
      <c r="A806" s="27">
        <f t="shared" si="725"/>
        <v>802</v>
      </c>
      <c r="B806" s="28">
        <f t="shared" si="672"/>
        <v>802</v>
      </c>
      <c r="C806" s="27">
        <f t="shared" si="673"/>
        <v>66</v>
      </c>
      <c r="D806" s="28">
        <f t="shared" si="674"/>
        <v>86</v>
      </c>
      <c r="E806" s="29">
        <f t="shared" si="675"/>
        <v>0</v>
      </c>
      <c r="F806" s="30">
        <f t="shared" si="676"/>
        <v>2.9182937376085849E-2</v>
      </c>
      <c r="G806" s="31">
        <f t="shared" si="677"/>
        <v>2.4650591931589805E-3</v>
      </c>
      <c r="H806" s="32">
        <f t="shared" si="678"/>
        <v>0.02</v>
      </c>
      <c r="I806" s="32">
        <f t="shared" si="679"/>
        <v>0</v>
      </c>
      <c r="J806" s="33">
        <f t="shared" si="726"/>
        <v>0</v>
      </c>
      <c r="K806" s="30">
        <f t="shared" si="680"/>
        <v>0</v>
      </c>
      <c r="L806" s="33">
        <f t="shared" si="681"/>
        <v>0</v>
      </c>
      <c r="M806" s="30">
        <f t="shared" si="682"/>
        <v>0</v>
      </c>
      <c r="N806" s="33">
        <f t="shared" si="683"/>
        <v>0</v>
      </c>
      <c r="O806" s="31">
        <f t="shared" si="684"/>
        <v>0</v>
      </c>
      <c r="P806" s="33">
        <f t="shared" si="685"/>
        <v>0</v>
      </c>
      <c r="Q806" s="34">
        <f t="shared" si="727"/>
        <v>812922.4154672838</v>
      </c>
      <c r="R806" s="29">
        <f t="shared" si="686"/>
        <v>0</v>
      </c>
      <c r="S806" s="34">
        <f t="shared" si="687"/>
        <v>812922.4154672838</v>
      </c>
      <c r="T806" s="29">
        <f t="shared" si="688"/>
        <v>677.4353462227366</v>
      </c>
      <c r="U806" s="29">
        <f t="shared" si="689"/>
        <v>0</v>
      </c>
      <c r="V806" s="35">
        <f t="shared" si="690"/>
        <v>2.7115651124748788E-3</v>
      </c>
      <c r="W806" s="34">
        <f t="shared" si="691"/>
        <v>0</v>
      </c>
      <c r="X806" s="34">
        <f t="shared" si="692"/>
        <v>812244.98012106109</v>
      </c>
      <c r="Y806" s="36">
        <f t="shared" si="693"/>
        <v>7.0627178413817937E-3</v>
      </c>
      <c r="Z806" s="34">
        <f t="shared" si="694"/>
        <v>5736.6571126738181</v>
      </c>
      <c r="AA806" s="34">
        <f t="shared" si="695"/>
        <v>815113.30867739802</v>
      </c>
      <c r="AB806" s="34">
        <f t="shared" si="696"/>
        <v>0</v>
      </c>
      <c r="AC806" s="34">
        <f t="shared" si="697"/>
        <v>0</v>
      </c>
      <c r="AD806" s="34">
        <f t="shared" si="698"/>
        <v>0</v>
      </c>
      <c r="AE806" s="34">
        <f t="shared" si="699"/>
        <v>0</v>
      </c>
      <c r="AF806" s="34">
        <f t="shared" si="700"/>
        <v>0</v>
      </c>
      <c r="AG806" s="29">
        <f t="shared" si="701"/>
        <v>815113.30867739802</v>
      </c>
      <c r="AH806" s="34">
        <f t="shared" si="702"/>
        <v>0</v>
      </c>
      <c r="AI806" s="34">
        <f t="shared" si="703"/>
        <v>0</v>
      </c>
      <c r="AJ806" s="34">
        <f t="shared" si="704"/>
        <v>0</v>
      </c>
      <c r="AK806" s="34">
        <f t="shared" si="705"/>
        <v>0</v>
      </c>
      <c r="AL806" s="34">
        <f t="shared" si="706"/>
        <v>0</v>
      </c>
      <c r="AM806" s="34">
        <f t="shared" si="707"/>
        <v>0</v>
      </c>
      <c r="AN806" s="34">
        <f t="shared" si="708"/>
        <v>0</v>
      </c>
      <c r="AO806" s="34">
        <f t="shared" si="709"/>
        <v>0</v>
      </c>
      <c r="AP806" s="34">
        <f t="shared" si="710"/>
        <v>0</v>
      </c>
      <c r="AQ806" s="34">
        <f t="shared" si="711"/>
        <v>0</v>
      </c>
      <c r="AR806" s="34">
        <f t="shared" si="712"/>
        <v>0</v>
      </c>
      <c r="AS806" s="30">
        <f t="shared" si="713"/>
        <v>1.9445173140471657</v>
      </c>
      <c r="AT806" s="29">
        <f t="shared" si="714"/>
        <v>0</v>
      </c>
      <c r="AU806" s="29">
        <f t="shared" si="715"/>
        <v>0</v>
      </c>
      <c r="AV806" s="34">
        <f t="shared" si="716"/>
        <v>0</v>
      </c>
      <c r="AW806" s="34">
        <f t="shared" si="717"/>
        <v>0</v>
      </c>
      <c r="AX806" s="29">
        <f t="shared" si="718"/>
        <v>0</v>
      </c>
      <c r="AY806" s="34">
        <f t="shared" si="719"/>
        <v>0</v>
      </c>
      <c r="AZ806" s="37">
        <f t="shared" si="720"/>
        <v>0</v>
      </c>
      <c r="BA806" s="37">
        <f t="shared" si="721"/>
        <v>0</v>
      </c>
      <c r="BB806" s="35">
        <f t="shared" si="722"/>
        <v>1.3630680118990046E-3</v>
      </c>
      <c r="BC806" s="31">
        <f t="shared" si="723"/>
        <v>0.3353984059922549</v>
      </c>
      <c r="BD806" s="34">
        <f t="shared" si="724"/>
        <v>0</v>
      </c>
    </row>
    <row r="807" spans="1:56" x14ac:dyDescent="0.2">
      <c r="A807" s="27">
        <f t="shared" si="725"/>
        <v>803</v>
      </c>
      <c r="B807" s="28">
        <f t="shared" si="672"/>
        <v>803</v>
      </c>
      <c r="C807" s="27">
        <f t="shared" si="673"/>
        <v>66</v>
      </c>
      <c r="D807" s="28">
        <f t="shared" si="674"/>
        <v>86</v>
      </c>
      <c r="E807" s="29">
        <f t="shared" si="675"/>
        <v>0</v>
      </c>
      <c r="F807" s="30">
        <f t="shared" si="676"/>
        <v>2.9182937376085849E-2</v>
      </c>
      <c r="G807" s="31">
        <f t="shared" si="677"/>
        <v>2.4650591931589805E-3</v>
      </c>
      <c r="H807" s="32">
        <f t="shared" si="678"/>
        <v>0.02</v>
      </c>
      <c r="I807" s="32">
        <f t="shared" si="679"/>
        <v>0</v>
      </c>
      <c r="J807" s="33">
        <f t="shared" si="726"/>
        <v>0</v>
      </c>
      <c r="K807" s="30">
        <f t="shared" si="680"/>
        <v>0</v>
      </c>
      <c r="L807" s="33">
        <f t="shared" si="681"/>
        <v>0</v>
      </c>
      <c r="M807" s="30">
        <f t="shared" si="682"/>
        <v>0</v>
      </c>
      <c r="N807" s="33">
        <f t="shared" si="683"/>
        <v>0</v>
      </c>
      <c r="O807" s="31">
        <f t="shared" si="684"/>
        <v>0</v>
      </c>
      <c r="P807" s="33">
        <f t="shared" si="685"/>
        <v>0</v>
      </c>
      <c r="Q807" s="34">
        <f t="shared" si="727"/>
        <v>817981.63723373495</v>
      </c>
      <c r="R807" s="29">
        <f t="shared" si="686"/>
        <v>0</v>
      </c>
      <c r="S807" s="34">
        <f t="shared" si="687"/>
        <v>817981.63723373495</v>
      </c>
      <c r="T807" s="29">
        <f t="shared" si="688"/>
        <v>681.65136436144587</v>
      </c>
      <c r="U807" s="29">
        <f t="shared" si="689"/>
        <v>0</v>
      </c>
      <c r="V807" s="35">
        <f t="shared" si="690"/>
        <v>2.7115651124748788E-3</v>
      </c>
      <c r="W807" s="34">
        <f t="shared" si="691"/>
        <v>0</v>
      </c>
      <c r="X807" s="34">
        <f t="shared" si="692"/>
        <v>817299.98586937354</v>
      </c>
      <c r="Y807" s="36">
        <f t="shared" si="693"/>
        <v>4.4088636378809554E-3</v>
      </c>
      <c r="Z807" s="34">
        <f t="shared" si="694"/>
        <v>3603.3641889400997</v>
      </c>
      <c r="AA807" s="34">
        <f t="shared" si="695"/>
        <v>819101.66796384356</v>
      </c>
      <c r="AB807" s="34">
        <f t="shared" si="696"/>
        <v>0</v>
      </c>
      <c r="AC807" s="34">
        <f t="shared" si="697"/>
        <v>0</v>
      </c>
      <c r="AD807" s="34">
        <f t="shared" si="698"/>
        <v>0</v>
      </c>
      <c r="AE807" s="34">
        <f t="shared" si="699"/>
        <v>0</v>
      </c>
      <c r="AF807" s="34">
        <f t="shared" si="700"/>
        <v>0</v>
      </c>
      <c r="AG807" s="29">
        <f t="shared" si="701"/>
        <v>819101.66796384356</v>
      </c>
      <c r="AH807" s="34">
        <f t="shared" si="702"/>
        <v>0</v>
      </c>
      <c r="AI807" s="34">
        <f t="shared" si="703"/>
        <v>0</v>
      </c>
      <c r="AJ807" s="34">
        <f t="shared" si="704"/>
        <v>0</v>
      </c>
      <c r="AK807" s="34">
        <f t="shared" si="705"/>
        <v>0</v>
      </c>
      <c r="AL807" s="34">
        <f t="shared" si="706"/>
        <v>0</v>
      </c>
      <c r="AM807" s="34">
        <f t="shared" si="707"/>
        <v>0</v>
      </c>
      <c r="AN807" s="34">
        <f t="shared" si="708"/>
        <v>0</v>
      </c>
      <c r="AO807" s="34">
        <f t="shared" si="709"/>
        <v>0</v>
      </c>
      <c r="AP807" s="34">
        <f t="shared" si="710"/>
        <v>0</v>
      </c>
      <c r="AQ807" s="34">
        <f t="shared" si="711"/>
        <v>0</v>
      </c>
      <c r="AR807" s="34">
        <f t="shared" si="712"/>
        <v>0</v>
      </c>
      <c r="AS807" s="30">
        <f t="shared" si="713"/>
        <v>1.9461303652731743</v>
      </c>
      <c r="AT807" s="29">
        <f t="shared" si="714"/>
        <v>0</v>
      </c>
      <c r="AU807" s="29">
        <f t="shared" si="715"/>
        <v>0</v>
      </c>
      <c r="AV807" s="34">
        <f t="shared" si="716"/>
        <v>0</v>
      </c>
      <c r="AW807" s="34">
        <f t="shared" si="717"/>
        <v>0</v>
      </c>
      <c r="AX807" s="29">
        <f t="shared" si="718"/>
        <v>0</v>
      </c>
      <c r="AY807" s="34">
        <f t="shared" si="719"/>
        <v>0</v>
      </c>
      <c r="AZ807" s="37">
        <f t="shared" si="720"/>
        <v>0</v>
      </c>
      <c r="BA807" s="37">
        <f t="shared" si="721"/>
        <v>0</v>
      </c>
      <c r="BB807" s="35">
        <f t="shared" si="722"/>
        <v>1.3630680118990046E-3</v>
      </c>
      <c r="BC807" s="31">
        <f t="shared" si="723"/>
        <v>0.33494185746050442</v>
      </c>
      <c r="BD807" s="34">
        <f t="shared" si="724"/>
        <v>0</v>
      </c>
    </row>
    <row r="808" spans="1:56" x14ac:dyDescent="0.2">
      <c r="A808" s="27">
        <f t="shared" si="725"/>
        <v>804</v>
      </c>
      <c r="B808" s="28">
        <f t="shared" si="672"/>
        <v>804</v>
      </c>
      <c r="C808" s="27">
        <f t="shared" si="673"/>
        <v>67</v>
      </c>
      <c r="D808" s="28">
        <f t="shared" si="674"/>
        <v>87</v>
      </c>
      <c r="E808" s="29">
        <f t="shared" si="675"/>
        <v>0</v>
      </c>
      <c r="F808" s="30">
        <f t="shared" si="676"/>
        <v>3.2775160860319237E-2</v>
      </c>
      <c r="G808" s="31">
        <f t="shared" si="677"/>
        <v>2.7731725098385507E-3</v>
      </c>
      <c r="H808" s="32">
        <f t="shared" si="678"/>
        <v>0.02</v>
      </c>
      <c r="I808" s="32">
        <f t="shared" si="679"/>
        <v>0</v>
      </c>
      <c r="J808" s="33">
        <f t="shared" si="726"/>
        <v>0</v>
      </c>
      <c r="K808" s="30">
        <f t="shared" si="680"/>
        <v>0</v>
      </c>
      <c r="L808" s="33">
        <f t="shared" si="681"/>
        <v>0</v>
      </c>
      <c r="M808" s="30">
        <f t="shared" si="682"/>
        <v>0</v>
      </c>
      <c r="N808" s="33">
        <f t="shared" si="683"/>
        <v>0</v>
      </c>
      <c r="O808" s="31">
        <f t="shared" si="684"/>
        <v>0</v>
      </c>
      <c r="P808" s="33">
        <f t="shared" si="685"/>
        <v>0</v>
      </c>
      <c r="Q808" s="34">
        <f t="shared" si="727"/>
        <v>820903.35005831369</v>
      </c>
      <c r="R808" s="29">
        <f t="shared" si="686"/>
        <v>0</v>
      </c>
      <c r="S808" s="34">
        <f t="shared" si="687"/>
        <v>820903.35005831369</v>
      </c>
      <c r="T808" s="29">
        <f t="shared" si="688"/>
        <v>684.08612504859479</v>
      </c>
      <c r="U808" s="29">
        <f t="shared" si="689"/>
        <v>0</v>
      </c>
      <c r="V808" s="35">
        <f t="shared" si="690"/>
        <v>3.0504897608224059E-3</v>
      </c>
      <c r="W808" s="34">
        <f t="shared" si="691"/>
        <v>0</v>
      </c>
      <c r="X808" s="34">
        <f t="shared" si="692"/>
        <v>820219.26393326512</v>
      </c>
      <c r="Y808" s="36">
        <f t="shared" si="693"/>
        <v>3.4692931796860282E-3</v>
      </c>
      <c r="Z808" s="34">
        <f t="shared" si="694"/>
        <v>2845.581098210771</v>
      </c>
      <c r="AA808" s="34">
        <f t="shared" si="695"/>
        <v>821642.0544823705</v>
      </c>
      <c r="AB808" s="34">
        <f t="shared" si="696"/>
        <v>0</v>
      </c>
      <c r="AC808" s="34">
        <f t="shared" si="697"/>
        <v>0</v>
      </c>
      <c r="AD808" s="34">
        <f t="shared" si="698"/>
        <v>0</v>
      </c>
      <c r="AE808" s="34">
        <f t="shared" si="699"/>
        <v>0</v>
      </c>
      <c r="AF808" s="34">
        <f t="shared" si="700"/>
        <v>0</v>
      </c>
      <c r="AG808" s="29">
        <f t="shared" si="701"/>
        <v>821642.0544823705</v>
      </c>
      <c r="AH808" s="34">
        <f t="shared" si="702"/>
        <v>0</v>
      </c>
      <c r="AI808" s="34">
        <f t="shared" si="703"/>
        <v>0</v>
      </c>
      <c r="AJ808" s="34">
        <f t="shared" si="704"/>
        <v>0</v>
      </c>
      <c r="AK808" s="34">
        <f t="shared" si="705"/>
        <v>0</v>
      </c>
      <c r="AL808" s="34">
        <f t="shared" si="706"/>
        <v>0</v>
      </c>
      <c r="AM808" s="34">
        <f t="shared" si="707"/>
        <v>0</v>
      </c>
      <c r="AN808" s="34">
        <f t="shared" si="708"/>
        <v>0</v>
      </c>
      <c r="AO808" s="34">
        <f t="shared" si="709"/>
        <v>0</v>
      </c>
      <c r="AP808" s="34">
        <f t="shared" si="710"/>
        <v>0</v>
      </c>
      <c r="AQ808" s="34">
        <f t="shared" si="711"/>
        <v>0</v>
      </c>
      <c r="AR808" s="34">
        <f t="shared" si="712"/>
        <v>0</v>
      </c>
      <c r="AS808" s="30">
        <f t="shared" si="713"/>
        <v>1.9477447545866549</v>
      </c>
      <c r="AT808" s="29">
        <f t="shared" si="714"/>
        <v>0</v>
      </c>
      <c r="AU808" s="29">
        <f t="shared" si="715"/>
        <v>0</v>
      </c>
      <c r="AV808" s="34">
        <f t="shared" si="716"/>
        <v>0</v>
      </c>
      <c r="AW808" s="34">
        <f t="shared" si="717"/>
        <v>0</v>
      </c>
      <c r="AX808" s="29">
        <f t="shared" si="718"/>
        <v>0</v>
      </c>
      <c r="AY808" s="34">
        <f t="shared" si="719"/>
        <v>0</v>
      </c>
      <c r="AZ808" s="37">
        <f t="shared" si="720"/>
        <v>0</v>
      </c>
      <c r="BA808" s="37">
        <f t="shared" si="721"/>
        <v>0</v>
      </c>
      <c r="BB808" s="35">
        <f t="shared" si="722"/>
        <v>1.3909756981382859E-3</v>
      </c>
      <c r="BC808" s="31">
        <f t="shared" si="723"/>
        <v>0.32707447332950335</v>
      </c>
      <c r="BD808" s="34">
        <f t="shared" si="724"/>
        <v>0</v>
      </c>
    </row>
    <row r="809" spans="1:56" x14ac:dyDescent="0.2">
      <c r="A809" s="27">
        <f t="shared" si="725"/>
        <v>805</v>
      </c>
      <c r="B809" s="28">
        <f t="shared" si="672"/>
        <v>805</v>
      </c>
      <c r="C809" s="27">
        <f t="shared" si="673"/>
        <v>67</v>
      </c>
      <c r="D809" s="28">
        <f t="shared" si="674"/>
        <v>87</v>
      </c>
      <c r="E809" s="29">
        <f t="shared" si="675"/>
        <v>0</v>
      </c>
      <c r="F809" s="30">
        <f t="shared" si="676"/>
        <v>3.2775160860319237E-2</v>
      </c>
      <c r="G809" s="31">
        <f t="shared" si="677"/>
        <v>2.7731725098385507E-3</v>
      </c>
      <c r="H809" s="32">
        <f t="shared" si="678"/>
        <v>0.02</v>
      </c>
      <c r="I809" s="32">
        <f t="shared" si="679"/>
        <v>0</v>
      </c>
      <c r="J809" s="33">
        <f t="shared" si="726"/>
        <v>0</v>
      </c>
      <c r="K809" s="30">
        <f t="shared" si="680"/>
        <v>0</v>
      </c>
      <c r="L809" s="33">
        <f t="shared" si="681"/>
        <v>0</v>
      </c>
      <c r="M809" s="30">
        <f t="shared" si="682"/>
        <v>0</v>
      </c>
      <c r="N809" s="33">
        <f t="shared" si="683"/>
        <v>0</v>
      </c>
      <c r="O809" s="31">
        <f t="shared" si="684"/>
        <v>0</v>
      </c>
      <c r="P809" s="33">
        <f t="shared" si="685"/>
        <v>0</v>
      </c>
      <c r="Q809" s="34">
        <f t="shared" si="727"/>
        <v>823064.84503147588</v>
      </c>
      <c r="R809" s="29">
        <f t="shared" si="686"/>
        <v>0</v>
      </c>
      <c r="S809" s="34">
        <f t="shared" si="687"/>
        <v>823064.84503147588</v>
      </c>
      <c r="T809" s="29">
        <f t="shared" si="688"/>
        <v>685.88737085956325</v>
      </c>
      <c r="U809" s="29">
        <f t="shared" si="689"/>
        <v>0</v>
      </c>
      <c r="V809" s="35">
        <f t="shared" si="690"/>
        <v>3.0504897608224059E-3</v>
      </c>
      <c r="W809" s="34">
        <f t="shared" si="691"/>
        <v>0</v>
      </c>
      <c r="X809" s="34">
        <f t="shared" si="692"/>
        <v>822378.95766061638</v>
      </c>
      <c r="Y809" s="36">
        <f t="shared" si="693"/>
        <v>3.4755030447186641E-4</v>
      </c>
      <c r="Z809" s="34">
        <f t="shared" si="694"/>
        <v>285.81805712620337</v>
      </c>
      <c r="AA809" s="34">
        <f t="shared" si="695"/>
        <v>822521.86668917944</v>
      </c>
      <c r="AB809" s="34">
        <f t="shared" si="696"/>
        <v>0</v>
      </c>
      <c r="AC809" s="34">
        <f t="shared" si="697"/>
        <v>0</v>
      </c>
      <c r="AD809" s="34">
        <f t="shared" si="698"/>
        <v>0</v>
      </c>
      <c r="AE809" s="34">
        <f t="shared" si="699"/>
        <v>0</v>
      </c>
      <c r="AF809" s="34">
        <f t="shared" si="700"/>
        <v>0</v>
      </c>
      <c r="AG809" s="29">
        <f t="shared" si="701"/>
        <v>822521.86668917944</v>
      </c>
      <c r="AH809" s="34">
        <f t="shared" si="702"/>
        <v>0</v>
      </c>
      <c r="AI809" s="34">
        <f t="shared" si="703"/>
        <v>0</v>
      </c>
      <c r="AJ809" s="34">
        <f t="shared" si="704"/>
        <v>0</v>
      </c>
      <c r="AK809" s="34">
        <f t="shared" si="705"/>
        <v>0</v>
      </c>
      <c r="AL809" s="34">
        <f t="shared" si="706"/>
        <v>0</v>
      </c>
      <c r="AM809" s="34">
        <f t="shared" si="707"/>
        <v>0</v>
      </c>
      <c r="AN809" s="34">
        <f t="shared" si="708"/>
        <v>0</v>
      </c>
      <c r="AO809" s="34">
        <f t="shared" si="709"/>
        <v>0</v>
      </c>
      <c r="AP809" s="34">
        <f t="shared" si="710"/>
        <v>0</v>
      </c>
      <c r="AQ809" s="34">
        <f t="shared" si="711"/>
        <v>0</v>
      </c>
      <c r="AR809" s="34">
        <f t="shared" si="712"/>
        <v>0</v>
      </c>
      <c r="AS809" s="30">
        <f t="shared" si="713"/>
        <v>1.9493604830976023</v>
      </c>
      <c r="AT809" s="29">
        <f t="shared" si="714"/>
        <v>0</v>
      </c>
      <c r="AU809" s="29">
        <f t="shared" si="715"/>
        <v>0</v>
      </c>
      <c r="AV809" s="34">
        <f t="shared" si="716"/>
        <v>0</v>
      </c>
      <c r="AW809" s="34">
        <f t="shared" si="717"/>
        <v>0</v>
      </c>
      <c r="AX809" s="29">
        <f t="shared" si="718"/>
        <v>0</v>
      </c>
      <c r="AY809" s="34">
        <f t="shared" si="719"/>
        <v>0</v>
      </c>
      <c r="AZ809" s="37">
        <f t="shared" si="720"/>
        <v>0</v>
      </c>
      <c r="BA809" s="37">
        <f t="shared" si="721"/>
        <v>0</v>
      </c>
      <c r="BB809" s="35">
        <f t="shared" si="722"/>
        <v>1.3909756981382859E-3</v>
      </c>
      <c r="BC809" s="31">
        <f t="shared" si="723"/>
        <v>0.32662015263466637</v>
      </c>
      <c r="BD809" s="34">
        <f t="shared" si="724"/>
        <v>0</v>
      </c>
    </row>
    <row r="810" spans="1:56" x14ac:dyDescent="0.2">
      <c r="A810" s="27">
        <f t="shared" si="725"/>
        <v>806</v>
      </c>
      <c r="B810" s="28">
        <f t="shared" si="672"/>
        <v>806</v>
      </c>
      <c r="C810" s="27">
        <f t="shared" si="673"/>
        <v>67</v>
      </c>
      <c r="D810" s="28">
        <f t="shared" si="674"/>
        <v>87</v>
      </c>
      <c r="E810" s="29">
        <f t="shared" si="675"/>
        <v>0</v>
      </c>
      <c r="F810" s="30">
        <f t="shared" si="676"/>
        <v>3.2775160860319237E-2</v>
      </c>
      <c r="G810" s="31">
        <f t="shared" si="677"/>
        <v>2.7731725098385507E-3</v>
      </c>
      <c r="H810" s="32">
        <f t="shared" si="678"/>
        <v>0.02</v>
      </c>
      <c r="I810" s="32">
        <f t="shared" si="679"/>
        <v>0</v>
      </c>
      <c r="J810" s="33">
        <f t="shared" si="726"/>
        <v>0</v>
      </c>
      <c r="K810" s="30">
        <f t="shared" si="680"/>
        <v>0</v>
      </c>
      <c r="L810" s="33">
        <f t="shared" si="681"/>
        <v>0</v>
      </c>
      <c r="M810" s="30">
        <f t="shared" si="682"/>
        <v>0</v>
      </c>
      <c r="N810" s="33">
        <f t="shared" si="683"/>
        <v>0</v>
      </c>
      <c r="O810" s="31">
        <f t="shared" si="684"/>
        <v>0</v>
      </c>
      <c r="P810" s="33">
        <f t="shared" si="685"/>
        <v>0</v>
      </c>
      <c r="Q810" s="34">
        <f t="shared" si="727"/>
        <v>822664.77571774262</v>
      </c>
      <c r="R810" s="29">
        <f t="shared" si="686"/>
        <v>0</v>
      </c>
      <c r="S810" s="34">
        <f t="shared" si="687"/>
        <v>822664.77571774262</v>
      </c>
      <c r="T810" s="29">
        <f t="shared" si="688"/>
        <v>685.55397976478559</v>
      </c>
      <c r="U810" s="29">
        <f t="shared" si="689"/>
        <v>0</v>
      </c>
      <c r="V810" s="35">
        <f t="shared" si="690"/>
        <v>3.0504897608224059E-3</v>
      </c>
      <c r="W810" s="34">
        <f t="shared" si="691"/>
        <v>0</v>
      </c>
      <c r="X810" s="34">
        <f t="shared" si="692"/>
        <v>821979.22173797782</v>
      </c>
      <c r="Y810" s="36">
        <f t="shared" si="693"/>
        <v>8.7874384211370504E-3</v>
      </c>
      <c r="Z810" s="34">
        <f t="shared" si="694"/>
        <v>7223.091794476637</v>
      </c>
      <c r="AA810" s="34">
        <f t="shared" si="695"/>
        <v>825590.76763521612</v>
      </c>
      <c r="AB810" s="34">
        <f t="shared" si="696"/>
        <v>0</v>
      </c>
      <c r="AC810" s="34">
        <f t="shared" si="697"/>
        <v>0</v>
      </c>
      <c r="AD810" s="34">
        <f t="shared" si="698"/>
        <v>0</v>
      </c>
      <c r="AE810" s="34">
        <f t="shared" si="699"/>
        <v>0</v>
      </c>
      <c r="AF810" s="34">
        <f t="shared" si="700"/>
        <v>0</v>
      </c>
      <c r="AG810" s="29">
        <f t="shared" si="701"/>
        <v>825590.76763521612</v>
      </c>
      <c r="AH810" s="34">
        <f t="shared" si="702"/>
        <v>0</v>
      </c>
      <c r="AI810" s="34">
        <f t="shared" si="703"/>
        <v>0</v>
      </c>
      <c r="AJ810" s="34">
        <f t="shared" si="704"/>
        <v>0</v>
      </c>
      <c r="AK810" s="34">
        <f t="shared" si="705"/>
        <v>0</v>
      </c>
      <c r="AL810" s="34">
        <f t="shared" si="706"/>
        <v>0</v>
      </c>
      <c r="AM810" s="34">
        <f t="shared" si="707"/>
        <v>0</v>
      </c>
      <c r="AN810" s="34">
        <f t="shared" si="708"/>
        <v>0</v>
      </c>
      <c r="AO810" s="34">
        <f t="shared" si="709"/>
        <v>0</v>
      </c>
      <c r="AP810" s="34">
        <f t="shared" si="710"/>
        <v>0</v>
      </c>
      <c r="AQ810" s="34">
        <f t="shared" si="711"/>
        <v>0</v>
      </c>
      <c r="AR810" s="34">
        <f t="shared" si="712"/>
        <v>0</v>
      </c>
      <c r="AS810" s="30">
        <f t="shared" si="713"/>
        <v>1.9509775519169321</v>
      </c>
      <c r="AT810" s="29">
        <f t="shared" si="714"/>
        <v>0</v>
      </c>
      <c r="AU810" s="29">
        <f t="shared" si="715"/>
        <v>0</v>
      </c>
      <c r="AV810" s="34">
        <f t="shared" si="716"/>
        <v>0</v>
      </c>
      <c r="AW810" s="34">
        <f t="shared" si="717"/>
        <v>0</v>
      </c>
      <c r="AX810" s="29">
        <f t="shared" si="718"/>
        <v>0</v>
      </c>
      <c r="AY810" s="34">
        <f t="shared" si="719"/>
        <v>0</v>
      </c>
      <c r="AZ810" s="37">
        <f t="shared" si="720"/>
        <v>0</v>
      </c>
      <c r="BA810" s="37">
        <f t="shared" si="721"/>
        <v>0</v>
      </c>
      <c r="BB810" s="35">
        <f t="shared" si="722"/>
        <v>1.3909756981382859E-3</v>
      </c>
      <c r="BC810" s="31">
        <f t="shared" si="723"/>
        <v>0.32616646301107027</v>
      </c>
      <c r="BD810" s="34">
        <f t="shared" si="724"/>
        <v>0</v>
      </c>
    </row>
    <row r="811" spans="1:56" x14ac:dyDescent="0.2">
      <c r="A811" s="27">
        <f t="shared" si="725"/>
        <v>807</v>
      </c>
      <c r="B811" s="28">
        <f t="shared" si="672"/>
        <v>807</v>
      </c>
      <c r="C811" s="27">
        <f t="shared" si="673"/>
        <v>67</v>
      </c>
      <c r="D811" s="28">
        <f t="shared" si="674"/>
        <v>87</v>
      </c>
      <c r="E811" s="29">
        <f t="shared" si="675"/>
        <v>0</v>
      </c>
      <c r="F811" s="30">
        <f t="shared" si="676"/>
        <v>3.2775160860319237E-2</v>
      </c>
      <c r="G811" s="31">
        <f t="shared" si="677"/>
        <v>2.7731725098385507E-3</v>
      </c>
      <c r="H811" s="32">
        <f t="shared" si="678"/>
        <v>0.02</v>
      </c>
      <c r="I811" s="32">
        <f t="shared" si="679"/>
        <v>0</v>
      </c>
      <c r="J811" s="33">
        <f t="shared" si="726"/>
        <v>0</v>
      </c>
      <c r="K811" s="30">
        <f t="shared" si="680"/>
        <v>0</v>
      </c>
      <c r="L811" s="33">
        <f t="shared" si="681"/>
        <v>0</v>
      </c>
      <c r="M811" s="30">
        <f t="shared" si="682"/>
        <v>0</v>
      </c>
      <c r="N811" s="33">
        <f t="shared" si="683"/>
        <v>0</v>
      </c>
      <c r="O811" s="31">
        <f t="shared" si="684"/>
        <v>0</v>
      </c>
      <c r="P811" s="33">
        <f t="shared" si="685"/>
        <v>0</v>
      </c>
      <c r="Q811" s="34">
        <f t="shared" si="727"/>
        <v>829202.31353245443</v>
      </c>
      <c r="R811" s="29">
        <f t="shared" si="686"/>
        <v>0</v>
      </c>
      <c r="S811" s="34">
        <f t="shared" si="687"/>
        <v>829202.31353245443</v>
      </c>
      <c r="T811" s="29">
        <f t="shared" si="688"/>
        <v>691.00192794371208</v>
      </c>
      <c r="U811" s="29">
        <f t="shared" si="689"/>
        <v>0</v>
      </c>
      <c r="V811" s="35">
        <f t="shared" si="690"/>
        <v>3.0504897608224059E-3</v>
      </c>
      <c r="W811" s="34">
        <f t="shared" si="691"/>
        <v>0</v>
      </c>
      <c r="X811" s="34">
        <f t="shared" si="692"/>
        <v>828511.31160451076</v>
      </c>
      <c r="Y811" s="36">
        <f t="shared" si="693"/>
        <v>-3.1594415580727953E-3</v>
      </c>
      <c r="Z811" s="34">
        <f t="shared" si="694"/>
        <v>-2617.6330692166907</v>
      </c>
      <c r="AA811" s="34">
        <f t="shared" si="695"/>
        <v>827202.49506990239</v>
      </c>
      <c r="AB811" s="34">
        <f t="shared" si="696"/>
        <v>0</v>
      </c>
      <c r="AC811" s="34">
        <f t="shared" si="697"/>
        <v>0</v>
      </c>
      <c r="AD811" s="34">
        <f t="shared" si="698"/>
        <v>0</v>
      </c>
      <c r="AE811" s="34">
        <f t="shared" si="699"/>
        <v>0</v>
      </c>
      <c r="AF811" s="34">
        <f t="shared" si="700"/>
        <v>0</v>
      </c>
      <c r="AG811" s="29">
        <f t="shared" si="701"/>
        <v>827202.49506990239</v>
      </c>
      <c r="AH811" s="34">
        <f t="shared" si="702"/>
        <v>0</v>
      </c>
      <c r="AI811" s="34">
        <f t="shared" si="703"/>
        <v>0</v>
      </c>
      <c r="AJ811" s="34">
        <f t="shared" si="704"/>
        <v>0</v>
      </c>
      <c r="AK811" s="34">
        <f t="shared" si="705"/>
        <v>0</v>
      </c>
      <c r="AL811" s="34">
        <f t="shared" si="706"/>
        <v>0</v>
      </c>
      <c r="AM811" s="34">
        <f t="shared" si="707"/>
        <v>0</v>
      </c>
      <c r="AN811" s="34">
        <f t="shared" si="708"/>
        <v>0</v>
      </c>
      <c r="AO811" s="34">
        <f t="shared" si="709"/>
        <v>0</v>
      </c>
      <c r="AP811" s="34">
        <f t="shared" si="710"/>
        <v>0</v>
      </c>
      <c r="AQ811" s="34">
        <f t="shared" si="711"/>
        <v>0</v>
      </c>
      <c r="AR811" s="34">
        <f t="shared" si="712"/>
        <v>0</v>
      </c>
      <c r="AS811" s="30">
        <f t="shared" si="713"/>
        <v>1.952595962156481</v>
      </c>
      <c r="AT811" s="29">
        <f t="shared" si="714"/>
        <v>0</v>
      </c>
      <c r="AU811" s="29">
        <f t="shared" si="715"/>
        <v>0</v>
      </c>
      <c r="AV811" s="34">
        <f t="shared" si="716"/>
        <v>0</v>
      </c>
      <c r="AW811" s="34">
        <f t="shared" si="717"/>
        <v>0</v>
      </c>
      <c r="AX811" s="29">
        <f t="shared" si="718"/>
        <v>0</v>
      </c>
      <c r="AY811" s="34">
        <f t="shared" si="719"/>
        <v>0</v>
      </c>
      <c r="AZ811" s="37">
        <f t="shared" si="720"/>
        <v>0</v>
      </c>
      <c r="BA811" s="37">
        <f t="shared" si="721"/>
        <v>0</v>
      </c>
      <c r="BB811" s="35">
        <f t="shared" si="722"/>
        <v>1.3909756981382859E-3</v>
      </c>
      <c r="BC811" s="31">
        <f t="shared" si="723"/>
        <v>0.32571340358212958</v>
      </c>
      <c r="BD811" s="34">
        <f t="shared" si="724"/>
        <v>0</v>
      </c>
    </row>
    <row r="812" spans="1:56" x14ac:dyDescent="0.2">
      <c r="A812" s="27">
        <f t="shared" si="725"/>
        <v>808</v>
      </c>
      <c r="B812" s="28">
        <f t="shared" si="672"/>
        <v>808</v>
      </c>
      <c r="C812" s="27">
        <f t="shared" si="673"/>
        <v>67</v>
      </c>
      <c r="D812" s="28">
        <f t="shared" si="674"/>
        <v>87</v>
      </c>
      <c r="E812" s="29">
        <f t="shared" si="675"/>
        <v>0</v>
      </c>
      <c r="F812" s="30">
        <f t="shared" si="676"/>
        <v>3.2775160860319237E-2</v>
      </c>
      <c r="G812" s="31">
        <f t="shared" si="677"/>
        <v>2.7731725098385507E-3</v>
      </c>
      <c r="H812" s="32">
        <f t="shared" si="678"/>
        <v>0.02</v>
      </c>
      <c r="I812" s="32">
        <f t="shared" si="679"/>
        <v>0</v>
      </c>
      <c r="J812" s="33">
        <f t="shared" si="726"/>
        <v>0</v>
      </c>
      <c r="K812" s="30">
        <f t="shared" si="680"/>
        <v>0</v>
      </c>
      <c r="L812" s="33">
        <f t="shared" si="681"/>
        <v>0</v>
      </c>
      <c r="M812" s="30">
        <f t="shared" si="682"/>
        <v>0</v>
      </c>
      <c r="N812" s="33">
        <f t="shared" si="683"/>
        <v>0</v>
      </c>
      <c r="O812" s="31">
        <f t="shared" si="684"/>
        <v>0</v>
      </c>
      <c r="P812" s="33">
        <f t="shared" si="685"/>
        <v>0</v>
      </c>
      <c r="Q812" s="34">
        <f t="shared" si="727"/>
        <v>825893.67853529402</v>
      </c>
      <c r="R812" s="29">
        <f t="shared" si="686"/>
        <v>0</v>
      </c>
      <c r="S812" s="34">
        <f t="shared" si="687"/>
        <v>825893.67853529402</v>
      </c>
      <c r="T812" s="29">
        <f t="shared" si="688"/>
        <v>688.24473211274506</v>
      </c>
      <c r="U812" s="29">
        <f t="shared" si="689"/>
        <v>0</v>
      </c>
      <c r="V812" s="35">
        <f t="shared" si="690"/>
        <v>3.0504897608224059E-3</v>
      </c>
      <c r="W812" s="34">
        <f t="shared" si="691"/>
        <v>0</v>
      </c>
      <c r="X812" s="34">
        <f t="shared" si="692"/>
        <v>825205.43380318128</v>
      </c>
      <c r="Y812" s="36">
        <f t="shared" si="693"/>
        <v>-2.9755527759514067E-3</v>
      </c>
      <c r="Z812" s="34">
        <f t="shared" si="694"/>
        <v>-2455.442319283241</v>
      </c>
      <c r="AA812" s="34">
        <f t="shared" si="695"/>
        <v>823977.71264353965</v>
      </c>
      <c r="AB812" s="34">
        <f t="shared" si="696"/>
        <v>0</v>
      </c>
      <c r="AC812" s="34">
        <f t="shared" si="697"/>
        <v>0</v>
      </c>
      <c r="AD812" s="34">
        <f t="shared" si="698"/>
        <v>0</v>
      </c>
      <c r="AE812" s="34">
        <f t="shared" si="699"/>
        <v>0</v>
      </c>
      <c r="AF812" s="34">
        <f t="shared" si="700"/>
        <v>0</v>
      </c>
      <c r="AG812" s="29">
        <f t="shared" si="701"/>
        <v>823977.71264353965</v>
      </c>
      <c r="AH812" s="34">
        <f t="shared" si="702"/>
        <v>0</v>
      </c>
      <c r="AI812" s="34">
        <f t="shared" si="703"/>
        <v>0</v>
      </c>
      <c r="AJ812" s="34">
        <f t="shared" si="704"/>
        <v>0</v>
      </c>
      <c r="AK812" s="34">
        <f t="shared" si="705"/>
        <v>0</v>
      </c>
      <c r="AL812" s="34">
        <f t="shared" si="706"/>
        <v>0</v>
      </c>
      <c r="AM812" s="34">
        <f t="shared" si="707"/>
        <v>0</v>
      </c>
      <c r="AN812" s="34">
        <f t="shared" si="708"/>
        <v>0</v>
      </c>
      <c r="AO812" s="34">
        <f t="shared" si="709"/>
        <v>0</v>
      </c>
      <c r="AP812" s="34">
        <f t="shared" si="710"/>
        <v>0</v>
      </c>
      <c r="AQ812" s="34">
        <f t="shared" si="711"/>
        <v>0</v>
      </c>
      <c r="AR812" s="34">
        <f t="shared" si="712"/>
        <v>0</v>
      </c>
      <c r="AS812" s="30">
        <f t="shared" si="713"/>
        <v>1.9542157149290085</v>
      </c>
      <c r="AT812" s="29">
        <f t="shared" si="714"/>
        <v>0</v>
      </c>
      <c r="AU812" s="29">
        <f t="shared" si="715"/>
        <v>0</v>
      </c>
      <c r="AV812" s="34">
        <f t="shared" si="716"/>
        <v>0</v>
      </c>
      <c r="AW812" s="34">
        <f t="shared" si="717"/>
        <v>0</v>
      </c>
      <c r="AX812" s="29">
        <f t="shared" si="718"/>
        <v>0</v>
      </c>
      <c r="AY812" s="34">
        <f t="shared" si="719"/>
        <v>0</v>
      </c>
      <c r="AZ812" s="37">
        <f t="shared" si="720"/>
        <v>0</v>
      </c>
      <c r="BA812" s="37">
        <f t="shared" si="721"/>
        <v>0</v>
      </c>
      <c r="BB812" s="35">
        <f t="shared" si="722"/>
        <v>1.3909756981382859E-3</v>
      </c>
      <c r="BC812" s="31">
        <f t="shared" si="723"/>
        <v>0.32526097347247657</v>
      </c>
      <c r="BD812" s="34">
        <f t="shared" si="724"/>
        <v>0</v>
      </c>
    </row>
    <row r="813" spans="1:56" x14ac:dyDescent="0.2">
      <c r="A813" s="27">
        <f t="shared" si="725"/>
        <v>809</v>
      </c>
      <c r="B813" s="28">
        <f t="shared" si="672"/>
        <v>809</v>
      </c>
      <c r="C813" s="27">
        <f t="shared" si="673"/>
        <v>67</v>
      </c>
      <c r="D813" s="28">
        <f t="shared" si="674"/>
        <v>87</v>
      </c>
      <c r="E813" s="29">
        <f t="shared" si="675"/>
        <v>0</v>
      </c>
      <c r="F813" s="30">
        <f t="shared" si="676"/>
        <v>3.2775160860319237E-2</v>
      </c>
      <c r="G813" s="31">
        <f t="shared" si="677"/>
        <v>2.7731725098385507E-3</v>
      </c>
      <c r="H813" s="32">
        <f t="shared" si="678"/>
        <v>0.02</v>
      </c>
      <c r="I813" s="32">
        <f t="shared" si="679"/>
        <v>0</v>
      </c>
      <c r="J813" s="33">
        <f t="shared" si="726"/>
        <v>0</v>
      </c>
      <c r="K813" s="30">
        <f t="shared" si="680"/>
        <v>0</v>
      </c>
      <c r="L813" s="33">
        <f t="shared" si="681"/>
        <v>0</v>
      </c>
      <c r="M813" s="30">
        <f t="shared" si="682"/>
        <v>0</v>
      </c>
      <c r="N813" s="33">
        <f t="shared" si="683"/>
        <v>0</v>
      </c>
      <c r="O813" s="31">
        <f t="shared" si="684"/>
        <v>0</v>
      </c>
      <c r="P813" s="33">
        <f t="shared" si="685"/>
        <v>0</v>
      </c>
      <c r="Q813" s="34">
        <f t="shared" si="727"/>
        <v>822749.99148389802</v>
      </c>
      <c r="R813" s="29">
        <f t="shared" si="686"/>
        <v>0</v>
      </c>
      <c r="S813" s="34">
        <f t="shared" si="687"/>
        <v>822749.99148389802</v>
      </c>
      <c r="T813" s="29">
        <f t="shared" si="688"/>
        <v>685.62499290324843</v>
      </c>
      <c r="U813" s="29">
        <f t="shared" si="689"/>
        <v>0</v>
      </c>
      <c r="V813" s="35">
        <f t="shared" si="690"/>
        <v>3.0504897608224059E-3</v>
      </c>
      <c r="W813" s="34">
        <f t="shared" si="691"/>
        <v>0</v>
      </c>
      <c r="X813" s="34">
        <f t="shared" si="692"/>
        <v>822064.36649099481</v>
      </c>
      <c r="Y813" s="36">
        <f t="shared" si="693"/>
        <v>1.6092188293747478E-2</v>
      </c>
      <c r="Z813" s="34">
        <f t="shared" si="694"/>
        <v>13228.814575153323</v>
      </c>
      <c r="AA813" s="34">
        <f t="shared" si="695"/>
        <v>828678.77377857151</v>
      </c>
      <c r="AB813" s="34">
        <f t="shared" si="696"/>
        <v>0</v>
      </c>
      <c r="AC813" s="34">
        <f t="shared" si="697"/>
        <v>0</v>
      </c>
      <c r="AD813" s="34">
        <f t="shared" si="698"/>
        <v>0</v>
      </c>
      <c r="AE813" s="34">
        <f t="shared" si="699"/>
        <v>0</v>
      </c>
      <c r="AF813" s="34">
        <f t="shared" si="700"/>
        <v>0</v>
      </c>
      <c r="AG813" s="29">
        <f t="shared" si="701"/>
        <v>828678.77377857151</v>
      </c>
      <c r="AH813" s="34">
        <f t="shared" si="702"/>
        <v>0</v>
      </c>
      <c r="AI813" s="34">
        <f t="shared" si="703"/>
        <v>0</v>
      </c>
      <c r="AJ813" s="34">
        <f t="shared" si="704"/>
        <v>0</v>
      </c>
      <c r="AK813" s="34">
        <f t="shared" si="705"/>
        <v>0</v>
      </c>
      <c r="AL813" s="34">
        <f t="shared" si="706"/>
        <v>0</v>
      </c>
      <c r="AM813" s="34">
        <f t="shared" si="707"/>
        <v>0</v>
      </c>
      <c r="AN813" s="34">
        <f t="shared" si="708"/>
        <v>0</v>
      </c>
      <c r="AO813" s="34">
        <f t="shared" si="709"/>
        <v>0</v>
      </c>
      <c r="AP813" s="34">
        <f t="shared" si="710"/>
        <v>0</v>
      </c>
      <c r="AQ813" s="34">
        <f t="shared" si="711"/>
        <v>0</v>
      </c>
      <c r="AR813" s="34">
        <f t="shared" si="712"/>
        <v>0</v>
      </c>
      <c r="AS813" s="30">
        <f t="shared" si="713"/>
        <v>1.9558368113481968</v>
      </c>
      <c r="AT813" s="29">
        <f t="shared" si="714"/>
        <v>0</v>
      </c>
      <c r="AU813" s="29">
        <f t="shared" si="715"/>
        <v>0</v>
      </c>
      <c r="AV813" s="34">
        <f t="shared" si="716"/>
        <v>0</v>
      </c>
      <c r="AW813" s="34">
        <f t="shared" si="717"/>
        <v>0</v>
      </c>
      <c r="AX813" s="29">
        <f t="shared" si="718"/>
        <v>0</v>
      </c>
      <c r="AY813" s="34">
        <f t="shared" si="719"/>
        <v>0</v>
      </c>
      <c r="AZ813" s="37">
        <f t="shared" si="720"/>
        <v>0</v>
      </c>
      <c r="BA813" s="37">
        <f t="shared" si="721"/>
        <v>0</v>
      </c>
      <c r="BB813" s="35">
        <f t="shared" si="722"/>
        <v>1.3909756981382859E-3</v>
      </c>
      <c r="BC813" s="31">
        <f t="shared" si="723"/>
        <v>0.32480917180795932</v>
      </c>
      <c r="BD813" s="34">
        <f t="shared" si="724"/>
        <v>0</v>
      </c>
    </row>
    <row r="814" spans="1:56" x14ac:dyDescent="0.2">
      <c r="A814" s="27">
        <f t="shared" si="725"/>
        <v>810</v>
      </c>
      <c r="B814" s="28">
        <f t="shared" si="672"/>
        <v>810</v>
      </c>
      <c r="C814" s="27">
        <f t="shared" si="673"/>
        <v>67</v>
      </c>
      <c r="D814" s="28">
        <f t="shared" si="674"/>
        <v>87</v>
      </c>
      <c r="E814" s="29">
        <f t="shared" si="675"/>
        <v>0</v>
      </c>
      <c r="F814" s="30">
        <f t="shared" si="676"/>
        <v>3.2775160860319237E-2</v>
      </c>
      <c r="G814" s="31">
        <f t="shared" si="677"/>
        <v>2.7731725098385507E-3</v>
      </c>
      <c r="H814" s="32">
        <f t="shared" si="678"/>
        <v>0.02</v>
      </c>
      <c r="I814" s="32">
        <f t="shared" si="679"/>
        <v>0</v>
      </c>
      <c r="J814" s="33">
        <f t="shared" si="726"/>
        <v>0</v>
      </c>
      <c r="K814" s="30">
        <f t="shared" si="680"/>
        <v>0</v>
      </c>
      <c r="L814" s="33">
        <f t="shared" si="681"/>
        <v>0</v>
      </c>
      <c r="M814" s="30">
        <f t="shared" si="682"/>
        <v>0</v>
      </c>
      <c r="N814" s="33">
        <f t="shared" si="683"/>
        <v>0</v>
      </c>
      <c r="O814" s="31">
        <f t="shared" si="684"/>
        <v>0</v>
      </c>
      <c r="P814" s="33">
        <f t="shared" si="685"/>
        <v>0</v>
      </c>
      <c r="Q814" s="34">
        <f t="shared" si="727"/>
        <v>835293.1810661481</v>
      </c>
      <c r="R814" s="29">
        <f t="shared" si="686"/>
        <v>0</v>
      </c>
      <c r="S814" s="34">
        <f t="shared" si="687"/>
        <v>835293.1810661481</v>
      </c>
      <c r="T814" s="29">
        <f t="shared" si="688"/>
        <v>696.07765088845679</v>
      </c>
      <c r="U814" s="29">
        <f t="shared" si="689"/>
        <v>0</v>
      </c>
      <c r="V814" s="35">
        <f t="shared" si="690"/>
        <v>3.0504897608224059E-3</v>
      </c>
      <c r="W814" s="34">
        <f t="shared" si="691"/>
        <v>0</v>
      </c>
      <c r="X814" s="34">
        <f t="shared" si="692"/>
        <v>834597.10341525963</v>
      </c>
      <c r="Y814" s="36">
        <f t="shared" si="693"/>
        <v>6.7888377223968011E-3</v>
      </c>
      <c r="Z814" s="34">
        <f t="shared" si="694"/>
        <v>5665.944298668619</v>
      </c>
      <c r="AA814" s="34">
        <f t="shared" si="695"/>
        <v>837430.07556459389</v>
      </c>
      <c r="AB814" s="34">
        <f t="shared" si="696"/>
        <v>0</v>
      </c>
      <c r="AC814" s="34">
        <f t="shared" si="697"/>
        <v>0</v>
      </c>
      <c r="AD814" s="34">
        <f t="shared" si="698"/>
        <v>0</v>
      </c>
      <c r="AE814" s="34">
        <f t="shared" si="699"/>
        <v>0</v>
      </c>
      <c r="AF814" s="34">
        <f t="shared" si="700"/>
        <v>0</v>
      </c>
      <c r="AG814" s="29">
        <f t="shared" si="701"/>
        <v>837430.07556459389</v>
      </c>
      <c r="AH814" s="34">
        <f t="shared" si="702"/>
        <v>0</v>
      </c>
      <c r="AI814" s="34">
        <f t="shared" si="703"/>
        <v>0</v>
      </c>
      <c r="AJ814" s="34">
        <f t="shared" si="704"/>
        <v>0</v>
      </c>
      <c r="AK814" s="34">
        <f t="shared" si="705"/>
        <v>0</v>
      </c>
      <c r="AL814" s="34">
        <f t="shared" si="706"/>
        <v>0</v>
      </c>
      <c r="AM814" s="34">
        <f t="shared" si="707"/>
        <v>0</v>
      </c>
      <c r="AN814" s="34">
        <f t="shared" si="708"/>
        <v>0</v>
      </c>
      <c r="AO814" s="34">
        <f t="shared" si="709"/>
        <v>0</v>
      </c>
      <c r="AP814" s="34">
        <f t="shared" si="710"/>
        <v>0</v>
      </c>
      <c r="AQ814" s="34">
        <f t="shared" si="711"/>
        <v>0</v>
      </c>
      <c r="AR814" s="34">
        <f t="shared" si="712"/>
        <v>0</v>
      </c>
      <c r="AS814" s="30">
        <f t="shared" si="713"/>
        <v>1.9574592525286514</v>
      </c>
      <c r="AT814" s="29">
        <f t="shared" si="714"/>
        <v>0</v>
      </c>
      <c r="AU814" s="29">
        <f t="shared" si="715"/>
        <v>0</v>
      </c>
      <c r="AV814" s="34">
        <f t="shared" si="716"/>
        <v>0</v>
      </c>
      <c r="AW814" s="34">
        <f t="shared" si="717"/>
        <v>0</v>
      </c>
      <c r="AX814" s="29">
        <f t="shared" si="718"/>
        <v>0</v>
      </c>
      <c r="AY814" s="34">
        <f t="shared" si="719"/>
        <v>0</v>
      </c>
      <c r="AZ814" s="37">
        <f t="shared" si="720"/>
        <v>0</v>
      </c>
      <c r="BA814" s="37">
        <f t="shared" si="721"/>
        <v>0</v>
      </c>
      <c r="BB814" s="35">
        <f t="shared" si="722"/>
        <v>1.3909756981382859E-3</v>
      </c>
      <c r="BC814" s="31">
        <f t="shared" si="723"/>
        <v>0.32435799771564</v>
      </c>
      <c r="BD814" s="34">
        <f t="shared" si="724"/>
        <v>0</v>
      </c>
    </row>
    <row r="815" spans="1:56" x14ac:dyDescent="0.2">
      <c r="A815" s="27">
        <f t="shared" si="725"/>
        <v>811</v>
      </c>
      <c r="B815" s="28">
        <f t="shared" si="672"/>
        <v>811</v>
      </c>
      <c r="C815" s="27">
        <f t="shared" si="673"/>
        <v>67</v>
      </c>
      <c r="D815" s="28">
        <f t="shared" si="674"/>
        <v>87</v>
      </c>
      <c r="E815" s="29">
        <f t="shared" si="675"/>
        <v>0</v>
      </c>
      <c r="F815" s="30">
        <f t="shared" si="676"/>
        <v>3.2775160860319237E-2</v>
      </c>
      <c r="G815" s="31">
        <f t="shared" si="677"/>
        <v>2.7731725098385507E-3</v>
      </c>
      <c r="H815" s="32">
        <f t="shared" si="678"/>
        <v>0.02</v>
      </c>
      <c r="I815" s="32">
        <f t="shared" si="679"/>
        <v>0</v>
      </c>
      <c r="J815" s="33">
        <f t="shared" si="726"/>
        <v>0</v>
      </c>
      <c r="K815" s="30">
        <f t="shared" si="680"/>
        <v>0</v>
      </c>
      <c r="L815" s="33">
        <f t="shared" si="681"/>
        <v>0</v>
      </c>
      <c r="M815" s="30">
        <f t="shared" si="682"/>
        <v>0</v>
      </c>
      <c r="N815" s="33">
        <f t="shared" si="683"/>
        <v>0</v>
      </c>
      <c r="O815" s="31">
        <f t="shared" si="684"/>
        <v>0</v>
      </c>
      <c r="P815" s="33">
        <f t="shared" si="685"/>
        <v>0</v>
      </c>
      <c r="Q815" s="34">
        <f t="shared" si="727"/>
        <v>840263.04771392827</v>
      </c>
      <c r="R815" s="29">
        <f t="shared" si="686"/>
        <v>0</v>
      </c>
      <c r="S815" s="34">
        <f t="shared" si="687"/>
        <v>840263.04771392827</v>
      </c>
      <c r="T815" s="29">
        <f t="shared" si="688"/>
        <v>700.21920642827365</v>
      </c>
      <c r="U815" s="29">
        <f t="shared" si="689"/>
        <v>0</v>
      </c>
      <c r="V815" s="35">
        <f t="shared" si="690"/>
        <v>3.0504897608224059E-3</v>
      </c>
      <c r="W815" s="34">
        <f t="shared" si="691"/>
        <v>0</v>
      </c>
      <c r="X815" s="34">
        <f t="shared" si="692"/>
        <v>839562.8285075</v>
      </c>
      <c r="Y815" s="36">
        <f t="shared" si="693"/>
        <v>-1.3807606934572725E-2</v>
      </c>
      <c r="Z815" s="34">
        <f t="shared" si="694"/>
        <v>-11592.353532909648</v>
      </c>
      <c r="AA815" s="34">
        <f t="shared" si="695"/>
        <v>833766.65174104518</v>
      </c>
      <c r="AB815" s="34">
        <f t="shared" si="696"/>
        <v>0</v>
      </c>
      <c r="AC815" s="34">
        <f t="shared" si="697"/>
        <v>0</v>
      </c>
      <c r="AD815" s="34">
        <f t="shared" si="698"/>
        <v>0</v>
      </c>
      <c r="AE815" s="34">
        <f t="shared" si="699"/>
        <v>0</v>
      </c>
      <c r="AF815" s="34">
        <f t="shared" si="700"/>
        <v>0</v>
      </c>
      <c r="AG815" s="29">
        <f t="shared" si="701"/>
        <v>833766.65174104518</v>
      </c>
      <c r="AH815" s="34">
        <f t="shared" si="702"/>
        <v>0</v>
      </c>
      <c r="AI815" s="34">
        <f t="shared" si="703"/>
        <v>0</v>
      </c>
      <c r="AJ815" s="34">
        <f t="shared" si="704"/>
        <v>0</v>
      </c>
      <c r="AK815" s="34">
        <f t="shared" si="705"/>
        <v>0</v>
      </c>
      <c r="AL815" s="34">
        <f t="shared" si="706"/>
        <v>0</v>
      </c>
      <c r="AM815" s="34">
        <f t="shared" si="707"/>
        <v>0</v>
      </c>
      <c r="AN815" s="34">
        <f t="shared" si="708"/>
        <v>0</v>
      </c>
      <c r="AO815" s="34">
        <f t="shared" si="709"/>
        <v>0</v>
      </c>
      <c r="AP815" s="34">
        <f t="shared" si="710"/>
        <v>0</v>
      </c>
      <c r="AQ815" s="34">
        <f t="shared" si="711"/>
        <v>0</v>
      </c>
      <c r="AR815" s="34">
        <f t="shared" si="712"/>
        <v>0</v>
      </c>
      <c r="AS815" s="30">
        <f t="shared" si="713"/>
        <v>1.9590830395859034</v>
      </c>
      <c r="AT815" s="29">
        <f t="shared" si="714"/>
        <v>0</v>
      </c>
      <c r="AU815" s="29">
        <f t="shared" si="715"/>
        <v>0</v>
      </c>
      <c r="AV815" s="34">
        <f t="shared" si="716"/>
        <v>0</v>
      </c>
      <c r="AW815" s="34">
        <f t="shared" si="717"/>
        <v>0</v>
      </c>
      <c r="AX815" s="29">
        <f t="shared" si="718"/>
        <v>0</v>
      </c>
      <c r="AY815" s="34">
        <f t="shared" si="719"/>
        <v>0</v>
      </c>
      <c r="AZ815" s="37">
        <f t="shared" si="720"/>
        <v>0</v>
      </c>
      <c r="BA815" s="37">
        <f t="shared" si="721"/>
        <v>0</v>
      </c>
      <c r="BB815" s="35">
        <f t="shared" si="722"/>
        <v>1.3909756981382859E-3</v>
      </c>
      <c r="BC815" s="31">
        <f t="shared" si="723"/>
        <v>0.32390745032379359</v>
      </c>
      <c r="BD815" s="34">
        <f t="shared" si="724"/>
        <v>0</v>
      </c>
    </row>
    <row r="816" spans="1:56" x14ac:dyDescent="0.2">
      <c r="A816" s="27">
        <f t="shared" si="725"/>
        <v>812</v>
      </c>
      <c r="B816" s="28">
        <f t="shared" si="672"/>
        <v>812</v>
      </c>
      <c r="C816" s="27">
        <f t="shared" si="673"/>
        <v>67</v>
      </c>
      <c r="D816" s="28">
        <f t="shared" si="674"/>
        <v>87</v>
      </c>
      <c r="E816" s="29">
        <f t="shared" si="675"/>
        <v>0</v>
      </c>
      <c r="F816" s="30">
        <f t="shared" si="676"/>
        <v>3.2775160860319237E-2</v>
      </c>
      <c r="G816" s="31">
        <f t="shared" si="677"/>
        <v>2.7731725098385507E-3</v>
      </c>
      <c r="H816" s="32">
        <f t="shared" si="678"/>
        <v>0.02</v>
      </c>
      <c r="I816" s="32">
        <f t="shared" si="679"/>
        <v>0</v>
      </c>
      <c r="J816" s="33">
        <f t="shared" si="726"/>
        <v>0</v>
      </c>
      <c r="K816" s="30">
        <f t="shared" si="680"/>
        <v>0</v>
      </c>
      <c r="L816" s="33">
        <f t="shared" si="681"/>
        <v>0</v>
      </c>
      <c r="M816" s="30">
        <f t="shared" si="682"/>
        <v>0</v>
      </c>
      <c r="N816" s="33">
        <f t="shared" si="683"/>
        <v>0</v>
      </c>
      <c r="O816" s="31">
        <f t="shared" si="684"/>
        <v>0</v>
      </c>
      <c r="P816" s="33">
        <f t="shared" si="685"/>
        <v>0</v>
      </c>
      <c r="Q816" s="34">
        <f t="shared" si="727"/>
        <v>827970.47497459035</v>
      </c>
      <c r="R816" s="29">
        <f t="shared" si="686"/>
        <v>0</v>
      </c>
      <c r="S816" s="34">
        <f t="shared" si="687"/>
        <v>827970.47497459035</v>
      </c>
      <c r="T816" s="29">
        <f t="shared" si="688"/>
        <v>689.97539581215869</v>
      </c>
      <c r="U816" s="29">
        <f t="shared" si="689"/>
        <v>0</v>
      </c>
      <c r="V816" s="35">
        <f t="shared" si="690"/>
        <v>3.0504897608224059E-3</v>
      </c>
      <c r="W816" s="34">
        <f t="shared" si="691"/>
        <v>0</v>
      </c>
      <c r="X816" s="34">
        <f t="shared" si="692"/>
        <v>827280.49957877817</v>
      </c>
      <c r="Y816" s="36">
        <f t="shared" si="693"/>
        <v>4.0500455961978155E-4</v>
      </c>
      <c r="Z816" s="34">
        <f t="shared" si="694"/>
        <v>335.05237441393592</v>
      </c>
      <c r="AA816" s="34">
        <f t="shared" si="695"/>
        <v>827448.02576598513</v>
      </c>
      <c r="AB816" s="34">
        <f t="shared" si="696"/>
        <v>0</v>
      </c>
      <c r="AC816" s="34">
        <f t="shared" si="697"/>
        <v>0</v>
      </c>
      <c r="AD816" s="34">
        <f t="shared" si="698"/>
        <v>0</v>
      </c>
      <c r="AE816" s="34">
        <f t="shared" si="699"/>
        <v>0</v>
      </c>
      <c r="AF816" s="34">
        <f t="shared" si="700"/>
        <v>0</v>
      </c>
      <c r="AG816" s="29">
        <f t="shared" si="701"/>
        <v>827448.02576598513</v>
      </c>
      <c r="AH816" s="34">
        <f t="shared" si="702"/>
        <v>0</v>
      </c>
      <c r="AI816" s="34">
        <f t="shared" si="703"/>
        <v>0</v>
      </c>
      <c r="AJ816" s="34">
        <f t="shared" si="704"/>
        <v>0</v>
      </c>
      <c r="AK816" s="34">
        <f t="shared" si="705"/>
        <v>0</v>
      </c>
      <c r="AL816" s="34">
        <f t="shared" si="706"/>
        <v>0</v>
      </c>
      <c r="AM816" s="34">
        <f t="shared" si="707"/>
        <v>0</v>
      </c>
      <c r="AN816" s="34">
        <f t="shared" si="708"/>
        <v>0</v>
      </c>
      <c r="AO816" s="34">
        <f t="shared" si="709"/>
        <v>0</v>
      </c>
      <c r="AP816" s="34">
        <f t="shared" si="710"/>
        <v>0</v>
      </c>
      <c r="AQ816" s="34">
        <f t="shared" si="711"/>
        <v>0</v>
      </c>
      <c r="AR816" s="34">
        <f t="shared" si="712"/>
        <v>0</v>
      </c>
      <c r="AS816" s="30">
        <f t="shared" si="713"/>
        <v>1.9607081736364094</v>
      </c>
      <c r="AT816" s="29">
        <f t="shared" si="714"/>
        <v>0</v>
      </c>
      <c r="AU816" s="29">
        <f t="shared" si="715"/>
        <v>0</v>
      </c>
      <c r="AV816" s="34">
        <f t="shared" si="716"/>
        <v>0</v>
      </c>
      <c r="AW816" s="34">
        <f t="shared" si="717"/>
        <v>0</v>
      </c>
      <c r="AX816" s="29">
        <f t="shared" si="718"/>
        <v>0</v>
      </c>
      <c r="AY816" s="34">
        <f t="shared" si="719"/>
        <v>0</v>
      </c>
      <c r="AZ816" s="37">
        <f t="shared" si="720"/>
        <v>0</v>
      </c>
      <c r="BA816" s="37">
        <f t="shared" si="721"/>
        <v>0</v>
      </c>
      <c r="BB816" s="35">
        <f t="shared" si="722"/>
        <v>1.3909756981382859E-3</v>
      </c>
      <c r="BC816" s="31">
        <f t="shared" si="723"/>
        <v>0.32345752876190587</v>
      </c>
      <c r="BD816" s="34">
        <f t="shared" si="724"/>
        <v>0</v>
      </c>
    </row>
    <row r="817" spans="1:56" x14ac:dyDescent="0.2">
      <c r="A817" s="27">
        <f t="shared" si="725"/>
        <v>813</v>
      </c>
      <c r="B817" s="28">
        <f t="shared" si="672"/>
        <v>813</v>
      </c>
      <c r="C817" s="27">
        <f t="shared" si="673"/>
        <v>67</v>
      </c>
      <c r="D817" s="28">
        <f t="shared" si="674"/>
        <v>87</v>
      </c>
      <c r="E817" s="29">
        <f t="shared" si="675"/>
        <v>0</v>
      </c>
      <c r="F817" s="30">
        <f t="shared" si="676"/>
        <v>3.2775160860319237E-2</v>
      </c>
      <c r="G817" s="31">
        <f t="shared" si="677"/>
        <v>2.7731725098385507E-3</v>
      </c>
      <c r="H817" s="32">
        <f t="shared" si="678"/>
        <v>0.02</v>
      </c>
      <c r="I817" s="32">
        <f t="shared" si="679"/>
        <v>0</v>
      </c>
      <c r="J817" s="33">
        <f t="shared" si="726"/>
        <v>0</v>
      </c>
      <c r="K817" s="30">
        <f t="shared" si="680"/>
        <v>0</v>
      </c>
      <c r="L817" s="33">
        <f t="shared" si="681"/>
        <v>0</v>
      </c>
      <c r="M817" s="30">
        <f t="shared" si="682"/>
        <v>0</v>
      </c>
      <c r="N817" s="33">
        <f t="shared" si="683"/>
        <v>0</v>
      </c>
      <c r="O817" s="31">
        <f t="shared" si="684"/>
        <v>0</v>
      </c>
      <c r="P817" s="33">
        <f t="shared" si="685"/>
        <v>0</v>
      </c>
      <c r="Q817" s="34">
        <f t="shared" si="727"/>
        <v>827615.5519531921</v>
      </c>
      <c r="R817" s="29">
        <f t="shared" si="686"/>
        <v>0</v>
      </c>
      <c r="S817" s="34">
        <f t="shared" si="687"/>
        <v>827615.5519531921</v>
      </c>
      <c r="T817" s="29">
        <f t="shared" si="688"/>
        <v>689.67962662766013</v>
      </c>
      <c r="U817" s="29">
        <f t="shared" si="689"/>
        <v>0</v>
      </c>
      <c r="V817" s="35">
        <f t="shared" si="690"/>
        <v>3.0504897608224059E-3</v>
      </c>
      <c r="W817" s="34">
        <f t="shared" si="691"/>
        <v>0</v>
      </c>
      <c r="X817" s="34">
        <f t="shared" si="692"/>
        <v>826925.87232656439</v>
      </c>
      <c r="Y817" s="36">
        <f t="shared" si="693"/>
        <v>-2.518906895398465E-3</v>
      </c>
      <c r="Z817" s="34">
        <f t="shared" si="694"/>
        <v>-2082.9492817867736</v>
      </c>
      <c r="AA817" s="34">
        <f t="shared" si="695"/>
        <v>825884.39768567099</v>
      </c>
      <c r="AB817" s="34">
        <f t="shared" si="696"/>
        <v>0</v>
      </c>
      <c r="AC817" s="34">
        <f t="shared" si="697"/>
        <v>0</v>
      </c>
      <c r="AD817" s="34">
        <f t="shared" si="698"/>
        <v>0</v>
      </c>
      <c r="AE817" s="34">
        <f t="shared" si="699"/>
        <v>0</v>
      </c>
      <c r="AF817" s="34">
        <f t="shared" si="700"/>
        <v>0</v>
      </c>
      <c r="AG817" s="29">
        <f t="shared" si="701"/>
        <v>825884.39768567099</v>
      </c>
      <c r="AH817" s="34">
        <f t="shared" si="702"/>
        <v>0</v>
      </c>
      <c r="AI817" s="34">
        <f t="shared" si="703"/>
        <v>0</v>
      </c>
      <c r="AJ817" s="34">
        <f t="shared" si="704"/>
        <v>0</v>
      </c>
      <c r="AK817" s="34">
        <f t="shared" si="705"/>
        <v>0</v>
      </c>
      <c r="AL817" s="34">
        <f t="shared" si="706"/>
        <v>0</v>
      </c>
      <c r="AM817" s="34">
        <f t="shared" si="707"/>
        <v>0</v>
      </c>
      <c r="AN817" s="34">
        <f t="shared" si="708"/>
        <v>0</v>
      </c>
      <c r="AO817" s="34">
        <f t="shared" si="709"/>
        <v>0</v>
      </c>
      <c r="AP817" s="34">
        <f t="shared" si="710"/>
        <v>0</v>
      </c>
      <c r="AQ817" s="34">
        <f t="shared" si="711"/>
        <v>0</v>
      </c>
      <c r="AR817" s="34">
        <f t="shared" si="712"/>
        <v>0</v>
      </c>
      <c r="AS817" s="30">
        <f t="shared" si="713"/>
        <v>1.9623346557975507</v>
      </c>
      <c r="AT817" s="29">
        <f t="shared" si="714"/>
        <v>0</v>
      </c>
      <c r="AU817" s="29">
        <f t="shared" si="715"/>
        <v>0</v>
      </c>
      <c r="AV817" s="34">
        <f t="shared" si="716"/>
        <v>0</v>
      </c>
      <c r="AW817" s="34">
        <f t="shared" si="717"/>
        <v>0</v>
      </c>
      <c r="AX817" s="29">
        <f t="shared" si="718"/>
        <v>0</v>
      </c>
      <c r="AY817" s="34">
        <f t="shared" si="719"/>
        <v>0</v>
      </c>
      <c r="AZ817" s="37">
        <f t="shared" si="720"/>
        <v>0</v>
      </c>
      <c r="BA817" s="37">
        <f t="shared" si="721"/>
        <v>0</v>
      </c>
      <c r="BB817" s="35">
        <f t="shared" si="722"/>
        <v>1.3909756981382859E-3</v>
      </c>
      <c r="BC817" s="31">
        <f t="shared" si="723"/>
        <v>0.32300823216067182</v>
      </c>
      <c r="BD817" s="34">
        <f t="shared" si="724"/>
        <v>0</v>
      </c>
    </row>
    <row r="818" spans="1:56" x14ac:dyDescent="0.2">
      <c r="A818" s="27">
        <f t="shared" si="725"/>
        <v>814</v>
      </c>
      <c r="B818" s="28">
        <f t="shared" si="672"/>
        <v>814</v>
      </c>
      <c r="C818" s="27">
        <f t="shared" si="673"/>
        <v>67</v>
      </c>
      <c r="D818" s="28">
        <f t="shared" si="674"/>
        <v>87</v>
      </c>
      <c r="E818" s="29">
        <f t="shared" si="675"/>
        <v>0</v>
      </c>
      <c r="F818" s="30">
        <f t="shared" si="676"/>
        <v>3.2775160860319237E-2</v>
      </c>
      <c r="G818" s="31">
        <f t="shared" si="677"/>
        <v>2.7731725098385507E-3</v>
      </c>
      <c r="H818" s="32">
        <f t="shared" si="678"/>
        <v>0.02</v>
      </c>
      <c r="I818" s="32">
        <f t="shared" si="679"/>
        <v>0</v>
      </c>
      <c r="J818" s="33">
        <f t="shared" si="726"/>
        <v>0</v>
      </c>
      <c r="K818" s="30">
        <f t="shared" si="680"/>
        <v>0</v>
      </c>
      <c r="L818" s="33">
        <f t="shared" si="681"/>
        <v>0</v>
      </c>
      <c r="M818" s="30">
        <f t="shared" si="682"/>
        <v>0</v>
      </c>
      <c r="N818" s="33">
        <f t="shared" si="683"/>
        <v>0</v>
      </c>
      <c r="O818" s="31">
        <f t="shared" si="684"/>
        <v>0</v>
      </c>
      <c r="P818" s="33">
        <f t="shared" si="685"/>
        <v>0</v>
      </c>
      <c r="Q818" s="34">
        <f t="shared" si="727"/>
        <v>824842.92304477759</v>
      </c>
      <c r="R818" s="29">
        <f t="shared" si="686"/>
        <v>0</v>
      </c>
      <c r="S818" s="34">
        <f t="shared" si="687"/>
        <v>824842.92304477759</v>
      </c>
      <c r="T818" s="29">
        <f t="shared" si="688"/>
        <v>687.36910253731469</v>
      </c>
      <c r="U818" s="29">
        <f t="shared" si="689"/>
        <v>0</v>
      </c>
      <c r="V818" s="35">
        <f t="shared" si="690"/>
        <v>3.0504897608224059E-3</v>
      </c>
      <c r="W818" s="34">
        <f t="shared" si="691"/>
        <v>0</v>
      </c>
      <c r="X818" s="34">
        <f t="shared" si="692"/>
        <v>824155.55394224031</v>
      </c>
      <c r="Y818" s="36">
        <f t="shared" si="693"/>
        <v>4.5247073468945853E-3</v>
      </c>
      <c r="Z818" s="34">
        <f t="shared" si="694"/>
        <v>3729.0626899064314</v>
      </c>
      <c r="AA818" s="34">
        <f t="shared" si="695"/>
        <v>826020.08528719353</v>
      </c>
      <c r="AB818" s="34">
        <f t="shared" si="696"/>
        <v>0</v>
      </c>
      <c r="AC818" s="34">
        <f t="shared" si="697"/>
        <v>0</v>
      </c>
      <c r="AD818" s="34">
        <f t="shared" si="698"/>
        <v>0</v>
      </c>
      <c r="AE818" s="34">
        <f t="shared" si="699"/>
        <v>0</v>
      </c>
      <c r="AF818" s="34">
        <f t="shared" si="700"/>
        <v>0</v>
      </c>
      <c r="AG818" s="29">
        <f t="shared" si="701"/>
        <v>826020.08528719353</v>
      </c>
      <c r="AH818" s="34">
        <f t="shared" si="702"/>
        <v>0</v>
      </c>
      <c r="AI818" s="34">
        <f t="shared" si="703"/>
        <v>0</v>
      </c>
      <c r="AJ818" s="34">
        <f t="shared" si="704"/>
        <v>0</v>
      </c>
      <c r="AK818" s="34">
        <f t="shared" si="705"/>
        <v>0</v>
      </c>
      <c r="AL818" s="34">
        <f t="shared" si="706"/>
        <v>0</v>
      </c>
      <c r="AM818" s="34">
        <f t="shared" si="707"/>
        <v>0</v>
      </c>
      <c r="AN818" s="34">
        <f t="shared" si="708"/>
        <v>0</v>
      </c>
      <c r="AO818" s="34">
        <f t="shared" si="709"/>
        <v>0</v>
      </c>
      <c r="AP818" s="34">
        <f t="shared" si="710"/>
        <v>0</v>
      </c>
      <c r="AQ818" s="34">
        <f t="shared" si="711"/>
        <v>0</v>
      </c>
      <c r="AR818" s="34">
        <f t="shared" si="712"/>
        <v>0</v>
      </c>
      <c r="AS818" s="30">
        <f t="shared" si="713"/>
        <v>1.9639624871876373</v>
      </c>
      <c r="AT818" s="29">
        <f t="shared" si="714"/>
        <v>0</v>
      </c>
      <c r="AU818" s="29">
        <f t="shared" si="715"/>
        <v>0</v>
      </c>
      <c r="AV818" s="34">
        <f t="shared" si="716"/>
        <v>0</v>
      </c>
      <c r="AW818" s="34">
        <f t="shared" si="717"/>
        <v>0</v>
      </c>
      <c r="AX818" s="29">
        <f t="shared" si="718"/>
        <v>0</v>
      </c>
      <c r="AY818" s="34">
        <f t="shared" si="719"/>
        <v>0</v>
      </c>
      <c r="AZ818" s="37">
        <f t="shared" si="720"/>
        <v>0</v>
      </c>
      <c r="BA818" s="37">
        <f t="shared" si="721"/>
        <v>0</v>
      </c>
      <c r="BB818" s="35">
        <f t="shared" si="722"/>
        <v>1.3909756981382859E-3</v>
      </c>
      <c r="BC818" s="31">
        <f t="shared" si="723"/>
        <v>0.32255955965199368</v>
      </c>
      <c r="BD818" s="34">
        <f t="shared" si="724"/>
        <v>0</v>
      </c>
    </row>
    <row r="819" spans="1:56" x14ac:dyDescent="0.2">
      <c r="A819" s="27">
        <f t="shared" si="725"/>
        <v>815</v>
      </c>
      <c r="B819" s="28">
        <f t="shared" si="672"/>
        <v>815</v>
      </c>
      <c r="C819" s="27">
        <f t="shared" si="673"/>
        <v>67</v>
      </c>
      <c r="D819" s="28">
        <f t="shared" si="674"/>
        <v>87</v>
      </c>
      <c r="E819" s="29">
        <f t="shared" si="675"/>
        <v>0</v>
      </c>
      <c r="F819" s="30">
        <f t="shared" si="676"/>
        <v>3.2775160860319237E-2</v>
      </c>
      <c r="G819" s="31">
        <f t="shared" si="677"/>
        <v>2.7731725098385507E-3</v>
      </c>
      <c r="H819" s="32">
        <f t="shared" si="678"/>
        <v>0.02</v>
      </c>
      <c r="I819" s="32">
        <f t="shared" si="679"/>
        <v>0</v>
      </c>
      <c r="J819" s="33">
        <f t="shared" si="726"/>
        <v>0</v>
      </c>
      <c r="K819" s="30">
        <f t="shared" si="680"/>
        <v>0</v>
      </c>
      <c r="L819" s="33">
        <f t="shared" si="681"/>
        <v>0</v>
      </c>
      <c r="M819" s="30">
        <f t="shared" si="682"/>
        <v>0</v>
      </c>
      <c r="N819" s="33">
        <f t="shared" si="683"/>
        <v>0</v>
      </c>
      <c r="O819" s="31">
        <f t="shared" si="684"/>
        <v>0</v>
      </c>
      <c r="P819" s="33">
        <f t="shared" si="685"/>
        <v>0</v>
      </c>
      <c r="Q819" s="34">
        <f t="shared" si="727"/>
        <v>827884.61663214676</v>
      </c>
      <c r="R819" s="29">
        <f t="shared" si="686"/>
        <v>0</v>
      </c>
      <c r="S819" s="34">
        <f t="shared" si="687"/>
        <v>827884.61663214676</v>
      </c>
      <c r="T819" s="29">
        <f t="shared" si="688"/>
        <v>689.9038471934557</v>
      </c>
      <c r="U819" s="29">
        <f t="shared" si="689"/>
        <v>0</v>
      </c>
      <c r="V819" s="35">
        <f t="shared" si="690"/>
        <v>3.0504897608224059E-3</v>
      </c>
      <c r="W819" s="34">
        <f t="shared" si="691"/>
        <v>0</v>
      </c>
      <c r="X819" s="34">
        <f t="shared" si="692"/>
        <v>827194.7127849533</v>
      </c>
      <c r="Y819" s="36">
        <f t="shared" si="693"/>
        <v>-1.1377990658073101E-2</v>
      </c>
      <c r="Z819" s="34">
        <f t="shared" si="694"/>
        <v>-9411.8137144746597</v>
      </c>
      <c r="AA819" s="34">
        <f t="shared" si="695"/>
        <v>822488.80592771596</v>
      </c>
      <c r="AB819" s="34">
        <f t="shared" si="696"/>
        <v>0</v>
      </c>
      <c r="AC819" s="34">
        <f t="shared" si="697"/>
        <v>0</v>
      </c>
      <c r="AD819" s="34">
        <f t="shared" si="698"/>
        <v>0</v>
      </c>
      <c r="AE819" s="34">
        <f t="shared" si="699"/>
        <v>0</v>
      </c>
      <c r="AF819" s="34">
        <f t="shared" si="700"/>
        <v>0</v>
      </c>
      <c r="AG819" s="29">
        <f t="shared" si="701"/>
        <v>822488.80592771596</v>
      </c>
      <c r="AH819" s="34">
        <f t="shared" si="702"/>
        <v>0</v>
      </c>
      <c r="AI819" s="34">
        <f t="shared" si="703"/>
        <v>0</v>
      </c>
      <c r="AJ819" s="34">
        <f t="shared" si="704"/>
        <v>0</v>
      </c>
      <c r="AK819" s="34">
        <f t="shared" si="705"/>
        <v>0</v>
      </c>
      <c r="AL819" s="34">
        <f t="shared" si="706"/>
        <v>0</v>
      </c>
      <c r="AM819" s="34">
        <f t="shared" si="707"/>
        <v>0</v>
      </c>
      <c r="AN819" s="34">
        <f t="shared" si="708"/>
        <v>0</v>
      </c>
      <c r="AO819" s="34">
        <f t="shared" si="709"/>
        <v>0</v>
      </c>
      <c r="AP819" s="34">
        <f t="shared" si="710"/>
        <v>0</v>
      </c>
      <c r="AQ819" s="34">
        <f t="shared" si="711"/>
        <v>0</v>
      </c>
      <c r="AR819" s="34">
        <f t="shared" si="712"/>
        <v>0</v>
      </c>
      <c r="AS819" s="30">
        <f t="shared" si="713"/>
        <v>1.9655916689259061</v>
      </c>
      <c r="AT819" s="29">
        <f t="shared" si="714"/>
        <v>0</v>
      </c>
      <c r="AU819" s="29">
        <f t="shared" si="715"/>
        <v>0</v>
      </c>
      <c r="AV819" s="34">
        <f t="shared" si="716"/>
        <v>0</v>
      </c>
      <c r="AW819" s="34">
        <f t="shared" si="717"/>
        <v>0</v>
      </c>
      <c r="AX819" s="29">
        <f t="shared" si="718"/>
        <v>0</v>
      </c>
      <c r="AY819" s="34">
        <f t="shared" si="719"/>
        <v>0</v>
      </c>
      <c r="AZ819" s="37">
        <f t="shared" si="720"/>
        <v>0</v>
      </c>
      <c r="BA819" s="37">
        <f t="shared" si="721"/>
        <v>0</v>
      </c>
      <c r="BB819" s="35">
        <f t="shared" si="722"/>
        <v>1.3909756981382859E-3</v>
      </c>
      <c r="BC819" s="31">
        <f t="shared" si="723"/>
        <v>0.32211151036897984</v>
      </c>
      <c r="BD819" s="34">
        <f t="shared" si="724"/>
        <v>0</v>
      </c>
    </row>
    <row r="820" spans="1:56" x14ac:dyDescent="0.2">
      <c r="A820" s="27">
        <f t="shared" si="725"/>
        <v>816</v>
      </c>
      <c r="B820" s="28">
        <f t="shared" si="672"/>
        <v>816</v>
      </c>
      <c r="C820" s="27">
        <f t="shared" si="673"/>
        <v>68</v>
      </c>
      <c r="D820" s="28">
        <f t="shared" si="674"/>
        <v>88</v>
      </c>
      <c r="E820" s="29">
        <f t="shared" si="675"/>
        <v>0</v>
      </c>
      <c r="F820" s="30">
        <f t="shared" si="676"/>
        <v>3.6868959003222609E-2</v>
      </c>
      <c r="G820" s="31">
        <f t="shared" si="677"/>
        <v>3.125588532639223E-3</v>
      </c>
      <c r="H820" s="32">
        <f t="shared" si="678"/>
        <v>0.02</v>
      </c>
      <c r="I820" s="32">
        <f t="shared" si="679"/>
        <v>0</v>
      </c>
      <c r="J820" s="33">
        <f t="shared" si="726"/>
        <v>0</v>
      </c>
      <c r="K820" s="30">
        <f t="shared" si="680"/>
        <v>0</v>
      </c>
      <c r="L820" s="33">
        <f t="shared" si="681"/>
        <v>0</v>
      </c>
      <c r="M820" s="30">
        <f t="shared" si="682"/>
        <v>0</v>
      </c>
      <c r="N820" s="33">
        <f t="shared" si="683"/>
        <v>0</v>
      </c>
      <c r="O820" s="31">
        <f t="shared" si="684"/>
        <v>0</v>
      </c>
      <c r="P820" s="33">
        <f t="shared" si="685"/>
        <v>0</v>
      </c>
      <c r="Q820" s="34">
        <f t="shared" si="727"/>
        <v>817782.89907047863</v>
      </c>
      <c r="R820" s="29">
        <f t="shared" si="686"/>
        <v>0</v>
      </c>
      <c r="S820" s="34">
        <f t="shared" si="687"/>
        <v>817782.89907047863</v>
      </c>
      <c r="T820" s="29">
        <f t="shared" si="688"/>
        <v>681.48574922539888</v>
      </c>
      <c r="U820" s="29">
        <f t="shared" si="689"/>
        <v>0</v>
      </c>
      <c r="V820" s="35">
        <f t="shared" si="690"/>
        <v>3.4381473859031457E-3</v>
      </c>
      <c r="W820" s="34">
        <f t="shared" si="691"/>
        <v>0</v>
      </c>
      <c r="X820" s="34">
        <f t="shared" si="692"/>
        <v>817101.41332125326</v>
      </c>
      <c r="Y820" s="36">
        <f t="shared" si="693"/>
        <v>1.187305517429893E-2</v>
      </c>
      <c r="Z820" s="34">
        <f t="shared" si="694"/>
        <v>9701.4901633608752</v>
      </c>
      <c r="AA820" s="34">
        <f t="shared" si="695"/>
        <v>821952.15840293374</v>
      </c>
      <c r="AB820" s="34">
        <f t="shared" si="696"/>
        <v>0</v>
      </c>
      <c r="AC820" s="34">
        <f t="shared" si="697"/>
        <v>0</v>
      </c>
      <c r="AD820" s="34">
        <f t="shared" si="698"/>
        <v>0</v>
      </c>
      <c r="AE820" s="34">
        <f t="shared" si="699"/>
        <v>0</v>
      </c>
      <c r="AF820" s="34">
        <f t="shared" si="700"/>
        <v>0</v>
      </c>
      <c r="AG820" s="29">
        <f t="shared" si="701"/>
        <v>821952.15840293374</v>
      </c>
      <c r="AH820" s="34">
        <f t="shared" si="702"/>
        <v>0</v>
      </c>
      <c r="AI820" s="34">
        <f t="shared" si="703"/>
        <v>0</v>
      </c>
      <c r="AJ820" s="34">
        <f t="shared" si="704"/>
        <v>0</v>
      </c>
      <c r="AK820" s="34">
        <f t="shared" si="705"/>
        <v>0</v>
      </c>
      <c r="AL820" s="34">
        <f t="shared" si="706"/>
        <v>0</v>
      </c>
      <c r="AM820" s="34">
        <f t="shared" si="707"/>
        <v>0</v>
      </c>
      <c r="AN820" s="34">
        <f t="shared" si="708"/>
        <v>0</v>
      </c>
      <c r="AO820" s="34">
        <f t="shared" si="709"/>
        <v>0</v>
      </c>
      <c r="AP820" s="34">
        <f t="shared" si="710"/>
        <v>0</v>
      </c>
      <c r="AQ820" s="34">
        <f t="shared" si="711"/>
        <v>0</v>
      </c>
      <c r="AR820" s="34">
        <f t="shared" si="712"/>
        <v>0</v>
      </c>
      <c r="AS820" s="30">
        <f t="shared" si="713"/>
        <v>1.9672222021325216</v>
      </c>
      <c r="AT820" s="29">
        <f t="shared" si="714"/>
        <v>0</v>
      </c>
      <c r="AU820" s="29">
        <f t="shared" si="715"/>
        <v>0</v>
      </c>
      <c r="AV820" s="34">
        <f t="shared" si="716"/>
        <v>0</v>
      </c>
      <c r="AW820" s="34">
        <f t="shared" si="717"/>
        <v>0</v>
      </c>
      <c r="AX820" s="29">
        <f t="shared" si="718"/>
        <v>0</v>
      </c>
      <c r="AY820" s="34">
        <f t="shared" si="719"/>
        <v>0</v>
      </c>
      <c r="AZ820" s="37">
        <f t="shared" si="720"/>
        <v>0</v>
      </c>
      <c r="BA820" s="37">
        <f t="shared" si="721"/>
        <v>0</v>
      </c>
      <c r="BB820" s="35">
        <f t="shared" si="722"/>
        <v>1.4180543909447785E-3</v>
      </c>
      <c r="BC820" s="31">
        <f t="shared" si="723"/>
        <v>0.31464422607855808</v>
      </c>
      <c r="BD820" s="34">
        <f t="shared" si="724"/>
        <v>0</v>
      </c>
    </row>
    <row r="821" spans="1:56" x14ac:dyDescent="0.2">
      <c r="A821" s="27">
        <f t="shared" si="725"/>
        <v>817</v>
      </c>
      <c r="B821" s="28">
        <f t="shared" si="672"/>
        <v>817</v>
      </c>
      <c r="C821" s="27">
        <f t="shared" si="673"/>
        <v>68</v>
      </c>
      <c r="D821" s="28">
        <f t="shared" si="674"/>
        <v>88</v>
      </c>
      <c r="E821" s="29">
        <f t="shared" si="675"/>
        <v>0</v>
      </c>
      <c r="F821" s="30">
        <f t="shared" si="676"/>
        <v>3.6868959003222609E-2</v>
      </c>
      <c r="G821" s="31">
        <f t="shared" si="677"/>
        <v>3.125588532639223E-3</v>
      </c>
      <c r="H821" s="32">
        <f t="shared" si="678"/>
        <v>0.02</v>
      </c>
      <c r="I821" s="32">
        <f t="shared" si="679"/>
        <v>0</v>
      </c>
      <c r="J821" s="33">
        <f t="shared" si="726"/>
        <v>0</v>
      </c>
      <c r="K821" s="30">
        <f t="shared" si="680"/>
        <v>0</v>
      </c>
      <c r="L821" s="33">
        <f t="shared" si="681"/>
        <v>0</v>
      </c>
      <c r="M821" s="30">
        <f t="shared" si="682"/>
        <v>0</v>
      </c>
      <c r="N821" s="33">
        <f t="shared" si="683"/>
        <v>0</v>
      </c>
      <c r="O821" s="31">
        <f t="shared" si="684"/>
        <v>0</v>
      </c>
      <c r="P821" s="33">
        <f t="shared" si="685"/>
        <v>0</v>
      </c>
      <c r="Q821" s="34">
        <f t="shared" si="727"/>
        <v>826802.9034846141</v>
      </c>
      <c r="R821" s="29">
        <f t="shared" si="686"/>
        <v>0</v>
      </c>
      <c r="S821" s="34">
        <f t="shared" si="687"/>
        <v>826802.9034846141</v>
      </c>
      <c r="T821" s="29">
        <f t="shared" si="688"/>
        <v>689.00241957051185</v>
      </c>
      <c r="U821" s="29">
        <f t="shared" si="689"/>
        <v>0</v>
      </c>
      <c r="V821" s="35">
        <f t="shared" si="690"/>
        <v>3.4381473859031457E-3</v>
      </c>
      <c r="W821" s="34">
        <f t="shared" si="691"/>
        <v>0</v>
      </c>
      <c r="X821" s="34">
        <f t="shared" si="692"/>
        <v>826113.90106504364</v>
      </c>
      <c r="Y821" s="36">
        <f t="shared" si="693"/>
        <v>-1.1223326814117529E-2</v>
      </c>
      <c r="Z821" s="34">
        <f t="shared" si="694"/>
        <v>-9271.7462973385391</v>
      </c>
      <c r="AA821" s="34">
        <f t="shared" si="695"/>
        <v>821478.02791637438</v>
      </c>
      <c r="AB821" s="34">
        <f t="shared" si="696"/>
        <v>0</v>
      </c>
      <c r="AC821" s="34">
        <f t="shared" si="697"/>
        <v>0</v>
      </c>
      <c r="AD821" s="34">
        <f t="shared" si="698"/>
        <v>0</v>
      </c>
      <c r="AE821" s="34">
        <f t="shared" si="699"/>
        <v>0</v>
      </c>
      <c r="AF821" s="34">
        <f t="shared" si="700"/>
        <v>0</v>
      </c>
      <c r="AG821" s="29">
        <f t="shared" si="701"/>
        <v>821478.02791637438</v>
      </c>
      <c r="AH821" s="34">
        <f t="shared" si="702"/>
        <v>0</v>
      </c>
      <c r="AI821" s="34">
        <f t="shared" si="703"/>
        <v>0</v>
      </c>
      <c r="AJ821" s="34">
        <f t="shared" si="704"/>
        <v>0</v>
      </c>
      <c r="AK821" s="34">
        <f t="shared" si="705"/>
        <v>0</v>
      </c>
      <c r="AL821" s="34">
        <f t="shared" si="706"/>
        <v>0</v>
      </c>
      <c r="AM821" s="34">
        <f t="shared" si="707"/>
        <v>0</v>
      </c>
      <c r="AN821" s="34">
        <f t="shared" si="708"/>
        <v>0</v>
      </c>
      <c r="AO821" s="34">
        <f t="shared" si="709"/>
        <v>0</v>
      </c>
      <c r="AP821" s="34">
        <f t="shared" si="710"/>
        <v>0</v>
      </c>
      <c r="AQ821" s="34">
        <f t="shared" si="711"/>
        <v>0</v>
      </c>
      <c r="AR821" s="34">
        <f t="shared" si="712"/>
        <v>0</v>
      </c>
      <c r="AS821" s="30">
        <f t="shared" si="713"/>
        <v>1.9688540879285783</v>
      </c>
      <c r="AT821" s="29">
        <f t="shared" si="714"/>
        <v>0</v>
      </c>
      <c r="AU821" s="29">
        <f t="shared" si="715"/>
        <v>0</v>
      </c>
      <c r="AV821" s="34">
        <f t="shared" si="716"/>
        <v>0</v>
      </c>
      <c r="AW821" s="34">
        <f t="shared" si="717"/>
        <v>0</v>
      </c>
      <c r="AX821" s="29">
        <f t="shared" si="718"/>
        <v>0</v>
      </c>
      <c r="AY821" s="34">
        <f t="shared" si="719"/>
        <v>0</v>
      </c>
      <c r="AZ821" s="37">
        <f t="shared" si="720"/>
        <v>0</v>
      </c>
      <c r="BA821" s="37">
        <f t="shared" si="721"/>
        <v>0</v>
      </c>
      <c r="BB821" s="35">
        <f t="shared" si="722"/>
        <v>1.4180543909447785E-3</v>
      </c>
      <c r="BC821" s="31">
        <f t="shared" si="723"/>
        <v>0.31419867526746603</v>
      </c>
      <c r="BD821" s="34">
        <f t="shared" si="724"/>
        <v>0</v>
      </c>
    </row>
    <row r="822" spans="1:56" x14ac:dyDescent="0.2">
      <c r="A822" s="27">
        <f t="shared" si="725"/>
        <v>818</v>
      </c>
      <c r="B822" s="28">
        <f t="shared" si="672"/>
        <v>818</v>
      </c>
      <c r="C822" s="27">
        <f t="shared" si="673"/>
        <v>68</v>
      </c>
      <c r="D822" s="28">
        <f t="shared" si="674"/>
        <v>88</v>
      </c>
      <c r="E822" s="29">
        <f t="shared" si="675"/>
        <v>0</v>
      </c>
      <c r="F822" s="30">
        <f t="shared" si="676"/>
        <v>3.6868959003222609E-2</v>
      </c>
      <c r="G822" s="31">
        <f t="shared" si="677"/>
        <v>3.125588532639223E-3</v>
      </c>
      <c r="H822" s="32">
        <f t="shared" si="678"/>
        <v>0.02</v>
      </c>
      <c r="I822" s="32">
        <f t="shared" si="679"/>
        <v>0</v>
      </c>
      <c r="J822" s="33">
        <f t="shared" si="726"/>
        <v>0</v>
      </c>
      <c r="K822" s="30">
        <f t="shared" si="680"/>
        <v>0</v>
      </c>
      <c r="L822" s="33">
        <f t="shared" si="681"/>
        <v>0</v>
      </c>
      <c r="M822" s="30">
        <f t="shared" si="682"/>
        <v>0</v>
      </c>
      <c r="N822" s="33">
        <f t="shared" si="683"/>
        <v>0</v>
      </c>
      <c r="O822" s="31">
        <f t="shared" si="684"/>
        <v>0</v>
      </c>
      <c r="P822" s="33">
        <f t="shared" si="685"/>
        <v>0</v>
      </c>
      <c r="Q822" s="34">
        <f t="shared" si="727"/>
        <v>816842.15476770513</v>
      </c>
      <c r="R822" s="29">
        <f t="shared" si="686"/>
        <v>0</v>
      </c>
      <c r="S822" s="34">
        <f t="shared" si="687"/>
        <v>816842.15476770513</v>
      </c>
      <c r="T822" s="29">
        <f t="shared" si="688"/>
        <v>680.70179563975432</v>
      </c>
      <c r="U822" s="29">
        <f t="shared" si="689"/>
        <v>0</v>
      </c>
      <c r="V822" s="35">
        <f t="shared" si="690"/>
        <v>3.4381473859031457E-3</v>
      </c>
      <c r="W822" s="34">
        <f t="shared" si="691"/>
        <v>0</v>
      </c>
      <c r="X822" s="34">
        <f t="shared" si="692"/>
        <v>816161.45297206542</v>
      </c>
      <c r="Y822" s="36">
        <f t="shared" si="693"/>
        <v>-4.5551420087850403E-3</v>
      </c>
      <c r="Z822" s="34">
        <f t="shared" si="694"/>
        <v>-3717.7313203840913</v>
      </c>
      <c r="AA822" s="34">
        <f t="shared" si="695"/>
        <v>814302.58731187333</v>
      </c>
      <c r="AB822" s="34">
        <f t="shared" si="696"/>
        <v>0</v>
      </c>
      <c r="AC822" s="34">
        <f t="shared" si="697"/>
        <v>0</v>
      </c>
      <c r="AD822" s="34">
        <f t="shared" si="698"/>
        <v>0</v>
      </c>
      <c r="AE822" s="34">
        <f t="shared" si="699"/>
        <v>0</v>
      </c>
      <c r="AF822" s="34">
        <f t="shared" si="700"/>
        <v>0</v>
      </c>
      <c r="AG822" s="29">
        <f t="shared" si="701"/>
        <v>814302.58731187333</v>
      </c>
      <c r="AH822" s="34">
        <f t="shared" si="702"/>
        <v>0</v>
      </c>
      <c r="AI822" s="34">
        <f t="shared" si="703"/>
        <v>0</v>
      </c>
      <c r="AJ822" s="34">
        <f t="shared" si="704"/>
        <v>0</v>
      </c>
      <c r="AK822" s="34">
        <f t="shared" si="705"/>
        <v>0</v>
      </c>
      <c r="AL822" s="34">
        <f t="shared" si="706"/>
        <v>0</v>
      </c>
      <c r="AM822" s="34">
        <f t="shared" si="707"/>
        <v>0</v>
      </c>
      <c r="AN822" s="34">
        <f t="shared" si="708"/>
        <v>0</v>
      </c>
      <c r="AO822" s="34">
        <f t="shared" si="709"/>
        <v>0</v>
      </c>
      <c r="AP822" s="34">
        <f t="shared" si="710"/>
        <v>0</v>
      </c>
      <c r="AQ822" s="34">
        <f t="shared" si="711"/>
        <v>0</v>
      </c>
      <c r="AR822" s="34">
        <f t="shared" si="712"/>
        <v>0</v>
      </c>
      <c r="AS822" s="30">
        <f t="shared" si="713"/>
        <v>1.9704873274361017</v>
      </c>
      <c r="AT822" s="29">
        <f t="shared" si="714"/>
        <v>0</v>
      </c>
      <c r="AU822" s="29">
        <f t="shared" si="715"/>
        <v>0</v>
      </c>
      <c r="AV822" s="34">
        <f t="shared" si="716"/>
        <v>0</v>
      </c>
      <c r="AW822" s="34">
        <f t="shared" si="717"/>
        <v>0</v>
      </c>
      <c r="AX822" s="29">
        <f t="shared" si="718"/>
        <v>0</v>
      </c>
      <c r="AY822" s="34">
        <f t="shared" si="719"/>
        <v>0</v>
      </c>
      <c r="AZ822" s="37">
        <f t="shared" si="720"/>
        <v>0</v>
      </c>
      <c r="BA822" s="37">
        <f t="shared" si="721"/>
        <v>0</v>
      </c>
      <c r="BB822" s="35">
        <f t="shared" si="722"/>
        <v>1.4180543909447785E-3</v>
      </c>
      <c r="BC822" s="31">
        <f t="shared" si="723"/>
        <v>0.31375375537697825</v>
      </c>
      <c r="BD822" s="34">
        <f t="shared" si="724"/>
        <v>0</v>
      </c>
    </row>
    <row r="823" spans="1:56" x14ac:dyDescent="0.2">
      <c r="A823" s="27">
        <f t="shared" si="725"/>
        <v>819</v>
      </c>
      <c r="B823" s="28">
        <f t="shared" si="672"/>
        <v>819</v>
      </c>
      <c r="C823" s="27">
        <f t="shared" si="673"/>
        <v>68</v>
      </c>
      <c r="D823" s="28">
        <f t="shared" si="674"/>
        <v>88</v>
      </c>
      <c r="E823" s="29">
        <f t="shared" si="675"/>
        <v>0</v>
      </c>
      <c r="F823" s="30">
        <f t="shared" si="676"/>
        <v>3.6868959003222609E-2</v>
      </c>
      <c r="G823" s="31">
        <f t="shared" si="677"/>
        <v>3.125588532639223E-3</v>
      </c>
      <c r="H823" s="32">
        <f t="shared" si="678"/>
        <v>0.02</v>
      </c>
      <c r="I823" s="32">
        <f t="shared" si="679"/>
        <v>0</v>
      </c>
      <c r="J823" s="33">
        <f t="shared" si="726"/>
        <v>0</v>
      </c>
      <c r="K823" s="30">
        <f t="shared" si="680"/>
        <v>0</v>
      </c>
      <c r="L823" s="33">
        <f t="shared" si="681"/>
        <v>0</v>
      </c>
      <c r="M823" s="30">
        <f t="shared" si="682"/>
        <v>0</v>
      </c>
      <c r="N823" s="33">
        <f t="shared" si="683"/>
        <v>0</v>
      </c>
      <c r="O823" s="31">
        <f t="shared" si="684"/>
        <v>0</v>
      </c>
      <c r="P823" s="33">
        <f t="shared" si="685"/>
        <v>0</v>
      </c>
      <c r="Q823" s="34">
        <f t="shared" si="727"/>
        <v>812443.72165168135</v>
      </c>
      <c r="R823" s="29">
        <f t="shared" si="686"/>
        <v>0</v>
      </c>
      <c r="S823" s="34">
        <f t="shared" si="687"/>
        <v>812443.72165168135</v>
      </c>
      <c r="T823" s="29">
        <f t="shared" si="688"/>
        <v>677.03643470973452</v>
      </c>
      <c r="U823" s="29">
        <f t="shared" si="689"/>
        <v>0</v>
      </c>
      <c r="V823" s="35">
        <f t="shared" si="690"/>
        <v>3.4381473859031457E-3</v>
      </c>
      <c r="W823" s="34">
        <f t="shared" si="691"/>
        <v>0</v>
      </c>
      <c r="X823" s="34">
        <f t="shared" si="692"/>
        <v>811766.68521697167</v>
      </c>
      <c r="Y823" s="36">
        <f t="shared" si="693"/>
        <v>9.6277246195675126E-3</v>
      </c>
      <c r="Z823" s="34">
        <f t="shared" si="694"/>
        <v>7815.4661006081496</v>
      </c>
      <c r="AA823" s="34">
        <f t="shared" si="695"/>
        <v>815674.41826727579</v>
      </c>
      <c r="AB823" s="34">
        <f t="shared" si="696"/>
        <v>0</v>
      </c>
      <c r="AC823" s="34">
        <f t="shared" si="697"/>
        <v>0</v>
      </c>
      <c r="AD823" s="34">
        <f t="shared" si="698"/>
        <v>0</v>
      </c>
      <c r="AE823" s="34">
        <f t="shared" si="699"/>
        <v>0</v>
      </c>
      <c r="AF823" s="34">
        <f t="shared" si="700"/>
        <v>0</v>
      </c>
      <c r="AG823" s="29">
        <f t="shared" si="701"/>
        <v>815674.41826727579</v>
      </c>
      <c r="AH823" s="34">
        <f t="shared" si="702"/>
        <v>0</v>
      </c>
      <c r="AI823" s="34">
        <f t="shared" si="703"/>
        <v>0</v>
      </c>
      <c r="AJ823" s="34">
        <f t="shared" si="704"/>
        <v>0</v>
      </c>
      <c r="AK823" s="34">
        <f t="shared" si="705"/>
        <v>0</v>
      </c>
      <c r="AL823" s="34">
        <f t="shared" si="706"/>
        <v>0</v>
      </c>
      <c r="AM823" s="34">
        <f t="shared" si="707"/>
        <v>0</v>
      </c>
      <c r="AN823" s="34">
        <f t="shared" si="708"/>
        <v>0</v>
      </c>
      <c r="AO823" s="34">
        <f t="shared" si="709"/>
        <v>0</v>
      </c>
      <c r="AP823" s="34">
        <f t="shared" si="710"/>
        <v>0</v>
      </c>
      <c r="AQ823" s="34">
        <f t="shared" si="711"/>
        <v>0</v>
      </c>
      <c r="AR823" s="34">
        <f t="shared" si="712"/>
        <v>0</v>
      </c>
      <c r="AS823" s="30">
        <f t="shared" si="713"/>
        <v>1.9721219217780459</v>
      </c>
      <c r="AT823" s="29">
        <f t="shared" si="714"/>
        <v>0</v>
      </c>
      <c r="AU823" s="29">
        <f t="shared" si="715"/>
        <v>0</v>
      </c>
      <c r="AV823" s="34">
        <f t="shared" si="716"/>
        <v>0</v>
      </c>
      <c r="AW823" s="34">
        <f t="shared" si="717"/>
        <v>0</v>
      </c>
      <c r="AX823" s="29">
        <f t="shared" si="718"/>
        <v>0</v>
      </c>
      <c r="AY823" s="34">
        <f t="shared" si="719"/>
        <v>0</v>
      </c>
      <c r="AZ823" s="37">
        <f t="shared" si="720"/>
        <v>0</v>
      </c>
      <c r="BA823" s="37">
        <f t="shared" si="721"/>
        <v>0</v>
      </c>
      <c r="BB823" s="35">
        <f t="shared" si="722"/>
        <v>1.4180543909447785E-3</v>
      </c>
      <c r="BC823" s="31">
        <f t="shared" si="723"/>
        <v>0.31330946551368205</v>
      </c>
      <c r="BD823" s="34">
        <f t="shared" si="724"/>
        <v>0</v>
      </c>
    </row>
    <row r="824" spans="1:56" x14ac:dyDescent="0.2">
      <c r="A824" s="27">
        <f t="shared" si="725"/>
        <v>820</v>
      </c>
      <c r="B824" s="28">
        <f t="shared" si="672"/>
        <v>820</v>
      </c>
      <c r="C824" s="27">
        <f t="shared" si="673"/>
        <v>68</v>
      </c>
      <c r="D824" s="28">
        <f t="shared" si="674"/>
        <v>88</v>
      </c>
      <c r="E824" s="29">
        <f t="shared" si="675"/>
        <v>0</v>
      </c>
      <c r="F824" s="30">
        <f t="shared" si="676"/>
        <v>3.6868959003222609E-2</v>
      </c>
      <c r="G824" s="31">
        <f t="shared" si="677"/>
        <v>3.125588532639223E-3</v>
      </c>
      <c r="H824" s="32">
        <f t="shared" si="678"/>
        <v>0.02</v>
      </c>
      <c r="I824" s="32">
        <f t="shared" si="679"/>
        <v>0</v>
      </c>
      <c r="J824" s="33">
        <f t="shared" si="726"/>
        <v>0</v>
      </c>
      <c r="K824" s="30">
        <f t="shared" si="680"/>
        <v>0</v>
      </c>
      <c r="L824" s="33">
        <f t="shared" si="681"/>
        <v>0</v>
      </c>
      <c r="M824" s="30">
        <f t="shared" si="682"/>
        <v>0</v>
      </c>
      <c r="N824" s="33">
        <f t="shared" si="683"/>
        <v>0</v>
      </c>
      <c r="O824" s="31">
        <f t="shared" si="684"/>
        <v>0</v>
      </c>
      <c r="P824" s="33">
        <f t="shared" si="685"/>
        <v>0</v>
      </c>
      <c r="Q824" s="34">
        <f t="shared" si="727"/>
        <v>819582.15131757979</v>
      </c>
      <c r="R824" s="29">
        <f t="shared" si="686"/>
        <v>0</v>
      </c>
      <c r="S824" s="34">
        <f t="shared" si="687"/>
        <v>819582.15131757979</v>
      </c>
      <c r="T824" s="29">
        <f t="shared" si="688"/>
        <v>682.9851260979832</v>
      </c>
      <c r="U824" s="29">
        <f t="shared" si="689"/>
        <v>0</v>
      </c>
      <c r="V824" s="35">
        <f t="shared" si="690"/>
        <v>3.4381473859031457E-3</v>
      </c>
      <c r="W824" s="34">
        <f t="shared" si="691"/>
        <v>0</v>
      </c>
      <c r="X824" s="34">
        <f t="shared" si="692"/>
        <v>818899.16619148175</v>
      </c>
      <c r="Y824" s="36">
        <f t="shared" si="693"/>
        <v>-1.2231183665423973E-2</v>
      </c>
      <c r="Z824" s="34">
        <f t="shared" si="694"/>
        <v>-10016.106105150562</v>
      </c>
      <c r="AA824" s="34">
        <f t="shared" si="695"/>
        <v>813891.11313890642</v>
      </c>
      <c r="AB824" s="34">
        <f t="shared" si="696"/>
        <v>0</v>
      </c>
      <c r="AC824" s="34">
        <f t="shared" si="697"/>
        <v>0</v>
      </c>
      <c r="AD824" s="34">
        <f t="shared" si="698"/>
        <v>0</v>
      </c>
      <c r="AE824" s="34">
        <f t="shared" si="699"/>
        <v>0</v>
      </c>
      <c r="AF824" s="34">
        <f t="shared" si="700"/>
        <v>0</v>
      </c>
      <c r="AG824" s="29">
        <f t="shared" si="701"/>
        <v>813891.11313890642</v>
      </c>
      <c r="AH824" s="34">
        <f t="shared" si="702"/>
        <v>0</v>
      </c>
      <c r="AI824" s="34">
        <f t="shared" si="703"/>
        <v>0</v>
      </c>
      <c r="AJ824" s="34">
        <f t="shared" si="704"/>
        <v>0</v>
      </c>
      <c r="AK824" s="34">
        <f t="shared" si="705"/>
        <v>0</v>
      </c>
      <c r="AL824" s="34">
        <f t="shared" si="706"/>
        <v>0</v>
      </c>
      <c r="AM824" s="34">
        <f t="shared" si="707"/>
        <v>0</v>
      </c>
      <c r="AN824" s="34">
        <f t="shared" si="708"/>
        <v>0</v>
      </c>
      <c r="AO824" s="34">
        <f t="shared" si="709"/>
        <v>0</v>
      </c>
      <c r="AP824" s="34">
        <f t="shared" si="710"/>
        <v>0</v>
      </c>
      <c r="AQ824" s="34">
        <f t="shared" si="711"/>
        <v>0</v>
      </c>
      <c r="AR824" s="34">
        <f t="shared" si="712"/>
        <v>0</v>
      </c>
      <c r="AS824" s="30">
        <f t="shared" si="713"/>
        <v>1.9737578720782984</v>
      </c>
      <c r="AT824" s="29">
        <f t="shared" si="714"/>
        <v>0</v>
      </c>
      <c r="AU824" s="29">
        <f t="shared" si="715"/>
        <v>0</v>
      </c>
      <c r="AV824" s="34">
        <f t="shared" si="716"/>
        <v>0</v>
      </c>
      <c r="AW824" s="34">
        <f t="shared" si="717"/>
        <v>0</v>
      </c>
      <c r="AX824" s="29">
        <f t="shared" si="718"/>
        <v>0</v>
      </c>
      <c r="AY824" s="34">
        <f t="shared" si="719"/>
        <v>0</v>
      </c>
      <c r="AZ824" s="37">
        <f t="shared" si="720"/>
        <v>0</v>
      </c>
      <c r="BA824" s="37">
        <f t="shared" si="721"/>
        <v>0</v>
      </c>
      <c r="BB824" s="35">
        <f t="shared" si="722"/>
        <v>1.4180543909447785E-3</v>
      </c>
      <c r="BC824" s="31">
        <f t="shared" si="723"/>
        <v>0.31286580478542964</v>
      </c>
      <c r="BD824" s="34">
        <f t="shared" si="724"/>
        <v>0</v>
      </c>
    </row>
    <row r="825" spans="1:56" x14ac:dyDescent="0.2">
      <c r="A825" s="27">
        <f t="shared" si="725"/>
        <v>821</v>
      </c>
      <c r="B825" s="28">
        <f t="shared" si="672"/>
        <v>821</v>
      </c>
      <c r="C825" s="27">
        <f t="shared" si="673"/>
        <v>68</v>
      </c>
      <c r="D825" s="28">
        <f t="shared" si="674"/>
        <v>88</v>
      </c>
      <c r="E825" s="29">
        <f t="shared" si="675"/>
        <v>0</v>
      </c>
      <c r="F825" s="30">
        <f t="shared" si="676"/>
        <v>3.6868959003222609E-2</v>
      </c>
      <c r="G825" s="31">
        <f t="shared" si="677"/>
        <v>3.125588532639223E-3</v>
      </c>
      <c r="H825" s="32">
        <f t="shared" si="678"/>
        <v>0.02</v>
      </c>
      <c r="I825" s="32">
        <f t="shared" si="679"/>
        <v>0</v>
      </c>
      <c r="J825" s="33">
        <f t="shared" si="726"/>
        <v>0</v>
      </c>
      <c r="K825" s="30">
        <f t="shared" si="680"/>
        <v>0</v>
      </c>
      <c r="L825" s="33">
        <f t="shared" si="681"/>
        <v>0</v>
      </c>
      <c r="M825" s="30">
        <f t="shared" si="682"/>
        <v>0</v>
      </c>
      <c r="N825" s="33">
        <f t="shared" si="683"/>
        <v>0</v>
      </c>
      <c r="O825" s="31">
        <f t="shared" si="684"/>
        <v>0</v>
      </c>
      <c r="P825" s="33">
        <f t="shared" si="685"/>
        <v>0</v>
      </c>
      <c r="Q825" s="34">
        <f t="shared" si="727"/>
        <v>808883.06008633121</v>
      </c>
      <c r="R825" s="29">
        <f t="shared" si="686"/>
        <v>0</v>
      </c>
      <c r="S825" s="34">
        <f t="shared" si="687"/>
        <v>808883.06008633121</v>
      </c>
      <c r="T825" s="29">
        <f t="shared" si="688"/>
        <v>674.06921673860938</v>
      </c>
      <c r="U825" s="29">
        <f t="shared" si="689"/>
        <v>0</v>
      </c>
      <c r="V825" s="35">
        <f t="shared" si="690"/>
        <v>3.4381473859031457E-3</v>
      </c>
      <c r="W825" s="34">
        <f t="shared" si="691"/>
        <v>0</v>
      </c>
      <c r="X825" s="34">
        <f t="shared" si="692"/>
        <v>808208.99086959264</v>
      </c>
      <c r="Y825" s="36">
        <f t="shared" si="693"/>
        <v>1.0746477421241352E-2</v>
      </c>
      <c r="Z825" s="34">
        <f t="shared" si="694"/>
        <v>8685.3996720243358</v>
      </c>
      <c r="AA825" s="34">
        <f t="shared" si="695"/>
        <v>812551.69070560485</v>
      </c>
      <c r="AB825" s="34">
        <f t="shared" si="696"/>
        <v>0</v>
      </c>
      <c r="AC825" s="34">
        <f t="shared" si="697"/>
        <v>0</v>
      </c>
      <c r="AD825" s="34">
        <f t="shared" si="698"/>
        <v>0</v>
      </c>
      <c r="AE825" s="34">
        <f t="shared" si="699"/>
        <v>0</v>
      </c>
      <c r="AF825" s="34">
        <f t="shared" si="700"/>
        <v>0</v>
      </c>
      <c r="AG825" s="29">
        <f t="shared" si="701"/>
        <v>812551.69070560485</v>
      </c>
      <c r="AH825" s="34">
        <f t="shared" si="702"/>
        <v>0</v>
      </c>
      <c r="AI825" s="34">
        <f t="shared" si="703"/>
        <v>0</v>
      </c>
      <c r="AJ825" s="34">
        <f t="shared" si="704"/>
        <v>0</v>
      </c>
      <c r="AK825" s="34">
        <f t="shared" si="705"/>
        <v>0</v>
      </c>
      <c r="AL825" s="34">
        <f t="shared" si="706"/>
        <v>0</v>
      </c>
      <c r="AM825" s="34">
        <f t="shared" si="707"/>
        <v>0</v>
      </c>
      <c r="AN825" s="34">
        <f t="shared" si="708"/>
        <v>0</v>
      </c>
      <c r="AO825" s="34">
        <f t="shared" si="709"/>
        <v>0</v>
      </c>
      <c r="AP825" s="34">
        <f t="shared" si="710"/>
        <v>0</v>
      </c>
      <c r="AQ825" s="34">
        <f t="shared" si="711"/>
        <v>0</v>
      </c>
      <c r="AR825" s="34">
        <f t="shared" si="712"/>
        <v>0</v>
      </c>
      <c r="AS825" s="30">
        <f t="shared" si="713"/>
        <v>1.9753951794616786</v>
      </c>
      <c r="AT825" s="29">
        <f t="shared" si="714"/>
        <v>0</v>
      </c>
      <c r="AU825" s="29">
        <f t="shared" si="715"/>
        <v>0</v>
      </c>
      <c r="AV825" s="34">
        <f t="shared" si="716"/>
        <v>0</v>
      </c>
      <c r="AW825" s="34">
        <f t="shared" si="717"/>
        <v>0</v>
      </c>
      <c r="AX825" s="29">
        <f t="shared" si="718"/>
        <v>0</v>
      </c>
      <c r="AY825" s="34">
        <f t="shared" si="719"/>
        <v>0</v>
      </c>
      <c r="AZ825" s="37">
        <f t="shared" si="720"/>
        <v>0</v>
      </c>
      <c r="BA825" s="37">
        <f t="shared" si="721"/>
        <v>0</v>
      </c>
      <c r="BB825" s="35">
        <f t="shared" si="722"/>
        <v>1.4180543909447785E-3</v>
      </c>
      <c r="BC825" s="31">
        <f t="shared" si="723"/>
        <v>0.31242277230133653</v>
      </c>
      <c r="BD825" s="34">
        <f t="shared" si="724"/>
        <v>0</v>
      </c>
    </row>
    <row r="826" spans="1:56" x14ac:dyDescent="0.2">
      <c r="A826" s="27">
        <f t="shared" si="725"/>
        <v>822</v>
      </c>
      <c r="B826" s="28">
        <f t="shared" si="672"/>
        <v>822</v>
      </c>
      <c r="C826" s="27">
        <f t="shared" si="673"/>
        <v>68</v>
      </c>
      <c r="D826" s="28">
        <f t="shared" si="674"/>
        <v>88</v>
      </c>
      <c r="E826" s="29">
        <f t="shared" si="675"/>
        <v>0</v>
      </c>
      <c r="F826" s="30">
        <f t="shared" si="676"/>
        <v>3.6868959003222609E-2</v>
      </c>
      <c r="G826" s="31">
        <f t="shared" si="677"/>
        <v>3.125588532639223E-3</v>
      </c>
      <c r="H826" s="32">
        <f t="shared" si="678"/>
        <v>0.02</v>
      </c>
      <c r="I826" s="32">
        <f t="shared" si="679"/>
        <v>0</v>
      </c>
      <c r="J826" s="33">
        <f t="shared" si="726"/>
        <v>0</v>
      </c>
      <c r="K826" s="30">
        <f t="shared" si="680"/>
        <v>0</v>
      </c>
      <c r="L826" s="33">
        <f t="shared" si="681"/>
        <v>0</v>
      </c>
      <c r="M826" s="30">
        <f t="shared" si="682"/>
        <v>0</v>
      </c>
      <c r="N826" s="33">
        <f t="shared" si="683"/>
        <v>0</v>
      </c>
      <c r="O826" s="31">
        <f t="shared" si="684"/>
        <v>0</v>
      </c>
      <c r="P826" s="33">
        <f t="shared" si="685"/>
        <v>0</v>
      </c>
      <c r="Q826" s="34">
        <f t="shared" si="727"/>
        <v>816894.39054161694</v>
      </c>
      <c r="R826" s="29">
        <f t="shared" si="686"/>
        <v>0</v>
      </c>
      <c r="S826" s="34">
        <f t="shared" si="687"/>
        <v>816894.39054161694</v>
      </c>
      <c r="T826" s="29">
        <f t="shared" si="688"/>
        <v>680.74532545134753</v>
      </c>
      <c r="U826" s="29">
        <f t="shared" si="689"/>
        <v>0</v>
      </c>
      <c r="V826" s="35">
        <f t="shared" si="690"/>
        <v>3.4381473859031457E-3</v>
      </c>
      <c r="W826" s="34">
        <f t="shared" si="691"/>
        <v>0</v>
      </c>
      <c r="X826" s="34">
        <f t="shared" si="692"/>
        <v>816213.64521616558</v>
      </c>
      <c r="Y826" s="36">
        <f t="shared" si="693"/>
        <v>9.9881684668159387E-3</v>
      </c>
      <c r="Z826" s="34">
        <f t="shared" si="694"/>
        <v>8152.4793933329975</v>
      </c>
      <c r="AA826" s="34">
        <f t="shared" si="695"/>
        <v>820289.88491283206</v>
      </c>
      <c r="AB826" s="34">
        <f t="shared" si="696"/>
        <v>0</v>
      </c>
      <c r="AC826" s="34">
        <f t="shared" si="697"/>
        <v>0</v>
      </c>
      <c r="AD826" s="34">
        <f t="shared" si="698"/>
        <v>0</v>
      </c>
      <c r="AE826" s="34">
        <f t="shared" si="699"/>
        <v>0</v>
      </c>
      <c r="AF826" s="34">
        <f t="shared" si="700"/>
        <v>0</v>
      </c>
      <c r="AG826" s="29">
        <f t="shared" si="701"/>
        <v>820289.88491283206</v>
      </c>
      <c r="AH826" s="34">
        <f t="shared" si="702"/>
        <v>0</v>
      </c>
      <c r="AI826" s="34">
        <f t="shared" si="703"/>
        <v>0</v>
      </c>
      <c r="AJ826" s="34">
        <f t="shared" si="704"/>
        <v>0</v>
      </c>
      <c r="AK826" s="34">
        <f t="shared" si="705"/>
        <v>0</v>
      </c>
      <c r="AL826" s="34">
        <f t="shared" si="706"/>
        <v>0</v>
      </c>
      <c r="AM826" s="34">
        <f t="shared" si="707"/>
        <v>0</v>
      </c>
      <c r="AN826" s="34">
        <f t="shared" si="708"/>
        <v>0</v>
      </c>
      <c r="AO826" s="34">
        <f t="shared" si="709"/>
        <v>0</v>
      </c>
      <c r="AP826" s="34">
        <f t="shared" si="710"/>
        <v>0</v>
      </c>
      <c r="AQ826" s="34">
        <f t="shared" si="711"/>
        <v>0</v>
      </c>
      <c r="AR826" s="34">
        <f t="shared" si="712"/>
        <v>0</v>
      </c>
      <c r="AS826" s="30">
        <f t="shared" si="713"/>
        <v>1.9770338450539378</v>
      </c>
      <c r="AT826" s="29">
        <f t="shared" si="714"/>
        <v>0</v>
      </c>
      <c r="AU826" s="29">
        <f t="shared" si="715"/>
        <v>0</v>
      </c>
      <c r="AV826" s="34">
        <f t="shared" si="716"/>
        <v>0</v>
      </c>
      <c r="AW826" s="34">
        <f t="shared" si="717"/>
        <v>0</v>
      </c>
      <c r="AX826" s="29">
        <f t="shared" si="718"/>
        <v>0</v>
      </c>
      <c r="AY826" s="34">
        <f t="shared" si="719"/>
        <v>0</v>
      </c>
      <c r="AZ826" s="37">
        <f t="shared" si="720"/>
        <v>0</v>
      </c>
      <c r="BA826" s="37">
        <f t="shared" si="721"/>
        <v>0</v>
      </c>
      <c r="BB826" s="35">
        <f t="shared" si="722"/>
        <v>1.4180543909447785E-3</v>
      </c>
      <c r="BC826" s="31">
        <f t="shared" si="723"/>
        <v>0.31198036717178007</v>
      </c>
      <c r="BD826" s="34">
        <f t="shared" si="724"/>
        <v>0</v>
      </c>
    </row>
    <row r="827" spans="1:56" x14ac:dyDescent="0.2">
      <c r="A827" s="27">
        <f t="shared" si="725"/>
        <v>823</v>
      </c>
      <c r="B827" s="28">
        <f t="shared" si="672"/>
        <v>823</v>
      </c>
      <c r="C827" s="27">
        <f t="shared" si="673"/>
        <v>68</v>
      </c>
      <c r="D827" s="28">
        <f t="shared" si="674"/>
        <v>88</v>
      </c>
      <c r="E827" s="29">
        <f t="shared" si="675"/>
        <v>0</v>
      </c>
      <c r="F827" s="30">
        <f t="shared" si="676"/>
        <v>3.6868959003222609E-2</v>
      </c>
      <c r="G827" s="31">
        <f t="shared" si="677"/>
        <v>3.125588532639223E-3</v>
      </c>
      <c r="H827" s="32">
        <f t="shared" si="678"/>
        <v>0.02</v>
      </c>
      <c r="I827" s="32">
        <f t="shared" si="679"/>
        <v>0</v>
      </c>
      <c r="J827" s="33">
        <f t="shared" si="726"/>
        <v>0</v>
      </c>
      <c r="K827" s="30">
        <f t="shared" si="680"/>
        <v>0</v>
      </c>
      <c r="L827" s="33">
        <f t="shared" si="681"/>
        <v>0</v>
      </c>
      <c r="M827" s="30">
        <f t="shared" si="682"/>
        <v>0</v>
      </c>
      <c r="N827" s="33">
        <f t="shared" si="683"/>
        <v>0</v>
      </c>
      <c r="O827" s="31">
        <f t="shared" si="684"/>
        <v>0</v>
      </c>
      <c r="P827" s="33">
        <f t="shared" si="685"/>
        <v>0</v>
      </c>
      <c r="Q827" s="34">
        <f t="shared" si="727"/>
        <v>824366.12460949854</v>
      </c>
      <c r="R827" s="29">
        <f t="shared" si="686"/>
        <v>0</v>
      </c>
      <c r="S827" s="34">
        <f t="shared" si="687"/>
        <v>824366.12460949854</v>
      </c>
      <c r="T827" s="29">
        <f t="shared" si="688"/>
        <v>686.97177050791549</v>
      </c>
      <c r="U827" s="29">
        <f t="shared" si="689"/>
        <v>0</v>
      </c>
      <c r="V827" s="35">
        <f t="shared" si="690"/>
        <v>3.4381473859031457E-3</v>
      </c>
      <c r="W827" s="34">
        <f t="shared" si="691"/>
        <v>0</v>
      </c>
      <c r="X827" s="34">
        <f t="shared" si="692"/>
        <v>823679.15283899067</v>
      </c>
      <c r="Y827" s="36">
        <f t="shared" si="693"/>
        <v>-4.8588881810373019E-3</v>
      </c>
      <c r="Z827" s="34">
        <f t="shared" si="694"/>
        <v>-4002.1649006961893</v>
      </c>
      <c r="AA827" s="34">
        <f t="shared" si="695"/>
        <v>821678.07038864261</v>
      </c>
      <c r="AB827" s="34">
        <f t="shared" si="696"/>
        <v>0</v>
      </c>
      <c r="AC827" s="34">
        <f t="shared" si="697"/>
        <v>0</v>
      </c>
      <c r="AD827" s="34">
        <f t="shared" si="698"/>
        <v>0</v>
      </c>
      <c r="AE827" s="34">
        <f t="shared" si="699"/>
        <v>0</v>
      </c>
      <c r="AF827" s="34">
        <f t="shared" si="700"/>
        <v>0</v>
      </c>
      <c r="AG827" s="29">
        <f t="shared" si="701"/>
        <v>821678.07038864261</v>
      </c>
      <c r="AH827" s="34">
        <f t="shared" si="702"/>
        <v>0</v>
      </c>
      <c r="AI827" s="34">
        <f t="shared" si="703"/>
        <v>0</v>
      </c>
      <c r="AJ827" s="34">
        <f t="shared" si="704"/>
        <v>0</v>
      </c>
      <c r="AK827" s="34">
        <f t="shared" si="705"/>
        <v>0</v>
      </c>
      <c r="AL827" s="34">
        <f t="shared" si="706"/>
        <v>0</v>
      </c>
      <c r="AM827" s="34">
        <f t="shared" si="707"/>
        <v>0</v>
      </c>
      <c r="AN827" s="34">
        <f t="shared" si="708"/>
        <v>0</v>
      </c>
      <c r="AO827" s="34">
        <f t="shared" si="709"/>
        <v>0</v>
      </c>
      <c r="AP827" s="34">
        <f t="shared" si="710"/>
        <v>0</v>
      </c>
      <c r="AQ827" s="34">
        <f t="shared" si="711"/>
        <v>0</v>
      </c>
      <c r="AR827" s="34">
        <f t="shared" si="712"/>
        <v>0</v>
      </c>
      <c r="AS827" s="30">
        <f t="shared" si="713"/>
        <v>1.9786738699817625</v>
      </c>
      <c r="AT827" s="29">
        <f t="shared" si="714"/>
        <v>0</v>
      </c>
      <c r="AU827" s="29">
        <f t="shared" si="715"/>
        <v>0</v>
      </c>
      <c r="AV827" s="34">
        <f t="shared" si="716"/>
        <v>0</v>
      </c>
      <c r="AW827" s="34">
        <f t="shared" si="717"/>
        <v>0</v>
      </c>
      <c r="AX827" s="29">
        <f t="shared" si="718"/>
        <v>0</v>
      </c>
      <c r="AY827" s="34">
        <f t="shared" si="719"/>
        <v>0</v>
      </c>
      <c r="AZ827" s="37">
        <f t="shared" si="720"/>
        <v>0</v>
      </c>
      <c r="BA827" s="37">
        <f t="shared" si="721"/>
        <v>0</v>
      </c>
      <c r="BB827" s="35">
        <f t="shared" si="722"/>
        <v>1.4180543909447785E-3</v>
      </c>
      <c r="BC827" s="31">
        <f t="shared" si="723"/>
        <v>0.31153858850839694</v>
      </c>
      <c r="BD827" s="34">
        <f t="shared" si="724"/>
        <v>0</v>
      </c>
    </row>
    <row r="828" spans="1:56" x14ac:dyDescent="0.2">
      <c r="A828" s="27">
        <f t="shared" si="725"/>
        <v>824</v>
      </c>
      <c r="B828" s="28">
        <f t="shared" si="672"/>
        <v>824</v>
      </c>
      <c r="C828" s="27">
        <f t="shared" si="673"/>
        <v>68</v>
      </c>
      <c r="D828" s="28">
        <f t="shared" si="674"/>
        <v>88</v>
      </c>
      <c r="E828" s="29">
        <f t="shared" si="675"/>
        <v>0</v>
      </c>
      <c r="F828" s="30">
        <f t="shared" si="676"/>
        <v>3.6868959003222609E-2</v>
      </c>
      <c r="G828" s="31">
        <f t="shared" si="677"/>
        <v>3.125588532639223E-3</v>
      </c>
      <c r="H828" s="32">
        <f t="shared" si="678"/>
        <v>0.02</v>
      </c>
      <c r="I828" s="32">
        <f t="shared" si="679"/>
        <v>0</v>
      </c>
      <c r="J828" s="33">
        <f t="shared" si="726"/>
        <v>0</v>
      </c>
      <c r="K828" s="30">
        <f t="shared" si="680"/>
        <v>0</v>
      </c>
      <c r="L828" s="33">
        <f t="shared" si="681"/>
        <v>0</v>
      </c>
      <c r="M828" s="30">
        <f t="shared" si="682"/>
        <v>0</v>
      </c>
      <c r="N828" s="33">
        <f t="shared" si="683"/>
        <v>0</v>
      </c>
      <c r="O828" s="31">
        <f t="shared" si="684"/>
        <v>0</v>
      </c>
      <c r="P828" s="33">
        <f t="shared" si="685"/>
        <v>0</v>
      </c>
      <c r="Q828" s="34">
        <f t="shared" si="727"/>
        <v>819676.98793829454</v>
      </c>
      <c r="R828" s="29">
        <f t="shared" si="686"/>
        <v>0</v>
      </c>
      <c r="S828" s="34">
        <f t="shared" si="687"/>
        <v>819676.98793829454</v>
      </c>
      <c r="T828" s="29">
        <f t="shared" si="688"/>
        <v>683.06415661524545</v>
      </c>
      <c r="U828" s="29">
        <f t="shared" si="689"/>
        <v>0</v>
      </c>
      <c r="V828" s="35">
        <f t="shared" si="690"/>
        <v>3.4381473859031457E-3</v>
      </c>
      <c r="W828" s="34">
        <f t="shared" si="691"/>
        <v>0</v>
      </c>
      <c r="X828" s="34">
        <f t="shared" si="692"/>
        <v>818993.92378167924</v>
      </c>
      <c r="Y828" s="36">
        <f t="shared" si="693"/>
        <v>3.6999948401239546E-3</v>
      </c>
      <c r="Z828" s="34">
        <f t="shared" si="694"/>
        <v>3030.2732920850844</v>
      </c>
      <c r="AA828" s="34">
        <f t="shared" si="695"/>
        <v>820509.06042772182</v>
      </c>
      <c r="AB828" s="34">
        <f t="shared" si="696"/>
        <v>0</v>
      </c>
      <c r="AC828" s="34">
        <f t="shared" si="697"/>
        <v>0</v>
      </c>
      <c r="AD828" s="34">
        <f t="shared" si="698"/>
        <v>0</v>
      </c>
      <c r="AE828" s="34">
        <f t="shared" si="699"/>
        <v>0</v>
      </c>
      <c r="AF828" s="34">
        <f t="shared" si="700"/>
        <v>0</v>
      </c>
      <c r="AG828" s="29">
        <f t="shared" si="701"/>
        <v>820509.06042772182</v>
      </c>
      <c r="AH828" s="34">
        <f t="shared" si="702"/>
        <v>0</v>
      </c>
      <c r="AI828" s="34">
        <f t="shared" si="703"/>
        <v>0</v>
      </c>
      <c r="AJ828" s="34">
        <f t="shared" si="704"/>
        <v>0</v>
      </c>
      <c r="AK828" s="34">
        <f t="shared" si="705"/>
        <v>0</v>
      </c>
      <c r="AL828" s="34">
        <f t="shared" si="706"/>
        <v>0</v>
      </c>
      <c r="AM828" s="34">
        <f t="shared" si="707"/>
        <v>0</v>
      </c>
      <c r="AN828" s="34">
        <f t="shared" si="708"/>
        <v>0</v>
      </c>
      <c r="AO828" s="34">
        <f t="shared" si="709"/>
        <v>0</v>
      </c>
      <c r="AP828" s="34">
        <f t="shared" si="710"/>
        <v>0</v>
      </c>
      <c r="AQ828" s="34">
        <f t="shared" si="711"/>
        <v>0</v>
      </c>
      <c r="AR828" s="34">
        <f t="shared" si="712"/>
        <v>0</v>
      </c>
      <c r="AS828" s="30">
        <f t="shared" si="713"/>
        <v>1.9803152553727734</v>
      </c>
      <c r="AT828" s="29">
        <f t="shared" si="714"/>
        <v>0</v>
      </c>
      <c r="AU828" s="29">
        <f t="shared" si="715"/>
        <v>0</v>
      </c>
      <c r="AV828" s="34">
        <f t="shared" si="716"/>
        <v>0</v>
      </c>
      <c r="AW828" s="34">
        <f t="shared" si="717"/>
        <v>0</v>
      </c>
      <c r="AX828" s="29">
        <f t="shared" si="718"/>
        <v>0</v>
      </c>
      <c r="AY828" s="34">
        <f t="shared" si="719"/>
        <v>0</v>
      </c>
      <c r="AZ828" s="37">
        <f t="shared" si="720"/>
        <v>0</v>
      </c>
      <c r="BA828" s="37">
        <f t="shared" si="721"/>
        <v>0</v>
      </c>
      <c r="BB828" s="35">
        <f t="shared" si="722"/>
        <v>1.4180543909447785E-3</v>
      </c>
      <c r="BC828" s="31">
        <f t="shared" si="723"/>
        <v>0.31109743542408214</v>
      </c>
      <c r="BD828" s="34">
        <f t="shared" si="724"/>
        <v>0</v>
      </c>
    </row>
    <row r="829" spans="1:56" x14ac:dyDescent="0.2">
      <c r="A829" s="27">
        <f t="shared" si="725"/>
        <v>825</v>
      </c>
      <c r="B829" s="28">
        <f t="shared" si="672"/>
        <v>825</v>
      </c>
      <c r="C829" s="27">
        <f t="shared" si="673"/>
        <v>68</v>
      </c>
      <c r="D829" s="28">
        <f t="shared" si="674"/>
        <v>88</v>
      </c>
      <c r="E829" s="29">
        <f t="shared" si="675"/>
        <v>0</v>
      </c>
      <c r="F829" s="30">
        <f t="shared" si="676"/>
        <v>3.6868959003222609E-2</v>
      </c>
      <c r="G829" s="31">
        <f t="shared" si="677"/>
        <v>3.125588532639223E-3</v>
      </c>
      <c r="H829" s="32">
        <f t="shared" si="678"/>
        <v>0.02</v>
      </c>
      <c r="I829" s="32">
        <f t="shared" si="679"/>
        <v>0</v>
      </c>
      <c r="J829" s="33">
        <f t="shared" si="726"/>
        <v>0</v>
      </c>
      <c r="K829" s="30">
        <f t="shared" si="680"/>
        <v>0</v>
      </c>
      <c r="L829" s="33">
        <f t="shared" si="681"/>
        <v>0</v>
      </c>
      <c r="M829" s="30">
        <f t="shared" si="682"/>
        <v>0</v>
      </c>
      <c r="N829" s="33">
        <f t="shared" si="683"/>
        <v>0</v>
      </c>
      <c r="O829" s="31">
        <f t="shared" si="684"/>
        <v>0</v>
      </c>
      <c r="P829" s="33">
        <f t="shared" si="685"/>
        <v>0</v>
      </c>
      <c r="Q829" s="34">
        <f t="shared" si="727"/>
        <v>822024.19707376428</v>
      </c>
      <c r="R829" s="29">
        <f t="shared" si="686"/>
        <v>0</v>
      </c>
      <c r="S829" s="34">
        <f t="shared" si="687"/>
        <v>822024.19707376428</v>
      </c>
      <c r="T829" s="29">
        <f t="shared" si="688"/>
        <v>685.02016422813699</v>
      </c>
      <c r="U829" s="29">
        <f t="shared" si="689"/>
        <v>0</v>
      </c>
      <c r="V829" s="35">
        <f t="shared" si="690"/>
        <v>3.4381473859031457E-3</v>
      </c>
      <c r="W829" s="34">
        <f t="shared" si="691"/>
        <v>0</v>
      </c>
      <c r="X829" s="34">
        <f t="shared" si="692"/>
        <v>821339.17690953612</v>
      </c>
      <c r="Y829" s="36">
        <f t="shared" si="693"/>
        <v>6.2938686885960493E-4</v>
      </c>
      <c r="Z829" s="34">
        <f t="shared" si="694"/>
        <v>516.94009282681805</v>
      </c>
      <c r="AA829" s="34">
        <f t="shared" si="695"/>
        <v>821597.64695594949</v>
      </c>
      <c r="AB829" s="34">
        <f t="shared" si="696"/>
        <v>0</v>
      </c>
      <c r="AC829" s="34">
        <f t="shared" si="697"/>
        <v>0</v>
      </c>
      <c r="AD829" s="34">
        <f t="shared" si="698"/>
        <v>0</v>
      </c>
      <c r="AE829" s="34">
        <f t="shared" si="699"/>
        <v>0</v>
      </c>
      <c r="AF829" s="34">
        <f t="shared" si="700"/>
        <v>0</v>
      </c>
      <c r="AG829" s="29">
        <f t="shared" si="701"/>
        <v>821597.64695594949</v>
      </c>
      <c r="AH829" s="34">
        <f t="shared" si="702"/>
        <v>0</v>
      </c>
      <c r="AI829" s="34">
        <f t="shared" si="703"/>
        <v>0</v>
      </c>
      <c r="AJ829" s="34">
        <f t="shared" si="704"/>
        <v>0</v>
      </c>
      <c r="AK829" s="34">
        <f t="shared" si="705"/>
        <v>0</v>
      </c>
      <c r="AL829" s="34">
        <f t="shared" si="706"/>
        <v>0</v>
      </c>
      <c r="AM829" s="34">
        <f t="shared" si="707"/>
        <v>0</v>
      </c>
      <c r="AN829" s="34">
        <f t="shared" si="708"/>
        <v>0</v>
      </c>
      <c r="AO829" s="34">
        <f t="shared" si="709"/>
        <v>0</v>
      </c>
      <c r="AP829" s="34">
        <f t="shared" si="710"/>
        <v>0</v>
      </c>
      <c r="AQ829" s="34">
        <f t="shared" si="711"/>
        <v>0</v>
      </c>
      <c r="AR829" s="34">
        <f t="shared" si="712"/>
        <v>0</v>
      </c>
      <c r="AS829" s="30">
        <f t="shared" si="713"/>
        <v>1.9819580023555263</v>
      </c>
      <c r="AT829" s="29">
        <f t="shared" si="714"/>
        <v>0</v>
      </c>
      <c r="AU829" s="29">
        <f t="shared" si="715"/>
        <v>0</v>
      </c>
      <c r="AV829" s="34">
        <f t="shared" si="716"/>
        <v>0</v>
      </c>
      <c r="AW829" s="34">
        <f t="shared" si="717"/>
        <v>0</v>
      </c>
      <c r="AX829" s="29">
        <f t="shared" si="718"/>
        <v>0</v>
      </c>
      <c r="AY829" s="34">
        <f t="shared" si="719"/>
        <v>0</v>
      </c>
      <c r="AZ829" s="37">
        <f t="shared" si="720"/>
        <v>0</v>
      </c>
      <c r="BA829" s="37">
        <f t="shared" si="721"/>
        <v>0</v>
      </c>
      <c r="BB829" s="35">
        <f t="shared" si="722"/>
        <v>1.4180543909447785E-3</v>
      </c>
      <c r="BC829" s="31">
        <f t="shared" si="723"/>
        <v>0.31065690703298671</v>
      </c>
      <c r="BD829" s="34">
        <f t="shared" si="724"/>
        <v>0</v>
      </c>
    </row>
    <row r="830" spans="1:56" x14ac:dyDescent="0.2">
      <c r="A830" s="27">
        <f t="shared" si="725"/>
        <v>826</v>
      </c>
      <c r="B830" s="28">
        <f t="shared" si="672"/>
        <v>826</v>
      </c>
      <c r="C830" s="27">
        <f t="shared" si="673"/>
        <v>68</v>
      </c>
      <c r="D830" s="28">
        <f t="shared" si="674"/>
        <v>88</v>
      </c>
      <c r="E830" s="29">
        <f t="shared" si="675"/>
        <v>0</v>
      </c>
      <c r="F830" s="30">
        <f t="shared" si="676"/>
        <v>3.6868959003222609E-2</v>
      </c>
      <c r="G830" s="31">
        <f t="shared" si="677"/>
        <v>3.125588532639223E-3</v>
      </c>
      <c r="H830" s="32">
        <f t="shared" si="678"/>
        <v>0.02</v>
      </c>
      <c r="I830" s="32">
        <f t="shared" si="679"/>
        <v>0</v>
      </c>
      <c r="J830" s="33">
        <f t="shared" si="726"/>
        <v>0</v>
      </c>
      <c r="K830" s="30">
        <f t="shared" si="680"/>
        <v>0</v>
      </c>
      <c r="L830" s="33">
        <f t="shared" si="681"/>
        <v>0</v>
      </c>
      <c r="M830" s="30">
        <f t="shared" si="682"/>
        <v>0</v>
      </c>
      <c r="N830" s="33">
        <f t="shared" si="683"/>
        <v>0</v>
      </c>
      <c r="O830" s="31">
        <f t="shared" si="684"/>
        <v>0</v>
      </c>
      <c r="P830" s="33">
        <f t="shared" si="685"/>
        <v>0</v>
      </c>
      <c r="Q830" s="34">
        <f t="shared" si="727"/>
        <v>821856.11700236297</v>
      </c>
      <c r="R830" s="29">
        <f t="shared" si="686"/>
        <v>0</v>
      </c>
      <c r="S830" s="34">
        <f t="shared" si="687"/>
        <v>821856.11700236297</v>
      </c>
      <c r="T830" s="29">
        <f t="shared" si="688"/>
        <v>684.8800975019692</v>
      </c>
      <c r="U830" s="29">
        <f t="shared" si="689"/>
        <v>0</v>
      </c>
      <c r="V830" s="35">
        <f t="shared" si="690"/>
        <v>3.4381473859031457E-3</v>
      </c>
      <c r="W830" s="34">
        <f t="shared" si="691"/>
        <v>0</v>
      </c>
      <c r="X830" s="34">
        <f t="shared" si="692"/>
        <v>821171.23690486106</v>
      </c>
      <c r="Y830" s="36">
        <f t="shared" si="693"/>
        <v>1.8837415101573329E-2</v>
      </c>
      <c r="Z830" s="34">
        <f t="shared" si="694"/>
        <v>15468.743459049279</v>
      </c>
      <c r="AA830" s="34">
        <f t="shared" si="695"/>
        <v>828905.60863438575</v>
      </c>
      <c r="AB830" s="34">
        <f t="shared" si="696"/>
        <v>0</v>
      </c>
      <c r="AC830" s="34">
        <f t="shared" si="697"/>
        <v>0</v>
      </c>
      <c r="AD830" s="34">
        <f t="shared" si="698"/>
        <v>0</v>
      </c>
      <c r="AE830" s="34">
        <f t="shared" si="699"/>
        <v>0</v>
      </c>
      <c r="AF830" s="34">
        <f t="shared" si="700"/>
        <v>0</v>
      </c>
      <c r="AG830" s="29">
        <f t="shared" si="701"/>
        <v>828905.60863438575</v>
      </c>
      <c r="AH830" s="34">
        <f t="shared" si="702"/>
        <v>0</v>
      </c>
      <c r="AI830" s="34">
        <f t="shared" si="703"/>
        <v>0</v>
      </c>
      <c r="AJ830" s="34">
        <f t="shared" si="704"/>
        <v>0</v>
      </c>
      <c r="AK830" s="34">
        <f t="shared" si="705"/>
        <v>0</v>
      </c>
      <c r="AL830" s="34">
        <f t="shared" si="706"/>
        <v>0</v>
      </c>
      <c r="AM830" s="34">
        <f t="shared" si="707"/>
        <v>0</v>
      </c>
      <c r="AN830" s="34">
        <f t="shared" si="708"/>
        <v>0</v>
      </c>
      <c r="AO830" s="34">
        <f t="shared" si="709"/>
        <v>0</v>
      </c>
      <c r="AP830" s="34">
        <f t="shared" si="710"/>
        <v>0</v>
      </c>
      <c r="AQ830" s="34">
        <f t="shared" si="711"/>
        <v>0</v>
      </c>
      <c r="AR830" s="34">
        <f t="shared" si="712"/>
        <v>0</v>
      </c>
      <c r="AS830" s="30">
        <f t="shared" si="713"/>
        <v>1.9836021120595138</v>
      </c>
      <c r="AT830" s="29">
        <f t="shared" si="714"/>
        <v>0</v>
      </c>
      <c r="AU830" s="29">
        <f t="shared" si="715"/>
        <v>0</v>
      </c>
      <c r="AV830" s="34">
        <f t="shared" si="716"/>
        <v>0</v>
      </c>
      <c r="AW830" s="34">
        <f t="shared" si="717"/>
        <v>0</v>
      </c>
      <c r="AX830" s="29">
        <f t="shared" si="718"/>
        <v>0</v>
      </c>
      <c r="AY830" s="34">
        <f t="shared" si="719"/>
        <v>0</v>
      </c>
      <c r="AZ830" s="37">
        <f t="shared" si="720"/>
        <v>0</v>
      </c>
      <c r="BA830" s="37">
        <f t="shared" si="721"/>
        <v>0</v>
      </c>
      <c r="BB830" s="35">
        <f t="shared" si="722"/>
        <v>1.4180543909447785E-3</v>
      </c>
      <c r="BC830" s="31">
        <f t="shared" si="723"/>
        <v>0.31021700245051603</v>
      </c>
      <c r="BD830" s="34">
        <f t="shared" si="724"/>
        <v>0</v>
      </c>
    </row>
    <row r="831" spans="1:56" x14ac:dyDescent="0.2">
      <c r="A831" s="27">
        <f t="shared" si="725"/>
        <v>827</v>
      </c>
      <c r="B831" s="28">
        <f t="shared" si="672"/>
        <v>827</v>
      </c>
      <c r="C831" s="27">
        <f t="shared" si="673"/>
        <v>68</v>
      </c>
      <c r="D831" s="28">
        <f t="shared" si="674"/>
        <v>88</v>
      </c>
      <c r="E831" s="29">
        <f t="shared" si="675"/>
        <v>0</v>
      </c>
      <c r="F831" s="30">
        <f t="shared" si="676"/>
        <v>3.6868959003222609E-2</v>
      </c>
      <c r="G831" s="31">
        <f t="shared" si="677"/>
        <v>3.125588532639223E-3</v>
      </c>
      <c r="H831" s="32">
        <f t="shared" si="678"/>
        <v>0.02</v>
      </c>
      <c r="I831" s="32">
        <f t="shared" si="679"/>
        <v>0</v>
      </c>
      <c r="J831" s="33">
        <f t="shared" si="726"/>
        <v>0</v>
      </c>
      <c r="K831" s="30">
        <f t="shared" si="680"/>
        <v>0</v>
      </c>
      <c r="L831" s="33">
        <f t="shared" si="681"/>
        <v>0</v>
      </c>
      <c r="M831" s="30">
        <f t="shared" si="682"/>
        <v>0</v>
      </c>
      <c r="N831" s="33">
        <f t="shared" si="683"/>
        <v>0</v>
      </c>
      <c r="O831" s="31">
        <f t="shared" si="684"/>
        <v>0</v>
      </c>
      <c r="P831" s="33">
        <f t="shared" si="685"/>
        <v>0</v>
      </c>
      <c r="Q831" s="34">
        <f t="shared" si="727"/>
        <v>836639.98036391032</v>
      </c>
      <c r="R831" s="29">
        <f t="shared" si="686"/>
        <v>0</v>
      </c>
      <c r="S831" s="34">
        <f t="shared" si="687"/>
        <v>836639.98036391032</v>
      </c>
      <c r="T831" s="29">
        <f t="shared" si="688"/>
        <v>697.19998363659192</v>
      </c>
      <c r="U831" s="29">
        <f t="shared" si="689"/>
        <v>0</v>
      </c>
      <c r="V831" s="35">
        <f t="shared" si="690"/>
        <v>3.4381473859031457E-3</v>
      </c>
      <c r="W831" s="34">
        <f t="shared" si="691"/>
        <v>0</v>
      </c>
      <c r="X831" s="34">
        <f t="shared" si="692"/>
        <v>835942.7803802737</v>
      </c>
      <c r="Y831" s="36">
        <f t="shared" si="693"/>
        <v>-1.8990871298427692E-3</v>
      </c>
      <c r="Z831" s="34">
        <f t="shared" si="694"/>
        <v>-1587.5281755051583</v>
      </c>
      <c r="AA831" s="34">
        <f t="shared" si="695"/>
        <v>835149.01629252115</v>
      </c>
      <c r="AB831" s="34">
        <f t="shared" si="696"/>
        <v>0</v>
      </c>
      <c r="AC831" s="34">
        <f t="shared" si="697"/>
        <v>0</v>
      </c>
      <c r="AD831" s="34">
        <f t="shared" si="698"/>
        <v>0</v>
      </c>
      <c r="AE831" s="34">
        <f t="shared" si="699"/>
        <v>0</v>
      </c>
      <c r="AF831" s="34">
        <f t="shared" si="700"/>
        <v>0</v>
      </c>
      <c r="AG831" s="29">
        <f t="shared" si="701"/>
        <v>835149.01629252115</v>
      </c>
      <c r="AH831" s="34">
        <f t="shared" si="702"/>
        <v>0</v>
      </c>
      <c r="AI831" s="34">
        <f t="shared" si="703"/>
        <v>0</v>
      </c>
      <c r="AJ831" s="34">
        <f t="shared" si="704"/>
        <v>0</v>
      </c>
      <c r="AK831" s="34">
        <f t="shared" si="705"/>
        <v>0</v>
      </c>
      <c r="AL831" s="34">
        <f t="shared" si="706"/>
        <v>0</v>
      </c>
      <c r="AM831" s="34">
        <f t="shared" si="707"/>
        <v>0</v>
      </c>
      <c r="AN831" s="34">
        <f t="shared" si="708"/>
        <v>0</v>
      </c>
      <c r="AO831" s="34">
        <f t="shared" si="709"/>
        <v>0</v>
      </c>
      <c r="AP831" s="34">
        <f t="shared" si="710"/>
        <v>0</v>
      </c>
      <c r="AQ831" s="34">
        <f t="shared" si="711"/>
        <v>0</v>
      </c>
      <c r="AR831" s="34">
        <f t="shared" si="712"/>
        <v>0</v>
      </c>
      <c r="AS831" s="30">
        <f t="shared" si="713"/>
        <v>1.985247585615165</v>
      </c>
      <c r="AT831" s="29">
        <f t="shared" si="714"/>
        <v>0</v>
      </c>
      <c r="AU831" s="29">
        <f t="shared" si="715"/>
        <v>0</v>
      </c>
      <c r="AV831" s="34">
        <f t="shared" si="716"/>
        <v>0</v>
      </c>
      <c r="AW831" s="34">
        <f t="shared" si="717"/>
        <v>0</v>
      </c>
      <c r="AX831" s="29">
        <f t="shared" si="718"/>
        <v>0</v>
      </c>
      <c r="AY831" s="34">
        <f t="shared" si="719"/>
        <v>0</v>
      </c>
      <c r="AZ831" s="37">
        <f t="shared" si="720"/>
        <v>0</v>
      </c>
      <c r="BA831" s="37">
        <f t="shared" si="721"/>
        <v>0</v>
      </c>
      <c r="BB831" s="35">
        <f t="shared" si="722"/>
        <v>1.4180543909447785E-3</v>
      </c>
      <c r="BC831" s="31">
        <f t="shared" si="723"/>
        <v>0.30977772079332827</v>
      </c>
      <c r="BD831" s="34">
        <f t="shared" si="724"/>
        <v>0</v>
      </c>
    </row>
    <row r="832" spans="1:56" x14ac:dyDescent="0.2">
      <c r="A832" s="27">
        <f t="shared" si="725"/>
        <v>828</v>
      </c>
      <c r="B832" s="28">
        <f t="shared" si="672"/>
        <v>828</v>
      </c>
      <c r="C832" s="27">
        <f t="shared" si="673"/>
        <v>69</v>
      </c>
      <c r="D832" s="28">
        <f t="shared" si="674"/>
        <v>89</v>
      </c>
      <c r="E832" s="29">
        <f t="shared" si="675"/>
        <v>0</v>
      </c>
      <c r="F832" s="30">
        <f t="shared" si="676"/>
        <v>4.1541171154164128E-2</v>
      </c>
      <c r="G832" s="31">
        <f t="shared" si="677"/>
        <v>3.5294792893217908E-3</v>
      </c>
      <c r="H832" s="32">
        <f t="shared" si="678"/>
        <v>0.02</v>
      </c>
      <c r="I832" s="32">
        <f t="shared" si="679"/>
        <v>0</v>
      </c>
      <c r="J832" s="33">
        <f t="shared" si="726"/>
        <v>0</v>
      </c>
      <c r="K832" s="30">
        <f t="shared" si="680"/>
        <v>0</v>
      </c>
      <c r="L832" s="33">
        <f t="shared" si="681"/>
        <v>0</v>
      </c>
      <c r="M832" s="30">
        <f t="shared" si="682"/>
        <v>0</v>
      </c>
      <c r="N832" s="33">
        <f t="shared" si="683"/>
        <v>0</v>
      </c>
      <c r="O832" s="31">
        <f t="shared" si="684"/>
        <v>0</v>
      </c>
      <c r="P832" s="33">
        <f t="shared" si="685"/>
        <v>0</v>
      </c>
      <c r="Q832" s="34">
        <f t="shared" si="727"/>
        <v>834355.25220476859</v>
      </c>
      <c r="R832" s="29">
        <f t="shared" si="686"/>
        <v>0</v>
      </c>
      <c r="S832" s="34">
        <f t="shared" si="687"/>
        <v>834355.25220476859</v>
      </c>
      <c r="T832" s="29">
        <f t="shared" si="688"/>
        <v>695.29604350397392</v>
      </c>
      <c r="U832" s="29">
        <f t="shared" si="689"/>
        <v>0</v>
      </c>
      <c r="V832" s="35">
        <f t="shared" si="690"/>
        <v>3.8824272182539704E-3</v>
      </c>
      <c r="W832" s="34">
        <f t="shared" si="691"/>
        <v>0</v>
      </c>
      <c r="X832" s="34">
        <f t="shared" si="692"/>
        <v>833659.95616126456</v>
      </c>
      <c r="Y832" s="36">
        <f t="shared" si="693"/>
        <v>1.440509134061263E-2</v>
      </c>
      <c r="Z832" s="34">
        <f t="shared" si="694"/>
        <v>12008.947815514137</v>
      </c>
      <c r="AA832" s="34">
        <f t="shared" si="695"/>
        <v>839664.43006902165</v>
      </c>
      <c r="AB832" s="34">
        <f t="shared" si="696"/>
        <v>0</v>
      </c>
      <c r="AC832" s="34">
        <f t="shared" si="697"/>
        <v>0</v>
      </c>
      <c r="AD832" s="34">
        <f t="shared" si="698"/>
        <v>0</v>
      </c>
      <c r="AE832" s="34">
        <f t="shared" si="699"/>
        <v>0</v>
      </c>
      <c r="AF832" s="34">
        <f t="shared" si="700"/>
        <v>0</v>
      </c>
      <c r="AG832" s="29">
        <f t="shared" si="701"/>
        <v>839664.43006902165</v>
      </c>
      <c r="AH832" s="34">
        <f t="shared" si="702"/>
        <v>0</v>
      </c>
      <c r="AI832" s="34">
        <f t="shared" si="703"/>
        <v>0</v>
      </c>
      <c r="AJ832" s="34">
        <f t="shared" si="704"/>
        <v>0</v>
      </c>
      <c r="AK832" s="34">
        <f t="shared" si="705"/>
        <v>0</v>
      </c>
      <c r="AL832" s="34">
        <f t="shared" si="706"/>
        <v>0</v>
      </c>
      <c r="AM832" s="34">
        <f t="shared" si="707"/>
        <v>0</v>
      </c>
      <c r="AN832" s="34">
        <f t="shared" si="708"/>
        <v>0</v>
      </c>
      <c r="AO832" s="34">
        <f t="shared" si="709"/>
        <v>0</v>
      </c>
      <c r="AP832" s="34">
        <f t="shared" si="710"/>
        <v>0</v>
      </c>
      <c r="AQ832" s="34">
        <f t="shared" si="711"/>
        <v>0</v>
      </c>
      <c r="AR832" s="34">
        <f t="shared" si="712"/>
        <v>0</v>
      </c>
      <c r="AS832" s="30">
        <f t="shared" si="713"/>
        <v>1.9868944241538466</v>
      </c>
      <c r="AT832" s="29">
        <f t="shared" si="714"/>
        <v>0</v>
      </c>
      <c r="AU832" s="29">
        <f t="shared" si="715"/>
        <v>0</v>
      </c>
      <c r="AV832" s="34">
        <f t="shared" si="716"/>
        <v>0</v>
      </c>
      <c r="AW832" s="34">
        <f t="shared" si="717"/>
        <v>0</v>
      </c>
      <c r="AX832" s="29">
        <f t="shared" si="718"/>
        <v>0</v>
      </c>
      <c r="AY832" s="34">
        <f t="shared" si="719"/>
        <v>0</v>
      </c>
      <c r="AZ832" s="37">
        <f t="shared" si="720"/>
        <v>0</v>
      </c>
      <c r="BA832" s="37">
        <f t="shared" si="721"/>
        <v>0</v>
      </c>
      <c r="BB832" s="35">
        <f t="shared" si="722"/>
        <v>1.4451250317559783E-3</v>
      </c>
      <c r="BC832" s="31">
        <f t="shared" si="723"/>
        <v>0.30249220622077505</v>
      </c>
      <c r="BD832" s="34">
        <f t="shared" si="724"/>
        <v>0</v>
      </c>
    </row>
    <row r="833" spans="1:56" x14ac:dyDescent="0.2">
      <c r="A833" s="27">
        <f t="shared" si="725"/>
        <v>829</v>
      </c>
      <c r="B833" s="28">
        <f t="shared" si="672"/>
        <v>829</v>
      </c>
      <c r="C833" s="27">
        <f t="shared" si="673"/>
        <v>69</v>
      </c>
      <c r="D833" s="28">
        <f t="shared" si="674"/>
        <v>89</v>
      </c>
      <c r="E833" s="29">
        <f t="shared" si="675"/>
        <v>0</v>
      </c>
      <c r="F833" s="30">
        <f t="shared" si="676"/>
        <v>4.1541171154164128E-2</v>
      </c>
      <c r="G833" s="31">
        <f t="shared" si="677"/>
        <v>3.5294792893217908E-3</v>
      </c>
      <c r="H833" s="32">
        <f t="shared" si="678"/>
        <v>0.02</v>
      </c>
      <c r="I833" s="32">
        <f t="shared" si="679"/>
        <v>0</v>
      </c>
      <c r="J833" s="33">
        <f t="shared" si="726"/>
        <v>0</v>
      </c>
      <c r="K833" s="30">
        <f t="shared" si="680"/>
        <v>0</v>
      </c>
      <c r="L833" s="33">
        <f t="shared" si="681"/>
        <v>0</v>
      </c>
      <c r="M833" s="30">
        <f t="shared" si="682"/>
        <v>0</v>
      </c>
      <c r="N833" s="33">
        <f t="shared" si="683"/>
        <v>0</v>
      </c>
      <c r="O833" s="31">
        <f t="shared" si="684"/>
        <v>0</v>
      </c>
      <c r="P833" s="33">
        <f t="shared" si="685"/>
        <v>0</v>
      </c>
      <c r="Q833" s="34">
        <f t="shared" si="727"/>
        <v>845668.90397677873</v>
      </c>
      <c r="R833" s="29">
        <f t="shared" si="686"/>
        <v>0</v>
      </c>
      <c r="S833" s="34">
        <f t="shared" si="687"/>
        <v>845668.90397677873</v>
      </c>
      <c r="T833" s="29">
        <f t="shared" si="688"/>
        <v>704.72408664731563</v>
      </c>
      <c r="U833" s="29">
        <f t="shared" si="689"/>
        <v>0</v>
      </c>
      <c r="V833" s="35">
        <f t="shared" si="690"/>
        <v>3.8824272182539704E-3</v>
      </c>
      <c r="W833" s="34">
        <f t="shared" si="691"/>
        <v>0</v>
      </c>
      <c r="X833" s="34">
        <f t="shared" si="692"/>
        <v>844964.17989013146</v>
      </c>
      <c r="Y833" s="36">
        <f t="shared" si="693"/>
        <v>-4.6974871224914061E-3</v>
      </c>
      <c r="Z833" s="34">
        <f t="shared" si="694"/>
        <v>-3969.2083540004046</v>
      </c>
      <c r="AA833" s="34">
        <f t="shared" si="695"/>
        <v>842979.57571313123</v>
      </c>
      <c r="AB833" s="34">
        <f t="shared" si="696"/>
        <v>0</v>
      </c>
      <c r="AC833" s="34">
        <f t="shared" si="697"/>
        <v>0</v>
      </c>
      <c r="AD833" s="34">
        <f t="shared" si="698"/>
        <v>0</v>
      </c>
      <c r="AE833" s="34">
        <f t="shared" si="699"/>
        <v>0</v>
      </c>
      <c r="AF833" s="34">
        <f t="shared" si="700"/>
        <v>0</v>
      </c>
      <c r="AG833" s="29">
        <f t="shared" si="701"/>
        <v>842979.57571313123</v>
      </c>
      <c r="AH833" s="34">
        <f t="shared" si="702"/>
        <v>0</v>
      </c>
      <c r="AI833" s="34">
        <f t="shared" si="703"/>
        <v>0</v>
      </c>
      <c r="AJ833" s="34">
        <f t="shared" si="704"/>
        <v>0</v>
      </c>
      <c r="AK833" s="34">
        <f t="shared" si="705"/>
        <v>0</v>
      </c>
      <c r="AL833" s="34">
        <f t="shared" si="706"/>
        <v>0</v>
      </c>
      <c r="AM833" s="34">
        <f t="shared" si="707"/>
        <v>0</v>
      </c>
      <c r="AN833" s="34">
        <f t="shared" si="708"/>
        <v>0</v>
      </c>
      <c r="AO833" s="34">
        <f t="shared" si="709"/>
        <v>0</v>
      </c>
      <c r="AP833" s="34">
        <f t="shared" si="710"/>
        <v>0</v>
      </c>
      <c r="AQ833" s="34">
        <f t="shared" si="711"/>
        <v>0</v>
      </c>
      <c r="AR833" s="34">
        <f t="shared" si="712"/>
        <v>0</v>
      </c>
      <c r="AS833" s="30">
        <f t="shared" si="713"/>
        <v>1.988542628807864</v>
      </c>
      <c r="AT833" s="29">
        <f t="shared" si="714"/>
        <v>0</v>
      </c>
      <c r="AU833" s="29">
        <f t="shared" si="715"/>
        <v>0</v>
      </c>
      <c r="AV833" s="34">
        <f t="shared" si="716"/>
        <v>0</v>
      </c>
      <c r="AW833" s="34">
        <f t="shared" si="717"/>
        <v>0</v>
      </c>
      <c r="AX833" s="29">
        <f t="shared" si="718"/>
        <v>0</v>
      </c>
      <c r="AY833" s="34">
        <f t="shared" si="719"/>
        <v>0</v>
      </c>
      <c r="AZ833" s="37">
        <f t="shared" si="720"/>
        <v>0</v>
      </c>
      <c r="BA833" s="37">
        <f t="shared" si="721"/>
        <v>0</v>
      </c>
      <c r="BB833" s="35">
        <f t="shared" si="722"/>
        <v>1.4451250317559783E-3</v>
      </c>
      <c r="BC833" s="31">
        <f t="shared" si="723"/>
        <v>0.30205569797065313</v>
      </c>
      <c r="BD833" s="34">
        <f t="shared" si="724"/>
        <v>0</v>
      </c>
    </row>
    <row r="834" spans="1:56" x14ac:dyDescent="0.2">
      <c r="A834" s="27">
        <f t="shared" si="725"/>
        <v>830</v>
      </c>
      <c r="B834" s="28">
        <f t="shared" si="672"/>
        <v>830</v>
      </c>
      <c r="C834" s="27">
        <f t="shared" si="673"/>
        <v>69</v>
      </c>
      <c r="D834" s="28">
        <f t="shared" si="674"/>
        <v>89</v>
      </c>
      <c r="E834" s="29">
        <f t="shared" si="675"/>
        <v>0</v>
      </c>
      <c r="F834" s="30">
        <f t="shared" si="676"/>
        <v>4.1541171154164128E-2</v>
      </c>
      <c r="G834" s="31">
        <f t="shared" si="677"/>
        <v>3.5294792893217908E-3</v>
      </c>
      <c r="H834" s="32">
        <f t="shared" si="678"/>
        <v>0.02</v>
      </c>
      <c r="I834" s="32">
        <f t="shared" si="679"/>
        <v>0</v>
      </c>
      <c r="J834" s="33">
        <f t="shared" si="726"/>
        <v>0</v>
      </c>
      <c r="K834" s="30">
        <f t="shared" si="680"/>
        <v>0</v>
      </c>
      <c r="L834" s="33">
        <f t="shared" si="681"/>
        <v>0</v>
      </c>
      <c r="M834" s="30">
        <f t="shared" si="682"/>
        <v>0</v>
      </c>
      <c r="N834" s="33">
        <f t="shared" si="683"/>
        <v>0</v>
      </c>
      <c r="O834" s="31">
        <f t="shared" si="684"/>
        <v>0</v>
      </c>
      <c r="P834" s="33">
        <f t="shared" si="685"/>
        <v>0</v>
      </c>
      <c r="Q834" s="34">
        <f t="shared" si="727"/>
        <v>840994.97153613111</v>
      </c>
      <c r="R834" s="29">
        <f t="shared" si="686"/>
        <v>0</v>
      </c>
      <c r="S834" s="34">
        <f t="shared" si="687"/>
        <v>840994.97153613111</v>
      </c>
      <c r="T834" s="29">
        <f t="shared" si="688"/>
        <v>700.82914294677596</v>
      </c>
      <c r="U834" s="29">
        <f t="shared" si="689"/>
        <v>0</v>
      </c>
      <c r="V834" s="35">
        <f t="shared" si="690"/>
        <v>3.8824272182539704E-3</v>
      </c>
      <c r="W834" s="34">
        <f t="shared" si="691"/>
        <v>0</v>
      </c>
      <c r="X834" s="34">
        <f t="shared" si="692"/>
        <v>840294.14239318436</v>
      </c>
      <c r="Y834" s="36">
        <f t="shared" si="693"/>
        <v>5.8895431712560065E-3</v>
      </c>
      <c r="Z834" s="34">
        <f t="shared" si="694"/>
        <v>4948.948628178201</v>
      </c>
      <c r="AA834" s="34">
        <f t="shared" si="695"/>
        <v>842768.61670727341</v>
      </c>
      <c r="AB834" s="34">
        <f t="shared" si="696"/>
        <v>0</v>
      </c>
      <c r="AC834" s="34">
        <f t="shared" si="697"/>
        <v>0</v>
      </c>
      <c r="AD834" s="34">
        <f t="shared" si="698"/>
        <v>0</v>
      </c>
      <c r="AE834" s="34">
        <f t="shared" si="699"/>
        <v>0</v>
      </c>
      <c r="AF834" s="34">
        <f t="shared" si="700"/>
        <v>0</v>
      </c>
      <c r="AG834" s="29">
        <f t="shared" si="701"/>
        <v>842768.61670727341</v>
      </c>
      <c r="AH834" s="34">
        <f t="shared" si="702"/>
        <v>0</v>
      </c>
      <c r="AI834" s="34">
        <f t="shared" si="703"/>
        <v>0</v>
      </c>
      <c r="AJ834" s="34">
        <f t="shared" si="704"/>
        <v>0</v>
      </c>
      <c r="AK834" s="34">
        <f t="shared" si="705"/>
        <v>0</v>
      </c>
      <c r="AL834" s="34">
        <f t="shared" si="706"/>
        <v>0</v>
      </c>
      <c r="AM834" s="34">
        <f t="shared" si="707"/>
        <v>0</v>
      </c>
      <c r="AN834" s="34">
        <f t="shared" si="708"/>
        <v>0</v>
      </c>
      <c r="AO834" s="34">
        <f t="shared" si="709"/>
        <v>0</v>
      </c>
      <c r="AP834" s="34">
        <f t="shared" si="710"/>
        <v>0</v>
      </c>
      <c r="AQ834" s="34">
        <f t="shared" si="711"/>
        <v>0</v>
      </c>
      <c r="AR834" s="34">
        <f t="shared" si="712"/>
        <v>0</v>
      </c>
      <c r="AS834" s="30">
        <f t="shared" si="713"/>
        <v>1.9901922007104627</v>
      </c>
      <c r="AT834" s="29">
        <f t="shared" si="714"/>
        <v>0</v>
      </c>
      <c r="AU834" s="29">
        <f t="shared" si="715"/>
        <v>0</v>
      </c>
      <c r="AV834" s="34">
        <f t="shared" si="716"/>
        <v>0</v>
      </c>
      <c r="AW834" s="34">
        <f t="shared" si="717"/>
        <v>0</v>
      </c>
      <c r="AX834" s="29">
        <f t="shared" si="718"/>
        <v>0</v>
      </c>
      <c r="AY834" s="34">
        <f t="shared" si="719"/>
        <v>0</v>
      </c>
      <c r="AZ834" s="37">
        <f t="shared" si="720"/>
        <v>0</v>
      </c>
      <c r="BA834" s="37">
        <f t="shared" si="721"/>
        <v>0</v>
      </c>
      <c r="BB834" s="35">
        <f t="shared" si="722"/>
        <v>1.4451250317559783E-3</v>
      </c>
      <c r="BC834" s="31">
        <f t="shared" si="723"/>
        <v>0.30161981961924766</v>
      </c>
      <c r="BD834" s="34">
        <f t="shared" si="724"/>
        <v>0</v>
      </c>
    </row>
    <row r="835" spans="1:56" x14ac:dyDescent="0.2">
      <c r="A835" s="27">
        <f t="shared" si="725"/>
        <v>831</v>
      </c>
      <c r="B835" s="28">
        <f t="shared" si="672"/>
        <v>831</v>
      </c>
      <c r="C835" s="27">
        <f t="shared" si="673"/>
        <v>69</v>
      </c>
      <c r="D835" s="28">
        <f t="shared" si="674"/>
        <v>89</v>
      </c>
      <c r="E835" s="29">
        <f t="shared" si="675"/>
        <v>0</v>
      </c>
      <c r="F835" s="30">
        <f t="shared" si="676"/>
        <v>4.1541171154164128E-2</v>
      </c>
      <c r="G835" s="31">
        <f t="shared" si="677"/>
        <v>3.5294792893217908E-3</v>
      </c>
      <c r="H835" s="32">
        <f t="shared" si="678"/>
        <v>0.02</v>
      </c>
      <c r="I835" s="32">
        <f t="shared" si="679"/>
        <v>0</v>
      </c>
      <c r="J835" s="33">
        <f t="shared" si="726"/>
        <v>0</v>
      </c>
      <c r="K835" s="30">
        <f t="shared" si="680"/>
        <v>0</v>
      </c>
      <c r="L835" s="33">
        <f t="shared" si="681"/>
        <v>0</v>
      </c>
      <c r="M835" s="30">
        <f t="shared" si="682"/>
        <v>0</v>
      </c>
      <c r="N835" s="33">
        <f t="shared" si="683"/>
        <v>0</v>
      </c>
      <c r="O835" s="31">
        <f t="shared" si="684"/>
        <v>0</v>
      </c>
      <c r="P835" s="33">
        <f t="shared" si="685"/>
        <v>0</v>
      </c>
      <c r="Q835" s="34">
        <f t="shared" si="727"/>
        <v>845243.09102136258</v>
      </c>
      <c r="R835" s="29">
        <f t="shared" si="686"/>
        <v>0</v>
      </c>
      <c r="S835" s="34">
        <f t="shared" si="687"/>
        <v>845243.09102136258</v>
      </c>
      <c r="T835" s="29">
        <f t="shared" si="688"/>
        <v>704.36924251780215</v>
      </c>
      <c r="U835" s="29">
        <f t="shared" si="689"/>
        <v>0</v>
      </c>
      <c r="V835" s="35">
        <f t="shared" si="690"/>
        <v>3.8824272182539704E-3</v>
      </c>
      <c r="W835" s="34">
        <f t="shared" si="691"/>
        <v>0</v>
      </c>
      <c r="X835" s="34">
        <f t="shared" si="692"/>
        <v>844538.72177884472</v>
      </c>
      <c r="Y835" s="36">
        <f t="shared" si="693"/>
        <v>-5.3841412018408308E-3</v>
      </c>
      <c r="Z835" s="34">
        <f t="shared" si="694"/>
        <v>-4547.1157284794681</v>
      </c>
      <c r="AA835" s="34">
        <f t="shared" si="695"/>
        <v>842265.16391460493</v>
      </c>
      <c r="AB835" s="34">
        <f t="shared" si="696"/>
        <v>0</v>
      </c>
      <c r="AC835" s="34">
        <f t="shared" si="697"/>
        <v>0</v>
      </c>
      <c r="AD835" s="34">
        <f t="shared" si="698"/>
        <v>0</v>
      </c>
      <c r="AE835" s="34">
        <f t="shared" si="699"/>
        <v>0</v>
      </c>
      <c r="AF835" s="34">
        <f t="shared" si="700"/>
        <v>0</v>
      </c>
      <c r="AG835" s="29">
        <f t="shared" si="701"/>
        <v>842265.16391460493</v>
      </c>
      <c r="AH835" s="34">
        <f t="shared" si="702"/>
        <v>0</v>
      </c>
      <c r="AI835" s="34">
        <f t="shared" si="703"/>
        <v>0</v>
      </c>
      <c r="AJ835" s="34">
        <f t="shared" si="704"/>
        <v>0</v>
      </c>
      <c r="AK835" s="34">
        <f t="shared" si="705"/>
        <v>0</v>
      </c>
      <c r="AL835" s="34">
        <f t="shared" si="706"/>
        <v>0</v>
      </c>
      <c r="AM835" s="34">
        <f t="shared" si="707"/>
        <v>0</v>
      </c>
      <c r="AN835" s="34">
        <f t="shared" si="708"/>
        <v>0</v>
      </c>
      <c r="AO835" s="34">
        <f t="shared" si="709"/>
        <v>0</v>
      </c>
      <c r="AP835" s="34">
        <f t="shared" si="710"/>
        <v>0</v>
      </c>
      <c r="AQ835" s="34">
        <f t="shared" si="711"/>
        <v>0</v>
      </c>
      <c r="AR835" s="34">
        <f t="shared" si="712"/>
        <v>0</v>
      </c>
      <c r="AS835" s="30">
        <f t="shared" si="713"/>
        <v>1.9918431409958264</v>
      </c>
      <c r="AT835" s="29">
        <f t="shared" si="714"/>
        <v>0</v>
      </c>
      <c r="AU835" s="29">
        <f t="shared" si="715"/>
        <v>0</v>
      </c>
      <c r="AV835" s="34">
        <f t="shared" si="716"/>
        <v>0</v>
      </c>
      <c r="AW835" s="34">
        <f t="shared" si="717"/>
        <v>0</v>
      </c>
      <c r="AX835" s="29">
        <f t="shared" si="718"/>
        <v>0</v>
      </c>
      <c r="AY835" s="34">
        <f t="shared" si="719"/>
        <v>0</v>
      </c>
      <c r="AZ835" s="37">
        <f t="shared" si="720"/>
        <v>0</v>
      </c>
      <c r="BA835" s="37">
        <f t="shared" si="721"/>
        <v>0</v>
      </c>
      <c r="BB835" s="35">
        <f t="shared" si="722"/>
        <v>1.4451250317559783E-3</v>
      </c>
      <c r="BC835" s="31">
        <f t="shared" si="723"/>
        <v>0.30118457025758982</v>
      </c>
      <c r="BD835" s="34">
        <f t="shared" si="724"/>
        <v>0</v>
      </c>
    </row>
    <row r="836" spans="1:56" x14ac:dyDescent="0.2">
      <c r="A836" s="27">
        <f t="shared" si="725"/>
        <v>832</v>
      </c>
      <c r="B836" s="28">
        <f t="shared" ref="B836:B899" si="728">Duration0+A836</f>
        <v>832</v>
      </c>
      <c r="C836" s="27">
        <f t="shared" ref="C836:C899" si="729">INT(B836/12)</f>
        <v>69</v>
      </c>
      <c r="D836" s="28">
        <f t="shared" ref="D836:D899" si="730">AgeAtEntry+C836</f>
        <v>89</v>
      </c>
      <c r="E836" s="29">
        <f t="shared" ref="E836:E899" si="731">IF(PremiumType="SINGLE",IF(B836=0,PremiumPPInput,0),IF(B836&lt;12*PolicyTerm,PremiumPPInput,0))</f>
        <v>0</v>
      </c>
      <c r="F836" s="30">
        <f t="shared" ref="F836:F899" si="732">INDEX(MortRates,MATCH(MIN(D836,120),MortAges,0),MAX(MIN(C836,5),0)+1)</f>
        <v>4.1541171154164128E-2</v>
      </c>
      <c r="G836" s="31">
        <f t="shared" ref="G836:G899" si="733">1-(1-F836)^(1/12)</f>
        <v>3.5294792893217908E-3</v>
      </c>
      <c r="H836" s="32">
        <f t="shared" ref="H836:H899" si="734">MAX(LapseBase-LapseStep*C836,LapseFloor)</f>
        <v>0.02</v>
      </c>
      <c r="I836" s="32">
        <f t="shared" ref="I836:I899" si="735">IF(HasSurrCharge,INDEX(SurrRates,MIN(C836,SurrDurMax)+1,MATCH(SurrChargeID,SurrTypes,0)),0)</f>
        <v>0</v>
      </c>
      <c r="J836" s="33">
        <f t="shared" si="726"/>
        <v>0</v>
      </c>
      <c r="K836" s="30">
        <f t="shared" ref="K836:K899" si="736">IF(B836=12*PolicyTerm,J836,0)</f>
        <v>0</v>
      </c>
      <c r="L836" s="33">
        <f t="shared" ref="L836:L899" si="737">J836-K836</f>
        <v>0</v>
      </c>
      <c r="M836" s="30">
        <f t="shared" ref="M836:M899" si="738">IF(B836=0,PolicyCount,0)</f>
        <v>0</v>
      </c>
      <c r="N836" s="33">
        <f t="shared" ref="N836:N899" si="739">L836+M836</f>
        <v>0</v>
      </c>
      <c r="O836" s="31">
        <f t="shared" ref="O836:O899" si="740">N836*G836</f>
        <v>0</v>
      </c>
      <c r="P836" s="33">
        <f t="shared" ref="P836:P899" si="741">(N836-O836)*(1-(1-H836)^(1/12))</f>
        <v>0</v>
      </c>
      <c r="Q836" s="34">
        <f t="shared" si="727"/>
        <v>839991.60605036526</v>
      </c>
      <c r="R836" s="29">
        <f t="shared" ref="R836:R899" si="742">(1-LoadPremRate)*E836</f>
        <v>0</v>
      </c>
      <c r="S836" s="34">
        <f t="shared" ref="S836:S899" si="743">Q836+R836</f>
        <v>839991.60605036526</v>
      </c>
      <c r="T836" s="29">
        <f t="shared" ref="T836:T899" si="744">MaintFeeRateAnn/12*S836</f>
        <v>699.99300504197106</v>
      </c>
      <c r="U836" s="29">
        <f t="shared" ref="U836:U899" si="745">MAX(SumAssured-S836,0)</f>
        <v>0</v>
      </c>
      <c r="V836" s="35">
        <f t="shared" ref="V836:V899" si="746">CoiMultiple*G836</f>
        <v>3.8824272182539704E-3</v>
      </c>
      <c r="W836" s="34">
        <f t="shared" ref="W836:W899" si="747">V836*U836</f>
        <v>0</v>
      </c>
      <c r="X836" s="34">
        <f t="shared" ref="X836:X899" si="748">S836-T836-W836</f>
        <v>839291.61304532329</v>
      </c>
      <c r="Y836" s="36">
        <f t="shared" ref="Y836:Y899" si="749">EXP((Mu-0.5*Sigma^2)/12+Sigma*SQRT(1/12)*INDEX(NormRand,ScenID,A836+1))-1</f>
        <v>-5.898101501038977E-3</v>
      </c>
      <c r="Z836" s="34">
        <f t="shared" ref="Z836:Z899" si="750">Y836*X836</f>
        <v>-4950.2271227120455</v>
      </c>
      <c r="AA836" s="34">
        <f t="shared" ref="AA836:AA899" si="751">X836+0.5*Z836</f>
        <v>836816.49948396732</v>
      </c>
      <c r="AB836" s="34">
        <f t="shared" ref="AB836:AB899" si="752">Q836*J836</f>
        <v>0</v>
      </c>
      <c r="AC836" s="34">
        <f t="shared" ref="AC836:AC899" si="753">Q836*L836</f>
        <v>0</v>
      </c>
      <c r="AD836" s="34">
        <f t="shared" ref="AD836:AD899" si="754">S836*N836</f>
        <v>0</v>
      </c>
      <c r="AE836" s="34">
        <f t="shared" ref="AE836:AE899" si="755">E836*N836</f>
        <v>0</v>
      </c>
      <c r="AF836" s="34">
        <f t="shared" ref="AF836:AF899" si="756">R836*N836</f>
        <v>0</v>
      </c>
      <c r="AG836" s="29">
        <f t="shared" ref="AG836:AG899" si="757">MAX(SumAssured,AA836)</f>
        <v>836816.49948396732</v>
      </c>
      <c r="AH836" s="34">
        <f t="shared" ref="AH836:AH899" si="758">AG836*O836</f>
        <v>0</v>
      </c>
      <c r="AI836" s="34">
        <f t="shared" ref="AI836:AI899" si="759">AA836*O836</f>
        <v>0</v>
      </c>
      <c r="AJ836" s="34">
        <f t="shared" ref="AJ836:AJ899" si="760">AA836*P836</f>
        <v>0</v>
      </c>
      <c r="AK836" s="34">
        <f t="shared" ref="AK836:AK899" si="761">I836*AA836*P836</f>
        <v>0</v>
      </c>
      <c r="AL836" s="34">
        <f t="shared" ref="AL836:AL899" si="762">AJ836-AK836</f>
        <v>0</v>
      </c>
      <c r="AM836" s="34">
        <f t="shared" ref="AM836:AM899" si="763">Q836*K836</f>
        <v>0</v>
      </c>
      <c r="AN836" s="34">
        <f t="shared" ref="AN836:AN899" si="764">AH836+AL836+AM836</f>
        <v>0</v>
      </c>
      <c r="AO836" s="34">
        <f t="shared" ref="AO836:AO899" si="765">(AG836-AA836)*O836</f>
        <v>0</v>
      </c>
      <c r="AP836" s="34">
        <f t="shared" ref="AP836:AP899" si="766">W836*N836</f>
        <v>0</v>
      </c>
      <c r="AQ836" s="34">
        <f t="shared" ref="AQ836:AQ899" si="767">T836*N836</f>
        <v>0</v>
      </c>
      <c r="AR836" s="34">
        <f t="shared" ref="AR836:AR899" si="768">Z836*J837+0.5*Z836*(O836+P836)</f>
        <v>0</v>
      </c>
      <c r="AS836" s="30">
        <f t="shared" ref="AS836:AS899" si="769">(1+InflationRate)^(A836/12)</f>
        <v>1.9934954507990814</v>
      </c>
      <c r="AT836" s="29">
        <f t="shared" ref="AT836:AT899" si="770">ExpenseAcq*M836+N836*ExpenseMaint/12*AS836</f>
        <v>0</v>
      </c>
      <c r="AU836" s="29">
        <f t="shared" ref="AU836:AU899" si="771">CommissionRate*AE836</f>
        <v>0</v>
      </c>
      <c r="AV836" s="34">
        <f t="shared" ref="AV836:AV899" si="772">AB837-AB836</f>
        <v>0</v>
      </c>
      <c r="AW836" s="34">
        <f t="shared" ref="AW836:AW899" si="773">AE836+AR836-AN836-AT836-AU836-AV836</f>
        <v>0</v>
      </c>
      <c r="AX836" s="29">
        <f t="shared" ref="AX836:AX899" si="774">LoadPremRate*E836*N836+AK836+AQ836-AU836-AT836</f>
        <v>0</v>
      </c>
      <c r="AY836" s="34">
        <f t="shared" ref="AY836:AY899" si="775">AP836-AO836</f>
        <v>0</v>
      </c>
      <c r="AZ836" s="37">
        <f t="shared" ref="AZ836:AZ899" si="776">(AW836-AX836-AY836)/MAX(1,ABS(AW836),ABS(AX836),ABS(AY836))</f>
        <v>0</v>
      </c>
      <c r="BA836" s="37">
        <f t="shared" ref="BA836:BA899" si="777">IF(OR(K836&gt;0,K837&gt;0),0,(AC837-(AC836+AF836-AQ836-AP836+AR836-AI836-AJ836-AM836))/MAX(1,ABS(AC836),ABS(AC837)))</f>
        <v>0</v>
      </c>
      <c r="BB836" s="35">
        <f t="shared" ref="BB836:BB899" si="778">(1+INDEX(DiscRateAnn,INT(A836/12)+1))^(1/12)-1</f>
        <v>1.4451250317559783E-3</v>
      </c>
      <c r="BC836" s="31">
        <f t="shared" ref="BC836:BC899" si="779">(1+BB836)^-A836</f>
        <v>0.30074994897802221</v>
      </c>
      <c r="BD836" s="34">
        <f t="shared" ref="BD836:BD899" si="780">AW836*BC836</f>
        <v>0</v>
      </c>
    </row>
    <row r="837" spans="1:56" x14ac:dyDescent="0.2">
      <c r="A837" s="27">
        <f t="shared" ref="A837:A900" si="781">A836+1</f>
        <v>833</v>
      </c>
      <c r="B837" s="28">
        <f t="shared" si="728"/>
        <v>833</v>
      </c>
      <c r="C837" s="27">
        <f t="shared" si="729"/>
        <v>69</v>
      </c>
      <c r="D837" s="28">
        <f t="shared" si="730"/>
        <v>89</v>
      </c>
      <c r="E837" s="29">
        <f t="shared" si="731"/>
        <v>0</v>
      </c>
      <c r="F837" s="30">
        <f t="shared" si="732"/>
        <v>4.1541171154164128E-2</v>
      </c>
      <c r="G837" s="31">
        <f t="shared" si="733"/>
        <v>3.5294792893217908E-3</v>
      </c>
      <c r="H837" s="32">
        <f t="shared" si="734"/>
        <v>0.02</v>
      </c>
      <c r="I837" s="32">
        <f t="shared" si="735"/>
        <v>0</v>
      </c>
      <c r="J837" s="33">
        <f t="shared" ref="J837:J900" si="782">N836-P836-O836</f>
        <v>0</v>
      </c>
      <c r="K837" s="30">
        <f t="shared" si="736"/>
        <v>0</v>
      </c>
      <c r="L837" s="33">
        <f t="shared" si="737"/>
        <v>0</v>
      </c>
      <c r="M837" s="30">
        <f t="shared" si="738"/>
        <v>0</v>
      </c>
      <c r="N837" s="33">
        <f t="shared" si="739"/>
        <v>0</v>
      </c>
      <c r="O837" s="31">
        <f t="shared" si="740"/>
        <v>0</v>
      </c>
      <c r="P837" s="33">
        <f t="shared" si="741"/>
        <v>0</v>
      </c>
      <c r="Q837" s="34">
        <f t="shared" ref="Q837:Q900" si="783">X836+Z836</f>
        <v>834341.38592261123</v>
      </c>
      <c r="R837" s="29">
        <f t="shared" si="742"/>
        <v>0</v>
      </c>
      <c r="S837" s="34">
        <f t="shared" si="743"/>
        <v>834341.38592261123</v>
      </c>
      <c r="T837" s="29">
        <f t="shared" si="744"/>
        <v>695.28448826884278</v>
      </c>
      <c r="U837" s="29">
        <f t="shared" si="745"/>
        <v>0</v>
      </c>
      <c r="V837" s="35">
        <f t="shared" si="746"/>
        <v>3.8824272182539704E-3</v>
      </c>
      <c r="W837" s="34">
        <f t="shared" si="747"/>
        <v>0</v>
      </c>
      <c r="X837" s="34">
        <f t="shared" si="748"/>
        <v>833646.10143434233</v>
      </c>
      <c r="Y837" s="36">
        <f t="shared" si="749"/>
        <v>2.267766656501391E-2</v>
      </c>
      <c r="Z837" s="34">
        <f t="shared" si="750"/>
        <v>18905.14832155178</v>
      </c>
      <c r="AA837" s="34">
        <f t="shared" si="751"/>
        <v>843098.6755951182</v>
      </c>
      <c r="AB837" s="34">
        <f t="shared" si="752"/>
        <v>0</v>
      </c>
      <c r="AC837" s="34">
        <f t="shared" si="753"/>
        <v>0</v>
      </c>
      <c r="AD837" s="34">
        <f t="shared" si="754"/>
        <v>0</v>
      </c>
      <c r="AE837" s="34">
        <f t="shared" si="755"/>
        <v>0</v>
      </c>
      <c r="AF837" s="34">
        <f t="shared" si="756"/>
        <v>0</v>
      </c>
      <c r="AG837" s="29">
        <f t="shared" si="757"/>
        <v>843098.6755951182</v>
      </c>
      <c r="AH837" s="34">
        <f t="shared" si="758"/>
        <v>0</v>
      </c>
      <c r="AI837" s="34">
        <f t="shared" si="759"/>
        <v>0</v>
      </c>
      <c r="AJ837" s="34">
        <f t="shared" si="760"/>
        <v>0</v>
      </c>
      <c r="AK837" s="34">
        <f t="shared" si="761"/>
        <v>0</v>
      </c>
      <c r="AL837" s="34">
        <f t="shared" si="762"/>
        <v>0</v>
      </c>
      <c r="AM837" s="34">
        <f t="shared" si="763"/>
        <v>0</v>
      </c>
      <c r="AN837" s="34">
        <f t="shared" si="764"/>
        <v>0</v>
      </c>
      <c r="AO837" s="34">
        <f t="shared" si="765"/>
        <v>0</v>
      </c>
      <c r="AP837" s="34">
        <f t="shared" si="766"/>
        <v>0</v>
      </c>
      <c r="AQ837" s="34">
        <f t="shared" si="767"/>
        <v>0</v>
      </c>
      <c r="AR837" s="34">
        <f t="shared" si="768"/>
        <v>0</v>
      </c>
      <c r="AS837" s="30">
        <f t="shared" si="769"/>
        <v>1.9951491312562954</v>
      </c>
      <c r="AT837" s="29">
        <f t="shared" si="770"/>
        <v>0</v>
      </c>
      <c r="AU837" s="29">
        <f t="shared" si="771"/>
        <v>0</v>
      </c>
      <c r="AV837" s="34">
        <f t="shared" si="772"/>
        <v>0</v>
      </c>
      <c r="AW837" s="34">
        <f t="shared" si="773"/>
        <v>0</v>
      </c>
      <c r="AX837" s="29">
        <f t="shared" si="774"/>
        <v>0</v>
      </c>
      <c r="AY837" s="34">
        <f t="shared" si="775"/>
        <v>0</v>
      </c>
      <c r="AZ837" s="37">
        <f t="shared" si="776"/>
        <v>0</v>
      </c>
      <c r="BA837" s="37">
        <f t="shared" si="777"/>
        <v>0</v>
      </c>
      <c r="BB837" s="35">
        <f t="shared" si="778"/>
        <v>1.4451250317559783E-3</v>
      </c>
      <c r="BC837" s="31">
        <f t="shared" si="779"/>
        <v>0.30031595487419777</v>
      </c>
      <c r="BD837" s="34">
        <f t="shared" si="780"/>
        <v>0</v>
      </c>
    </row>
    <row r="838" spans="1:56" x14ac:dyDescent="0.2">
      <c r="A838" s="27">
        <f t="shared" si="781"/>
        <v>834</v>
      </c>
      <c r="B838" s="28">
        <f t="shared" si="728"/>
        <v>834</v>
      </c>
      <c r="C838" s="27">
        <f t="shared" si="729"/>
        <v>69</v>
      </c>
      <c r="D838" s="28">
        <f t="shared" si="730"/>
        <v>89</v>
      </c>
      <c r="E838" s="29">
        <f t="shared" si="731"/>
        <v>0</v>
      </c>
      <c r="F838" s="30">
        <f t="shared" si="732"/>
        <v>4.1541171154164128E-2</v>
      </c>
      <c r="G838" s="31">
        <f t="shared" si="733"/>
        <v>3.5294792893217908E-3</v>
      </c>
      <c r="H838" s="32">
        <f t="shared" si="734"/>
        <v>0.02</v>
      </c>
      <c r="I838" s="32">
        <f t="shared" si="735"/>
        <v>0</v>
      </c>
      <c r="J838" s="33">
        <f t="shared" si="782"/>
        <v>0</v>
      </c>
      <c r="K838" s="30">
        <f t="shared" si="736"/>
        <v>0</v>
      </c>
      <c r="L838" s="33">
        <f t="shared" si="737"/>
        <v>0</v>
      </c>
      <c r="M838" s="30">
        <f t="shared" si="738"/>
        <v>0</v>
      </c>
      <c r="N838" s="33">
        <f t="shared" si="739"/>
        <v>0</v>
      </c>
      <c r="O838" s="31">
        <f t="shared" si="740"/>
        <v>0</v>
      </c>
      <c r="P838" s="33">
        <f t="shared" si="741"/>
        <v>0</v>
      </c>
      <c r="Q838" s="34">
        <f t="shared" si="783"/>
        <v>852551.24975589407</v>
      </c>
      <c r="R838" s="29">
        <f t="shared" si="742"/>
        <v>0</v>
      </c>
      <c r="S838" s="34">
        <f t="shared" si="743"/>
        <v>852551.24975589407</v>
      </c>
      <c r="T838" s="29">
        <f t="shared" si="744"/>
        <v>710.45937479657846</v>
      </c>
      <c r="U838" s="29">
        <f t="shared" si="745"/>
        <v>0</v>
      </c>
      <c r="V838" s="35">
        <f t="shared" si="746"/>
        <v>3.8824272182539704E-3</v>
      </c>
      <c r="W838" s="34">
        <f t="shared" si="747"/>
        <v>0</v>
      </c>
      <c r="X838" s="34">
        <f t="shared" si="748"/>
        <v>851840.79038109747</v>
      </c>
      <c r="Y838" s="36">
        <f t="shared" si="749"/>
        <v>3.3258767599055883E-3</v>
      </c>
      <c r="Z838" s="34">
        <f t="shared" si="750"/>
        <v>2833.1174878680999</v>
      </c>
      <c r="AA838" s="34">
        <f t="shared" si="751"/>
        <v>853257.3491250315</v>
      </c>
      <c r="AB838" s="34">
        <f t="shared" si="752"/>
        <v>0</v>
      </c>
      <c r="AC838" s="34">
        <f t="shared" si="753"/>
        <v>0</v>
      </c>
      <c r="AD838" s="34">
        <f t="shared" si="754"/>
        <v>0</v>
      </c>
      <c r="AE838" s="34">
        <f t="shared" si="755"/>
        <v>0</v>
      </c>
      <c r="AF838" s="34">
        <f t="shared" si="756"/>
        <v>0</v>
      </c>
      <c r="AG838" s="29">
        <f t="shared" si="757"/>
        <v>853257.3491250315</v>
      </c>
      <c r="AH838" s="34">
        <f t="shared" si="758"/>
        <v>0</v>
      </c>
      <c r="AI838" s="34">
        <f t="shared" si="759"/>
        <v>0</v>
      </c>
      <c r="AJ838" s="34">
        <f t="shared" si="760"/>
        <v>0</v>
      </c>
      <c r="AK838" s="34">
        <f t="shared" si="761"/>
        <v>0</v>
      </c>
      <c r="AL838" s="34">
        <f t="shared" si="762"/>
        <v>0</v>
      </c>
      <c r="AM838" s="34">
        <f t="shared" si="763"/>
        <v>0</v>
      </c>
      <c r="AN838" s="34">
        <f t="shared" si="764"/>
        <v>0</v>
      </c>
      <c r="AO838" s="34">
        <f t="shared" si="765"/>
        <v>0</v>
      </c>
      <c r="AP838" s="34">
        <f t="shared" si="766"/>
        <v>0</v>
      </c>
      <c r="AQ838" s="34">
        <f t="shared" si="767"/>
        <v>0</v>
      </c>
      <c r="AR838" s="34">
        <f t="shared" si="768"/>
        <v>0</v>
      </c>
      <c r="AS838" s="30">
        <f t="shared" si="769"/>
        <v>1.9968041835044772</v>
      </c>
      <c r="AT838" s="29">
        <f t="shared" si="770"/>
        <v>0</v>
      </c>
      <c r="AU838" s="29">
        <f t="shared" si="771"/>
        <v>0</v>
      </c>
      <c r="AV838" s="34">
        <f t="shared" si="772"/>
        <v>0</v>
      </c>
      <c r="AW838" s="34">
        <f t="shared" si="773"/>
        <v>0</v>
      </c>
      <c r="AX838" s="29">
        <f t="shared" si="774"/>
        <v>0</v>
      </c>
      <c r="AY838" s="34">
        <f t="shared" si="775"/>
        <v>0</v>
      </c>
      <c r="AZ838" s="37">
        <f t="shared" si="776"/>
        <v>0</v>
      </c>
      <c r="BA838" s="37">
        <f t="shared" si="777"/>
        <v>0</v>
      </c>
      <c r="BB838" s="35">
        <f t="shared" si="778"/>
        <v>1.4451250317559783E-3</v>
      </c>
      <c r="BC838" s="31">
        <f t="shared" si="779"/>
        <v>0.29988258704107695</v>
      </c>
      <c r="BD838" s="34">
        <f t="shared" si="780"/>
        <v>0</v>
      </c>
    </row>
    <row r="839" spans="1:56" x14ac:dyDescent="0.2">
      <c r="A839" s="27">
        <f t="shared" si="781"/>
        <v>835</v>
      </c>
      <c r="B839" s="28">
        <f t="shared" si="728"/>
        <v>835</v>
      </c>
      <c r="C839" s="27">
        <f t="shared" si="729"/>
        <v>69</v>
      </c>
      <c r="D839" s="28">
        <f t="shared" si="730"/>
        <v>89</v>
      </c>
      <c r="E839" s="29">
        <f t="shared" si="731"/>
        <v>0</v>
      </c>
      <c r="F839" s="30">
        <f t="shared" si="732"/>
        <v>4.1541171154164128E-2</v>
      </c>
      <c r="G839" s="31">
        <f t="shared" si="733"/>
        <v>3.5294792893217908E-3</v>
      </c>
      <c r="H839" s="32">
        <f t="shared" si="734"/>
        <v>0.02</v>
      </c>
      <c r="I839" s="32">
        <f t="shared" si="735"/>
        <v>0</v>
      </c>
      <c r="J839" s="33">
        <f t="shared" si="782"/>
        <v>0</v>
      </c>
      <c r="K839" s="30">
        <f t="shared" si="736"/>
        <v>0</v>
      </c>
      <c r="L839" s="33">
        <f t="shared" si="737"/>
        <v>0</v>
      </c>
      <c r="M839" s="30">
        <f t="shared" si="738"/>
        <v>0</v>
      </c>
      <c r="N839" s="33">
        <f t="shared" si="739"/>
        <v>0</v>
      </c>
      <c r="O839" s="31">
        <f t="shared" si="740"/>
        <v>0</v>
      </c>
      <c r="P839" s="33">
        <f t="shared" si="741"/>
        <v>0</v>
      </c>
      <c r="Q839" s="34">
        <f t="shared" si="783"/>
        <v>854673.90786896553</v>
      </c>
      <c r="R839" s="29">
        <f t="shared" si="742"/>
        <v>0</v>
      </c>
      <c r="S839" s="34">
        <f t="shared" si="743"/>
        <v>854673.90786896553</v>
      </c>
      <c r="T839" s="29">
        <f t="shared" si="744"/>
        <v>712.22825655747135</v>
      </c>
      <c r="U839" s="29">
        <f t="shared" si="745"/>
        <v>0</v>
      </c>
      <c r="V839" s="35">
        <f t="shared" si="746"/>
        <v>3.8824272182539704E-3</v>
      </c>
      <c r="W839" s="34">
        <f t="shared" si="747"/>
        <v>0</v>
      </c>
      <c r="X839" s="34">
        <f t="shared" si="748"/>
        <v>853961.67961240804</v>
      </c>
      <c r="Y839" s="36">
        <f t="shared" si="749"/>
        <v>-9.1686168980664728E-4</v>
      </c>
      <c r="Z839" s="34">
        <f t="shared" si="750"/>
        <v>-782.96474859955515</v>
      </c>
      <c r="AA839" s="34">
        <f t="shared" si="751"/>
        <v>853570.19723810826</v>
      </c>
      <c r="AB839" s="34">
        <f t="shared" si="752"/>
        <v>0</v>
      </c>
      <c r="AC839" s="34">
        <f t="shared" si="753"/>
        <v>0</v>
      </c>
      <c r="AD839" s="34">
        <f t="shared" si="754"/>
        <v>0</v>
      </c>
      <c r="AE839" s="34">
        <f t="shared" si="755"/>
        <v>0</v>
      </c>
      <c r="AF839" s="34">
        <f t="shared" si="756"/>
        <v>0</v>
      </c>
      <c r="AG839" s="29">
        <f t="shared" si="757"/>
        <v>853570.19723810826</v>
      </c>
      <c r="AH839" s="34">
        <f t="shared" si="758"/>
        <v>0</v>
      </c>
      <c r="AI839" s="34">
        <f t="shared" si="759"/>
        <v>0</v>
      </c>
      <c r="AJ839" s="34">
        <f t="shared" si="760"/>
        <v>0</v>
      </c>
      <c r="AK839" s="34">
        <f t="shared" si="761"/>
        <v>0</v>
      </c>
      <c r="AL839" s="34">
        <f t="shared" si="762"/>
        <v>0</v>
      </c>
      <c r="AM839" s="34">
        <f t="shared" si="763"/>
        <v>0</v>
      </c>
      <c r="AN839" s="34">
        <f t="shared" si="764"/>
        <v>0</v>
      </c>
      <c r="AO839" s="34">
        <f t="shared" si="765"/>
        <v>0</v>
      </c>
      <c r="AP839" s="34">
        <f t="shared" si="766"/>
        <v>0</v>
      </c>
      <c r="AQ839" s="34">
        <f t="shared" si="767"/>
        <v>0</v>
      </c>
      <c r="AR839" s="34">
        <f t="shared" si="768"/>
        <v>0</v>
      </c>
      <c r="AS839" s="30">
        <f t="shared" si="769"/>
        <v>1.9984606086815802</v>
      </c>
      <c r="AT839" s="29">
        <f t="shared" si="770"/>
        <v>0</v>
      </c>
      <c r="AU839" s="29">
        <f t="shared" si="771"/>
        <v>0</v>
      </c>
      <c r="AV839" s="34">
        <f t="shared" si="772"/>
        <v>0</v>
      </c>
      <c r="AW839" s="34">
        <f t="shared" si="773"/>
        <v>0</v>
      </c>
      <c r="AX839" s="29">
        <f t="shared" si="774"/>
        <v>0</v>
      </c>
      <c r="AY839" s="34">
        <f t="shared" si="775"/>
        <v>0</v>
      </c>
      <c r="AZ839" s="37">
        <f t="shared" si="776"/>
        <v>0</v>
      </c>
      <c r="BA839" s="37">
        <f t="shared" si="777"/>
        <v>0</v>
      </c>
      <c r="BB839" s="35">
        <f t="shared" si="778"/>
        <v>1.4451250317559783E-3</v>
      </c>
      <c r="BC839" s="31">
        <f t="shared" si="779"/>
        <v>0.29944984457492629</v>
      </c>
      <c r="BD839" s="34">
        <f t="shared" si="780"/>
        <v>0</v>
      </c>
    </row>
    <row r="840" spans="1:56" x14ac:dyDescent="0.2">
      <c r="A840" s="27">
        <f t="shared" si="781"/>
        <v>836</v>
      </c>
      <c r="B840" s="28">
        <f t="shared" si="728"/>
        <v>836</v>
      </c>
      <c r="C840" s="27">
        <f t="shared" si="729"/>
        <v>69</v>
      </c>
      <c r="D840" s="28">
        <f t="shared" si="730"/>
        <v>89</v>
      </c>
      <c r="E840" s="29">
        <f t="shared" si="731"/>
        <v>0</v>
      </c>
      <c r="F840" s="30">
        <f t="shared" si="732"/>
        <v>4.1541171154164128E-2</v>
      </c>
      <c r="G840" s="31">
        <f t="shared" si="733"/>
        <v>3.5294792893217908E-3</v>
      </c>
      <c r="H840" s="32">
        <f t="shared" si="734"/>
        <v>0.02</v>
      </c>
      <c r="I840" s="32">
        <f t="shared" si="735"/>
        <v>0</v>
      </c>
      <c r="J840" s="33">
        <f t="shared" si="782"/>
        <v>0</v>
      </c>
      <c r="K840" s="30">
        <f t="shared" si="736"/>
        <v>0</v>
      </c>
      <c r="L840" s="33">
        <f t="shared" si="737"/>
        <v>0</v>
      </c>
      <c r="M840" s="30">
        <f t="shared" si="738"/>
        <v>0</v>
      </c>
      <c r="N840" s="33">
        <f t="shared" si="739"/>
        <v>0</v>
      </c>
      <c r="O840" s="31">
        <f t="shared" si="740"/>
        <v>0</v>
      </c>
      <c r="P840" s="33">
        <f t="shared" si="741"/>
        <v>0</v>
      </c>
      <c r="Q840" s="34">
        <f t="shared" si="783"/>
        <v>853178.71486380848</v>
      </c>
      <c r="R840" s="29">
        <f t="shared" si="742"/>
        <v>0</v>
      </c>
      <c r="S840" s="34">
        <f t="shared" si="743"/>
        <v>853178.71486380848</v>
      </c>
      <c r="T840" s="29">
        <f t="shared" si="744"/>
        <v>710.98226238650716</v>
      </c>
      <c r="U840" s="29">
        <f t="shared" si="745"/>
        <v>0</v>
      </c>
      <c r="V840" s="35">
        <f t="shared" si="746"/>
        <v>3.8824272182539704E-3</v>
      </c>
      <c r="W840" s="34">
        <f t="shared" si="747"/>
        <v>0</v>
      </c>
      <c r="X840" s="34">
        <f t="shared" si="748"/>
        <v>852467.732601422</v>
      </c>
      <c r="Y840" s="36">
        <f t="shared" si="749"/>
        <v>2.3127164022479718E-2</v>
      </c>
      <c r="Z840" s="34">
        <f t="shared" si="750"/>
        <v>19715.161075744469</v>
      </c>
      <c r="AA840" s="34">
        <f t="shared" si="751"/>
        <v>862325.31313929427</v>
      </c>
      <c r="AB840" s="34">
        <f t="shared" si="752"/>
        <v>0</v>
      </c>
      <c r="AC840" s="34">
        <f t="shared" si="753"/>
        <v>0</v>
      </c>
      <c r="AD840" s="34">
        <f t="shared" si="754"/>
        <v>0</v>
      </c>
      <c r="AE840" s="34">
        <f t="shared" si="755"/>
        <v>0</v>
      </c>
      <c r="AF840" s="34">
        <f t="shared" si="756"/>
        <v>0</v>
      </c>
      <c r="AG840" s="29">
        <f t="shared" si="757"/>
        <v>862325.31313929427</v>
      </c>
      <c r="AH840" s="34">
        <f t="shared" si="758"/>
        <v>0</v>
      </c>
      <c r="AI840" s="34">
        <f t="shared" si="759"/>
        <v>0</v>
      </c>
      <c r="AJ840" s="34">
        <f t="shared" si="760"/>
        <v>0</v>
      </c>
      <c r="AK840" s="34">
        <f t="shared" si="761"/>
        <v>0</v>
      </c>
      <c r="AL840" s="34">
        <f t="shared" si="762"/>
        <v>0</v>
      </c>
      <c r="AM840" s="34">
        <f t="shared" si="763"/>
        <v>0</v>
      </c>
      <c r="AN840" s="34">
        <f t="shared" si="764"/>
        <v>0</v>
      </c>
      <c r="AO840" s="34">
        <f t="shared" si="765"/>
        <v>0</v>
      </c>
      <c r="AP840" s="34">
        <f t="shared" si="766"/>
        <v>0</v>
      </c>
      <c r="AQ840" s="34">
        <f t="shared" si="767"/>
        <v>0</v>
      </c>
      <c r="AR840" s="34">
        <f t="shared" si="768"/>
        <v>0</v>
      </c>
      <c r="AS840" s="30">
        <f t="shared" si="769"/>
        <v>2.0001184079265011</v>
      </c>
      <c r="AT840" s="29">
        <f t="shared" si="770"/>
        <v>0</v>
      </c>
      <c r="AU840" s="29">
        <f t="shared" si="771"/>
        <v>0</v>
      </c>
      <c r="AV840" s="34">
        <f t="shared" si="772"/>
        <v>0</v>
      </c>
      <c r="AW840" s="34">
        <f t="shared" si="773"/>
        <v>0</v>
      </c>
      <c r="AX840" s="29">
        <f t="shared" si="774"/>
        <v>0</v>
      </c>
      <c r="AY840" s="34">
        <f t="shared" si="775"/>
        <v>0</v>
      </c>
      <c r="AZ840" s="37">
        <f t="shared" si="776"/>
        <v>0</v>
      </c>
      <c r="BA840" s="37">
        <f t="shared" si="777"/>
        <v>0</v>
      </c>
      <c r="BB840" s="35">
        <f t="shared" si="778"/>
        <v>1.4451250317559783E-3</v>
      </c>
      <c r="BC840" s="31">
        <f t="shared" si="779"/>
        <v>0.29901772657331638</v>
      </c>
      <c r="BD840" s="34">
        <f t="shared" si="780"/>
        <v>0</v>
      </c>
    </row>
    <row r="841" spans="1:56" x14ac:dyDescent="0.2">
      <c r="A841" s="27">
        <f t="shared" si="781"/>
        <v>837</v>
      </c>
      <c r="B841" s="28">
        <f t="shared" si="728"/>
        <v>837</v>
      </c>
      <c r="C841" s="27">
        <f t="shared" si="729"/>
        <v>69</v>
      </c>
      <c r="D841" s="28">
        <f t="shared" si="730"/>
        <v>89</v>
      </c>
      <c r="E841" s="29">
        <f t="shared" si="731"/>
        <v>0</v>
      </c>
      <c r="F841" s="30">
        <f t="shared" si="732"/>
        <v>4.1541171154164128E-2</v>
      </c>
      <c r="G841" s="31">
        <f t="shared" si="733"/>
        <v>3.5294792893217908E-3</v>
      </c>
      <c r="H841" s="32">
        <f t="shared" si="734"/>
        <v>0.02</v>
      </c>
      <c r="I841" s="32">
        <f t="shared" si="735"/>
        <v>0</v>
      </c>
      <c r="J841" s="33">
        <f t="shared" si="782"/>
        <v>0</v>
      </c>
      <c r="K841" s="30">
        <f t="shared" si="736"/>
        <v>0</v>
      </c>
      <c r="L841" s="33">
        <f t="shared" si="737"/>
        <v>0</v>
      </c>
      <c r="M841" s="30">
        <f t="shared" si="738"/>
        <v>0</v>
      </c>
      <c r="N841" s="33">
        <f t="shared" si="739"/>
        <v>0</v>
      </c>
      <c r="O841" s="31">
        <f t="shared" si="740"/>
        <v>0</v>
      </c>
      <c r="P841" s="33">
        <f t="shared" si="741"/>
        <v>0</v>
      </c>
      <c r="Q841" s="34">
        <f t="shared" si="783"/>
        <v>872182.89367716643</v>
      </c>
      <c r="R841" s="29">
        <f t="shared" si="742"/>
        <v>0</v>
      </c>
      <c r="S841" s="34">
        <f t="shared" si="743"/>
        <v>872182.89367716643</v>
      </c>
      <c r="T841" s="29">
        <f t="shared" si="744"/>
        <v>726.81907806430536</v>
      </c>
      <c r="U841" s="29">
        <f t="shared" si="745"/>
        <v>0</v>
      </c>
      <c r="V841" s="35">
        <f t="shared" si="746"/>
        <v>3.8824272182539704E-3</v>
      </c>
      <c r="W841" s="34">
        <f t="shared" si="747"/>
        <v>0</v>
      </c>
      <c r="X841" s="34">
        <f t="shared" si="748"/>
        <v>871456.07459910214</v>
      </c>
      <c r="Y841" s="36">
        <f t="shared" si="749"/>
        <v>8.4122483335085096E-3</v>
      </c>
      <c r="Z841" s="34">
        <f t="shared" si="750"/>
        <v>7330.9049112721641</v>
      </c>
      <c r="AA841" s="34">
        <f t="shared" si="751"/>
        <v>875121.52705473825</v>
      </c>
      <c r="AB841" s="34">
        <f t="shared" si="752"/>
        <v>0</v>
      </c>
      <c r="AC841" s="34">
        <f t="shared" si="753"/>
        <v>0</v>
      </c>
      <c r="AD841" s="34">
        <f t="shared" si="754"/>
        <v>0</v>
      </c>
      <c r="AE841" s="34">
        <f t="shared" si="755"/>
        <v>0</v>
      </c>
      <c r="AF841" s="34">
        <f t="shared" si="756"/>
        <v>0</v>
      </c>
      <c r="AG841" s="29">
        <f t="shared" si="757"/>
        <v>875121.52705473825</v>
      </c>
      <c r="AH841" s="34">
        <f t="shared" si="758"/>
        <v>0</v>
      </c>
      <c r="AI841" s="34">
        <f t="shared" si="759"/>
        <v>0</v>
      </c>
      <c r="AJ841" s="34">
        <f t="shared" si="760"/>
        <v>0</v>
      </c>
      <c r="AK841" s="34">
        <f t="shared" si="761"/>
        <v>0</v>
      </c>
      <c r="AL841" s="34">
        <f t="shared" si="762"/>
        <v>0</v>
      </c>
      <c r="AM841" s="34">
        <f t="shared" si="763"/>
        <v>0</v>
      </c>
      <c r="AN841" s="34">
        <f t="shared" si="764"/>
        <v>0</v>
      </c>
      <c r="AO841" s="34">
        <f t="shared" si="765"/>
        <v>0</v>
      </c>
      <c r="AP841" s="34">
        <f t="shared" si="766"/>
        <v>0</v>
      </c>
      <c r="AQ841" s="34">
        <f t="shared" si="767"/>
        <v>0</v>
      </c>
      <c r="AR841" s="34">
        <f t="shared" si="768"/>
        <v>0</v>
      </c>
      <c r="AS841" s="30">
        <f t="shared" si="769"/>
        <v>2.0017775823790815</v>
      </c>
      <c r="AT841" s="29">
        <f t="shared" si="770"/>
        <v>0</v>
      </c>
      <c r="AU841" s="29">
        <f t="shared" si="771"/>
        <v>0</v>
      </c>
      <c r="AV841" s="34">
        <f t="shared" si="772"/>
        <v>0</v>
      </c>
      <c r="AW841" s="34">
        <f t="shared" si="773"/>
        <v>0</v>
      </c>
      <c r="AX841" s="29">
        <f t="shared" si="774"/>
        <v>0</v>
      </c>
      <c r="AY841" s="34">
        <f t="shared" si="775"/>
        <v>0</v>
      </c>
      <c r="AZ841" s="37">
        <f t="shared" si="776"/>
        <v>0</v>
      </c>
      <c r="BA841" s="37">
        <f t="shared" si="777"/>
        <v>0</v>
      </c>
      <c r="BB841" s="35">
        <f t="shared" si="778"/>
        <v>1.4451250317559783E-3</v>
      </c>
      <c r="BC841" s="31">
        <f t="shared" si="779"/>
        <v>0.29858623213512026</v>
      </c>
      <c r="BD841" s="34">
        <f t="shared" si="780"/>
        <v>0</v>
      </c>
    </row>
    <row r="842" spans="1:56" x14ac:dyDescent="0.2">
      <c r="A842" s="27">
        <f t="shared" si="781"/>
        <v>838</v>
      </c>
      <c r="B842" s="28">
        <f t="shared" si="728"/>
        <v>838</v>
      </c>
      <c r="C842" s="27">
        <f t="shared" si="729"/>
        <v>69</v>
      </c>
      <c r="D842" s="28">
        <f t="shared" si="730"/>
        <v>89</v>
      </c>
      <c r="E842" s="29">
        <f t="shared" si="731"/>
        <v>0</v>
      </c>
      <c r="F842" s="30">
        <f t="shared" si="732"/>
        <v>4.1541171154164128E-2</v>
      </c>
      <c r="G842" s="31">
        <f t="shared" si="733"/>
        <v>3.5294792893217908E-3</v>
      </c>
      <c r="H842" s="32">
        <f t="shared" si="734"/>
        <v>0.02</v>
      </c>
      <c r="I842" s="32">
        <f t="shared" si="735"/>
        <v>0</v>
      </c>
      <c r="J842" s="33">
        <f t="shared" si="782"/>
        <v>0</v>
      </c>
      <c r="K842" s="30">
        <f t="shared" si="736"/>
        <v>0</v>
      </c>
      <c r="L842" s="33">
        <f t="shared" si="737"/>
        <v>0</v>
      </c>
      <c r="M842" s="30">
        <f t="shared" si="738"/>
        <v>0</v>
      </c>
      <c r="N842" s="33">
        <f t="shared" si="739"/>
        <v>0</v>
      </c>
      <c r="O842" s="31">
        <f t="shared" si="740"/>
        <v>0</v>
      </c>
      <c r="P842" s="33">
        <f t="shared" si="741"/>
        <v>0</v>
      </c>
      <c r="Q842" s="34">
        <f t="shared" si="783"/>
        <v>878786.97951037425</v>
      </c>
      <c r="R842" s="29">
        <f t="shared" si="742"/>
        <v>0</v>
      </c>
      <c r="S842" s="34">
        <f t="shared" si="743"/>
        <v>878786.97951037425</v>
      </c>
      <c r="T842" s="29">
        <f t="shared" si="744"/>
        <v>732.32248292531187</v>
      </c>
      <c r="U842" s="29">
        <f t="shared" si="745"/>
        <v>0</v>
      </c>
      <c r="V842" s="35">
        <f t="shared" si="746"/>
        <v>3.8824272182539704E-3</v>
      </c>
      <c r="W842" s="34">
        <f t="shared" si="747"/>
        <v>0</v>
      </c>
      <c r="X842" s="34">
        <f t="shared" si="748"/>
        <v>878054.65702744899</v>
      </c>
      <c r="Y842" s="36">
        <f t="shared" si="749"/>
        <v>6.4471538048980204E-3</v>
      </c>
      <c r="Z842" s="34">
        <f t="shared" si="750"/>
        <v>5660.9534229629444</v>
      </c>
      <c r="AA842" s="34">
        <f t="shared" si="751"/>
        <v>880885.13373893045</v>
      </c>
      <c r="AB842" s="34">
        <f t="shared" si="752"/>
        <v>0</v>
      </c>
      <c r="AC842" s="34">
        <f t="shared" si="753"/>
        <v>0</v>
      </c>
      <c r="AD842" s="34">
        <f t="shared" si="754"/>
        <v>0</v>
      </c>
      <c r="AE842" s="34">
        <f t="shared" si="755"/>
        <v>0</v>
      </c>
      <c r="AF842" s="34">
        <f t="shared" si="756"/>
        <v>0</v>
      </c>
      <c r="AG842" s="29">
        <f t="shared" si="757"/>
        <v>880885.13373893045</v>
      </c>
      <c r="AH842" s="34">
        <f t="shared" si="758"/>
        <v>0</v>
      </c>
      <c r="AI842" s="34">
        <f t="shared" si="759"/>
        <v>0</v>
      </c>
      <c r="AJ842" s="34">
        <f t="shared" si="760"/>
        <v>0</v>
      </c>
      <c r="AK842" s="34">
        <f t="shared" si="761"/>
        <v>0</v>
      </c>
      <c r="AL842" s="34">
        <f t="shared" si="762"/>
        <v>0</v>
      </c>
      <c r="AM842" s="34">
        <f t="shared" si="763"/>
        <v>0</v>
      </c>
      <c r="AN842" s="34">
        <f t="shared" si="764"/>
        <v>0</v>
      </c>
      <c r="AO842" s="34">
        <f t="shared" si="765"/>
        <v>0</v>
      </c>
      <c r="AP842" s="34">
        <f t="shared" si="766"/>
        <v>0</v>
      </c>
      <c r="AQ842" s="34">
        <f t="shared" si="767"/>
        <v>0</v>
      </c>
      <c r="AR842" s="34">
        <f t="shared" si="768"/>
        <v>0</v>
      </c>
      <c r="AS842" s="30">
        <f t="shared" si="769"/>
        <v>2.0034381331801088</v>
      </c>
      <c r="AT842" s="29">
        <f t="shared" si="770"/>
        <v>0</v>
      </c>
      <c r="AU842" s="29">
        <f t="shared" si="771"/>
        <v>0</v>
      </c>
      <c r="AV842" s="34">
        <f t="shared" si="772"/>
        <v>0</v>
      </c>
      <c r="AW842" s="34">
        <f t="shared" si="773"/>
        <v>0</v>
      </c>
      <c r="AX842" s="29">
        <f t="shared" si="774"/>
        <v>0</v>
      </c>
      <c r="AY842" s="34">
        <f t="shared" si="775"/>
        <v>0</v>
      </c>
      <c r="AZ842" s="37">
        <f t="shared" si="776"/>
        <v>0</v>
      </c>
      <c r="BA842" s="37">
        <f t="shared" si="777"/>
        <v>0</v>
      </c>
      <c r="BB842" s="35">
        <f t="shared" si="778"/>
        <v>1.4451250317559783E-3</v>
      </c>
      <c r="BC842" s="31">
        <f t="shared" si="779"/>
        <v>0.2981553603605111</v>
      </c>
      <c r="BD842" s="34">
        <f t="shared" si="780"/>
        <v>0</v>
      </c>
    </row>
    <row r="843" spans="1:56" x14ac:dyDescent="0.2">
      <c r="A843" s="27">
        <f t="shared" si="781"/>
        <v>839</v>
      </c>
      <c r="B843" s="28">
        <f t="shared" si="728"/>
        <v>839</v>
      </c>
      <c r="C843" s="27">
        <f t="shared" si="729"/>
        <v>69</v>
      </c>
      <c r="D843" s="28">
        <f t="shared" si="730"/>
        <v>89</v>
      </c>
      <c r="E843" s="29">
        <f t="shared" si="731"/>
        <v>0</v>
      </c>
      <c r="F843" s="30">
        <f t="shared" si="732"/>
        <v>4.1541171154164128E-2</v>
      </c>
      <c r="G843" s="31">
        <f t="shared" si="733"/>
        <v>3.5294792893217908E-3</v>
      </c>
      <c r="H843" s="32">
        <f t="shared" si="734"/>
        <v>0.02</v>
      </c>
      <c r="I843" s="32">
        <f t="shared" si="735"/>
        <v>0</v>
      </c>
      <c r="J843" s="33">
        <f t="shared" si="782"/>
        <v>0</v>
      </c>
      <c r="K843" s="30">
        <f t="shared" si="736"/>
        <v>0</v>
      </c>
      <c r="L843" s="33">
        <f t="shared" si="737"/>
        <v>0</v>
      </c>
      <c r="M843" s="30">
        <f t="shared" si="738"/>
        <v>0</v>
      </c>
      <c r="N843" s="33">
        <f t="shared" si="739"/>
        <v>0</v>
      </c>
      <c r="O843" s="31">
        <f t="shared" si="740"/>
        <v>0</v>
      </c>
      <c r="P843" s="33">
        <f t="shared" si="741"/>
        <v>0</v>
      </c>
      <c r="Q843" s="34">
        <f t="shared" si="783"/>
        <v>883715.61045041191</v>
      </c>
      <c r="R843" s="29">
        <f t="shared" si="742"/>
        <v>0</v>
      </c>
      <c r="S843" s="34">
        <f t="shared" si="743"/>
        <v>883715.61045041191</v>
      </c>
      <c r="T843" s="29">
        <f t="shared" si="744"/>
        <v>736.42967537534332</v>
      </c>
      <c r="U843" s="29">
        <f t="shared" si="745"/>
        <v>0</v>
      </c>
      <c r="V843" s="35">
        <f t="shared" si="746"/>
        <v>3.8824272182539704E-3</v>
      </c>
      <c r="W843" s="34">
        <f t="shared" si="747"/>
        <v>0</v>
      </c>
      <c r="X843" s="34">
        <f t="shared" si="748"/>
        <v>882979.18077503657</v>
      </c>
      <c r="Y843" s="36">
        <f t="shared" si="749"/>
        <v>1.8185454409127555E-3</v>
      </c>
      <c r="Z843" s="34">
        <f t="shared" si="750"/>
        <v>1605.7377636193225</v>
      </c>
      <c r="AA843" s="34">
        <f t="shared" si="751"/>
        <v>883782.04965684621</v>
      </c>
      <c r="AB843" s="34">
        <f t="shared" si="752"/>
        <v>0</v>
      </c>
      <c r="AC843" s="34">
        <f t="shared" si="753"/>
        <v>0</v>
      </c>
      <c r="AD843" s="34">
        <f t="shared" si="754"/>
        <v>0</v>
      </c>
      <c r="AE843" s="34">
        <f t="shared" si="755"/>
        <v>0</v>
      </c>
      <c r="AF843" s="34">
        <f t="shared" si="756"/>
        <v>0</v>
      </c>
      <c r="AG843" s="29">
        <f t="shared" si="757"/>
        <v>883782.04965684621</v>
      </c>
      <c r="AH843" s="34">
        <f t="shared" si="758"/>
        <v>0</v>
      </c>
      <c r="AI843" s="34">
        <f t="shared" si="759"/>
        <v>0</v>
      </c>
      <c r="AJ843" s="34">
        <f t="shared" si="760"/>
        <v>0</v>
      </c>
      <c r="AK843" s="34">
        <f t="shared" si="761"/>
        <v>0</v>
      </c>
      <c r="AL843" s="34">
        <f t="shared" si="762"/>
        <v>0</v>
      </c>
      <c r="AM843" s="34">
        <f t="shared" si="763"/>
        <v>0</v>
      </c>
      <c r="AN843" s="34">
        <f t="shared" si="764"/>
        <v>0</v>
      </c>
      <c r="AO843" s="34">
        <f t="shared" si="765"/>
        <v>0</v>
      </c>
      <c r="AP843" s="34">
        <f t="shared" si="766"/>
        <v>0</v>
      </c>
      <c r="AQ843" s="34">
        <f t="shared" si="767"/>
        <v>0</v>
      </c>
      <c r="AR843" s="34">
        <f t="shared" si="768"/>
        <v>0</v>
      </c>
      <c r="AS843" s="30">
        <f t="shared" si="769"/>
        <v>2.0051000614713166</v>
      </c>
      <c r="AT843" s="29">
        <f t="shared" si="770"/>
        <v>0</v>
      </c>
      <c r="AU843" s="29">
        <f t="shared" si="771"/>
        <v>0</v>
      </c>
      <c r="AV843" s="34">
        <f t="shared" si="772"/>
        <v>0</v>
      </c>
      <c r="AW843" s="34">
        <f t="shared" si="773"/>
        <v>0</v>
      </c>
      <c r="AX843" s="29">
        <f t="shared" si="774"/>
        <v>0</v>
      </c>
      <c r="AY843" s="34">
        <f t="shared" si="775"/>
        <v>0</v>
      </c>
      <c r="AZ843" s="37">
        <f t="shared" si="776"/>
        <v>0</v>
      </c>
      <c r="BA843" s="37">
        <f t="shared" si="777"/>
        <v>0</v>
      </c>
      <c r="BB843" s="35">
        <f t="shared" si="778"/>
        <v>1.4451250317559783E-3</v>
      </c>
      <c r="BC843" s="31">
        <f t="shared" si="779"/>
        <v>0.29772511035096061</v>
      </c>
      <c r="BD843" s="34">
        <f t="shared" si="780"/>
        <v>0</v>
      </c>
    </row>
    <row r="844" spans="1:56" x14ac:dyDescent="0.2">
      <c r="A844" s="27">
        <f t="shared" si="781"/>
        <v>840</v>
      </c>
      <c r="B844" s="28">
        <f t="shared" si="728"/>
        <v>840</v>
      </c>
      <c r="C844" s="27">
        <f t="shared" si="729"/>
        <v>70</v>
      </c>
      <c r="D844" s="28">
        <f t="shared" si="730"/>
        <v>90</v>
      </c>
      <c r="E844" s="29">
        <f t="shared" si="731"/>
        <v>0</v>
      </c>
      <c r="F844" s="30">
        <f t="shared" si="732"/>
        <v>4.688133845078217E-2</v>
      </c>
      <c r="G844" s="31">
        <f t="shared" si="733"/>
        <v>3.9933278247695769E-3</v>
      </c>
      <c r="H844" s="32">
        <f t="shared" si="734"/>
        <v>0.02</v>
      </c>
      <c r="I844" s="32">
        <f t="shared" si="735"/>
        <v>0</v>
      </c>
      <c r="J844" s="33">
        <f t="shared" si="782"/>
        <v>0</v>
      </c>
      <c r="K844" s="30">
        <f t="shared" si="736"/>
        <v>0</v>
      </c>
      <c r="L844" s="33">
        <f t="shared" si="737"/>
        <v>0</v>
      </c>
      <c r="M844" s="30">
        <f t="shared" si="738"/>
        <v>0</v>
      </c>
      <c r="N844" s="33">
        <f t="shared" si="739"/>
        <v>0</v>
      </c>
      <c r="O844" s="31">
        <f t="shared" si="740"/>
        <v>0</v>
      </c>
      <c r="P844" s="33">
        <f t="shared" si="741"/>
        <v>0</v>
      </c>
      <c r="Q844" s="34">
        <f t="shared" si="783"/>
        <v>884584.91853865585</v>
      </c>
      <c r="R844" s="29">
        <f t="shared" si="742"/>
        <v>0</v>
      </c>
      <c r="S844" s="34">
        <f t="shared" si="743"/>
        <v>884584.91853865585</v>
      </c>
      <c r="T844" s="29">
        <f t="shared" si="744"/>
        <v>737.15409878221328</v>
      </c>
      <c r="U844" s="29">
        <f t="shared" si="745"/>
        <v>0</v>
      </c>
      <c r="V844" s="35">
        <f t="shared" si="746"/>
        <v>4.3926606072465348E-3</v>
      </c>
      <c r="W844" s="34">
        <f t="shared" si="747"/>
        <v>0</v>
      </c>
      <c r="X844" s="34">
        <f t="shared" si="748"/>
        <v>883847.76443987363</v>
      </c>
      <c r="Y844" s="36">
        <f t="shared" si="749"/>
        <v>2.4587575402641448E-3</v>
      </c>
      <c r="Z844" s="34">
        <f t="shared" si="750"/>
        <v>2173.1673552621469</v>
      </c>
      <c r="AA844" s="34">
        <f t="shared" si="751"/>
        <v>884934.34811750473</v>
      </c>
      <c r="AB844" s="34">
        <f t="shared" si="752"/>
        <v>0</v>
      </c>
      <c r="AC844" s="34">
        <f t="shared" si="753"/>
        <v>0</v>
      </c>
      <c r="AD844" s="34">
        <f t="shared" si="754"/>
        <v>0</v>
      </c>
      <c r="AE844" s="34">
        <f t="shared" si="755"/>
        <v>0</v>
      </c>
      <c r="AF844" s="34">
        <f t="shared" si="756"/>
        <v>0</v>
      </c>
      <c r="AG844" s="29">
        <f t="shared" si="757"/>
        <v>884934.34811750473</v>
      </c>
      <c r="AH844" s="34">
        <f t="shared" si="758"/>
        <v>0</v>
      </c>
      <c r="AI844" s="34">
        <f t="shared" si="759"/>
        <v>0</v>
      </c>
      <c r="AJ844" s="34">
        <f t="shared" si="760"/>
        <v>0</v>
      </c>
      <c r="AK844" s="34">
        <f t="shared" si="761"/>
        <v>0</v>
      </c>
      <c r="AL844" s="34">
        <f t="shared" si="762"/>
        <v>0</v>
      </c>
      <c r="AM844" s="34">
        <f t="shared" si="763"/>
        <v>0</v>
      </c>
      <c r="AN844" s="34">
        <f t="shared" si="764"/>
        <v>0</v>
      </c>
      <c r="AO844" s="34">
        <f t="shared" si="765"/>
        <v>0</v>
      </c>
      <c r="AP844" s="34">
        <f t="shared" si="766"/>
        <v>0</v>
      </c>
      <c r="AQ844" s="34">
        <f t="shared" si="767"/>
        <v>0</v>
      </c>
      <c r="AR844" s="34">
        <f t="shared" si="768"/>
        <v>0</v>
      </c>
      <c r="AS844" s="30">
        <f t="shared" si="769"/>
        <v>2.0067633683953856</v>
      </c>
      <c r="AT844" s="29">
        <f t="shared" si="770"/>
        <v>0</v>
      </c>
      <c r="AU844" s="29">
        <f t="shared" si="771"/>
        <v>0</v>
      </c>
      <c r="AV844" s="34">
        <f t="shared" si="772"/>
        <v>0</v>
      </c>
      <c r="AW844" s="34">
        <f t="shared" si="773"/>
        <v>0</v>
      </c>
      <c r="AX844" s="29">
        <f t="shared" si="774"/>
        <v>0</v>
      </c>
      <c r="AY844" s="34">
        <f t="shared" si="775"/>
        <v>0</v>
      </c>
      <c r="AZ844" s="37">
        <f t="shared" si="776"/>
        <v>0</v>
      </c>
      <c r="BA844" s="37">
        <f t="shared" si="777"/>
        <v>0</v>
      </c>
      <c r="BB844" s="35">
        <f t="shared" si="778"/>
        <v>1.4713676651572083E-3</v>
      </c>
      <c r="BC844" s="31">
        <f t="shared" si="779"/>
        <v>0.29082299482600094</v>
      </c>
      <c r="BD844" s="34">
        <f t="shared" si="780"/>
        <v>0</v>
      </c>
    </row>
    <row r="845" spans="1:56" x14ac:dyDescent="0.2">
      <c r="A845" s="27">
        <f t="shared" si="781"/>
        <v>841</v>
      </c>
      <c r="B845" s="28">
        <f t="shared" si="728"/>
        <v>841</v>
      </c>
      <c r="C845" s="27">
        <f t="shared" si="729"/>
        <v>70</v>
      </c>
      <c r="D845" s="28">
        <f t="shared" si="730"/>
        <v>90</v>
      </c>
      <c r="E845" s="29">
        <f t="shared" si="731"/>
        <v>0</v>
      </c>
      <c r="F845" s="30">
        <f t="shared" si="732"/>
        <v>4.688133845078217E-2</v>
      </c>
      <c r="G845" s="31">
        <f t="shared" si="733"/>
        <v>3.9933278247695769E-3</v>
      </c>
      <c r="H845" s="32">
        <f t="shared" si="734"/>
        <v>0.02</v>
      </c>
      <c r="I845" s="32">
        <f t="shared" si="735"/>
        <v>0</v>
      </c>
      <c r="J845" s="33">
        <f t="shared" si="782"/>
        <v>0</v>
      </c>
      <c r="K845" s="30">
        <f t="shared" si="736"/>
        <v>0</v>
      </c>
      <c r="L845" s="33">
        <f t="shared" si="737"/>
        <v>0</v>
      </c>
      <c r="M845" s="30">
        <f t="shared" si="738"/>
        <v>0</v>
      </c>
      <c r="N845" s="33">
        <f t="shared" si="739"/>
        <v>0</v>
      </c>
      <c r="O845" s="31">
        <f t="shared" si="740"/>
        <v>0</v>
      </c>
      <c r="P845" s="33">
        <f t="shared" si="741"/>
        <v>0</v>
      </c>
      <c r="Q845" s="34">
        <f t="shared" si="783"/>
        <v>886020.93179513572</v>
      </c>
      <c r="R845" s="29">
        <f t="shared" si="742"/>
        <v>0</v>
      </c>
      <c r="S845" s="34">
        <f t="shared" si="743"/>
        <v>886020.93179513572</v>
      </c>
      <c r="T845" s="29">
        <f t="shared" si="744"/>
        <v>738.35077649594643</v>
      </c>
      <c r="U845" s="29">
        <f t="shared" si="745"/>
        <v>0</v>
      </c>
      <c r="V845" s="35">
        <f t="shared" si="746"/>
        <v>4.3926606072465348E-3</v>
      </c>
      <c r="W845" s="34">
        <f t="shared" si="747"/>
        <v>0</v>
      </c>
      <c r="X845" s="34">
        <f t="shared" si="748"/>
        <v>885282.58101863973</v>
      </c>
      <c r="Y845" s="36">
        <f t="shared" si="749"/>
        <v>-1.4626502938894781E-3</v>
      </c>
      <c r="Z845" s="34">
        <f t="shared" si="750"/>
        <v>-1294.8588273021492</v>
      </c>
      <c r="AA845" s="34">
        <f t="shared" si="751"/>
        <v>884635.15160498861</v>
      </c>
      <c r="AB845" s="34">
        <f t="shared" si="752"/>
        <v>0</v>
      </c>
      <c r="AC845" s="34">
        <f t="shared" si="753"/>
        <v>0</v>
      </c>
      <c r="AD845" s="34">
        <f t="shared" si="754"/>
        <v>0</v>
      </c>
      <c r="AE845" s="34">
        <f t="shared" si="755"/>
        <v>0</v>
      </c>
      <c r="AF845" s="34">
        <f t="shared" si="756"/>
        <v>0</v>
      </c>
      <c r="AG845" s="29">
        <f t="shared" si="757"/>
        <v>884635.15160498861</v>
      </c>
      <c r="AH845" s="34">
        <f t="shared" si="758"/>
        <v>0</v>
      </c>
      <c r="AI845" s="34">
        <f t="shared" si="759"/>
        <v>0</v>
      </c>
      <c r="AJ845" s="34">
        <f t="shared" si="760"/>
        <v>0</v>
      </c>
      <c r="AK845" s="34">
        <f t="shared" si="761"/>
        <v>0</v>
      </c>
      <c r="AL845" s="34">
        <f t="shared" si="762"/>
        <v>0</v>
      </c>
      <c r="AM845" s="34">
        <f t="shared" si="763"/>
        <v>0</v>
      </c>
      <c r="AN845" s="34">
        <f t="shared" si="764"/>
        <v>0</v>
      </c>
      <c r="AO845" s="34">
        <f t="shared" si="765"/>
        <v>0</v>
      </c>
      <c r="AP845" s="34">
        <f t="shared" si="766"/>
        <v>0</v>
      </c>
      <c r="AQ845" s="34">
        <f t="shared" si="767"/>
        <v>0</v>
      </c>
      <c r="AR845" s="34">
        <f t="shared" si="768"/>
        <v>0</v>
      </c>
      <c r="AS845" s="30">
        <f t="shared" si="769"/>
        <v>2.0084280550959428</v>
      </c>
      <c r="AT845" s="29">
        <f t="shared" si="770"/>
        <v>0</v>
      </c>
      <c r="AU845" s="29">
        <f t="shared" si="771"/>
        <v>0</v>
      </c>
      <c r="AV845" s="34">
        <f t="shared" si="772"/>
        <v>0</v>
      </c>
      <c r="AW845" s="34">
        <f t="shared" si="773"/>
        <v>0</v>
      </c>
      <c r="AX845" s="29">
        <f t="shared" si="774"/>
        <v>0</v>
      </c>
      <c r="AY845" s="34">
        <f t="shared" si="775"/>
        <v>0</v>
      </c>
      <c r="AZ845" s="37">
        <f t="shared" si="776"/>
        <v>0</v>
      </c>
      <c r="BA845" s="37">
        <f t="shared" si="777"/>
        <v>0</v>
      </c>
      <c r="BB845" s="35">
        <f t="shared" si="778"/>
        <v>1.4713676651572083E-3</v>
      </c>
      <c r="BC845" s="31">
        <f t="shared" si="779"/>
        <v>0.29039571595943797</v>
      </c>
      <c r="BD845" s="34">
        <f t="shared" si="780"/>
        <v>0</v>
      </c>
    </row>
    <row r="846" spans="1:56" x14ac:dyDescent="0.2">
      <c r="A846" s="27">
        <f t="shared" si="781"/>
        <v>842</v>
      </c>
      <c r="B846" s="28">
        <f t="shared" si="728"/>
        <v>842</v>
      </c>
      <c r="C846" s="27">
        <f t="shared" si="729"/>
        <v>70</v>
      </c>
      <c r="D846" s="28">
        <f t="shared" si="730"/>
        <v>90</v>
      </c>
      <c r="E846" s="29">
        <f t="shared" si="731"/>
        <v>0</v>
      </c>
      <c r="F846" s="30">
        <f t="shared" si="732"/>
        <v>4.688133845078217E-2</v>
      </c>
      <c r="G846" s="31">
        <f t="shared" si="733"/>
        <v>3.9933278247695769E-3</v>
      </c>
      <c r="H846" s="32">
        <f t="shared" si="734"/>
        <v>0.02</v>
      </c>
      <c r="I846" s="32">
        <f t="shared" si="735"/>
        <v>0</v>
      </c>
      <c r="J846" s="33">
        <f t="shared" si="782"/>
        <v>0</v>
      </c>
      <c r="K846" s="30">
        <f t="shared" si="736"/>
        <v>0</v>
      </c>
      <c r="L846" s="33">
        <f t="shared" si="737"/>
        <v>0</v>
      </c>
      <c r="M846" s="30">
        <f t="shared" si="738"/>
        <v>0</v>
      </c>
      <c r="N846" s="33">
        <f t="shared" si="739"/>
        <v>0</v>
      </c>
      <c r="O846" s="31">
        <f t="shared" si="740"/>
        <v>0</v>
      </c>
      <c r="P846" s="33">
        <f t="shared" si="741"/>
        <v>0</v>
      </c>
      <c r="Q846" s="34">
        <f t="shared" si="783"/>
        <v>883987.72219133761</v>
      </c>
      <c r="R846" s="29">
        <f t="shared" si="742"/>
        <v>0</v>
      </c>
      <c r="S846" s="34">
        <f t="shared" si="743"/>
        <v>883987.72219133761</v>
      </c>
      <c r="T846" s="29">
        <f t="shared" si="744"/>
        <v>736.65643515944805</v>
      </c>
      <c r="U846" s="29">
        <f t="shared" si="745"/>
        <v>0</v>
      </c>
      <c r="V846" s="35">
        <f t="shared" si="746"/>
        <v>4.3926606072465348E-3</v>
      </c>
      <c r="W846" s="34">
        <f t="shared" si="747"/>
        <v>0</v>
      </c>
      <c r="X846" s="34">
        <f t="shared" si="748"/>
        <v>883251.06575617811</v>
      </c>
      <c r="Y846" s="36">
        <f t="shared" si="749"/>
        <v>9.5242803805017928E-5</v>
      </c>
      <c r="Z846" s="34">
        <f t="shared" si="750"/>
        <v>84.123307966388666</v>
      </c>
      <c r="AA846" s="34">
        <f t="shared" si="751"/>
        <v>883293.12741016131</v>
      </c>
      <c r="AB846" s="34">
        <f t="shared" si="752"/>
        <v>0</v>
      </c>
      <c r="AC846" s="34">
        <f t="shared" si="753"/>
        <v>0</v>
      </c>
      <c r="AD846" s="34">
        <f t="shared" si="754"/>
        <v>0</v>
      </c>
      <c r="AE846" s="34">
        <f t="shared" si="755"/>
        <v>0</v>
      </c>
      <c r="AF846" s="34">
        <f t="shared" si="756"/>
        <v>0</v>
      </c>
      <c r="AG846" s="29">
        <f t="shared" si="757"/>
        <v>883293.12741016131</v>
      </c>
      <c r="AH846" s="34">
        <f t="shared" si="758"/>
        <v>0</v>
      </c>
      <c r="AI846" s="34">
        <f t="shared" si="759"/>
        <v>0</v>
      </c>
      <c r="AJ846" s="34">
        <f t="shared" si="760"/>
        <v>0</v>
      </c>
      <c r="AK846" s="34">
        <f t="shared" si="761"/>
        <v>0</v>
      </c>
      <c r="AL846" s="34">
        <f t="shared" si="762"/>
        <v>0</v>
      </c>
      <c r="AM846" s="34">
        <f t="shared" si="763"/>
        <v>0</v>
      </c>
      <c r="AN846" s="34">
        <f t="shared" si="764"/>
        <v>0</v>
      </c>
      <c r="AO846" s="34">
        <f t="shared" si="765"/>
        <v>0</v>
      </c>
      <c r="AP846" s="34">
        <f t="shared" si="766"/>
        <v>0</v>
      </c>
      <c r="AQ846" s="34">
        <f t="shared" si="767"/>
        <v>0</v>
      </c>
      <c r="AR846" s="34">
        <f t="shared" si="768"/>
        <v>0</v>
      </c>
      <c r="AS846" s="30">
        <f t="shared" si="769"/>
        <v>2.0100941227175673</v>
      </c>
      <c r="AT846" s="29">
        <f t="shared" si="770"/>
        <v>0</v>
      </c>
      <c r="AU846" s="29">
        <f t="shared" si="771"/>
        <v>0</v>
      </c>
      <c r="AV846" s="34">
        <f t="shared" si="772"/>
        <v>0</v>
      </c>
      <c r="AW846" s="34">
        <f t="shared" si="773"/>
        <v>0</v>
      </c>
      <c r="AX846" s="29">
        <f t="shared" si="774"/>
        <v>0</v>
      </c>
      <c r="AY846" s="34">
        <f t="shared" si="775"/>
        <v>0</v>
      </c>
      <c r="AZ846" s="37">
        <f t="shared" si="776"/>
        <v>0</v>
      </c>
      <c r="BA846" s="37">
        <f t="shared" si="777"/>
        <v>0</v>
      </c>
      <c r="BB846" s="35">
        <f t="shared" si="778"/>
        <v>1.4713676651572083E-3</v>
      </c>
      <c r="BC846" s="31">
        <f t="shared" si="779"/>
        <v>0.2899690648535167</v>
      </c>
      <c r="BD846" s="34">
        <f t="shared" si="780"/>
        <v>0</v>
      </c>
    </row>
    <row r="847" spans="1:56" x14ac:dyDescent="0.2">
      <c r="A847" s="27">
        <f t="shared" si="781"/>
        <v>843</v>
      </c>
      <c r="B847" s="28">
        <f t="shared" si="728"/>
        <v>843</v>
      </c>
      <c r="C847" s="27">
        <f t="shared" si="729"/>
        <v>70</v>
      </c>
      <c r="D847" s="28">
        <f t="shared" si="730"/>
        <v>90</v>
      </c>
      <c r="E847" s="29">
        <f t="shared" si="731"/>
        <v>0</v>
      </c>
      <c r="F847" s="30">
        <f t="shared" si="732"/>
        <v>4.688133845078217E-2</v>
      </c>
      <c r="G847" s="31">
        <f t="shared" si="733"/>
        <v>3.9933278247695769E-3</v>
      </c>
      <c r="H847" s="32">
        <f t="shared" si="734"/>
        <v>0.02</v>
      </c>
      <c r="I847" s="32">
        <f t="shared" si="735"/>
        <v>0</v>
      </c>
      <c r="J847" s="33">
        <f t="shared" si="782"/>
        <v>0</v>
      </c>
      <c r="K847" s="30">
        <f t="shared" si="736"/>
        <v>0</v>
      </c>
      <c r="L847" s="33">
        <f t="shared" si="737"/>
        <v>0</v>
      </c>
      <c r="M847" s="30">
        <f t="shared" si="738"/>
        <v>0</v>
      </c>
      <c r="N847" s="33">
        <f t="shared" si="739"/>
        <v>0</v>
      </c>
      <c r="O847" s="31">
        <f t="shared" si="740"/>
        <v>0</v>
      </c>
      <c r="P847" s="33">
        <f t="shared" si="741"/>
        <v>0</v>
      </c>
      <c r="Q847" s="34">
        <f t="shared" si="783"/>
        <v>883335.18906414451</v>
      </c>
      <c r="R847" s="29">
        <f t="shared" si="742"/>
        <v>0</v>
      </c>
      <c r="S847" s="34">
        <f t="shared" si="743"/>
        <v>883335.18906414451</v>
      </c>
      <c r="T847" s="29">
        <f t="shared" si="744"/>
        <v>736.1126575534538</v>
      </c>
      <c r="U847" s="29">
        <f t="shared" si="745"/>
        <v>0</v>
      </c>
      <c r="V847" s="35">
        <f t="shared" si="746"/>
        <v>4.3926606072465348E-3</v>
      </c>
      <c r="W847" s="34">
        <f t="shared" si="747"/>
        <v>0</v>
      </c>
      <c r="X847" s="34">
        <f t="shared" si="748"/>
        <v>882599.07640659111</v>
      </c>
      <c r="Y847" s="36">
        <f t="shared" si="749"/>
        <v>-2.0429565824653939E-2</v>
      </c>
      <c r="Z847" s="34">
        <f t="shared" si="750"/>
        <v>-18031.115928227224</v>
      </c>
      <c r="AA847" s="34">
        <f t="shared" si="751"/>
        <v>873583.51844247745</v>
      </c>
      <c r="AB847" s="34">
        <f t="shared" si="752"/>
        <v>0</v>
      </c>
      <c r="AC847" s="34">
        <f t="shared" si="753"/>
        <v>0</v>
      </c>
      <c r="AD847" s="34">
        <f t="shared" si="754"/>
        <v>0</v>
      </c>
      <c r="AE847" s="34">
        <f t="shared" si="755"/>
        <v>0</v>
      </c>
      <c r="AF847" s="34">
        <f t="shared" si="756"/>
        <v>0</v>
      </c>
      <c r="AG847" s="29">
        <f t="shared" si="757"/>
        <v>873583.51844247745</v>
      </c>
      <c r="AH847" s="34">
        <f t="shared" si="758"/>
        <v>0</v>
      </c>
      <c r="AI847" s="34">
        <f t="shared" si="759"/>
        <v>0</v>
      </c>
      <c r="AJ847" s="34">
        <f t="shared" si="760"/>
        <v>0</v>
      </c>
      <c r="AK847" s="34">
        <f t="shared" si="761"/>
        <v>0</v>
      </c>
      <c r="AL847" s="34">
        <f t="shared" si="762"/>
        <v>0</v>
      </c>
      <c r="AM847" s="34">
        <f t="shared" si="763"/>
        <v>0</v>
      </c>
      <c r="AN847" s="34">
        <f t="shared" si="764"/>
        <v>0</v>
      </c>
      <c r="AO847" s="34">
        <f t="shared" si="765"/>
        <v>0</v>
      </c>
      <c r="AP847" s="34">
        <f t="shared" si="766"/>
        <v>0</v>
      </c>
      <c r="AQ847" s="34">
        <f t="shared" si="767"/>
        <v>0</v>
      </c>
      <c r="AR847" s="34">
        <f t="shared" si="768"/>
        <v>0</v>
      </c>
      <c r="AS847" s="30">
        <f t="shared" si="769"/>
        <v>2.0117615724057849</v>
      </c>
      <c r="AT847" s="29">
        <f t="shared" si="770"/>
        <v>0</v>
      </c>
      <c r="AU847" s="29">
        <f t="shared" si="771"/>
        <v>0</v>
      </c>
      <c r="AV847" s="34">
        <f t="shared" si="772"/>
        <v>0</v>
      </c>
      <c r="AW847" s="34">
        <f t="shared" si="773"/>
        <v>0</v>
      </c>
      <c r="AX847" s="29">
        <f t="shared" si="774"/>
        <v>0</v>
      </c>
      <c r="AY847" s="34">
        <f t="shared" si="775"/>
        <v>0</v>
      </c>
      <c r="AZ847" s="37">
        <f t="shared" si="776"/>
        <v>0</v>
      </c>
      <c r="BA847" s="37">
        <f t="shared" si="777"/>
        <v>0</v>
      </c>
      <c r="BB847" s="35">
        <f t="shared" si="778"/>
        <v>1.4713676651572083E-3</v>
      </c>
      <c r="BC847" s="31">
        <f t="shared" si="779"/>
        <v>0.28954304058592722</v>
      </c>
      <c r="BD847" s="34">
        <f t="shared" si="780"/>
        <v>0</v>
      </c>
    </row>
    <row r="848" spans="1:56" x14ac:dyDescent="0.2">
      <c r="A848" s="27">
        <f t="shared" si="781"/>
        <v>844</v>
      </c>
      <c r="B848" s="28">
        <f t="shared" si="728"/>
        <v>844</v>
      </c>
      <c r="C848" s="27">
        <f t="shared" si="729"/>
        <v>70</v>
      </c>
      <c r="D848" s="28">
        <f t="shared" si="730"/>
        <v>90</v>
      </c>
      <c r="E848" s="29">
        <f t="shared" si="731"/>
        <v>0</v>
      </c>
      <c r="F848" s="30">
        <f t="shared" si="732"/>
        <v>4.688133845078217E-2</v>
      </c>
      <c r="G848" s="31">
        <f t="shared" si="733"/>
        <v>3.9933278247695769E-3</v>
      </c>
      <c r="H848" s="32">
        <f t="shared" si="734"/>
        <v>0.02</v>
      </c>
      <c r="I848" s="32">
        <f t="shared" si="735"/>
        <v>0</v>
      </c>
      <c r="J848" s="33">
        <f t="shared" si="782"/>
        <v>0</v>
      </c>
      <c r="K848" s="30">
        <f t="shared" si="736"/>
        <v>0</v>
      </c>
      <c r="L848" s="33">
        <f t="shared" si="737"/>
        <v>0</v>
      </c>
      <c r="M848" s="30">
        <f t="shared" si="738"/>
        <v>0</v>
      </c>
      <c r="N848" s="33">
        <f t="shared" si="739"/>
        <v>0</v>
      </c>
      <c r="O848" s="31">
        <f t="shared" si="740"/>
        <v>0</v>
      </c>
      <c r="P848" s="33">
        <f t="shared" si="741"/>
        <v>0</v>
      </c>
      <c r="Q848" s="34">
        <f t="shared" si="783"/>
        <v>864567.96047836391</v>
      </c>
      <c r="R848" s="29">
        <f t="shared" si="742"/>
        <v>0</v>
      </c>
      <c r="S848" s="34">
        <f t="shared" si="743"/>
        <v>864567.96047836391</v>
      </c>
      <c r="T848" s="29">
        <f t="shared" si="744"/>
        <v>720.47330039863664</v>
      </c>
      <c r="U848" s="29">
        <f t="shared" si="745"/>
        <v>0</v>
      </c>
      <c r="V848" s="35">
        <f t="shared" si="746"/>
        <v>4.3926606072465348E-3</v>
      </c>
      <c r="W848" s="34">
        <f t="shared" si="747"/>
        <v>0</v>
      </c>
      <c r="X848" s="34">
        <f t="shared" si="748"/>
        <v>863847.48717796523</v>
      </c>
      <c r="Y848" s="36">
        <f t="shared" si="749"/>
        <v>2.5573235060312172E-3</v>
      </c>
      <c r="Z848" s="34">
        <f t="shared" si="750"/>
        <v>2209.137484586211</v>
      </c>
      <c r="AA848" s="34">
        <f t="shared" si="751"/>
        <v>864952.05592025828</v>
      </c>
      <c r="AB848" s="34">
        <f t="shared" si="752"/>
        <v>0</v>
      </c>
      <c r="AC848" s="34">
        <f t="shared" si="753"/>
        <v>0</v>
      </c>
      <c r="AD848" s="34">
        <f t="shared" si="754"/>
        <v>0</v>
      </c>
      <c r="AE848" s="34">
        <f t="shared" si="755"/>
        <v>0</v>
      </c>
      <c r="AF848" s="34">
        <f t="shared" si="756"/>
        <v>0</v>
      </c>
      <c r="AG848" s="29">
        <f t="shared" si="757"/>
        <v>864952.05592025828</v>
      </c>
      <c r="AH848" s="34">
        <f t="shared" si="758"/>
        <v>0</v>
      </c>
      <c r="AI848" s="34">
        <f t="shared" si="759"/>
        <v>0</v>
      </c>
      <c r="AJ848" s="34">
        <f t="shared" si="760"/>
        <v>0</v>
      </c>
      <c r="AK848" s="34">
        <f t="shared" si="761"/>
        <v>0</v>
      </c>
      <c r="AL848" s="34">
        <f t="shared" si="762"/>
        <v>0</v>
      </c>
      <c r="AM848" s="34">
        <f t="shared" si="763"/>
        <v>0</v>
      </c>
      <c r="AN848" s="34">
        <f t="shared" si="764"/>
        <v>0</v>
      </c>
      <c r="AO848" s="34">
        <f t="shared" si="765"/>
        <v>0</v>
      </c>
      <c r="AP848" s="34">
        <f t="shared" si="766"/>
        <v>0</v>
      </c>
      <c r="AQ848" s="34">
        <f t="shared" si="767"/>
        <v>0</v>
      </c>
      <c r="AR848" s="34">
        <f t="shared" si="768"/>
        <v>0</v>
      </c>
      <c r="AS848" s="30">
        <f t="shared" si="769"/>
        <v>2.0134304053070724</v>
      </c>
      <c r="AT848" s="29">
        <f t="shared" si="770"/>
        <v>0</v>
      </c>
      <c r="AU848" s="29">
        <f t="shared" si="771"/>
        <v>0</v>
      </c>
      <c r="AV848" s="34">
        <f t="shared" si="772"/>
        <v>0</v>
      </c>
      <c r="AW848" s="34">
        <f t="shared" si="773"/>
        <v>0</v>
      </c>
      <c r="AX848" s="29">
        <f t="shared" si="774"/>
        <v>0</v>
      </c>
      <c r="AY848" s="34">
        <f t="shared" si="775"/>
        <v>0</v>
      </c>
      <c r="AZ848" s="37">
        <f t="shared" si="776"/>
        <v>0</v>
      </c>
      <c r="BA848" s="37">
        <f t="shared" si="777"/>
        <v>0</v>
      </c>
      <c r="BB848" s="35">
        <f t="shared" si="778"/>
        <v>1.4713676651572083E-3</v>
      </c>
      <c r="BC848" s="31">
        <f t="shared" si="779"/>
        <v>0.28911764223571507</v>
      </c>
      <c r="BD848" s="34">
        <f t="shared" si="780"/>
        <v>0</v>
      </c>
    </row>
    <row r="849" spans="1:56" x14ac:dyDescent="0.2">
      <c r="A849" s="27">
        <f t="shared" si="781"/>
        <v>845</v>
      </c>
      <c r="B849" s="28">
        <f t="shared" si="728"/>
        <v>845</v>
      </c>
      <c r="C849" s="27">
        <f t="shared" si="729"/>
        <v>70</v>
      </c>
      <c r="D849" s="28">
        <f t="shared" si="730"/>
        <v>90</v>
      </c>
      <c r="E849" s="29">
        <f t="shared" si="731"/>
        <v>0</v>
      </c>
      <c r="F849" s="30">
        <f t="shared" si="732"/>
        <v>4.688133845078217E-2</v>
      </c>
      <c r="G849" s="31">
        <f t="shared" si="733"/>
        <v>3.9933278247695769E-3</v>
      </c>
      <c r="H849" s="32">
        <f t="shared" si="734"/>
        <v>0.02</v>
      </c>
      <c r="I849" s="32">
        <f t="shared" si="735"/>
        <v>0</v>
      </c>
      <c r="J849" s="33">
        <f t="shared" si="782"/>
        <v>0</v>
      </c>
      <c r="K849" s="30">
        <f t="shared" si="736"/>
        <v>0</v>
      </c>
      <c r="L849" s="33">
        <f t="shared" si="737"/>
        <v>0</v>
      </c>
      <c r="M849" s="30">
        <f t="shared" si="738"/>
        <v>0</v>
      </c>
      <c r="N849" s="33">
        <f t="shared" si="739"/>
        <v>0</v>
      </c>
      <c r="O849" s="31">
        <f t="shared" si="740"/>
        <v>0</v>
      </c>
      <c r="P849" s="33">
        <f t="shared" si="741"/>
        <v>0</v>
      </c>
      <c r="Q849" s="34">
        <f t="shared" si="783"/>
        <v>866056.62466255145</v>
      </c>
      <c r="R849" s="29">
        <f t="shared" si="742"/>
        <v>0</v>
      </c>
      <c r="S849" s="34">
        <f t="shared" si="743"/>
        <v>866056.62466255145</v>
      </c>
      <c r="T849" s="29">
        <f t="shared" si="744"/>
        <v>721.71385388545957</v>
      </c>
      <c r="U849" s="29">
        <f t="shared" si="745"/>
        <v>0</v>
      </c>
      <c r="V849" s="35">
        <f t="shared" si="746"/>
        <v>4.3926606072465348E-3</v>
      </c>
      <c r="W849" s="34">
        <f t="shared" si="747"/>
        <v>0</v>
      </c>
      <c r="X849" s="34">
        <f t="shared" si="748"/>
        <v>865334.91080866603</v>
      </c>
      <c r="Y849" s="36">
        <f t="shared" si="749"/>
        <v>2.8827699674007778E-3</v>
      </c>
      <c r="Z849" s="34">
        <f t="shared" si="750"/>
        <v>2494.5614926226531</v>
      </c>
      <c r="AA849" s="34">
        <f t="shared" si="751"/>
        <v>866582.19155497733</v>
      </c>
      <c r="AB849" s="34">
        <f t="shared" si="752"/>
        <v>0</v>
      </c>
      <c r="AC849" s="34">
        <f t="shared" si="753"/>
        <v>0</v>
      </c>
      <c r="AD849" s="34">
        <f t="shared" si="754"/>
        <v>0</v>
      </c>
      <c r="AE849" s="34">
        <f t="shared" si="755"/>
        <v>0</v>
      </c>
      <c r="AF849" s="34">
        <f t="shared" si="756"/>
        <v>0</v>
      </c>
      <c r="AG849" s="29">
        <f t="shared" si="757"/>
        <v>866582.19155497733</v>
      </c>
      <c r="AH849" s="34">
        <f t="shared" si="758"/>
        <v>0</v>
      </c>
      <c r="AI849" s="34">
        <f t="shared" si="759"/>
        <v>0</v>
      </c>
      <c r="AJ849" s="34">
        <f t="shared" si="760"/>
        <v>0</v>
      </c>
      <c r="AK849" s="34">
        <f t="shared" si="761"/>
        <v>0</v>
      </c>
      <c r="AL849" s="34">
        <f t="shared" si="762"/>
        <v>0</v>
      </c>
      <c r="AM849" s="34">
        <f t="shared" si="763"/>
        <v>0</v>
      </c>
      <c r="AN849" s="34">
        <f t="shared" si="764"/>
        <v>0</v>
      </c>
      <c r="AO849" s="34">
        <f t="shared" si="765"/>
        <v>0</v>
      </c>
      <c r="AP849" s="34">
        <f t="shared" si="766"/>
        <v>0</v>
      </c>
      <c r="AQ849" s="34">
        <f t="shared" si="767"/>
        <v>0</v>
      </c>
      <c r="AR849" s="34">
        <f t="shared" si="768"/>
        <v>0</v>
      </c>
      <c r="AS849" s="30">
        <f t="shared" si="769"/>
        <v>2.0151006225688586</v>
      </c>
      <c r="AT849" s="29">
        <f t="shared" si="770"/>
        <v>0</v>
      </c>
      <c r="AU849" s="29">
        <f t="shared" si="771"/>
        <v>0</v>
      </c>
      <c r="AV849" s="34">
        <f t="shared" si="772"/>
        <v>0</v>
      </c>
      <c r="AW849" s="34">
        <f t="shared" si="773"/>
        <v>0</v>
      </c>
      <c r="AX849" s="29">
        <f t="shared" si="774"/>
        <v>0</v>
      </c>
      <c r="AY849" s="34">
        <f t="shared" si="775"/>
        <v>0</v>
      </c>
      <c r="AZ849" s="37">
        <f t="shared" si="776"/>
        <v>0</v>
      </c>
      <c r="BA849" s="37">
        <f t="shared" si="777"/>
        <v>0</v>
      </c>
      <c r="BB849" s="35">
        <f t="shared" si="778"/>
        <v>1.4713676651572083E-3</v>
      </c>
      <c r="BC849" s="31">
        <f t="shared" si="779"/>
        <v>0.28869286888327883</v>
      </c>
      <c r="BD849" s="34">
        <f t="shared" si="780"/>
        <v>0</v>
      </c>
    </row>
    <row r="850" spans="1:56" x14ac:dyDescent="0.2">
      <c r="A850" s="27">
        <f t="shared" si="781"/>
        <v>846</v>
      </c>
      <c r="B850" s="28">
        <f t="shared" si="728"/>
        <v>846</v>
      </c>
      <c r="C850" s="27">
        <f t="shared" si="729"/>
        <v>70</v>
      </c>
      <c r="D850" s="28">
        <f t="shared" si="730"/>
        <v>90</v>
      </c>
      <c r="E850" s="29">
        <f t="shared" si="731"/>
        <v>0</v>
      </c>
      <c r="F850" s="30">
        <f t="shared" si="732"/>
        <v>4.688133845078217E-2</v>
      </c>
      <c r="G850" s="31">
        <f t="shared" si="733"/>
        <v>3.9933278247695769E-3</v>
      </c>
      <c r="H850" s="32">
        <f t="shared" si="734"/>
        <v>0.02</v>
      </c>
      <c r="I850" s="32">
        <f t="shared" si="735"/>
        <v>0</v>
      </c>
      <c r="J850" s="33">
        <f t="shared" si="782"/>
        <v>0</v>
      </c>
      <c r="K850" s="30">
        <f t="shared" si="736"/>
        <v>0</v>
      </c>
      <c r="L850" s="33">
        <f t="shared" si="737"/>
        <v>0</v>
      </c>
      <c r="M850" s="30">
        <f t="shared" si="738"/>
        <v>0</v>
      </c>
      <c r="N850" s="33">
        <f t="shared" si="739"/>
        <v>0</v>
      </c>
      <c r="O850" s="31">
        <f t="shared" si="740"/>
        <v>0</v>
      </c>
      <c r="P850" s="33">
        <f t="shared" si="741"/>
        <v>0</v>
      </c>
      <c r="Q850" s="34">
        <f t="shared" si="783"/>
        <v>867829.47230128862</v>
      </c>
      <c r="R850" s="29">
        <f t="shared" si="742"/>
        <v>0</v>
      </c>
      <c r="S850" s="34">
        <f t="shared" si="743"/>
        <v>867829.47230128862</v>
      </c>
      <c r="T850" s="29">
        <f t="shared" si="744"/>
        <v>723.19122691774055</v>
      </c>
      <c r="U850" s="29">
        <f t="shared" si="745"/>
        <v>0</v>
      </c>
      <c r="V850" s="35">
        <f t="shared" si="746"/>
        <v>4.3926606072465348E-3</v>
      </c>
      <c r="W850" s="34">
        <f t="shared" si="747"/>
        <v>0</v>
      </c>
      <c r="X850" s="34">
        <f t="shared" si="748"/>
        <v>867106.28107437084</v>
      </c>
      <c r="Y850" s="36">
        <f t="shared" si="749"/>
        <v>5.5038830220235369E-3</v>
      </c>
      <c r="Z850" s="34">
        <f t="shared" si="750"/>
        <v>4772.4515386951989</v>
      </c>
      <c r="AA850" s="34">
        <f t="shared" si="751"/>
        <v>869492.50684371847</v>
      </c>
      <c r="AB850" s="34">
        <f t="shared" si="752"/>
        <v>0</v>
      </c>
      <c r="AC850" s="34">
        <f t="shared" si="753"/>
        <v>0</v>
      </c>
      <c r="AD850" s="34">
        <f t="shared" si="754"/>
        <v>0</v>
      </c>
      <c r="AE850" s="34">
        <f t="shared" si="755"/>
        <v>0</v>
      </c>
      <c r="AF850" s="34">
        <f t="shared" si="756"/>
        <v>0</v>
      </c>
      <c r="AG850" s="29">
        <f t="shared" si="757"/>
        <v>869492.50684371847</v>
      </c>
      <c r="AH850" s="34">
        <f t="shared" si="758"/>
        <v>0</v>
      </c>
      <c r="AI850" s="34">
        <f t="shared" si="759"/>
        <v>0</v>
      </c>
      <c r="AJ850" s="34">
        <f t="shared" si="760"/>
        <v>0</v>
      </c>
      <c r="AK850" s="34">
        <f t="shared" si="761"/>
        <v>0</v>
      </c>
      <c r="AL850" s="34">
        <f t="shared" si="762"/>
        <v>0</v>
      </c>
      <c r="AM850" s="34">
        <f t="shared" si="763"/>
        <v>0</v>
      </c>
      <c r="AN850" s="34">
        <f t="shared" si="764"/>
        <v>0</v>
      </c>
      <c r="AO850" s="34">
        <f t="shared" si="765"/>
        <v>0</v>
      </c>
      <c r="AP850" s="34">
        <f t="shared" si="766"/>
        <v>0</v>
      </c>
      <c r="AQ850" s="34">
        <f t="shared" si="767"/>
        <v>0</v>
      </c>
      <c r="AR850" s="34">
        <f t="shared" si="768"/>
        <v>0</v>
      </c>
      <c r="AS850" s="30">
        <f t="shared" si="769"/>
        <v>2.0167722253395222</v>
      </c>
      <c r="AT850" s="29">
        <f t="shared" si="770"/>
        <v>0</v>
      </c>
      <c r="AU850" s="29">
        <f t="shared" si="771"/>
        <v>0</v>
      </c>
      <c r="AV850" s="34">
        <f t="shared" si="772"/>
        <v>0</v>
      </c>
      <c r="AW850" s="34">
        <f t="shared" si="773"/>
        <v>0</v>
      </c>
      <c r="AX850" s="29">
        <f t="shared" si="774"/>
        <v>0</v>
      </c>
      <c r="AY850" s="34">
        <f t="shared" si="775"/>
        <v>0</v>
      </c>
      <c r="AZ850" s="37">
        <f t="shared" si="776"/>
        <v>0</v>
      </c>
      <c r="BA850" s="37">
        <f t="shared" si="777"/>
        <v>0</v>
      </c>
      <c r="BB850" s="35">
        <f t="shared" si="778"/>
        <v>1.4713676651572083E-3</v>
      </c>
      <c r="BC850" s="31">
        <f t="shared" si="779"/>
        <v>0.28826871961036787</v>
      </c>
      <c r="BD850" s="34">
        <f t="shared" si="780"/>
        <v>0</v>
      </c>
    </row>
    <row r="851" spans="1:56" x14ac:dyDescent="0.2">
      <c r="A851" s="27">
        <f t="shared" si="781"/>
        <v>847</v>
      </c>
      <c r="B851" s="28">
        <f t="shared" si="728"/>
        <v>847</v>
      </c>
      <c r="C851" s="27">
        <f t="shared" si="729"/>
        <v>70</v>
      </c>
      <c r="D851" s="28">
        <f t="shared" si="730"/>
        <v>90</v>
      </c>
      <c r="E851" s="29">
        <f t="shared" si="731"/>
        <v>0</v>
      </c>
      <c r="F851" s="30">
        <f t="shared" si="732"/>
        <v>4.688133845078217E-2</v>
      </c>
      <c r="G851" s="31">
        <f t="shared" si="733"/>
        <v>3.9933278247695769E-3</v>
      </c>
      <c r="H851" s="32">
        <f t="shared" si="734"/>
        <v>0.02</v>
      </c>
      <c r="I851" s="32">
        <f t="shared" si="735"/>
        <v>0</v>
      </c>
      <c r="J851" s="33">
        <f t="shared" si="782"/>
        <v>0</v>
      </c>
      <c r="K851" s="30">
        <f t="shared" si="736"/>
        <v>0</v>
      </c>
      <c r="L851" s="33">
        <f t="shared" si="737"/>
        <v>0</v>
      </c>
      <c r="M851" s="30">
        <f t="shared" si="738"/>
        <v>0</v>
      </c>
      <c r="N851" s="33">
        <f t="shared" si="739"/>
        <v>0</v>
      </c>
      <c r="O851" s="31">
        <f t="shared" si="740"/>
        <v>0</v>
      </c>
      <c r="P851" s="33">
        <f t="shared" si="741"/>
        <v>0</v>
      </c>
      <c r="Q851" s="34">
        <f t="shared" si="783"/>
        <v>871878.73261306609</v>
      </c>
      <c r="R851" s="29">
        <f t="shared" si="742"/>
        <v>0</v>
      </c>
      <c r="S851" s="34">
        <f t="shared" si="743"/>
        <v>871878.73261306609</v>
      </c>
      <c r="T851" s="29">
        <f t="shared" si="744"/>
        <v>726.5656105108884</v>
      </c>
      <c r="U851" s="29">
        <f t="shared" si="745"/>
        <v>0</v>
      </c>
      <c r="V851" s="35">
        <f t="shared" si="746"/>
        <v>4.3926606072465348E-3</v>
      </c>
      <c r="W851" s="34">
        <f t="shared" si="747"/>
        <v>0</v>
      </c>
      <c r="X851" s="34">
        <f t="shared" si="748"/>
        <v>871152.16700255522</v>
      </c>
      <c r="Y851" s="36">
        <f t="shared" si="749"/>
        <v>-5.7535661742605937E-3</v>
      </c>
      <c r="Z851" s="34">
        <f t="shared" si="750"/>
        <v>-5012.231640699717</v>
      </c>
      <c r="AA851" s="34">
        <f t="shared" si="751"/>
        <v>868646.05118220532</v>
      </c>
      <c r="AB851" s="34">
        <f t="shared" si="752"/>
        <v>0</v>
      </c>
      <c r="AC851" s="34">
        <f t="shared" si="753"/>
        <v>0</v>
      </c>
      <c r="AD851" s="34">
        <f t="shared" si="754"/>
        <v>0</v>
      </c>
      <c r="AE851" s="34">
        <f t="shared" si="755"/>
        <v>0</v>
      </c>
      <c r="AF851" s="34">
        <f t="shared" si="756"/>
        <v>0</v>
      </c>
      <c r="AG851" s="29">
        <f t="shared" si="757"/>
        <v>868646.05118220532</v>
      </c>
      <c r="AH851" s="34">
        <f t="shared" si="758"/>
        <v>0</v>
      </c>
      <c r="AI851" s="34">
        <f t="shared" si="759"/>
        <v>0</v>
      </c>
      <c r="AJ851" s="34">
        <f t="shared" si="760"/>
        <v>0</v>
      </c>
      <c r="AK851" s="34">
        <f t="shared" si="761"/>
        <v>0</v>
      </c>
      <c r="AL851" s="34">
        <f t="shared" si="762"/>
        <v>0</v>
      </c>
      <c r="AM851" s="34">
        <f t="shared" si="763"/>
        <v>0</v>
      </c>
      <c r="AN851" s="34">
        <f t="shared" si="764"/>
        <v>0</v>
      </c>
      <c r="AO851" s="34">
        <f t="shared" si="765"/>
        <v>0</v>
      </c>
      <c r="AP851" s="34">
        <f t="shared" si="766"/>
        <v>0</v>
      </c>
      <c r="AQ851" s="34">
        <f t="shared" si="767"/>
        <v>0</v>
      </c>
      <c r="AR851" s="34">
        <f t="shared" si="768"/>
        <v>0</v>
      </c>
      <c r="AS851" s="30">
        <f t="shared" si="769"/>
        <v>2.0184452147683958</v>
      </c>
      <c r="AT851" s="29">
        <f t="shared" si="770"/>
        <v>0</v>
      </c>
      <c r="AU851" s="29">
        <f t="shared" si="771"/>
        <v>0</v>
      </c>
      <c r="AV851" s="34">
        <f t="shared" si="772"/>
        <v>0</v>
      </c>
      <c r="AW851" s="34">
        <f t="shared" si="773"/>
        <v>0</v>
      </c>
      <c r="AX851" s="29">
        <f t="shared" si="774"/>
        <v>0</v>
      </c>
      <c r="AY851" s="34">
        <f t="shared" si="775"/>
        <v>0</v>
      </c>
      <c r="AZ851" s="37">
        <f t="shared" si="776"/>
        <v>0</v>
      </c>
      <c r="BA851" s="37">
        <f t="shared" si="777"/>
        <v>0</v>
      </c>
      <c r="BB851" s="35">
        <f t="shared" si="778"/>
        <v>1.4713676651572083E-3</v>
      </c>
      <c r="BC851" s="31">
        <f t="shared" si="779"/>
        <v>0.28784519350008086</v>
      </c>
      <c r="BD851" s="34">
        <f t="shared" si="780"/>
        <v>0</v>
      </c>
    </row>
    <row r="852" spans="1:56" x14ac:dyDescent="0.2">
      <c r="A852" s="27">
        <f t="shared" si="781"/>
        <v>848</v>
      </c>
      <c r="B852" s="28">
        <f t="shared" si="728"/>
        <v>848</v>
      </c>
      <c r="C852" s="27">
        <f t="shared" si="729"/>
        <v>70</v>
      </c>
      <c r="D852" s="28">
        <f t="shared" si="730"/>
        <v>90</v>
      </c>
      <c r="E852" s="29">
        <f t="shared" si="731"/>
        <v>0</v>
      </c>
      <c r="F852" s="30">
        <f t="shared" si="732"/>
        <v>4.688133845078217E-2</v>
      </c>
      <c r="G852" s="31">
        <f t="shared" si="733"/>
        <v>3.9933278247695769E-3</v>
      </c>
      <c r="H852" s="32">
        <f t="shared" si="734"/>
        <v>0.02</v>
      </c>
      <c r="I852" s="32">
        <f t="shared" si="735"/>
        <v>0</v>
      </c>
      <c r="J852" s="33">
        <f t="shared" si="782"/>
        <v>0</v>
      </c>
      <c r="K852" s="30">
        <f t="shared" si="736"/>
        <v>0</v>
      </c>
      <c r="L852" s="33">
        <f t="shared" si="737"/>
        <v>0</v>
      </c>
      <c r="M852" s="30">
        <f t="shared" si="738"/>
        <v>0</v>
      </c>
      <c r="N852" s="33">
        <f t="shared" si="739"/>
        <v>0</v>
      </c>
      <c r="O852" s="31">
        <f t="shared" si="740"/>
        <v>0</v>
      </c>
      <c r="P852" s="33">
        <f t="shared" si="741"/>
        <v>0</v>
      </c>
      <c r="Q852" s="34">
        <f t="shared" si="783"/>
        <v>866139.93536185555</v>
      </c>
      <c r="R852" s="29">
        <f t="shared" si="742"/>
        <v>0</v>
      </c>
      <c r="S852" s="34">
        <f t="shared" si="743"/>
        <v>866139.93536185555</v>
      </c>
      <c r="T852" s="29">
        <f t="shared" si="744"/>
        <v>721.78327946821298</v>
      </c>
      <c r="U852" s="29">
        <f t="shared" si="745"/>
        <v>0</v>
      </c>
      <c r="V852" s="35">
        <f t="shared" si="746"/>
        <v>4.3926606072465348E-3</v>
      </c>
      <c r="W852" s="34">
        <f t="shared" si="747"/>
        <v>0</v>
      </c>
      <c r="X852" s="34">
        <f t="shared" si="748"/>
        <v>865418.15208238736</v>
      </c>
      <c r="Y852" s="36">
        <f t="shared" si="749"/>
        <v>5.2438998680104376E-4</v>
      </c>
      <c r="Z852" s="34">
        <f t="shared" si="750"/>
        <v>453.81661334786679</v>
      </c>
      <c r="AA852" s="34">
        <f t="shared" si="751"/>
        <v>865645.06038906134</v>
      </c>
      <c r="AB852" s="34">
        <f t="shared" si="752"/>
        <v>0</v>
      </c>
      <c r="AC852" s="34">
        <f t="shared" si="753"/>
        <v>0</v>
      </c>
      <c r="AD852" s="34">
        <f t="shared" si="754"/>
        <v>0</v>
      </c>
      <c r="AE852" s="34">
        <f t="shared" si="755"/>
        <v>0</v>
      </c>
      <c r="AF852" s="34">
        <f t="shared" si="756"/>
        <v>0</v>
      </c>
      <c r="AG852" s="29">
        <f t="shared" si="757"/>
        <v>865645.06038906134</v>
      </c>
      <c r="AH852" s="34">
        <f t="shared" si="758"/>
        <v>0</v>
      </c>
      <c r="AI852" s="34">
        <f t="shared" si="759"/>
        <v>0</v>
      </c>
      <c r="AJ852" s="34">
        <f t="shared" si="760"/>
        <v>0</v>
      </c>
      <c r="AK852" s="34">
        <f t="shared" si="761"/>
        <v>0</v>
      </c>
      <c r="AL852" s="34">
        <f t="shared" si="762"/>
        <v>0</v>
      </c>
      <c r="AM852" s="34">
        <f t="shared" si="763"/>
        <v>0</v>
      </c>
      <c r="AN852" s="34">
        <f t="shared" si="764"/>
        <v>0</v>
      </c>
      <c r="AO852" s="34">
        <f t="shared" si="765"/>
        <v>0</v>
      </c>
      <c r="AP852" s="34">
        <f t="shared" si="766"/>
        <v>0</v>
      </c>
      <c r="AQ852" s="34">
        <f t="shared" si="767"/>
        <v>0</v>
      </c>
      <c r="AR852" s="34">
        <f t="shared" si="768"/>
        <v>0</v>
      </c>
      <c r="AS852" s="30">
        <f t="shared" si="769"/>
        <v>2.0201195920057664</v>
      </c>
      <c r="AT852" s="29">
        <f t="shared" si="770"/>
        <v>0</v>
      </c>
      <c r="AU852" s="29">
        <f t="shared" si="771"/>
        <v>0</v>
      </c>
      <c r="AV852" s="34">
        <f t="shared" si="772"/>
        <v>0</v>
      </c>
      <c r="AW852" s="34">
        <f t="shared" si="773"/>
        <v>0</v>
      </c>
      <c r="AX852" s="29">
        <f t="shared" si="774"/>
        <v>0</v>
      </c>
      <c r="AY852" s="34">
        <f t="shared" si="775"/>
        <v>0</v>
      </c>
      <c r="AZ852" s="37">
        <f t="shared" si="776"/>
        <v>0</v>
      </c>
      <c r="BA852" s="37">
        <f t="shared" si="777"/>
        <v>0</v>
      </c>
      <c r="BB852" s="35">
        <f t="shared" si="778"/>
        <v>1.4713676651572083E-3</v>
      </c>
      <c r="BC852" s="31">
        <f t="shared" si="779"/>
        <v>0.28742228963686373</v>
      </c>
      <c r="BD852" s="34">
        <f t="shared" si="780"/>
        <v>0</v>
      </c>
    </row>
    <row r="853" spans="1:56" x14ac:dyDescent="0.2">
      <c r="A853" s="27">
        <f t="shared" si="781"/>
        <v>849</v>
      </c>
      <c r="B853" s="28">
        <f t="shared" si="728"/>
        <v>849</v>
      </c>
      <c r="C853" s="27">
        <f t="shared" si="729"/>
        <v>70</v>
      </c>
      <c r="D853" s="28">
        <f t="shared" si="730"/>
        <v>90</v>
      </c>
      <c r="E853" s="29">
        <f t="shared" si="731"/>
        <v>0</v>
      </c>
      <c r="F853" s="30">
        <f t="shared" si="732"/>
        <v>4.688133845078217E-2</v>
      </c>
      <c r="G853" s="31">
        <f t="shared" si="733"/>
        <v>3.9933278247695769E-3</v>
      </c>
      <c r="H853" s="32">
        <f t="shared" si="734"/>
        <v>0.02</v>
      </c>
      <c r="I853" s="32">
        <f t="shared" si="735"/>
        <v>0</v>
      </c>
      <c r="J853" s="33">
        <f t="shared" si="782"/>
        <v>0</v>
      </c>
      <c r="K853" s="30">
        <f t="shared" si="736"/>
        <v>0</v>
      </c>
      <c r="L853" s="33">
        <f t="shared" si="737"/>
        <v>0</v>
      </c>
      <c r="M853" s="30">
        <f t="shared" si="738"/>
        <v>0</v>
      </c>
      <c r="N853" s="33">
        <f t="shared" si="739"/>
        <v>0</v>
      </c>
      <c r="O853" s="31">
        <f t="shared" si="740"/>
        <v>0</v>
      </c>
      <c r="P853" s="33">
        <f t="shared" si="741"/>
        <v>0</v>
      </c>
      <c r="Q853" s="34">
        <f t="shared" si="783"/>
        <v>865871.96869573521</v>
      </c>
      <c r="R853" s="29">
        <f t="shared" si="742"/>
        <v>0</v>
      </c>
      <c r="S853" s="34">
        <f t="shared" si="743"/>
        <v>865871.96869573521</v>
      </c>
      <c r="T853" s="29">
        <f t="shared" si="744"/>
        <v>721.55997391311269</v>
      </c>
      <c r="U853" s="29">
        <f t="shared" si="745"/>
        <v>0</v>
      </c>
      <c r="V853" s="35">
        <f t="shared" si="746"/>
        <v>4.3926606072465348E-3</v>
      </c>
      <c r="W853" s="34">
        <f t="shared" si="747"/>
        <v>0</v>
      </c>
      <c r="X853" s="34">
        <f t="shared" si="748"/>
        <v>865150.40872182208</v>
      </c>
      <c r="Y853" s="36">
        <f t="shared" si="749"/>
        <v>4.9673580503442061E-3</v>
      </c>
      <c r="Z853" s="34">
        <f t="shared" si="750"/>
        <v>4297.5118475229228</v>
      </c>
      <c r="AA853" s="34">
        <f t="shared" si="751"/>
        <v>867299.16464558349</v>
      </c>
      <c r="AB853" s="34">
        <f t="shared" si="752"/>
        <v>0</v>
      </c>
      <c r="AC853" s="34">
        <f t="shared" si="753"/>
        <v>0</v>
      </c>
      <c r="AD853" s="34">
        <f t="shared" si="754"/>
        <v>0</v>
      </c>
      <c r="AE853" s="34">
        <f t="shared" si="755"/>
        <v>0</v>
      </c>
      <c r="AF853" s="34">
        <f t="shared" si="756"/>
        <v>0</v>
      </c>
      <c r="AG853" s="29">
        <f t="shared" si="757"/>
        <v>867299.16464558349</v>
      </c>
      <c r="AH853" s="34">
        <f t="shared" si="758"/>
        <v>0</v>
      </c>
      <c r="AI853" s="34">
        <f t="shared" si="759"/>
        <v>0</v>
      </c>
      <c r="AJ853" s="34">
        <f t="shared" si="760"/>
        <v>0</v>
      </c>
      <c r="AK853" s="34">
        <f t="shared" si="761"/>
        <v>0</v>
      </c>
      <c r="AL853" s="34">
        <f t="shared" si="762"/>
        <v>0</v>
      </c>
      <c r="AM853" s="34">
        <f t="shared" si="763"/>
        <v>0</v>
      </c>
      <c r="AN853" s="34">
        <f t="shared" si="764"/>
        <v>0</v>
      </c>
      <c r="AO853" s="34">
        <f t="shared" si="765"/>
        <v>0</v>
      </c>
      <c r="AP853" s="34">
        <f t="shared" si="766"/>
        <v>0</v>
      </c>
      <c r="AQ853" s="34">
        <f t="shared" si="767"/>
        <v>0</v>
      </c>
      <c r="AR853" s="34">
        <f t="shared" si="768"/>
        <v>0</v>
      </c>
      <c r="AS853" s="30">
        <f t="shared" si="769"/>
        <v>2.0217953582028727</v>
      </c>
      <c r="AT853" s="29">
        <f t="shared" si="770"/>
        <v>0</v>
      </c>
      <c r="AU853" s="29">
        <f t="shared" si="771"/>
        <v>0</v>
      </c>
      <c r="AV853" s="34">
        <f t="shared" si="772"/>
        <v>0</v>
      </c>
      <c r="AW853" s="34">
        <f t="shared" si="773"/>
        <v>0</v>
      </c>
      <c r="AX853" s="29">
        <f t="shared" si="774"/>
        <v>0</v>
      </c>
      <c r="AY853" s="34">
        <f t="shared" si="775"/>
        <v>0</v>
      </c>
      <c r="AZ853" s="37">
        <f t="shared" si="776"/>
        <v>0</v>
      </c>
      <c r="BA853" s="37">
        <f t="shared" si="777"/>
        <v>0</v>
      </c>
      <c r="BB853" s="35">
        <f t="shared" si="778"/>
        <v>1.4713676651572083E-3</v>
      </c>
      <c r="BC853" s="31">
        <f t="shared" si="779"/>
        <v>0.2870000071065073</v>
      </c>
      <c r="BD853" s="34">
        <f t="shared" si="780"/>
        <v>0</v>
      </c>
    </row>
    <row r="854" spans="1:56" x14ac:dyDescent="0.2">
      <c r="A854" s="27">
        <f t="shared" si="781"/>
        <v>850</v>
      </c>
      <c r="B854" s="28">
        <f t="shared" si="728"/>
        <v>850</v>
      </c>
      <c r="C854" s="27">
        <f t="shared" si="729"/>
        <v>70</v>
      </c>
      <c r="D854" s="28">
        <f t="shared" si="730"/>
        <v>90</v>
      </c>
      <c r="E854" s="29">
        <f t="shared" si="731"/>
        <v>0</v>
      </c>
      <c r="F854" s="30">
        <f t="shared" si="732"/>
        <v>4.688133845078217E-2</v>
      </c>
      <c r="G854" s="31">
        <f t="shared" si="733"/>
        <v>3.9933278247695769E-3</v>
      </c>
      <c r="H854" s="32">
        <f t="shared" si="734"/>
        <v>0.02</v>
      </c>
      <c r="I854" s="32">
        <f t="shared" si="735"/>
        <v>0</v>
      </c>
      <c r="J854" s="33">
        <f t="shared" si="782"/>
        <v>0</v>
      </c>
      <c r="K854" s="30">
        <f t="shared" si="736"/>
        <v>0</v>
      </c>
      <c r="L854" s="33">
        <f t="shared" si="737"/>
        <v>0</v>
      </c>
      <c r="M854" s="30">
        <f t="shared" si="738"/>
        <v>0</v>
      </c>
      <c r="N854" s="33">
        <f t="shared" si="739"/>
        <v>0</v>
      </c>
      <c r="O854" s="31">
        <f t="shared" si="740"/>
        <v>0</v>
      </c>
      <c r="P854" s="33">
        <f t="shared" si="741"/>
        <v>0</v>
      </c>
      <c r="Q854" s="34">
        <f t="shared" si="783"/>
        <v>869447.92056934501</v>
      </c>
      <c r="R854" s="29">
        <f t="shared" si="742"/>
        <v>0</v>
      </c>
      <c r="S854" s="34">
        <f t="shared" si="743"/>
        <v>869447.92056934501</v>
      </c>
      <c r="T854" s="29">
        <f t="shared" si="744"/>
        <v>724.53993380778752</v>
      </c>
      <c r="U854" s="29">
        <f t="shared" si="745"/>
        <v>0</v>
      </c>
      <c r="V854" s="35">
        <f t="shared" si="746"/>
        <v>4.3926606072465348E-3</v>
      </c>
      <c r="W854" s="34">
        <f t="shared" si="747"/>
        <v>0</v>
      </c>
      <c r="X854" s="34">
        <f t="shared" si="748"/>
        <v>868723.38063553721</v>
      </c>
      <c r="Y854" s="36">
        <f t="shared" si="749"/>
        <v>7.5979035792614891E-3</v>
      </c>
      <c r="Z854" s="34">
        <f t="shared" si="750"/>
        <v>6600.4764831188895</v>
      </c>
      <c r="AA854" s="34">
        <f t="shared" si="751"/>
        <v>872023.61887709668</v>
      </c>
      <c r="AB854" s="34">
        <f t="shared" si="752"/>
        <v>0</v>
      </c>
      <c r="AC854" s="34">
        <f t="shared" si="753"/>
        <v>0</v>
      </c>
      <c r="AD854" s="34">
        <f t="shared" si="754"/>
        <v>0</v>
      </c>
      <c r="AE854" s="34">
        <f t="shared" si="755"/>
        <v>0</v>
      </c>
      <c r="AF854" s="34">
        <f t="shared" si="756"/>
        <v>0</v>
      </c>
      <c r="AG854" s="29">
        <f t="shared" si="757"/>
        <v>872023.61887709668</v>
      </c>
      <c r="AH854" s="34">
        <f t="shared" si="758"/>
        <v>0</v>
      </c>
      <c r="AI854" s="34">
        <f t="shared" si="759"/>
        <v>0</v>
      </c>
      <c r="AJ854" s="34">
        <f t="shared" si="760"/>
        <v>0</v>
      </c>
      <c r="AK854" s="34">
        <f t="shared" si="761"/>
        <v>0</v>
      </c>
      <c r="AL854" s="34">
        <f t="shared" si="762"/>
        <v>0</v>
      </c>
      <c r="AM854" s="34">
        <f t="shared" si="763"/>
        <v>0</v>
      </c>
      <c r="AN854" s="34">
        <f t="shared" si="764"/>
        <v>0</v>
      </c>
      <c r="AO854" s="34">
        <f t="shared" si="765"/>
        <v>0</v>
      </c>
      <c r="AP854" s="34">
        <f t="shared" si="766"/>
        <v>0</v>
      </c>
      <c r="AQ854" s="34">
        <f t="shared" si="767"/>
        <v>0</v>
      </c>
      <c r="AR854" s="34">
        <f t="shared" si="768"/>
        <v>0</v>
      </c>
      <c r="AS854" s="30">
        <f t="shared" si="769"/>
        <v>2.0234725145119099</v>
      </c>
      <c r="AT854" s="29">
        <f t="shared" si="770"/>
        <v>0</v>
      </c>
      <c r="AU854" s="29">
        <f t="shared" si="771"/>
        <v>0</v>
      </c>
      <c r="AV854" s="34">
        <f t="shared" si="772"/>
        <v>0</v>
      </c>
      <c r="AW854" s="34">
        <f t="shared" si="773"/>
        <v>0</v>
      </c>
      <c r="AX854" s="29">
        <f t="shared" si="774"/>
        <v>0</v>
      </c>
      <c r="AY854" s="34">
        <f t="shared" si="775"/>
        <v>0</v>
      </c>
      <c r="AZ854" s="37">
        <f t="shared" si="776"/>
        <v>0</v>
      </c>
      <c r="BA854" s="37">
        <f t="shared" si="777"/>
        <v>0</v>
      </c>
      <c r="BB854" s="35">
        <f t="shared" si="778"/>
        <v>1.4713676651572083E-3</v>
      </c>
      <c r="BC854" s="31">
        <f t="shared" si="779"/>
        <v>0.28657834499614571</v>
      </c>
      <c r="BD854" s="34">
        <f t="shared" si="780"/>
        <v>0</v>
      </c>
    </row>
    <row r="855" spans="1:56" x14ac:dyDescent="0.2">
      <c r="A855" s="27">
        <f t="shared" si="781"/>
        <v>851</v>
      </c>
      <c r="B855" s="28">
        <f t="shared" si="728"/>
        <v>851</v>
      </c>
      <c r="C855" s="27">
        <f t="shared" si="729"/>
        <v>70</v>
      </c>
      <c r="D855" s="28">
        <f t="shared" si="730"/>
        <v>90</v>
      </c>
      <c r="E855" s="29">
        <f t="shared" si="731"/>
        <v>0</v>
      </c>
      <c r="F855" s="30">
        <f t="shared" si="732"/>
        <v>4.688133845078217E-2</v>
      </c>
      <c r="G855" s="31">
        <f t="shared" si="733"/>
        <v>3.9933278247695769E-3</v>
      </c>
      <c r="H855" s="32">
        <f t="shared" si="734"/>
        <v>0.02</v>
      </c>
      <c r="I855" s="32">
        <f t="shared" si="735"/>
        <v>0</v>
      </c>
      <c r="J855" s="33">
        <f t="shared" si="782"/>
        <v>0</v>
      </c>
      <c r="K855" s="30">
        <f t="shared" si="736"/>
        <v>0</v>
      </c>
      <c r="L855" s="33">
        <f t="shared" si="737"/>
        <v>0</v>
      </c>
      <c r="M855" s="30">
        <f t="shared" si="738"/>
        <v>0</v>
      </c>
      <c r="N855" s="33">
        <f t="shared" si="739"/>
        <v>0</v>
      </c>
      <c r="O855" s="31">
        <f t="shared" si="740"/>
        <v>0</v>
      </c>
      <c r="P855" s="33">
        <f t="shared" si="741"/>
        <v>0</v>
      </c>
      <c r="Q855" s="34">
        <f t="shared" si="783"/>
        <v>875323.85711865604</v>
      </c>
      <c r="R855" s="29">
        <f t="shared" si="742"/>
        <v>0</v>
      </c>
      <c r="S855" s="34">
        <f t="shared" si="743"/>
        <v>875323.85711865604</v>
      </c>
      <c r="T855" s="29">
        <f t="shared" si="744"/>
        <v>729.43654759888011</v>
      </c>
      <c r="U855" s="29">
        <f t="shared" si="745"/>
        <v>0</v>
      </c>
      <c r="V855" s="35">
        <f t="shared" si="746"/>
        <v>4.3926606072465348E-3</v>
      </c>
      <c r="W855" s="34">
        <f t="shared" si="747"/>
        <v>0</v>
      </c>
      <c r="X855" s="34">
        <f t="shared" si="748"/>
        <v>874594.42057105713</v>
      </c>
      <c r="Y855" s="36">
        <f t="shared" si="749"/>
        <v>1.2158347599541042E-2</v>
      </c>
      <c r="Z855" s="34">
        <f t="shared" si="750"/>
        <v>10633.6229739221</v>
      </c>
      <c r="AA855" s="34">
        <f t="shared" si="751"/>
        <v>879911.23205801821</v>
      </c>
      <c r="AB855" s="34">
        <f t="shared" si="752"/>
        <v>0</v>
      </c>
      <c r="AC855" s="34">
        <f t="shared" si="753"/>
        <v>0</v>
      </c>
      <c r="AD855" s="34">
        <f t="shared" si="754"/>
        <v>0</v>
      </c>
      <c r="AE855" s="34">
        <f t="shared" si="755"/>
        <v>0</v>
      </c>
      <c r="AF855" s="34">
        <f t="shared" si="756"/>
        <v>0</v>
      </c>
      <c r="AG855" s="29">
        <f t="shared" si="757"/>
        <v>879911.23205801821</v>
      </c>
      <c r="AH855" s="34">
        <f t="shared" si="758"/>
        <v>0</v>
      </c>
      <c r="AI855" s="34">
        <f t="shared" si="759"/>
        <v>0</v>
      </c>
      <c r="AJ855" s="34">
        <f t="shared" si="760"/>
        <v>0</v>
      </c>
      <c r="AK855" s="34">
        <f t="shared" si="761"/>
        <v>0</v>
      </c>
      <c r="AL855" s="34">
        <f t="shared" si="762"/>
        <v>0</v>
      </c>
      <c r="AM855" s="34">
        <f t="shared" si="763"/>
        <v>0</v>
      </c>
      <c r="AN855" s="34">
        <f t="shared" si="764"/>
        <v>0</v>
      </c>
      <c r="AO855" s="34">
        <f t="shared" si="765"/>
        <v>0</v>
      </c>
      <c r="AP855" s="34">
        <f t="shared" si="766"/>
        <v>0</v>
      </c>
      <c r="AQ855" s="34">
        <f t="shared" si="767"/>
        <v>0</v>
      </c>
      <c r="AR855" s="34">
        <f t="shared" si="768"/>
        <v>0</v>
      </c>
      <c r="AS855" s="30">
        <f t="shared" si="769"/>
        <v>2.0251510620860298</v>
      </c>
      <c r="AT855" s="29">
        <f t="shared" si="770"/>
        <v>0</v>
      </c>
      <c r="AU855" s="29">
        <f t="shared" si="771"/>
        <v>0</v>
      </c>
      <c r="AV855" s="34">
        <f t="shared" si="772"/>
        <v>0</v>
      </c>
      <c r="AW855" s="34">
        <f t="shared" si="773"/>
        <v>0</v>
      </c>
      <c r="AX855" s="29">
        <f t="shared" si="774"/>
        <v>0</v>
      </c>
      <c r="AY855" s="34">
        <f t="shared" si="775"/>
        <v>0</v>
      </c>
      <c r="AZ855" s="37">
        <f t="shared" si="776"/>
        <v>0</v>
      </c>
      <c r="BA855" s="37">
        <f t="shared" si="777"/>
        <v>0</v>
      </c>
      <c r="BB855" s="35">
        <f t="shared" si="778"/>
        <v>1.4713676651572083E-3</v>
      </c>
      <c r="BC855" s="31">
        <f t="shared" si="779"/>
        <v>0.28615730239425413</v>
      </c>
      <c r="BD855" s="34">
        <f t="shared" si="780"/>
        <v>0</v>
      </c>
    </row>
    <row r="856" spans="1:56" x14ac:dyDescent="0.2">
      <c r="A856" s="27">
        <f t="shared" si="781"/>
        <v>852</v>
      </c>
      <c r="B856" s="28">
        <f t="shared" si="728"/>
        <v>852</v>
      </c>
      <c r="C856" s="27">
        <f t="shared" si="729"/>
        <v>71</v>
      </c>
      <c r="D856" s="28">
        <f t="shared" si="730"/>
        <v>91</v>
      </c>
      <c r="E856" s="29">
        <f t="shared" si="731"/>
        <v>0</v>
      </c>
      <c r="F856" s="30">
        <f t="shared" si="732"/>
        <v>5.2993944536433461E-2</v>
      </c>
      <c r="G856" s="31">
        <f t="shared" si="733"/>
        <v>4.5272037992336589E-3</v>
      </c>
      <c r="H856" s="32">
        <f t="shared" si="734"/>
        <v>0.02</v>
      </c>
      <c r="I856" s="32">
        <f t="shared" si="735"/>
        <v>0</v>
      </c>
      <c r="J856" s="33">
        <f t="shared" si="782"/>
        <v>0</v>
      </c>
      <c r="K856" s="30">
        <f t="shared" si="736"/>
        <v>0</v>
      </c>
      <c r="L856" s="33">
        <f t="shared" si="737"/>
        <v>0</v>
      </c>
      <c r="M856" s="30">
        <f t="shared" si="738"/>
        <v>0</v>
      </c>
      <c r="N856" s="33">
        <f t="shared" si="739"/>
        <v>0</v>
      </c>
      <c r="O856" s="31">
        <f t="shared" si="740"/>
        <v>0</v>
      </c>
      <c r="P856" s="33">
        <f t="shared" si="741"/>
        <v>0</v>
      </c>
      <c r="Q856" s="34">
        <f t="shared" si="783"/>
        <v>885228.04354497918</v>
      </c>
      <c r="R856" s="29">
        <f t="shared" si="742"/>
        <v>0</v>
      </c>
      <c r="S856" s="34">
        <f t="shared" si="743"/>
        <v>885228.04354497918</v>
      </c>
      <c r="T856" s="29">
        <f t="shared" si="744"/>
        <v>737.69003628748271</v>
      </c>
      <c r="U856" s="29">
        <f t="shared" si="745"/>
        <v>0</v>
      </c>
      <c r="V856" s="35">
        <f t="shared" si="746"/>
        <v>4.9799241791570253E-3</v>
      </c>
      <c r="W856" s="34">
        <f t="shared" si="747"/>
        <v>0</v>
      </c>
      <c r="X856" s="34">
        <f t="shared" si="748"/>
        <v>884490.35350869165</v>
      </c>
      <c r="Y856" s="36">
        <f t="shared" si="749"/>
        <v>-7.4072466053919372E-3</v>
      </c>
      <c r="Z856" s="34">
        <f t="shared" si="750"/>
        <v>-6551.6381685291708</v>
      </c>
      <c r="AA856" s="34">
        <f t="shared" si="751"/>
        <v>881214.53442442708</v>
      </c>
      <c r="AB856" s="34">
        <f t="shared" si="752"/>
        <v>0</v>
      </c>
      <c r="AC856" s="34">
        <f t="shared" si="753"/>
        <v>0</v>
      </c>
      <c r="AD856" s="34">
        <f t="shared" si="754"/>
        <v>0</v>
      </c>
      <c r="AE856" s="34">
        <f t="shared" si="755"/>
        <v>0</v>
      </c>
      <c r="AF856" s="34">
        <f t="shared" si="756"/>
        <v>0</v>
      </c>
      <c r="AG856" s="29">
        <f t="shared" si="757"/>
        <v>881214.53442442708</v>
      </c>
      <c r="AH856" s="34">
        <f t="shared" si="758"/>
        <v>0</v>
      </c>
      <c r="AI856" s="34">
        <f t="shared" si="759"/>
        <v>0</v>
      </c>
      <c r="AJ856" s="34">
        <f t="shared" si="760"/>
        <v>0</v>
      </c>
      <c r="AK856" s="34">
        <f t="shared" si="761"/>
        <v>0</v>
      </c>
      <c r="AL856" s="34">
        <f t="shared" si="762"/>
        <v>0</v>
      </c>
      <c r="AM856" s="34">
        <f t="shared" si="763"/>
        <v>0</v>
      </c>
      <c r="AN856" s="34">
        <f t="shared" si="764"/>
        <v>0</v>
      </c>
      <c r="AO856" s="34">
        <f t="shared" si="765"/>
        <v>0</v>
      </c>
      <c r="AP856" s="34">
        <f t="shared" si="766"/>
        <v>0</v>
      </c>
      <c r="AQ856" s="34">
        <f t="shared" si="767"/>
        <v>0</v>
      </c>
      <c r="AR856" s="34">
        <f t="shared" si="768"/>
        <v>0</v>
      </c>
      <c r="AS856" s="30">
        <f t="shared" si="769"/>
        <v>2.0268310020793385</v>
      </c>
      <c r="AT856" s="29">
        <f t="shared" si="770"/>
        <v>0</v>
      </c>
      <c r="AU856" s="29">
        <f t="shared" si="771"/>
        <v>0</v>
      </c>
      <c r="AV856" s="34">
        <f t="shared" si="772"/>
        <v>0</v>
      </c>
      <c r="AW856" s="34">
        <f t="shared" si="773"/>
        <v>0</v>
      </c>
      <c r="AX856" s="29">
        <f t="shared" si="774"/>
        <v>0</v>
      </c>
      <c r="AY856" s="34">
        <f t="shared" si="775"/>
        <v>0</v>
      </c>
      <c r="AZ856" s="37">
        <f t="shared" si="776"/>
        <v>0</v>
      </c>
      <c r="BA856" s="37">
        <f t="shared" si="777"/>
        <v>0</v>
      </c>
      <c r="BB856" s="35">
        <f t="shared" si="778"/>
        <v>1.4976027364341782E-3</v>
      </c>
      <c r="BC856" s="31">
        <f t="shared" si="779"/>
        <v>0.27943011720502109</v>
      </c>
      <c r="BD856" s="34">
        <f t="shared" si="780"/>
        <v>0</v>
      </c>
    </row>
    <row r="857" spans="1:56" x14ac:dyDescent="0.2">
      <c r="A857" s="27">
        <f t="shared" si="781"/>
        <v>853</v>
      </c>
      <c r="B857" s="28">
        <f t="shared" si="728"/>
        <v>853</v>
      </c>
      <c r="C857" s="27">
        <f t="shared" si="729"/>
        <v>71</v>
      </c>
      <c r="D857" s="28">
        <f t="shared" si="730"/>
        <v>91</v>
      </c>
      <c r="E857" s="29">
        <f t="shared" si="731"/>
        <v>0</v>
      </c>
      <c r="F857" s="30">
        <f t="shared" si="732"/>
        <v>5.2993944536433461E-2</v>
      </c>
      <c r="G857" s="31">
        <f t="shared" si="733"/>
        <v>4.5272037992336589E-3</v>
      </c>
      <c r="H857" s="32">
        <f t="shared" si="734"/>
        <v>0.02</v>
      </c>
      <c r="I857" s="32">
        <f t="shared" si="735"/>
        <v>0</v>
      </c>
      <c r="J857" s="33">
        <f t="shared" si="782"/>
        <v>0</v>
      </c>
      <c r="K857" s="30">
        <f t="shared" si="736"/>
        <v>0</v>
      </c>
      <c r="L857" s="33">
        <f t="shared" si="737"/>
        <v>0</v>
      </c>
      <c r="M857" s="30">
        <f t="shared" si="738"/>
        <v>0</v>
      </c>
      <c r="N857" s="33">
        <f t="shared" si="739"/>
        <v>0</v>
      </c>
      <c r="O857" s="31">
        <f t="shared" si="740"/>
        <v>0</v>
      </c>
      <c r="P857" s="33">
        <f t="shared" si="741"/>
        <v>0</v>
      </c>
      <c r="Q857" s="34">
        <f t="shared" si="783"/>
        <v>877938.71534016251</v>
      </c>
      <c r="R857" s="29">
        <f t="shared" si="742"/>
        <v>0</v>
      </c>
      <c r="S857" s="34">
        <f t="shared" si="743"/>
        <v>877938.71534016251</v>
      </c>
      <c r="T857" s="29">
        <f t="shared" si="744"/>
        <v>731.61559611680218</v>
      </c>
      <c r="U857" s="29">
        <f t="shared" si="745"/>
        <v>0</v>
      </c>
      <c r="V857" s="35">
        <f t="shared" si="746"/>
        <v>4.9799241791570253E-3</v>
      </c>
      <c r="W857" s="34">
        <f t="shared" si="747"/>
        <v>0</v>
      </c>
      <c r="X857" s="34">
        <f t="shared" si="748"/>
        <v>877207.09974404576</v>
      </c>
      <c r="Y857" s="36">
        <f t="shared" si="749"/>
        <v>2.4699801552691136E-2</v>
      </c>
      <c r="Z857" s="34">
        <f t="shared" si="750"/>
        <v>21666.841284289669</v>
      </c>
      <c r="AA857" s="34">
        <f t="shared" si="751"/>
        <v>888040.52038619062</v>
      </c>
      <c r="AB857" s="34">
        <f t="shared" si="752"/>
        <v>0</v>
      </c>
      <c r="AC857" s="34">
        <f t="shared" si="753"/>
        <v>0</v>
      </c>
      <c r="AD857" s="34">
        <f t="shared" si="754"/>
        <v>0</v>
      </c>
      <c r="AE857" s="34">
        <f t="shared" si="755"/>
        <v>0</v>
      </c>
      <c r="AF857" s="34">
        <f t="shared" si="756"/>
        <v>0</v>
      </c>
      <c r="AG857" s="29">
        <f t="shared" si="757"/>
        <v>888040.52038619062</v>
      </c>
      <c r="AH857" s="34">
        <f t="shared" si="758"/>
        <v>0</v>
      </c>
      <c r="AI857" s="34">
        <f t="shared" si="759"/>
        <v>0</v>
      </c>
      <c r="AJ857" s="34">
        <f t="shared" si="760"/>
        <v>0</v>
      </c>
      <c r="AK857" s="34">
        <f t="shared" si="761"/>
        <v>0</v>
      </c>
      <c r="AL857" s="34">
        <f t="shared" si="762"/>
        <v>0</v>
      </c>
      <c r="AM857" s="34">
        <f t="shared" si="763"/>
        <v>0</v>
      </c>
      <c r="AN857" s="34">
        <f t="shared" si="764"/>
        <v>0</v>
      </c>
      <c r="AO857" s="34">
        <f t="shared" si="765"/>
        <v>0</v>
      </c>
      <c r="AP857" s="34">
        <f t="shared" si="766"/>
        <v>0</v>
      </c>
      <c r="AQ857" s="34">
        <f t="shared" si="767"/>
        <v>0</v>
      </c>
      <c r="AR857" s="34">
        <f t="shared" si="768"/>
        <v>0</v>
      </c>
      <c r="AS857" s="30">
        <f t="shared" si="769"/>
        <v>2.0285123356469024</v>
      </c>
      <c r="AT857" s="29">
        <f t="shared" si="770"/>
        <v>0</v>
      </c>
      <c r="AU857" s="29">
        <f t="shared" si="771"/>
        <v>0</v>
      </c>
      <c r="AV857" s="34">
        <f t="shared" si="772"/>
        <v>0</v>
      </c>
      <c r="AW857" s="34">
        <f t="shared" si="773"/>
        <v>0</v>
      </c>
      <c r="AX857" s="29">
        <f t="shared" si="774"/>
        <v>0</v>
      </c>
      <c r="AY857" s="34">
        <f t="shared" si="775"/>
        <v>0</v>
      </c>
      <c r="AZ857" s="37">
        <f t="shared" si="776"/>
        <v>0</v>
      </c>
      <c r="BA857" s="37">
        <f t="shared" si="777"/>
        <v>0</v>
      </c>
      <c r="BB857" s="35">
        <f t="shared" si="778"/>
        <v>1.4976027364341782E-3</v>
      </c>
      <c r="BC857" s="31">
        <f t="shared" si="779"/>
        <v>0.27901226766946063</v>
      </c>
      <c r="BD857" s="34">
        <f t="shared" si="780"/>
        <v>0</v>
      </c>
    </row>
    <row r="858" spans="1:56" x14ac:dyDescent="0.2">
      <c r="A858" s="27">
        <f t="shared" si="781"/>
        <v>854</v>
      </c>
      <c r="B858" s="28">
        <f t="shared" si="728"/>
        <v>854</v>
      </c>
      <c r="C858" s="27">
        <f t="shared" si="729"/>
        <v>71</v>
      </c>
      <c r="D858" s="28">
        <f t="shared" si="730"/>
        <v>91</v>
      </c>
      <c r="E858" s="29">
        <f t="shared" si="731"/>
        <v>0</v>
      </c>
      <c r="F858" s="30">
        <f t="shared" si="732"/>
        <v>5.2993944536433461E-2</v>
      </c>
      <c r="G858" s="31">
        <f t="shared" si="733"/>
        <v>4.5272037992336589E-3</v>
      </c>
      <c r="H858" s="32">
        <f t="shared" si="734"/>
        <v>0.02</v>
      </c>
      <c r="I858" s="32">
        <f t="shared" si="735"/>
        <v>0</v>
      </c>
      <c r="J858" s="33">
        <f t="shared" si="782"/>
        <v>0</v>
      </c>
      <c r="K858" s="30">
        <f t="shared" si="736"/>
        <v>0</v>
      </c>
      <c r="L858" s="33">
        <f t="shared" si="737"/>
        <v>0</v>
      </c>
      <c r="M858" s="30">
        <f t="shared" si="738"/>
        <v>0</v>
      </c>
      <c r="N858" s="33">
        <f t="shared" si="739"/>
        <v>0</v>
      </c>
      <c r="O858" s="31">
        <f t="shared" si="740"/>
        <v>0</v>
      </c>
      <c r="P858" s="33">
        <f t="shared" si="741"/>
        <v>0</v>
      </c>
      <c r="Q858" s="34">
        <f t="shared" si="783"/>
        <v>898873.94102833548</v>
      </c>
      <c r="R858" s="29">
        <f t="shared" si="742"/>
        <v>0</v>
      </c>
      <c r="S858" s="34">
        <f t="shared" si="743"/>
        <v>898873.94102833548</v>
      </c>
      <c r="T858" s="29">
        <f t="shared" si="744"/>
        <v>749.06161752361299</v>
      </c>
      <c r="U858" s="29">
        <f t="shared" si="745"/>
        <v>0</v>
      </c>
      <c r="V858" s="35">
        <f t="shared" si="746"/>
        <v>4.9799241791570253E-3</v>
      </c>
      <c r="W858" s="34">
        <f t="shared" si="747"/>
        <v>0</v>
      </c>
      <c r="X858" s="34">
        <f t="shared" si="748"/>
        <v>898124.87941081182</v>
      </c>
      <c r="Y858" s="36">
        <f t="shared" si="749"/>
        <v>1.0227686358684318E-2</v>
      </c>
      <c r="Z858" s="34">
        <f t="shared" si="750"/>
        <v>9185.7395775449586</v>
      </c>
      <c r="AA858" s="34">
        <f t="shared" si="751"/>
        <v>902717.74919958424</v>
      </c>
      <c r="AB858" s="34">
        <f t="shared" si="752"/>
        <v>0</v>
      </c>
      <c r="AC858" s="34">
        <f t="shared" si="753"/>
        <v>0</v>
      </c>
      <c r="AD858" s="34">
        <f t="shared" si="754"/>
        <v>0</v>
      </c>
      <c r="AE858" s="34">
        <f t="shared" si="755"/>
        <v>0</v>
      </c>
      <c r="AF858" s="34">
        <f t="shared" si="756"/>
        <v>0</v>
      </c>
      <c r="AG858" s="29">
        <f t="shared" si="757"/>
        <v>902717.74919958424</v>
      </c>
      <c r="AH858" s="34">
        <f t="shared" si="758"/>
        <v>0</v>
      </c>
      <c r="AI858" s="34">
        <f t="shared" si="759"/>
        <v>0</v>
      </c>
      <c r="AJ858" s="34">
        <f t="shared" si="760"/>
        <v>0</v>
      </c>
      <c r="AK858" s="34">
        <f t="shared" si="761"/>
        <v>0</v>
      </c>
      <c r="AL858" s="34">
        <f t="shared" si="762"/>
        <v>0</v>
      </c>
      <c r="AM858" s="34">
        <f t="shared" si="763"/>
        <v>0</v>
      </c>
      <c r="AN858" s="34">
        <f t="shared" si="764"/>
        <v>0</v>
      </c>
      <c r="AO858" s="34">
        <f t="shared" si="765"/>
        <v>0</v>
      </c>
      <c r="AP858" s="34">
        <f t="shared" si="766"/>
        <v>0</v>
      </c>
      <c r="AQ858" s="34">
        <f t="shared" si="767"/>
        <v>0</v>
      </c>
      <c r="AR858" s="34">
        <f t="shared" si="768"/>
        <v>0</v>
      </c>
      <c r="AS858" s="30">
        <f t="shared" si="769"/>
        <v>2.0301950639447428</v>
      </c>
      <c r="AT858" s="29">
        <f t="shared" si="770"/>
        <v>0</v>
      </c>
      <c r="AU858" s="29">
        <f t="shared" si="771"/>
        <v>0</v>
      </c>
      <c r="AV858" s="34">
        <f t="shared" si="772"/>
        <v>0</v>
      </c>
      <c r="AW858" s="34">
        <f t="shared" si="773"/>
        <v>0</v>
      </c>
      <c r="AX858" s="29">
        <f t="shared" si="774"/>
        <v>0</v>
      </c>
      <c r="AY858" s="34">
        <f t="shared" si="775"/>
        <v>0</v>
      </c>
      <c r="AZ858" s="37">
        <f t="shared" si="776"/>
        <v>0</v>
      </c>
      <c r="BA858" s="37">
        <f t="shared" si="777"/>
        <v>0</v>
      </c>
      <c r="BB858" s="35">
        <f t="shared" si="778"/>
        <v>1.4976027364341782E-3</v>
      </c>
      <c r="BC858" s="31">
        <f t="shared" si="779"/>
        <v>0.27859504297075066</v>
      </c>
      <c r="BD858" s="34">
        <f t="shared" si="780"/>
        <v>0</v>
      </c>
    </row>
    <row r="859" spans="1:56" x14ac:dyDescent="0.2">
      <c r="A859" s="27">
        <f t="shared" si="781"/>
        <v>855</v>
      </c>
      <c r="B859" s="28">
        <f t="shared" si="728"/>
        <v>855</v>
      </c>
      <c r="C859" s="27">
        <f t="shared" si="729"/>
        <v>71</v>
      </c>
      <c r="D859" s="28">
        <f t="shared" si="730"/>
        <v>91</v>
      </c>
      <c r="E859" s="29">
        <f t="shared" si="731"/>
        <v>0</v>
      </c>
      <c r="F859" s="30">
        <f t="shared" si="732"/>
        <v>5.2993944536433461E-2</v>
      </c>
      <c r="G859" s="31">
        <f t="shared" si="733"/>
        <v>4.5272037992336589E-3</v>
      </c>
      <c r="H859" s="32">
        <f t="shared" si="734"/>
        <v>0.02</v>
      </c>
      <c r="I859" s="32">
        <f t="shared" si="735"/>
        <v>0</v>
      </c>
      <c r="J859" s="33">
        <f t="shared" si="782"/>
        <v>0</v>
      </c>
      <c r="K859" s="30">
        <f t="shared" si="736"/>
        <v>0</v>
      </c>
      <c r="L859" s="33">
        <f t="shared" si="737"/>
        <v>0</v>
      </c>
      <c r="M859" s="30">
        <f t="shared" si="738"/>
        <v>0</v>
      </c>
      <c r="N859" s="33">
        <f t="shared" si="739"/>
        <v>0</v>
      </c>
      <c r="O859" s="31">
        <f t="shared" si="740"/>
        <v>0</v>
      </c>
      <c r="P859" s="33">
        <f t="shared" si="741"/>
        <v>0</v>
      </c>
      <c r="Q859" s="34">
        <f t="shared" si="783"/>
        <v>907310.61898835679</v>
      </c>
      <c r="R859" s="29">
        <f t="shared" si="742"/>
        <v>0</v>
      </c>
      <c r="S859" s="34">
        <f t="shared" si="743"/>
        <v>907310.61898835679</v>
      </c>
      <c r="T859" s="29">
        <f t="shared" si="744"/>
        <v>756.09218249029732</v>
      </c>
      <c r="U859" s="29">
        <f t="shared" si="745"/>
        <v>0</v>
      </c>
      <c r="V859" s="35">
        <f t="shared" si="746"/>
        <v>4.9799241791570253E-3</v>
      </c>
      <c r="W859" s="34">
        <f t="shared" si="747"/>
        <v>0</v>
      </c>
      <c r="X859" s="34">
        <f t="shared" si="748"/>
        <v>906554.52680586651</v>
      </c>
      <c r="Y859" s="36">
        <f t="shared" si="749"/>
        <v>-4.889602011395322E-4</v>
      </c>
      <c r="Z859" s="34">
        <f t="shared" si="750"/>
        <v>-443.26908377094992</v>
      </c>
      <c r="AA859" s="34">
        <f t="shared" si="751"/>
        <v>906332.89226398105</v>
      </c>
      <c r="AB859" s="34">
        <f t="shared" si="752"/>
        <v>0</v>
      </c>
      <c r="AC859" s="34">
        <f t="shared" si="753"/>
        <v>0</v>
      </c>
      <c r="AD859" s="34">
        <f t="shared" si="754"/>
        <v>0</v>
      </c>
      <c r="AE859" s="34">
        <f t="shared" si="755"/>
        <v>0</v>
      </c>
      <c r="AF859" s="34">
        <f t="shared" si="756"/>
        <v>0</v>
      </c>
      <c r="AG859" s="29">
        <f t="shared" si="757"/>
        <v>906332.89226398105</v>
      </c>
      <c r="AH859" s="34">
        <f t="shared" si="758"/>
        <v>0</v>
      </c>
      <c r="AI859" s="34">
        <f t="shared" si="759"/>
        <v>0</v>
      </c>
      <c r="AJ859" s="34">
        <f t="shared" si="760"/>
        <v>0</v>
      </c>
      <c r="AK859" s="34">
        <f t="shared" si="761"/>
        <v>0</v>
      </c>
      <c r="AL859" s="34">
        <f t="shared" si="762"/>
        <v>0</v>
      </c>
      <c r="AM859" s="34">
        <f t="shared" si="763"/>
        <v>0</v>
      </c>
      <c r="AN859" s="34">
        <f t="shared" si="764"/>
        <v>0</v>
      </c>
      <c r="AO859" s="34">
        <f t="shared" si="765"/>
        <v>0</v>
      </c>
      <c r="AP859" s="34">
        <f t="shared" si="766"/>
        <v>0</v>
      </c>
      <c r="AQ859" s="34">
        <f t="shared" si="767"/>
        <v>0</v>
      </c>
      <c r="AR859" s="34">
        <f t="shared" si="768"/>
        <v>0</v>
      </c>
      <c r="AS859" s="30">
        <f t="shared" si="769"/>
        <v>2.0318791881298428</v>
      </c>
      <c r="AT859" s="29">
        <f t="shared" si="770"/>
        <v>0</v>
      </c>
      <c r="AU859" s="29">
        <f t="shared" si="771"/>
        <v>0</v>
      </c>
      <c r="AV859" s="34">
        <f t="shared" si="772"/>
        <v>0</v>
      </c>
      <c r="AW859" s="34">
        <f t="shared" si="773"/>
        <v>0</v>
      </c>
      <c r="AX859" s="29">
        <f t="shared" si="774"/>
        <v>0</v>
      </c>
      <c r="AY859" s="34">
        <f t="shared" si="775"/>
        <v>0</v>
      </c>
      <c r="AZ859" s="37">
        <f t="shared" si="776"/>
        <v>0</v>
      </c>
      <c r="BA859" s="37">
        <f t="shared" si="777"/>
        <v>0</v>
      </c>
      <c r="BB859" s="35">
        <f t="shared" si="778"/>
        <v>1.4976027364341782E-3</v>
      </c>
      <c r="BC859" s="31">
        <f t="shared" si="779"/>
        <v>0.27817844217453308</v>
      </c>
      <c r="BD859" s="34">
        <f t="shared" si="780"/>
        <v>0</v>
      </c>
    </row>
    <row r="860" spans="1:56" x14ac:dyDescent="0.2">
      <c r="A860" s="27">
        <f t="shared" si="781"/>
        <v>856</v>
      </c>
      <c r="B860" s="28">
        <f t="shared" si="728"/>
        <v>856</v>
      </c>
      <c r="C860" s="27">
        <f t="shared" si="729"/>
        <v>71</v>
      </c>
      <c r="D860" s="28">
        <f t="shared" si="730"/>
        <v>91</v>
      </c>
      <c r="E860" s="29">
        <f t="shared" si="731"/>
        <v>0</v>
      </c>
      <c r="F860" s="30">
        <f t="shared" si="732"/>
        <v>5.2993944536433461E-2</v>
      </c>
      <c r="G860" s="31">
        <f t="shared" si="733"/>
        <v>4.5272037992336589E-3</v>
      </c>
      <c r="H860" s="32">
        <f t="shared" si="734"/>
        <v>0.02</v>
      </c>
      <c r="I860" s="32">
        <f t="shared" si="735"/>
        <v>0</v>
      </c>
      <c r="J860" s="33">
        <f t="shared" si="782"/>
        <v>0</v>
      </c>
      <c r="K860" s="30">
        <f t="shared" si="736"/>
        <v>0</v>
      </c>
      <c r="L860" s="33">
        <f t="shared" si="737"/>
        <v>0</v>
      </c>
      <c r="M860" s="30">
        <f t="shared" si="738"/>
        <v>0</v>
      </c>
      <c r="N860" s="33">
        <f t="shared" si="739"/>
        <v>0</v>
      </c>
      <c r="O860" s="31">
        <f t="shared" si="740"/>
        <v>0</v>
      </c>
      <c r="P860" s="33">
        <f t="shared" si="741"/>
        <v>0</v>
      </c>
      <c r="Q860" s="34">
        <f t="shared" si="783"/>
        <v>906111.25772209559</v>
      </c>
      <c r="R860" s="29">
        <f t="shared" si="742"/>
        <v>0</v>
      </c>
      <c r="S860" s="34">
        <f t="shared" si="743"/>
        <v>906111.25772209559</v>
      </c>
      <c r="T860" s="29">
        <f t="shared" si="744"/>
        <v>755.09271476841309</v>
      </c>
      <c r="U860" s="29">
        <f t="shared" si="745"/>
        <v>0</v>
      </c>
      <c r="V860" s="35">
        <f t="shared" si="746"/>
        <v>4.9799241791570253E-3</v>
      </c>
      <c r="W860" s="34">
        <f t="shared" si="747"/>
        <v>0</v>
      </c>
      <c r="X860" s="34">
        <f t="shared" si="748"/>
        <v>905356.16500732722</v>
      </c>
      <c r="Y860" s="36">
        <f t="shared" si="749"/>
        <v>-1.5012756523699045E-2</v>
      </c>
      <c r="Z860" s="34">
        <f t="shared" si="750"/>
        <v>-13591.8916724849</v>
      </c>
      <c r="AA860" s="34">
        <f t="shared" si="751"/>
        <v>898560.21917108481</v>
      </c>
      <c r="AB860" s="34">
        <f t="shared" si="752"/>
        <v>0</v>
      </c>
      <c r="AC860" s="34">
        <f t="shared" si="753"/>
        <v>0</v>
      </c>
      <c r="AD860" s="34">
        <f t="shared" si="754"/>
        <v>0</v>
      </c>
      <c r="AE860" s="34">
        <f t="shared" si="755"/>
        <v>0</v>
      </c>
      <c r="AF860" s="34">
        <f t="shared" si="756"/>
        <v>0</v>
      </c>
      <c r="AG860" s="29">
        <f t="shared" si="757"/>
        <v>898560.21917108481</v>
      </c>
      <c r="AH860" s="34">
        <f t="shared" si="758"/>
        <v>0</v>
      </c>
      <c r="AI860" s="34">
        <f t="shared" si="759"/>
        <v>0</v>
      </c>
      <c r="AJ860" s="34">
        <f t="shared" si="760"/>
        <v>0</v>
      </c>
      <c r="AK860" s="34">
        <f t="shared" si="761"/>
        <v>0</v>
      </c>
      <c r="AL860" s="34">
        <f t="shared" si="762"/>
        <v>0</v>
      </c>
      <c r="AM860" s="34">
        <f t="shared" si="763"/>
        <v>0</v>
      </c>
      <c r="AN860" s="34">
        <f t="shared" si="764"/>
        <v>0</v>
      </c>
      <c r="AO860" s="34">
        <f t="shared" si="765"/>
        <v>0</v>
      </c>
      <c r="AP860" s="34">
        <f t="shared" si="766"/>
        <v>0</v>
      </c>
      <c r="AQ860" s="34">
        <f t="shared" si="767"/>
        <v>0</v>
      </c>
      <c r="AR860" s="34">
        <f t="shared" si="768"/>
        <v>0</v>
      </c>
      <c r="AS860" s="30">
        <f t="shared" si="769"/>
        <v>2.0335647093601432</v>
      </c>
      <c r="AT860" s="29">
        <f t="shared" si="770"/>
        <v>0</v>
      </c>
      <c r="AU860" s="29">
        <f t="shared" si="771"/>
        <v>0</v>
      </c>
      <c r="AV860" s="34">
        <f t="shared" si="772"/>
        <v>0</v>
      </c>
      <c r="AW860" s="34">
        <f t="shared" si="773"/>
        <v>0</v>
      </c>
      <c r="AX860" s="29">
        <f t="shared" si="774"/>
        <v>0</v>
      </c>
      <c r="AY860" s="34">
        <f t="shared" si="775"/>
        <v>0</v>
      </c>
      <c r="AZ860" s="37">
        <f t="shared" si="776"/>
        <v>0</v>
      </c>
      <c r="BA860" s="37">
        <f t="shared" si="777"/>
        <v>0</v>
      </c>
      <c r="BB860" s="35">
        <f t="shared" si="778"/>
        <v>1.4976027364341782E-3</v>
      </c>
      <c r="BC860" s="31">
        <f t="shared" si="779"/>
        <v>0.27776246434784707</v>
      </c>
      <c r="BD860" s="34">
        <f t="shared" si="780"/>
        <v>0</v>
      </c>
    </row>
    <row r="861" spans="1:56" x14ac:dyDescent="0.2">
      <c r="A861" s="27">
        <f t="shared" si="781"/>
        <v>857</v>
      </c>
      <c r="B861" s="28">
        <f t="shared" si="728"/>
        <v>857</v>
      </c>
      <c r="C861" s="27">
        <f t="shared" si="729"/>
        <v>71</v>
      </c>
      <c r="D861" s="28">
        <f t="shared" si="730"/>
        <v>91</v>
      </c>
      <c r="E861" s="29">
        <f t="shared" si="731"/>
        <v>0</v>
      </c>
      <c r="F861" s="30">
        <f t="shared" si="732"/>
        <v>5.2993944536433461E-2</v>
      </c>
      <c r="G861" s="31">
        <f t="shared" si="733"/>
        <v>4.5272037992336589E-3</v>
      </c>
      <c r="H861" s="32">
        <f t="shared" si="734"/>
        <v>0.02</v>
      </c>
      <c r="I861" s="32">
        <f t="shared" si="735"/>
        <v>0</v>
      </c>
      <c r="J861" s="33">
        <f t="shared" si="782"/>
        <v>0</v>
      </c>
      <c r="K861" s="30">
        <f t="shared" si="736"/>
        <v>0</v>
      </c>
      <c r="L861" s="33">
        <f t="shared" si="737"/>
        <v>0</v>
      </c>
      <c r="M861" s="30">
        <f t="shared" si="738"/>
        <v>0</v>
      </c>
      <c r="N861" s="33">
        <f t="shared" si="739"/>
        <v>0</v>
      </c>
      <c r="O861" s="31">
        <f t="shared" si="740"/>
        <v>0</v>
      </c>
      <c r="P861" s="33">
        <f t="shared" si="741"/>
        <v>0</v>
      </c>
      <c r="Q861" s="34">
        <f t="shared" si="783"/>
        <v>891764.27333484229</v>
      </c>
      <c r="R861" s="29">
        <f t="shared" si="742"/>
        <v>0</v>
      </c>
      <c r="S861" s="34">
        <f t="shared" si="743"/>
        <v>891764.27333484229</v>
      </c>
      <c r="T861" s="29">
        <f t="shared" si="744"/>
        <v>743.13689444570196</v>
      </c>
      <c r="U861" s="29">
        <f t="shared" si="745"/>
        <v>0</v>
      </c>
      <c r="V861" s="35">
        <f t="shared" si="746"/>
        <v>4.9799241791570253E-3</v>
      </c>
      <c r="W861" s="34">
        <f t="shared" si="747"/>
        <v>0</v>
      </c>
      <c r="X861" s="34">
        <f t="shared" si="748"/>
        <v>891021.13644039654</v>
      </c>
      <c r="Y861" s="36">
        <f t="shared" si="749"/>
        <v>4.6986230053203126E-3</v>
      </c>
      <c r="Z861" s="34">
        <f t="shared" si="750"/>
        <v>4186.572409905496</v>
      </c>
      <c r="AA861" s="34">
        <f t="shared" si="751"/>
        <v>893114.42264534929</v>
      </c>
      <c r="AB861" s="34">
        <f t="shared" si="752"/>
        <v>0</v>
      </c>
      <c r="AC861" s="34">
        <f t="shared" si="753"/>
        <v>0</v>
      </c>
      <c r="AD861" s="34">
        <f t="shared" si="754"/>
        <v>0</v>
      </c>
      <c r="AE861" s="34">
        <f t="shared" si="755"/>
        <v>0</v>
      </c>
      <c r="AF861" s="34">
        <f t="shared" si="756"/>
        <v>0</v>
      </c>
      <c r="AG861" s="29">
        <f t="shared" si="757"/>
        <v>893114.42264534929</v>
      </c>
      <c r="AH861" s="34">
        <f t="shared" si="758"/>
        <v>0</v>
      </c>
      <c r="AI861" s="34">
        <f t="shared" si="759"/>
        <v>0</v>
      </c>
      <c r="AJ861" s="34">
        <f t="shared" si="760"/>
        <v>0</v>
      </c>
      <c r="AK861" s="34">
        <f t="shared" si="761"/>
        <v>0</v>
      </c>
      <c r="AL861" s="34">
        <f t="shared" si="762"/>
        <v>0</v>
      </c>
      <c r="AM861" s="34">
        <f t="shared" si="763"/>
        <v>0</v>
      </c>
      <c r="AN861" s="34">
        <f t="shared" si="764"/>
        <v>0</v>
      </c>
      <c r="AO861" s="34">
        <f t="shared" si="765"/>
        <v>0</v>
      </c>
      <c r="AP861" s="34">
        <f t="shared" si="766"/>
        <v>0</v>
      </c>
      <c r="AQ861" s="34">
        <f t="shared" si="767"/>
        <v>0</v>
      </c>
      <c r="AR861" s="34">
        <f t="shared" si="768"/>
        <v>0</v>
      </c>
      <c r="AS861" s="30">
        <f t="shared" si="769"/>
        <v>2.0352516287945468</v>
      </c>
      <c r="AT861" s="29">
        <f t="shared" si="770"/>
        <v>0</v>
      </c>
      <c r="AU861" s="29">
        <f t="shared" si="771"/>
        <v>0</v>
      </c>
      <c r="AV861" s="34">
        <f t="shared" si="772"/>
        <v>0</v>
      </c>
      <c r="AW861" s="34">
        <f t="shared" si="773"/>
        <v>0</v>
      </c>
      <c r="AX861" s="29">
        <f t="shared" si="774"/>
        <v>0</v>
      </c>
      <c r="AY861" s="34">
        <f t="shared" si="775"/>
        <v>0</v>
      </c>
      <c r="AZ861" s="37">
        <f t="shared" si="776"/>
        <v>0</v>
      </c>
      <c r="BA861" s="37">
        <f t="shared" si="777"/>
        <v>0</v>
      </c>
      <c r="BB861" s="35">
        <f t="shared" si="778"/>
        <v>1.4976027364341782E-3</v>
      </c>
      <c r="BC861" s="31">
        <f t="shared" si="779"/>
        <v>0.27734710855912675</v>
      </c>
      <c r="BD861" s="34">
        <f t="shared" si="780"/>
        <v>0</v>
      </c>
    </row>
    <row r="862" spans="1:56" x14ac:dyDescent="0.2">
      <c r="A862" s="27">
        <f t="shared" si="781"/>
        <v>858</v>
      </c>
      <c r="B862" s="28">
        <f t="shared" si="728"/>
        <v>858</v>
      </c>
      <c r="C862" s="27">
        <f t="shared" si="729"/>
        <v>71</v>
      </c>
      <c r="D862" s="28">
        <f t="shared" si="730"/>
        <v>91</v>
      </c>
      <c r="E862" s="29">
        <f t="shared" si="731"/>
        <v>0</v>
      </c>
      <c r="F862" s="30">
        <f t="shared" si="732"/>
        <v>5.2993944536433461E-2</v>
      </c>
      <c r="G862" s="31">
        <f t="shared" si="733"/>
        <v>4.5272037992336589E-3</v>
      </c>
      <c r="H862" s="32">
        <f t="shared" si="734"/>
        <v>0.02</v>
      </c>
      <c r="I862" s="32">
        <f t="shared" si="735"/>
        <v>0</v>
      </c>
      <c r="J862" s="33">
        <f t="shared" si="782"/>
        <v>0</v>
      </c>
      <c r="K862" s="30">
        <f t="shared" si="736"/>
        <v>0</v>
      </c>
      <c r="L862" s="33">
        <f t="shared" si="737"/>
        <v>0</v>
      </c>
      <c r="M862" s="30">
        <f t="shared" si="738"/>
        <v>0</v>
      </c>
      <c r="N862" s="33">
        <f t="shared" si="739"/>
        <v>0</v>
      </c>
      <c r="O862" s="31">
        <f t="shared" si="740"/>
        <v>0</v>
      </c>
      <c r="P862" s="33">
        <f t="shared" si="741"/>
        <v>0</v>
      </c>
      <c r="Q862" s="34">
        <f t="shared" si="783"/>
        <v>895207.70885030203</v>
      </c>
      <c r="R862" s="29">
        <f t="shared" si="742"/>
        <v>0</v>
      </c>
      <c r="S862" s="34">
        <f t="shared" si="743"/>
        <v>895207.70885030203</v>
      </c>
      <c r="T862" s="29">
        <f t="shared" si="744"/>
        <v>746.00642404191842</v>
      </c>
      <c r="U862" s="29">
        <f t="shared" si="745"/>
        <v>0</v>
      </c>
      <c r="V862" s="35">
        <f t="shared" si="746"/>
        <v>4.9799241791570253E-3</v>
      </c>
      <c r="W862" s="34">
        <f t="shared" si="747"/>
        <v>0</v>
      </c>
      <c r="X862" s="34">
        <f t="shared" si="748"/>
        <v>894461.7024262601</v>
      </c>
      <c r="Y862" s="36">
        <f t="shared" si="749"/>
        <v>1.1750745530280771E-2</v>
      </c>
      <c r="Z862" s="34">
        <f t="shared" si="750"/>
        <v>10510.591851792704</v>
      </c>
      <c r="AA862" s="34">
        <f t="shared" si="751"/>
        <v>899716.99835215649</v>
      </c>
      <c r="AB862" s="34">
        <f t="shared" si="752"/>
        <v>0</v>
      </c>
      <c r="AC862" s="34">
        <f t="shared" si="753"/>
        <v>0</v>
      </c>
      <c r="AD862" s="34">
        <f t="shared" si="754"/>
        <v>0</v>
      </c>
      <c r="AE862" s="34">
        <f t="shared" si="755"/>
        <v>0</v>
      </c>
      <c r="AF862" s="34">
        <f t="shared" si="756"/>
        <v>0</v>
      </c>
      <c r="AG862" s="29">
        <f t="shared" si="757"/>
        <v>899716.99835215649</v>
      </c>
      <c r="AH862" s="34">
        <f t="shared" si="758"/>
        <v>0</v>
      </c>
      <c r="AI862" s="34">
        <f t="shared" si="759"/>
        <v>0</v>
      </c>
      <c r="AJ862" s="34">
        <f t="shared" si="760"/>
        <v>0</v>
      </c>
      <c r="AK862" s="34">
        <f t="shared" si="761"/>
        <v>0</v>
      </c>
      <c r="AL862" s="34">
        <f t="shared" si="762"/>
        <v>0</v>
      </c>
      <c r="AM862" s="34">
        <f t="shared" si="763"/>
        <v>0</v>
      </c>
      <c r="AN862" s="34">
        <f t="shared" si="764"/>
        <v>0</v>
      </c>
      <c r="AO862" s="34">
        <f t="shared" si="765"/>
        <v>0</v>
      </c>
      <c r="AP862" s="34">
        <f t="shared" si="766"/>
        <v>0</v>
      </c>
      <c r="AQ862" s="34">
        <f t="shared" si="767"/>
        <v>0</v>
      </c>
      <c r="AR862" s="34">
        <f t="shared" si="768"/>
        <v>0</v>
      </c>
      <c r="AS862" s="30">
        <f t="shared" si="769"/>
        <v>2.0369399475929173</v>
      </c>
      <c r="AT862" s="29">
        <f t="shared" si="770"/>
        <v>0</v>
      </c>
      <c r="AU862" s="29">
        <f t="shared" si="771"/>
        <v>0</v>
      </c>
      <c r="AV862" s="34">
        <f t="shared" si="772"/>
        <v>0</v>
      </c>
      <c r="AW862" s="34">
        <f t="shared" si="773"/>
        <v>0</v>
      </c>
      <c r="AX862" s="29">
        <f t="shared" si="774"/>
        <v>0</v>
      </c>
      <c r="AY862" s="34">
        <f t="shared" si="775"/>
        <v>0</v>
      </c>
      <c r="AZ862" s="37">
        <f t="shared" si="776"/>
        <v>0</v>
      </c>
      <c r="BA862" s="37">
        <f t="shared" si="777"/>
        <v>0</v>
      </c>
      <c r="BB862" s="35">
        <f t="shared" si="778"/>
        <v>1.4976027364341782E-3</v>
      </c>
      <c r="BC862" s="31">
        <f t="shared" si="779"/>
        <v>0.27693237387819958</v>
      </c>
      <c r="BD862" s="34">
        <f t="shared" si="780"/>
        <v>0</v>
      </c>
    </row>
    <row r="863" spans="1:56" x14ac:dyDescent="0.2">
      <c r="A863" s="27">
        <f t="shared" si="781"/>
        <v>859</v>
      </c>
      <c r="B863" s="28">
        <f t="shared" si="728"/>
        <v>859</v>
      </c>
      <c r="C863" s="27">
        <f t="shared" si="729"/>
        <v>71</v>
      </c>
      <c r="D863" s="28">
        <f t="shared" si="730"/>
        <v>91</v>
      </c>
      <c r="E863" s="29">
        <f t="shared" si="731"/>
        <v>0</v>
      </c>
      <c r="F863" s="30">
        <f t="shared" si="732"/>
        <v>5.2993944536433461E-2</v>
      </c>
      <c r="G863" s="31">
        <f t="shared" si="733"/>
        <v>4.5272037992336589E-3</v>
      </c>
      <c r="H863" s="32">
        <f t="shared" si="734"/>
        <v>0.02</v>
      </c>
      <c r="I863" s="32">
        <f t="shared" si="735"/>
        <v>0</v>
      </c>
      <c r="J863" s="33">
        <f t="shared" si="782"/>
        <v>0</v>
      </c>
      <c r="K863" s="30">
        <f t="shared" si="736"/>
        <v>0</v>
      </c>
      <c r="L863" s="33">
        <f t="shared" si="737"/>
        <v>0</v>
      </c>
      <c r="M863" s="30">
        <f t="shared" si="738"/>
        <v>0</v>
      </c>
      <c r="N863" s="33">
        <f t="shared" si="739"/>
        <v>0</v>
      </c>
      <c r="O863" s="31">
        <f t="shared" si="740"/>
        <v>0</v>
      </c>
      <c r="P863" s="33">
        <f t="shared" si="741"/>
        <v>0</v>
      </c>
      <c r="Q863" s="34">
        <f t="shared" si="783"/>
        <v>904972.29427805275</v>
      </c>
      <c r="R863" s="29">
        <f t="shared" si="742"/>
        <v>0</v>
      </c>
      <c r="S863" s="34">
        <f t="shared" si="743"/>
        <v>904972.29427805275</v>
      </c>
      <c r="T863" s="29">
        <f t="shared" si="744"/>
        <v>754.14357856504398</v>
      </c>
      <c r="U863" s="29">
        <f t="shared" si="745"/>
        <v>0</v>
      </c>
      <c r="V863" s="35">
        <f t="shared" si="746"/>
        <v>4.9799241791570253E-3</v>
      </c>
      <c r="W863" s="34">
        <f t="shared" si="747"/>
        <v>0</v>
      </c>
      <c r="X863" s="34">
        <f t="shared" si="748"/>
        <v>904218.15069948765</v>
      </c>
      <c r="Y863" s="36">
        <f t="shared" si="749"/>
        <v>-1.6559478425811625E-3</v>
      </c>
      <c r="Z863" s="34">
        <f t="shared" si="750"/>
        <v>-1497.3380958735449</v>
      </c>
      <c r="AA863" s="34">
        <f t="shared" si="751"/>
        <v>903469.48165155086</v>
      </c>
      <c r="AB863" s="34">
        <f t="shared" si="752"/>
        <v>0</v>
      </c>
      <c r="AC863" s="34">
        <f t="shared" si="753"/>
        <v>0</v>
      </c>
      <c r="AD863" s="34">
        <f t="shared" si="754"/>
        <v>0</v>
      </c>
      <c r="AE863" s="34">
        <f t="shared" si="755"/>
        <v>0</v>
      </c>
      <c r="AF863" s="34">
        <f t="shared" si="756"/>
        <v>0</v>
      </c>
      <c r="AG863" s="29">
        <f t="shared" si="757"/>
        <v>903469.48165155086</v>
      </c>
      <c r="AH863" s="34">
        <f t="shared" si="758"/>
        <v>0</v>
      </c>
      <c r="AI863" s="34">
        <f t="shared" si="759"/>
        <v>0</v>
      </c>
      <c r="AJ863" s="34">
        <f t="shared" si="760"/>
        <v>0</v>
      </c>
      <c r="AK863" s="34">
        <f t="shared" si="761"/>
        <v>0</v>
      </c>
      <c r="AL863" s="34">
        <f t="shared" si="762"/>
        <v>0</v>
      </c>
      <c r="AM863" s="34">
        <f t="shared" si="763"/>
        <v>0</v>
      </c>
      <c r="AN863" s="34">
        <f t="shared" si="764"/>
        <v>0</v>
      </c>
      <c r="AO863" s="34">
        <f t="shared" si="765"/>
        <v>0</v>
      </c>
      <c r="AP863" s="34">
        <f t="shared" si="766"/>
        <v>0</v>
      </c>
      <c r="AQ863" s="34">
        <f t="shared" si="767"/>
        <v>0</v>
      </c>
      <c r="AR863" s="34">
        <f t="shared" si="768"/>
        <v>0</v>
      </c>
      <c r="AS863" s="30">
        <f t="shared" si="769"/>
        <v>2.0386296669160799</v>
      </c>
      <c r="AT863" s="29">
        <f t="shared" si="770"/>
        <v>0</v>
      </c>
      <c r="AU863" s="29">
        <f t="shared" si="771"/>
        <v>0</v>
      </c>
      <c r="AV863" s="34">
        <f t="shared" si="772"/>
        <v>0</v>
      </c>
      <c r="AW863" s="34">
        <f t="shared" si="773"/>
        <v>0</v>
      </c>
      <c r="AX863" s="29">
        <f t="shared" si="774"/>
        <v>0</v>
      </c>
      <c r="AY863" s="34">
        <f t="shared" si="775"/>
        <v>0</v>
      </c>
      <c r="AZ863" s="37">
        <f t="shared" si="776"/>
        <v>0</v>
      </c>
      <c r="BA863" s="37">
        <f t="shared" si="777"/>
        <v>0</v>
      </c>
      <c r="BB863" s="35">
        <f t="shared" si="778"/>
        <v>1.4976027364341782E-3</v>
      </c>
      <c r="BC863" s="31">
        <f t="shared" si="779"/>
        <v>0.27651825937628366</v>
      </c>
      <c r="BD863" s="34">
        <f t="shared" si="780"/>
        <v>0</v>
      </c>
    </row>
    <row r="864" spans="1:56" x14ac:dyDescent="0.2">
      <c r="A864" s="27">
        <f t="shared" si="781"/>
        <v>860</v>
      </c>
      <c r="B864" s="28">
        <f t="shared" si="728"/>
        <v>860</v>
      </c>
      <c r="C864" s="27">
        <f t="shared" si="729"/>
        <v>71</v>
      </c>
      <c r="D864" s="28">
        <f t="shared" si="730"/>
        <v>91</v>
      </c>
      <c r="E864" s="29">
        <f t="shared" si="731"/>
        <v>0</v>
      </c>
      <c r="F864" s="30">
        <f t="shared" si="732"/>
        <v>5.2993944536433461E-2</v>
      </c>
      <c r="G864" s="31">
        <f t="shared" si="733"/>
        <v>4.5272037992336589E-3</v>
      </c>
      <c r="H864" s="32">
        <f t="shared" si="734"/>
        <v>0.02</v>
      </c>
      <c r="I864" s="32">
        <f t="shared" si="735"/>
        <v>0</v>
      </c>
      <c r="J864" s="33">
        <f t="shared" si="782"/>
        <v>0</v>
      </c>
      <c r="K864" s="30">
        <f t="shared" si="736"/>
        <v>0</v>
      </c>
      <c r="L864" s="33">
        <f t="shared" si="737"/>
        <v>0</v>
      </c>
      <c r="M864" s="30">
        <f t="shared" si="738"/>
        <v>0</v>
      </c>
      <c r="N864" s="33">
        <f t="shared" si="739"/>
        <v>0</v>
      </c>
      <c r="O864" s="31">
        <f t="shared" si="740"/>
        <v>0</v>
      </c>
      <c r="P864" s="33">
        <f t="shared" si="741"/>
        <v>0</v>
      </c>
      <c r="Q864" s="34">
        <f t="shared" si="783"/>
        <v>902720.81260361406</v>
      </c>
      <c r="R864" s="29">
        <f t="shared" si="742"/>
        <v>0</v>
      </c>
      <c r="S864" s="34">
        <f t="shared" si="743"/>
        <v>902720.81260361406</v>
      </c>
      <c r="T864" s="29">
        <f t="shared" si="744"/>
        <v>752.26734383634505</v>
      </c>
      <c r="U864" s="29">
        <f t="shared" si="745"/>
        <v>0</v>
      </c>
      <c r="V864" s="35">
        <f t="shared" si="746"/>
        <v>4.9799241791570253E-3</v>
      </c>
      <c r="W864" s="34">
        <f t="shared" si="747"/>
        <v>0</v>
      </c>
      <c r="X864" s="34">
        <f t="shared" si="748"/>
        <v>901968.54525977769</v>
      </c>
      <c r="Y864" s="36">
        <f t="shared" si="749"/>
        <v>-1.6899483988721542E-3</v>
      </c>
      <c r="Z864" s="34">
        <f t="shared" si="750"/>
        <v>-1524.2802988948074</v>
      </c>
      <c r="AA864" s="34">
        <f t="shared" si="751"/>
        <v>901206.40511033032</v>
      </c>
      <c r="AB864" s="34">
        <f t="shared" si="752"/>
        <v>0</v>
      </c>
      <c r="AC864" s="34">
        <f t="shared" si="753"/>
        <v>0</v>
      </c>
      <c r="AD864" s="34">
        <f t="shared" si="754"/>
        <v>0</v>
      </c>
      <c r="AE864" s="34">
        <f t="shared" si="755"/>
        <v>0</v>
      </c>
      <c r="AF864" s="34">
        <f t="shared" si="756"/>
        <v>0</v>
      </c>
      <c r="AG864" s="29">
        <f t="shared" si="757"/>
        <v>901206.40511033032</v>
      </c>
      <c r="AH864" s="34">
        <f t="shared" si="758"/>
        <v>0</v>
      </c>
      <c r="AI864" s="34">
        <f t="shared" si="759"/>
        <v>0</v>
      </c>
      <c r="AJ864" s="34">
        <f t="shared" si="760"/>
        <v>0</v>
      </c>
      <c r="AK864" s="34">
        <f t="shared" si="761"/>
        <v>0</v>
      </c>
      <c r="AL864" s="34">
        <f t="shared" si="762"/>
        <v>0</v>
      </c>
      <c r="AM864" s="34">
        <f t="shared" si="763"/>
        <v>0</v>
      </c>
      <c r="AN864" s="34">
        <f t="shared" si="764"/>
        <v>0</v>
      </c>
      <c r="AO864" s="34">
        <f t="shared" si="765"/>
        <v>0</v>
      </c>
      <c r="AP864" s="34">
        <f t="shared" si="766"/>
        <v>0</v>
      </c>
      <c r="AQ864" s="34">
        <f t="shared" si="767"/>
        <v>0</v>
      </c>
      <c r="AR864" s="34">
        <f t="shared" si="768"/>
        <v>0</v>
      </c>
      <c r="AS864" s="30">
        <f t="shared" si="769"/>
        <v>2.0403207879258241</v>
      </c>
      <c r="AT864" s="29">
        <f t="shared" si="770"/>
        <v>0</v>
      </c>
      <c r="AU864" s="29">
        <f t="shared" si="771"/>
        <v>0</v>
      </c>
      <c r="AV864" s="34">
        <f t="shared" si="772"/>
        <v>0</v>
      </c>
      <c r="AW864" s="34">
        <f t="shared" si="773"/>
        <v>0</v>
      </c>
      <c r="AX864" s="29">
        <f t="shared" si="774"/>
        <v>0</v>
      </c>
      <c r="AY864" s="34">
        <f t="shared" si="775"/>
        <v>0</v>
      </c>
      <c r="AZ864" s="37">
        <f t="shared" si="776"/>
        <v>0</v>
      </c>
      <c r="BA864" s="37">
        <f t="shared" si="777"/>
        <v>0</v>
      </c>
      <c r="BB864" s="35">
        <f t="shared" si="778"/>
        <v>1.4976027364341782E-3</v>
      </c>
      <c r="BC864" s="31">
        <f t="shared" si="779"/>
        <v>0.27610476412598606</v>
      </c>
      <c r="BD864" s="34">
        <f t="shared" si="780"/>
        <v>0</v>
      </c>
    </row>
    <row r="865" spans="1:56" x14ac:dyDescent="0.2">
      <c r="A865" s="27">
        <f t="shared" si="781"/>
        <v>861</v>
      </c>
      <c r="B865" s="28">
        <f t="shared" si="728"/>
        <v>861</v>
      </c>
      <c r="C865" s="27">
        <f t="shared" si="729"/>
        <v>71</v>
      </c>
      <c r="D865" s="28">
        <f t="shared" si="730"/>
        <v>91</v>
      </c>
      <c r="E865" s="29">
        <f t="shared" si="731"/>
        <v>0</v>
      </c>
      <c r="F865" s="30">
        <f t="shared" si="732"/>
        <v>5.2993944536433461E-2</v>
      </c>
      <c r="G865" s="31">
        <f t="shared" si="733"/>
        <v>4.5272037992336589E-3</v>
      </c>
      <c r="H865" s="32">
        <f t="shared" si="734"/>
        <v>0.02</v>
      </c>
      <c r="I865" s="32">
        <f t="shared" si="735"/>
        <v>0</v>
      </c>
      <c r="J865" s="33">
        <f t="shared" si="782"/>
        <v>0</v>
      </c>
      <c r="K865" s="30">
        <f t="shared" si="736"/>
        <v>0</v>
      </c>
      <c r="L865" s="33">
        <f t="shared" si="737"/>
        <v>0</v>
      </c>
      <c r="M865" s="30">
        <f t="shared" si="738"/>
        <v>0</v>
      </c>
      <c r="N865" s="33">
        <f t="shared" si="739"/>
        <v>0</v>
      </c>
      <c r="O865" s="31">
        <f t="shared" si="740"/>
        <v>0</v>
      </c>
      <c r="P865" s="33">
        <f t="shared" si="741"/>
        <v>0</v>
      </c>
      <c r="Q865" s="34">
        <f t="shared" si="783"/>
        <v>900444.26496088284</v>
      </c>
      <c r="R865" s="29">
        <f t="shared" si="742"/>
        <v>0</v>
      </c>
      <c r="S865" s="34">
        <f t="shared" si="743"/>
        <v>900444.26496088284</v>
      </c>
      <c r="T865" s="29">
        <f t="shared" si="744"/>
        <v>750.37022080073575</v>
      </c>
      <c r="U865" s="29">
        <f t="shared" si="745"/>
        <v>0</v>
      </c>
      <c r="V865" s="35">
        <f t="shared" si="746"/>
        <v>4.9799241791570253E-3</v>
      </c>
      <c r="W865" s="34">
        <f t="shared" si="747"/>
        <v>0</v>
      </c>
      <c r="X865" s="34">
        <f t="shared" si="748"/>
        <v>899693.89474008209</v>
      </c>
      <c r="Y865" s="36">
        <f t="shared" si="749"/>
        <v>2.3174105865710226E-2</v>
      </c>
      <c r="Z865" s="34">
        <f t="shared" si="750"/>
        <v>20849.601563439814</v>
      </c>
      <c r="AA865" s="34">
        <f t="shared" si="751"/>
        <v>910118.69552180194</v>
      </c>
      <c r="AB865" s="34">
        <f t="shared" si="752"/>
        <v>0</v>
      </c>
      <c r="AC865" s="34">
        <f t="shared" si="753"/>
        <v>0</v>
      </c>
      <c r="AD865" s="34">
        <f t="shared" si="754"/>
        <v>0</v>
      </c>
      <c r="AE865" s="34">
        <f t="shared" si="755"/>
        <v>0</v>
      </c>
      <c r="AF865" s="34">
        <f t="shared" si="756"/>
        <v>0</v>
      </c>
      <c r="AG865" s="29">
        <f t="shared" si="757"/>
        <v>910118.69552180194</v>
      </c>
      <c r="AH865" s="34">
        <f t="shared" si="758"/>
        <v>0</v>
      </c>
      <c r="AI865" s="34">
        <f t="shared" si="759"/>
        <v>0</v>
      </c>
      <c r="AJ865" s="34">
        <f t="shared" si="760"/>
        <v>0</v>
      </c>
      <c r="AK865" s="34">
        <f t="shared" si="761"/>
        <v>0</v>
      </c>
      <c r="AL865" s="34">
        <f t="shared" si="762"/>
        <v>0</v>
      </c>
      <c r="AM865" s="34">
        <f t="shared" si="763"/>
        <v>0</v>
      </c>
      <c r="AN865" s="34">
        <f t="shared" si="764"/>
        <v>0</v>
      </c>
      <c r="AO865" s="34">
        <f t="shared" si="765"/>
        <v>0</v>
      </c>
      <c r="AP865" s="34">
        <f t="shared" si="766"/>
        <v>0</v>
      </c>
      <c r="AQ865" s="34">
        <f t="shared" si="767"/>
        <v>0</v>
      </c>
      <c r="AR865" s="34">
        <f t="shared" si="768"/>
        <v>0</v>
      </c>
      <c r="AS865" s="30">
        <f t="shared" si="769"/>
        <v>2.0420133117849013</v>
      </c>
      <c r="AT865" s="29">
        <f t="shared" si="770"/>
        <v>0</v>
      </c>
      <c r="AU865" s="29">
        <f t="shared" si="771"/>
        <v>0</v>
      </c>
      <c r="AV865" s="34">
        <f t="shared" si="772"/>
        <v>0</v>
      </c>
      <c r="AW865" s="34">
        <f t="shared" si="773"/>
        <v>0</v>
      </c>
      <c r="AX865" s="29">
        <f t="shared" si="774"/>
        <v>0</v>
      </c>
      <c r="AY865" s="34">
        <f t="shared" si="775"/>
        <v>0</v>
      </c>
      <c r="AZ865" s="37">
        <f t="shared" si="776"/>
        <v>0</v>
      </c>
      <c r="BA865" s="37">
        <f t="shared" si="777"/>
        <v>0</v>
      </c>
      <c r="BB865" s="35">
        <f t="shared" si="778"/>
        <v>1.4976027364341782E-3</v>
      </c>
      <c r="BC865" s="31">
        <f t="shared" si="779"/>
        <v>0.27569188720130072</v>
      </c>
      <c r="BD865" s="34">
        <f t="shared" si="780"/>
        <v>0</v>
      </c>
    </row>
    <row r="866" spans="1:56" x14ac:dyDescent="0.2">
      <c r="A866" s="27">
        <f t="shared" si="781"/>
        <v>862</v>
      </c>
      <c r="B866" s="28">
        <f t="shared" si="728"/>
        <v>862</v>
      </c>
      <c r="C866" s="27">
        <f t="shared" si="729"/>
        <v>71</v>
      </c>
      <c r="D866" s="28">
        <f t="shared" si="730"/>
        <v>91</v>
      </c>
      <c r="E866" s="29">
        <f t="shared" si="731"/>
        <v>0</v>
      </c>
      <c r="F866" s="30">
        <f t="shared" si="732"/>
        <v>5.2993944536433461E-2</v>
      </c>
      <c r="G866" s="31">
        <f t="shared" si="733"/>
        <v>4.5272037992336589E-3</v>
      </c>
      <c r="H866" s="32">
        <f t="shared" si="734"/>
        <v>0.02</v>
      </c>
      <c r="I866" s="32">
        <f t="shared" si="735"/>
        <v>0</v>
      </c>
      <c r="J866" s="33">
        <f t="shared" si="782"/>
        <v>0</v>
      </c>
      <c r="K866" s="30">
        <f t="shared" si="736"/>
        <v>0</v>
      </c>
      <c r="L866" s="33">
        <f t="shared" si="737"/>
        <v>0</v>
      </c>
      <c r="M866" s="30">
        <f t="shared" si="738"/>
        <v>0</v>
      </c>
      <c r="N866" s="33">
        <f t="shared" si="739"/>
        <v>0</v>
      </c>
      <c r="O866" s="31">
        <f t="shared" si="740"/>
        <v>0</v>
      </c>
      <c r="P866" s="33">
        <f t="shared" si="741"/>
        <v>0</v>
      </c>
      <c r="Q866" s="34">
        <f t="shared" si="783"/>
        <v>920543.49630352191</v>
      </c>
      <c r="R866" s="29">
        <f t="shared" si="742"/>
        <v>0</v>
      </c>
      <c r="S866" s="34">
        <f t="shared" si="743"/>
        <v>920543.49630352191</v>
      </c>
      <c r="T866" s="29">
        <f t="shared" si="744"/>
        <v>767.11958025293495</v>
      </c>
      <c r="U866" s="29">
        <f t="shared" si="745"/>
        <v>0</v>
      </c>
      <c r="V866" s="35">
        <f t="shared" si="746"/>
        <v>4.9799241791570253E-3</v>
      </c>
      <c r="W866" s="34">
        <f t="shared" si="747"/>
        <v>0</v>
      </c>
      <c r="X866" s="34">
        <f t="shared" si="748"/>
        <v>919776.376723269</v>
      </c>
      <c r="Y866" s="36">
        <f t="shared" si="749"/>
        <v>1.2315778728402282E-3</v>
      </c>
      <c r="Z866" s="34">
        <f t="shared" si="750"/>
        <v>1132.776233533536</v>
      </c>
      <c r="AA866" s="34">
        <f t="shared" si="751"/>
        <v>920342.76484003582</v>
      </c>
      <c r="AB866" s="34">
        <f t="shared" si="752"/>
        <v>0</v>
      </c>
      <c r="AC866" s="34">
        <f t="shared" si="753"/>
        <v>0</v>
      </c>
      <c r="AD866" s="34">
        <f t="shared" si="754"/>
        <v>0</v>
      </c>
      <c r="AE866" s="34">
        <f t="shared" si="755"/>
        <v>0</v>
      </c>
      <c r="AF866" s="34">
        <f t="shared" si="756"/>
        <v>0</v>
      </c>
      <c r="AG866" s="29">
        <f t="shared" si="757"/>
        <v>920342.76484003582</v>
      </c>
      <c r="AH866" s="34">
        <f t="shared" si="758"/>
        <v>0</v>
      </c>
      <c r="AI866" s="34">
        <f t="shared" si="759"/>
        <v>0</v>
      </c>
      <c r="AJ866" s="34">
        <f t="shared" si="760"/>
        <v>0</v>
      </c>
      <c r="AK866" s="34">
        <f t="shared" si="761"/>
        <v>0</v>
      </c>
      <c r="AL866" s="34">
        <f t="shared" si="762"/>
        <v>0</v>
      </c>
      <c r="AM866" s="34">
        <f t="shared" si="763"/>
        <v>0</v>
      </c>
      <c r="AN866" s="34">
        <f t="shared" si="764"/>
        <v>0</v>
      </c>
      <c r="AO866" s="34">
        <f t="shared" si="765"/>
        <v>0</v>
      </c>
      <c r="AP866" s="34">
        <f t="shared" si="766"/>
        <v>0</v>
      </c>
      <c r="AQ866" s="34">
        <f t="shared" si="767"/>
        <v>0</v>
      </c>
      <c r="AR866" s="34">
        <f t="shared" si="768"/>
        <v>0</v>
      </c>
      <c r="AS866" s="30">
        <f t="shared" si="769"/>
        <v>2.0437072396570293</v>
      </c>
      <c r="AT866" s="29">
        <f t="shared" si="770"/>
        <v>0</v>
      </c>
      <c r="AU866" s="29">
        <f t="shared" si="771"/>
        <v>0</v>
      </c>
      <c r="AV866" s="34">
        <f t="shared" si="772"/>
        <v>0</v>
      </c>
      <c r="AW866" s="34">
        <f t="shared" si="773"/>
        <v>0</v>
      </c>
      <c r="AX866" s="29">
        <f t="shared" si="774"/>
        <v>0</v>
      </c>
      <c r="AY866" s="34">
        <f t="shared" si="775"/>
        <v>0</v>
      </c>
      <c r="AZ866" s="37">
        <f t="shared" si="776"/>
        <v>0</v>
      </c>
      <c r="BA866" s="37">
        <f t="shared" si="777"/>
        <v>0</v>
      </c>
      <c r="BB866" s="35">
        <f t="shared" si="778"/>
        <v>1.4976027364341782E-3</v>
      </c>
      <c r="BC866" s="31">
        <f t="shared" si="779"/>
        <v>0.27527962767760616</v>
      </c>
      <c r="BD866" s="34">
        <f t="shared" si="780"/>
        <v>0</v>
      </c>
    </row>
    <row r="867" spans="1:56" x14ac:dyDescent="0.2">
      <c r="A867" s="27">
        <f t="shared" si="781"/>
        <v>863</v>
      </c>
      <c r="B867" s="28">
        <f t="shared" si="728"/>
        <v>863</v>
      </c>
      <c r="C867" s="27">
        <f t="shared" si="729"/>
        <v>71</v>
      </c>
      <c r="D867" s="28">
        <f t="shared" si="730"/>
        <v>91</v>
      </c>
      <c r="E867" s="29">
        <f t="shared" si="731"/>
        <v>0</v>
      </c>
      <c r="F867" s="30">
        <f t="shared" si="732"/>
        <v>5.2993944536433461E-2</v>
      </c>
      <c r="G867" s="31">
        <f t="shared" si="733"/>
        <v>4.5272037992336589E-3</v>
      </c>
      <c r="H867" s="32">
        <f t="shared" si="734"/>
        <v>0.02</v>
      </c>
      <c r="I867" s="32">
        <f t="shared" si="735"/>
        <v>0</v>
      </c>
      <c r="J867" s="33">
        <f t="shared" si="782"/>
        <v>0</v>
      </c>
      <c r="K867" s="30">
        <f t="shared" si="736"/>
        <v>0</v>
      </c>
      <c r="L867" s="33">
        <f t="shared" si="737"/>
        <v>0</v>
      </c>
      <c r="M867" s="30">
        <f t="shared" si="738"/>
        <v>0</v>
      </c>
      <c r="N867" s="33">
        <f t="shared" si="739"/>
        <v>0</v>
      </c>
      <c r="O867" s="31">
        <f t="shared" si="740"/>
        <v>0</v>
      </c>
      <c r="P867" s="33">
        <f t="shared" si="741"/>
        <v>0</v>
      </c>
      <c r="Q867" s="34">
        <f t="shared" si="783"/>
        <v>920909.15295680251</v>
      </c>
      <c r="R867" s="29">
        <f t="shared" si="742"/>
        <v>0</v>
      </c>
      <c r="S867" s="34">
        <f t="shared" si="743"/>
        <v>920909.15295680251</v>
      </c>
      <c r="T867" s="29">
        <f t="shared" si="744"/>
        <v>767.42429413066884</v>
      </c>
      <c r="U867" s="29">
        <f t="shared" si="745"/>
        <v>0</v>
      </c>
      <c r="V867" s="35">
        <f t="shared" si="746"/>
        <v>4.9799241791570253E-3</v>
      </c>
      <c r="W867" s="34">
        <f t="shared" si="747"/>
        <v>0</v>
      </c>
      <c r="X867" s="34">
        <f t="shared" si="748"/>
        <v>920141.72866267187</v>
      </c>
      <c r="Y867" s="36">
        <f t="shared" si="749"/>
        <v>-6.4423144161317447E-3</v>
      </c>
      <c r="Z867" s="34">
        <f t="shared" si="750"/>
        <v>-5927.8423234479151</v>
      </c>
      <c r="AA867" s="34">
        <f t="shared" si="751"/>
        <v>917177.80750094797</v>
      </c>
      <c r="AB867" s="34">
        <f t="shared" si="752"/>
        <v>0</v>
      </c>
      <c r="AC867" s="34">
        <f t="shared" si="753"/>
        <v>0</v>
      </c>
      <c r="AD867" s="34">
        <f t="shared" si="754"/>
        <v>0</v>
      </c>
      <c r="AE867" s="34">
        <f t="shared" si="755"/>
        <v>0</v>
      </c>
      <c r="AF867" s="34">
        <f t="shared" si="756"/>
        <v>0</v>
      </c>
      <c r="AG867" s="29">
        <f t="shared" si="757"/>
        <v>917177.80750094797</v>
      </c>
      <c r="AH867" s="34">
        <f t="shared" si="758"/>
        <v>0</v>
      </c>
      <c r="AI867" s="34">
        <f t="shared" si="759"/>
        <v>0</v>
      </c>
      <c r="AJ867" s="34">
        <f t="shared" si="760"/>
        <v>0</v>
      </c>
      <c r="AK867" s="34">
        <f t="shared" si="761"/>
        <v>0</v>
      </c>
      <c r="AL867" s="34">
        <f t="shared" si="762"/>
        <v>0</v>
      </c>
      <c r="AM867" s="34">
        <f t="shared" si="763"/>
        <v>0</v>
      </c>
      <c r="AN867" s="34">
        <f t="shared" si="764"/>
        <v>0</v>
      </c>
      <c r="AO867" s="34">
        <f t="shared" si="765"/>
        <v>0</v>
      </c>
      <c r="AP867" s="34">
        <f t="shared" si="766"/>
        <v>0</v>
      </c>
      <c r="AQ867" s="34">
        <f t="shared" si="767"/>
        <v>0</v>
      </c>
      <c r="AR867" s="34">
        <f t="shared" si="768"/>
        <v>0</v>
      </c>
      <c r="AS867" s="30">
        <f t="shared" si="769"/>
        <v>2.0454025727068901</v>
      </c>
      <c r="AT867" s="29">
        <f t="shared" si="770"/>
        <v>0</v>
      </c>
      <c r="AU867" s="29">
        <f t="shared" si="771"/>
        <v>0</v>
      </c>
      <c r="AV867" s="34">
        <f t="shared" si="772"/>
        <v>0</v>
      </c>
      <c r="AW867" s="34">
        <f t="shared" si="773"/>
        <v>0</v>
      </c>
      <c r="AX867" s="29">
        <f t="shared" si="774"/>
        <v>0</v>
      </c>
      <c r="AY867" s="34">
        <f t="shared" si="775"/>
        <v>0</v>
      </c>
      <c r="AZ867" s="37">
        <f t="shared" si="776"/>
        <v>0</v>
      </c>
      <c r="BA867" s="37">
        <f t="shared" si="777"/>
        <v>0</v>
      </c>
      <c r="BB867" s="35">
        <f t="shared" si="778"/>
        <v>1.4976027364341782E-3</v>
      </c>
      <c r="BC867" s="31">
        <f t="shared" si="779"/>
        <v>0.27486798463166368</v>
      </c>
      <c r="BD867" s="34">
        <f t="shared" si="780"/>
        <v>0</v>
      </c>
    </row>
    <row r="868" spans="1:56" x14ac:dyDescent="0.2">
      <c r="A868" s="27">
        <f t="shared" si="781"/>
        <v>864</v>
      </c>
      <c r="B868" s="28">
        <f t="shared" si="728"/>
        <v>864</v>
      </c>
      <c r="C868" s="27">
        <f t="shared" si="729"/>
        <v>72</v>
      </c>
      <c r="D868" s="28">
        <f t="shared" si="730"/>
        <v>92</v>
      </c>
      <c r="E868" s="29">
        <f t="shared" si="731"/>
        <v>0</v>
      </c>
      <c r="F868" s="30">
        <f t="shared" si="732"/>
        <v>6.0001074809487832E-2</v>
      </c>
      <c r="G868" s="31">
        <f t="shared" si="733"/>
        <v>5.1431076263521724E-3</v>
      </c>
      <c r="H868" s="32">
        <f t="shared" si="734"/>
        <v>0.02</v>
      </c>
      <c r="I868" s="32">
        <f t="shared" si="735"/>
        <v>0</v>
      </c>
      <c r="J868" s="33">
        <f t="shared" si="782"/>
        <v>0</v>
      </c>
      <c r="K868" s="30">
        <f t="shared" si="736"/>
        <v>0</v>
      </c>
      <c r="L868" s="33">
        <f t="shared" si="737"/>
        <v>0</v>
      </c>
      <c r="M868" s="30">
        <f t="shared" si="738"/>
        <v>0</v>
      </c>
      <c r="N868" s="33">
        <f t="shared" si="739"/>
        <v>0</v>
      </c>
      <c r="O868" s="31">
        <f t="shared" si="740"/>
        <v>0</v>
      </c>
      <c r="P868" s="33">
        <f t="shared" si="741"/>
        <v>0</v>
      </c>
      <c r="Q868" s="34">
        <f t="shared" si="783"/>
        <v>914213.88633922394</v>
      </c>
      <c r="R868" s="29">
        <f t="shared" si="742"/>
        <v>0</v>
      </c>
      <c r="S868" s="34">
        <f t="shared" si="743"/>
        <v>914213.88633922394</v>
      </c>
      <c r="T868" s="29">
        <f t="shared" si="744"/>
        <v>761.84490528268668</v>
      </c>
      <c r="U868" s="29">
        <f t="shared" si="745"/>
        <v>0</v>
      </c>
      <c r="V868" s="35">
        <f t="shared" si="746"/>
        <v>5.65741838898739E-3</v>
      </c>
      <c r="W868" s="34">
        <f t="shared" si="747"/>
        <v>0</v>
      </c>
      <c r="X868" s="34">
        <f t="shared" si="748"/>
        <v>913452.04143394122</v>
      </c>
      <c r="Y868" s="36">
        <f t="shared" si="749"/>
        <v>-5.8589520358642844E-4</v>
      </c>
      <c r="Z868" s="34">
        <f t="shared" si="750"/>
        <v>-535.18716978237762</v>
      </c>
      <c r="AA868" s="34">
        <f t="shared" si="751"/>
        <v>913184.44784905005</v>
      </c>
      <c r="AB868" s="34">
        <f t="shared" si="752"/>
        <v>0</v>
      </c>
      <c r="AC868" s="34">
        <f t="shared" si="753"/>
        <v>0</v>
      </c>
      <c r="AD868" s="34">
        <f t="shared" si="754"/>
        <v>0</v>
      </c>
      <c r="AE868" s="34">
        <f t="shared" si="755"/>
        <v>0</v>
      </c>
      <c r="AF868" s="34">
        <f t="shared" si="756"/>
        <v>0</v>
      </c>
      <c r="AG868" s="29">
        <f t="shared" si="757"/>
        <v>913184.44784905005</v>
      </c>
      <c r="AH868" s="34">
        <f t="shared" si="758"/>
        <v>0</v>
      </c>
      <c r="AI868" s="34">
        <f t="shared" si="759"/>
        <v>0</v>
      </c>
      <c r="AJ868" s="34">
        <f t="shared" si="760"/>
        <v>0</v>
      </c>
      <c r="AK868" s="34">
        <f t="shared" si="761"/>
        <v>0</v>
      </c>
      <c r="AL868" s="34">
        <f t="shared" si="762"/>
        <v>0</v>
      </c>
      <c r="AM868" s="34">
        <f t="shared" si="763"/>
        <v>0</v>
      </c>
      <c r="AN868" s="34">
        <f t="shared" si="764"/>
        <v>0</v>
      </c>
      <c r="AO868" s="34">
        <f t="shared" si="765"/>
        <v>0</v>
      </c>
      <c r="AP868" s="34">
        <f t="shared" si="766"/>
        <v>0</v>
      </c>
      <c r="AQ868" s="34">
        <f t="shared" si="767"/>
        <v>0</v>
      </c>
      <c r="AR868" s="34">
        <f t="shared" si="768"/>
        <v>0</v>
      </c>
      <c r="AS868" s="30">
        <f t="shared" si="769"/>
        <v>2.0470993121001326</v>
      </c>
      <c r="AT868" s="29">
        <f t="shared" si="770"/>
        <v>0</v>
      </c>
      <c r="AU868" s="29">
        <f t="shared" si="771"/>
        <v>0</v>
      </c>
      <c r="AV868" s="34">
        <f t="shared" si="772"/>
        <v>0</v>
      </c>
      <c r="AW868" s="34">
        <f t="shared" si="773"/>
        <v>0</v>
      </c>
      <c r="AX868" s="29">
        <f t="shared" si="774"/>
        <v>0</v>
      </c>
      <c r="AY868" s="34">
        <f t="shared" si="775"/>
        <v>0</v>
      </c>
      <c r="AZ868" s="37">
        <f t="shared" si="776"/>
        <v>0</v>
      </c>
      <c r="BA868" s="37">
        <f t="shared" si="777"/>
        <v>0</v>
      </c>
      <c r="BB868" s="35">
        <f t="shared" si="778"/>
        <v>1.5230107546899685E-3</v>
      </c>
      <c r="BC868" s="31">
        <f t="shared" si="779"/>
        <v>0.26850647291466445</v>
      </c>
      <c r="BD868" s="34">
        <f t="shared" si="780"/>
        <v>0</v>
      </c>
    </row>
    <row r="869" spans="1:56" x14ac:dyDescent="0.2">
      <c r="A869" s="27">
        <f t="shared" si="781"/>
        <v>865</v>
      </c>
      <c r="B869" s="28">
        <f t="shared" si="728"/>
        <v>865</v>
      </c>
      <c r="C869" s="27">
        <f t="shared" si="729"/>
        <v>72</v>
      </c>
      <c r="D869" s="28">
        <f t="shared" si="730"/>
        <v>92</v>
      </c>
      <c r="E869" s="29">
        <f t="shared" si="731"/>
        <v>0</v>
      </c>
      <c r="F869" s="30">
        <f t="shared" si="732"/>
        <v>6.0001074809487832E-2</v>
      </c>
      <c r="G869" s="31">
        <f t="shared" si="733"/>
        <v>5.1431076263521724E-3</v>
      </c>
      <c r="H869" s="32">
        <f t="shared" si="734"/>
        <v>0.02</v>
      </c>
      <c r="I869" s="32">
        <f t="shared" si="735"/>
        <v>0</v>
      </c>
      <c r="J869" s="33">
        <f t="shared" si="782"/>
        <v>0</v>
      </c>
      <c r="K869" s="30">
        <f t="shared" si="736"/>
        <v>0</v>
      </c>
      <c r="L869" s="33">
        <f t="shared" si="737"/>
        <v>0</v>
      </c>
      <c r="M869" s="30">
        <f t="shared" si="738"/>
        <v>0</v>
      </c>
      <c r="N869" s="33">
        <f t="shared" si="739"/>
        <v>0</v>
      </c>
      <c r="O869" s="31">
        <f t="shared" si="740"/>
        <v>0</v>
      </c>
      <c r="P869" s="33">
        <f t="shared" si="741"/>
        <v>0</v>
      </c>
      <c r="Q869" s="34">
        <f t="shared" si="783"/>
        <v>912916.85426415887</v>
      </c>
      <c r="R869" s="29">
        <f t="shared" si="742"/>
        <v>0</v>
      </c>
      <c r="S869" s="34">
        <f t="shared" si="743"/>
        <v>912916.85426415887</v>
      </c>
      <c r="T869" s="29">
        <f t="shared" si="744"/>
        <v>760.7640452201324</v>
      </c>
      <c r="U869" s="29">
        <f t="shared" si="745"/>
        <v>0</v>
      </c>
      <c r="V869" s="35">
        <f t="shared" si="746"/>
        <v>5.65741838898739E-3</v>
      </c>
      <c r="W869" s="34">
        <f t="shared" si="747"/>
        <v>0</v>
      </c>
      <c r="X869" s="34">
        <f t="shared" si="748"/>
        <v>912156.09021893877</v>
      </c>
      <c r="Y869" s="36">
        <f t="shared" si="749"/>
        <v>4.0871041162240385E-3</v>
      </c>
      <c r="Z869" s="34">
        <f t="shared" si="750"/>
        <v>3728.0769109726502</v>
      </c>
      <c r="AA869" s="34">
        <f t="shared" si="751"/>
        <v>914020.12867442507</v>
      </c>
      <c r="AB869" s="34">
        <f t="shared" si="752"/>
        <v>0</v>
      </c>
      <c r="AC869" s="34">
        <f t="shared" si="753"/>
        <v>0</v>
      </c>
      <c r="AD869" s="34">
        <f t="shared" si="754"/>
        <v>0</v>
      </c>
      <c r="AE869" s="34">
        <f t="shared" si="755"/>
        <v>0</v>
      </c>
      <c r="AF869" s="34">
        <f t="shared" si="756"/>
        <v>0</v>
      </c>
      <c r="AG869" s="29">
        <f t="shared" si="757"/>
        <v>914020.12867442507</v>
      </c>
      <c r="AH869" s="34">
        <f t="shared" si="758"/>
        <v>0</v>
      </c>
      <c r="AI869" s="34">
        <f t="shared" si="759"/>
        <v>0</v>
      </c>
      <c r="AJ869" s="34">
        <f t="shared" si="760"/>
        <v>0</v>
      </c>
      <c r="AK869" s="34">
        <f t="shared" si="761"/>
        <v>0</v>
      </c>
      <c r="AL869" s="34">
        <f t="shared" si="762"/>
        <v>0</v>
      </c>
      <c r="AM869" s="34">
        <f t="shared" si="763"/>
        <v>0</v>
      </c>
      <c r="AN869" s="34">
        <f t="shared" si="764"/>
        <v>0</v>
      </c>
      <c r="AO869" s="34">
        <f t="shared" si="765"/>
        <v>0</v>
      </c>
      <c r="AP869" s="34">
        <f t="shared" si="766"/>
        <v>0</v>
      </c>
      <c r="AQ869" s="34">
        <f t="shared" si="767"/>
        <v>0</v>
      </c>
      <c r="AR869" s="34">
        <f t="shared" si="768"/>
        <v>0</v>
      </c>
      <c r="AS869" s="30">
        <f t="shared" si="769"/>
        <v>2.0487974590033713</v>
      </c>
      <c r="AT869" s="29">
        <f t="shared" si="770"/>
        <v>0</v>
      </c>
      <c r="AU869" s="29">
        <f t="shared" si="771"/>
        <v>0</v>
      </c>
      <c r="AV869" s="34">
        <f t="shared" si="772"/>
        <v>0</v>
      </c>
      <c r="AW869" s="34">
        <f t="shared" si="773"/>
        <v>0</v>
      </c>
      <c r="AX869" s="29">
        <f t="shared" si="774"/>
        <v>0</v>
      </c>
      <c r="AY869" s="34">
        <f t="shared" si="775"/>
        <v>0</v>
      </c>
      <c r="AZ869" s="37">
        <f t="shared" si="776"/>
        <v>0</v>
      </c>
      <c r="BA869" s="37">
        <f t="shared" si="777"/>
        <v>0</v>
      </c>
      <c r="BB869" s="35">
        <f t="shared" si="778"/>
        <v>1.5230107546899685E-3</v>
      </c>
      <c r="BC869" s="31">
        <f t="shared" si="779"/>
        <v>0.26809815653894309</v>
      </c>
      <c r="BD869" s="34">
        <f t="shared" si="780"/>
        <v>0</v>
      </c>
    </row>
    <row r="870" spans="1:56" x14ac:dyDescent="0.2">
      <c r="A870" s="27">
        <f t="shared" si="781"/>
        <v>866</v>
      </c>
      <c r="B870" s="28">
        <f t="shared" si="728"/>
        <v>866</v>
      </c>
      <c r="C870" s="27">
        <f t="shared" si="729"/>
        <v>72</v>
      </c>
      <c r="D870" s="28">
        <f t="shared" si="730"/>
        <v>92</v>
      </c>
      <c r="E870" s="29">
        <f t="shared" si="731"/>
        <v>0</v>
      </c>
      <c r="F870" s="30">
        <f t="shared" si="732"/>
        <v>6.0001074809487832E-2</v>
      </c>
      <c r="G870" s="31">
        <f t="shared" si="733"/>
        <v>5.1431076263521724E-3</v>
      </c>
      <c r="H870" s="32">
        <f t="shared" si="734"/>
        <v>0.02</v>
      </c>
      <c r="I870" s="32">
        <f t="shared" si="735"/>
        <v>0</v>
      </c>
      <c r="J870" s="33">
        <f t="shared" si="782"/>
        <v>0</v>
      </c>
      <c r="K870" s="30">
        <f t="shared" si="736"/>
        <v>0</v>
      </c>
      <c r="L870" s="33">
        <f t="shared" si="737"/>
        <v>0</v>
      </c>
      <c r="M870" s="30">
        <f t="shared" si="738"/>
        <v>0</v>
      </c>
      <c r="N870" s="33">
        <f t="shared" si="739"/>
        <v>0</v>
      </c>
      <c r="O870" s="31">
        <f t="shared" si="740"/>
        <v>0</v>
      </c>
      <c r="P870" s="33">
        <f t="shared" si="741"/>
        <v>0</v>
      </c>
      <c r="Q870" s="34">
        <f t="shared" si="783"/>
        <v>915884.16712991137</v>
      </c>
      <c r="R870" s="29">
        <f t="shared" si="742"/>
        <v>0</v>
      </c>
      <c r="S870" s="34">
        <f t="shared" si="743"/>
        <v>915884.16712991137</v>
      </c>
      <c r="T870" s="29">
        <f t="shared" si="744"/>
        <v>763.23680594159282</v>
      </c>
      <c r="U870" s="29">
        <f t="shared" si="745"/>
        <v>0</v>
      </c>
      <c r="V870" s="35">
        <f t="shared" si="746"/>
        <v>5.65741838898739E-3</v>
      </c>
      <c r="W870" s="34">
        <f t="shared" si="747"/>
        <v>0</v>
      </c>
      <c r="X870" s="34">
        <f t="shared" si="748"/>
        <v>915120.93032396981</v>
      </c>
      <c r="Y870" s="36">
        <f t="shared" si="749"/>
        <v>-1.0258766355495386E-3</v>
      </c>
      <c r="Z870" s="34">
        <f t="shared" si="750"/>
        <v>-938.80118112171783</v>
      </c>
      <c r="AA870" s="34">
        <f t="shared" si="751"/>
        <v>914651.52973340894</v>
      </c>
      <c r="AB870" s="34">
        <f t="shared" si="752"/>
        <v>0</v>
      </c>
      <c r="AC870" s="34">
        <f t="shared" si="753"/>
        <v>0</v>
      </c>
      <c r="AD870" s="34">
        <f t="shared" si="754"/>
        <v>0</v>
      </c>
      <c r="AE870" s="34">
        <f t="shared" si="755"/>
        <v>0</v>
      </c>
      <c r="AF870" s="34">
        <f t="shared" si="756"/>
        <v>0</v>
      </c>
      <c r="AG870" s="29">
        <f t="shared" si="757"/>
        <v>914651.52973340894</v>
      </c>
      <c r="AH870" s="34">
        <f t="shared" si="758"/>
        <v>0</v>
      </c>
      <c r="AI870" s="34">
        <f t="shared" si="759"/>
        <v>0</v>
      </c>
      <c r="AJ870" s="34">
        <f t="shared" si="760"/>
        <v>0</v>
      </c>
      <c r="AK870" s="34">
        <f t="shared" si="761"/>
        <v>0</v>
      </c>
      <c r="AL870" s="34">
        <f t="shared" si="762"/>
        <v>0</v>
      </c>
      <c r="AM870" s="34">
        <f t="shared" si="763"/>
        <v>0</v>
      </c>
      <c r="AN870" s="34">
        <f t="shared" si="764"/>
        <v>0</v>
      </c>
      <c r="AO870" s="34">
        <f t="shared" si="765"/>
        <v>0</v>
      </c>
      <c r="AP870" s="34">
        <f t="shared" si="766"/>
        <v>0</v>
      </c>
      <c r="AQ870" s="34">
        <f t="shared" si="767"/>
        <v>0</v>
      </c>
      <c r="AR870" s="34">
        <f t="shared" si="768"/>
        <v>0</v>
      </c>
      <c r="AS870" s="30">
        <f t="shared" si="769"/>
        <v>2.0504970145841903</v>
      </c>
      <c r="AT870" s="29">
        <f t="shared" si="770"/>
        <v>0</v>
      </c>
      <c r="AU870" s="29">
        <f t="shared" si="771"/>
        <v>0</v>
      </c>
      <c r="AV870" s="34">
        <f t="shared" si="772"/>
        <v>0</v>
      </c>
      <c r="AW870" s="34">
        <f t="shared" si="773"/>
        <v>0</v>
      </c>
      <c r="AX870" s="29">
        <f t="shared" si="774"/>
        <v>0</v>
      </c>
      <c r="AY870" s="34">
        <f t="shared" si="775"/>
        <v>0</v>
      </c>
      <c r="AZ870" s="37">
        <f t="shared" si="776"/>
        <v>0</v>
      </c>
      <c r="BA870" s="37">
        <f t="shared" si="777"/>
        <v>0</v>
      </c>
      <c r="BB870" s="35">
        <f t="shared" si="778"/>
        <v>1.5230107546899685E-3</v>
      </c>
      <c r="BC870" s="31">
        <f t="shared" si="779"/>
        <v>0.26769046108777844</v>
      </c>
      <c r="BD870" s="34">
        <f t="shared" si="780"/>
        <v>0</v>
      </c>
    </row>
    <row r="871" spans="1:56" x14ac:dyDescent="0.2">
      <c r="A871" s="27">
        <f t="shared" si="781"/>
        <v>867</v>
      </c>
      <c r="B871" s="28">
        <f t="shared" si="728"/>
        <v>867</v>
      </c>
      <c r="C871" s="27">
        <f t="shared" si="729"/>
        <v>72</v>
      </c>
      <c r="D871" s="28">
        <f t="shared" si="730"/>
        <v>92</v>
      </c>
      <c r="E871" s="29">
        <f t="shared" si="731"/>
        <v>0</v>
      </c>
      <c r="F871" s="30">
        <f t="shared" si="732"/>
        <v>6.0001074809487832E-2</v>
      </c>
      <c r="G871" s="31">
        <f t="shared" si="733"/>
        <v>5.1431076263521724E-3</v>
      </c>
      <c r="H871" s="32">
        <f t="shared" si="734"/>
        <v>0.02</v>
      </c>
      <c r="I871" s="32">
        <f t="shared" si="735"/>
        <v>0</v>
      </c>
      <c r="J871" s="33">
        <f t="shared" si="782"/>
        <v>0</v>
      </c>
      <c r="K871" s="30">
        <f t="shared" si="736"/>
        <v>0</v>
      </c>
      <c r="L871" s="33">
        <f t="shared" si="737"/>
        <v>0</v>
      </c>
      <c r="M871" s="30">
        <f t="shared" si="738"/>
        <v>0</v>
      </c>
      <c r="N871" s="33">
        <f t="shared" si="739"/>
        <v>0</v>
      </c>
      <c r="O871" s="31">
        <f t="shared" si="740"/>
        <v>0</v>
      </c>
      <c r="P871" s="33">
        <f t="shared" si="741"/>
        <v>0</v>
      </c>
      <c r="Q871" s="34">
        <f t="shared" si="783"/>
        <v>914182.12914284808</v>
      </c>
      <c r="R871" s="29">
        <f t="shared" si="742"/>
        <v>0</v>
      </c>
      <c r="S871" s="34">
        <f t="shared" si="743"/>
        <v>914182.12914284808</v>
      </c>
      <c r="T871" s="29">
        <f t="shared" si="744"/>
        <v>761.81844095237341</v>
      </c>
      <c r="U871" s="29">
        <f t="shared" si="745"/>
        <v>0</v>
      </c>
      <c r="V871" s="35">
        <f t="shared" si="746"/>
        <v>5.65741838898739E-3</v>
      </c>
      <c r="W871" s="34">
        <f t="shared" si="747"/>
        <v>0</v>
      </c>
      <c r="X871" s="34">
        <f t="shared" si="748"/>
        <v>913420.31070189574</v>
      </c>
      <c r="Y871" s="36">
        <f t="shared" si="749"/>
        <v>2.5230090437575736E-3</v>
      </c>
      <c r="Z871" s="34">
        <f t="shared" si="750"/>
        <v>2304.5677046527358</v>
      </c>
      <c r="AA871" s="34">
        <f t="shared" si="751"/>
        <v>914572.59455422207</v>
      </c>
      <c r="AB871" s="34">
        <f t="shared" si="752"/>
        <v>0</v>
      </c>
      <c r="AC871" s="34">
        <f t="shared" si="753"/>
        <v>0</v>
      </c>
      <c r="AD871" s="34">
        <f t="shared" si="754"/>
        <v>0</v>
      </c>
      <c r="AE871" s="34">
        <f t="shared" si="755"/>
        <v>0</v>
      </c>
      <c r="AF871" s="34">
        <f t="shared" si="756"/>
        <v>0</v>
      </c>
      <c r="AG871" s="29">
        <f t="shared" si="757"/>
        <v>914572.59455422207</v>
      </c>
      <c r="AH871" s="34">
        <f t="shared" si="758"/>
        <v>0</v>
      </c>
      <c r="AI871" s="34">
        <f t="shared" si="759"/>
        <v>0</v>
      </c>
      <c r="AJ871" s="34">
        <f t="shared" si="760"/>
        <v>0</v>
      </c>
      <c r="AK871" s="34">
        <f t="shared" si="761"/>
        <v>0</v>
      </c>
      <c r="AL871" s="34">
        <f t="shared" si="762"/>
        <v>0</v>
      </c>
      <c r="AM871" s="34">
        <f t="shared" si="763"/>
        <v>0</v>
      </c>
      <c r="AN871" s="34">
        <f t="shared" si="764"/>
        <v>0</v>
      </c>
      <c r="AO871" s="34">
        <f t="shared" si="765"/>
        <v>0</v>
      </c>
      <c r="AP871" s="34">
        <f t="shared" si="766"/>
        <v>0</v>
      </c>
      <c r="AQ871" s="34">
        <f t="shared" si="767"/>
        <v>0</v>
      </c>
      <c r="AR871" s="34">
        <f t="shared" si="768"/>
        <v>0</v>
      </c>
      <c r="AS871" s="30">
        <f t="shared" si="769"/>
        <v>2.0521979800111412</v>
      </c>
      <c r="AT871" s="29">
        <f t="shared" si="770"/>
        <v>0</v>
      </c>
      <c r="AU871" s="29">
        <f t="shared" si="771"/>
        <v>0</v>
      </c>
      <c r="AV871" s="34">
        <f t="shared" si="772"/>
        <v>0</v>
      </c>
      <c r="AW871" s="34">
        <f t="shared" si="773"/>
        <v>0</v>
      </c>
      <c r="AX871" s="29">
        <f t="shared" si="774"/>
        <v>0</v>
      </c>
      <c r="AY871" s="34">
        <f t="shared" si="775"/>
        <v>0</v>
      </c>
      <c r="AZ871" s="37">
        <f t="shared" si="776"/>
        <v>0</v>
      </c>
      <c r="BA871" s="37">
        <f t="shared" si="777"/>
        <v>0</v>
      </c>
      <c r="BB871" s="35">
        <f t="shared" si="778"/>
        <v>1.5230107546899685E-3</v>
      </c>
      <c r="BC871" s="31">
        <f t="shared" si="779"/>
        <v>0.26728338561693399</v>
      </c>
      <c r="BD871" s="34">
        <f t="shared" si="780"/>
        <v>0</v>
      </c>
    </row>
    <row r="872" spans="1:56" x14ac:dyDescent="0.2">
      <c r="A872" s="27">
        <f t="shared" si="781"/>
        <v>868</v>
      </c>
      <c r="B872" s="28">
        <f t="shared" si="728"/>
        <v>868</v>
      </c>
      <c r="C872" s="27">
        <f t="shared" si="729"/>
        <v>72</v>
      </c>
      <c r="D872" s="28">
        <f t="shared" si="730"/>
        <v>92</v>
      </c>
      <c r="E872" s="29">
        <f t="shared" si="731"/>
        <v>0</v>
      </c>
      <c r="F872" s="30">
        <f t="shared" si="732"/>
        <v>6.0001074809487832E-2</v>
      </c>
      <c r="G872" s="31">
        <f t="shared" si="733"/>
        <v>5.1431076263521724E-3</v>
      </c>
      <c r="H872" s="32">
        <f t="shared" si="734"/>
        <v>0.02</v>
      </c>
      <c r="I872" s="32">
        <f t="shared" si="735"/>
        <v>0</v>
      </c>
      <c r="J872" s="33">
        <f t="shared" si="782"/>
        <v>0</v>
      </c>
      <c r="K872" s="30">
        <f t="shared" si="736"/>
        <v>0</v>
      </c>
      <c r="L872" s="33">
        <f t="shared" si="737"/>
        <v>0</v>
      </c>
      <c r="M872" s="30">
        <f t="shared" si="738"/>
        <v>0</v>
      </c>
      <c r="N872" s="33">
        <f t="shared" si="739"/>
        <v>0</v>
      </c>
      <c r="O872" s="31">
        <f t="shared" si="740"/>
        <v>0</v>
      </c>
      <c r="P872" s="33">
        <f t="shared" si="741"/>
        <v>0</v>
      </c>
      <c r="Q872" s="34">
        <f t="shared" si="783"/>
        <v>915724.87840654852</v>
      </c>
      <c r="R872" s="29">
        <f t="shared" si="742"/>
        <v>0</v>
      </c>
      <c r="S872" s="34">
        <f t="shared" si="743"/>
        <v>915724.87840654852</v>
      </c>
      <c r="T872" s="29">
        <f t="shared" si="744"/>
        <v>763.10406533879052</v>
      </c>
      <c r="U872" s="29">
        <f t="shared" si="745"/>
        <v>0</v>
      </c>
      <c r="V872" s="35">
        <f t="shared" si="746"/>
        <v>5.65741838898739E-3</v>
      </c>
      <c r="W872" s="34">
        <f t="shared" si="747"/>
        <v>0</v>
      </c>
      <c r="X872" s="34">
        <f t="shared" si="748"/>
        <v>914961.77434120968</v>
      </c>
      <c r="Y872" s="36">
        <f t="shared" si="749"/>
        <v>1.7638819175811227E-2</v>
      </c>
      <c r="Z872" s="34">
        <f t="shared" si="750"/>
        <v>16138.845290383993</v>
      </c>
      <c r="AA872" s="34">
        <f t="shared" si="751"/>
        <v>923031.19698640169</v>
      </c>
      <c r="AB872" s="34">
        <f t="shared" si="752"/>
        <v>0</v>
      </c>
      <c r="AC872" s="34">
        <f t="shared" si="753"/>
        <v>0</v>
      </c>
      <c r="AD872" s="34">
        <f t="shared" si="754"/>
        <v>0</v>
      </c>
      <c r="AE872" s="34">
        <f t="shared" si="755"/>
        <v>0</v>
      </c>
      <c r="AF872" s="34">
        <f t="shared" si="756"/>
        <v>0</v>
      </c>
      <c r="AG872" s="29">
        <f t="shared" si="757"/>
        <v>923031.19698640169</v>
      </c>
      <c r="AH872" s="34">
        <f t="shared" si="758"/>
        <v>0</v>
      </c>
      <c r="AI872" s="34">
        <f t="shared" si="759"/>
        <v>0</v>
      </c>
      <c r="AJ872" s="34">
        <f t="shared" si="760"/>
        <v>0</v>
      </c>
      <c r="AK872" s="34">
        <f t="shared" si="761"/>
        <v>0</v>
      </c>
      <c r="AL872" s="34">
        <f t="shared" si="762"/>
        <v>0</v>
      </c>
      <c r="AM872" s="34">
        <f t="shared" si="763"/>
        <v>0</v>
      </c>
      <c r="AN872" s="34">
        <f t="shared" si="764"/>
        <v>0</v>
      </c>
      <c r="AO872" s="34">
        <f t="shared" si="765"/>
        <v>0</v>
      </c>
      <c r="AP872" s="34">
        <f t="shared" si="766"/>
        <v>0</v>
      </c>
      <c r="AQ872" s="34">
        <f t="shared" si="767"/>
        <v>0</v>
      </c>
      <c r="AR872" s="34">
        <f t="shared" si="768"/>
        <v>0</v>
      </c>
      <c r="AS872" s="30">
        <f t="shared" si="769"/>
        <v>2.0539003564537444</v>
      </c>
      <c r="AT872" s="29">
        <f t="shared" si="770"/>
        <v>0</v>
      </c>
      <c r="AU872" s="29">
        <f t="shared" si="771"/>
        <v>0</v>
      </c>
      <c r="AV872" s="34">
        <f t="shared" si="772"/>
        <v>0</v>
      </c>
      <c r="AW872" s="34">
        <f t="shared" si="773"/>
        <v>0</v>
      </c>
      <c r="AX872" s="29">
        <f t="shared" si="774"/>
        <v>0</v>
      </c>
      <c r="AY872" s="34">
        <f t="shared" si="775"/>
        <v>0</v>
      </c>
      <c r="AZ872" s="37">
        <f t="shared" si="776"/>
        <v>0</v>
      </c>
      <c r="BA872" s="37">
        <f t="shared" si="777"/>
        <v>0</v>
      </c>
      <c r="BB872" s="35">
        <f t="shared" si="778"/>
        <v>1.5230107546899685E-3</v>
      </c>
      <c r="BC872" s="31">
        <f t="shared" si="779"/>
        <v>0.26687692918360872</v>
      </c>
      <c r="BD872" s="34">
        <f t="shared" si="780"/>
        <v>0</v>
      </c>
    </row>
    <row r="873" spans="1:56" x14ac:dyDescent="0.2">
      <c r="A873" s="27">
        <f t="shared" si="781"/>
        <v>869</v>
      </c>
      <c r="B873" s="28">
        <f t="shared" si="728"/>
        <v>869</v>
      </c>
      <c r="C873" s="27">
        <f t="shared" si="729"/>
        <v>72</v>
      </c>
      <c r="D873" s="28">
        <f t="shared" si="730"/>
        <v>92</v>
      </c>
      <c r="E873" s="29">
        <f t="shared" si="731"/>
        <v>0</v>
      </c>
      <c r="F873" s="30">
        <f t="shared" si="732"/>
        <v>6.0001074809487832E-2</v>
      </c>
      <c r="G873" s="31">
        <f t="shared" si="733"/>
        <v>5.1431076263521724E-3</v>
      </c>
      <c r="H873" s="32">
        <f t="shared" si="734"/>
        <v>0.02</v>
      </c>
      <c r="I873" s="32">
        <f t="shared" si="735"/>
        <v>0</v>
      </c>
      <c r="J873" s="33">
        <f t="shared" si="782"/>
        <v>0</v>
      </c>
      <c r="K873" s="30">
        <f t="shared" si="736"/>
        <v>0</v>
      </c>
      <c r="L873" s="33">
        <f t="shared" si="737"/>
        <v>0</v>
      </c>
      <c r="M873" s="30">
        <f t="shared" si="738"/>
        <v>0</v>
      </c>
      <c r="N873" s="33">
        <f t="shared" si="739"/>
        <v>0</v>
      </c>
      <c r="O873" s="31">
        <f t="shared" si="740"/>
        <v>0</v>
      </c>
      <c r="P873" s="33">
        <f t="shared" si="741"/>
        <v>0</v>
      </c>
      <c r="Q873" s="34">
        <f t="shared" si="783"/>
        <v>931100.6196315937</v>
      </c>
      <c r="R873" s="29">
        <f t="shared" si="742"/>
        <v>0</v>
      </c>
      <c r="S873" s="34">
        <f t="shared" si="743"/>
        <v>931100.6196315937</v>
      </c>
      <c r="T873" s="29">
        <f t="shared" si="744"/>
        <v>775.91718302632808</v>
      </c>
      <c r="U873" s="29">
        <f t="shared" si="745"/>
        <v>0</v>
      </c>
      <c r="V873" s="35">
        <f t="shared" si="746"/>
        <v>5.65741838898739E-3</v>
      </c>
      <c r="W873" s="34">
        <f t="shared" si="747"/>
        <v>0</v>
      </c>
      <c r="X873" s="34">
        <f t="shared" si="748"/>
        <v>930324.70244856738</v>
      </c>
      <c r="Y873" s="36">
        <f t="shared" si="749"/>
        <v>4.6253377511205063E-3</v>
      </c>
      <c r="Z873" s="34">
        <f t="shared" si="750"/>
        <v>4303.0659670353107</v>
      </c>
      <c r="AA873" s="34">
        <f t="shared" si="751"/>
        <v>932476.235432085</v>
      </c>
      <c r="AB873" s="34">
        <f t="shared" si="752"/>
        <v>0</v>
      </c>
      <c r="AC873" s="34">
        <f t="shared" si="753"/>
        <v>0</v>
      </c>
      <c r="AD873" s="34">
        <f t="shared" si="754"/>
        <v>0</v>
      </c>
      <c r="AE873" s="34">
        <f t="shared" si="755"/>
        <v>0</v>
      </c>
      <c r="AF873" s="34">
        <f t="shared" si="756"/>
        <v>0</v>
      </c>
      <c r="AG873" s="29">
        <f t="shared" si="757"/>
        <v>932476.235432085</v>
      </c>
      <c r="AH873" s="34">
        <f t="shared" si="758"/>
        <v>0</v>
      </c>
      <c r="AI873" s="34">
        <f t="shared" si="759"/>
        <v>0</v>
      </c>
      <c r="AJ873" s="34">
        <f t="shared" si="760"/>
        <v>0</v>
      </c>
      <c r="AK873" s="34">
        <f t="shared" si="761"/>
        <v>0</v>
      </c>
      <c r="AL873" s="34">
        <f t="shared" si="762"/>
        <v>0</v>
      </c>
      <c r="AM873" s="34">
        <f t="shared" si="763"/>
        <v>0</v>
      </c>
      <c r="AN873" s="34">
        <f t="shared" si="764"/>
        <v>0</v>
      </c>
      <c r="AO873" s="34">
        <f t="shared" si="765"/>
        <v>0</v>
      </c>
      <c r="AP873" s="34">
        <f t="shared" si="766"/>
        <v>0</v>
      </c>
      <c r="AQ873" s="34">
        <f t="shared" si="767"/>
        <v>0</v>
      </c>
      <c r="AR873" s="34">
        <f t="shared" si="768"/>
        <v>0</v>
      </c>
      <c r="AS873" s="30">
        <f t="shared" si="769"/>
        <v>2.0556041450824925</v>
      </c>
      <c r="AT873" s="29">
        <f t="shared" si="770"/>
        <v>0</v>
      </c>
      <c r="AU873" s="29">
        <f t="shared" si="771"/>
        <v>0</v>
      </c>
      <c r="AV873" s="34">
        <f t="shared" si="772"/>
        <v>0</v>
      </c>
      <c r="AW873" s="34">
        <f t="shared" si="773"/>
        <v>0</v>
      </c>
      <c r="AX873" s="29">
        <f t="shared" si="774"/>
        <v>0</v>
      </c>
      <c r="AY873" s="34">
        <f t="shared" si="775"/>
        <v>0</v>
      </c>
      <c r="AZ873" s="37">
        <f t="shared" si="776"/>
        <v>0</v>
      </c>
      <c r="BA873" s="37">
        <f t="shared" si="777"/>
        <v>0</v>
      </c>
      <c r="BB873" s="35">
        <f t="shared" si="778"/>
        <v>1.5230107546899685E-3</v>
      </c>
      <c r="BC873" s="31">
        <f t="shared" si="779"/>
        <v>0.26647109084643555</v>
      </c>
      <c r="BD873" s="34">
        <f t="shared" si="780"/>
        <v>0</v>
      </c>
    </row>
    <row r="874" spans="1:56" x14ac:dyDescent="0.2">
      <c r="A874" s="27">
        <f t="shared" si="781"/>
        <v>870</v>
      </c>
      <c r="B874" s="28">
        <f t="shared" si="728"/>
        <v>870</v>
      </c>
      <c r="C874" s="27">
        <f t="shared" si="729"/>
        <v>72</v>
      </c>
      <c r="D874" s="28">
        <f t="shared" si="730"/>
        <v>92</v>
      </c>
      <c r="E874" s="29">
        <f t="shared" si="731"/>
        <v>0</v>
      </c>
      <c r="F874" s="30">
        <f t="shared" si="732"/>
        <v>6.0001074809487832E-2</v>
      </c>
      <c r="G874" s="31">
        <f t="shared" si="733"/>
        <v>5.1431076263521724E-3</v>
      </c>
      <c r="H874" s="32">
        <f t="shared" si="734"/>
        <v>0.02</v>
      </c>
      <c r="I874" s="32">
        <f t="shared" si="735"/>
        <v>0</v>
      </c>
      <c r="J874" s="33">
        <f t="shared" si="782"/>
        <v>0</v>
      </c>
      <c r="K874" s="30">
        <f t="shared" si="736"/>
        <v>0</v>
      </c>
      <c r="L874" s="33">
        <f t="shared" si="737"/>
        <v>0</v>
      </c>
      <c r="M874" s="30">
        <f t="shared" si="738"/>
        <v>0</v>
      </c>
      <c r="N874" s="33">
        <f t="shared" si="739"/>
        <v>0</v>
      </c>
      <c r="O874" s="31">
        <f t="shared" si="740"/>
        <v>0</v>
      </c>
      <c r="P874" s="33">
        <f t="shared" si="741"/>
        <v>0</v>
      </c>
      <c r="Q874" s="34">
        <f t="shared" si="783"/>
        <v>934627.76841560274</v>
      </c>
      <c r="R874" s="29">
        <f t="shared" si="742"/>
        <v>0</v>
      </c>
      <c r="S874" s="34">
        <f t="shared" si="743"/>
        <v>934627.76841560274</v>
      </c>
      <c r="T874" s="29">
        <f t="shared" si="744"/>
        <v>778.85647367966897</v>
      </c>
      <c r="U874" s="29">
        <f t="shared" si="745"/>
        <v>0</v>
      </c>
      <c r="V874" s="35">
        <f t="shared" si="746"/>
        <v>5.65741838898739E-3</v>
      </c>
      <c r="W874" s="34">
        <f t="shared" si="747"/>
        <v>0</v>
      </c>
      <c r="X874" s="34">
        <f t="shared" si="748"/>
        <v>933848.91194192308</v>
      </c>
      <c r="Y874" s="36">
        <f t="shared" si="749"/>
        <v>8.3511833395812918E-3</v>
      </c>
      <c r="Z874" s="34">
        <f t="shared" si="750"/>
        <v>7798.7434750955053</v>
      </c>
      <c r="AA874" s="34">
        <f t="shared" si="751"/>
        <v>937748.28367947089</v>
      </c>
      <c r="AB874" s="34">
        <f t="shared" si="752"/>
        <v>0</v>
      </c>
      <c r="AC874" s="34">
        <f t="shared" si="753"/>
        <v>0</v>
      </c>
      <c r="AD874" s="34">
        <f t="shared" si="754"/>
        <v>0</v>
      </c>
      <c r="AE874" s="34">
        <f t="shared" si="755"/>
        <v>0</v>
      </c>
      <c r="AF874" s="34">
        <f t="shared" si="756"/>
        <v>0</v>
      </c>
      <c r="AG874" s="29">
        <f t="shared" si="757"/>
        <v>937748.28367947089</v>
      </c>
      <c r="AH874" s="34">
        <f t="shared" si="758"/>
        <v>0</v>
      </c>
      <c r="AI874" s="34">
        <f t="shared" si="759"/>
        <v>0</v>
      </c>
      <c r="AJ874" s="34">
        <f t="shared" si="760"/>
        <v>0</v>
      </c>
      <c r="AK874" s="34">
        <f t="shared" si="761"/>
        <v>0</v>
      </c>
      <c r="AL874" s="34">
        <f t="shared" si="762"/>
        <v>0</v>
      </c>
      <c r="AM874" s="34">
        <f t="shared" si="763"/>
        <v>0</v>
      </c>
      <c r="AN874" s="34">
        <f t="shared" si="764"/>
        <v>0</v>
      </c>
      <c r="AO874" s="34">
        <f t="shared" si="765"/>
        <v>0</v>
      </c>
      <c r="AP874" s="34">
        <f t="shared" si="766"/>
        <v>0</v>
      </c>
      <c r="AQ874" s="34">
        <f t="shared" si="767"/>
        <v>0</v>
      </c>
      <c r="AR874" s="34">
        <f t="shared" si="768"/>
        <v>0</v>
      </c>
      <c r="AS874" s="30">
        <f t="shared" si="769"/>
        <v>2.0573093470688462</v>
      </c>
      <c r="AT874" s="29">
        <f t="shared" si="770"/>
        <v>0</v>
      </c>
      <c r="AU874" s="29">
        <f t="shared" si="771"/>
        <v>0</v>
      </c>
      <c r="AV874" s="34">
        <f t="shared" si="772"/>
        <v>0</v>
      </c>
      <c r="AW874" s="34">
        <f t="shared" si="773"/>
        <v>0</v>
      </c>
      <c r="AX874" s="29">
        <f t="shared" si="774"/>
        <v>0</v>
      </c>
      <c r="AY874" s="34">
        <f t="shared" si="775"/>
        <v>0</v>
      </c>
      <c r="AZ874" s="37">
        <f t="shared" si="776"/>
        <v>0</v>
      </c>
      <c r="BA874" s="37">
        <f t="shared" si="777"/>
        <v>0</v>
      </c>
      <c r="BB874" s="35">
        <f t="shared" si="778"/>
        <v>1.5230107546899685E-3</v>
      </c>
      <c r="BC874" s="31">
        <f t="shared" si="779"/>
        <v>0.26606586966547913</v>
      </c>
      <c r="BD874" s="34">
        <f t="shared" si="780"/>
        <v>0</v>
      </c>
    </row>
    <row r="875" spans="1:56" x14ac:dyDescent="0.2">
      <c r="A875" s="27">
        <f t="shared" si="781"/>
        <v>871</v>
      </c>
      <c r="B875" s="28">
        <f t="shared" si="728"/>
        <v>871</v>
      </c>
      <c r="C875" s="27">
        <f t="shared" si="729"/>
        <v>72</v>
      </c>
      <c r="D875" s="28">
        <f t="shared" si="730"/>
        <v>92</v>
      </c>
      <c r="E875" s="29">
        <f t="shared" si="731"/>
        <v>0</v>
      </c>
      <c r="F875" s="30">
        <f t="shared" si="732"/>
        <v>6.0001074809487832E-2</v>
      </c>
      <c r="G875" s="31">
        <f t="shared" si="733"/>
        <v>5.1431076263521724E-3</v>
      </c>
      <c r="H875" s="32">
        <f t="shared" si="734"/>
        <v>0.02</v>
      </c>
      <c r="I875" s="32">
        <f t="shared" si="735"/>
        <v>0</v>
      </c>
      <c r="J875" s="33">
        <f t="shared" si="782"/>
        <v>0</v>
      </c>
      <c r="K875" s="30">
        <f t="shared" si="736"/>
        <v>0</v>
      </c>
      <c r="L875" s="33">
        <f t="shared" si="737"/>
        <v>0</v>
      </c>
      <c r="M875" s="30">
        <f t="shared" si="738"/>
        <v>0</v>
      </c>
      <c r="N875" s="33">
        <f t="shared" si="739"/>
        <v>0</v>
      </c>
      <c r="O875" s="31">
        <f t="shared" si="740"/>
        <v>0</v>
      </c>
      <c r="P875" s="33">
        <f t="shared" si="741"/>
        <v>0</v>
      </c>
      <c r="Q875" s="34">
        <f t="shared" si="783"/>
        <v>941647.65541701857</v>
      </c>
      <c r="R875" s="29">
        <f t="shared" si="742"/>
        <v>0</v>
      </c>
      <c r="S875" s="34">
        <f t="shared" si="743"/>
        <v>941647.65541701857</v>
      </c>
      <c r="T875" s="29">
        <f t="shared" si="744"/>
        <v>784.70637951418223</v>
      </c>
      <c r="U875" s="29">
        <f t="shared" si="745"/>
        <v>0</v>
      </c>
      <c r="V875" s="35">
        <f t="shared" si="746"/>
        <v>5.65741838898739E-3</v>
      </c>
      <c r="W875" s="34">
        <f t="shared" si="747"/>
        <v>0</v>
      </c>
      <c r="X875" s="34">
        <f t="shared" si="748"/>
        <v>940862.94903750438</v>
      </c>
      <c r="Y875" s="36">
        <f t="shared" si="749"/>
        <v>2.9065220471513609E-3</v>
      </c>
      <c r="Z875" s="34">
        <f t="shared" si="750"/>
        <v>2734.6389047253538</v>
      </c>
      <c r="AA875" s="34">
        <f t="shared" si="751"/>
        <v>942230.2684898671</v>
      </c>
      <c r="AB875" s="34">
        <f t="shared" si="752"/>
        <v>0</v>
      </c>
      <c r="AC875" s="34">
        <f t="shared" si="753"/>
        <v>0</v>
      </c>
      <c r="AD875" s="34">
        <f t="shared" si="754"/>
        <v>0</v>
      </c>
      <c r="AE875" s="34">
        <f t="shared" si="755"/>
        <v>0</v>
      </c>
      <c r="AF875" s="34">
        <f t="shared" si="756"/>
        <v>0</v>
      </c>
      <c r="AG875" s="29">
        <f t="shared" si="757"/>
        <v>942230.2684898671</v>
      </c>
      <c r="AH875" s="34">
        <f t="shared" si="758"/>
        <v>0</v>
      </c>
      <c r="AI875" s="34">
        <f t="shared" si="759"/>
        <v>0</v>
      </c>
      <c r="AJ875" s="34">
        <f t="shared" si="760"/>
        <v>0</v>
      </c>
      <c r="AK875" s="34">
        <f t="shared" si="761"/>
        <v>0</v>
      </c>
      <c r="AL875" s="34">
        <f t="shared" si="762"/>
        <v>0</v>
      </c>
      <c r="AM875" s="34">
        <f t="shared" si="763"/>
        <v>0</v>
      </c>
      <c r="AN875" s="34">
        <f t="shared" si="764"/>
        <v>0</v>
      </c>
      <c r="AO875" s="34">
        <f t="shared" si="765"/>
        <v>0</v>
      </c>
      <c r="AP875" s="34">
        <f t="shared" si="766"/>
        <v>0</v>
      </c>
      <c r="AQ875" s="34">
        <f t="shared" si="767"/>
        <v>0</v>
      </c>
      <c r="AR875" s="34">
        <f t="shared" si="768"/>
        <v>0</v>
      </c>
      <c r="AS875" s="30">
        <f t="shared" si="769"/>
        <v>2.059015963585241</v>
      </c>
      <c r="AT875" s="29">
        <f t="shared" si="770"/>
        <v>0</v>
      </c>
      <c r="AU875" s="29">
        <f t="shared" si="771"/>
        <v>0</v>
      </c>
      <c r="AV875" s="34">
        <f t="shared" si="772"/>
        <v>0</v>
      </c>
      <c r="AW875" s="34">
        <f t="shared" si="773"/>
        <v>0</v>
      </c>
      <c r="AX875" s="29">
        <f t="shared" si="774"/>
        <v>0</v>
      </c>
      <c r="AY875" s="34">
        <f t="shared" si="775"/>
        <v>0</v>
      </c>
      <c r="AZ875" s="37">
        <f t="shared" si="776"/>
        <v>0</v>
      </c>
      <c r="BA875" s="37">
        <f t="shared" si="777"/>
        <v>0</v>
      </c>
      <c r="BB875" s="35">
        <f t="shared" si="778"/>
        <v>1.5230107546899685E-3</v>
      </c>
      <c r="BC875" s="31">
        <f t="shared" si="779"/>
        <v>0.26566126470223311</v>
      </c>
      <c r="BD875" s="34">
        <f t="shared" si="780"/>
        <v>0</v>
      </c>
    </row>
    <row r="876" spans="1:56" x14ac:dyDescent="0.2">
      <c r="A876" s="27">
        <f t="shared" si="781"/>
        <v>872</v>
      </c>
      <c r="B876" s="28">
        <f t="shared" si="728"/>
        <v>872</v>
      </c>
      <c r="C876" s="27">
        <f t="shared" si="729"/>
        <v>72</v>
      </c>
      <c r="D876" s="28">
        <f t="shared" si="730"/>
        <v>92</v>
      </c>
      <c r="E876" s="29">
        <f t="shared" si="731"/>
        <v>0</v>
      </c>
      <c r="F876" s="30">
        <f t="shared" si="732"/>
        <v>6.0001074809487832E-2</v>
      </c>
      <c r="G876" s="31">
        <f t="shared" si="733"/>
        <v>5.1431076263521724E-3</v>
      </c>
      <c r="H876" s="32">
        <f t="shared" si="734"/>
        <v>0.02</v>
      </c>
      <c r="I876" s="32">
        <f t="shared" si="735"/>
        <v>0</v>
      </c>
      <c r="J876" s="33">
        <f t="shared" si="782"/>
        <v>0</v>
      </c>
      <c r="K876" s="30">
        <f t="shared" si="736"/>
        <v>0</v>
      </c>
      <c r="L876" s="33">
        <f t="shared" si="737"/>
        <v>0</v>
      </c>
      <c r="M876" s="30">
        <f t="shared" si="738"/>
        <v>0</v>
      </c>
      <c r="N876" s="33">
        <f t="shared" si="739"/>
        <v>0</v>
      </c>
      <c r="O876" s="31">
        <f t="shared" si="740"/>
        <v>0</v>
      </c>
      <c r="P876" s="33">
        <f t="shared" si="741"/>
        <v>0</v>
      </c>
      <c r="Q876" s="34">
        <f t="shared" si="783"/>
        <v>943597.5879422297</v>
      </c>
      <c r="R876" s="29">
        <f t="shared" si="742"/>
        <v>0</v>
      </c>
      <c r="S876" s="34">
        <f t="shared" si="743"/>
        <v>943597.5879422297</v>
      </c>
      <c r="T876" s="29">
        <f t="shared" si="744"/>
        <v>786.3313232851915</v>
      </c>
      <c r="U876" s="29">
        <f t="shared" si="745"/>
        <v>0</v>
      </c>
      <c r="V876" s="35">
        <f t="shared" si="746"/>
        <v>5.65741838898739E-3</v>
      </c>
      <c r="W876" s="34">
        <f t="shared" si="747"/>
        <v>0</v>
      </c>
      <c r="X876" s="34">
        <f t="shared" si="748"/>
        <v>942811.25661894446</v>
      </c>
      <c r="Y876" s="36">
        <f t="shared" si="749"/>
        <v>-2.6355836188661774E-3</v>
      </c>
      <c r="Z876" s="34">
        <f t="shared" si="750"/>
        <v>-2484.857903627526</v>
      </c>
      <c r="AA876" s="34">
        <f t="shared" si="751"/>
        <v>941568.82766713074</v>
      </c>
      <c r="AB876" s="34">
        <f t="shared" si="752"/>
        <v>0</v>
      </c>
      <c r="AC876" s="34">
        <f t="shared" si="753"/>
        <v>0</v>
      </c>
      <c r="AD876" s="34">
        <f t="shared" si="754"/>
        <v>0</v>
      </c>
      <c r="AE876" s="34">
        <f t="shared" si="755"/>
        <v>0</v>
      </c>
      <c r="AF876" s="34">
        <f t="shared" si="756"/>
        <v>0</v>
      </c>
      <c r="AG876" s="29">
        <f t="shared" si="757"/>
        <v>941568.82766713074</v>
      </c>
      <c r="AH876" s="34">
        <f t="shared" si="758"/>
        <v>0</v>
      </c>
      <c r="AI876" s="34">
        <f t="shared" si="759"/>
        <v>0</v>
      </c>
      <c r="AJ876" s="34">
        <f t="shared" si="760"/>
        <v>0</v>
      </c>
      <c r="AK876" s="34">
        <f t="shared" si="761"/>
        <v>0</v>
      </c>
      <c r="AL876" s="34">
        <f t="shared" si="762"/>
        <v>0</v>
      </c>
      <c r="AM876" s="34">
        <f t="shared" si="763"/>
        <v>0</v>
      </c>
      <c r="AN876" s="34">
        <f t="shared" si="764"/>
        <v>0</v>
      </c>
      <c r="AO876" s="34">
        <f t="shared" si="765"/>
        <v>0</v>
      </c>
      <c r="AP876" s="34">
        <f t="shared" si="766"/>
        <v>0</v>
      </c>
      <c r="AQ876" s="34">
        <f t="shared" si="767"/>
        <v>0</v>
      </c>
      <c r="AR876" s="34">
        <f t="shared" si="768"/>
        <v>0</v>
      </c>
      <c r="AS876" s="30">
        <f t="shared" si="769"/>
        <v>2.0607239958050823</v>
      </c>
      <c r="AT876" s="29">
        <f t="shared" si="770"/>
        <v>0</v>
      </c>
      <c r="AU876" s="29">
        <f t="shared" si="771"/>
        <v>0</v>
      </c>
      <c r="AV876" s="34">
        <f t="shared" si="772"/>
        <v>0</v>
      </c>
      <c r="AW876" s="34">
        <f t="shared" si="773"/>
        <v>0</v>
      </c>
      <c r="AX876" s="29">
        <f t="shared" si="774"/>
        <v>0</v>
      </c>
      <c r="AY876" s="34">
        <f t="shared" si="775"/>
        <v>0</v>
      </c>
      <c r="AZ876" s="37">
        <f t="shared" si="776"/>
        <v>0</v>
      </c>
      <c r="BA876" s="37">
        <f t="shared" si="777"/>
        <v>0</v>
      </c>
      <c r="BB876" s="35">
        <f t="shared" si="778"/>
        <v>1.5230107546899685E-3</v>
      </c>
      <c r="BC876" s="31">
        <f t="shared" si="779"/>
        <v>0.26525727501961843</v>
      </c>
      <c r="BD876" s="34">
        <f t="shared" si="780"/>
        <v>0</v>
      </c>
    </row>
    <row r="877" spans="1:56" x14ac:dyDescent="0.2">
      <c r="A877" s="27">
        <f t="shared" si="781"/>
        <v>873</v>
      </c>
      <c r="B877" s="28">
        <f t="shared" si="728"/>
        <v>873</v>
      </c>
      <c r="C877" s="27">
        <f t="shared" si="729"/>
        <v>72</v>
      </c>
      <c r="D877" s="28">
        <f t="shared" si="730"/>
        <v>92</v>
      </c>
      <c r="E877" s="29">
        <f t="shared" si="731"/>
        <v>0</v>
      </c>
      <c r="F877" s="30">
        <f t="shared" si="732"/>
        <v>6.0001074809487832E-2</v>
      </c>
      <c r="G877" s="31">
        <f t="shared" si="733"/>
        <v>5.1431076263521724E-3</v>
      </c>
      <c r="H877" s="32">
        <f t="shared" si="734"/>
        <v>0.02</v>
      </c>
      <c r="I877" s="32">
        <f t="shared" si="735"/>
        <v>0</v>
      </c>
      <c r="J877" s="33">
        <f t="shared" si="782"/>
        <v>0</v>
      </c>
      <c r="K877" s="30">
        <f t="shared" si="736"/>
        <v>0</v>
      </c>
      <c r="L877" s="33">
        <f t="shared" si="737"/>
        <v>0</v>
      </c>
      <c r="M877" s="30">
        <f t="shared" si="738"/>
        <v>0</v>
      </c>
      <c r="N877" s="33">
        <f t="shared" si="739"/>
        <v>0</v>
      </c>
      <c r="O877" s="31">
        <f t="shared" si="740"/>
        <v>0</v>
      </c>
      <c r="P877" s="33">
        <f t="shared" si="741"/>
        <v>0</v>
      </c>
      <c r="Q877" s="34">
        <f t="shared" si="783"/>
        <v>940326.3987153169</v>
      </c>
      <c r="R877" s="29">
        <f t="shared" si="742"/>
        <v>0</v>
      </c>
      <c r="S877" s="34">
        <f t="shared" si="743"/>
        <v>940326.3987153169</v>
      </c>
      <c r="T877" s="29">
        <f t="shared" si="744"/>
        <v>783.60533226276414</v>
      </c>
      <c r="U877" s="29">
        <f t="shared" si="745"/>
        <v>0</v>
      </c>
      <c r="V877" s="35">
        <f t="shared" si="746"/>
        <v>5.65741838898739E-3</v>
      </c>
      <c r="W877" s="34">
        <f t="shared" si="747"/>
        <v>0</v>
      </c>
      <c r="X877" s="34">
        <f t="shared" si="748"/>
        <v>939542.79338305409</v>
      </c>
      <c r="Y877" s="36">
        <f t="shared" si="749"/>
        <v>6.2374351071792233E-3</v>
      </c>
      <c r="Z877" s="34">
        <f t="shared" si="750"/>
        <v>5860.3372041446964</v>
      </c>
      <c r="AA877" s="34">
        <f t="shared" si="751"/>
        <v>942472.96198512649</v>
      </c>
      <c r="AB877" s="34">
        <f t="shared" si="752"/>
        <v>0</v>
      </c>
      <c r="AC877" s="34">
        <f t="shared" si="753"/>
        <v>0</v>
      </c>
      <c r="AD877" s="34">
        <f t="shared" si="754"/>
        <v>0</v>
      </c>
      <c r="AE877" s="34">
        <f t="shared" si="755"/>
        <v>0</v>
      </c>
      <c r="AF877" s="34">
        <f t="shared" si="756"/>
        <v>0</v>
      </c>
      <c r="AG877" s="29">
        <f t="shared" si="757"/>
        <v>942472.96198512649</v>
      </c>
      <c r="AH877" s="34">
        <f t="shared" si="758"/>
        <v>0</v>
      </c>
      <c r="AI877" s="34">
        <f t="shared" si="759"/>
        <v>0</v>
      </c>
      <c r="AJ877" s="34">
        <f t="shared" si="760"/>
        <v>0</v>
      </c>
      <c r="AK877" s="34">
        <f t="shared" si="761"/>
        <v>0</v>
      </c>
      <c r="AL877" s="34">
        <f t="shared" si="762"/>
        <v>0</v>
      </c>
      <c r="AM877" s="34">
        <f t="shared" si="763"/>
        <v>0</v>
      </c>
      <c r="AN877" s="34">
        <f t="shared" si="764"/>
        <v>0</v>
      </c>
      <c r="AO877" s="34">
        <f t="shared" si="765"/>
        <v>0</v>
      </c>
      <c r="AP877" s="34">
        <f t="shared" si="766"/>
        <v>0</v>
      </c>
      <c r="AQ877" s="34">
        <f t="shared" si="767"/>
        <v>0</v>
      </c>
      <c r="AR877" s="34">
        <f t="shared" si="768"/>
        <v>0</v>
      </c>
      <c r="AS877" s="30">
        <f t="shared" si="769"/>
        <v>2.0624334449027502</v>
      </c>
      <c r="AT877" s="29">
        <f t="shared" si="770"/>
        <v>0</v>
      </c>
      <c r="AU877" s="29">
        <f t="shared" si="771"/>
        <v>0</v>
      </c>
      <c r="AV877" s="34">
        <f t="shared" si="772"/>
        <v>0</v>
      </c>
      <c r="AW877" s="34">
        <f t="shared" si="773"/>
        <v>0</v>
      </c>
      <c r="AX877" s="29">
        <f t="shared" si="774"/>
        <v>0</v>
      </c>
      <c r="AY877" s="34">
        <f t="shared" si="775"/>
        <v>0</v>
      </c>
      <c r="AZ877" s="37">
        <f t="shared" si="776"/>
        <v>0</v>
      </c>
      <c r="BA877" s="37">
        <f t="shared" si="777"/>
        <v>0</v>
      </c>
      <c r="BB877" s="35">
        <f t="shared" si="778"/>
        <v>1.5230107546899685E-3</v>
      </c>
      <c r="BC877" s="31">
        <f t="shared" si="779"/>
        <v>0.2648538996819812</v>
      </c>
      <c r="BD877" s="34">
        <f t="shared" si="780"/>
        <v>0</v>
      </c>
    </row>
    <row r="878" spans="1:56" x14ac:dyDescent="0.2">
      <c r="A878" s="27">
        <f t="shared" si="781"/>
        <v>874</v>
      </c>
      <c r="B878" s="28">
        <f t="shared" si="728"/>
        <v>874</v>
      </c>
      <c r="C878" s="27">
        <f t="shared" si="729"/>
        <v>72</v>
      </c>
      <c r="D878" s="28">
        <f t="shared" si="730"/>
        <v>92</v>
      </c>
      <c r="E878" s="29">
        <f t="shared" si="731"/>
        <v>0</v>
      </c>
      <c r="F878" s="30">
        <f t="shared" si="732"/>
        <v>6.0001074809487832E-2</v>
      </c>
      <c r="G878" s="31">
        <f t="shared" si="733"/>
        <v>5.1431076263521724E-3</v>
      </c>
      <c r="H878" s="32">
        <f t="shared" si="734"/>
        <v>0.02</v>
      </c>
      <c r="I878" s="32">
        <f t="shared" si="735"/>
        <v>0</v>
      </c>
      <c r="J878" s="33">
        <f t="shared" si="782"/>
        <v>0</v>
      </c>
      <c r="K878" s="30">
        <f t="shared" si="736"/>
        <v>0</v>
      </c>
      <c r="L878" s="33">
        <f t="shared" si="737"/>
        <v>0</v>
      </c>
      <c r="M878" s="30">
        <f t="shared" si="738"/>
        <v>0</v>
      </c>
      <c r="N878" s="33">
        <f t="shared" si="739"/>
        <v>0</v>
      </c>
      <c r="O878" s="31">
        <f t="shared" si="740"/>
        <v>0</v>
      </c>
      <c r="P878" s="33">
        <f t="shared" si="741"/>
        <v>0</v>
      </c>
      <c r="Q878" s="34">
        <f t="shared" si="783"/>
        <v>945403.13058719877</v>
      </c>
      <c r="R878" s="29">
        <f t="shared" si="742"/>
        <v>0</v>
      </c>
      <c r="S878" s="34">
        <f t="shared" si="743"/>
        <v>945403.13058719877</v>
      </c>
      <c r="T878" s="29">
        <f t="shared" si="744"/>
        <v>787.83594215599908</v>
      </c>
      <c r="U878" s="29">
        <f t="shared" si="745"/>
        <v>0</v>
      </c>
      <c r="V878" s="35">
        <f t="shared" si="746"/>
        <v>5.65741838898739E-3</v>
      </c>
      <c r="W878" s="34">
        <f t="shared" si="747"/>
        <v>0</v>
      </c>
      <c r="X878" s="34">
        <f t="shared" si="748"/>
        <v>944615.29464504274</v>
      </c>
      <c r="Y878" s="36">
        <f t="shared" si="749"/>
        <v>7.4121563501428067E-3</v>
      </c>
      <c r="Z878" s="34">
        <f t="shared" si="750"/>
        <v>7001.6362546452719</v>
      </c>
      <c r="AA878" s="34">
        <f t="shared" si="751"/>
        <v>948116.11277236533</v>
      </c>
      <c r="AB878" s="34">
        <f t="shared" si="752"/>
        <v>0</v>
      </c>
      <c r="AC878" s="34">
        <f t="shared" si="753"/>
        <v>0</v>
      </c>
      <c r="AD878" s="34">
        <f t="shared" si="754"/>
        <v>0</v>
      </c>
      <c r="AE878" s="34">
        <f t="shared" si="755"/>
        <v>0</v>
      </c>
      <c r="AF878" s="34">
        <f t="shared" si="756"/>
        <v>0</v>
      </c>
      <c r="AG878" s="29">
        <f t="shared" si="757"/>
        <v>948116.11277236533</v>
      </c>
      <c r="AH878" s="34">
        <f t="shared" si="758"/>
        <v>0</v>
      </c>
      <c r="AI878" s="34">
        <f t="shared" si="759"/>
        <v>0</v>
      </c>
      <c r="AJ878" s="34">
        <f t="shared" si="760"/>
        <v>0</v>
      </c>
      <c r="AK878" s="34">
        <f t="shared" si="761"/>
        <v>0</v>
      </c>
      <c r="AL878" s="34">
        <f t="shared" si="762"/>
        <v>0</v>
      </c>
      <c r="AM878" s="34">
        <f t="shared" si="763"/>
        <v>0</v>
      </c>
      <c r="AN878" s="34">
        <f t="shared" si="764"/>
        <v>0</v>
      </c>
      <c r="AO878" s="34">
        <f t="shared" si="765"/>
        <v>0</v>
      </c>
      <c r="AP878" s="34">
        <f t="shared" si="766"/>
        <v>0</v>
      </c>
      <c r="AQ878" s="34">
        <f t="shared" si="767"/>
        <v>0</v>
      </c>
      <c r="AR878" s="34">
        <f t="shared" si="768"/>
        <v>0</v>
      </c>
      <c r="AS878" s="30">
        <f t="shared" si="769"/>
        <v>2.0641443120535996</v>
      </c>
      <c r="AT878" s="29">
        <f t="shared" si="770"/>
        <v>0</v>
      </c>
      <c r="AU878" s="29">
        <f t="shared" si="771"/>
        <v>0</v>
      </c>
      <c r="AV878" s="34">
        <f t="shared" si="772"/>
        <v>0</v>
      </c>
      <c r="AW878" s="34">
        <f t="shared" si="773"/>
        <v>0</v>
      </c>
      <c r="AX878" s="29">
        <f t="shared" si="774"/>
        <v>0</v>
      </c>
      <c r="AY878" s="34">
        <f t="shared" si="775"/>
        <v>0</v>
      </c>
      <c r="AZ878" s="37">
        <f t="shared" si="776"/>
        <v>0</v>
      </c>
      <c r="BA878" s="37">
        <f t="shared" si="777"/>
        <v>0</v>
      </c>
      <c r="BB878" s="35">
        <f t="shared" si="778"/>
        <v>1.5230107546899685E-3</v>
      </c>
      <c r="BC878" s="31">
        <f t="shared" si="779"/>
        <v>0.26445113775509016</v>
      </c>
      <c r="BD878" s="34">
        <f t="shared" si="780"/>
        <v>0</v>
      </c>
    </row>
    <row r="879" spans="1:56" x14ac:dyDescent="0.2">
      <c r="A879" s="27">
        <f t="shared" si="781"/>
        <v>875</v>
      </c>
      <c r="B879" s="28">
        <f t="shared" si="728"/>
        <v>875</v>
      </c>
      <c r="C879" s="27">
        <f t="shared" si="729"/>
        <v>72</v>
      </c>
      <c r="D879" s="28">
        <f t="shared" si="730"/>
        <v>92</v>
      </c>
      <c r="E879" s="29">
        <f t="shared" si="731"/>
        <v>0</v>
      </c>
      <c r="F879" s="30">
        <f t="shared" si="732"/>
        <v>6.0001074809487832E-2</v>
      </c>
      <c r="G879" s="31">
        <f t="shared" si="733"/>
        <v>5.1431076263521724E-3</v>
      </c>
      <c r="H879" s="32">
        <f t="shared" si="734"/>
        <v>0.02</v>
      </c>
      <c r="I879" s="32">
        <f t="shared" si="735"/>
        <v>0</v>
      </c>
      <c r="J879" s="33">
        <f t="shared" si="782"/>
        <v>0</v>
      </c>
      <c r="K879" s="30">
        <f t="shared" si="736"/>
        <v>0</v>
      </c>
      <c r="L879" s="33">
        <f t="shared" si="737"/>
        <v>0</v>
      </c>
      <c r="M879" s="30">
        <f t="shared" si="738"/>
        <v>0</v>
      </c>
      <c r="N879" s="33">
        <f t="shared" si="739"/>
        <v>0</v>
      </c>
      <c r="O879" s="31">
        <f t="shared" si="740"/>
        <v>0</v>
      </c>
      <c r="P879" s="33">
        <f t="shared" si="741"/>
        <v>0</v>
      </c>
      <c r="Q879" s="34">
        <f t="shared" si="783"/>
        <v>951616.93089968804</v>
      </c>
      <c r="R879" s="29">
        <f t="shared" si="742"/>
        <v>0</v>
      </c>
      <c r="S879" s="34">
        <f t="shared" si="743"/>
        <v>951616.93089968804</v>
      </c>
      <c r="T879" s="29">
        <f t="shared" si="744"/>
        <v>793.01410908307344</v>
      </c>
      <c r="U879" s="29">
        <f t="shared" si="745"/>
        <v>0</v>
      </c>
      <c r="V879" s="35">
        <f t="shared" si="746"/>
        <v>5.65741838898739E-3</v>
      </c>
      <c r="W879" s="34">
        <f t="shared" si="747"/>
        <v>0</v>
      </c>
      <c r="X879" s="34">
        <f t="shared" si="748"/>
        <v>950823.91679060494</v>
      </c>
      <c r="Y879" s="36">
        <f t="shared" si="749"/>
        <v>-1.3243876923183517E-3</v>
      </c>
      <c r="Z879" s="34">
        <f t="shared" si="750"/>
        <v>-1259.2594929594059</v>
      </c>
      <c r="AA879" s="34">
        <f t="shared" si="751"/>
        <v>950194.28704412526</v>
      </c>
      <c r="AB879" s="34">
        <f t="shared" si="752"/>
        <v>0</v>
      </c>
      <c r="AC879" s="34">
        <f t="shared" si="753"/>
        <v>0</v>
      </c>
      <c r="AD879" s="34">
        <f t="shared" si="754"/>
        <v>0</v>
      </c>
      <c r="AE879" s="34">
        <f t="shared" si="755"/>
        <v>0</v>
      </c>
      <c r="AF879" s="34">
        <f t="shared" si="756"/>
        <v>0</v>
      </c>
      <c r="AG879" s="29">
        <f t="shared" si="757"/>
        <v>950194.28704412526</v>
      </c>
      <c r="AH879" s="34">
        <f t="shared" si="758"/>
        <v>0</v>
      </c>
      <c r="AI879" s="34">
        <f t="shared" si="759"/>
        <v>0</v>
      </c>
      <c r="AJ879" s="34">
        <f t="shared" si="760"/>
        <v>0</v>
      </c>
      <c r="AK879" s="34">
        <f t="shared" si="761"/>
        <v>0</v>
      </c>
      <c r="AL879" s="34">
        <f t="shared" si="762"/>
        <v>0</v>
      </c>
      <c r="AM879" s="34">
        <f t="shared" si="763"/>
        <v>0</v>
      </c>
      <c r="AN879" s="34">
        <f t="shared" si="764"/>
        <v>0</v>
      </c>
      <c r="AO879" s="34">
        <f t="shared" si="765"/>
        <v>0</v>
      </c>
      <c r="AP879" s="34">
        <f t="shared" si="766"/>
        <v>0</v>
      </c>
      <c r="AQ879" s="34">
        <f t="shared" si="767"/>
        <v>0</v>
      </c>
      <c r="AR879" s="34">
        <f t="shared" si="768"/>
        <v>0</v>
      </c>
      <c r="AS879" s="30">
        <f t="shared" si="769"/>
        <v>2.065856598433959</v>
      </c>
      <c r="AT879" s="29">
        <f t="shared" si="770"/>
        <v>0</v>
      </c>
      <c r="AU879" s="29">
        <f t="shared" si="771"/>
        <v>0</v>
      </c>
      <c r="AV879" s="34">
        <f t="shared" si="772"/>
        <v>0</v>
      </c>
      <c r="AW879" s="34">
        <f t="shared" si="773"/>
        <v>0</v>
      </c>
      <c r="AX879" s="29">
        <f t="shared" si="774"/>
        <v>0</v>
      </c>
      <c r="AY879" s="34">
        <f t="shared" si="775"/>
        <v>0</v>
      </c>
      <c r="AZ879" s="37">
        <f t="shared" si="776"/>
        <v>0</v>
      </c>
      <c r="BA879" s="37">
        <f t="shared" si="777"/>
        <v>0</v>
      </c>
      <c r="BB879" s="35">
        <f t="shared" si="778"/>
        <v>1.5230107546899685E-3</v>
      </c>
      <c r="BC879" s="31">
        <f t="shared" si="779"/>
        <v>0.26404898830613494</v>
      </c>
      <c r="BD879" s="34">
        <f t="shared" si="780"/>
        <v>0</v>
      </c>
    </row>
    <row r="880" spans="1:56" x14ac:dyDescent="0.2">
      <c r="A880" s="27">
        <f t="shared" si="781"/>
        <v>876</v>
      </c>
      <c r="B880" s="28">
        <f t="shared" si="728"/>
        <v>876</v>
      </c>
      <c r="C880" s="27">
        <f t="shared" si="729"/>
        <v>73</v>
      </c>
      <c r="D880" s="28">
        <f t="shared" si="730"/>
        <v>93</v>
      </c>
      <c r="E880" s="29">
        <f t="shared" si="731"/>
        <v>0</v>
      </c>
      <c r="F880" s="30">
        <f t="shared" si="732"/>
        <v>6.8045576484090153E-2</v>
      </c>
      <c r="G880" s="31">
        <f t="shared" si="733"/>
        <v>5.8554038502380834E-3</v>
      </c>
      <c r="H880" s="32">
        <f t="shared" si="734"/>
        <v>0.02</v>
      </c>
      <c r="I880" s="32">
        <f t="shared" si="735"/>
        <v>0</v>
      </c>
      <c r="J880" s="33">
        <f t="shared" si="782"/>
        <v>0</v>
      </c>
      <c r="K880" s="30">
        <f t="shared" si="736"/>
        <v>0</v>
      </c>
      <c r="L880" s="33">
        <f t="shared" si="737"/>
        <v>0</v>
      </c>
      <c r="M880" s="30">
        <f t="shared" si="738"/>
        <v>0</v>
      </c>
      <c r="N880" s="33">
        <f t="shared" si="739"/>
        <v>0</v>
      </c>
      <c r="O880" s="31">
        <f t="shared" si="740"/>
        <v>0</v>
      </c>
      <c r="P880" s="33">
        <f t="shared" si="741"/>
        <v>0</v>
      </c>
      <c r="Q880" s="34">
        <f t="shared" si="783"/>
        <v>949564.65729764558</v>
      </c>
      <c r="R880" s="29">
        <f t="shared" si="742"/>
        <v>0</v>
      </c>
      <c r="S880" s="34">
        <f t="shared" si="743"/>
        <v>949564.65729764558</v>
      </c>
      <c r="T880" s="29">
        <f t="shared" si="744"/>
        <v>791.3038810813714</v>
      </c>
      <c r="U880" s="29">
        <f t="shared" si="745"/>
        <v>0</v>
      </c>
      <c r="V880" s="35">
        <f t="shared" si="746"/>
        <v>6.4409442352618921E-3</v>
      </c>
      <c r="W880" s="34">
        <f t="shared" si="747"/>
        <v>0</v>
      </c>
      <c r="X880" s="34">
        <f t="shared" si="748"/>
        <v>948773.35341656418</v>
      </c>
      <c r="Y880" s="36">
        <f t="shared" si="749"/>
        <v>-4.9067884175332255E-3</v>
      </c>
      <c r="Z880" s="34">
        <f t="shared" si="750"/>
        <v>-4655.4301014085549</v>
      </c>
      <c r="AA880" s="34">
        <f t="shared" si="751"/>
        <v>946445.63836585986</v>
      </c>
      <c r="AB880" s="34">
        <f t="shared" si="752"/>
        <v>0</v>
      </c>
      <c r="AC880" s="34">
        <f t="shared" si="753"/>
        <v>0</v>
      </c>
      <c r="AD880" s="34">
        <f t="shared" si="754"/>
        <v>0</v>
      </c>
      <c r="AE880" s="34">
        <f t="shared" si="755"/>
        <v>0</v>
      </c>
      <c r="AF880" s="34">
        <f t="shared" si="756"/>
        <v>0</v>
      </c>
      <c r="AG880" s="29">
        <f t="shared" si="757"/>
        <v>946445.63836585986</v>
      </c>
      <c r="AH880" s="34">
        <f t="shared" si="758"/>
        <v>0</v>
      </c>
      <c r="AI880" s="34">
        <f t="shared" si="759"/>
        <v>0</v>
      </c>
      <c r="AJ880" s="34">
        <f t="shared" si="760"/>
        <v>0</v>
      </c>
      <c r="AK880" s="34">
        <f t="shared" si="761"/>
        <v>0</v>
      </c>
      <c r="AL880" s="34">
        <f t="shared" si="762"/>
        <v>0</v>
      </c>
      <c r="AM880" s="34">
        <f t="shared" si="763"/>
        <v>0</v>
      </c>
      <c r="AN880" s="34">
        <f t="shared" si="764"/>
        <v>0</v>
      </c>
      <c r="AO880" s="34">
        <f t="shared" si="765"/>
        <v>0</v>
      </c>
      <c r="AP880" s="34">
        <f t="shared" si="766"/>
        <v>0</v>
      </c>
      <c r="AQ880" s="34">
        <f t="shared" si="767"/>
        <v>0</v>
      </c>
      <c r="AR880" s="34">
        <f t="shared" si="768"/>
        <v>0</v>
      </c>
      <c r="AS880" s="30">
        <f t="shared" si="769"/>
        <v>2.0675703052211341</v>
      </c>
      <c r="AT880" s="29">
        <f t="shared" si="770"/>
        <v>0</v>
      </c>
      <c r="AU880" s="29">
        <f t="shared" si="771"/>
        <v>0</v>
      </c>
      <c r="AV880" s="34">
        <f t="shared" si="772"/>
        <v>0</v>
      </c>
      <c r="AW880" s="34">
        <f t="shared" si="773"/>
        <v>0</v>
      </c>
      <c r="AX880" s="29">
        <f t="shared" si="774"/>
        <v>0</v>
      </c>
      <c r="AY880" s="34">
        <f t="shared" si="775"/>
        <v>0</v>
      </c>
      <c r="AZ880" s="37">
        <f t="shared" si="776"/>
        <v>0</v>
      </c>
      <c r="BA880" s="37">
        <f t="shared" si="777"/>
        <v>0</v>
      </c>
      <c r="BB880" s="35">
        <f t="shared" si="778"/>
        <v>1.5484116844812768E-3</v>
      </c>
      <c r="BC880" s="31">
        <f t="shared" si="779"/>
        <v>0.25785455872383606</v>
      </c>
      <c r="BD880" s="34">
        <f t="shared" si="780"/>
        <v>0</v>
      </c>
    </row>
    <row r="881" spans="1:56" x14ac:dyDescent="0.2">
      <c r="A881" s="27">
        <f t="shared" si="781"/>
        <v>877</v>
      </c>
      <c r="B881" s="28">
        <f t="shared" si="728"/>
        <v>877</v>
      </c>
      <c r="C881" s="27">
        <f t="shared" si="729"/>
        <v>73</v>
      </c>
      <c r="D881" s="28">
        <f t="shared" si="730"/>
        <v>93</v>
      </c>
      <c r="E881" s="29">
        <f t="shared" si="731"/>
        <v>0</v>
      </c>
      <c r="F881" s="30">
        <f t="shared" si="732"/>
        <v>6.8045576484090153E-2</v>
      </c>
      <c r="G881" s="31">
        <f t="shared" si="733"/>
        <v>5.8554038502380834E-3</v>
      </c>
      <c r="H881" s="32">
        <f t="shared" si="734"/>
        <v>0.02</v>
      </c>
      <c r="I881" s="32">
        <f t="shared" si="735"/>
        <v>0</v>
      </c>
      <c r="J881" s="33">
        <f t="shared" si="782"/>
        <v>0</v>
      </c>
      <c r="K881" s="30">
        <f t="shared" si="736"/>
        <v>0</v>
      </c>
      <c r="L881" s="33">
        <f t="shared" si="737"/>
        <v>0</v>
      </c>
      <c r="M881" s="30">
        <f t="shared" si="738"/>
        <v>0</v>
      </c>
      <c r="N881" s="33">
        <f t="shared" si="739"/>
        <v>0</v>
      </c>
      <c r="O881" s="31">
        <f t="shared" si="740"/>
        <v>0</v>
      </c>
      <c r="P881" s="33">
        <f t="shared" si="741"/>
        <v>0</v>
      </c>
      <c r="Q881" s="34">
        <f t="shared" si="783"/>
        <v>944117.92331515567</v>
      </c>
      <c r="R881" s="29">
        <f t="shared" si="742"/>
        <v>0</v>
      </c>
      <c r="S881" s="34">
        <f t="shared" si="743"/>
        <v>944117.92331515567</v>
      </c>
      <c r="T881" s="29">
        <f t="shared" si="744"/>
        <v>786.76493609596309</v>
      </c>
      <c r="U881" s="29">
        <f t="shared" si="745"/>
        <v>0</v>
      </c>
      <c r="V881" s="35">
        <f t="shared" si="746"/>
        <v>6.4409442352618921E-3</v>
      </c>
      <c r="W881" s="34">
        <f t="shared" si="747"/>
        <v>0</v>
      </c>
      <c r="X881" s="34">
        <f t="shared" si="748"/>
        <v>943331.15837905975</v>
      </c>
      <c r="Y881" s="36">
        <f t="shared" si="749"/>
        <v>2.0379409256032543E-2</v>
      </c>
      <c r="Z881" s="34">
        <f t="shared" si="750"/>
        <v>19224.531740574112</v>
      </c>
      <c r="AA881" s="34">
        <f t="shared" si="751"/>
        <v>952943.42424934683</v>
      </c>
      <c r="AB881" s="34">
        <f t="shared" si="752"/>
        <v>0</v>
      </c>
      <c r="AC881" s="34">
        <f t="shared" si="753"/>
        <v>0</v>
      </c>
      <c r="AD881" s="34">
        <f t="shared" si="754"/>
        <v>0</v>
      </c>
      <c r="AE881" s="34">
        <f t="shared" si="755"/>
        <v>0</v>
      </c>
      <c r="AF881" s="34">
        <f t="shared" si="756"/>
        <v>0</v>
      </c>
      <c r="AG881" s="29">
        <f t="shared" si="757"/>
        <v>952943.42424934683</v>
      </c>
      <c r="AH881" s="34">
        <f t="shared" si="758"/>
        <v>0</v>
      </c>
      <c r="AI881" s="34">
        <f t="shared" si="759"/>
        <v>0</v>
      </c>
      <c r="AJ881" s="34">
        <f t="shared" si="760"/>
        <v>0</v>
      </c>
      <c r="AK881" s="34">
        <f t="shared" si="761"/>
        <v>0</v>
      </c>
      <c r="AL881" s="34">
        <f t="shared" si="762"/>
        <v>0</v>
      </c>
      <c r="AM881" s="34">
        <f t="shared" si="763"/>
        <v>0</v>
      </c>
      <c r="AN881" s="34">
        <f t="shared" si="764"/>
        <v>0</v>
      </c>
      <c r="AO881" s="34">
        <f t="shared" si="765"/>
        <v>0</v>
      </c>
      <c r="AP881" s="34">
        <f t="shared" si="766"/>
        <v>0</v>
      </c>
      <c r="AQ881" s="34">
        <f t="shared" si="767"/>
        <v>0</v>
      </c>
      <c r="AR881" s="34">
        <f t="shared" si="768"/>
        <v>0</v>
      </c>
      <c r="AS881" s="30">
        <f t="shared" si="769"/>
        <v>2.069285433593405</v>
      </c>
      <c r="AT881" s="29">
        <f t="shared" si="770"/>
        <v>0</v>
      </c>
      <c r="AU881" s="29">
        <f t="shared" si="771"/>
        <v>0</v>
      </c>
      <c r="AV881" s="34">
        <f t="shared" si="772"/>
        <v>0</v>
      </c>
      <c r="AW881" s="34">
        <f t="shared" si="773"/>
        <v>0</v>
      </c>
      <c r="AX881" s="29">
        <f t="shared" si="774"/>
        <v>0</v>
      </c>
      <c r="AY881" s="34">
        <f t="shared" si="775"/>
        <v>0</v>
      </c>
      <c r="AZ881" s="37">
        <f t="shared" si="776"/>
        <v>0</v>
      </c>
      <c r="BA881" s="37">
        <f t="shared" si="777"/>
        <v>0</v>
      </c>
      <c r="BB881" s="35">
        <f t="shared" si="778"/>
        <v>1.5484116844812768E-3</v>
      </c>
      <c r="BC881" s="31">
        <f t="shared" si="779"/>
        <v>0.25745591098303122</v>
      </c>
      <c r="BD881" s="34">
        <f t="shared" si="780"/>
        <v>0</v>
      </c>
    </row>
    <row r="882" spans="1:56" x14ac:dyDescent="0.2">
      <c r="A882" s="27">
        <f t="shared" si="781"/>
        <v>878</v>
      </c>
      <c r="B882" s="28">
        <f t="shared" si="728"/>
        <v>878</v>
      </c>
      <c r="C882" s="27">
        <f t="shared" si="729"/>
        <v>73</v>
      </c>
      <c r="D882" s="28">
        <f t="shared" si="730"/>
        <v>93</v>
      </c>
      <c r="E882" s="29">
        <f t="shared" si="731"/>
        <v>0</v>
      </c>
      <c r="F882" s="30">
        <f t="shared" si="732"/>
        <v>6.8045576484090153E-2</v>
      </c>
      <c r="G882" s="31">
        <f t="shared" si="733"/>
        <v>5.8554038502380834E-3</v>
      </c>
      <c r="H882" s="32">
        <f t="shared" si="734"/>
        <v>0.02</v>
      </c>
      <c r="I882" s="32">
        <f t="shared" si="735"/>
        <v>0</v>
      </c>
      <c r="J882" s="33">
        <f t="shared" si="782"/>
        <v>0</v>
      </c>
      <c r="K882" s="30">
        <f t="shared" si="736"/>
        <v>0</v>
      </c>
      <c r="L882" s="33">
        <f t="shared" si="737"/>
        <v>0</v>
      </c>
      <c r="M882" s="30">
        <f t="shared" si="738"/>
        <v>0</v>
      </c>
      <c r="N882" s="33">
        <f t="shared" si="739"/>
        <v>0</v>
      </c>
      <c r="O882" s="31">
        <f t="shared" si="740"/>
        <v>0</v>
      </c>
      <c r="P882" s="33">
        <f t="shared" si="741"/>
        <v>0</v>
      </c>
      <c r="Q882" s="34">
        <f t="shared" si="783"/>
        <v>962555.69011963392</v>
      </c>
      <c r="R882" s="29">
        <f t="shared" si="742"/>
        <v>0</v>
      </c>
      <c r="S882" s="34">
        <f t="shared" si="743"/>
        <v>962555.69011963392</v>
      </c>
      <c r="T882" s="29">
        <f t="shared" si="744"/>
        <v>802.12974176636169</v>
      </c>
      <c r="U882" s="29">
        <f t="shared" si="745"/>
        <v>0</v>
      </c>
      <c r="V882" s="35">
        <f t="shared" si="746"/>
        <v>6.4409442352618921E-3</v>
      </c>
      <c r="W882" s="34">
        <f t="shared" si="747"/>
        <v>0</v>
      </c>
      <c r="X882" s="34">
        <f t="shared" si="748"/>
        <v>961753.56037786754</v>
      </c>
      <c r="Y882" s="36">
        <f t="shared" si="749"/>
        <v>-2.2621880128362859E-3</v>
      </c>
      <c r="Z882" s="34">
        <f t="shared" si="750"/>
        <v>-2175.6673755894312</v>
      </c>
      <c r="AA882" s="34">
        <f t="shared" si="751"/>
        <v>960665.7266900728</v>
      </c>
      <c r="AB882" s="34">
        <f t="shared" si="752"/>
        <v>0</v>
      </c>
      <c r="AC882" s="34">
        <f t="shared" si="753"/>
        <v>0</v>
      </c>
      <c r="AD882" s="34">
        <f t="shared" si="754"/>
        <v>0</v>
      </c>
      <c r="AE882" s="34">
        <f t="shared" si="755"/>
        <v>0</v>
      </c>
      <c r="AF882" s="34">
        <f t="shared" si="756"/>
        <v>0</v>
      </c>
      <c r="AG882" s="29">
        <f t="shared" si="757"/>
        <v>960665.7266900728</v>
      </c>
      <c r="AH882" s="34">
        <f t="shared" si="758"/>
        <v>0</v>
      </c>
      <c r="AI882" s="34">
        <f t="shared" si="759"/>
        <v>0</v>
      </c>
      <c r="AJ882" s="34">
        <f t="shared" si="760"/>
        <v>0</v>
      </c>
      <c r="AK882" s="34">
        <f t="shared" si="761"/>
        <v>0</v>
      </c>
      <c r="AL882" s="34">
        <f t="shared" si="762"/>
        <v>0</v>
      </c>
      <c r="AM882" s="34">
        <f t="shared" si="763"/>
        <v>0</v>
      </c>
      <c r="AN882" s="34">
        <f t="shared" si="764"/>
        <v>0</v>
      </c>
      <c r="AO882" s="34">
        <f t="shared" si="765"/>
        <v>0</v>
      </c>
      <c r="AP882" s="34">
        <f t="shared" si="766"/>
        <v>0</v>
      </c>
      <c r="AQ882" s="34">
        <f t="shared" si="767"/>
        <v>0</v>
      </c>
      <c r="AR882" s="34">
        <f t="shared" si="768"/>
        <v>0</v>
      </c>
      <c r="AS882" s="30">
        <f t="shared" si="769"/>
        <v>2.0710019847300325</v>
      </c>
      <c r="AT882" s="29">
        <f t="shared" si="770"/>
        <v>0</v>
      </c>
      <c r="AU882" s="29">
        <f t="shared" si="771"/>
        <v>0</v>
      </c>
      <c r="AV882" s="34">
        <f t="shared" si="772"/>
        <v>0</v>
      </c>
      <c r="AW882" s="34">
        <f t="shared" si="773"/>
        <v>0</v>
      </c>
      <c r="AX882" s="29">
        <f t="shared" si="774"/>
        <v>0</v>
      </c>
      <c r="AY882" s="34">
        <f t="shared" si="775"/>
        <v>0</v>
      </c>
      <c r="AZ882" s="37">
        <f t="shared" si="776"/>
        <v>0</v>
      </c>
      <c r="BA882" s="37">
        <f t="shared" si="777"/>
        <v>0</v>
      </c>
      <c r="BB882" s="35">
        <f t="shared" si="778"/>
        <v>1.5484116844812768E-3</v>
      </c>
      <c r="BC882" s="31">
        <f t="shared" si="779"/>
        <v>0.25705787955873444</v>
      </c>
      <c r="BD882" s="34">
        <f t="shared" si="780"/>
        <v>0</v>
      </c>
    </row>
    <row r="883" spans="1:56" x14ac:dyDescent="0.2">
      <c r="A883" s="27">
        <f t="shared" si="781"/>
        <v>879</v>
      </c>
      <c r="B883" s="28">
        <f t="shared" si="728"/>
        <v>879</v>
      </c>
      <c r="C883" s="27">
        <f t="shared" si="729"/>
        <v>73</v>
      </c>
      <c r="D883" s="28">
        <f t="shared" si="730"/>
        <v>93</v>
      </c>
      <c r="E883" s="29">
        <f t="shared" si="731"/>
        <v>0</v>
      </c>
      <c r="F883" s="30">
        <f t="shared" si="732"/>
        <v>6.8045576484090153E-2</v>
      </c>
      <c r="G883" s="31">
        <f t="shared" si="733"/>
        <v>5.8554038502380834E-3</v>
      </c>
      <c r="H883" s="32">
        <f t="shared" si="734"/>
        <v>0.02</v>
      </c>
      <c r="I883" s="32">
        <f t="shared" si="735"/>
        <v>0</v>
      </c>
      <c r="J883" s="33">
        <f t="shared" si="782"/>
        <v>0</v>
      </c>
      <c r="K883" s="30">
        <f t="shared" si="736"/>
        <v>0</v>
      </c>
      <c r="L883" s="33">
        <f t="shared" si="737"/>
        <v>0</v>
      </c>
      <c r="M883" s="30">
        <f t="shared" si="738"/>
        <v>0</v>
      </c>
      <c r="N883" s="33">
        <f t="shared" si="739"/>
        <v>0</v>
      </c>
      <c r="O883" s="31">
        <f t="shared" si="740"/>
        <v>0</v>
      </c>
      <c r="P883" s="33">
        <f t="shared" si="741"/>
        <v>0</v>
      </c>
      <c r="Q883" s="34">
        <f t="shared" si="783"/>
        <v>959577.89300227806</v>
      </c>
      <c r="R883" s="29">
        <f t="shared" si="742"/>
        <v>0</v>
      </c>
      <c r="S883" s="34">
        <f t="shared" si="743"/>
        <v>959577.89300227806</v>
      </c>
      <c r="T883" s="29">
        <f t="shared" si="744"/>
        <v>799.64824416856504</v>
      </c>
      <c r="U883" s="29">
        <f t="shared" si="745"/>
        <v>0</v>
      </c>
      <c r="V883" s="35">
        <f t="shared" si="746"/>
        <v>6.4409442352618921E-3</v>
      </c>
      <c r="W883" s="34">
        <f t="shared" si="747"/>
        <v>0</v>
      </c>
      <c r="X883" s="34">
        <f t="shared" si="748"/>
        <v>958778.24475810945</v>
      </c>
      <c r="Y883" s="36">
        <f t="shared" si="749"/>
        <v>1.2261398269796997E-2</v>
      </c>
      <c r="Z883" s="34">
        <f t="shared" si="750"/>
        <v>11755.961911396085</v>
      </c>
      <c r="AA883" s="34">
        <f t="shared" si="751"/>
        <v>964656.22571380751</v>
      </c>
      <c r="AB883" s="34">
        <f t="shared" si="752"/>
        <v>0</v>
      </c>
      <c r="AC883" s="34">
        <f t="shared" si="753"/>
        <v>0</v>
      </c>
      <c r="AD883" s="34">
        <f t="shared" si="754"/>
        <v>0</v>
      </c>
      <c r="AE883" s="34">
        <f t="shared" si="755"/>
        <v>0</v>
      </c>
      <c r="AF883" s="34">
        <f t="shared" si="756"/>
        <v>0</v>
      </c>
      <c r="AG883" s="29">
        <f t="shared" si="757"/>
        <v>964656.22571380751</v>
      </c>
      <c r="AH883" s="34">
        <f t="shared" si="758"/>
        <v>0</v>
      </c>
      <c r="AI883" s="34">
        <f t="shared" si="759"/>
        <v>0</v>
      </c>
      <c r="AJ883" s="34">
        <f t="shared" si="760"/>
        <v>0</v>
      </c>
      <c r="AK883" s="34">
        <f t="shared" si="761"/>
        <v>0</v>
      </c>
      <c r="AL883" s="34">
        <f t="shared" si="762"/>
        <v>0</v>
      </c>
      <c r="AM883" s="34">
        <f t="shared" si="763"/>
        <v>0</v>
      </c>
      <c r="AN883" s="34">
        <f t="shared" si="764"/>
        <v>0</v>
      </c>
      <c r="AO883" s="34">
        <f t="shared" si="765"/>
        <v>0</v>
      </c>
      <c r="AP883" s="34">
        <f t="shared" si="766"/>
        <v>0</v>
      </c>
      <c r="AQ883" s="34">
        <f t="shared" si="767"/>
        <v>0</v>
      </c>
      <c r="AR883" s="34">
        <f t="shared" si="768"/>
        <v>0</v>
      </c>
      <c r="AS883" s="30">
        <f t="shared" si="769"/>
        <v>2.0727199598112525</v>
      </c>
      <c r="AT883" s="29">
        <f t="shared" si="770"/>
        <v>0</v>
      </c>
      <c r="AU883" s="29">
        <f t="shared" si="771"/>
        <v>0</v>
      </c>
      <c r="AV883" s="34">
        <f t="shared" si="772"/>
        <v>0</v>
      </c>
      <c r="AW883" s="34">
        <f t="shared" si="773"/>
        <v>0</v>
      </c>
      <c r="AX883" s="29">
        <f t="shared" si="774"/>
        <v>0</v>
      </c>
      <c r="AY883" s="34">
        <f t="shared" si="775"/>
        <v>0</v>
      </c>
      <c r="AZ883" s="37">
        <f t="shared" si="776"/>
        <v>0</v>
      </c>
      <c r="BA883" s="37">
        <f t="shared" si="777"/>
        <v>0</v>
      </c>
      <c r="BB883" s="35">
        <f t="shared" si="778"/>
        <v>1.5484116844812768E-3</v>
      </c>
      <c r="BC883" s="31">
        <f t="shared" si="779"/>
        <v>0.2566604634981095</v>
      </c>
      <c r="BD883" s="34">
        <f t="shared" si="780"/>
        <v>0</v>
      </c>
    </row>
    <row r="884" spans="1:56" x14ac:dyDescent="0.2">
      <c r="A884" s="27">
        <f t="shared" si="781"/>
        <v>880</v>
      </c>
      <c r="B884" s="28">
        <f t="shared" si="728"/>
        <v>880</v>
      </c>
      <c r="C884" s="27">
        <f t="shared" si="729"/>
        <v>73</v>
      </c>
      <c r="D884" s="28">
        <f t="shared" si="730"/>
        <v>93</v>
      </c>
      <c r="E884" s="29">
        <f t="shared" si="731"/>
        <v>0</v>
      </c>
      <c r="F884" s="30">
        <f t="shared" si="732"/>
        <v>6.8045576484090153E-2</v>
      </c>
      <c r="G884" s="31">
        <f t="shared" si="733"/>
        <v>5.8554038502380834E-3</v>
      </c>
      <c r="H884" s="32">
        <f t="shared" si="734"/>
        <v>0.02</v>
      </c>
      <c r="I884" s="32">
        <f t="shared" si="735"/>
        <v>0</v>
      </c>
      <c r="J884" s="33">
        <f t="shared" si="782"/>
        <v>0</v>
      </c>
      <c r="K884" s="30">
        <f t="shared" si="736"/>
        <v>0</v>
      </c>
      <c r="L884" s="33">
        <f t="shared" si="737"/>
        <v>0</v>
      </c>
      <c r="M884" s="30">
        <f t="shared" si="738"/>
        <v>0</v>
      </c>
      <c r="N884" s="33">
        <f t="shared" si="739"/>
        <v>0</v>
      </c>
      <c r="O884" s="31">
        <f t="shared" si="740"/>
        <v>0</v>
      </c>
      <c r="P884" s="33">
        <f t="shared" si="741"/>
        <v>0</v>
      </c>
      <c r="Q884" s="34">
        <f t="shared" si="783"/>
        <v>970534.20666950557</v>
      </c>
      <c r="R884" s="29">
        <f t="shared" si="742"/>
        <v>0</v>
      </c>
      <c r="S884" s="34">
        <f t="shared" si="743"/>
        <v>970534.20666950557</v>
      </c>
      <c r="T884" s="29">
        <f t="shared" si="744"/>
        <v>808.77850555792133</v>
      </c>
      <c r="U884" s="29">
        <f t="shared" si="745"/>
        <v>0</v>
      </c>
      <c r="V884" s="35">
        <f t="shared" si="746"/>
        <v>6.4409442352618921E-3</v>
      </c>
      <c r="W884" s="34">
        <f t="shared" si="747"/>
        <v>0</v>
      </c>
      <c r="X884" s="34">
        <f t="shared" si="748"/>
        <v>969725.42816394765</v>
      </c>
      <c r="Y884" s="36">
        <f t="shared" si="749"/>
        <v>3.5211977356051083E-3</v>
      </c>
      <c r="Z884" s="34">
        <f t="shared" si="750"/>
        <v>3414.5949818095864</v>
      </c>
      <c r="AA884" s="34">
        <f t="shared" si="751"/>
        <v>971432.72565485246</v>
      </c>
      <c r="AB884" s="34">
        <f t="shared" si="752"/>
        <v>0</v>
      </c>
      <c r="AC884" s="34">
        <f t="shared" si="753"/>
        <v>0</v>
      </c>
      <c r="AD884" s="34">
        <f t="shared" si="754"/>
        <v>0</v>
      </c>
      <c r="AE884" s="34">
        <f t="shared" si="755"/>
        <v>0</v>
      </c>
      <c r="AF884" s="34">
        <f t="shared" si="756"/>
        <v>0</v>
      </c>
      <c r="AG884" s="29">
        <f t="shared" si="757"/>
        <v>971432.72565485246</v>
      </c>
      <c r="AH884" s="34">
        <f t="shared" si="758"/>
        <v>0</v>
      </c>
      <c r="AI884" s="34">
        <f t="shared" si="759"/>
        <v>0</v>
      </c>
      <c r="AJ884" s="34">
        <f t="shared" si="760"/>
        <v>0</v>
      </c>
      <c r="AK884" s="34">
        <f t="shared" si="761"/>
        <v>0</v>
      </c>
      <c r="AL884" s="34">
        <f t="shared" si="762"/>
        <v>0</v>
      </c>
      <c r="AM884" s="34">
        <f t="shared" si="763"/>
        <v>0</v>
      </c>
      <c r="AN884" s="34">
        <f t="shared" si="764"/>
        <v>0</v>
      </c>
      <c r="AO884" s="34">
        <f t="shared" si="765"/>
        <v>0</v>
      </c>
      <c r="AP884" s="34">
        <f t="shared" si="766"/>
        <v>0</v>
      </c>
      <c r="AQ884" s="34">
        <f t="shared" si="767"/>
        <v>0</v>
      </c>
      <c r="AR884" s="34">
        <f t="shared" si="768"/>
        <v>0</v>
      </c>
      <c r="AS884" s="30">
        <f t="shared" si="769"/>
        <v>2.0744393600182822</v>
      </c>
      <c r="AT884" s="29">
        <f t="shared" si="770"/>
        <v>0</v>
      </c>
      <c r="AU884" s="29">
        <f t="shared" si="771"/>
        <v>0</v>
      </c>
      <c r="AV884" s="34">
        <f t="shared" si="772"/>
        <v>0</v>
      </c>
      <c r="AW884" s="34">
        <f t="shared" si="773"/>
        <v>0</v>
      </c>
      <c r="AX884" s="29">
        <f t="shared" si="774"/>
        <v>0</v>
      </c>
      <c r="AY884" s="34">
        <f t="shared" si="775"/>
        <v>0</v>
      </c>
      <c r="AZ884" s="37">
        <f t="shared" si="776"/>
        <v>0</v>
      </c>
      <c r="BA884" s="37">
        <f t="shared" si="777"/>
        <v>0</v>
      </c>
      <c r="BB884" s="35">
        <f t="shared" si="778"/>
        <v>1.5484116844812768E-3</v>
      </c>
      <c r="BC884" s="31">
        <f t="shared" si="779"/>
        <v>0.25626366184979332</v>
      </c>
      <c r="BD884" s="34">
        <f t="shared" si="780"/>
        <v>0</v>
      </c>
    </row>
    <row r="885" spans="1:56" x14ac:dyDescent="0.2">
      <c r="A885" s="27">
        <f t="shared" si="781"/>
        <v>881</v>
      </c>
      <c r="B885" s="28">
        <f t="shared" si="728"/>
        <v>881</v>
      </c>
      <c r="C885" s="27">
        <f t="shared" si="729"/>
        <v>73</v>
      </c>
      <c r="D885" s="28">
        <f t="shared" si="730"/>
        <v>93</v>
      </c>
      <c r="E885" s="29">
        <f t="shared" si="731"/>
        <v>0</v>
      </c>
      <c r="F885" s="30">
        <f t="shared" si="732"/>
        <v>6.8045576484090153E-2</v>
      </c>
      <c r="G885" s="31">
        <f t="shared" si="733"/>
        <v>5.8554038502380834E-3</v>
      </c>
      <c r="H885" s="32">
        <f t="shared" si="734"/>
        <v>0.02</v>
      </c>
      <c r="I885" s="32">
        <f t="shared" si="735"/>
        <v>0</v>
      </c>
      <c r="J885" s="33">
        <f t="shared" si="782"/>
        <v>0</v>
      </c>
      <c r="K885" s="30">
        <f t="shared" si="736"/>
        <v>0</v>
      </c>
      <c r="L885" s="33">
        <f t="shared" si="737"/>
        <v>0</v>
      </c>
      <c r="M885" s="30">
        <f t="shared" si="738"/>
        <v>0</v>
      </c>
      <c r="N885" s="33">
        <f t="shared" si="739"/>
        <v>0</v>
      </c>
      <c r="O885" s="31">
        <f t="shared" si="740"/>
        <v>0</v>
      </c>
      <c r="P885" s="33">
        <f t="shared" si="741"/>
        <v>0</v>
      </c>
      <c r="Q885" s="34">
        <f t="shared" si="783"/>
        <v>973140.02314575727</v>
      </c>
      <c r="R885" s="29">
        <f t="shared" si="742"/>
        <v>0</v>
      </c>
      <c r="S885" s="34">
        <f t="shared" si="743"/>
        <v>973140.02314575727</v>
      </c>
      <c r="T885" s="29">
        <f t="shared" si="744"/>
        <v>810.9500192881311</v>
      </c>
      <c r="U885" s="29">
        <f t="shared" si="745"/>
        <v>0</v>
      </c>
      <c r="V885" s="35">
        <f t="shared" si="746"/>
        <v>6.4409442352618921E-3</v>
      </c>
      <c r="W885" s="34">
        <f t="shared" si="747"/>
        <v>0</v>
      </c>
      <c r="X885" s="34">
        <f t="shared" si="748"/>
        <v>972329.07312646916</v>
      </c>
      <c r="Y885" s="36">
        <f t="shared" si="749"/>
        <v>1.9185072405944581E-2</v>
      </c>
      <c r="Z885" s="34">
        <f t="shared" si="750"/>
        <v>18654.203670336294</v>
      </c>
      <c r="AA885" s="34">
        <f t="shared" si="751"/>
        <v>981656.17496163736</v>
      </c>
      <c r="AB885" s="34">
        <f t="shared" si="752"/>
        <v>0</v>
      </c>
      <c r="AC885" s="34">
        <f t="shared" si="753"/>
        <v>0</v>
      </c>
      <c r="AD885" s="34">
        <f t="shared" si="754"/>
        <v>0</v>
      </c>
      <c r="AE885" s="34">
        <f t="shared" si="755"/>
        <v>0</v>
      </c>
      <c r="AF885" s="34">
        <f t="shared" si="756"/>
        <v>0</v>
      </c>
      <c r="AG885" s="29">
        <f t="shared" si="757"/>
        <v>981656.17496163736</v>
      </c>
      <c r="AH885" s="34">
        <f t="shared" si="758"/>
        <v>0</v>
      </c>
      <c r="AI885" s="34">
        <f t="shared" si="759"/>
        <v>0</v>
      </c>
      <c r="AJ885" s="34">
        <f t="shared" si="760"/>
        <v>0</v>
      </c>
      <c r="AK885" s="34">
        <f t="shared" si="761"/>
        <v>0</v>
      </c>
      <c r="AL885" s="34">
        <f t="shared" si="762"/>
        <v>0</v>
      </c>
      <c r="AM885" s="34">
        <f t="shared" si="763"/>
        <v>0</v>
      </c>
      <c r="AN885" s="34">
        <f t="shared" si="764"/>
        <v>0</v>
      </c>
      <c r="AO885" s="34">
        <f t="shared" si="765"/>
        <v>0</v>
      </c>
      <c r="AP885" s="34">
        <f t="shared" si="766"/>
        <v>0</v>
      </c>
      <c r="AQ885" s="34">
        <f t="shared" si="767"/>
        <v>0</v>
      </c>
      <c r="AR885" s="34">
        <f t="shared" si="768"/>
        <v>0</v>
      </c>
      <c r="AS885" s="30">
        <f t="shared" si="769"/>
        <v>2.0761601865333175</v>
      </c>
      <c r="AT885" s="29">
        <f t="shared" si="770"/>
        <v>0</v>
      </c>
      <c r="AU885" s="29">
        <f t="shared" si="771"/>
        <v>0</v>
      </c>
      <c r="AV885" s="34">
        <f t="shared" si="772"/>
        <v>0</v>
      </c>
      <c r="AW885" s="34">
        <f t="shared" si="773"/>
        <v>0</v>
      </c>
      <c r="AX885" s="29">
        <f t="shared" si="774"/>
        <v>0</v>
      </c>
      <c r="AY885" s="34">
        <f t="shared" si="775"/>
        <v>0</v>
      </c>
      <c r="AZ885" s="37">
        <f t="shared" si="776"/>
        <v>0</v>
      </c>
      <c r="BA885" s="37">
        <f t="shared" si="777"/>
        <v>0</v>
      </c>
      <c r="BB885" s="35">
        <f t="shared" si="778"/>
        <v>1.5484116844812768E-3</v>
      </c>
      <c r="BC885" s="31">
        <f t="shared" si="779"/>
        <v>0.25586747366389345</v>
      </c>
      <c r="BD885" s="34">
        <f t="shared" si="780"/>
        <v>0</v>
      </c>
    </row>
    <row r="886" spans="1:56" x14ac:dyDescent="0.2">
      <c r="A886" s="27">
        <f t="shared" si="781"/>
        <v>882</v>
      </c>
      <c r="B886" s="28">
        <f t="shared" si="728"/>
        <v>882</v>
      </c>
      <c r="C886" s="27">
        <f t="shared" si="729"/>
        <v>73</v>
      </c>
      <c r="D886" s="28">
        <f t="shared" si="730"/>
        <v>93</v>
      </c>
      <c r="E886" s="29">
        <f t="shared" si="731"/>
        <v>0</v>
      </c>
      <c r="F886" s="30">
        <f t="shared" si="732"/>
        <v>6.8045576484090153E-2</v>
      </c>
      <c r="G886" s="31">
        <f t="shared" si="733"/>
        <v>5.8554038502380834E-3</v>
      </c>
      <c r="H886" s="32">
        <f t="shared" si="734"/>
        <v>0.02</v>
      </c>
      <c r="I886" s="32">
        <f t="shared" si="735"/>
        <v>0</v>
      </c>
      <c r="J886" s="33">
        <f t="shared" si="782"/>
        <v>0</v>
      </c>
      <c r="K886" s="30">
        <f t="shared" si="736"/>
        <v>0</v>
      </c>
      <c r="L886" s="33">
        <f t="shared" si="737"/>
        <v>0</v>
      </c>
      <c r="M886" s="30">
        <f t="shared" si="738"/>
        <v>0</v>
      </c>
      <c r="N886" s="33">
        <f t="shared" si="739"/>
        <v>0</v>
      </c>
      <c r="O886" s="31">
        <f t="shared" si="740"/>
        <v>0</v>
      </c>
      <c r="P886" s="33">
        <f t="shared" si="741"/>
        <v>0</v>
      </c>
      <c r="Q886" s="34">
        <f t="shared" si="783"/>
        <v>990983.27679680544</v>
      </c>
      <c r="R886" s="29">
        <f t="shared" si="742"/>
        <v>0</v>
      </c>
      <c r="S886" s="34">
        <f t="shared" si="743"/>
        <v>990983.27679680544</v>
      </c>
      <c r="T886" s="29">
        <f t="shared" si="744"/>
        <v>825.81939733067122</v>
      </c>
      <c r="U886" s="29">
        <f t="shared" si="745"/>
        <v>0</v>
      </c>
      <c r="V886" s="35">
        <f t="shared" si="746"/>
        <v>6.4409442352618921E-3</v>
      </c>
      <c r="W886" s="34">
        <f t="shared" si="747"/>
        <v>0</v>
      </c>
      <c r="X886" s="34">
        <f t="shared" si="748"/>
        <v>990157.45739947481</v>
      </c>
      <c r="Y886" s="36">
        <f t="shared" si="749"/>
        <v>7.1778375701561092E-3</v>
      </c>
      <c r="Z886" s="34">
        <f t="shared" si="750"/>
        <v>7107.1893980921977</v>
      </c>
      <c r="AA886" s="34">
        <f t="shared" si="751"/>
        <v>993711.05209852092</v>
      </c>
      <c r="AB886" s="34">
        <f t="shared" si="752"/>
        <v>0</v>
      </c>
      <c r="AC886" s="34">
        <f t="shared" si="753"/>
        <v>0</v>
      </c>
      <c r="AD886" s="34">
        <f t="shared" si="754"/>
        <v>0</v>
      </c>
      <c r="AE886" s="34">
        <f t="shared" si="755"/>
        <v>0</v>
      </c>
      <c r="AF886" s="34">
        <f t="shared" si="756"/>
        <v>0</v>
      </c>
      <c r="AG886" s="29">
        <f t="shared" si="757"/>
        <v>993711.05209852092</v>
      </c>
      <c r="AH886" s="34">
        <f t="shared" si="758"/>
        <v>0</v>
      </c>
      <c r="AI886" s="34">
        <f t="shared" si="759"/>
        <v>0</v>
      </c>
      <c r="AJ886" s="34">
        <f t="shared" si="760"/>
        <v>0</v>
      </c>
      <c r="AK886" s="34">
        <f t="shared" si="761"/>
        <v>0</v>
      </c>
      <c r="AL886" s="34">
        <f t="shared" si="762"/>
        <v>0</v>
      </c>
      <c r="AM886" s="34">
        <f t="shared" si="763"/>
        <v>0</v>
      </c>
      <c r="AN886" s="34">
        <f t="shared" si="764"/>
        <v>0</v>
      </c>
      <c r="AO886" s="34">
        <f t="shared" si="765"/>
        <v>0</v>
      </c>
      <c r="AP886" s="34">
        <f t="shared" si="766"/>
        <v>0</v>
      </c>
      <c r="AQ886" s="34">
        <f t="shared" si="767"/>
        <v>0</v>
      </c>
      <c r="AR886" s="34">
        <f t="shared" si="768"/>
        <v>0</v>
      </c>
      <c r="AS886" s="30">
        <f t="shared" si="769"/>
        <v>2.0778824405395349</v>
      </c>
      <c r="AT886" s="29">
        <f t="shared" si="770"/>
        <v>0</v>
      </c>
      <c r="AU886" s="29">
        <f t="shared" si="771"/>
        <v>0</v>
      </c>
      <c r="AV886" s="34">
        <f t="shared" si="772"/>
        <v>0</v>
      </c>
      <c r="AW886" s="34">
        <f t="shared" si="773"/>
        <v>0</v>
      </c>
      <c r="AX886" s="29">
        <f t="shared" si="774"/>
        <v>0</v>
      </c>
      <c r="AY886" s="34">
        <f t="shared" si="775"/>
        <v>0</v>
      </c>
      <c r="AZ886" s="37">
        <f t="shared" si="776"/>
        <v>0</v>
      </c>
      <c r="BA886" s="37">
        <f t="shared" si="777"/>
        <v>0</v>
      </c>
      <c r="BB886" s="35">
        <f t="shared" si="778"/>
        <v>1.5484116844812768E-3</v>
      </c>
      <c r="BC886" s="31">
        <f t="shared" si="779"/>
        <v>0.25547189799198605</v>
      </c>
      <c r="BD886" s="34">
        <f t="shared" si="780"/>
        <v>0</v>
      </c>
    </row>
    <row r="887" spans="1:56" x14ac:dyDescent="0.2">
      <c r="A887" s="27">
        <f t="shared" si="781"/>
        <v>883</v>
      </c>
      <c r="B887" s="28">
        <f t="shared" si="728"/>
        <v>883</v>
      </c>
      <c r="C887" s="27">
        <f t="shared" si="729"/>
        <v>73</v>
      </c>
      <c r="D887" s="28">
        <f t="shared" si="730"/>
        <v>93</v>
      </c>
      <c r="E887" s="29">
        <f t="shared" si="731"/>
        <v>0</v>
      </c>
      <c r="F887" s="30">
        <f t="shared" si="732"/>
        <v>6.8045576484090153E-2</v>
      </c>
      <c r="G887" s="31">
        <f t="shared" si="733"/>
        <v>5.8554038502380834E-3</v>
      </c>
      <c r="H887" s="32">
        <f t="shared" si="734"/>
        <v>0.02</v>
      </c>
      <c r="I887" s="32">
        <f t="shared" si="735"/>
        <v>0</v>
      </c>
      <c r="J887" s="33">
        <f t="shared" si="782"/>
        <v>0</v>
      </c>
      <c r="K887" s="30">
        <f t="shared" si="736"/>
        <v>0</v>
      </c>
      <c r="L887" s="33">
        <f t="shared" si="737"/>
        <v>0</v>
      </c>
      <c r="M887" s="30">
        <f t="shared" si="738"/>
        <v>0</v>
      </c>
      <c r="N887" s="33">
        <f t="shared" si="739"/>
        <v>0</v>
      </c>
      <c r="O887" s="31">
        <f t="shared" si="740"/>
        <v>0</v>
      </c>
      <c r="P887" s="33">
        <f t="shared" si="741"/>
        <v>0</v>
      </c>
      <c r="Q887" s="34">
        <f t="shared" si="783"/>
        <v>997264.64679756702</v>
      </c>
      <c r="R887" s="29">
        <f t="shared" si="742"/>
        <v>0</v>
      </c>
      <c r="S887" s="34">
        <f t="shared" si="743"/>
        <v>997264.64679756702</v>
      </c>
      <c r="T887" s="29">
        <f t="shared" si="744"/>
        <v>831.05387233130591</v>
      </c>
      <c r="U887" s="29">
        <f t="shared" si="745"/>
        <v>0</v>
      </c>
      <c r="V887" s="35">
        <f t="shared" si="746"/>
        <v>6.4409442352618921E-3</v>
      </c>
      <c r="W887" s="34">
        <f t="shared" si="747"/>
        <v>0</v>
      </c>
      <c r="X887" s="34">
        <f t="shared" si="748"/>
        <v>996433.59292523575</v>
      </c>
      <c r="Y887" s="36">
        <f t="shared" si="749"/>
        <v>8.9602155303643016E-3</v>
      </c>
      <c r="Z887" s="34">
        <f t="shared" si="750"/>
        <v>8928.259754305398</v>
      </c>
      <c r="AA887" s="34">
        <f t="shared" si="751"/>
        <v>1000897.7228023885</v>
      </c>
      <c r="AB887" s="34">
        <f t="shared" si="752"/>
        <v>0</v>
      </c>
      <c r="AC887" s="34">
        <f t="shared" si="753"/>
        <v>0</v>
      </c>
      <c r="AD887" s="34">
        <f t="shared" si="754"/>
        <v>0</v>
      </c>
      <c r="AE887" s="34">
        <f t="shared" si="755"/>
        <v>0</v>
      </c>
      <c r="AF887" s="34">
        <f t="shared" si="756"/>
        <v>0</v>
      </c>
      <c r="AG887" s="29">
        <f t="shared" si="757"/>
        <v>1000897.7228023885</v>
      </c>
      <c r="AH887" s="34">
        <f t="shared" si="758"/>
        <v>0</v>
      </c>
      <c r="AI887" s="34">
        <f t="shared" si="759"/>
        <v>0</v>
      </c>
      <c r="AJ887" s="34">
        <f t="shared" si="760"/>
        <v>0</v>
      </c>
      <c r="AK887" s="34">
        <f t="shared" si="761"/>
        <v>0</v>
      </c>
      <c r="AL887" s="34">
        <f t="shared" si="762"/>
        <v>0</v>
      </c>
      <c r="AM887" s="34">
        <f t="shared" si="763"/>
        <v>0</v>
      </c>
      <c r="AN887" s="34">
        <f t="shared" si="764"/>
        <v>0</v>
      </c>
      <c r="AO887" s="34">
        <f t="shared" si="765"/>
        <v>0</v>
      </c>
      <c r="AP887" s="34">
        <f t="shared" si="766"/>
        <v>0</v>
      </c>
      <c r="AQ887" s="34">
        <f t="shared" si="767"/>
        <v>0</v>
      </c>
      <c r="AR887" s="34">
        <f t="shared" si="768"/>
        <v>0</v>
      </c>
      <c r="AS887" s="30">
        <f t="shared" si="769"/>
        <v>2.079606123221093</v>
      </c>
      <c r="AT887" s="29">
        <f t="shared" si="770"/>
        <v>0</v>
      </c>
      <c r="AU887" s="29">
        <f t="shared" si="771"/>
        <v>0</v>
      </c>
      <c r="AV887" s="34">
        <f t="shared" si="772"/>
        <v>0</v>
      </c>
      <c r="AW887" s="34">
        <f t="shared" si="773"/>
        <v>0</v>
      </c>
      <c r="AX887" s="29">
        <f t="shared" si="774"/>
        <v>0</v>
      </c>
      <c r="AY887" s="34">
        <f t="shared" si="775"/>
        <v>0</v>
      </c>
      <c r="AZ887" s="37">
        <f t="shared" si="776"/>
        <v>0</v>
      </c>
      <c r="BA887" s="37">
        <f t="shared" si="777"/>
        <v>0</v>
      </c>
      <c r="BB887" s="35">
        <f t="shared" si="778"/>
        <v>1.5484116844812768E-3</v>
      </c>
      <c r="BC887" s="31">
        <f t="shared" si="779"/>
        <v>0.25507693388711355</v>
      </c>
      <c r="BD887" s="34">
        <f t="shared" si="780"/>
        <v>0</v>
      </c>
    </row>
    <row r="888" spans="1:56" x14ac:dyDescent="0.2">
      <c r="A888" s="27">
        <f t="shared" si="781"/>
        <v>884</v>
      </c>
      <c r="B888" s="28">
        <f t="shared" si="728"/>
        <v>884</v>
      </c>
      <c r="C888" s="27">
        <f t="shared" si="729"/>
        <v>73</v>
      </c>
      <c r="D888" s="28">
        <f t="shared" si="730"/>
        <v>93</v>
      </c>
      <c r="E888" s="29">
        <f t="shared" si="731"/>
        <v>0</v>
      </c>
      <c r="F888" s="30">
        <f t="shared" si="732"/>
        <v>6.8045576484090153E-2</v>
      </c>
      <c r="G888" s="31">
        <f t="shared" si="733"/>
        <v>5.8554038502380834E-3</v>
      </c>
      <c r="H888" s="32">
        <f t="shared" si="734"/>
        <v>0.02</v>
      </c>
      <c r="I888" s="32">
        <f t="shared" si="735"/>
        <v>0</v>
      </c>
      <c r="J888" s="33">
        <f t="shared" si="782"/>
        <v>0</v>
      </c>
      <c r="K888" s="30">
        <f t="shared" si="736"/>
        <v>0</v>
      </c>
      <c r="L888" s="33">
        <f t="shared" si="737"/>
        <v>0</v>
      </c>
      <c r="M888" s="30">
        <f t="shared" si="738"/>
        <v>0</v>
      </c>
      <c r="N888" s="33">
        <f t="shared" si="739"/>
        <v>0</v>
      </c>
      <c r="O888" s="31">
        <f t="shared" si="740"/>
        <v>0</v>
      </c>
      <c r="P888" s="33">
        <f t="shared" si="741"/>
        <v>0</v>
      </c>
      <c r="Q888" s="34">
        <f t="shared" si="783"/>
        <v>1005361.8526795411</v>
      </c>
      <c r="R888" s="29">
        <f t="shared" si="742"/>
        <v>0</v>
      </c>
      <c r="S888" s="34">
        <f t="shared" si="743"/>
        <v>1005361.8526795411</v>
      </c>
      <c r="T888" s="29">
        <f t="shared" si="744"/>
        <v>837.80154389961763</v>
      </c>
      <c r="U888" s="29">
        <f t="shared" si="745"/>
        <v>0</v>
      </c>
      <c r="V888" s="35">
        <f t="shared" si="746"/>
        <v>6.4409442352618921E-3</v>
      </c>
      <c r="W888" s="34">
        <f t="shared" si="747"/>
        <v>0</v>
      </c>
      <c r="X888" s="34">
        <f t="shared" si="748"/>
        <v>1004524.0511356415</v>
      </c>
      <c r="Y888" s="36">
        <f t="shared" si="749"/>
        <v>7.6447670617652008E-5</v>
      </c>
      <c r="Z888" s="34">
        <f t="shared" si="750"/>
        <v>76.793523788726944</v>
      </c>
      <c r="AA888" s="34">
        <f t="shared" si="751"/>
        <v>1004562.4478975359</v>
      </c>
      <c r="AB888" s="34">
        <f t="shared" si="752"/>
        <v>0</v>
      </c>
      <c r="AC888" s="34">
        <f t="shared" si="753"/>
        <v>0</v>
      </c>
      <c r="AD888" s="34">
        <f t="shared" si="754"/>
        <v>0</v>
      </c>
      <c r="AE888" s="34">
        <f t="shared" si="755"/>
        <v>0</v>
      </c>
      <c r="AF888" s="34">
        <f t="shared" si="756"/>
        <v>0</v>
      </c>
      <c r="AG888" s="29">
        <f t="shared" si="757"/>
        <v>1004562.4478975359</v>
      </c>
      <c r="AH888" s="34">
        <f t="shared" si="758"/>
        <v>0</v>
      </c>
      <c r="AI888" s="34">
        <f t="shared" si="759"/>
        <v>0</v>
      </c>
      <c r="AJ888" s="34">
        <f t="shared" si="760"/>
        <v>0</v>
      </c>
      <c r="AK888" s="34">
        <f t="shared" si="761"/>
        <v>0</v>
      </c>
      <c r="AL888" s="34">
        <f t="shared" si="762"/>
        <v>0</v>
      </c>
      <c r="AM888" s="34">
        <f t="shared" si="763"/>
        <v>0</v>
      </c>
      <c r="AN888" s="34">
        <f t="shared" si="764"/>
        <v>0</v>
      </c>
      <c r="AO888" s="34">
        <f t="shared" si="765"/>
        <v>0</v>
      </c>
      <c r="AP888" s="34">
        <f t="shared" si="766"/>
        <v>0</v>
      </c>
      <c r="AQ888" s="34">
        <f t="shared" si="767"/>
        <v>0</v>
      </c>
      <c r="AR888" s="34">
        <f t="shared" si="768"/>
        <v>0</v>
      </c>
      <c r="AS888" s="30">
        <f t="shared" si="769"/>
        <v>2.0813312357631331</v>
      </c>
      <c r="AT888" s="29">
        <f t="shared" si="770"/>
        <v>0</v>
      </c>
      <c r="AU888" s="29">
        <f t="shared" si="771"/>
        <v>0</v>
      </c>
      <c r="AV888" s="34">
        <f t="shared" si="772"/>
        <v>0</v>
      </c>
      <c r="AW888" s="34">
        <f t="shared" si="773"/>
        <v>0</v>
      </c>
      <c r="AX888" s="29">
        <f t="shared" si="774"/>
        <v>0</v>
      </c>
      <c r="AY888" s="34">
        <f t="shared" si="775"/>
        <v>0</v>
      </c>
      <c r="AZ888" s="37">
        <f t="shared" si="776"/>
        <v>0</v>
      </c>
      <c r="BA888" s="37">
        <f t="shared" si="777"/>
        <v>0</v>
      </c>
      <c r="BB888" s="35">
        <f t="shared" si="778"/>
        <v>1.5484116844812768E-3</v>
      </c>
      <c r="BC888" s="31">
        <f t="shared" si="779"/>
        <v>0.25468258040378255</v>
      </c>
      <c r="BD888" s="34">
        <f t="shared" si="780"/>
        <v>0</v>
      </c>
    </row>
    <row r="889" spans="1:56" x14ac:dyDescent="0.2">
      <c r="A889" s="27">
        <f t="shared" si="781"/>
        <v>885</v>
      </c>
      <c r="B889" s="28">
        <f t="shared" si="728"/>
        <v>885</v>
      </c>
      <c r="C889" s="27">
        <f t="shared" si="729"/>
        <v>73</v>
      </c>
      <c r="D889" s="28">
        <f t="shared" si="730"/>
        <v>93</v>
      </c>
      <c r="E889" s="29">
        <f t="shared" si="731"/>
        <v>0</v>
      </c>
      <c r="F889" s="30">
        <f t="shared" si="732"/>
        <v>6.8045576484090153E-2</v>
      </c>
      <c r="G889" s="31">
        <f t="shared" si="733"/>
        <v>5.8554038502380834E-3</v>
      </c>
      <c r="H889" s="32">
        <f t="shared" si="734"/>
        <v>0.02</v>
      </c>
      <c r="I889" s="32">
        <f t="shared" si="735"/>
        <v>0</v>
      </c>
      <c r="J889" s="33">
        <f t="shared" si="782"/>
        <v>0</v>
      </c>
      <c r="K889" s="30">
        <f t="shared" si="736"/>
        <v>0</v>
      </c>
      <c r="L889" s="33">
        <f t="shared" si="737"/>
        <v>0</v>
      </c>
      <c r="M889" s="30">
        <f t="shared" si="738"/>
        <v>0</v>
      </c>
      <c r="N889" s="33">
        <f t="shared" si="739"/>
        <v>0</v>
      </c>
      <c r="O889" s="31">
        <f t="shared" si="740"/>
        <v>0</v>
      </c>
      <c r="P889" s="33">
        <f t="shared" si="741"/>
        <v>0</v>
      </c>
      <c r="Q889" s="34">
        <f t="shared" si="783"/>
        <v>1004600.8446594302</v>
      </c>
      <c r="R889" s="29">
        <f t="shared" si="742"/>
        <v>0</v>
      </c>
      <c r="S889" s="34">
        <f t="shared" si="743"/>
        <v>1004600.8446594302</v>
      </c>
      <c r="T889" s="29">
        <f t="shared" si="744"/>
        <v>837.16737054952523</v>
      </c>
      <c r="U889" s="29">
        <f t="shared" si="745"/>
        <v>0</v>
      </c>
      <c r="V889" s="35">
        <f t="shared" si="746"/>
        <v>6.4409442352618921E-3</v>
      </c>
      <c r="W889" s="34">
        <f t="shared" si="747"/>
        <v>0</v>
      </c>
      <c r="X889" s="34">
        <f t="shared" si="748"/>
        <v>1003763.6772888807</v>
      </c>
      <c r="Y889" s="36">
        <f t="shared" si="749"/>
        <v>-2.1627475973610033E-2</v>
      </c>
      <c r="Z889" s="34">
        <f t="shared" si="750"/>
        <v>-21708.874813747723</v>
      </c>
      <c r="AA889" s="34">
        <f t="shared" si="751"/>
        <v>992909.23988200678</v>
      </c>
      <c r="AB889" s="34">
        <f t="shared" si="752"/>
        <v>0</v>
      </c>
      <c r="AC889" s="34">
        <f t="shared" si="753"/>
        <v>0</v>
      </c>
      <c r="AD889" s="34">
        <f t="shared" si="754"/>
        <v>0</v>
      </c>
      <c r="AE889" s="34">
        <f t="shared" si="755"/>
        <v>0</v>
      </c>
      <c r="AF889" s="34">
        <f t="shared" si="756"/>
        <v>0</v>
      </c>
      <c r="AG889" s="29">
        <f t="shared" si="757"/>
        <v>992909.23988200678</v>
      </c>
      <c r="AH889" s="34">
        <f t="shared" si="758"/>
        <v>0</v>
      </c>
      <c r="AI889" s="34">
        <f t="shared" si="759"/>
        <v>0</v>
      </c>
      <c r="AJ889" s="34">
        <f t="shared" si="760"/>
        <v>0</v>
      </c>
      <c r="AK889" s="34">
        <f t="shared" si="761"/>
        <v>0</v>
      </c>
      <c r="AL889" s="34">
        <f t="shared" si="762"/>
        <v>0</v>
      </c>
      <c r="AM889" s="34">
        <f t="shared" si="763"/>
        <v>0</v>
      </c>
      <c r="AN889" s="34">
        <f t="shared" si="764"/>
        <v>0</v>
      </c>
      <c r="AO889" s="34">
        <f t="shared" si="765"/>
        <v>0</v>
      </c>
      <c r="AP889" s="34">
        <f t="shared" si="766"/>
        <v>0</v>
      </c>
      <c r="AQ889" s="34">
        <f t="shared" si="767"/>
        <v>0</v>
      </c>
      <c r="AR889" s="34">
        <f t="shared" si="768"/>
        <v>0</v>
      </c>
      <c r="AS889" s="30">
        <f t="shared" si="769"/>
        <v>2.0830577793517779</v>
      </c>
      <c r="AT889" s="29">
        <f t="shared" si="770"/>
        <v>0</v>
      </c>
      <c r="AU889" s="29">
        <f t="shared" si="771"/>
        <v>0</v>
      </c>
      <c r="AV889" s="34">
        <f t="shared" si="772"/>
        <v>0</v>
      </c>
      <c r="AW889" s="34">
        <f t="shared" si="773"/>
        <v>0</v>
      </c>
      <c r="AX889" s="29">
        <f t="shared" si="774"/>
        <v>0</v>
      </c>
      <c r="AY889" s="34">
        <f t="shared" si="775"/>
        <v>0</v>
      </c>
      <c r="AZ889" s="37">
        <f t="shared" si="776"/>
        <v>0</v>
      </c>
      <c r="BA889" s="37">
        <f t="shared" si="777"/>
        <v>0</v>
      </c>
      <c r="BB889" s="35">
        <f t="shared" si="778"/>
        <v>1.5484116844812768E-3</v>
      </c>
      <c r="BC889" s="31">
        <f t="shared" si="779"/>
        <v>0.25428883659796114</v>
      </c>
      <c r="BD889" s="34">
        <f t="shared" si="780"/>
        <v>0</v>
      </c>
    </row>
    <row r="890" spans="1:56" x14ac:dyDescent="0.2">
      <c r="A890" s="27">
        <f t="shared" si="781"/>
        <v>886</v>
      </c>
      <c r="B890" s="28">
        <f t="shared" si="728"/>
        <v>886</v>
      </c>
      <c r="C890" s="27">
        <f t="shared" si="729"/>
        <v>73</v>
      </c>
      <c r="D890" s="28">
        <f t="shared" si="730"/>
        <v>93</v>
      </c>
      <c r="E890" s="29">
        <f t="shared" si="731"/>
        <v>0</v>
      </c>
      <c r="F890" s="30">
        <f t="shared" si="732"/>
        <v>6.8045576484090153E-2</v>
      </c>
      <c r="G890" s="31">
        <f t="shared" si="733"/>
        <v>5.8554038502380834E-3</v>
      </c>
      <c r="H890" s="32">
        <f t="shared" si="734"/>
        <v>0.02</v>
      </c>
      <c r="I890" s="32">
        <f t="shared" si="735"/>
        <v>0</v>
      </c>
      <c r="J890" s="33">
        <f t="shared" si="782"/>
        <v>0</v>
      </c>
      <c r="K890" s="30">
        <f t="shared" si="736"/>
        <v>0</v>
      </c>
      <c r="L890" s="33">
        <f t="shared" si="737"/>
        <v>0</v>
      </c>
      <c r="M890" s="30">
        <f t="shared" si="738"/>
        <v>0</v>
      </c>
      <c r="N890" s="33">
        <f t="shared" si="739"/>
        <v>0</v>
      </c>
      <c r="O890" s="31">
        <f t="shared" si="740"/>
        <v>0</v>
      </c>
      <c r="P890" s="33">
        <f t="shared" si="741"/>
        <v>0</v>
      </c>
      <c r="Q890" s="34">
        <f t="shared" si="783"/>
        <v>982054.80247513298</v>
      </c>
      <c r="R890" s="29">
        <f t="shared" si="742"/>
        <v>0</v>
      </c>
      <c r="S890" s="34">
        <f t="shared" si="743"/>
        <v>982054.80247513298</v>
      </c>
      <c r="T890" s="29">
        <f t="shared" si="744"/>
        <v>818.37900206261088</v>
      </c>
      <c r="U890" s="29">
        <f t="shared" si="745"/>
        <v>0</v>
      </c>
      <c r="V890" s="35">
        <f t="shared" si="746"/>
        <v>6.4409442352618921E-3</v>
      </c>
      <c r="W890" s="34">
        <f t="shared" si="747"/>
        <v>0</v>
      </c>
      <c r="X890" s="34">
        <f t="shared" si="748"/>
        <v>981236.42347307038</v>
      </c>
      <c r="Y890" s="36">
        <f t="shared" si="749"/>
        <v>1.0363094296653053E-2</v>
      </c>
      <c r="Z890" s="34">
        <f t="shared" si="750"/>
        <v>10168.645583762014</v>
      </c>
      <c r="AA890" s="34">
        <f t="shared" si="751"/>
        <v>986320.74626495142</v>
      </c>
      <c r="AB890" s="34">
        <f t="shared" si="752"/>
        <v>0</v>
      </c>
      <c r="AC890" s="34">
        <f t="shared" si="753"/>
        <v>0</v>
      </c>
      <c r="AD890" s="34">
        <f t="shared" si="754"/>
        <v>0</v>
      </c>
      <c r="AE890" s="34">
        <f t="shared" si="755"/>
        <v>0</v>
      </c>
      <c r="AF890" s="34">
        <f t="shared" si="756"/>
        <v>0</v>
      </c>
      <c r="AG890" s="29">
        <f t="shared" si="757"/>
        <v>986320.74626495142</v>
      </c>
      <c r="AH890" s="34">
        <f t="shared" si="758"/>
        <v>0</v>
      </c>
      <c r="AI890" s="34">
        <f t="shared" si="759"/>
        <v>0</v>
      </c>
      <c r="AJ890" s="34">
        <f t="shared" si="760"/>
        <v>0</v>
      </c>
      <c r="AK890" s="34">
        <f t="shared" si="761"/>
        <v>0</v>
      </c>
      <c r="AL890" s="34">
        <f t="shared" si="762"/>
        <v>0</v>
      </c>
      <c r="AM890" s="34">
        <f t="shared" si="763"/>
        <v>0</v>
      </c>
      <c r="AN890" s="34">
        <f t="shared" si="764"/>
        <v>0</v>
      </c>
      <c r="AO890" s="34">
        <f t="shared" si="765"/>
        <v>0</v>
      </c>
      <c r="AP890" s="34">
        <f t="shared" si="766"/>
        <v>0</v>
      </c>
      <c r="AQ890" s="34">
        <f t="shared" si="767"/>
        <v>0</v>
      </c>
      <c r="AR890" s="34">
        <f t="shared" si="768"/>
        <v>0</v>
      </c>
      <c r="AS890" s="30">
        <f t="shared" si="769"/>
        <v>2.0847857551741353</v>
      </c>
      <c r="AT890" s="29">
        <f t="shared" si="770"/>
        <v>0</v>
      </c>
      <c r="AU890" s="29">
        <f t="shared" si="771"/>
        <v>0</v>
      </c>
      <c r="AV890" s="34">
        <f t="shared" si="772"/>
        <v>0</v>
      </c>
      <c r="AW890" s="34">
        <f t="shared" si="773"/>
        <v>0</v>
      </c>
      <c r="AX890" s="29">
        <f t="shared" si="774"/>
        <v>0</v>
      </c>
      <c r="AY890" s="34">
        <f t="shared" si="775"/>
        <v>0</v>
      </c>
      <c r="AZ890" s="37">
        <f t="shared" si="776"/>
        <v>0</v>
      </c>
      <c r="BA890" s="37">
        <f t="shared" si="777"/>
        <v>0</v>
      </c>
      <c r="BB890" s="35">
        <f t="shared" si="778"/>
        <v>1.5484116844812768E-3</v>
      </c>
      <c r="BC890" s="31">
        <f t="shared" si="779"/>
        <v>0.25389570152707708</v>
      </c>
      <c r="BD890" s="34">
        <f t="shared" si="780"/>
        <v>0</v>
      </c>
    </row>
    <row r="891" spans="1:56" x14ac:dyDescent="0.2">
      <c r="A891" s="27">
        <f t="shared" si="781"/>
        <v>887</v>
      </c>
      <c r="B891" s="28">
        <f t="shared" si="728"/>
        <v>887</v>
      </c>
      <c r="C891" s="27">
        <f t="shared" si="729"/>
        <v>73</v>
      </c>
      <c r="D891" s="28">
        <f t="shared" si="730"/>
        <v>93</v>
      </c>
      <c r="E891" s="29">
        <f t="shared" si="731"/>
        <v>0</v>
      </c>
      <c r="F891" s="30">
        <f t="shared" si="732"/>
        <v>6.8045576484090153E-2</v>
      </c>
      <c r="G891" s="31">
        <f t="shared" si="733"/>
        <v>5.8554038502380834E-3</v>
      </c>
      <c r="H891" s="32">
        <f t="shared" si="734"/>
        <v>0.02</v>
      </c>
      <c r="I891" s="32">
        <f t="shared" si="735"/>
        <v>0</v>
      </c>
      <c r="J891" s="33">
        <f t="shared" si="782"/>
        <v>0</v>
      </c>
      <c r="K891" s="30">
        <f t="shared" si="736"/>
        <v>0</v>
      </c>
      <c r="L891" s="33">
        <f t="shared" si="737"/>
        <v>0</v>
      </c>
      <c r="M891" s="30">
        <f t="shared" si="738"/>
        <v>0</v>
      </c>
      <c r="N891" s="33">
        <f t="shared" si="739"/>
        <v>0</v>
      </c>
      <c r="O891" s="31">
        <f t="shared" si="740"/>
        <v>0</v>
      </c>
      <c r="P891" s="33">
        <f t="shared" si="741"/>
        <v>0</v>
      </c>
      <c r="Q891" s="34">
        <f t="shared" si="783"/>
        <v>991405.06905683235</v>
      </c>
      <c r="R891" s="29">
        <f t="shared" si="742"/>
        <v>0</v>
      </c>
      <c r="S891" s="34">
        <f t="shared" si="743"/>
        <v>991405.06905683235</v>
      </c>
      <c r="T891" s="29">
        <f t="shared" si="744"/>
        <v>826.17089088069372</v>
      </c>
      <c r="U891" s="29">
        <f t="shared" si="745"/>
        <v>0</v>
      </c>
      <c r="V891" s="35">
        <f t="shared" si="746"/>
        <v>6.4409442352618921E-3</v>
      </c>
      <c r="W891" s="34">
        <f t="shared" si="747"/>
        <v>0</v>
      </c>
      <c r="X891" s="34">
        <f t="shared" si="748"/>
        <v>990578.8981659516</v>
      </c>
      <c r="Y891" s="36">
        <f t="shared" si="749"/>
        <v>-6.0281936425850002E-3</v>
      </c>
      <c r="Z891" s="34">
        <f t="shared" si="750"/>
        <v>-5971.401416402844</v>
      </c>
      <c r="AA891" s="34">
        <f t="shared" si="751"/>
        <v>987593.19745775021</v>
      </c>
      <c r="AB891" s="34">
        <f t="shared" si="752"/>
        <v>0</v>
      </c>
      <c r="AC891" s="34">
        <f t="shared" si="753"/>
        <v>0</v>
      </c>
      <c r="AD891" s="34">
        <f t="shared" si="754"/>
        <v>0</v>
      </c>
      <c r="AE891" s="34">
        <f t="shared" si="755"/>
        <v>0</v>
      </c>
      <c r="AF891" s="34">
        <f t="shared" si="756"/>
        <v>0</v>
      </c>
      <c r="AG891" s="29">
        <f t="shared" si="757"/>
        <v>987593.19745775021</v>
      </c>
      <c r="AH891" s="34">
        <f t="shared" si="758"/>
        <v>0</v>
      </c>
      <c r="AI891" s="34">
        <f t="shared" si="759"/>
        <v>0</v>
      </c>
      <c r="AJ891" s="34">
        <f t="shared" si="760"/>
        <v>0</v>
      </c>
      <c r="AK891" s="34">
        <f t="shared" si="761"/>
        <v>0</v>
      </c>
      <c r="AL891" s="34">
        <f t="shared" si="762"/>
        <v>0</v>
      </c>
      <c r="AM891" s="34">
        <f t="shared" si="763"/>
        <v>0</v>
      </c>
      <c r="AN891" s="34">
        <f t="shared" si="764"/>
        <v>0</v>
      </c>
      <c r="AO891" s="34">
        <f t="shared" si="765"/>
        <v>0</v>
      </c>
      <c r="AP891" s="34">
        <f t="shared" si="766"/>
        <v>0</v>
      </c>
      <c r="AQ891" s="34">
        <f t="shared" si="767"/>
        <v>0</v>
      </c>
      <c r="AR891" s="34">
        <f t="shared" si="768"/>
        <v>0</v>
      </c>
      <c r="AS891" s="30">
        <f t="shared" si="769"/>
        <v>2.0865151644182984</v>
      </c>
      <c r="AT891" s="29">
        <f t="shared" si="770"/>
        <v>0</v>
      </c>
      <c r="AU891" s="29">
        <f t="shared" si="771"/>
        <v>0</v>
      </c>
      <c r="AV891" s="34">
        <f t="shared" si="772"/>
        <v>0</v>
      </c>
      <c r="AW891" s="34">
        <f t="shared" si="773"/>
        <v>0</v>
      </c>
      <c r="AX891" s="29">
        <f t="shared" si="774"/>
        <v>0</v>
      </c>
      <c r="AY891" s="34">
        <f t="shared" si="775"/>
        <v>0</v>
      </c>
      <c r="AZ891" s="37">
        <f t="shared" si="776"/>
        <v>0</v>
      </c>
      <c r="BA891" s="37">
        <f t="shared" si="777"/>
        <v>0</v>
      </c>
      <c r="BB891" s="35">
        <f t="shared" si="778"/>
        <v>1.5484116844812768E-3</v>
      </c>
      <c r="BC891" s="31">
        <f t="shared" si="779"/>
        <v>0.25350317425001517</v>
      </c>
      <c r="BD891" s="34">
        <f t="shared" si="780"/>
        <v>0</v>
      </c>
    </row>
    <row r="892" spans="1:56" x14ac:dyDescent="0.2">
      <c r="A892" s="27">
        <f t="shared" si="781"/>
        <v>888</v>
      </c>
      <c r="B892" s="28">
        <f t="shared" si="728"/>
        <v>888</v>
      </c>
      <c r="C892" s="27">
        <f t="shared" si="729"/>
        <v>74</v>
      </c>
      <c r="D892" s="28">
        <f t="shared" si="730"/>
        <v>94</v>
      </c>
      <c r="E892" s="29">
        <f t="shared" si="731"/>
        <v>0</v>
      </c>
      <c r="F892" s="30">
        <f t="shared" si="732"/>
        <v>7.7294818686630837E-2</v>
      </c>
      <c r="G892" s="31">
        <f t="shared" si="733"/>
        <v>6.6813721311418384E-3</v>
      </c>
      <c r="H892" s="32">
        <f t="shared" si="734"/>
        <v>0.02</v>
      </c>
      <c r="I892" s="32">
        <f t="shared" si="735"/>
        <v>0</v>
      </c>
      <c r="J892" s="33">
        <f t="shared" si="782"/>
        <v>0</v>
      </c>
      <c r="K892" s="30">
        <f t="shared" si="736"/>
        <v>0</v>
      </c>
      <c r="L892" s="33">
        <f t="shared" si="737"/>
        <v>0</v>
      </c>
      <c r="M892" s="30">
        <f t="shared" si="738"/>
        <v>0</v>
      </c>
      <c r="N892" s="33">
        <f t="shared" si="739"/>
        <v>0</v>
      </c>
      <c r="O892" s="31">
        <f t="shared" si="740"/>
        <v>0</v>
      </c>
      <c r="P892" s="33">
        <f t="shared" si="741"/>
        <v>0</v>
      </c>
      <c r="Q892" s="34">
        <f t="shared" si="783"/>
        <v>984607.49674954871</v>
      </c>
      <c r="R892" s="29">
        <f t="shared" si="742"/>
        <v>0</v>
      </c>
      <c r="S892" s="34">
        <f t="shared" si="743"/>
        <v>984607.49674954871</v>
      </c>
      <c r="T892" s="29">
        <f t="shared" si="744"/>
        <v>820.50624729129061</v>
      </c>
      <c r="U892" s="29">
        <f t="shared" si="745"/>
        <v>0</v>
      </c>
      <c r="V892" s="35">
        <f t="shared" si="746"/>
        <v>7.3495093442560227E-3</v>
      </c>
      <c r="W892" s="34">
        <f t="shared" si="747"/>
        <v>0</v>
      </c>
      <c r="X892" s="34">
        <f t="shared" si="748"/>
        <v>983786.99050225737</v>
      </c>
      <c r="Y892" s="36">
        <f t="shared" si="749"/>
        <v>6.3815407527063606E-3</v>
      </c>
      <c r="Z892" s="34">
        <f t="shared" si="750"/>
        <v>6278.076771872501</v>
      </c>
      <c r="AA892" s="34">
        <f t="shared" si="751"/>
        <v>986926.02888819366</v>
      </c>
      <c r="AB892" s="34">
        <f t="shared" si="752"/>
        <v>0</v>
      </c>
      <c r="AC892" s="34">
        <f t="shared" si="753"/>
        <v>0</v>
      </c>
      <c r="AD892" s="34">
        <f t="shared" si="754"/>
        <v>0</v>
      </c>
      <c r="AE892" s="34">
        <f t="shared" si="755"/>
        <v>0</v>
      </c>
      <c r="AF892" s="34">
        <f t="shared" si="756"/>
        <v>0</v>
      </c>
      <c r="AG892" s="29">
        <f t="shared" si="757"/>
        <v>986926.02888819366</v>
      </c>
      <c r="AH892" s="34">
        <f t="shared" si="758"/>
        <v>0</v>
      </c>
      <c r="AI892" s="34">
        <f t="shared" si="759"/>
        <v>0</v>
      </c>
      <c r="AJ892" s="34">
        <f t="shared" si="760"/>
        <v>0</v>
      </c>
      <c r="AK892" s="34">
        <f t="shared" si="761"/>
        <v>0</v>
      </c>
      <c r="AL892" s="34">
        <f t="shared" si="762"/>
        <v>0</v>
      </c>
      <c r="AM892" s="34">
        <f t="shared" si="763"/>
        <v>0</v>
      </c>
      <c r="AN892" s="34">
        <f t="shared" si="764"/>
        <v>0</v>
      </c>
      <c r="AO892" s="34">
        <f t="shared" si="765"/>
        <v>0</v>
      </c>
      <c r="AP892" s="34">
        <f t="shared" si="766"/>
        <v>0</v>
      </c>
      <c r="AQ892" s="34">
        <f t="shared" si="767"/>
        <v>0</v>
      </c>
      <c r="AR892" s="34">
        <f t="shared" si="768"/>
        <v>0</v>
      </c>
      <c r="AS892" s="30">
        <f t="shared" si="769"/>
        <v>2.0882460082733454</v>
      </c>
      <c r="AT892" s="29">
        <f t="shared" si="770"/>
        <v>0</v>
      </c>
      <c r="AU892" s="29">
        <f t="shared" si="771"/>
        <v>0</v>
      </c>
      <c r="AV892" s="34">
        <f t="shared" si="772"/>
        <v>0</v>
      </c>
      <c r="AW892" s="34">
        <f t="shared" si="773"/>
        <v>0</v>
      </c>
      <c r="AX892" s="29">
        <f t="shared" si="774"/>
        <v>0</v>
      </c>
      <c r="AY892" s="34">
        <f t="shared" si="775"/>
        <v>0</v>
      </c>
      <c r="AZ892" s="37">
        <f t="shared" si="776"/>
        <v>0</v>
      </c>
      <c r="BA892" s="37">
        <f t="shared" si="777"/>
        <v>0</v>
      </c>
      <c r="BB892" s="35">
        <f t="shared" si="778"/>
        <v>1.572167431034055E-3</v>
      </c>
      <c r="BC892" s="31">
        <f t="shared" si="779"/>
        <v>0.24783591416880504</v>
      </c>
      <c r="BD892" s="34">
        <f t="shared" si="780"/>
        <v>0</v>
      </c>
    </row>
    <row r="893" spans="1:56" x14ac:dyDescent="0.2">
      <c r="A893" s="27">
        <f t="shared" si="781"/>
        <v>889</v>
      </c>
      <c r="B893" s="28">
        <f t="shared" si="728"/>
        <v>889</v>
      </c>
      <c r="C893" s="27">
        <f t="shared" si="729"/>
        <v>74</v>
      </c>
      <c r="D893" s="28">
        <f t="shared" si="730"/>
        <v>94</v>
      </c>
      <c r="E893" s="29">
        <f t="shared" si="731"/>
        <v>0</v>
      </c>
      <c r="F893" s="30">
        <f t="shared" si="732"/>
        <v>7.7294818686630837E-2</v>
      </c>
      <c r="G893" s="31">
        <f t="shared" si="733"/>
        <v>6.6813721311418384E-3</v>
      </c>
      <c r="H893" s="32">
        <f t="shared" si="734"/>
        <v>0.02</v>
      </c>
      <c r="I893" s="32">
        <f t="shared" si="735"/>
        <v>0</v>
      </c>
      <c r="J893" s="33">
        <f t="shared" si="782"/>
        <v>0</v>
      </c>
      <c r="K893" s="30">
        <f t="shared" si="736"/>
        <v>0</v>
      </c>
      <c r="L893" s="33">
        <f t="shared" si="737"/>
        <v>0</v>
      </c>
      <c r="M893" s="30">
        <f t="shared" si="738"/>
        <v>0</v>
      </c>
      <c r="N893" s="33">
        <f t="shared" si="739"/>
        <v>0</v>
      </c>
      <c r="O893" s="31">
        <f t="shared" si="740"/>
        <v>0</v>
      </c>
      <c r="P893" s="33">
        <f t="shared" si="741"/>
        <v>0</v>
      </c>
      <c r="Q893" s="34">
        <f t="shared" si="783"/>
        <v>990065.06727412983</v>
      </c>
      <c r="R893" s="29">
        <f t="shared" si="742"/>
        <v>0</v>
      </c>
      <c r="S893" s="34">
        <f t="shared" si="743"/>
        <v>990065.06727412983</v>
      </c>
      <c r="T893" s="29">
        <f t="shared" si="744"/>
        <v>825.05422272844157</v>
      </c>
      <c r="U893" s="29">
        <f t="shared" si="745"/>
        <v>0</v>
      </c>
      <c r="V893" s="35">
        <f t="shared" si="746"/>
        <v>7.3495093442560227E-3</v>
      </c>
      <c r="W893" s="34">
        <f t="shared" si="747"/>
        <v>0</v>
      </c>
      <c r="X893" s="34">
        <f t="shared" si="748"/>
        <v>989240.01305140136</v>
      </c>
      <c r="Y893" s="36">
        <f t="shared" si="749"/>
        <v>1.8575497609196745E-3</v>
      </c>
      <c r="Z893" s="34">
        <f t="shared" si="750"/>
        <v>1837.5625497358062</v>
      </c>
      <c r="AA893" s="34">
        <f t="shared" si="751"/>
        <v>990158.7943262693</v>
      </c>
      <c r="AB893" s="34">
        <f t="shared" si="752"/>
        <v>0</v>
      </c>
      <c r="AC893" s="34">
        <f t="shared" si="753"/>
        <v>0</v>
      </c>
      <c r="AD893" s="34">
        <f t="shared" si="754"/>
        <v>0</v>
      </c>
      <c r="AE893" s="34">
        <f t="shared" si="755"/>
        <v>0</v>
      </c>
      <c r="AF893" s="34">
        <f t="shared" si="756"/>
        <v>0</v>
      </c>
      <c r="AG893" s="29">
        <f t="shared" si="757"/>
        <v>990158.7943262693</v>
      </c>
      <c r="AH893" s="34">
        <f t="shared" si="758"/>
        <v>0</v>
      </c>
      <c r="AI893" s="34">
        <f t="shared" si="759"/>
        <v>0</v>
      </c>
      <c r="AJ893" s="34">
        <f t="shared" si="760"/>
        <v>0</v>
      </c>
      <c r="AK893" s="34">
        <f t="shared" si="761"/>
        <v>0</v>
      </c>
      <c r="AL893" s="34">
        <f t="shared" si="762"/>
        <v>0</v>
      </c>
      <c r="AM893" s="34">
        <f t="shared" si="763"/>
        <v>0</v>
      </c>
      <c r="AN893" s="34">
        <f t="shared" si="764"/>
        <v>0</v>
      </c>
      <c r="AO893" s="34">
        <f t="shared" si="765"/>
        <v>0</v>
      </c>
      <c r="AP893" s="34">
        <f t="shared" si="766"/>
        <v>0</v>
      </c>
      <c r="AQ893" s="34">
        <f t="shared" si="767"/>
        <v>0</v>
      </c>
      <c r="AR893" s="34">
        <f t="shared" si="768"/>
        <v>0</v>
      </c>
      <c r="AS893" s="30">
        <f t="shared" si="769"/>
        <v>2.0899782879293389</v>
      </c>
      <c r="AT893" s="29">
        <f t="shared" si="770"/>
        <v>0</v>
      </c>
      <c r="AU893" s="29">
        <f t="shared" si="771"/>
        <v>0</v>
      </c>
      <c r="AV893" s="34">
        <f t="shared" si="772"/>
        <v>0</v>
      </c>
      <c r="AW893" s="34">
        <f t="shared" si="773"/>
        <v>0</v>
      </c>
      <c r="AX893" s="29">
        <f t="shared" si="774"/>
        <v>0</v>
      </c>
      <c r="AY893" s="34">
        <f t="shared" si="775"/>
        <v>0</v>
      </c>
      <c r="AZ893" s="37">
        <f t="shared" si="776"/>
        <v>0</v>
      </c>
      <c r="BA893" s="37">
        <f t="shared" si="777"/>
        <v>0</v>
      </c>
      <c r="BB893" s="35">
        <f t="shared" si="778"/>
        <v>1.572167431034055E-3</v>
      </c>
      <c r="BC893" s="31">
        <f t="shared" si="779"/>
        <v>0.24744688623335814</v>
      </c>
      <c r="BD893" s="34">
        <f t="shared" si="780"/>
        <v>0</v>
      </c>
    </row>
    <row r="894" spans="1:56" x14ac:dyDescent="0.2">
      <c r="A894" s="27">
        <f t="shared" si="781"/>
        <v>890</v>
      </c>
      <c r="B894" s="28">
        <f t="shared" si="728"/>
        <v>890</v>
      </c>
      <c r="C894" s="27">
        <f t="shared" si="729"/>
        <v>74</v>
      </c>
      <c r="D894" s="28">
        <f t="shared" si="730"/>
        <v>94</v>
      </c>
      <c r="E894" s="29">
        <f t="shared" si="731"/>
        <v>0</v>
      </c>
      <c r="F894" s="30">
        <f t="shared" si="732"/>
        <v>7.7294818686630837E-2</v>
      </c>
      <c r="G894" s="31">
        <f t="shared" si="733"/>
        <v>6.6813721311418384E-3</v>
      </c>
      <c r="H894" s="32">
        <f t="shared" si="734"/>
        <v>0.02</v>
      </c>
      <c r="I894" s="32">
        <f t="shared" si="735"/>
        <v>0</v>
      </c>
      <c r="J894" s="33">
        <f t="shared" si="782"/>
        <v>0</v>
      </c>
      <c r="K894" s="30">
        <f t="shared" si="736"/>
        <v>0</v>
      </c>
      <c r="L894" s="33">
        <f t="shared" si="737"/>
        <v>0</v>
      </c>
      <c r="M894" s="30">
        <f t="shared" si="738"/>
        <v>0</v>
      </c>
      <c r="N894" s="33">
        <f t="shared" si="739"/>
        <v>0</v>
      </c>
      <c r="O894" s="31">
        <f t="shared" si="740"/>
        <v>0</v>
      </c>
      <c r="P894" s="33">
        <f t="shared" si="741"/>
        <v>0</v>
      </c>
      <c r="Q894" s="34">
        <f t="shared" si="783"/>
        <v>991077.57560113713</v>
      </c>
      <c r="R894" s="29">
        <f t="shared" si="742"/>
        <v>0</v>
      </c>
      <c r="S894" s="34">
        <f t="shared" si="743"/>
        <v>991077.57560113713</v>
      </c>
      <c r="T894" s="29">
        <f t="shared" si="744"/>
        <v>825.89797966761432</v>
      </c>
      <c r="U894" s="29">
        <f t="shared" si="745"/>
        <v>0</v>
      </c>
      <c r="V894" s="35">
        <f t="shared" si="746"/>
        <v>7.3495093442560227E-3</v>
      </c>
      <c r="W894" s="34">
        <f t="shared" si="747"/>
        <v>0</v>
      </c>
      <c r="X894" s="34">
        <f t="shared" si="748"/>
        <v>990251.67762146948</v>
      </c>
      <c r="Y894" s="36">
        <f t="shared" si="749"/>
        <v>4.0225687249475506E-3</v>
      </c>
      <c r="Z894" s="34">
        <f t="shared" si="750"/>
        <v>3983.3554282269674</v>
      </c>
      <c r="AA894" s="34">
        <f t="shared" si="751"/>
        <v>992243.35533558298</v>
      </c>
      <c r="AB894" s="34">
        <f t="shared" si="752"/>
        <v>0</v>
      </c>
      <c r="AC894" s="34">
        <f t="shared" si="753"/>
        <v>0</v>
      </c>
      <c r="AD894" s="34">
        <f t="shared" si="754"/>
        <v>0</v>
      </c>
      <c r="AE894" s="34">
        <f t="shared" si="755"/>
        <v>0</v>
      </c>
      <c r="AF894" s="34">
        <f t="shared" si="756"/>
        <v>0</v>
      </c>
      <c r="AG894" s="29">
        <f t="shared" si="757"/>
        <v>992243.35533558298</v>
      </c>
      <c r="AH894" s="34">
        <f t="shared" si="758"/>
        <v>0</v>
      </c>
      <c r="AI894" s="34">
        <f t="shared" si="759"/>
        <v>0</v>
      </c>
      <c r="AJ894" s="34">
        <f t="shared" si="760"/>
        <v>0</v>
      </c>
      <c r="AK894" s="34">
        <f t="shared" si="761"/>
        <v>0</v>
      </c>
      <c r="AL894" s="34">
        <f t="shared" si="762"/>
        <v>0</v>
      </c>
      <c r="AM894" s="34">
        <f t="shared" si="763"/>
        <v>0</v>
      </c>
      <c r="AN894" s="34">
        <f t="shared" si="764"/>
        <v>0</v>
      </c>
      <c r="AO894" s="34">
        <f t="shared" si="765"/>
        <v>0</v>
      </c>
      <c r="AP894" s="34">
        <f t="shared" si="766"/>
        <v>0</v>
      </c>
      <c r="AQ894" s="34">
        <f t="shared" si="767"/>
        <v>0</v>
      </c>
      <c r="AR894" s="34">
        <f t="shared" si="768"/>
        <v>0</v>
      </c>
      <c r="AS894" s="30">
        <f t="shared" si="769"/>
        <v>2.0917120045773325</v>
      </c>
      <c r="AT894" s="29">
        <f t="shared" si="770"/>
        <v>0</v>
      </c>
      <c r="AU894" s="29">
        <f t="shared" si="771"/>
        <v>0</v>
      </c>
      <c r="AV894" s="34">
        <f t="shared" si="772"/>
        <v>0</v>
      </c>
      <c r="AW894" s="34">
        <f t="shared" si="773"/>
        <v>0</v>
      </c>
      <c r="AX894" s="29">
        <f t="shared" si="774"/>
        <v>0</v>
      </c>
      <c r="AY894" s="34">
        <f t="shared" si="775"/>
        <v>0</v>
      </c>
      <c r="AZ894" s="37">
        <f t="shared" si="776"/>
        <v>0</v>
      </c>
      <c r="BA894" s="37">
        <f t="shared" si="777"/>
        <v>0</v>
      </c>
      <c r="BB894" s="35">
        <f t="shared" si="778"/>
        <v>1.572167431034055E-3</v>
      </c>
      <c r="BC894" s="31">
        <f t="shared" si="779"/>
        <v>0.24705846895490616</v>
      </c>
      <c r="BD894" s="34">
        <f t="shared" si="780"/>
        <v>0</v>
      </c>
    </row>
    <row r="895" spans="1:56" x14ac:dyDescent="0.2">
      <c r="A895" s="27">
        <f t="shared" si="781"/>
        <v>891</v>
      </c>
      <c r="B895" s="28">
        <f t="shared" si="728"/>
        <v>891</v>
      </c>
      <c r="C895" s="27">
        <f t="shared" si="729"/>
        <v>74</v>
      </c>
      <c r="D895" s="28">
        <f t="shared" si="730"/>
        <v>94</v>
      </c>
      <c r="E895" s="29">
        <f t="shared" si="731"/>
        <v>0</v>
      </c>
      <c r="F895" s="30">
        <f t="shared" si="732"/>
        <v>7.7294818686630837E-2</v>
      </c>
      <c r="G895" s="31">
        <f t="shared" si="733"/>
        <v>6.6813721311418384E-3</v>
      </c>
      <c r="H895" s="32">
        <f t="shared" si="734"/>
        <v>0.02</v>
      </c>
      <c r="I895" s="32">
        <f t="shared" si="735"/>
        <v>0</v>
      </c>
      <c r="J895" s="33">
        <f t="shared" si="782"/>
        <v>0</v>
      </c>
      <c r="K895" s="30">
        <f t="shared" si="736"/>
        <v>0</v>
      </c>
      <c r="L895" s="33">
        <f t="shared" si="737"/>
        <v>0</v>
      </c>
      <c r="M895" s="30">
        <f t="shared" si="738"/>
        <v>0</v>
      </c>
      <c r="N895" s="33">
        <f t="shared" si="739"/>
        <v>0</v>
      </c>
      <c r="O895" s="31">
        <f t="shared" si="740"/>
        <v>0</v>
      </c>
      <c r="P895" s="33">
        <f t="shared" si="741"/>
        <v>0</v>
      </c>
      <c r="Q895" s="34">
        <f t="shared" si="783"/>
        <v>994235.03304969647</v>
      </c>
      <c r="R895" s="29">
        <f t="shared" si="742"/>
        <v>0</v>
      </c>
      <c r="S895" s="34">
        <f t="shared" si="743"/>
        <v>994235.03304969647</v>
      </c>
      <c r="T895" s="29">
        <f t="shared" si="744"/>
        <v>828.52919420808041</v>
      </c>
      <c r="U895" s="29">
        <f t="shared" si="745"/>
        <v>0</v>
      </c>
      <c r="V895" s="35">
        <f t="shared" si="746"/>
        <v>7.3495093442560227E-3</v>
      </c>
      <c r="W895" s="34">
        <f t="shared" si="747"/>
        <v>0</v>
      </c>
      <c r="X895" s="34">
        <f t="shared" si="748"/>
        <v>993406.50385548838</v>
      </c>
      <c r="Y895" s="36">
        <f t="shared" si="749"/>
        <v>7.6668292320543063E-3</v>
      </c>
      <c r="Z895" s="34">
        <f t="shared" si="750"/>
        <v>7616.2780230721273</v>
      </c>
      <c r="AA895" s="34">
        <f t="shared" si="751"/>
        <v>997214.64286702441</v>
      </c>
      <c r="AB895" s="34">
        <f t="shared" si="752"/>
        <v>0</v>
      </c>
      <c r="AC895" s="34">
        <f t="shared" si="753"/>
        <v>0</v>
      </c>
      <c r="AD895" s="34">
        <f t="shared" si="754"/>
        <v>0</v>
      </c>
      <c r="AE895" s="34">
        <f t="shared" si="755"/>
        <v>0</v>
      </c>
      <c r="AF895" s="34">
        <f t="shared" si="756"/>
        <v>0</v>
      </c>
      <c r="AG895" s="29">
        <f t="shared" si="757"/>
        <v>997214.64286702441</v>
      </c>
      <c r="AH895" s="34">
        <f t="shared" si="758"/>
        <v>0</v>
      </c>
      <c r="AI895" s="34">
        <f t="shared" si="759"/>
        <v>0</v>
      </c>
      <c r="AJ895" s="34">
        <f t="shared" si="760"/>
        <v>0</v>
      </c>
      <c r="AK895" s="34">
        <f t="shared" si="761"/>
        <v>0</v>
      </c>
      <c r="AL895" s="34">
        <f t="shared" si="762"/>
        <v>0</v>
      </c>
      <c r="AM895" s="34">
        <f t="shared" si="763"/>
        <v>0</v>
      </c>
      <c r="AN895" s="34">
        <f t="shared" si="764"/>
        <v>0</v>
      </c>
      <c r="AO895" s="34">
        <f t="shared" si="765"/>
        <v>0</v>
      </c>
      <c r="AP895" s="34">
        <f t="shared" si="766"/>
        <v>0</v>
      </c>
      <c r="AQ895" s="34">
        <f t="shared" si="767"/>
        <v>0</v>
      </c>
      <c r="AR895" s="34">
        <f t="shared" si="768"/>
        <v>0</v>
      </c>
      <c r="AS895" s="30">
        <f t="shared" si="769"/>
        <v>2.0934471594093651</v>
      </c>
      <c r="AT895" s="29">
        <f t="shared" si="770"/>
        <v>0</v>
      </c>
      <c r="AU895" s="29">
        <f t="shared" si="771"/>
        <v>0</v>
      </c>
      <c r="AV895" s="34">
        <f t="shared" si="772"/>
        <v>0</v>
      </c>
      <c r="AW895" s="34">
        <f t="shared" si="773"/>
        <v>0</v>
      </c>
      <c r="AX895" s="29">
        <f t="shared" si="774"/>
        <v>0</v>
      </c>
      <c r="AY895" s="34">
        <f t="shared" si="775"/>
        <v>0</v>
      </c>
      <c r="AZ895" s="37">
        <f t="shared" si="776"/>
        <v>0</v>
      </c>
      <c r="BA895" s="37">
        <f t="shared" si="777"/>
        <v>0</v>
      </c>
      <c r="BB895" s="35">
        <f t="shared" si="778"/>
        <v>1.572167431034055E-3</v>
      </c>
      <c r="BC895" s="31">
        <f t="shared" si="779"/>
        <v>0.24667066137490087</v>
      </c>
      <c r="BD895" s="34">
        <f t="shared" si="780"/>
        <v>0</v>
      </c>
    </row>
    <row r="896" spans="1:56" x14ac:dyDescent="0.2">
      <c r="A896" s="27">
        <f t="shared" si="781"/>
        <v>892</v>
      </c>
      <c r="B896" s="28">
        <f t="shared" si="728"/>
        <v>892</v>
      </c>
      <c r="C896" s="27">
        <f t="shared" si="729"/>
        <v>74</v>
      </c>
      <c r="D896" s="28">
        <f t="shared" si="730"/>
        <v>94</v>
      </c>
      <c r="E896" s="29">
        <f t="shared" si="731"/>
        <v>0</v>
      </c>
      <c r="F896" s="30">
        <f t="shared" si="732"/>
        <v>7.7294818686630837E-2</v>
      </c>
      <c r="G896" s="31">
        <f t="shared" si="733"/>
        <v>6.6813721311418384E-3</v>
      </c>
      <c r="H896" s="32">
        <f t="shared" si="734"/>
        <v>0.02</v>
      </c>
      <c r="I896" s="32">
        <f t="shared" si="735"/>
        <v>0</v>
      </c>
      <c r="J896" s="33">
        <f t="shared" si="782"/>
        <v>0</v>
      </c>
      <c r="K896" s="30">
        <f t="shared" si="736"/>
        <v>0</v>
      </c>
      <c r="L896" s="33">
        <f t="shared" si="737"/>
        <v>0</v>
      </c>
      <c r="M896" s="30">
        <f t="shared" si="738"/>
        <v>0</v>
      </c>
      <c r="N896" s="33">
        <f t="shared" si="739"/>
        <v>0</v>
      </c>
      <c r="O896" s="31">
        <f t="shared" si="740"/>
        <v>0</v>
      </c>
      <c r="P896" s="33">
        <f t="shared" si="741"/>
        <v>0</v>
      </c>
      <c r="Q896" s="34">
        <f t="shared" si="783"/>
        <v>1001022.7818785605</v>
      </c>
      <c r="R896" s="29">
        <f t="shared" si="742"/>
        <v>0</v>
      </c>
      <c r="S896" s="34">
        <f t="shared" si="743"/>
        <v>1001022.7818785605</v>
      </c>
      <c r="T896" s="29">
        <f t="shared" si="744"/>
        <v>834.1856515654672</v>
      </c>
      <c r="U896" s="29">
        <f t="shared" si="745"/>
        <v>0</v>
      </c>
      <c r="V896" s="35">
        <f t="shared" si="746"/>
        <v>7.3495093442560227E-3</v>
      </c>
      <c r="W896" s="34">
        <f t="shared" si="747"/>
        <v>0</v>
      </c>
      <c r="X896" s="34">
        <f t="shared" si="748"/>
        <v>1000188.5962269951</v>
      </c>
      <c r="Y896" s="36">
        <f t="shared" si="749"/>
        <v>1.0610353226150782E-2</v>
      </c>
      <c r="Z896" s="34">
        <f t="shared" si="750"/>
        <v>10612.35429873632</v>
      </c>
      <c r="AA896" s="34">
        <f t="shared" si="751"/>
        <v>1005494.7733763633</v>
      </c>
      <c r="AB896" s="34">
        <f t="shared" si="752"/>
        <v>0</v>
      </c>
      <c r="AC896" s="34">
        <f t="shared" si="753"/>
        <v>0</v>
      </c>
      <c r="AD896" s="34">
        <f t="shared" si="754"/>
        <v>0</v>
      </c>
      <c r="AE896" s="34">
        <f t="shared" si="755"/>
        <v>0</v>
      </c>
      <c r="AF896" s="34">
        <f t="shared" si="756"/>
        <v>0</v>
      </c>
      <c r="AG896" s="29">
        <f t="shared" si="757"/>
        <v>1005494.7733763633</v>
      </c>
      <c r="AH896" s="34">
        <f t="shared" si="758"/>
        <v>0</v>
      </c>
      <c r="AI896" s="34">
        <f t="shared" si="759"/>
        <v>0</v>
      </c>
      <c r="AJ896" s="34">
        <f t="shared" si="760"/>
        <v>0</v>
      </c>
      <c r="AK896" s="34">
        <f t="shared" si="761"/>
        <v>0</v>
      </c>
      <c r="AL896" s="34">
        <f t="shared" si="762"/>
        <v>0</v>
      </c>
      <c r="AM896" s="34">
        <f t="shared" si="763"/>
        <v>0</v>
      </c>
      <c r="AN896" s="34">
        <f t="shared" si="764"/>
        <v>0</v>
      </c>
      <c r="AO896" s="34">
        <f t="shared" si="765"/>
        <v>0</v>
      </c>
      <c r="AP896" s="34">
        <f t="shared" si="766"/>
        <v>0</v>
      </c>
      <c r="AQ896" s="34">
        <f t="shared" si="767"/>
        <v>0</v>
      </c>
      <c r="AR896" s="34">
        <f t="shared" si="768"/>
        <v>0</v>
      </c>
      <c r="AS896" s="30">
        <f t="shared" si="769"/>
        <v>2.095183753618465</v>
      </c>
      <c r="AT896" s="29">
        <f t="shared" si="770"/>
        <v>0</v>
      </c>
      <c r="AU896" s="29">
        <f t="shared" si="771"/>
        <v>0</v>
      </c>
      <c r="AV896" s="34">
        <f t="shared" si="772"/>
        <v>0</v>
      </c>
      <c r="AW896" s="34">
        <f t="shared" si="773"/>
        <v>0</v>
      </c>
      <c r="AX896" s="29">
        <f t="shared" si="774"/>
        <v>0</v>
      </c>
      <c r="AY896" s="34">
        <f t="shared" si="775"/>
        <v>0</v>
      </c>
      <c r="AZ896" s="37">
        <f t="shared" si="776"/>
        <v>0</v>
      </c>
      <c r="BA896" s="37">
        <f t="shared" si="777"/>
        <v>0</v>
      </c>
      <c r="BB896" s="35">
        <f t="shared" si="778"/>
        <v>1.572167431034055E-3</v>
      </c>
      <c r="BC896" s="31">
        <f t="shared" si="779"/>
        <v>0.24628346253629907</v>
      </c>
      <c r="BD896" s="34">
        <f t="shared" si="780"/>
        <v>0</v>
      </c>
    </row>
    <row r="897" spans="1:56" x14ac:dyDescent="0.2">
      <c r="A897" s="27">
        <f t="shared" si="781"/>
        <v>893</v>
      </c>
      <c r="B897" s="28">
        <f t="shared" si="728"/>
        <v>893</v>
      </c>
      <c r="C897" s="27">
        <f t="shared" si="729"/>
        <v>74</v>
      </c>
      <c r="D897" s="28">
        <f t="shared" si="730"/>
        <v>94</v>
      </c>
      <c r="E897" s="29">
        <f t="shared" si="731"/>
        <v>0</v>
      </c>
      <c r="F897" s="30">
        <f t="shared" si="732"/>
        <v>7.7294818686630837E-2</v>
      </c>
      <c r="G897" s="31">
        <f t="shared" si="733"/>
        <v>6.6813721311418384E-3</v>
      </c>
      <c r="H897" s="32">
        <f t="shared" si="734"/>
        <v>0.02</v>
      </c>
      <c r="I897" s="32">
        <f t="shared" si="735"/>
        <v>0</v>
      </c>
      <c r="J897" s="33">
        <f t="shared" si="782"/>
        <v>0</v>
      </c>
      <c r="K897" s="30">
        <f t="shared" si="736"/>
        <v>0</v>
      </c>
      <c r="L897" s="33">
        <f t="shared" si="737"/>
        <v>0</v>
      </c>
      <c r="M897" s="30">
        <f t="shared" si="738"/>
        <v>0</v>
      </c>
      <c r="N897" s="33">
        <f t="shared" si="739"/>
        <v>0</v>
      </c>
      <c r="O897" s="31">
        <f t="shared" si="740"/>
        <v>0</v>
      </c>
      <c r="P897" s="33">
        <f t="shared" si="741"/>
        <v>0</v>
      </c>
      <c r="Q897" s="34">
        <f t="shared" si="783"/>
        <v>1010800.9505257314</v>
      </c>
      <c r="R897" s="29">
        <f t="shared" si="742"/>
        <v>0</v>
      </c>
      <c r="S897" s="34">
        <f t="shared" si="743"/>
        <v>1010800.9505257314</v>
      </c>
      <c r="T897" s="29">
        <f t="shared" si="744"/>
        <v>842.3341254381096</v>
      </c>
      <c r="U897" s="29">
        <f t="shared" si="745"/>
        <v>0</v>
      </c>
      <c r="V897" s="35">
        <f t="shared" si="746"/>
        <v>7.3495093442560227E-3</v>
      </c>
      <c r="W897" s="34">
        <f t="shared" si="747"/>
        <v>0</v>
      </c>
      <c r="X897" s="34">
        <f t="shared" si="748"/>
        <v>1009958.6164002933</v>
      </c>
      <c r="Y897" s="36">
        <f t="shared" si="749"/>
        <v>-6.5230381437897389E-4</v>
      </c>
      <c r="Z897" s="34">
        <f t="shared" si="750"/>
        <v>-658.79985784282223</v>
      </c>
      <c r="AA897" s="34">
        <f t="shared" si="751"/>
        <v>1009629.2164713719</v>
      </c>
      <c r="AB897" s="34">
        <f t="shared" si="752"/>
        <v>0</v>
      </c>
      <c r="AC897" s="34">
        <f t="shared" si="753"/>
        <v>0</v>
      </c>
      <c r="AD897" s="34">
        <f t="shared" si="754"/>
        <v>0</v>
      </c>
      <c r="AE897" s="34">
        <f t="shared" si="755"/>
        <v>0</v>
      </c>
      <c r="AF897" s="34">
        <f t="shared" si="756"/>
        <v>0</v>
      </c>
      <c r="AG897" s="29">
        <f t="shared" si="757"/>
        <v>1009629.2164713719</v>
      </c>
      <c r="AH897" s="34">
        <f t="shared" si="758"/>
        <v>0</v>
      </c>
      <c r="AI897" s="34">
        <f t="shared" si="759"/>
        <v>0</v>
      </c>
      <c r="AJ897" s="34">
        <f t="shared" si="760"/>
        <v>0</v>
      </c>
      <c r="AK897" s="34">
        <f t="shared" si="761"/>
        <v>0</v>
      </c>
      <c r="AL897" s="34">
        <f t="shared" si="762"/>
        <v>0</v>
      </c>
      <c r="AM897" s="34">
        <f t="shared" si="763"/>
        <v>0</v>
      </c>
      <c r="AN897" s="34">
        <f t="shared" si="764"/>
        <v>0</v>
      </c>
      <c r="AO897" s="34">
        <f t="shared" si="765"/>
        <v>0</v>
      </c>
      <c r="AP897" s="34">
        <f t="shared" si="766"/>
        <v>0</v>
      </c>
      <c r="AQ897" s="34">
        <f t="shared" si="767"/>
        <v>0</v>
      </c>
      <c r="AR897" s="34">
        <f t="shared" si="768"/>
        <v>0</v>
      </c>
      <c r="AS897" s="30">
        <f t="shared" si="769"/>
        <v>2.0969217883986504</v>
      </c>
      <c r="AT897" s="29">
        <f t="shared" si="770"/>
        <v>0</v>
      </c>
      <c r="AU897" s="29">
        <f t="shared" si="771"/>
        <v>0</v>
      </c>
      <c r="AV897" s="34">
        <f t="shared" si="772"/>
        <v>0</v>
      </c>
      <c r="AW897" s="34">
        <f t="shared" si="773"/>
        <v>0</v>
      </c>
      <c r="AX897" s="29">
        <f t="shared" si="774"/>
        <v>0</v>
      </c>
      <c r="AY897" s="34">
        <f t="shared" si="775"/>
        <v>0</v>
      </c>
      <c r="AZ897" s="37">
        <f t="shared" si="776"/>
        <v>0</v>
      </c>
      <c r="BA897" s="37">
        <f t="shared" si="777"/>
        <v>0</v>
      </c>
      <c r="BB897" s="35">
        <f t="shared" si="778"/>
        <v>1.572167431034055E-3</v>
      </c>
      <c r="BC897" s="31">
        <f t="shared" si="779"/>
        <v>0.2458968714835594</v>
      </c>
      <c r="BD897" s="34">
        <f t="shared" si="780"/>
        <v>0</v>
      </c>
    </row>
    <row r="898" spans="1:56" x14ac:dyDescent="0.2">
      <c r="A898" s="27">
        <f t="shared" si="781"/>
        <v>894</v>
      </c>
      <c r="B898" s="28">
        <f t="shared" si="728"/>
        <v>894</v>
      </c>
      <c r="C898" s="27">
        <f t="shared" si="729"/>
        <v>74</v>
      </c>
      <c r="D898" s="28">
        <f t="shared" si="730"/>
        <v>94</v>
      </c>
      <c r="E898" s="29">
        <f t="shared" si="731"/>
        <v>0</v>
      </c>
      <c r="F898" s="30">
        <f t="shared" si="732"/>
        <v>7.7294818686630837E-2</v>
      </c>
      <c r="G898" s="31">
        <f t="shared" si="733"/>
        <v>6.6813721311418384E-3</v>
      </c>
      <c r="H898" s="32">
        <f t="shared" si="734"/>
        <v>0.02</v>
      </c>
      <c r="I898" s="32">
        <f t="shared" si="735"/>
        <v>0</v>
      </c>
      <c r="J898" s="33">
        <f t="shared" si="782"/>
        <v>0</v>
      </c>
      <c r="K898" s="30">
        <f t="shared" si="736"/>
        <v>0</v>
      </c>
      <c r="L898" s="33">
        <f t="shared" si="737"/>
        <v>0</v>
      </c>
      <c r="M898" s="30">
        <f t="shared" si="738"/>
        <v>0</v>
      </c>
      <c r="N898" s="33">
        <f t="shared" si="739"/>
        <v>0</v>
      </c>
      <c r="O898" s="31">
        <f t="shared" si="740"/>
        <v>0</v>
      </c>
      <c r="P898" s="33">
        <f t="shared" si="741"/>
        <v>0</v>
      </c>
      <c r="Q898" s="34">
        <f t="shared" si="783"/>
        <v>1009299.8165424505</v>
      </c>
      <c r="R898" s="29">
        <f t="shared" si="742"/>
        <v>0</v>
      </c>
      <c r="S898" s="34">
        <f t="shared" si="743"/>
        <v>1009299.8165424505</v>
      </c>
      <c r="T898" s="29">
        <f t="shared" si="744"/>
        <v>841.08318045204214</v>
      </c>
      <c r="U898" s="29">
        <f t="shared" si="745"/>
        <v>0</v>
      </c>
      <c r="V898" s="35">
        <f t="shared" si="746"/>
        <v>7.3495093442560227E-3</v>
      </c>
      <c r="W898" s="34">
        <f t="shared" si="747"/>
        <v>0</v>
      </c>
      <c r="X898" s="34">
        <f t="shared" si="748"/>
        <v>1008458.7333619985</v>
      </c>
      <c r="Y898" s="36">
        <f t="shared" si="749"/>
        <v>-3.0109441362520251E-3</v>
      </c>
      <c r="Z898" s="34">
        <f t="shared" si="750"/>
        <v>-3036.4129098684539</v>
      </c>
      <c r="AA898" s="34">
        <f t="shared" si="751"/>
        <v>1006940.5269070643</v>
      </c>
      <c r="AB898" s="34">
        <f t="shared" si="752"/>
        <v>0</v>
      </c>
      <c r="AC898" s="34">
        <f t="shared" si="753"/>
        <v>0</v>
      </c>
      <c r="AD898" s="34">
        <f t="shared" si="754"/>
        <v>0</v>
      </c>
      <c r="AE898" s="34">
        <f t="shared" si="755"/>
        <v>0</v>
      </c>
      <c r="AF898" s="34">
        <f t="shared" si="756"/>
        <v>0</v>
      </c>
      <c r="AG898" s="29">
        <f t="shared" si="757"/>
        <v>1006940.5269070643</v>
      </c>
      <c r="AH898" s="34">
        <f t="shared" si="758"/>
        <v>0</v>
      </c>
      <c r="AI898" s="34">
        <f t="shared" si="759"/>
        <v>0</v>
      </c>
      <c r="AJ898" s="34">
        <f t="shared" si="760"/>
        <v>0</v>
      </c>
      <c r="AK898" s="34">
        <f t="shared" si="761"/>
        <v>0</v>
      </c>
      <c r="AL898" s="34">
        <f t="shared" si="762"/>
        <v>0</v>
      </c>
      <c r="AM898" s="34">
        <f t="shared" si="763"/>
        <v>0</v>
      </c>
      <c r="AN898" s="34">
        <f t="shared" si="764"/>
        <v>0</v>
      </c>
      <c r="AO898" s="34">
        <f t="shared" si="765"/>
        <v>0</v>
      </c>
      <c r="AP898" s="34">
        <f t="shared" si="766"/>
        <v>0</v>
      </c>
      <c r="AQ898" s="34">
        <f t="shared" si="767"/>
        <v>0</v>
      </c>
      <c r="AR898" s="34">
        <f t="shared" si="768"/>
        <v>0</v>
      </c>
      <c r="AS898" s="30">
        <f t="shared" si="769"/>
        <v>2.0986612649449303</v>
      </c>
      <c r="AT898" s="29">
        <f t="shared" si="770"/>
        <v>0</v>
      </c>
      <c r="AU898" s="29">
        <f t="shared" si="771"/>
        <v>0</v>
      </c>
      <c r="AV898" s="34">
        <f t="shared" si="772"/>
        <v>0</v>
      </c>
      <c r="AW898" s="34">
        <f t="shared" si="773"/>
        <v>0</v>
      </c>
      <c r="AX898" s="29">
        <f t="shared" si="774"/>
        <v>0</v>
      </c>
      <c r="AY898" s="34">
        <f t="shared" si="775"/>
        <v>0</v>
      </c>
      <c r="AZ898" s="37">
        <f t="shared" si="776"/>
        <v>0</v>
      </c>
      <c r="BA898" s="37">
        <f t="shared" si="777"/>
        <v>0</v>
      </c>
      <c r="BB898" s="35">
        <f t="shared" si="778"/>
        <v>1.572167431034055E-3</v>
      </c>
      <c r="BC898" s="31">
        <f t="shared" si="779"/>
        <v>0.24551088726264081</v>
      </c>
      <c r="BD898" s="34">
        <f t="shared" si="780"/>
        <v>0</v>
      </c>
    </row>
    <row r="899" spans="1:56" x14ac:dyDescent="0.2">
      <c r="A899" s="27">
        <f t="shared" si="781"/>
        <v>895</v>
      </c>
      <c r="B899" s="28">
        <f t="shared" si="728"/>
        <v>895</v>
      </c>
      <c r="C899" s="27">
        <f t="shared" si="729"/>
        <v>74</v>
      </c>
      <c r="D899" s="28">
        <f t="shared" si="730"/>
        <v>94</v>
      </c>
      <c r="E899" s="29">
        <f t="shared" si="731"/>
        <v>0</v>
      </c>
      <c r="F899" s="30">
        <f t="shared" si="732"/>
        <v>7.7294818686630837E-2</v>
      </c>
      <c r="G899" s="31">
        <f t="shared" si="733"/>
        <v>6.6813721311418384E-3</v>
      </c>
      <c r="H899" s="32">
        <f t="shared" si="734"/>
        <v>0.02</v>
      </c>
      <c r="I899" s="32">
        <f t="shared" si="735"/>
        <v>0</v>
      </c>
      <c r="J899" s="33">
        <f t="shared" si="782"/>
        <v>0</v>
      </c>
      <c r="K899" s="30">
        <f t="shared" si="736"/>
        <v>0</v>
      </c>
      <c r="L899" s="33">
        <f t="shared" si="737"/>
        <v>0</v>
      </c>
      <c r="M899" s="30">
        <f t="shared" si="738"/>
        <v>0</v>
      </c>
      <c r="N899" s="33">
        <f t="shared" si="739"/>
        <v>0</v>
      </c>
      <c r="O899" s="31">
        <f t="shared" si="740"/>
        <v>0</v>
      </c>
      <c r="P899" s="33">
        <f t="shared" si="741"/>
        <v>0</v>
      </c>
      <c r="Q899" s="34">
        <f t="shared" si="783"/>
        <v>1005422.3204521301</v>
      </c>
      <c r="R899" s="29">
        <f t="shared" si="742"/>
        <v>0</v>
      </c>
      <c r="S899" s="34">
        <f t="shared" si="743"/>
        <v>1005422.3204521301</v>
      </c>
      <c r="T899" s="29">
        <f t="shared" si="744"/>
        <v>837.85193371010848</v>
      </c>
      <c r="U899" s="29">
        <f t="shared" si="745"/>
        <v>0</v>
      </c>
      <c r="V899" s="35">
        <f t="shared" si="746"/>
        <v>7.3495093442560227E-3</v>
      </c>
      <c r="W899" s="34">
        <f t="shared" si="747"/>
        <v>0</v>
      </c>
      <c r="X899" s="34">
        <f t="shared" si="748"/>
        <v>1004584.4685184199</v>
      </c>
      <c r="Y899" s="36">
        <f t="shared" si="749"/>
        <v>7.2433984038933197E-4</v>
      </c>
      <c r="Z899" s="34">
        <f t="shared" si="750"/>
        <v>727.66055358423409</v>
      </c>
      <c r="AA899" s="34">
        <f t="shared" si="751"/>
        <v>1004948.2987952121</v>
      </c>
      <c r="AB899" s="34">
        <f t="shared" si="752"/>
        <v>0</v>
      </c>
      <c r="AC899" s="34">
        <f t="shared" si="753"/>
        <v>0</v>
      </c>
      <c r="AD899" s="34">
        <f t="shared" si="754"/>
        <v>0</v>
      </c>
      <c r="AE899" s="34">
        <f t="shared" si="755"/>
        <v>0</v>
      </c>
      <c r="AF899" s="34">
        <f t="shared" si="756"/>
        <v>0</v>
      </c>
      <c r="AG899" s="29">
        <f t="shared" si="757"/>
        <v>1004948.2987952121</v>
      </c>
      <c r="AH899" s="34">
        <f t="shared" si="758"/>
        <v>0</v>
      </c>
      <c r="AI899" s="34">
        <f t="shared" si="759"/>
        <v>0</v>
      </c>
      <c r="AJ899" s="34">
        <f t="shared" si="760"/>
        <v>0</v>
      </c>
      <c r="AK899" s="34">
        <f t="shared" si="761"/>
        <v>0</v>
      </c>
      <c r="AL899" s="34">
        <f t="shared" si="762"/>
        <v>0</v>
      </c>
      <c r="AM899" s="34">
        <f t="shared" si="763"/>
        <v>0</v>
      </c>
      <c r="AN899" s="34">
        <f t="shared" si="764"/>
        <v>0</v>
      </c>
      <c r="AO899" s="34">
        <f t="shared" si="765"/>
        <v>0</v>
      </c>
      <c r="AP899" s="34">
        <f t="shared" si="766"/>
        <v>0</v>
      </c>
      <c r="AQ899" s="34">
        <f t="shared" si="767"/>
        <v>0</v>
      </c>
      <c r="AR899" s="34">
        <f t="shared" si="768"/>
        <v>0</v>
      </c>
      <c r="AS899" s="30">
        <f t="shared" si="769"/>
        <v>2.1004021844533041</v>
      </c>
      <c r="AT899" s="29">
        <f t="shared" si="770"/>
        <v>0</v>
      </c>
      <c r="AU899" s="29">
        <f t="shared" si="771"/>
        <v>0</v>
      </c>
      <c r="AV899" s="34">
        <f t="shared" si="772"/>
        <v>0</v>
      </c>
      <c r="AW899" s="34">
        <f t="shared" si="773"/>
        <v>0</v>
      </c>
      <c r="AX899" s="29">
        <f t="shared" si="774"/>
        <v>0</v>
      </c>
      <c r="AY899" s="34">
        <f t="shared" si="775"/>
        <v>0</v>
      </c>
      <c r="AZ899" s="37">
        <f t="shared" si="776"/>
        <v>0</v>
      </c>
      <c r="BA899" s="37">
        <f t="shared" si="777"/>
        <v>0</v>
      </c>
      <c r="BB899" s="35">
        <f t="shared" si="778"/>
        <v>1.572167431034055E-3</v>
      </c>
      <c r="BC899" s="31">
        <f t="shared" si="779"/>
        <v>0.24512550892099957</v>
      </c>
      <c r="BD899" s="34">
        <f t="shared" si="780"/>
        <v>0</v>
      </c>
    </row>
    <row r="900" spans="1:56" x14ac:dyDescent="0.2">
      <c r="A900" s="27">
        <f t="shared" si="781"/>
        <v>896</v>
      </c>
      <c r="B900" s="28">
        <f t="shared" ref="B900:B963" si="784">Duration0+A900</f>
        <v>896</v>
      </c>
      <c r="C900" s="27">
        <f t="shared" ref="C900:C963" si="785">INT(B900/12)</f>
        <v>74</v>
      </c>
      <c r="D900" s="28">
        <f t="shared" ref="D900:D963" si="786">AgeAtEntry+C900</f>
        <v>94</v>
      </c>
      <c r="E900" s="29">
        <f t="shared" ref="E900:E963" si="787">IF(PremiumType="SINGLE",IF(B900=0,PremiumPPInput,0),IF(B900&lt;12*PolicyTerm,PremiumPPInput,0))</f>
        <v>0</v>
      </c>
      <c r="F900" s="30">
        <f t="shared" ref="F900:F963" si="788">INDEX(MortRates,MATCH(MIN(D900,120),MortAges,0),MAX(MIN(C900,5),0)+1)</f>
        <v>7.7294818686630837E-2</v>
      </c>
      <c r="G900" s="31">
        <f t="shared" ref="G900:G963" si="789">1-(1-F900)^(1/12)</f>
        <v>6.6813721311418384E-3</v>
      </c>
      <c r="H900" s="32">
        <f t="shared" ref="H900:H963" si="790">MAX(LapseBase-LapseStep*C900,LapseFloor)</f>
        <v>0.02</v>
      </c>
      <c r="I900" s="32">
        <f t="shared" ref="I900:I963" si="791">IF(HasSurrCharge,INDEX(SurrRates,MIN(C900,SurrDurMax)+1,MATCH(SurrChargeID,SurrTypes,0)),0)</f>
        <v>0</v>
      </c>
      <c r="J900" s="33">
        <f t="shared" si="782"/>
        <v>0</v>
      </c>
      <c r="K900" s="30">
        <f t="shared" ref="K900:K963" si="792">IF(B900=12*PolicyTerm,J900,0)</f>
        <v>0</v>
      </c>
      <c r="L900" s="33">
        <f t="shared" ref="L900:L963" si="793">J900-K900</f>
        <v>0</v>
      </c>
      <c r="M900" s="30">
        <f t="shared" ref="M900:M963" si="794">IF(B900=0,PolicyCount,0)</f>
        <v>0</v>
      </c>
      <c r="N900" s="33">
        <f t="shared" ref="N900:N963" si="795">L900+M900</f>
        <v>0</v>
      </c>
      <c r="O900" s="31">
        <f t="shared" ref="O900:O963" si="796">N900*G900</f>
        <v>0</v>
      </c>
      <c r="P900" s="33">
        <f t="shared" ref="P900:P963" si="797">(N900-O900)*(1-(1-H900)^(1/12))</f>
        <v>0</v>
      </c>
      <c r="Q900" s="34">
        <f t="shared" si="783"/>
        <v>1005312.1290720041</v>
      </c>
      <c r="R900" s="29">
        <f t="shared" ref="R900:R963" si="798">(1-LoadPremRate)*E900</f>
        <v>0</v>
      </c>
      <c r="S900" s="34">
        <f t="shared" ref="S900:S963" si="799">Q900+R900</f>
        <v>1005312.1290720041</v>
      </c>
      <c r="T900" s="29">
        <f t="shared" ref="T900:T963" si="800">MaintFeeRateAnn/12*S900</f>
        <v>837.76010756000346</v>
      </c>
      <c r="U900" s="29">
        <f t="shared" ref="U900:U963" si="801">MAX(SumAssured-S900,0)</f>
        <v>0</v>
      </c>
      <c r="V900" s="35">
        <f t="shared" ref="V900:V963" si="802">CoiMultiple*G900</f>
        <v>7.3495093442560227E-3</v>
      </c>
      <c r="W900" s="34">
        <f t="shared" ref="W900:W963" si="803">V900*U900</f>
        <v>0</v>
      </c>
      <c r="X900" s="34">
        <f t="shared" ref="X900:X963" si="804">S900-T900-W900</f>
        <v>1004474.3689644441</v>
      </c>
      <c r="Y900" s="36">
        <f t="shared" ref="Y900:Y963" si="805">EXP((Mu-0.5*Sigma^2)/12+Sigma*SQRT(1/12)*INDEX(NormRand,ScenID,A900+1))-1</f>
        <v>-2.3634128214699013E-3</v>
      </c>
      <c r="Z900" s="34">
        <f t="shared" ref="Z900:Z963" si="806">Y900*X900</f>
        <v>-2373.9876024484556</v>
      </c>
      <c r="AA900" s="34">
        <f t="shared" ref="AA900:AA963" si="807">X900+0.5*Z900</f>
        <v>1003287.3751632199</v>
      </c>
      <c r="AB900" s="34">
        <f t="shared" ref="AB900:AB963" si="808">Q900*J900</f>
        <v>0</v>
      </c>
      <c r="AC900" s="34">
        <f t="shared" ref="AC900:AC963" si="809">Q900*L900</f>
        <v>0</v>
      </c>
      <c r="AD900" s="34">
        <f t="shared" ref="AD900:AD963" si="810">S900*N900</f>
        <v>0</v>
      </c>
      <c r="AE900" s="34">
        <f t="shared" ref="AE900:AE963" si="811">E900*N900</f>
        <v>0</v>
      </c>
      <c r="AF900" s="34">
        <f t="shared" ref="AF900:AF963" si="812">R900*N900</f>
        <v>0</v>
      </c>
      <c r="AG900" s="29">
        <f t="shared" ref="AG900:AG963" si="813">MAX(SumAssured,AA900)</f>
        <v>1003287.3751632199</v>
      </c>
      <c r="AH900" s="34">
        <f t="shared" ref="AH900:AH963" si="814">AG900*O900</f>
        <v>0</v>
      </c>
      <c r="AI900" s="34">
        <f t="shared" ref="AI900:AI963" si="815">AA900*O900</f>
        <v>0</v>
      </c>
      <c r="AJ900" s="34">
        <f t="shared" ref="AJ900:AJ963" si="816">AA900*P900</f>
        <v>0</v>
      </c>
      <c r="AK900" s="34">
        <f t="shared" ref="AK900:AK963" si="817">I900*AA900*P900</f>
        <v>0</v>
      </c>
      <c r="AL900" s="34">
        <f t="shared" ref="AL900:AL963" si="818">AJ900-AK900</f>
        <v>0</v>
      </c>
      <c r="AM900" s="34">
        <f t="shared" ref="AM900:AM963" si="819">Q900*K900</f>
        <v>0</v>
      </c>
      <c r="AN900" s="34">
        <f t="shared" ref="AN900:AN963" si="820">AH900+AL900+AM900</f>
        <v>0</v>
      </c>
      <c r="AO900" s="34">
        <f t="shared" ref="AO900:AO963" si="821">(AG900-AA900)*O900</f>
        <v>0</v>
      </c>
      <c r="AP900" s="34">
        <f t="shared" ref="AP900:AP963" si="822">W900*N900</f>
        <v>0</v>
      </c>
      <c r="AQ900" s="34">
        <f t="shared" ref="AQ900:AQ963" si="823">T900*N900</f>
        <v>0</v>
      </c>
      <c r="AR900" s="34">
        <f t="shared" ref="AR900:AR963" si="824">Z900*J901+0.5*Z900*(O900+P900)</f>
        <v>0</v>
      </c>
      <c r="AS900" s="30">
        <f t="shared" ref="AS900:AS963" si="825">(1+InflationRate)^(A900/12)</f>
        <v>2.1021445481207643</v>
      </c>
      <c r="AT900" s="29">
        <f t="shared" ref="AT900:AT963" si="826">ExpenseAcq*M900+N900*ExpenseMaint/12*AS900</f>
        <v>0</v>
      </c>
      <c r="AU900" s="29">
        <f t="shared" ref="AU900:AU963" si="827">CommissionRate*AE900</f>
        <v>0</v>
      </c>
      <c r="AV900" s="34">
        <f t="shared" ref="AV900:AV963" si="828">AB901-AB900</f>
        <v>0</v>
      </c>
      <c r="AW900" s="34">
        <f t="shared" ref="AW900:AW963" si="829">AE900+AR900-AN900-AT900-AU900-AV900</f>
        <v>0</v>
      </c>
      <c r="AX900" s="29">
        <f t="shared" ref="AX900:AX963" si="830">LoadPremRate*E900*N900+AK900+AQ900-AU900-AT900</f>
        <v>0</v>
      </c>
      <c r="AY900" s="34">
        <f t="shared" ref="AY900:AY963" si="831">AP900-AO900</f>
        <v>0</v>
      </c>
      <c r="AZ900" s="37">
        <f t="shared" ref="AZ900:AZ963" si="832">(AW900-AX900-AY900)/MAX(1,ABS(AW900),ABS(AX900),ABS(AY900))</f>
        <v>0</v>
      </c>
      <c r="BA900" s="37">
        <f t="shared" ref="BA900:BA963" si="833">IF(OR(K900&gt;0,K901&gt;0),0,(AC901-(AC900+AF900-AQ900-AP900+AR900-AI900-AJ900-AM900))/MAX(1,ABS(AC900),ABS(AC901)))</f>
        <v>0</v>
      </c>
      <c r="BB900" s="35">
        <f t="shared" ref="BB900:BB963" si="834">(1+INDEX(DiscRateAnn,INT(A900/12)+1))^(1/12)-1</f>
        <v>1.572167431034055E-3</v>
      </c>
      <c r="BC900" s="31">
        <f t="shared" ref="BC900:BC963" si="835">(1+BB900)^-A900</f>
        <v>0.24474073550758724</v>
      </c>
      <c r="BD900" s="34">
        <f t="shared" ref="BD900:BD963" si="836">AW900*BC900</f>
        <v>0</v>
      </c>
    </row>
    <row r="901" spans="1:56" x14ac:dyDescent="0.2">
      <c r="A901" s="27">
        <f t="shared" ref="A901:A964" si="837">A900+1</f>
        <v>897</v>
      </c>
      <c r="B901" s="28">
        <f t="shared" si="784"/>
        <v>897</v>
      </c>
      <c r="C901" s="27">
        <f t="shared" si="785"/>
        <v>74</v>
      </c>
      <c r="D901" s="28">
        <f t="shared" si="786"/>
        <v>94</v>
      </c>
      <c r="E901" s="29">
        <f t="shared" si="787"/>
        <v>0</v>
      </c>
      <c r="F901" s="30">
        <f t="shared" si="788"/>
        <v>7.7294818686630837E-2</v>
      </c>
      <c r="G901" s="31">
        <f t="shared" si="789"/>
        <v>6.6813721311418384E-3</v>
      </c>
      <c r="H901" s="32">
        <f t="shared" si="790"/>
        <v>0.02</v>
      </c>
      <c r="I901" s="32">
        <f t="shared" si="791"/>
        <v>0</v>
      </c>
      <c r="J901" s="33">
        <f t="shared" ref="J901:J964" si="838">N900-P900-O900</f>
        <v>0</v>
      </c>
      <c r="K901" s="30">
        <f t="shared" si="792"/>
        <v>0</v>
      </c>
      <c r="L901" s="33">
        <f t="shared" si="793"/>
        <v>0</v>
      </c>
      <c r="M901" s="30">
        <f t="shared" si="794"/>
        <v>0</v>
      </c>
      <c r="N901" s="33">
        <f t="shared" si="795"/>
        <v>0</v>
      </c>
      <c r="O901" s="31">
        <f t="shared" si="796"/>
        <v>0</v>
      </c>
      <c r="P901" s="33">
        <f t="shared" si="797"/>
        <v>0</v>
      </c>
      <c r="Q901" s="34">
        <f t="shared" ref="Q901:Q964" si="839">X900+Z900</f>
        <v>1002100.3813619957</v>
      </c>
      <c r="R901" s="29">
        <f t="shared" si="798"/>
        <v>0</v>
      </c>
      <c r="S901" s="34">
        <f t="shared" si="799"/>
        <v>1002100.3813619957</v>
      </c>
      <c r="T901" s="29">
        <f t="shared" si="800"/>
        <v>835.08365113499644</v>
      </c>
      <c r="U901" s="29">
        <f t="shared" si="801"/>
        <v>0</v>
      </c>
      <c r="V901" s="35">
        <f t="shared" si="802"/>
        <v>7.3495093442560227E-3</v>
      </c>
      <c r="W901" s="34">
        <f t="shared" si="803"/>
        <v>0</v>
      </c>
      <c r="X901" s="34">
        <f t="shared" si="804"/>
        <v>1001265.2977108607</v>
      </c>
      <c r="Y901" s="36">
        <f t="shared" si="805"/>
        <v>6.5099727450055322E-3</v>
      </c>
      <c r="Z901" s="34">
        <f t="shared" si="806"/>
        <v>6518.2097986175531</v>
      </c>
      <c r="AA901" s="34">
        <f t="shared" si="807"/>
        <v>1004524.4026101695</v>
      </c>
      <c r="AB901" s="34">
        <f t="shared" si="808"/>
        <v>0</v>
      </c>
      <c r="AC901" s="34">
        <f t="shared" si="809"/>
        <v>0</v>
      </c>
      <c r="AD901" s="34">
        <f t="shared" si="810"/>
        <v>0</v>
      </c>
      <c r="AE901" s="34">
        <f t="shared" si="811"/>
        <v>0</v>
      </c>
      <c r="AF901" s="34">
        <f t="shared" si="812"/>
        <v>0</v>
      </c>
      <c r="AG901" s="29">
        <f t="shared" si="813"/>
        <v>1004524.4026101695</v>
      </c>
      <c r="AH901" s="34">
        <f t="shared" si="814"/>
        <v>0</v>
      </c>
      <c r="AI901" s="34">
        <f t="shared" si="815"/>
        <v>0</v>
      </c>
      <c r="AJ901" s="34">
        <f t="shared" si="816"/>
        <v>0</v>
      </c>
      <c r="AK901" s="34">
        <f t="shared" si="817"/>
        <v>0</v>
      </c>
      <c r="AL901" s="34">
        <f t="shared" si="818"/>
        <v>0</v>
      </c>
      <c r="AM901" s="34">
        <f t="shared" si="819"/>
        <v>0</v>
      </c>
      <c r="AN901" s="34">
        <f t="shared" si="820"/>
        <v>0</v>
      </c>
      <c r="AO901" s="34">
        <f t="shared" si="821"/>
        <v>0</v>
      </c>
      <c r="AP901" s="34">
        <f t="shared" si="822"/>
        <v>0</v>
      </c>
      <c r="AQ901" s="34">
        <f t="shared" si="823"/>
        <v>0</v>
      </c>
      <c r="AR901" s="34">
        <f t="shared" si="824"/>
        <v>0</v>
      </c>
      <c r="AS901" s="30">
        <f t="shared" si="825"/>
        <v>2.1038883571452955</v>
      </c>
      <c r="AT901" s="29">
        <f t="shared" si="826"/>
        <v>0</v>
      </c>
      <c r="AU901" s="29">
        <f t="shared" si="827"/>
        <v>0</v>
      </c>
      <c r="AV901" s="34">
        <f t="shared" si="828"/>
        <v>0</v>
      </c>
      <c r="AW901" s="34">
        <f t="shared" si="829"/>
        <v>0</v>
      </c>
      <c r="AX901" s="29">
        <f t="shared" si="830"/>
        <v>0</v>
      </c>
      <c r="AY901" s="34">
        <f t="shared" si="831"/>
        <v>0</v>
      </c>
      <c r="AZ901" s="37">
        <f t="shared" si="832"/>
        <v>0</v>
      </c>
      <c r="BA901" s="37">
        <f t="shared" si="833"/>
        <v>0</v>
      </c>
      <c r="BB901" s="35">
        <f t="shared" si="834"/>
        <v>1.572167431034055E-3</v>
      </c>
      <c r="BC901" s="31">
        <f t="shared" si="835"/>
        <v>0.24435656607284817</v>
      </c>
      <c r="BD901" s="34">
        <f t="shared" si="836"/>
        <v>0</v>
      </c>
    </row>
    <row r="902" spans="1:56" x14ac:dyDescent="0.2">
      <c r="A902" s="27">
        <f t="shared" si="837"/>
        <v>898</v>
      </c>
      <c r="B902" s="28">
        <f t="shared" si="784"/>
        <v>898</v>
      </c>
      <c r="C902" s="27">
        <f t="shared" si="785"/>
        <v>74</v>
      </c>
      <c r="D902" s="28">
        <f t="shared" si="786"/>
        <v>94</v>
      </c>
      <c r="E902" s="29">
        <f t="shared" si="787"/>
        <v>0</v>
      </c>
      <c r="F902" s="30">
        <f t="shared" si="788"/>
        <v>7.7294818686630837E-2</v>
      </c>
      <c r="G902" s="31">
        <f t="shared" si="789"/>
        <v>6.6813721311418384E-3</v>
      </c>
      <c r="H902" s="32">
        <f t="shared" si="790"/>
        <v>0.02</v>
      </c>
      <c r="I902" s="32">
        <f t="shared" si="791"/>
        <v>0</v>
      </c>
      <c r="J902" s="33">
        <f t="shared" si="838"/>
        <v>0</v>
      </c>
      <c r="K902" s="30">
        <f t="shared" si="792"/>
        <v>0</v>
      </c>
      <c r="L902" s="33">
        <f t="shared" si="793"/>
        <v>0</v>
      </c>
      <c r="M902" s="30">
        <f t="shared" si="794"/>
        <v>0</v>
      </c>
      <c r="N902" s="33">
        <f t="shared" si="795"/>
        <v>0</v>
      </c>
      <c r="O902" s="31">
        <f t="shared" si="796"/>
        <v>0</v>
      </c>
      <c r="P902" s="33">
        <f t="shared" si="797"/>
        <v>0</v>
      </c>
      <c r="Q902" s="34">
        <f t="shared" si="839"/>
        <v>1007783.5075094783</v>
      </c>
      <c r="R902" s="29">
        <f t="shared" si="798"/>
        <v>0</v>
      </c>
      <c r="S902" s="34">
        <f t="shared" si="799"/>
        <v>1007783.5075094783</v>
      </c>
      <c r="T902" s="29">
        <f t="shared" si="800"/>
        <v>839.81958959123187</v>
      </c>
      <c r="U902" s="29">
        <f t="shared" si="801"/>
        <v>0</v>
      </c>
      <c r="V902" s="35">
        <f t="shared" si="802"/>
        <v>7.3495093442560227E-3</v>
      </c>
      <c r="W902" s="34">
        <f t="shared" si="803"/>
        <v>0</v>
      </c>
      <c r="X902" s="34">
        <f t="shared" si="804"/>
        <v>1006943.687919887</v>
      </c>
      <c r="Y902" s="36">
        <f t="shared" si="805"/>
        <v>-2.2360137303800709E-3</v>
      </c>
      <c r="Z902" s="34">
        <f t="shared" si="806"/>
        <v>-2251.5399119084127</v>
      </c>
      <c r="AA902" s="34">
        <f t="shared" si="807"/>
        <v>1005817.9179639329</v>
      </c>
      <c r="AB902" s="34">
        <f t="shared" si="808"/>
        <v>0</v>
      </c>
      <c r="AC902" s="34">
        <f t="shared" si="809"/>
        <v>0</v>
      </c>
      <c r="AD902" s="34">
        <f t="shared" si="810"/>
        <v>0</v>
      </c>
      <c r="AE902" s="34">
        <f t="shared" si="811"/>
        <v>0</v>
      </c>
      <c r="AF902" s="34">
        <f t="shared" si="812"/>
        <v>0</v>
      </c>
      <c r="AG902" s="29">
        <f t="shared" si="813"/>
        <v>1005817.9179639329</v>
      </c>
      <c r="AH902" s="34">
        <f t="shared" si="814"/>
        <v>0</v>
      </c>
      <c r="AI902" s="34">
        <f t="shared" si="815"/>
        <v>0</v>
      </c>
      <c r="AJ902" s="34">
        <f t="shared" si="816"/>
        <v>0</v>
      </c>
      <c r="AK902" s="34">
        <f t="shared" si="817"/>
        <v>0</v>
      </c>
      <c r="AL902" s="34">
        <f t="shared" si="818"/>
        <v>0</v>
      </c>
      <c r="AM902" s="34">
        <f t="shared" si="819"/>
        <v>0</v>
      </c>
      <c r="AN902" s="34">
        <f t="shared" si="820"/>
        <v>0</v>
      </c>
      <c r="AO902" s="34">
        <f t="shared" si="821"/>
        <v>0</v>
      </c>
      <c r="AP902" s="34">
        <f t="shared" si="822"/>
        <v>0</v>
      </c>
      <c r="AQ902" s="34">
        <f t="shared" si="823"/>
        <v>0</v>
      </c>
      <c r="AR902" s="34">
        <f t="shared" si="824"/>
        <v>0</v>
      </c>
      <c r="AS902" s="30">
        <f t="shared" si="825"/>
        <v>2.1056336127258768</v>
      </c>
      <c r="AT902" s="29">
        <f t="shared" si="826"/>
        <v>0</v>
      </c>
      <c r="AU902" s="29">
        <f t="shared" si="827"/>
        <v>0</v>
      </c>
      <c r="AV902" s="34">
        <f t="shared" si="828"/>
        <v>0</v>
      </c>
      <c r="AW902" s="34">
        <f t="shared" si="829"/>
        <v>0</v>
      </c>
      <c r="AX902" s="29">
        <f t="shared" si="830"/>
        <v>0</v>
      </c>
      <c r="AY902" s="34">
        <f t="shared" si="831"/>
        <v>0</v>
      </c>
      <c r="AZ902" s="37">
        <f t="shared" si="832"/>
        <v>0</v>
      </c>
      <c r="BA902" s="37">
        <f t="shared" si="833"/>
        <v>0</v>
      </c>
      <c r="BB902" s="35">
        <f t="shared" si="834"/>
        <v>1.572167431034055E-3</v>
      </c>
      <c r="BC902" s="31">
        <f t="shared" si="835"/>
        <v>0.24397299966871733</v>
      </c>
      <c r="BD902" s="34">
        <f t="shared" si="836"/>
        <v>0</v>
      </c>
    </row>
    <row r="903" spans="1:56" x14ac:dyDescent="0.2">
      <c r="A903" s="27">
        <f t="shared" si="837"/>
        <v>899</v>
      </c>
      <c r="B903" s="28">
        <f t="shared" si="784"/>
        <v>899</v>
      </c>
      <c r="C903" s="27">
        <f t="shared" si="785"/>
        <v>74</v>
      </c>
      <c r="D903" s="28">
        <f t="shared" si="786"/>
        <v>94</v>
      </c>
      <c r="E903" s="29">
        <f t="shared" si="787"/>
        <v>0</v>
      </c>
      <c r="F903" s="30">
        <f t="shared" si="788"/>
        <v>7.7294818686630837E-2</v>
      </c>
      <c r="G903" s="31">
        <f t="shared" si="789"/>
        <v>6.6813721311418384E-3</v>
      </c>
      <c r="H903" s="32">
        <f t="shared" si="790"/>
        <v>0.02</v>
      </c>
      <c r="I903" s="32">
        <f t="shared" si="791"/>
        <v>0</v>
      </c>
      <c r="J903" s="33">
        <f t="shared" si="838"/>
        <v>0</v>
      </c>
      <c r="K903" s="30">
        <f t="shared" si="792"/>
        <v>0</v>
      </c>
      <c r="L903" s="33">
        <f t="shared" si="793"/>
        <v>0</v>
      </c>
      <c r="M903" s="30">
        <f t="shared" si="794"/>
        <v>0</v>
      </c>
      <c r="N903" s="33">
        <f t="shared" si="795"/>
        <v>0</v>
      </c>
      <c r="O903" s="31">
        <f t="shared" si="796"/>
        <v>0</v>
      </c>
      <c r="P903" s="33">
        <f t="shared" si="797"/>
        <v>0</v>
      </c>
      <c r="Q903" s="34">
        <f t="shared" si="839"/>
        <v>1004692.1480079786</v>
      </c>
      <c r="R903" s="29">
        <f t="shared" si="798"/>
        <v>0</v>
      </c>
      <c r="S903" s="34">
        <f t="shared" si="799"/>
        <v>1004692.1480079786</v>
      </c>
      <c r="T903" s="29">
        <f t="shared" si="800"/>
        <v>837.24345667331556</v>
      </c>
      <c r="U903" s="29">
        <f t="shared" si="801"/>
        <v>0</v>
      </c>
      <c r="V903" s="35">
        <f t="shared" si="802"/>
        <v>7.3495093442560227E-3</v>
      </c>
      <c r="W903" s="34">
        <f t="shared" si="803"/>
        <v>0</v>
      </c>
      <c r="X903" s="34">
        <f t="shared" si="804"/>
        <v>1003854.9045513052</v>
      </c>
      <c r="Y903" s="36">
        <f t="shared" si="805"/>
        <v>5.7633138197337175E-3</v>
      </c>
      <c r="Z903" s="34">
        <f t="shared" si="806"/>
        <v>5785.5308444080092</v>
      </c>
      <c r="AA903" s="34">
        <f t="shared" si="807"/>
        <v>1006747.6699735093</v>
      </c>
      <c r="AB903" s="34">
        <f t="shared" si="808"/>
        <v>0</v>
      </c>
      <c r="AC903" s="34">
        <f t="shared" si="809"/>
        <v>0</v>
      </c>
      <c r="AD903" s="34">
        <f t="shared" si="810"/>
        <v>0</v>
      </c>
      <c r="AE903" s="34">
        <f t="shared" si="811"/>
        <v>0</v>
      </c>
      <c r="AF903" s="34">
        <f t="shared" si="812"/>
        <v>0</v>
      </c>
      <c r="AG903" s="29">
        <f t="shared" si="813"/>
        <v>1006747.6699735093</v>
      </c>
      <c r="AH903" s="34">
        <f t="shared" si="814"/>
        <v>0</v>
      </c>
      <c r="AI903" s="34">
        <f t="shared" si="815"/>
        <v>0</v>
      </c>
      <c r="AJ903" s="34">
        <f t="shared" si="816"/>
        <v>0</v>
      </c>
      <c r="AK903" s="34">
        <f t="shared" si="817"/>
        <v>0</v>
      </c>
      <c r="AL903" s="34">
        <f t="shared" si="818"/>
        <v>0</v>
      </c>
      <c r="AM903" s="34">
        <f t="shared" si="819"/>
        <v>0</v>
      </c>
      <c r="AN903" s="34">
        <f t="shared" si="820"/>
        <v>0</v>
      </c>
      <c r="AO903" s="34">
        <f t="shared" si="821"/>
        <v>0</v>
      </c>
      <c r="AP903" s="34">
        <f t="shared" si="822"/>
        <v>0</v>
      </c>
      <c r="AQ903" s="34">
        <f t="shared" si="823"/>
        <v>0</v>
      </c>
      <c r="AR903" s="34">
        <f t="shared" si="824"/>
        <v>0</v>
      </c>
      <c r="AS903" s="30">
        <f t="shared" si="825"/>
        <v>2.1073803160624816</v>
      </c>
      <c r="AT903" s="29">
        <f t="shared" si="826"/>
        <v>0</v>
      </c>
      <c r="AU903" s="29">
        <f t="shared" si="827"/>
        <v>0</v>
      </c>
      <c r="AV903" s="34">
        <f t="shared" si="828"/>
        <v>0</v>
      </c>
      <c r="AW903" s="34">
        <f t="shared" si="829"/>
        <v>0</v>
      </c>
      <c r="AX903" s="29">
        <f t="shared" si="830"/>
        <v>0</v>
      </c>
      <c r="AY903" s="34">
        <f t="shared" si="831"/>
        <v>0</v>
      </c>
      <c r="AZ903" s="37">
        <f t="shared" si="832"/>
        <v>0</v>
      </c>
      <c r="BA903" s="37">
        <f t="shared" si="833"/>
        <v>0</v>
      </c>
      <c r="BB903" s="35">
        <f t="shared" si="834"/>
        <v>1.572167431034055E-3</v>
      </c>
      <c r="BC903" s="31">
        <f t="shared" si="835"/>
        <v>0.24359003534861784</v>
      </c>
      <c r="BD903" s="34">
        <f t="shared" si="836"/>
        <v>0</v>
      </c>
    </row>
    <row r="904" spans="1:56" x14ac:dyDescent="0.2">
      <c r="A904" s="27">
        <f t="shared" si="837"/>
        <v>900</v>
      </c>
      <c r="B904" s="28">
        <f t="shared" si="784"/>
        <v>900</v>
      </c>
      <c r="C904" s="27">
        <f t="shared" si="785"/>
        <v>75</v>
      </c>
      <c r="D904" s="28">
        <f t="shared" si="786"/>
        <v>95</v>
      </c>
      <c r="E904" s="29">
        <f t="shared" si="787"/>
        <v>0</v>
      </c>
      <c r="F904" s="30">
        <f t="shared" si="788"/>
        <v>8.7945172398250643E-2</v>
      </c>
      <c r="G904" s="31">
        <f t="shared" si="789"/>
        <v>7.641915341566663E-3</v>
      </c>
      <c r="H904" s="32">
        <f t="shared" si="790"/>
        <v>0.02</v>
      </c>
      <c r="I904" s="32">
        <f t="shared" si="791"/>
        <v>0</v>
      </c>
      <c r="J904" s="33">
        <f t="shared" si="838"/>
        <v>0</v>
      </c>
      <c r="K904" s="30">
        <f t="shared" si="792"/>
        <v>0</v>
      </c>
      <c r="L904" s="33">
        <f t="shared" si="793"/>
        <v>0</v>
      </c>
      <c r="M904" s="30">
        <f t="shared" si="794"/>
        <v>0</v>
      </c>
      <c r="N904" s="33">
        <f t="shared" si="795"/>
        <v>0</v>
      </c>
      <c r="O904" s="31">
        <f t="shared" si="796"/>
        <v>0</v>
      </c>
      <c r="P904" s="33">
        <f t="shared" si="797"/>
        <v>0</v>
      </c>
      <c r="Q904" s="34">
        <f t="shared" si="839"/>
        <v>1009640.4353957132</v>
      </c>
      <c r="R904" s="29">
        <f t="shared" si="798"/>
        <v>0</v>
      </c>
      <c r="S904" s="34">
        <f t="shared" si="799"/>
        <v>1009640.4353957132</v>
      </c>
      <c r="T904" s="29">
        <f t="shared" si="800"/>
        <v>841.36702949642768</v>
      </c>
      <c r="U904" s="29">
        <f t="shared" si="801"/>
        <v>0</v>
      </c>
      <c r="V904" s="35">
        <f t="shared" si="802"/>
        <v>8.4061068757233307E-3</v>
      </c>
      <c r="W904" s="34">
        <f t="shared" si="803"/>
        <v>0</v>
      </c>
      <c r="X904" s="34">
        <f t="shared" si="804"/>
        <v>1008799.0683662167</v>
      </c>
      <c r="Y904" s="36">
        <f t="shared" si="805"/>
        <v>-1.265535411484553E-3</v>
      </c>
      <c r="Z904" s="34">
        <f t="shared" si="806"/>
        <v>-1276.6709440900738</v>
      </c>
      <c r="AA904" s="34">
        <f t="shared" si="807"/>
        <v>1008160.7328941717</v>
      </c>
      <c r="AB904" s="34">
        <f t="shared" si="808"/>
        <v>0</v>
      </c>
      <c r="AC904" s="34">
        <f t="shared" si="809"/>
        <v>0</v>
      </c>
      <c r="AD904" s="34">
        <f t="shared" si="810"/>
        <v>0</v>
      </c>
      <c r="AE904" s="34">
        <f t="shared" si="811"/>
        <v>0</v>
      </c>
      <c r="AF904" s="34">
        <f t="shared" si="812"/>
        <v>0</v>
      </c>
      <c r="AG904" s="29">
        <f t="shared" si="813"/>
        <v>1008160.7328941717</v>
      </c>
      <c r="AH904" s="34">
        <f t="shared" si="814"/>
        <v>0</v>
      </c>
      <c r="AI904" s="34">
        <f t="shared" si="815"/>
        <v>0</v>
      </c>
      <c r="AJ904" s="34">
        <f t="shared" si="816"/>
        <v>0</v>
      </c>
      <c r="AK904" s="34">
        <f t="shared" si="817"/>
        <v>0</v>
      </c>
      <c r="AL904" s="34">
        <f t="shared" si="818"/>
        <v>0</v>
      </c>
      <c r="AM904" s="34">
        <f t="shared" si="819"/>
        <v>0</v>
      </c>
      <c r="AN904" s="34">
        <f t="shared" si="820"/>
        <v>0</v>
      </c>
      <c r="AO904" s="34">
        <f t="shared" si="821"/>
        <v>0</v>
      </c>
      <c r="AP904" s="34">
        <f t="shared" si="822"/>
        <v>0</v>
      </c>
      <c r="AQ904" s="34">
        <f t="shared" si="823"/>
        <v>0</v>
      </c>
      <c r="AR904" s="34">
        <f t="shared" si="824"/>
        <v>0</v>
      </c>
      <c r="AS904" s="30">
        <f t="shared" si="825"/>
        <v>2.1091284683560785</v>
      </c>
      <c r="AT904" s="29">
        <f t="shared" si="826"/>
        <v>0</v>
      </c>
      <c r="AU904" s="29">
        <f t="shared" si="827"/>
        <v>0</v>
      </c>
      <c r="AV904" s="34">
        <f t="shared" si="828"/>
        <v>0</v>
      </c>
      <c r="AW904" s="34">
        <f t="shared" si="829"/>
        <v>0</v>
      </c>
      <c r="AX904" s="29">
        <f t="shared" si="830"/>
        <v>0</v>
      </c>
      <c r="AY904" s="34">
        <f t="shared" si="831"/>
        <v>0</v>
      </c>
      <c r="AZ904" s="37">
        <f t="shared" si="832"/>
        <v>0</v>
      </c>
      <c r="BA904" s="37">
        <f t="shared" si="833"/>
        <v>0</v>
      </c>
      <c r="BB904" s="35">
        <f t="shared" si="834"/>
        <v>1.5967358207888971E-3</v>
      </c>
      <c r="BC904" s="31">
        <f t="shared" si="835"/>
        <v>0.23789731353082683</v>
      </c>
      <c r="BD904" s="34">
        <f t="shared" si="836"/>
        <v>0</v>
      </c>
    </row>
    <row r="905" spans="1:56" x14ac:dyDescent="0.2">
      <c r="A905" s="27">
        <f t="shared" si="837"/>
        <v>901</v>
      </c>
      <c r="B905" s="28">
        <f t="shared" si="784"/>
        <v>901</v>
      </c>
      <c r="C905" s="27">
        <f t="shared" si="785"/>
        <v>75</v>
      </c>
      <c r="D905" s="28">
        <f t="shared" si="786"/>
        <v>95</v>
      </c>
      <c r="E905" s="29">
        <f t="shared" si="787"/>
        <v>0</v>
      </c>
      <c r="F905" s="30">
        <f t="shared" si="788"/>
        <v>8.7945172398250643E-2</v>
      </c>
      <c r="G905" s="31">
        <f t="shared" si="789"/>
        <v>7.641915341566663E-3</v>
      </c>
      <c r="H905" s="32">
        <f t="shared" si="790"/>
        <v>0.02</v>
      </c>
      <c r="I905" s="32">
        <f t="shared" si="791"/>
        <v>0</v>
      </c>
      <c r="J905" s="33">
        <f t="shared" si="838"/>
        <v>0</v>
      </c>
      <c r="K905" s="30">
        <f t="shared" si="792"/>
        <v>0</v>
      </c>
      <c r="L905" s="33">
        <f t="shared" si="793"/>
        <v>0</v>
      </c>
      <c r="M905" s="30">
        <f t="shared" si="794"/>
        <v>0</v>
      </c>
      <c r="N905" s="33">
        <f t="shared" si="795"/>
        <v>0</v>
      </c>
      <c r="O905" s="31">
        <f t="shared" si="796"/>
        <v>0</v>
      </c>
      <c r="P905" s="33">
        <f t="shared" si="797"/>
        <v>0</v>
      </c>
      <c r="Q905" s="34">
        <f t="shared" si="839"/>
        <v>1007522.3974221266</v>
      </c>
      <c r="R905" s="29">
        <f t="shared" si="798"/>
        <v>0</v>
      </c>
      <c r="S905" s="34">
        <f t="shared" si="799"/>
        <v>1007522.3974221266</v>
      </c>
      <c r="T905" s="29">
        <f t="shared" si="800"/>
        <v>839.60199785177224</v>
      </c>
      <c r="U905" s="29">
        <f t="shared" si="801"/>
        <v>0</v>
      </c>
      <c r="V905" s="35">
        <f t="shared" si="802"/>
        <v>8.4061068757233307E-3</v>
      </c>
      <c r="W905" s="34">
        <f t="shared" si="803"/>
        <v>0</v>
      </c>
      <c r="X905" s="34">
        <f t="shared" si="804"/>
        <v>1006682.7954242749</v>
      </c>
      <c r="Y905" s="36">
        <f t="shared" si="805"/>
        <v>-1.1606386250010425E-3</v>
      </c>
      <c r="Z905" s="34">
        <f t="shared" si="806"/>
        <v>-1168.3949354934362</v>
      </c>
      <c r="AA905" s="34">
        <f t="shared" si="807"/>
        <v>1006098.5979565282</v>
      </c>
      <c r="AB905" s="34">
        <f t="shared" si="808"/>
        <v>0</v>
      </c>
      <c r="AC905" s="34">
        <f t="shared" si="809"/>
        <v>0</v>
      </c>
      <c r="AD905" s="34">
        <f t="shared" si="810"/>
        <v>0</v>
      </c>
      <c r="AE905" s="34">
        <f t="shared" si="811"/>
        <v>0</v>
      </c>
      <c r="AF905" s="34">
        <f t="shared" si="812"/>
        <v>0</v>
      </c>
      <c r="AG905" s="29">
        <f t="shared" si="813"/>
        <v>1006098.5979565282</v>
      </c>
      <c r="AH905" s="34">
        <f t="shared" si="814"/>
        <v>0</v>
      </c>
      <c r="AI905" s="34">
        <f t="shared" si="815"/>
        <v>0</v>
      </c>
      <c r="AJ905" s="34">
        <f t="shared" si="816"/>
        <v>0</v>
      </c>
      <c r="AK905" s="34">
        <f t="shared" si="817"/>
        <v>0</v>
      </c>
      <c r="AL905" s="34">
        <f t="shared" si="818"/>
        <v>0</v>
      </c>
      <c r="AM905" s="34">
        <f t="shared" si="819"/>
        <v>0</v>
      </c>
      <c r="AN905" s="34">
        <f t="shared" si="820"/>
        <v>0</v>
      </c>
      <c r="AO905" s="34">
        <f t="shared" si="821"/>
        <v>0</v>
      </c>
      <c r="AP905" s="34">
        <f t="shared" si="822"/>
        <v>0</v>
      </c>
      <c r="AQ905" s="34">
        <f t="shared" si="823"/>
        <v>0</v>
      </c>
      <c r="AR905" s="34">
        <f t="shared" si="824"/>
        <v>0</v>
      </c>
      <c r="AS905" s="30">
        <f t="shared" si="825"/>
        <v>2.1108780708086323</v>
      </c>
      <c r="AT905" s="29">
        <f t="shared" si="826"/>
        <v>0</v>
      </c>
      <c r="AU905" s="29">
        <f t="shared" si="827"/>
        <v>0</v>
      </c>
      <c r="AV905" s="34">
        <f t="shared" si="828"/>
        <v>0</v>
      </c>
      <c r="AW905" s="34">
        <f t="shared" si="829"/>
        <v>0</v>
      </c>
      <c r="AX905" s="29">
        <f t="shared" si="830"/>
        <v>0</v>
      </c>
      <c r="AY905" s="34">
        <f t="shared" si="831"/>
        <v>0</v>
      </c>
      <c r="AZ905" s="37">
        <f t="shared" si="832"/>
        <v>0</v>
      </c>
      <c r="BA905" s="37">
        <f t="shared" si="833"/>
        <v>0</v>
      </c>
      <c r="BB905" s="35">
        <f t="shared" si="834"/>
        <v>1.5967358207888971E-3</v>
      </c>
      <c r="BC905" s="31">
        <f t="shared" si="835"/>
        <v>0.23751805993644209</v>
      </c>
      <c r="BD905" s="34">
        <f t="shared" si="836"/>
        <v>0</v>
      </c>
    </row>
    <row r="906" spans="1:56" x14ac:dyDescent="0.2">
      <c r="A906" s="27">
        <f t="shared" si="837"/>
        <v>902</v>
      </c>
      <c r="B906" s="28">
        <f t="shared" si="784"/>
        <v>902</v>
      </c>
      <c r="C906" s="27">
        <f t="shared" si="785"/>
        <v>75</v>
      </c>
      <c r="D906" s="28">
        <f t="shared" si="786"/>
        <v>95</v>
      </c>
      <c r="E906" s="29">
        <f t="shared" si="787"/>
        <v>0</v>
      </c>
      <c r="F906" s="30">
        <f t="shared" si="788"/>
        <v>8.7945172398250643E-2</v>
      </c>
      <c r="G906" s="31">
        <f t="shared" si="789"/>
        <v>7.641915341566663E-3</v>
      </c>
      <c r="H906" s="32">
        <f t="shared" si="790"/>
        <v>0.02</v>
      </c>
      <c r="I906" s="32">
        <f t="shared" si="791"/>
        <v>0</v>
      </c>
      <c r="J906" s="33">
        <f t="shared" si="838"/>
        <v>0</v>
      </c>
      <c r="K906" s="30">
        <f t="shared" si="792"/>
        <v>0</v>
      </c>
      <c r="L906" s="33">
        <f t="shared" si="793"/>
        <v>0</v>
      </c>
      <c r="M906" s="30">
        <f t="shared" si="794"/>
        <v>0</v>
      </c>
      <c r="N906" s="33">
        <f t="shared" si="795"/>
        <v>0</v>
      </c>
      <c r="O906" s="31">
        <f t="shared" si="796"/>
        <v>0</v>
      </c>
      <c r="P906" s="33">
        <f t="shared" si="797"/>
        <v>0</v>
      </c>
      <c r="Q906" s="34">
        <f t="shared" si="839"/>
        <v>1005514.4004887814</v>
      </c>
      <c r="R906" s="29">
        <f t="shared" si="798"/>
        <v>0</v>
      </c>
      <c r="S906" s="34">
        <f t="shared" si="799"/>
        <v>1005514.4004887814</v>
      </c>
      <c r="T906" s="29">
        <f t="shared" si="800"/>
        <v>837.92866707398457</v>
      </c>
      <c r="U906" s="29">
        <f t="shared" si="801"/>
        <v>0</v>
      </c>
      <c r="V906" s="35">
        <f t="shared" si="802"/>
        <v>8.4061068757233307E-3</v>
      </c>
      <c r="W906" s="34">
        <f t="shared" si="803"/>
        <v>0</v>
      </c>
      <c r="X906" s="34">
        <f t="shared" si="804"/>
        <v>1004676.4718217074</v>
      </c>
      <c r="Y906" s="36">
        <f t="shared" si="805"/>
        <v>-1.0762138148947886E-2</v>
      </c>
      <c r="Z906" s="34">
        <f t="shared" si="806"/>
        <v>-10812.466984742763</v>
      </c>
      <c r="AA906" s="34">
        <f t="shared" si="807"/>
        <v>999270.23832933605</v>
      </c>
      <c r="AB906" s="34">
        <f t="shared" si="808"/>
        <v>0</v>
      </c>
      <c r="AC906" s="34">
        <f t="shared" si="809"/>
        <v>0</v>
      </c>
      <c r="AD906" s="34">
        <f t="shared" si="810"/>
        <v>0</v>
      </c>
      <c r="AE906" s="34">
        <f t="shared" si="811"/>
        <v>0</v>
      </c>
      <c r="AF906" s="34">
        <f t="shared" si="812"/>
        <v>0</v>
      </c>
      <c r="AG906" s="29">
        <f t="shared" si="813"/>
        <v>999270.23832933605</v>
      </c>
      <c r="AH906" s="34">
        <f t="shared" si="814"/>
        <v>0</v>
      </c>
      <c r="AI906" s="34">
        <f t="shared" si="815"/>
        <v>0</v>
      </c>
      <c r="AJ906" s="34">
        <f t="shared" si="816"/>
        <v>0</v>
      </c>
      <c r="AK906" s="34">
        <f t="shared" si="817"/>
        <v>0</v>
      </c>
      <c r="AL906" s="34">
        <f t="shared" si="818"/>
        <v>0</v>
      </c>
      <c r="AM906" s="34">
        <f t="shared" si="819"/>
        <v>0</v>
      </c>
      <c r="AN906" s="34">
        <f t="shared" si="820"/>
        <v>0</v>
      </c>
      <c r="AO906" s="34">
        <f t="shared" si="821"/>
        <v>0</v>
      </c>
      <c r="AP906" s="34">
        <f t="shared" si="822"/>
        <v>0</v>
      </c>
      <c r="AQ906" s="34">
        <f t="shared" si="823"/>
        <v>0</v>
      </c>
      <c r="AR906" s="34">
        <f t="shared" si="824"/>
        <v>0</v>
      </c>
      <c r="AS906" s="30">
        <f t="shared" si="825"/>
        <v>2.1126291246231061</v>
      </c>
      <c r="AT906" s="29">
        <f t="shared" si="826"/>
        <v>0</v>
      </c>
      <c r="AU906" s="29">
        <f t="shared" si="827"/>
        <v>0</v>
      </c>
      <c r="AV906" s="34">
        <f t="shared" si="828"/>
        <v>0</v>
      </c>
      <c r="AW906" s="34">
        <f t="shared" si="829"/>
        <v>0</v>
      </c>
      <c r="AX906" s="29">
        <f t="shared" si="830"/>
        <v>0</v>
      </c>
      <c r="AY906" s="34">
        <f t="shared" si="831"/>
        <v>0</v>
      </c>
      <c r="AZ906" s="37">
        <f t="shared" si="832"/>
        <v>0</v>
      </c>
      <c r="BA906" s="37">
        <f t="shared" si="833"/>
        <v>0</v>
      </c>
      <c r="BB906" s="35">
        <f t="shared" si="834"/>
        <v>1.5967358207888971E-3</v>
      </c>
      <c r="BC906" s="31">
        <f t="shared" si="835"/>
        <v>0.23713941094446628</v>
      </c>
      <c r="BD906" s="34">
        <f t="shared" si="836"/>
        <v>0</v>
      </c>
    </row>
    <row r="907" spans="1:56" x14ac:dyDescent="0.2">
      <c r="A907" s="27">
        <f t="shared" si="837"/>
        <v>903</v>
      </c>
      <c r="B907" s="28">
        <f t="shared" si="784"/>
        <v>903</v>
      </c>
      <c r="C907" s="27">
        <f t="shared" si="785"/>
        <v>75</v>
      </c>
      <c r="D907" s="28">
        <f t="shared" si="786"/>
        <v>95</v>
      </c>
      <c r="E907" s="29">
        <f t="shared" si="787"/>
        <v>0</v>
      </c>
      <c r="F907" s="30">
        <f t="shared" si="788"/>
        <v>8.7945172398250643E-2</v>
      </c>
      <c r="G907" s="31">
        <f t="shared" si="789"/>
        <v>7.641915341566663E-3</v>
      </c>
      <c r="H907" s="32">
        <f t="shared" si="790"/>
        <v>0.02</v>
      </c>
      <c r="I907" s="32">
        <f t="shared" si="791"/>
        <v>0</v>
      </c>
      <c r="J907" s="33">
        <f t="shared" si="838"/>
        <v>0</v>
      </c>
      <c r="K907" s="30">
        <f t="shared" si="792"/>
        <v>0</v>
      </c>
      <c r="L907" s="33">
        <f t="shared" si="793"/>
        <v>0</v>
      </c>
      <c r="M907" s="30">
        <f t="shared" si="794"/>
        <v>0</v>
      </c>
      <c r="N907" s="33">
        <f t="shared" si="795"/>
        <v>0</v>
      </c>
      <c r="O907" s="31">
        <f t="shared" si="796"/>
        <v>0</v>
      </c>
      <c r="P907" s="33">
        <f t="shared" si="797"/>
        <v>0</v>
      </c>
      <c r="Q907" s="34">
        <f t="shared" si="839"/>
        <v>993864.00483696465</v>
      </c>
      <c r="R907" s="29">
        <f t="shared" si="798"/>
        <v>0</v>
      </c>
      <c r="S907" s="34">
        <f t="shared" si="799"/>
        <v>993864.00483696465</v>
      </c>
      <c r="T907" s="29">
        <f t="shared" si="800"/>
        <v>828.22000403080392</v>
      </c>
      <c r="U907" s="29">
        <f t="shared" si="801"/>
        <v>0</v>
      </c>
      <c r="V907" s="35">
        <f t="shared" si="802"/>
        <v>8.4061068757233307E-3</v>
      </c>
      <c r="W907" s="34">
        <f t="shared" si="803"/>
        <v>0</v>
      </c>
      <c r="X907" s="34">
        <f t="shared" si="804"/>
        <v>993035.7848329338</v>
      </c>
      <c r="Y907" s="36">
        <f t="shared" si="805"/>
        <v>-1.0679857254185521E-2</v>
      </c>
      <c r="Z907" s="34">
        <f t="shared" si="806"/>
        <v>-10605.480430313821</v>
      </c>
      <c r="AA907" s="34">
        <f t="shared" si="807"/>
        <v>987733.04461777688</v>
      </c>
      <c r="AB907" s="34">
        <f t="shared" si="808"/>
        <v>0</v>
      </c>
      <c r="AC907" s="34">
        <f t="shared" si="809"/>
        <v>0</v>
      </c>
      <c r="AD907" s="34">
        <f t="shared" si="810"/>
        <v>0</v>
      </c>
      <c r="AE907" s="34">
        <f t="shared" si="811"/>
        <v>0</v>
      </c>
      <c r="AF907" s="34">
        <f t="shared" si="812"/>
        <v>0</v>
      </c>
      <c r="AG907" s="29">
        <f t="shared" si="813"/>
        <v>987733.04461777688</v>
      </c>
      <c r="AH907" s="34">
        <f t="shared" si="814"/>
        <v>0</v>
      </c>
      <c r="AI907" s="34">
        <f t="shared" si="815"/>
        <v>0</v>
      </c>
      <c r="AJ907" s="34">
        <f t="shared" si="816"/>
        <v>0</v>
      </c>
      <c r="AK907" s="34">
        <f t="shared" si="817"/>
        <v>0</v>
      </c>
      <c r="AL907" s="34">
        <f t="shared" si="818"/>
        <v>0</v>
      </c>
      <c r="AM907" s="34">
        <f t="shared" si="819"/>
        <v>0</v>
      </c>
      <c r="AN907" s="34">
        <f t="shared" si="820"/>
        <v>0</v>
      </c>
      <c r="AO907" s="34">
        <f t="shared" si="821"/>
        <v>0</v>
      </c>
      <c r="AP907" s="34">
        <f t="shared" si="822"/>
        <v>0</v>
      </c>
      <c r="AQ907" s="34">
        <f t="shared" si="823"/>
        <v>0</v>
      </c>
      <c r="AR907" s="34">
        <f t="shared" si="824"/>
        <v>0</v>
      </c>
      <c r="AS907" s="30">
        <f t="shared" si="825"/>
        <v>2.1143816310034587</v>
      </c>
      <c r="AT907" s="29">
        <f t="shared" si="826"/>
        <v>0</v>
      </c>
      <c r="AU907" s="29">
        <f t="shared" si="827"/>
        <v>0</v>
      </c>
      <c r="AV907" s="34">
        <f t="shared" si="828"/>
        <v>0</v>
      </c>
      <c r="AW907" s="34">
        <f t="shared" si="829"/>
        <v>0</v>
      </c>
      <c r="AX907" s="29">
        <f t="shared" si="830"/>
        <v>0</v>
      </c>
      <c r="AY907" s="34">
        <f t="shared" si="831"/>
        <v>0</v>
      </c>
      <c r="AZ907" s="37">
        <f t="shared" si="832"/>
        <v>0</v>
      </c>
      <c r="BA907" s="37">
        <f t="shared" si="833"/>
        <v>0</v>
      </c>
      <c r="BB907" s="35">
        <f t="shared" si="834"/>
        <v>1.5967358207888971E-3</v>
      </c>
      <c r="BC907" s="31">
        <f t="shared" si="835"/>
        <v>0.23676136559104818</v>
      </c>
      <c r="BD907" s="34">
        <f t="shared" si="836"/>
        <v>0</v>
      </c>
    </row>
    <row r="908" spans="1:56" x14ac:dyDescent="0.2">
      <c r="A908" s="27">
        <f t="shared" si="837"/>
        <v>904</v>
      </c>
      <c r="B908" s="28">
        <f t="shared" si="784"/>
        <v>904</v>
      </c>
      <c r="C908" s="27">
        <f t="shared" si="785"/>
        <v>75</v>
      </c>
      <c r="D908" s="28">
        <f t="shared" si="786"/>
        <v>95</v>
      </c>
      <c r="E908" s="29">
        <f t="shared" si="787"/>
        <v>0</v>
      </c>
      <c r="F908" s="30">
        <f t="shared" si="788"/>
        <v>8.7945172398250643E-2</v>
      </c>
      <c r="G908" s="31">
        <f t="shared" si="789"/>
        <v>7.641915341566663E-3</v>
      </c>
      <c r="H908" s="32">
        <f t="shared" si="790"/>
        <v>0.02</v>
      </c>
      <c r="I908" s="32">
        <f t="shared" si="791"/>
        <v>0</v>
      </c>
      <c r="J908" s="33">
        <f t="shared" si="838"/>
        <v>0</v>
      </c>
      <c r="K908" s="30">
        <f t="shared" si="792"/>
        <v>0</v>
      </c>
      <c r="L908" s="33">
        <f t="shared" si="793"/>
        <v>0</v>
      </c>
      <c r="M908" s="30">
        <f t="shared" si="794"/>
        <v>0</v>
      </c>
      <c r="N908" s="33">
        <f t="shared" si="795"/>
        <v>0</v>
      </c>
      <c r="O908" s="31">
        <f t="shared" si="796"/>
        <v>0</v>
      </c>
      <c r="P908" s="33">
        <f t="shared" si="797"/>
        <v>0</v>
      </c>
      <c r="Q908" s="34">
        <f t="shared" si="839"/>
        <v>982430.30440261995</v>
      </c>
      <c r="R908" s="29">
        <f t="shared" si="798"/>
        <v>0</v>
      </c>
      <c r="S908" s="34">
        <f t="shared" si="799"/>
        <v>982430.30440261995</v>
      </c>
      <c r="T908" s="29">
        <f t="shared" si="800"/>
        <v>818.69192033551667</v>
      </c>
      <c r="U908" s="29">
        <f t="shared" si="801"/>
        <v>0</v>
      </c>
      <c r="V908" s="35">
        <f t="shared" si="802"/>
        <v>8.4061068757233307E-3</v>
      </c>
      <c r="W908" s="34">
        <f t="shared" si="803"/>
        <v>0</v>
      </c>
      <c r="X908" s="34">
        <f t="shared" si="804"/>
        <v>981611.61248228443</v>
      </c>
      <c r="Y908" s="36">
        <f t="shared" si="805"/>
        <v>5.9356772883627507E-3</v>
      </c>
      <c r="Z908" s="34">
        <f t="shared" si="806"/>
        <v>5826.5297542042335</v>
      </c>
      <c r="AA908" s="34">
        <f t="shared" si="807"/>
        <v>984524.87735938653</v>
      </c>
      <c r="AB908" s="34">
        <f t="shared" si="808"/>
        <v>0</v>
      </c>
      <c r="AC908" s="34">
        <f t="shared" si="809"/>
        <v>0</v>
      </c>
      <c r="AD908" s="34">
        <f t="shared" si="810"/>
        <v>0</v>
      </c>
      <c r="AE908" s="34">
        <f t="shared" si="811"/>
        <v>0</v>
      </c>
      <c r="AF908" s="34">
        <f t="shared" si="812"/>
        <v>0</v>
      </c>
      <c r="AG908" s="29">
        <f t="shared" si="813"/>
        <v>984524.87735938653</v>
      </c>
      <c r="AH908" s="34">
        <f t="shared" si="814"/>
        <v>0</v>
      </c>
      <c r="AI908" s="34">
        <f t="shared" si="815"/>
        <v>0</v>
      </c>
      <c r="AJ908" s="34">
        <f t="shared" si="816"/>
        <v>0</v>
      </c>
      <c r="AK908" s="34">
        <f t="shared" si="817"/>
        <v>0</v>
      </c>
      <c r="AL908" s="34">
        <f t="shared" si="818"/>
        <v>0</v>
      </c>
      <c r="AM908" s="34">
        <f t="shared" si="819"/>
        <v>0</v>
      </c>
      <c r="AN908" s="34">
        <f t="shared" si="820"/>
        <v>0</v>
      </c>
      <c r="AO908" s="34">
        <f t="shared" si="821"/>
        <v>0</v>
      </c>
      <c r="AP908" s="34">
        <f t="shared" si="822"/>
        <v>0</v>
      </c>
      <c r="AQ908" s="34">
        <f t="shared" si="823"/>
        <v>0</v>
      </c>
      <c r="AR908" s="34">
        <f t="shared" si="824"/>
        <v>0</v>
      </c>
      <c r="AS908" s="30">
        <f t="shared" si="825"/>
        <v>2.1161355911546496</v>
      </c>
      <c r="AT908" s="29">
        <f t="shared" si="826"/>
        <v>0</v>
      </c>
      <c r="AU908" s="29">
        <f t="shared" si="827"/>
        <v>0</v>
      </c>
      <c r="AV908" s="34">
        <f t="shared" si="828"/>
        <v>0</v>
      </c>
      <c r="AW908" s="34">
        <f t="shared" si="829"/>
        <v>0</v>
      </c>
      <c r="AX908" s="29">
        <f t="shared" si="830"/>
        <v>0</v>
      </c>
      <c r="AY908" s="34">
        <f t="shared" si="831"/>
        <v>0</v>
      </c>
      <c r="AZ908" s="37">
        <f t="shared" si="832"/>
        <v>0</v>
      </c>
      <c r="BA908" s="37">
        <f t="shared" si="833"/>
        <v>0</v>
      </c>
      <c r="BB908" s="35">
        <f t="shared" si="834"/>
        <v>1.5967358207888971E-3</v>
      </c>
      <c r="BC908" s="31">
        <f t="shared" si="835"/>
        <v>0.236383922913873</v>
      </c>
      <c r="BD908" s="34">
        <f t="shared" si="836"/>
        <v>0</v>
      </c>
    </row>
    <row r="909" spans="1:56" x14ac:dyDescent="0.2">
      <c r="A909" s="27">
        <f t="shared" si="837"/>
        <v>905</v>
      </c>
      <c r="B909" s="28">
        <f t="shared" si="784"/>
        <v>905</v>
      </c>
      <c r="C909" s="27">
        <f t="shared" si="785"/>
        <v>75</v>
      </c>
      <c r="D909" s="28">
        <f t="shared" si="786"/>
        <v>95</v>
      </c>
      <c r="E909" s="29">
        <f t="shared" si="787"/>
        <v>0</v>
      </c>
      <c r="F909" s="30">
        <f t="shared" si="788"/>
        <v>8.7945172398250643E-2</v>
      </c>
      <c r="G909" s="31">
        <f t="shared" si="789"/>
        <v>7.641915341566663E-3</v>
      </c>
      <c r="H909" s="32">
        <f t="shared" si="790"/>
        <v>0.02</v>
      </c>
      <c r="I909" s="32">
        <f t="shared" si="791"/>
        <v>0</v>
      </c>
      <c r="J909" s="33">
        <f t="shared" si="838"/>
        <v>0</v>
      </c>
      <c r="K909" s="30">
        <f t="shared" si="792"/>
        <v>0</v>
      </c>
      <c r="L909" s="33">
        <f t="shared" si="793"/>
        <v>0</v>
      </c>
      <c r="M909" s="30">
        <f t="shared" si="794"/>
        <v>0</v>
      </c>
      <c r="N909" s="33">
        <f t="shared" si="795"/>
        <v>0</v>
      </c>
      <c r="O909" s="31">
        <f t="shared" si="796"/>
        <v>0</v>
      </c>
      <c r="P909" s="33">
        <f t="shared" si="797"/>
        <v>0</v>
      </c>
      <c r="Q909" s="34">
        <f t="shared" si="839"/>
        <v>987438.14223648864</v>
      </c>
      <c r="R909" s="29">
        <f t="shared" si="798"/>
        <v>0</v>
      </c>
      <c r="S909" s="34">
        <f t="shared" si="799"/>
        <v>987438.14223648864</v>
      </c>
      <c r="T909" s="29">
        <f t="shared" si="800"/>
        <v>822.86511853040724</v>
      </c>
      <c r="U909" s="29">
        <f t="shared" si="801"/>
        <v>0</v>
      </c>
      <c r="V909" s="35">
        <f t="shared" si="802"/>
        <v>8.4061068757233307E-3</v>
      </c>
      <c r="W909" s="34">
        <f t="shared" si="803"/>
        <v>0</v>
      </c>
      <c r="X909" s="34">
        <f t="shared" si="804"/>
        <v>986615.27711795818</v>
      </c>
      <c r="Y909" s="36">
        <f t="shared" si="805"/>
        <v>6.7807871979412848E-3</v>
      </c>
      <c r="Z909" s="34">
        <f t="shared" si="806"/>
        <v>6690.0282403747442</v>
      </c>
      <c r="AA909" s="34">
        <f t="shared" si="807"/>
        <v>989960.29123814555</v>
      </c>
      <c r="AB909" s="34">
        <f t="shared" si="808"/>
        <v>0</v>
      </c>
      <c r="AC909" s="34">
        <f t="shared" si="809"/>
        <v>0</v>
      </c>
      <c r="AD909" s="34">
        <f t="shared" si="810"/>
        <v>0</v>
      </c>
      <c r="AE909" s="34">
        <f t="shared" si="811"/>
        <v>0</v>
      </c>
      <c r="AF909" s="34">
        <f t="shared" si="812"/>
        <v>0</v>
      </c>
      <c r="AG909" s="29">
        <f t="shared" si="813"/>
        <v>989960.29123814555</v>
      </c>
      <c r="AH909" s="34">
        <f t="shared" si="814"/>
        <v>0</v>
      </c>
      <c r="AI909" s="34">
        <f t="shared" si="815"/>
        <v>0</v>
      </c>
      <c r="AJ909" s="34">
        <f t="shared" si="816"/>
        <v>0</v>
      </c>
      <c r="AK909" s="34">
        <f t="shared" si="817"/>
        <v>0</v>
      </c>
      <c r="AL909" s="34">
        <f t="shared" si="818"/>
        <v>0</v>
      </c>
      <c r="AM909" s="34">
        <f t="shared" si="819"/>
        <v>0</v>
      </c>
      <c r="AN909" s="34">
        <f t="shared" si="820"/>
        <v>0</v>
      </c>
      <c r="AO909" s="34">
        <f t="shared" si="821"/>
        <v>0</v>
      </c>
      <c r="AP909" s="34">
        <f t="shared" si="822"/>
        <v>0</v>
      </c>
      <c r="AQ909" s="34">
        <f t="shared" si="823"/>
        <v>0</v>
      </c>
      <c r="AR909" s="34">
        <f t="shared" si="824"/>
        <v>0</v>
      </c>
      <c r="AS909" s="30">
        <f t="shared" si="825"/>
        <v>2.1178910062826373</v>
      </c>
      <c r="AT909" s="29">
        <f t="shared" si="826"/>
        <v>0</v>
      </c>
      <c r="AU909" s="29">
        <f t="shared" si="827"/>
        <v>0</v>
      </c>
      <c r="AV909" s="34">
        <f t="shared" si="828"/>
        <v>0</v>
      </c>
      <c r="AW909" s="34">
        <f t="shared" si="829"/>
        <v>0</v>
      </c>
      <c r="AX909" s="29">
        <f t="shared" si="830"/>
        <v>0</v>
      </c>
      <c r="AY909" s="34">
        <f t="shared" si="831"/>
        <v>0</v>
      </c>
      <c r="AZ909" s="37">
        <f t="shared" si="832"/>
        <v>0</v>
      </c>
      <c r="BA909" s="37">
        <f t="shared" si="833"/>
        <v>0</v>
      </c>
      <c r="BB909" s="35">
        <f t="shared" si="834"/>
        <v>1.5967358207888971E-3</v>
      </c>
      <c r="BC909" s="31">
        <f t="shared" si="835"/>
        <v>0.23600708195216011</v>
      </c>
      <c r="BD909" s="34">
        <f t="shared" si="836"/>
        <v>0</v>
      </c>
    </row>
    <row r="910" spans="1:56" x14ac:dyDescent="0.2">
      <c r="A910" s="27">
        <f t="shared" si="837"/>
        <v>906</v>
      </c>
      <c r="B910" s="28">
        <f t="shared" si="784"/>
        <v>906</v>
      </c>
      <c r="C910" s="27">
        <f t="shared" si="785"/>
        <v>75</v>
      </c>
      <c r="D910" s="28">
        <f t="shared" si="786"/>
        <v>95</v>
      </c>
      <c r="E910" s="29">
        <f t="shared" si="787"/>
        <v>0</v>
      </c>
      <c r="F910" s="30">
        <f t="shared" si="788"/>
        <v>8.7945172398250643E-2</v>
      </c>
      <c r="G910" s="31">
        <f t="shared" si="789"/>
        <v>7.641915341566663E-3</v>
      </c>
      <c r="H910" s="32">
        <f t="shared" si="790"/>
        <v>0.02</v>
      </c>
      <c r="I910" s="32">
        <f t="shared" si="791"/>
        <v>0</v>
      </c>
      <c r="J910" s="33">
        <f t="shared" si="838"/>
        <v>0</v>
      </c>
      <c r="K910" s="30">
        <f t="shared" si="792"/>
        <v>0</v>
      </c>
      <c r="L910" s="33">
        <f t="shared" si="793"/>
        <v>0</v>
      </c>
      <c r="M910" s="30">
        <f t="shared" si="794"/>
        <v>0</v>
      </c>
      <c r="N910" s="33">
        <f t="shared" si="795"/>
        <v>0</v>
      </c>
      <c r="O910" s="31">
        <f t="shared" si="796"/>
        <v>0</v>
      </c>
      <c r="P910" s="33">
        <f t="shared" si="797"/>
        <v>0</v>
      </c>
      <c r="Q910" s="34">
        <f t="shared" si="839"/>
        <v>993305.30535833293</v>
      </c>
      <c r="R910" s="29">
        <f t="shared" si="798"/>
        <v>0</v>
      </c>
      <c r="S910" s="34">
        <f t="shared" si="799"/>
        <v>993305.30535833293</v>
      </c>
      <c r="T910" s="29">
        <f t="shared" si="800"/>
        <v>827.75442113194413</v>
      </c>
      <c r="U910" s="29">
        <f t="shared" si="801"/>
        <v>0</v>
      </c>
      <c r="V910" s="35">
        <f t="shared" si="802"/>
        <v>8.4061068757233307E-3</v>
      </c>
      <c r="W910" s="34">
        <f t="shared" si="803"/>
        <v>0</v>
      </c>
      <c r="X910" s="34">
        <f t="shared" si="804"/>
        <v>992477.55093720101</v>
      </c>
      <c r="Y910" s="36">
        <f t="shared" si="805"/>
        <v>-4.1443753855763266E-3</v>
      </c>
      <c r="Z910" s="34">
        <f t="shared" si="806"/>
        <v>-4113.1995328412104</v>
      </c>
      <c r="AA910" s="34">
        <f t="shared" si="807"/>
        <v>990420.95117078046</v>
      </c>
      <c r="AB910" s="34">
        <f t="shared" si="808"/>
        <v>0</v>
      </c>
      <c r="AC910" s="34">
        <f t="shared" si="809"/>
        <v>0</v>
      </c>
      <c r="AD910" s="34">
        <f t="shared" si="810"/>
        <v>0</v>
      </c>
      <c r="AE910" s="34">
        <f t="shared" si="811"/>
        <v>0</v>
      </c>
      <c r="AF910" s="34">
        <f t="shared" si="812"/>
        <v>0</v>
      </c>
      <c r="AG910" s="29">
        <f t="shared" si="813"/>
        <v>990420.95117078046</v>
      </c>
      <c r="AH910" s="34">
        <f t="shared" si="814"/>
        <v>0</v>
      </c>
      <c r="AI910" s="34">
        <f t="shared" si="815"/>
        <v>0</v>
      </c>
      <c r="AJ910" s="34">
        <f t="shared" si="816"/>
        <v>0</v>
      </c>
      <c r="AK910" s="34">
        <f t="shared" si="817"/>
        <v>0</v>
      </c>
      <c r="AL910" s="34">
        <f t="shared" si="818"/>
        <v>0</v>
      </c>
      <c r="AM910" s="34">
        <f t="shared" si="819"/>
        <v>0</v>
      </c>
      <c r="AN910" s="34">
        <f t="shared" si="820"/>
        <v>0</v>
      </c>
      <c r="AO910" s="34">
        <f t="shared" si="821"/>
        <v>0</v>
      </c>
      <c r="AP910" s="34">
        <f t="shared" si="822"/>
        <v>0</v>
      </c>
      <c r="AQ910" s="34">
        <f t="shared" si="823"/>
        <v>0</v>
      </c>
      <c r="AR910" s="34">
        <f t="shared" si="824"/>
        <v>0</v>
      </c>
      <c r="AS910" s="30">
        <f t="shared" si="825"/>
        <v>2.1196478775943794</v>
      </c>
      <c r="AT910" s="29">
        <f t="shared" si="826"/>
        <v>0</v>
      </c>
      <c r="AU910" s="29">
        <f t="shared" si="827"/>
        <v>0</v>
      </c>
      <c r="AV910" s="34">
        <f t="shared" si="828"/>
        <v>0</v>
      </c>
      <c r="AW910" s="34">
        <f t="shared" si="829"/>
        <v>0</v>
      </c>
      <c r="AX910" s="29">
        <f t="shared" si="830"/>
        <v>0</v>
      </c>
      <c r="AY910" s="34">
        <f t="shared" si="831"/>
        <v>0</v>
      </c>
      <c r="AZ910" s="37">
        <f t="shared" si="832"/>
        <v>0</v>
      </c>
      <c r="BA910" s="37">
        <f t="shared" si="833"/>
        <v>0</v>
      </c>
      <c r="BB910" s="35">
        <f t="shared" si="834"/>
        <v>1.5967358207888971E-3</v>
      </c>
      <c r="BC910" s="31">
        <f t="shared" si="835"/>
        <v>0.23563084174666052</v>
      </c>
      <c r="BD910" s="34">
        <f t="shared" si="836"/>
        <v>0</v>
      </c>
    </row>
    <row r="911" spans="1:56" x14ac:dyDescent="0.2">
      <c r="A911" s="27">
        <f t="shared" si="837"/>
        <v>907</v>
      </c>
      <c r="B911" s="28">
        <f t="shared" si="784"/>
        <v>907</v>
      </c>
      <c r="C911" s="27">
        <f t="shared" si="785"/>
        <v>75</v>
      </c>
      <c r="D911" s="28">
        <f t="shared" si="786"/>
        <v>95</v>
      </c>
      <c r="E911" s="29">
        <f t="shared" si="787"/>
        <v>0</v>
      </c>
      <c r="F911" s="30">
        <f t="shared" si="788"/>
        <v>8.7945172398250643E-2</v>
      </c>
      <c r="G911" s="31">
        <f t="shared" si="789"/>
        <v>7.641915341566663E-3</v>
      </c>
      <c r="H911" s="32">
        <f t="shared" si="790"/>
        <v>0.02</v>
      </c>
      <c r="I911" s="32">
        <f t="shared" si="791"/>
        <v>0</v>
      </c>
      <c r="J911" s="33">
        <f t="shared" si="838"/>
        <v>0</v>
      </c>
      <c r="K911" s="30">
        <f t="shared" si="792"/>
        <v>0</v>
      </c>
      <c r="L911" s="33">
        <f t="shared" si="793"/>
        <v>0</v>
      </c>
      <c r="M911" s="30">
        <f t="shared" si="794"/>
        <v>0</v>
      </c>
      <c r="N911" s="33">
        <f t="shared" si="795"/>
        <v>0</v>
      </c>
      <c r="O911" s="31">
        <f t="shared" si="796"/>
        <v>0</v>
      </c>
      <c r="P911" s="33">
        <f t="shared" si="797"/>
        <v>0</v>
      </c>
      <c r="Q911" s="34">
        <f t="shared" si="839"/>
        <v>988364.3514043598</v>
      </c>
      <c r="R911" s="29">
        <f t="shared" si="798"/>
        <v>0</v>
      </c>
      <c r="S911" s="34">
        <f t="shared" si="799"/>
        <v>988364.3514043598</v>
      </c>
      <c r="T911" s="29">
        <f t="shared" si="800"/>
        <v>823.63695950363319</v>
      </c>
      <c r="U911" s="29">
        <f t="shared" si="801"/>
        <v>0</v>
      </c>
      <c r="V911" s="35">
        <f t="shared" si="802"/>
        <v>8.4061068757233307E-3</v>
      </c>
      <c r="W911" s="34">
        <f t="shared" si="803"/>
        <v>0</v>
      </c>
      <c r="X911" s="34">
        <f t="shared" si="804"/>
        <v>987540.71444485616</v>
      </c>
      <c r="Y911" s="36">
        <f t="shared" si="805"/>
        <v>-1.2556911818980554E-2</v>
      </c>
      <c r="Z911" s="34">
        <f t="shared" si="806"/>
        <v>-12400.461668937114</v>
      </c>
      <c r="AA911" s="34">
        <f t="shared" si="807"/>
        <v>981340.48361038766</v>
      </c>
      <c r="AB911" s="34">
        <f t="shared" si="808"/>
        <v>0</v>
      </c>
      <c r="AC911" s="34">
        <f t="shared" si="809"/>
        <v>0</v>
      </c>
      <c r="AD911" s="34">
        <f t="shared" si="810"/>
        <v>0</v>
      </c>
      <c r="AE911" s="34">
        <f t="shared" si="811"/>
        <v>0</v>
      </c>
      <c r="AF911" s="34">
        <f t="shared" si="812"/>
        <v>0</v>
      </c>
      <c r="AG911" s="29">
        <f t="shared" si="813"/>
        <v>981340.48361038766</v>
      </c>
      <c r="AH911" s="34">
        <f t="shared" si="814"/>
        <v>0</v>
      </c>
      <c r="AI911" s="34">
        <f t="shared" si="815"/>
        <v>0</v>
      </c>
      <c r="AJ911" s="34">
        <f t="shared" si="816"/>
        <v>0</v>
      </c>
      <c r="AK911" s="34">
        <f t="shared" si="817"/>
        <v>0</v>
      </c>
      <c r="AL911" s="34">
        <f t="shared" si="818"/>
        <v>0</v>
      </c>
      <c r="AM911" s="34">
        <f t="shared" si="819"/>
        <v>0</v>
      </c>
      <c r="AN911" s="34">
        <f t="shared" si="820"/>
        <v>0</v>
      </c>
      <c r="AO911" s="34">
        <f t="shared" si="821"/>
        <v>0</v>
      </c>
      <c r="AP911" s="34">
        <f t="shared" si="822"/>
        <v>0</v>
      </c>
      <c r="AQ911" s="34">
        <f t="shared" si="823"/>
        <v>0</v>
      </c>
      <c r="AR911" s="34">
        <f t="shared" si="824"/>
        <v>0</v>
      </c>
      <c r="AS911" s="30">
        <f t="shared" si="825"/>
        <v>2.1214062062978369</v>
      </c>
      <c r="AT911" s="29">
        <f t="shared" si="826"/>
        <v>0</v>
      </c>
      <c r="AU911" s="29">
        <f t="shared" si="827"/>
        <v>0</v>
      </c>
      <c r="AV911" s="34">
        <f t="shared" si="828"/>
        <v>0</v>
      </c>
      <c r="AW911" s="34">
        <f t="shared" si="829"/>
        <v>0</v>
      </c>
      <c r="AX911" s="29">
        <f t="shared" si="830"/>
        <v>0</v>
      </c>
      <c r="AY911" s="34">
        <f t="shared" si="831"/>
        <v>0</v>
      </c>
      <c r="AZ911" s="37">
        <f t="shared" si="832"/>
        <v>0</v>
      </c>
      <c r="BA911" s="37">
        <f t="shared" si="833"/>
        <v>0</v>
      </c>
      <c r="BB911" s="35">
        <f t="shared" si="834"/>
        <v>1.5967358207888971E-3</v>
      </c>
      <c r="BC911" s="31">
        <f t="shared" si="835"/>
        <v>0.23525520133965466</v>
      </c>
      <c r="BD911" s="34">
        <f t="shared" si="836"/>
        <v>0</v>
      </c>
    </row>
    <row r="912" spans="1:56" x14ac:dyDescent="0.2">
      <c r="A912" s="27">
        <f t="shared" si="837"/>
        <v>908</v>
      </c>
      <c r="B912" s="28">
        <f t="shared" si="784"/>
        <v>908</v>
      </c>
      <c r="C912" s="27">
        <f t="shared" si="785"/>
        <v>75</v>
      </c>
      <c r="D912" s="28">
        <f t="shared" si="786"/>
        <v>95</v>
      </c>
      <c r="E912" s="29">
        <f t="shared" si="787"/>
        <v>0</v>
      </c>
      <c r="F912" s="30">
        <f t="shared" si="788"/>
        <v>8.7945172398250643E-2</v>
      </c>
      <c r="G912" s="31">
        <f t="shared" si="789"/>
        <v>7.641915341566663E-3</v>
      </c>
      <c r="H912" s="32">
        <f t="shared" si="790"/>
        <v>0.02</v>
      </c>
      <c r="I912" s="32">
        <f t="shared" si="791"/>
        <v>0</v>
      </c>
      <c r="J912" s="33">
        <f t="shared" si="838"/>
        <v>0</v>
      </c>
      <c r="K912" s="30">
        <f t="shared" si="792"/>
        <v>0</v>
      </c>
      <c r="L912" s="33">
        <f t="shared" si="793"/>
        <v>0</v>
      </c>
      <c r="M912" s="30">
        <f t="shared" si="794"/>
        <v>0</v>
      </c>
      <c r="N912" s="33">
        <f t="shared" si="795"/>
        <v>0</v>
      </c>
      <c r="O912" s="31">
        <f t="shared" si="796"/>
        <v>0</v>
      </c>
      <c r="P912" s="33">
        <f t="shared" si="797"/>
        <v>0</v>
      </c>
      <c r="Q912" s="34">
        <f t="shared" si="839"/>
        <v>975140.25277591904</v>
      </c>
      <c r="R912" s="29">
        <f t="shared" si="798"/>
        <v>0</v>
      </c>
      <c r="S912" s="34">
        <f t="shared" si="799"/>
        <v>975140.25277591904</v>
      </c>
      <c r="T912" s="29">
        <f t="shared" si="800"/>
        <v>812.61687731326595</v>
      </c>
      <c r="U912" s="29">
        <f t="shared" si="801"/>
        <v>0</v>
      </c>
      <c r="V912" s="35">
        <f t="shared" si="802"/>
        <v>8.4061068757233307E-3</v>
      </c>
      <c r="W912" s="34">
        <f t="shared" si="803"/>
        <v>0</v>
      </c>
      <c r="X912" s="34">
        <f t="shared" si="804"/>
        <v>974327.6358986058</v>
      </c>
      <c r="Y912" s="36">
        <f t="shared" si="805"/>
        <v>-6.7508068852876191E-3</v>
      </c>
      <c r="Z912" s="34">
        <f t="shared" si="806"/>
        <v>-6577.4977129503168</v>
      </c>
      <c r="AA912" s="34">
        <f t="shared" si="807"/>
        <v>971038.88704213069</v>
      </c>
      <c r="AB912" s="34">
        <f t="shared" si="808"/>
        <v>0</v>
      </c>
      <c r="AC912" s="34">
        <f t="shared" si="809"/>
        <v>0</v>
      </c>
      <c r="AD912" s="34">
        <f t="shared" si="810"/>
        <v>0</v>
      </c>
      <c r="AE912" s="34">
        <f t="shared" si="811"/>
        <v>0</v>
      </c>
      <c r="AF912" s="34">
        <f t="shared" si="812"/>
        <v>0</v>
      </c>
      <c r="AG912" s="29">
        <f t="shared" si="813"/>
        <v>971038.88704213069</v>
      </c>
      <c r="AH912" s="34">
        <f t="shared" si="814"/>
        <v>0</v>
      </c>
      <c r="AI912" s="34">
        <f t="shared" si="815"/>
        <v>0</v>
      </c>
      <c r="AJ912" s="34">
        <f t="shared" si="816"/>
        <v>0</v>
      </c>
      <c r="AK912" s="34">
        <f t="shared" si="817"/>
        <v>0</v>
      </c>
      <c r="AL912" s="34">
        <f t="shared" si="818"/>
        <v>0</v>
      </c>
      <c r="AM912" s="34">
        <f t="shared" si="819"/>
        <v>0</v>
      </c>
      <c r="AN912" s="34">
        <f t="shared" si="820"/>
        <v>0</v>
      </c>
      <c r="AO912" s="34">
        <f t="shared" si="821"/>
        <v>0</v>
      </c>
      <c r="AP912" s="34">
        <f t="shared" si="822"/>
        <v>0</v>
      </c>
      <c r="AQ912" s="34">
        <f t="shared" si="823"/>
        <v>0</v>
      </c>
      <c r="AR912" s="34">
        <f t="shared" si="824"/>
        <v>0</v>
      </c>
      <c r="AS912" s="30">
        <f t="shared" si="825"/>
        <v>2.123165993601972</v>
      </c>
      <c r="AT912" s="29">
        <f t="shared" si="826"/>
        <v>0</v>
      </c>
      <c r="AU912" s="29">
        <f t="shared" si="827"/>
        <v>0</v>
      </c>
      <c r="AV912" s="34">
        <f t="shared" si="828"/>
        <v>0</v>
      </c>
      <c r="AW912" s="34">
        <f t="shared" si="829"/>
        <v>0</v>
      </c>
      <c r="AX912" s="29">
        <f t="shared" si="830"/>
        <v>0</v>
      </c>
      <c r="AY912" s="34">
        <f t="shared" si="831"/>
        <v>0</v>
      </c>
      <c r="AZ912" s="37">
        <f t="shared" si="832"/>
        <v>0</v>
      </c>
      <c r="BA912" s="37">
        <f t="shared" si="833"/>
        <v>0</v>
      </c>
      <c r="BB912" s="35">
        <f t="shared" si="834"/>
        <v>1.5967358207888971E-3</v>
      </c>
      <c r="BC912" s="31">
        <f t="shared" si="835"/>
        <v>0.23488015977494936</v>
      </c>
      <c r="BD912" s="34">
        <f t="shared" si="836"/>
        <v>0</v>
      </c>
    </row>
    <row r="913" spans="1:56" x14ac:dyDescent="0.2">
      <c r="A913" s="27">
        <f t="shared" si="837"/>
        <v>909</v>
      </c>
      <c r="B913" s="28">
        <f t="shared" si="784"/>
        <v>909</v>
      </c>
      <c r="C913" s="27">
        <f t="shared" si="785"/>
        <v>75</v>
      </c>
      <c r="D913" s="28">
        <f t="shared" si="786"/>
        <v>95</v>
      </c>
      <c r="E913" s="29">
        <f t="shared" si="787"/>
        <v>0</v>
      </c>
      <c r="F913" s="30">
        <f t="shared" si="788"/>
        <v>8.7945172398250643E-2</v>
      </c>
      <c r="G913" s="31">
        <f t="shared" si="789"/>
        <v>7.641915341566663E-3</v>
      </c>
      <c r="H913" s="32">
        <f t="shared" si="790"/>
        <v>0.02</v>
      </c>
      <c r="I913" s="32">
        <f t="shared" si="791"/>
        <v>0</v>
      </c>
      <c r="J913" s="33">
        <f t="shared" si="838"/>
        <v>0</v>
      </c>
      <c r="K913" s="30">
        <f t="shared" si="792"/>
        <v>0</v>
      </c>
      <c r="L913" s="33">
        <f t="shared" si="793"/>
        <v>0</v>
      </c>
      <c r="M913" s="30">
        <f t="shared" si="794"/>
        <v>0</v>
      </c>
      <c r="N913" s="33">
        <f t="shared" si="795"/>
        <v>0</v>
      </c>
      <c r="O913" s="31">
        <f t="shared" si="796"/>
        <v>0</v>
      </c>
      <c r="P913" s="33">
        <f t="shared" si="797"/>
        <v>0</v>
      </c>
      <c r="Q913" s="34">
        <f t="shared" si="839"/>
        <v>967750.13818565547</v>
      </c>
      <c r="R913" s="29">
        <f t="shared" si="798"/>
        <v>0</v>
      </c>
      <c r="S913" s="34">
        <f t="shared" si="799"/>
        <v>967750.13818565547</v>
      </c>
      <c r="T913" s="29">
        <f t="shared" si="800"/>
        <v>806.45844848804632</v>
      </c>
      <c r="U913" s="29">
        <f t="shared" si="801"/>
        <v>0</v>
      </c>
      <c r="V913" s="35">
        <f t="shared" si="802"/>
        <v>8.4061068757233307E-3</v>
      </c>
      <c r="W913" s="34">
        <f t="shared" si="803"/>
        <v>0</v>
      </c>
      <c r="X913" s="34">
        <f t="shared" si="804"/>
        <v>966943.67973716743</v>
      </c>
      <c r="Y913" s="36">
        <f t="shared" si="805"/>
        <v>-5.1491263772837081E-3</v>
      </c>
      <c r="Z913" s="34">
        <f t="shared" si="806"/>
        <v>-4978.915206682419</v>
      </c>
      <c r="AA913" s="34">
        <f t="shared" si="807"/>
        <v>964454.22213382623</v>
      </c>
      <c r="AB913" s="34">
        <f t="shared" si="808"/>
        <v>0</v>
      </c>
      <c r="AC913" s="34">
        <f t="shared" si="809"/>
        <v>0</v>
      </c>
      <c r="AD913" s="34">
        <f t="shared" si="810"/>
        <v>0</v>
      </c>
      <c r="AE913" s="34">
        <f t="shared" si="811"/>
        <v>0</v>
      </c>
      <c r="AF913" s="34">
        <f t="shared" si="812"/>
        <v>0</v>
      </c>
      <c r="AG913" s="29">
        <f t="shared" si="813"/>
        <v>964454.22213382623</v>
      </c>
      <c r="AH913" s="34">
        <f t="shared" si="814"/>
        <v>0</v>
      </c>
      <c r="AI913" s="34">
        <f t="shared" si="815"/>
        <v>0</v>
      </c>
      <c r="AJ913" s="34">
        <f t="shared" si="816"/>
        <v>0</v>
      </c>
      <c r="AK913" s="34">
        <f t="shared" si="817"/>
        <v>0</v>
      </c>
      <c r="AL913" s="34">
        <f t="shared" si="818"/>
        <v>0</v>
      </c>
      <c r="AM913" s="34">
        <f t="shared" si="819"/>
        <v>0</v>
      </c>
      <c r="AN913" s="34">
        <f t="shared" si="820"/>
        <v>0</v>
      </c>
      <c r="AO913" s="34">
        <f t="shared" si="821"/>
        <v>0</v>
      </c>
      <c r="AP913" s="34">
        <f t="shared" si="822"/>
        <v>0</v>
      </c>
      <c r="AQ913" s="34">
        <f t="shared" si="823"/>
        <v>0</v>
      </c>
      <c r="AR913" s="34">
        <f t="shared" si="824"/>
        <v>0</v>
      </c>
      <c r="AS913" s="30">
        <f t="shared" si="825"/>
        <v>2.1249272407167488</v>
      </c>
      <c r="AT913" s="29">
        <f t="shared" si="826"/>
        <v>0</v>
      </c>
      <c r="AU913" s="29">
        <f t="shared" si="827"/>
        <v>0</v>
      </c>
      <c r="AV913" s="34">
        <f t="shared" si="828"/>
        <v>0</v>
      </c>
      <c r="AW913" s="34">
        <f t="shared" si="829"/>
        <v>0</v>
      </c>
      <c r="AX913" s="29">
        <f t="shared" si="830"/>
        <v>0</v>
      </c>
      <c r="AY913" s="34">
        <f t="shared" si="831"/>
        <v>0</v>
      </c>
      <c r="AZ913" s="37">
        <f t="shared" si="832"/>
        <v>0</v>
      </c>
      <c r="BA913" s="37">
        <f t="shared" si="833"/>
        <v>0</v>
      </c>
      <c r="BB913" s="35">
        <f t="shared" si="834"/>
        <v>1.5967358207888971E-3</v>
      </c>
      <c r="BC913" s="31">
        <f t="shared" si="835"/>
        <v>0.23450571609787615</v>
      </c>
      <c r="BD913" s="34">
        <f t="shared" si="836"/>
        <v>0</v>
      </c>
    </row>
    <row r="914" spans="1:56" x14ac:dyDescent="0.2">
      <c r="A914" s="27">
        <f t="shared" si="837"/>
        <v>910</v>
      </c>
      <c r="B914" s="28">
        <f t="shared" si="784"/>
        <v>910</v>
      </c>
      <c r="C914" s="27">
        <f t="shared" si="785"/>
        <v>75</v>
      </c>
      <c r="D914" s="28">
        <f t="shared" si="786"/>
        <v>95</v>
      </c>
      <c r="E914" s="29">
        <f t="shared" si="787"/>
        <v>0</v>
      </c>
      <c r="F914" s="30">
        <f t="shared" si="788"/>
        <v>8.7945172398250643E-2</v>
      </c>
      <c r="G914" s="31">
        <f t="shared" si="789"/>
        <v>7.641915341566663E-3</v>
      </c>
      <c r="H914" s="32">
        <f t="shared" si="790"/>
        <v>0.02</v>
      </c>
      <c r="I914" s="32">
        <f t="shared" si="791"/>
        <v>0</v>
      </c>
      <c r="J914" s="33">
        <f t="shared" si="838"/>
        <v>0</v>
      </c>
      <c r="K914" s="30">
        <f t="shared" si="792"/>
        <v>0</v>
      </c>
      <c r="L914" s="33">
        <f t="shared" si="793"/>
        <v>0</v>
      </c>
      <c r="M914" s="30">
        <f t="shared" si="794"/>
        <v>0</v>
      </c>
      <c r="N914" s="33">
        <f t="shared" si="795"/>
        <v>0</v>
      </c>
      <c r="O914" s="31">
        <f t="shared" si="796"/>
        <v>0</v>
      </c>
      <c r="P914" s="33">
        <f t="shared" si="797"/>
        <v>0</v>
      </c>
      <c r="Q914" s="34">
        <f t="shared" si="839"/>
        <v>961964.76453048503</v>
      </c>
      <c r="R914" s="29">
        <f t="shared" si="798"/>
        <v>0</v>
      </c>
      <c r="S914" s="34">
        <f t="shared" si="799"/>
        <v>961964.76453048503</v>
      </c>
      <c r="T914" s="29">
        <f t="shared" si="800"/>
        <v>801.63730377540423</v>
      </c>
      <c r="U914" s="29">
        <f t="shared" si="801"/>
        <v>0</v>
      </c>
      <c r="V914" s="35">
        <f t="shared" si="802"/>
        <v>8.4061068757233307E-3</v>
      </c>
      <c r="W914" s="34">
        <f t="shared" si="803"/>
        <v>0</v>
      </c>
      <c r="X914" s="34">
        <f t="shared" si="804"/>
        <v>961163.12722670962</v>
      </c>
      <c r="Y914" s="36">
        <f t="shared" si="805"/>
        <v>1.9412189819832726E-2</v>
      </c>
      <c r="Z914" s="34">
        <f t="shared" si="806"/>
        <v>18658.281073548918</v>
      </c>
      <c r="AA914" s="34">
        <f t="shared" si="807"/>
        <v>970492.26776348404</v>
      </c>
      <c r="AB914" s="34">
        <f t="shared" si="808"/>
        <v>0</v>
      </c>
      <c r="AC914" s="34">
        <f t="shared" si="809"/>
        <v>0</v>
      </c>
      <c r="AD914" s="34">
        <f t="shared" si="810"/>
        <v>0</v>
      </c>
      <c r="AE914" s="34">
        <f t="shared" si="811"/>
        <v>0</v>
      </c>
      <c r="AF914" s="34">
        <f t="shared" si="812"/>
        <v>0</v>
      </c>
      <c r="AG914" s="29">
        <f t="shared" si="813"/>
        <v>970492.26776348404</v>
      </c>
      <c r="AH914" s="34">
        <f t="shared" si="814"/>
        <v>0</v>
      </c>
      <c r="AI914" s="34">
        <f t="shared" si="815"/>
        <v>0</v>
      </c>
      <c r="AJ914" s="34">
        <f t="shared" si="816"/>
        <v>0</v>
      </c>
      <c r="AK914" s="34">
        <f t="shared" si="817"/>
        <v>0</v>
      </c>
      <c r="AL914" s="34">
        <f t="shared" si="818"/>
        <v>0</v>
      </c>
      <c r="AM914" s="34">
        <f t="shared" si="819"/>
        <v>0</v>
      </c>
      <c r="AN914" s="34">
        <f t="shared" si="820"/>
        <v>0</v>
      </c>
      <c r="AO914" s="34">
        <f t="shared" si="821"/>
        <v>0</v>
      </c>
      <c r="AP914" s="34">
        <f t="shared" si="822"/>
        <v>0</v>
      </c>
      <c r="AQ914" s="34">
        <f t="shared" si="823"/>
        <v>0</v>
      </c>
      <c r="AR914" s="34">
        <f t="shared" si="824"/>
        <v>0</v>
      </c>
      <c r="AS914" s="30">
        <f t="shared" si="825"/>
        <v>2.1266899488531354</v>
      </c>
      <c r="AT914" s="29">
        <f t="shared" si="826"/>
        <v>0</v>
      </c>
      <c r="AU914" s="29">
        <f t="shared" si="827"/>
        <v>0</v>
      </c>
      <c r="AV914" s="34">
        <f t="shared" si="828"/>
        <v>0</v>
      </c>
      <c r="AW914" s="34">
        <f t="shared" si="829"/>
        <v>0</v>
      </c>
      <c r="AX914" s="29">
        <f t="shared" si="830"/>
        <v>0</v>
      </c>
      <c r="AY914" s="34">
        <f t="shared" si="831"/>
        <v>0</v>
      </c>
      <c r="AZ914" s="37">
        <f t="shared" si="832"/>
        <v>0</v>
      </c>
      <c r="BA914" s="37">
        <f t="shared" si="833"/>
        <v>0</v>
      </c>
      <c r="BB914" s="35">
        <f t="shared" si="834"/>
        <v>1.5967358207888971E-3</v>
      </c>
      <c r="BC914" s="31">
        <f t="shared" si="835"/>
        <v>0.23413186935528837</v>
      </c>
      <c r="BD914" s="34">
        <f t="shared" si="836"/>
        <v>0</v>
      </c>
    </row>
    <row r="915" spans="1:56" x14ac:dyDescent="0.2">
      <c r="A915" s="27">
        <f t="shared" si="837"/>
        <v>911</v>
      </c>
      <c r="B915" s="28">
        <f t="shared" si="784"/>
        <v>911</v>
      </c>
      <c r="C915" s="27">
        <f t="shared" si="785"/>
        <v>75</v>
      </c>
      <c r="D915" s="28">
        <f t="shared" si="786"/>
        <v>95</v>
      </c>
      <c r="E915" s="29">
        <f t="shared" si="787"/>
        <v>0</v>
      </c>
      <c r="F915" s="30">
        <f t="shared" si="788"/>
        <v>8.7945172398250643E-2</v>
      </c>
      <c r="G915" s="31">
        <f t="shared" si="789"/>
        <v>7.641915341566663E-3</v>
      </c>
      <c r="H915" s="32">
        <f t="shared" si="790"/>
        <v>0.02</v>
      </c>
      <c r="I915" s="32">
        <f t="shared" si="791"/>
        <v>0</v>
      </c>
      <c r="J915" s="33">
        <f t="shared" si="838"/>
        <v>0</v>
      </c>
      <c r="K915" s="30">
        <f t="shared" si="792"/>
        <v>0</v>
      </c>
      <c r="L915" s="33">
        <f t="shared" si="793"/>
        <v>0</v>
      </c>
      <c r="M915" s="30">
        <f t="shared" si="794"/>
        <v>0</v>
      </c>
      <c r="N915" s="33">
        <f t="shared" si="795"/>
        <v>0</v>
      </c>
      <c r="O915" s="31">
        <f t="shared" si="796"/>
        <v>0</v>
      </c>
      <c r="P915" s="33">
        <f t="shared" si="797"/>
        <v>0</v>
      </c>
      <c r="Q915" s="34">
        <f t="shared" si="839"/>
        <v>979821.40830025857</v>
      </c>
      <c r="R915" s="29">
        <f t="shared" si="798"/>
        <v>0</v>
      </c>
      <c r="S915" s="34">
        <f t="shared" si="799"/>
        <v>979821.40830025857</v>
      </c>
      <c r="T915" s="29">
        <f t="shared" si="800"/>
        <v>816.5178402502155</v>
      </c>
      <c r="U915" s="29">
        <f t="shared" si="801"/>
        <v>0</v>
      </c>
      <c r="V915" s="35">
        <f t="shared" si="802"/>
        <v>8.4061068757233307E-3</v>
      </c>
      <c r="W915" s="34">
        <f t="shared" si="803"/>
        <v>0</v>
      </c>
      <c r="X915" s="34">
        <f t="shared" si="804"/>
        <v>979004.89046000841</v>
      </c>
      <c r="Y915" s="36">
        <f t="shared" si="805"/>
        <v>-2.1143498933213767E-3</v>
      </c>
      <c r="Z915" s="34">
        <f t="shared" si="806"/>
        <v>-2069.9588857052249</v>
      </c>
      <c r="AA915" s="34">
        <f t="shared" si="807"/>
        <v>977969.91101715574</v>
      </c>
      <c r="AB915" s="34">
        <f t="shared" si="808"/>
        <v>0</v>
      </c>
      <c r="AC915" s="34">
        <f t="shared" si="809"/>
        <v>0</v>
      </c>
      <c r="AD915" s="34">
        <f t="shared" si="810"/>
        <v>0</v>
      </c>
      <c r="AE915" s="34">
        <f t="shared" si="811"/>
        <v>0</v>
      </c>
      <c r="AF915" s="34">
        <f t="shared" si="812"/>
        <v>0</v>
      </c>
      <c r="AG915" s="29">
        <f t="shared" si="813"/>
        <v>977969.91101715574</v>
      </c>
      <c r="AH915" s="34">
        <f t="shared" si="814"/>
        <v>0</v>
      </c>
      <c r="AI915" s="34">
        <f t="shared" si="815"/>
        <v>0</v>
      </c>
      <c r="AJ915" s="34">
        <f t="shared" si="816"/>
        <v>0</v>
      </c>
      <c r="AK915" s="34">
        <f t="shared" si="817"/>
        <v>0</v>
      </c>
      <c r="AL915" s="34">
        <f t="shared" si="818"/>
        <v>0</v>
      </c>
      <c r="AM915" s="34">
        <f t="shared" si="819"/>
        <v>0</v>
      </c>
      <c r="AN915" s="34">
        <f t="shared" si="820"/>
        <v>0</v>
      </c>
      <c r="AO915" s="34">
        <f t="shared" si="821"/>
        <v>0</v>
      </c>
      <c r="AP915" s="34">
        <f t="shared" si="822"/>
        <v>0</v>
      </c>
      <c r="AQ915" s="34">
        <f t="shared" si="823"/>
        <v>0</v>
      </c>
      <c r="AR915" s="34">
        <f t="shared" si="824"/>
        <v>0</v>
      </c>
      <c r="AS915" s="30">
        <f t="shared" si="825"/>
        <v>2.1284541192231066</v>
      </c>
      <c r="AT915" s="29">
        <f t="shared" si="826"/>
        <v>0</v>
      </c>
      <c r="AU915" s="29">
        <f t="shared" si="827"/>
        <v>0</v>
      </c>
      <c r="AV915" s="34">
        <f t="shared" si="828"/>
        <v>0</v>
      </c>
      <c r="AW915" s="34">
        <f t="shared" si="829"/>
        <v>0</v>
      </c>
      <c r="AX915" s="29">
        <f t="shared" si="830"/>
        <v>0</v>
      </c>
      <c r="AY915" s="34">
        <f t="shared" si="831"/>
        <v>0</v>
      </c>
      <c r="AZ915" s="37">
        <f t="shared" si="832"/>
        <v>0</v>
      </c>
      <c r="BA915" s="37">
        <f t="shared" si="833"/>
        <v>0</v>
      </c>
      <c r="BB915" s="35">
        <f t="shared" si="834"/>
        <v>1.5967358207888971E-3</v>
      </c>
      <c r="BC915" s="31">
        <f t="shared" si="835"/>
        <v>0.23375861859555869</v>
      </c>
      <c r="BD915" s="34">
        <f t="shared" si="836"/>
        <v>0</v>
      </c>
    </row>
    <row r="916" spans="1:56" x14ac:dyDescent="0.2">
      <c r="A916" s="27">
        <f t="shared" si="837"/>
        <v>912</v>
      </c>
      <c r="B916" s="28">
        <f t="shared" si="784"/>
        <v>912</v>
      </c>
      <c r="C916" s="27">
        <f t="shared" si="785"/>
        <v>76</v>
      </c>
      <c r="D916" s="28">
        <f t="shared" si="786"/>
        <v>96</v>
      </c>
      <c r="E916" s="29">
        <f t="shared" si="787"/>
        <v>0</v>
      </c>
      <c r="F916" s="30">
        <f t="shared" si="788"/>
        <v>0.1002273550954023</v>
      </c>
      <c r="G916" s="31">
        <f t="shared" si="789"/>
        <v>8.7624807457609144E-3</v>
      </c>
      <c r="H916" s="32">
        <f t="shared" si="790"/>
        <v>0.02</v>
      </c>
      <c r="I916" s="32">
        <f t="shared" si="791"/>
        <v>0</v>
      </c>
      <c r="J916" s="33">
        <f t="shared" si="838"/>
        <v>0</v>
      </c>
      <c r="K916" s="30">
        <f t="shared" si="792"/>
        <v>0</v>
      </c>
      <c r="L916" s="33">
        <f t="shared" si="793"/>
        <v>0</v>
      </c>
      <c r="M916" s="30">
        <f t="shared" si="794"/>
        <v>0</v>
      </c>
      <c r="N916" s="33">
        <f t="shared" si="795"/>
        <v>0</v>
      </c>
      <c r="O916" s="31">
        <f t="shared" si="796"/>
        <v>0</v>
      </c>
      <c r="P916" s="33">
        <f t="shared" si="797"/>
        <v>0</v>
      </c>
      <c r="Q916" s="34">
        <f t="shared" si="839"/>
        <v>976934.93157430319</v>
      </c>
      <c r="R916" s="29">
        <f t="shared" si="798"/>
        <v>0</v>
      </c>
      <c r="S916" s="34">
        <f t="shared" si="799"/>
        <v>976934.93157430319</v>
      </c>
      <c r="T916" s="29">
        <f t="shared" si="800"/>
        <v>814.11244297858605</v>
      </c>
      <c r="U916" s="29">
        <f t="shared" si="801"/>
        <v>0</v>
      </c>
      <c r="V916" s="35">
        <f t="shared" si="802"/>
        <v>9.6387288203370058E-3</v>
      </c>
      <c r="W916" s="34">
        <f t="shared" si="803"/>
        <v>0</v>
      </c>
      <c r="X916" s="34">
        <f t="shared" si="804"/>
        <v>976120.81913132465</v>
      </c>
      <c r="Y916" s="36">
        <f t="shared" si="805"/>
        <v>1.5731161065193566E-2</v>
      </c>
      <c r="Z916" s="34">
        <f t="shared" si="806"/>
        <v>15355.513824843545</v>
      </c>
      <c r="AA916" s="34">
        <f t="shared" si="807"/>
        <v>983798.57604374643</v>
      </c>
      <c r="AB916" s="34">
        <f t="shared" si="808"/>
        <v>0</v>
      </c>
      <c r="AC916" s="34">
        <f t="shared" si="809"/>
        <v>0</v>
      </c>
      <c r="AD916" s="34">
        <f t="shared" si="810"/>
        <v>0</v>
      </c>
      <c r="AE916" s="34">
        <f t="shared" si="811"/>
        <v>0</v>
      </c>
      <c r="AF916" s="34">
        <f t="shared" si="812"/>
        <v>0</v>
      </c>
      <c r="AG916" s="29">
        <f t="shared" si="813"/>
        <v>983798.57604374643</v>
      </c>
      <c r="AH916" s="34">
        <f t="shared" si="814"/>
        <v>0</v>
      </c>
      <c r="AI916" s="34">
        <f t="shared" si="815"/>
        <v>0</v>
      </c>
      <c r="AJ916" s="34">
        <f t="shared" si="816"/>
        <v>0</v>
      </c>
      <c r="AK916" s="34">
        <f t="shared" si="817"/>
        <v>0</v>
      </c>
      <c r="AL916" s="34">
        <f t="shared" si="818"/>
        <v>0</v>
      </c>
      <c r="AM916" s="34">
        <f t="shared" si="819"/>
        <v>0</v>
      </c>
      <c r="AN916" s="34">
        <f t="shared" si="820"/>
        <v>0</v>
      </c>
      <c r="AO916" s="34">
        <f t="shared" si="821"/>
        <v>0</v>
      </c>
      <c r="AP916" s="34">
        <f t="shared" si="822"/>
        <v>0</v>
      </c>
      <c r="AQ916" s="34">
        <f t="shared" si="823"/>
        <v>0</v>
      </c>
      <c r="AR916" s="34">
        <f t="shared" si="824"/>
        <v>0</v>
      </c>
      <c r="AS916" s="30">
        <f t="shared" si="825"/>
        <v>2.1302197530396394</v>
      </c>
      <c r="AT916" s="29">
        <f t="shared" si="826"/>
        <v>0</v>
      </c>
      <c r="AU916" s="29">
        <f t="shared" si="827"/>
        <v>0</v>
      </c>
      <c r="AV916" s="34">
        <f t="shared" si="828"/>
        <v>0</v>
      </c>
      <c r="AW916" s="34">
        <f t="shared" si="829"/>
        <v>0</v>
      </c>
      <c r="AX916" s="29">
        <f t="shared" si="830"/>
        <v>0</v>
      </c>
      <c r="AY916" s="34">
        <f t="shared" si="831"/>
        <v>0</v>
      </c>
      <c r="AZ916" s="37">
        <f t="shared" si="832"/>
        <v>0</v>
      </c>
      <c r="BA916" s="37">
        <f t="shared" si="833"/>
        <v>0</v>
      </c>
      <c r="BB916" s="35">
        <f t="shared" si="834"/>
        <v>1.6196603385294495E-3</v>
      </c>
      <c r="BC916" s="31">
        <f t="shared" si="835"/>
        <v>0.22856485166243257</v>
      </c>
      <c r="BD916" s="34">
        <f t="shared" si="836"/>
        <v>0</v>
      </c>
    </row>
    <row r="917" spans="1:56" x14ac:dyDescent="0.2">
      <c r="A917" s="27">
        <f t="shared" si="837"/>
        <v>913</v>
      </c>
      <c r="B917" s="28">
        <f t="shared" si="784"/>
        <v>913</v>
      </c>
      <c r="C917" s="27">
        <f t="shared" si="785"/>
        <v>76</v>
      </c>
      <c r="D917" s="28">
        <f t="shared" si="786"/>
        <v>96</v>
      </c>
      <c r="E917" s="29">
        <f t="shared" si="787"/>
        <v>0</v>
      </c>
      <c r="F917" s="30">
        <f t="shared" si="788"/>
        <v>0.1002273550954023</v>
      </c>
      <c r="G917" s="31">
        <f t="shared" si="789"/>
        <v>8.7624807457609144E-3</v>
      </c>
      <c r="H917" s="32">
        <f t="shared" si="790"/>
        <v>0.02</v>
      </c>
      <c r="I917" s="32">
        <f t="shared" si="791"/>
        <v>0</v>
      </c>
      <c r="J917" s="33">
        <f t="shared" si="838"/>
        <v>0</v>
      </c>
      <c r="K917" s="30">
        <f t="shared" si="792"/>
        <v>0</v>
      </c>
      <c r="L917" s="33">
        <f t="shared" si="793"/>
        <v>0</v>
      </c>
      <c r="M917" s="30">
        <f t="shared" si="794"/>
        <v>0</v>
      </c>
      <c r="N917" s="33">
        <f t="shared" si="795"/>
        <v>0</v>
      </c>
      <c r="O917" s="31">
        <f t="shared" si="796"/>
        <v>0</v>
      </c>
      <c r="P917" s="33">
        <f t="shared" si="797"/>
        <v>0</v>
      </c>
      <c r="Q917" s="34">
        <f t="shared" si="839"/>
        <v>991476.33295616822</v>
      </c>
      <c r="R917" s="29">
        <f t="shared" si="798"/>
        <v>0</v>
      </c>
      <c r="S917" s="34">
        <f t="shared" si="799"/>
        <v>991476.33295616822</v>
      </c>
      <c r="T917" s="29">
        <f t="shared" si="800"/>
        <v>826.23027746347361</v>
      </c>
      <c r="U917" s="29">
        <f t="shared" si="801"/>
        <v>0</v>
      </c>
      <c r="V917" s="35">
        <f t="shared" si="802"/>
        <v>9.6387288203370058E-3</v>
      </c>
      <c r="W917" s="34">
        <f t="shared" si="803"/>
        <v>0</v>
      </c>
      <c r="X917" s="34">
        <f t="shared" si="804"/>
        <v>990650.10267870477</v>
      </c>
      <c r="Y917" s="36">
        <f t="shared" si="805"/>
        <v>-1.4020306844134689E-3</v>
      </c>
      <c r="Z917" s="34">
        <f t="shared" si="806"/>
        <v>-1388.9218414728978</v>
      </c>
      <c r="AA917" s="34">
        <f t="shared" si="807"/>
        <v>989955.64175796835</v>
      </c>
      <c r="AB917" s="34">
        <f t="shared" si="808"/>
        <v>0</v>
      </c>
      <c r="AC917" s="34">
        <f t="shared" si="809"/>
        <v>0</v>
      </c>
      <c r="AD917" s="34">
        <f t="shared" si="810"/>
        <v>0</v>
      </c>
      <c r="AE917" s="34">
        <f t="shared" si="811"/>
        <v>0</v>
      </c>
      <c r="AF917" s="34">
        <f t="shared" si="812"/>
        <v>0</v>
      </c>
      <c r="AG917" s="29">
        <f t="shared" si="813"/>
        <v>989955.64175796835</v>
      </c>
      <c r="AH917" s="34">
        <f t="shared" si="814"/>
        <v>0</v>
      </c>
      <c r="AI917" s="34">
        <f t="shared" si="815"/>
        <v>0</v>
      </c>
      <c r="AJ917" s="34">
        <f t="shared" si="816"/>
        <v>0</v>
      </c>
      <c r="AK917" s="34">
        <f t="shared" si="817"/>
        <v>0</v>
      </c>
      <c r="AL917" s="34">
        <f t="shared" si="818"/>
        <v>0</v>
      </c>
      <c r="AM917" s="34">
        <f t="shared" si="819"/>
        <v>0</v>
      </c>
      <c r="AN917" s="34">
        <f t="shared" si="820"/>
        <v>0</v>
      </c>
      <c r="AO917" s="34">
        <f t="shared" si="821"/>
        <v>0</v>
      </c>
      <c r="AP917" s="34">
        <f t="shared" si="822"/>
        <v>0</v>
      </c>
      <c r="AQ917" s="34">
        <f t="shared" si="823"/>
        <v>0</v>
      </c>
      <c r="AR917" s="34">
        <f t="shared" si="824"/>
        <v>0</v>
      </c>
      <c r="AS917" s="30">
        <f t="shared" si="825"/>
        <v>2.1319868515167189</v>
      </c>
      <c r="AT917" s="29">
        <f t="shared" si="826"/>
        <v>0</v>
      </c>
      <c r="AU917" s="29">
        <f t="shared" si="827"/>
        <v>0</v>
      </c>
      <c r="AV917" s="34">
        <f t="shared" si="828"/>
        <v>0</v>
      </c>
      <c r="AW917" s="34">
        <f t="shared" si="829"/>
        <v>0</v>
      </c>
      <c r="AX917" s="29">
        <f t="shared" si="830"/>
        <v>0</v>
      </c>
      <c r="AY917" s="34">
        <f t="shared" si="831"/>
        <v>0</v>
      </c>
      <c r="AZ917" s="37">
        <f t="shared" si="832"/>
        <v>0</v>
      </c>
      <c r="BA917" s="37">
        <f t="shared" si="833"/>
        <v>0</v>
      </c>
      <c r="BB917" s="35">
        <f t="shared" si="834"/>
        <v>1.6196603385294495E-3</v>
      </c>
      <c r="BC917" s="31">
        <f t="shared" si="835"/>
        <v>0.2281952528619314</v>
      </c>
      <c r="BD917" s="34">
        <f t="shared" si="836"/>
        <v>0</v>
      </c>
    </row>
    <row r="918" spans="1:56" x14ac:dyDescent="0.2">
      <c r="A918" s="27">
        <f t="shared" si="837"/>
        <v>914</v>
      </c>
      <c r="B918" s="28">
        <f t="shared" si="784"/>
        <v>914</v>
      </c>
      <c r="C918" s="27">
        <f t="shared" si="785"/>
        <v>76</v>
      </c>
      <c r="D918" s="28">
        <f t="shared" si="786"/>
        <v>96</v>
      </c>
      <c r="E918" s="29">
        <f t="shared" si="787"/>
        <v>0</v>
      </c>
      <c r="F918" s="30">
        <f t="shared" si="788"/>
        <v>0.1002273550954023</v>
      </c>
      <c r="G918" s="31">
        <f t="shared" si="789"/>
        <v>8.7624807457609144E-3</v>
      </c>
      <c r="H918" s="32">
        <f t="shared" si="790"/>
        <v>0.02</v>
      </c>
      <c r="I918" s="32">
        <f t="shared" si="791"/>
        <v>0</v>
      </c>
      <c r="J918" s="33">
        <f t="shared" si="838"/>
        <v>0</v>
      </c>
      <c r="K918" s="30">
        <f t="shared" si="792"/>
        <v>0</v>
      </c>
      <c r="L918" s="33">
        <f t="shared" si="793"/>
        <v>0</v>
      </c>
      <c r="M918" s="30">
        <f t="shared" si="794"/>
        <v>0</v>
      </c>
      <c r="N918" s="33">
        <f t="shared" si="795"/>
        <v>0</v>
      </c>
      <c r="O918" s="31">
        <f t="shared" si="796"/>
        <v>0</v>
      </c>
      <c r="P918" s="33">
        <f t="shared" si="797"/>
        <v>0</v>
      </c>
      <c r="Q918" s="34">
        <f t="shared" si="839"/>
        <v>989261.18083723192</v>
      </c>
      <c r="R918" s="29">
        <f t="shared" si="798"/>
        <v>0</v>
      </c>
      <c r="S918" s="34">
        <f t="shared" si="799"/>
        <v>989261.18083723192</v>
      </c>
      <c r="T918" s="29">
        <f t="shared" si="800"/>
        <v>824.38431736435996</v>
      </c>
      <c r="U918" s="29">
        <f t="shared" si="801"/>
        <v>0</v>
      </c>
      <c r="V918" s="35">
        <f t="shared" si="802"/>
        <v>9.6387288203370058E-3</v>
      </c>
      <c r="W918" s="34">
        <f t="shared" si="803"/>
        <v>0</v>
      </c>
      <c r="X918" s="34">
        <f t="shared" si="804"/>
        <v>988436.79651986761</v>
      </c>
      <c r="Y918" s="36">
        <f t="shared" si="805"/>
        <v>4.977450965175656E-4</v>
      </c>
      <c r="Z918" s="34">
        <f t="shared" si="806"/>
        <v>491.98956868529484</v>
      </c>
      <c r="AA918" s="34">
        <f t="shared" si="807"/>
        <v>988682.7913042102</v>
      </c>
      <c r="AB918" s="34">
        <f t="shared" si="808"/>
        <v>0</v>
      </c>
      <c r="AC918" s="34">
        <f t="shared" si="809"/>
        <v>0</v>
      </c>
      <c r="AD918" s="34">
        <f t="shared" si="810"/>
        <v>0</v>
      </c>
      <c r="AE918" s="34">
        <f t="shared" si="811"/>
        <v>0</v>
      </c>
      <c r="AF918" s="34">
        <f t="shared" si="812"/>
        <v>0</v>
      </c>
      <c r="AG918" s="29">
        <f t="shared" si="813"/>
        <v>988682.7913042102</v>
      </c>
      <c r="AH918" s="34">
        <f t="shared" si="814"/>
        <v>0</v>
      </c>
      <c r="AI918" s="34">
        <f t="shared" si="815"/>
        <v>0</v>
      </c>
      <c r="AJ918" s="34">
        <f t="shared" si="816"/>
        <v>0</v>
      </c>
      <c r="AK918" s="34">
        <f t="shared" si="817"/>
        <v>0</v>
      </c>
      <c r="AL918" s="34">
        <f t="shared" si="818"/>
        <v>0</v>
      </c>
      <c r="AM918" s="34">
        <f t="shared" si="819"/>
        <v>0</v>
      </c>
      <c r="AN918" s="34">
        <f t="shared" si="820"/>
        <v>0</v>
      </c>
      <c r="AO918" s="34">
        <f t="shared" si="821"/>
        <v>0</v>
      </c>
      <c r="AP918" s="34">
        <f t="shared" si="822"/>
        <v>0</v>
      </c>
      <c r="AQ918" s="34">
        <f t="shared" si="823"/>
        <v>0</v>
      </c>
      <c r="AR918" s="34">
        <f t="shared" si="824"/>
        <v>0</v>
      </c>
      <c r="AS918" s="30">
        <f t="shared" si="825"/>
        <v>2.133755415869337</v>
      </c>
      <c r="AT918" s="29">
        <f t="shared" si="826"/>
        <v>0</v>
      </c>
      <c r="AU918" s="29">
        <f t="shared" si="827"/>
        <v>0</v>
      </c>
      <c r="AV918" s="34">
        <f t="shared" si="828"/>
        <v>0</v>
      </c>
      <c r="AW918" s="34">
        <f t="shared" si="829"/>
        <v>0</v>
      </c>
      <c r="AX918" s="29">
        <f t="shared" si="830"/>
        <v>0</v>
      </c>
      <c r="AY918" s="34">
        <f t="shared" si="831"/>
        <v>0</v>
      </c>
      <c r="AZ918" s="37">
        <f t="shared" si="832"/>
        <v>0</v>
      </c>
      <c r="BA918" s="37">
        <f t="shared" si="833"/>
        <v>0</v>
      </c>
      <c r="BB918" s="35">
        <f t="shared" si="834"/>
        <v>1.6196603385294495E-3</v>
      </c>
      <c r="BC918" s="31">
        <f t="shared" si="835"/>
        <v>0.22782625171794801</v>
      </c>
      <c r="BD918" s="34">
        <f t="shared" si="836"/>
        <v>0</v>
      </c>
    </row>
    <row r="919" spans="1:56" x14ac:dyDescent="0.2">
      <c r="A919" s="27">
        <f t="shared" si="837"/>
        <v>915</v>
      </c>
      <c r="B919" s="28">
        <f t="shared" si="784"/>
        <v>915</v>
      </c>
      <c r="C919" s="27">
        <f t="shared" si="785"/>
        <v>76</v>
      </c>
      <c r="D919" s="28">
        <f t="shared" si="786"/>
        <v>96</v>
      </c>
      <c r="E919" s="29">
        <f t="shared" si="787"/>
        <v>0</v>
      </c>
      <c r="F919" s="30">
        <f t="shared" si="788"/>
        <v>0.1002273550954023</v>
      </c>
      <c r="G919" s="31">
        <f t="shared" si="789"/>
        <v>8.7624807457609144E-3</v>
      </c>
      <c r="H919" s="32">
        <f t="shared" si="790"/>
        <v>0.02</v>
      </c>
      <c r="I919" s="32">
        <f t="shared" si="791"/>
        <v>0</v>
      </c>
      <c r="J919" s="33">
        <f t="shared" si="838"/>
        <v>0</v>
      </c>
      <c r="K919" s="30">
        <f t="shared" si="792"/>
        <v>0</v>
      </c>
      <c r="L919" s="33">
        <f t="shared" si="793"/>
        <v>0</v>
      </c>
      <c r="M919" s="30">
        <f t="shared" si="794"/>
        <v>0</v>
      </c>
      <c r="N919" s="33">
        <f t="shared" si="795"/>
        <v>0</v>
      </c>
      <c r="O919" s="31">
        <f t="shared" si="796"/>
        <v>0</v>
      </c>
      <c r="P919" s="33">
        <f t="shared" si="797"/>
        <v>0</v>
      </c>
      <c r="Q919" s="34">
        <f t="shared" si="839"/>
        <v>988928.78608855291</v>
      </c>
      <c r="R919" s="29">
        <f t="shared" si="798"/>
        <v>0</v>
      </c>
      <c r="S919" s="34">
        <f t="shared" si="799"/>
        <v>988928.78608855291</v>
      </c>
      <c r="T919" s="29">
        <f t="shared" si="800"/>
        <v>824.10732174046086</v>
      </c>
      <c r="U919" s="29">
        <f t="shared" si="801"/>
        <v>0</v>
      </c>
      <c r="V919" s="35">
        <f t="shared" si="802"/>
        <v>9.6387288203370058E-3</v>
      </c>
      <c r="W919" s="34">
        <f t="shared" si="803"/>
        <v>0</v>
      </c>
      <c r="X919" s="34">
        <f t="shared" si="804"/>
        <v>988104.67876681243</v>
      </c>
      <c r="Y919" s="36">
        <f t="shared" si="805"/>
        <v>-6.7135847872815679E-3</v>
      </c>
      <c r="Z919" s="34">
        <f t="shared" si="806"/>
        <v>-6633.7245396106127</v>
      </c>
      <c r="AA919" s="34">
        <f t="shared" si="807"/>
        <v>984787.81649700715</v>
      </c>
      <c r="AB919" s="34">
        <f t="shared" si="808"/>
        <v>0</v>
      </c>
      <c r="AC919" s="34">
        <f t="shared" si="809"/>
        <v>0</v>
      </c>
      <c r="AD919" s="34">
        <f t="shared" si="810"/>
        <v>0</v>
      </c>
      <c r="AE919" s="34">
        <f t="shared" si="811"/>
        <v>0</v>
      </c>
      <c r="AF919" s="34">
        <f t="shared" si="812"/>
        <v>0</v>
      </c>
      <c r="AG919" s="29">
        <f t="shared" si="813"/>
        <v>984787.81649700715</v>
      </c>
      <c r="AH919" s="34">
        <f t="shared" si="814"/>
        <v>0</v>
      </c>
      <c r="AI919" s="34">
        <f t="shared" si="815"/>
        <v>0</v>
      </c>
      <c r="AJ919" s="34">
        <f t="shared" si="816"/>
        <v>0</v>
      </c>
      <c r="AK919" s="34">
        <f t="shared" si="817"/>
        <v>0</v>
      </c>
      <c r="AL919" s="34">
        <f t="shared" si="818"/>
        <v>0</v>
      </c>
      <c r="AM919" s="34">
        <f t="shared" si="819"/>
        <v>0</v>
      </c>
      <c r="AN919" s="34">
        <f t="shared" si="820"/>
        <v>0</v>
      </c>
      <c r="AO919" s="34">
        <f t="shared" si="821"/>
        <v>0</v>
      </c>
      <c r="AP919" s="34">
        <f t="shared" si="822"/>
        <v>0</v>
      </c>
      <c r="AQ919" s="34">
        <f t="shared" si="823"/>
        <v>0</v>
      </c>
      <c r="AR919" s="34">
        <f t="shared" si="824"/>
        <v>0</v>
      </c>
      <c r="AS919" s="30">
        <f t="shared" si="825"/>
        <v>2.1355254473134933</v>
      </c>
      <c r="AT919" s="29">
        <f t="shared" si="826"/>
        <v>0</v>
      </c>
      <c r="AU919" s="29">
        <f t="shared" si="827"/>
        <v>0</v>
      </c>
      <c r="AV919" s="34">
        <f t="shared" si="828"/>
        <v>0</v>
      </c>
      <c r="AW919" s="34">
        <f t="shared" si="829"/>
        <v>0</v>
      </c>
      <c r="AX919" s="29">
        <f t="shared" si="830"/>
        <v>0</v>
      </c>
      <c r="AY919" s="34">
        <f t="shared" si="831"/>
        <v>0</v>
      </c>
      <c r="AZ919" s="37">
        <f t="shared" si="832"/>
        <v>0</v>
      </c>
      <c r="BA919" s="37">
        <f t="shared" si="833"/>
        <v>0</v>
      </c>
      <c r="BB919" s="35">
        <f t="shared" si="834"/>
        <v>1.6196603385294495E-3</v>
      </c>
      <c r="BC919" s="31">
        <f t="shared" si="835"/>
        <v>0.22745784726404711</v>
      </c>
      <c r="BD919" s="34">
        <f t="shared" si="836"/>
        <v>0</v>
      </c>
    </row>
    <row r="920" spans="1:56" x14ac:dyDescent="0.2">
      <c r="A920" s="27">
        <f t="shared" si="837"/>
        <v>916</v>
      </c>
      <c r="B920" s="28">
        <f t="shared" si="784"/>
        <v>916</v>
      </c>
      <c r="C920" s="27">
        <f t="shared" si="785"/>
        <v>76</v>
      </c>
      <c r="D920" s="28">
        <f t="shared" si="786"/>
        <v>96</v>
      </c>
      <c r="E920" s="29">
        <f t="shared" si="787"/>
        <v>0</v>
      </c>
      <c r="F920" s="30">
        <f t="shared" si="788"/>
        <v>0.1002273550954023</v>
      </c>
      <c r="G920" s="31">
        <f t="shared" si="789"/>
        <v>8.7624807457609144E-3</v>
      </c>
      <c r="H920" s="32">
        <f t="shared" si="790"/>
        <v>0.02</v>
      </c>
      <c r="I920" s="32">
        <f t="shared" si="791"/>
        <v>0</v>
      </c>
      <c r="J920" s="33">
        <f t="shared" si="838"/>
        <v>0</v>
      </c>
      <c r="K920" s="30">
        <f t="shared" si="792"/>
        <v>0</v>
      </c>
      <c r="L920" s="33">
        <f t="shared" si="793"/>
        <v>0</v>
      </c>
      <c r="M920" s="30">
        <f t="shared" si="794"/>
        <v>0</v>
      </c>
      <c r="N920" s="33">
        <f t="shared" si="795"/>
        <v>0</v>
      </c>
      <c r="O920" s="31">
        <f t="shared" si="796"/>
        <v>0</v>
      </c>
      <c r="P920" s="33">
        <f t="shared" si="797"/>
        <v>0</v>
      </c>
      <c r="Q920" s="34">
        <f t="shared" si="839"/>
        <v>981470.95422720187</v>
      </c>
      <c r="R920" s="29">
        <f t="shared" si="798"/>
        <v>0</v>
      </c>
      <c r="S920" s="34">
        <f t="shared" si="799"/>
        <v>981470.95422720187</v>
      </c>
      <c r="T920" s="29">
        <f t="shared" si="800"/>
        <v>817.89246185600166</v>
      </c>
      <c r="U920" s="29">
        <f t="shared" si="801"/>
        <v>0</v>
      </c>
      <c r="V920" s="35">
        <f t="shared" si="802"/>
        <v>9.6387288203370058E-3</v>
      </c>
      <c r="W920" s="34">
        <f t="shared" si="803"/>
        <v>0</v>
      </c>
      <c r="X920" s="34">
        <f t="shared" si="804"/>
        <v>980653.06176534586</v>
      </c>
      <c r="Y920" s="36">
        <f t="shared" si="805"/>
        <v>5.3159307699903735E-3</v>
      </c>
      <c r="Z920" s="34">
        <f t="shared" si="806"/>
        <v>5213.083785723672</v>
      </c>
      <c r="AA920" s="34">
        <f t="shared" si="807"/>
        <v>983259.60365820769</v>
      </c>
      <c r="AB920" s="34">
        <f t="shared" si="808"/>
        <v>0</v>
      </c>
      <c r="AC920" s="34">
        <f t="shared" si="809"/>
        <v>0</v>
      </c>
      <c r="AD920" s="34">
        <f t="shared" si="810"/>
        <v>0</v>
      </c>
      <c r="AE920" s="34">
        <f t="shared" si="811"/>
        <v>0</v>
      </c>
      <c r="AF920" s="34">
        <f t="shared" si="812"/>
        <v>0</v>
      </c>
      <c r="AG920" s="29">
        <f t="shared" si="813"/>
        <v>983259.60365820769</v>
      </c>
      <c r="AH920" s="34">
        <f t="shared" si="814"/>
        <v>0</v>
      </c>
      <c r="AI920" s="34">
        <f t="shared" si="815"/>
        <v>0</v>
      </c>
      <c r="AJ920" s="34">
        <f t="shared" si="816"/>
        <v>0</v>
      </c>
      <c r="AK920" s="34">
        <f t="shared" si="817"/>
        <v>0</v>
      </c>
      <c r="AL920" s="34">
        <f t="shared" si="818"/>
        <v>0</v>
      </c>
      <c r="AM920" s="34">
        <f t="shared" si="819"/>
        <v>0</v>
      </c>
      <c r="AN920" s="34">
        <f t="shared" si="820"/>
        <v>0</v>
      </c>
      <c r="AO920" s="34">
        <f t="shared" si="821"/>
        <v>0</v>
      </c>
      <c r="AP920" s="34">
        <f t="shared" si="822"/>
        <v>0</v>
      </c>
      <c r="AQ920" s="34">
        <f t="shared" si="823"/>
        <v>0</v>
      </c>
      <c r="AR920" s="34">
        <f t="shared" si="824"/>
        <v>0</v>
      </c>
      <c r="AS920" s="30">
        <f t="shared" si="825"/>
        <v>2.1372969470661962</v>
      </c>
      <c r="AT920" s="29">
        <f t="shared" si="826"/>
        <v>0</v>
      </c>
      <c r="AU920" s="29">
        <f t="shared" si="827"/>
        <v>0</v>
      </c>
      <c r="AV920" s="34">
        <f t="shared" si="828"/>
        <v>0</v>
      </c>
      <c r="AW920" s="34">
        <f t="shared" si="829"/>
        <v>0</v>
      </c>
      <c r="AX920" s="29">
        <f t="shared" si="830"/>
        <v>0</v>
      </c>
      <c r="AY920" s="34">
        <f t="shared" si="831"/>
        <v>0</v>
      </c>
      <c r="AZ920" s="37">
        <f t="shared" si="832"/>
        <v>0</v>
      </c>
      <c r="BA920" s="37">
        <f t="shared" si="833"/>
        <v>0</v>
      </c>
      <c r="BB920" s="35">
        <f t="shared" si="834"/>
        <v>1.6196603385294495E-3</v>
      </c>
      <c r="BC920" s="31">
        <f t="shared" si="835"/>
        <v>0.22709003853535628</v>
      </c>
      <c r="BD920" s="34">
        <f t="shared" si="836"/>
        <v>0</v>
      </c>
    </row>
    <row r="921" spans="1:56" x14ac:dyDescent="0.2">
      <c r="A921" s="27">
        <f t="shared" si="837"/>
        <v>917</v>
      </c>
      <c r="B921" s="28">
        <f t="shared" si="784"/>
        <v>917</v>
      </c>
      <c r="C921" s="27">
        <f t="shared" si="785"/>
        <v>76</v>
      </c>
      <c r="D921" s="28">
        <f t="shared" si="786"/>
        <v>96</v>
      </c>
      <c r="E921" s="29">
        <f t="shared" si="787"/>
        <v>0</v>
      </c>
      <c r="F921" s="30">
        <f t="shared" si="788"/>
        <v>0.1002273550954023</v>
      </c>
      <c r="G921" s="31">
        <f t="shared" si="789"/>
        <v>8.7624807457609144E-3</v>
      </c>
      <c r="H921" s="32">
        <f t="shared" si="790"/>
        <v>0.02</v>
      </c>
      <c r="I921" s="32">
        <f t="shared" si="791"/>
        <v>0</v>
      </c>
      <c r="J921" s="33">
        <f t="shared" si="838"/>
        <v>0</v>
      </c>
      <c r="K921" s="30">
        <f t="shared" si="792"/>
        <v>0</v>
      </c>
      <c r="L921" s="33">
        <f t="shared" si="793"/>
        <v>0</v>
      </c>
      <c r="M921" s="30">
        <f t="shared" si="794"/>
        <v>0</v>
      </c>
      <c r="N921" s="33">
        <f t="shared" si="795"/>
        <v>0</v>
      </c>
      <c r="O921" s="31">
        <f t="shared" si="796"/>
        <v>0</v>
      </c>
      <c r="P921" s="33">
        <f t="shared" si="797"/>
        <v>0</v>
      </c>
      <c r="Q921" s="34">
        <f t="shared" si="839"/>
        <v>985866.14555106952</v>
      </c>
      <c r="R921" s="29">
        <f t="shared" si="798"/>
        <v>0</v>
      </c>
      <c r="S921" s="34">
        <f t="shared" si="799"/>
        <v>985866.14555106952</v>
      </c>
      <c r="T921" s="29">
        <f t="shared" si="800"/>
        <v>821.55512129255794</v>
      </c>
      <c r="U921" s="29">
        <f t="shared" si="801"/>
        <v>0</v>
      </c>
      <c r="V921" s="35">
        <f t="shared" si="802"/>
        <v>9.6387288203370058E-3</v>
      </c>
      <c r="W921" s="34">
        <f t="shared" si="803"/>
        <v>0</v>
      </c>
      <c r="X921" s="34">
        <f t="shared" si="804"/>
        <v>985044.59042977693</v>
      </c>
      <c r="Y921" s="36">
        <f t="shared" si="805"/>
        <v>-3.7893819665451023E-3</v>
      </c>
      <c r="Z921" s="34">
        <f t="shared" si="806"/>
        <v>-3732.710207217403</v>
      </c>
      <c r="AA921" s="34">
        <f t="shared" si="807"/>
        <v>983178.23532616824</v>
      </c>
      <c r="AB921" s="34">
        <f t="shared" si="808"/>
        <v>0</v>
      </c>
      <c r="AC921" s="34">
        <f t="shared" si="809"/>
        <v>0</v>
      </c>
      <c r="AD921" s="34">
        <f t="shared" si="810"/>
        <v>0</v>
      </c>
      <c r="AE921" s="34">
        <f t="shared" si="811"/>
        <v>0</v>
      </c>
      <c r="AF921" s="34">
        <f t="shared" si="812"/>
        <v>0</v>
      </c>
      <c r="AG921" s="29">
        <f t="shared" si="813"/>
        <v>983178.23532616824</v>
      </c>
      <c r="AH921" s="34">
        <f t="shared" si="814"/>
        <v>0</v>
      </c>
      <c r="AI921" s="34">
        <f t="shared" si="815"/>
        <v>0</v>
      </c>
      <c r="AJ921" s="34">
        <f t="shared" si="816"/>
        <v>0</v>
      </c>
      <c r="AK921" s="34">
        <f t="shared" si="817"/>
        <v>0</v>
      </c>
      <c r="AL921" s="34">
        <f t="shared" si="818"/>
        <v>0</v>
      </c>
      <c r="AM921" s="34">
        <f t="shared" si="819"/>
        <v>0</v>
      </c>
      <c r="AN921" s="34">
        <f t="shared" si="820"/>
        <v>0</v>
      </c>
      <c r="AO921" s="34">
        <f t="shared" si="821"/>
        <v>0</v>
      </c>
      <c r="AP921" s="34">
        <f t="shared" si="822"/>
        <v>0</v>
      </c>
      <c r="AQ921" s="34">
        <f t="shared" si="823"/>
        <v>0</v>
      </c>
      <c r="AR921" s="34">
        <f t="shared" si="824"/>
        <v>0</v>
      </c>
      <c r="AS921" s="30">
        <f t="shared" si="825"/>
        <v>2.1390699163454636</v>
      </c>
      <c r="AT921" s="29">
        <f t="shared" si="826"/>
        <v>0</v>
      </c>
      <c r="AU921" s="29">
        <f t="shared" si="827"/>
        <v>0</v>
      </c>
      <c r="AV921" s="34">
        <f t="shared" si="828"/>
        <v>0</v>
      </c>
      <c r="AW921" s="34">
        <f t="shared" si="829"/>
        <v>0</v>
      </c>
      <c r="AX921" s="29">
        <f t="shared" si="830"/>
        <v>0</v>
      </c>
      <c r="AY921" s="34">
        <f t="shared" si="831"/>
        <v>0</v>
      </c>
      <c r="AZ921" s="37">
        <f t="shared" si="832"/>
        <v>0</v>
      </c>
      <c r="BA921" s="37">
        <f t="shared" si="833"/>
        <v>0</v>
      </c>
      <c r="BB921" s="35">
        <f t="shared" si="834"/>
        <v>1.6196603385294495E-3</v>
      </c>
      <c r="BC921" s="31">
        <f t="shared" si="835"/>
        <v>0.22672282456856324</v>
      </c>
      <c r="BD921" s="34">
        <f t="shared" si="836"/>
        <v>0</v>
      </c>
    </row>
    <row r="922" spans="1:56" x14ac:dyDescent="0.2">
      <c r="A922" s="27">
        <f t="shared" si="837"/>
        <v>918</v>
      </c>
      <c r="B922" s="28">
        <f t="shared" si="784"/>
        <v>918</v>
      </c>
      <c r="C922" s="27">
        <f t="shared" si="785"/>
        <v>76</v>
      </c>
      <c r="D922" s="28">
        <f t="shared" si="786"/>
        <v>96</v>
      </c>
      <c r="E922" s="29">
        <f t="shared" si="787"/>
        <v>0</v>
      </c>
      <c r="F922" s="30">
        <f t="shared" si="788"/>
        <v>0.1002273550954023</v>
      </c>
      <c r="G922" s="31">
        <f t="shared" si="789"/>
        <v>8.7624807457609144E-3</v>
      </c>
      <c r="H922" s="32">
        <f t="shared" si="790"/>
        <v>0.02</v>
      </c>
      <c r="I922" s="32">
        <f t="shared" si="791"/>
        <v>0</v>
      </c>
      <c r="J922" s="33">
        <f t="shared" si="838"/>
        <v>0</v>
      </c>
      <c r="K922" s="30">
        <f t="shared" si="792"/>
        <v>0</v>
      </c>
      <c r="L922" s="33">
        <f t="shared" si="793"/>
        <v>0</v>
      </c>
      <c r="M922" s="30">
        <f t="shared" si="794"/>
        <v>0</v>
      </c>
      <c r="N922" s="33">
        <f t="shared" si="795"/>
        <v>0</v>
      </c>
      <c r="O922" s="31">
        <f t="shared" si="796"/>
        <v>0</v>
      </c>
      <c r="P922" s="33">
        <f t="shared" si="797"/>
        <v>0</v>
      </c>
      <c r="Q922" s="34">
        <f t="shared" si="839"/>
        <v>981311.88022255956</v>
      </c>
      <c r="R922" s="29">
        <f t="shared" si="798"/>
        <v>0</v>
      </c>
      <c r="S922" s="34">
        <f t="shared" si="799"/>
        <v>981311.88022255956</v>
      </c>
      <c r="T922" s="29">
        <f t="shared" si="800"/>
        <v>817.75990018546634</v>
      </c>
      <c r="U922" s="29">
        <f t="shared" si="801"/>
        <v>0</v>
      </c>
      <c r="V922" s="35">
        <f t="shared" si="802"/>
        <v>9.6387288203370058E-3</v>
      </c>
      <c r="W922" s="34">
        <f t="shared" si="803"/>
        <v>0</v>
      </c>
      <c r="X922" s="34">
        <f t="shared" si="804"/>
        <v>980494.12032237404</v>
      </c>
      <c r="Y922" s="36">
        <f t="shared" si="805"/>
        <v>7.5797338300049866E-3</v>
      </c>
      <c r="Z922" s="34">
        <f t="shared" si="806"/>
        <v>7431.8844539284783</v>
      </c>
      <c r="AA922" s="34">
        <f t="shared" si="807"/>
        <v>984210.06254933833</v>
      </c>
      <c r="AB922" s="34">
        <f t="shared" si="808"/>
        <v>0</v>
      </c>
      <c r="AC922" s="34">
        <f t="shared" si="809"/>
        <v>0</v>
      </c>
      <c r="AD922" s="34">
        <f t="shared" si="810"/>
        <v>0</v>
      </c>
      <c r="AE922" s="34">
        <f t="shared" si="811"/>
        <v>0</v>
      </c>
      <c r="AF922" s="34">
        <f t="shared" si="812"/>
        <v>0</v>
      </c>
      <c r="AG922" s="29">
        <f t="shared" si="813"/>
        <v>984210.06254933833</v>
      </c>
      <c r="AH922" s="34">
        <f t="shared" si="814"/>
        <v>0</v>
      </c>
      <c r="AI922" s="34">
        <f t="shared" si="815"/>
        <v>0</v>
      </c>
      <c r="AJ922" s="34">
        <f t="shared" si="816"/>
        <v>0</v>
      </c>
      <c r="AK922" s="34">
        <f t="shared" si="817"/>
        <v>0</v>
      </c>
      <c r="AL922" s="34">
        <f t="shared" si="818"/>
        <v>0</v>
      </c>
      <c r="AM922" s="34">
        <f t="shared" si="819"/>
        <v>0</v>
      </c>
      <c r="AN922" s="34">
        <f t="shared" si="820"/>
        <v>0</v>
      </c>
      <c r="AO922" s="34">
        <f t="shared" si="821"/>
        <v>0</v>
      </c>
      <c r="AP922" s="34">
        <f t="shared" si="822"/>
        <v>0</v>
      </c>
      <c r="AQ922" s="34">
        <f t="shared" si="823"/>
        <v>0</v>
      </c>
      <c r="AR922" s="34">
        <f t="shared" si="824"/>
        <v>0</v>
      </c>
      <c r="AS922" s="30">
        <f t="shared" si="825"/>
        <v>2.1408443563703234</v>
      </c>
      <c r="AT922" s="29">
        <f t="shared" si="826"/>
        <v>0</v>
      </c>
      <c r="AU922" s="29">
        <f t="shared" si="827"/>
        <v>0</v>
      </c>
      <c r="AV922" s="34">
        <f t="shared" si="828"/>
        <v>0</v>
      </c>
      <c r="AW922" s="34">
        <f t="shared" si="829"/>
        <v>0</v>
      </c>
      <c r="AX922" s="29">
        <f t="shared" si="830"/>
        <v>0</v>
      </c>
      <c r="AY922" s="34">
        <f t="shared" si="831"/>
        <v>0</v>
      </c>
      <c r="AZ922" s="37">
        <f t="shared" si="832"/>
        <v>0</v>
      </c>
      <c r="BA922" s="37">
        <f t="shared" si="833"/>
        <v>0</v>
      </c>
      <c r="BB922" s="35">
        <f t="shared" si="834"/>
        <v>1.6196603385294495E-3</v>
      </c>
      <c r="BC922" s="31">
        <f t="shared" si="835"/>
        <v>0.2263562044019134</v>
      </c>
      <c r="BD922" s="34">
        <f t="shared" si="836"/>
        <v>0</v>
      </c>
    </row>
    <row r="923" spans="1:56" x14ac:dyDescent="0.2">
      <c r="A923" s="27">
        <f t="shared" si="837"/>
        <v>919</v>
      </c>
      <c r="B923" s="28">
        <f t="shared" si="784"/>
        <v>919</v>
      </c>
      <c r="C923" s="27">
        <f t="shared" si="785"/>
        <v>76</v>
      </c>
      <c r="D923" s="28">
        <f t="shared" si="786"/>
        <v>96</v>
      </c>
      <c r="E923" s="29">
        <f t="shared" si="787"/>
        <v>0</v>
      </c>
      <c r="F923" s="30">
        <f t="shared" si="788"/>
        <v>0.1002273550954023</v>
      </c>
      <c r="G923" s="31">
        <f t="shared" si="789"/>
        <v>8.7624807457609144E-3</v>
      </c>
      <c r="H923" s="32">
        <f t="shared" si="790"/>
        <v>0.02</v>
      </c>
      <c r="I923" s="32">
        <f t="shared" si="791"/>
        <v>0</v>
      </c>
      <c r="J923" s="33">
        <f t="shared" si="838"/>
        <v>0</v>
      </c>
      <c r="K923" s="30">
        <f t="shared" si="792"/>
        <v>0</v>
      </c>
      <c r="L923" s="33">
        <f t="shared" si="793"/>
        <v>0</v>
      </c>
      <c r="M923" s="30">
        <f t="shared" si="794"/>
        <v>0</v>
      </c>
      <c r="N923" s="33">
        <f t="shared" si="795"/>
        <v>0</v>
      </c>
      <c r="O923" s="31">
        <f t="shared" si="796"/>
        <v>0</v>
      </c>
      <c r="P923" s="33">
        <f t="shared" si="797"/>
        <v>0</v>
      </c>
      <c r="Q923" s="34">
        <f t="shared" si="839"/>
        <v>987926.00477630249</v>
      </c>
      <c r="R923" s="29">
        <f t="shared" si="798"/>
        <v>0</v>
      </c>
      <c r="S923" s="34">
        <f t="shared" si="799"/>
        <v>987926.00477630249</v>
      </c>
      <c r="T923" s="29">
        <f t="shared" si="800"/>
        <v>823.27167064691878</v>
      </c>
      <c r="U923" s="29">
        <f t="shared" si="801"/>
        <v>0</v>
      </c>
      <c r="V923" s="35">
        <f t="shared" si="802"/>
        <v>9.6387288203370058E-3</v>
      </c>
      <c r="W923" s="34">
        <f t="shared" si="803"/>
        <v>0</v>
      </c>
      <c r="X923" s="34">
        <f t="shared" si="804"/>
        <v>987102.73310565553</v>
      </c>
      <c r="Y923" s="36">
        <f t="shared" si="805"/>
        <v>-7.8723037584677025E-3</v>
      </c>
      <c r="Z923" s="34">
        <f t="shared" si="806"/>
        <v>-7770.7725558213933</v>
      </c>
      <c r="AA923" s="34">
        <f t="shared" si="807"/>
        <v>983217.34682774486</v>
      </c>
      <c r="AB923" s="34">
        <f t="shared" si="808"/>
        <v>0</v>
      </c>
      <c r="AC923" s="34">
        <f t="shared" si="809"/>
        <v>0</v>
      </c>
      <c r="AD923" s="34">
        <f t="shared" si="810"/>
        <v>0</v>
      </c>
      <c r="AE923" s="34">
        <f t="shared" si="811"/>
        <v>0</v>
      </c>
      <c r="AF923" s="34">
        <f t="shared" si="812"/>
        <v>0</v>
      </c>
      <c r="AG923" s="29">
        <f t="shared" si="813"/>
        <v>983217.34682774486</v>
      </c>
      <c r="AH923" s="34">
        <f t="shared" si="814"/>
        <v>0</v>
      </c>
      <c r="AI923" s="34">
        <f t="shared" si="815"/>
        <v>0</v>
      </c>
      <c r="AJ923" s="34">
        <f t="shared" si="816"/>
        <v>0</v>
      </c>
      <c r="AK923" s="34">
        <f t="shared" si="817"/>
        <v>0</v>
      </c>
      <c r="AL923" s="34">
        <f t="shared" si="818"/>
        <v>0</v>
      </c>
      <c r="AM923" s="34">
        <f t="shared" si="819"/>
        <v>0</v>
      </c>
      <c r="AN923" s="34">
        <f t="shared" si="820"/>
        <v>0</v>
      </c>
      <c r="AO923" s="34">
        <f t="shared" si="821"/>
        <v>0</v>
      </c>
      <c r="AP923" s="34">
        <f t="shared" si="822"/>
        <v>0</v>
      </c>
      <c r="AQ923" s="34">
        <f t="shared" si="823"/>
        <v>0</v>
      </c>
      <c r="AR923" s="34">
        <f t="shared" si="824"/>
        <v>0</v>
      </c>
      <c r="AS923" s="30">
        <f t="shared" si="825"/>
        <v>2.1426202683608153</v>
      </c>
      <c r="AT923" s="29">
        <f t="shared" si="826"/>
        <v>0</v>
      </c>
      <c r="AU923" s="29">
        <f t="shared" si="827"/>
        <v>0</v>
      </c>
      <c r="AV923" s="34">
        <f t="shared" si="828"/>
        <v>0</v>
      </c>
      <c r="AW923" s="34">
        <f t="shared" si="829"/>
        <v>0</v>
      </c>
      <c r="AX923" s="29">
        <f t="shared" si="830"/>
        <v>0</v>
      </c>
      <c r="AY923" s="34">
        <f t="shared" si="831"/>
        <v>0</v>
      </c>
      <c r="AZ923" s="37">
        <f t="shared" si="832"/>
        <v>0</v>
      </c>
      <c r="BA923" s="37">
        <f t="shared" si="833"/>
        <v>0</v>
      </c>
      <c r="BB923" s="35">
        <f t="shared" si="834"/>
        <v>1.6196603385294495E-3</v>
      </c>
      <c r="BC923" s="31">
        <f t="shared" si="835"/>
        <v>0.22599017707520735</v>
      </c>
      <c r="BD923" s="34">
        <f t="shared" si="836"/>
        <v>0</v>
      </c>
    </row>
    <row r="924" spans="1:56" x14ac:dyDescent="0.2">
      <c r="A924" s="27">
        <f t="shared" si="837"/>
        <v>920</v>
      </c>
      <c r="B924" s="28">
        <f t="shared" si="784"/>
        <v>920</v>
      </c>
      <c r="C924" s="27">
        <f t="shared" si="785"/>
        <v>76</v>
      </c>
      <c r="D924" s="28">
        <f t="shared" si="786"/>
        <v>96</v>
      </c>
      <c r="E924" s="29">
        <f t="shared" si="787"/>
        <v>0</v>
      </c>
      <c r="F924" s="30">
        <f t="shared" si="788"/>
        <v>0.1002273550954023</v>
      </c>
      <c r="G924" s="31">
        <f t="shared" si="789"/>
        <v>8.7624807457609144E-3</v>
      </c>
      <c r="H924" s="32">
        <f t="shared" si="790"/>
        <v>0.02</v>
      </c>
      <c r="I924" s="32">
        <f t="shared" si="791"/>
        <v>0</v>
      </c>
      <c r="J924" s="33">
        <f t="shared" si="838"/>
        <v>0</v>
      </c>
      <c r="K924" s="30">
        <f t="shared" si="792"/>
        <v>0</v>
      </c>
      <c r="L924" s="33">
        <f t="shared" si="793"/>
        <v>0</v>
      </c>
      <c r="M924" s="30">
        <f t="shared" si="794"/>
        <v>0</v>
      </c>
      <c r="N924" s="33">
        <f t="shared" si="795"/>
        <v>0</v>
      </c>
      <c r="O924" s="31">
        <f t="shared" si="796"/>
        <v>0</v>
      </c>
      <c r="P924" s="33">
        <f t="shared" si="797"/>
        <v>0</v>
      </c>
      <c r="Q924" s="34">
        <f t="shared" si="839"/>
        <v>979331.96054983418</v>
      </c>
      <c r="R924" s="29">
        <f t="shared" si="798"/>
        <v>0</v>
      </c>
      <c r="S924" s="34">
        <f t="shared" si="799"/>
        <v>979331.96054983418</v>
      </c>
      <c r="T924" s="29">
        <f t="shared" si="800"/>
        <v>816.1099671248619</v>
      </c>
      <c r="U924" s="29">
        <f t="shared" si="801"/>
        <v>0</v>
      </c>
      <c r="V924" s="35">
        <f t="shared" si="802"/>
        <v>9.6387288203370058E-3</v>
      </c>
      <c r="W924" s="34">
        <f t="shared" si="803"/>
        <v>0</v>
      </c>
      <c r="X924" s="34">
        <f t="shared" si="804"/>
        <v>978515.8505827093</v>
      </c>
      <c r="Y924" s="36">
        <f t="shared" si="805"/>
        <v>1.359245348673932E-3</v>
      </c>
      <c r="Z924" s="34">
        <f t="shared" si="806"/>
        <v>1330.0431185082639</v>
      </c>
      <c r="AA924" s="34">
        <f t="shared" si="807"/>
        <v>979180.87214196345</v>
      </c>
      <c r="AB924" s="34">
        <f t="shared" si="808"/>
        <v>0</v>
      </c>
      <c r="AC924" s="34">
        <f t="shared" si="809"/>
        <v>0</v>
      </c>
      <c r="AD924" s="34">
        <f t="shared" si="810"/>
        <v>0</v>
      </c>
      <c r="AE924" s="34">
        <f t="shared" si="811"/>
        <v>0</v>
      </c>
      <c r="AF924" s="34">
        <f t="shared" si="812"/>
        <v>0</v>
      </c>
      <c r="AG924" s="29">
        <f t="shared" si="813"/>
        <v>979180.87214196345</v>
      </c>
      <c r="AH924" s="34">
        <f t="shared" si="814"/>
        <v>0</v>
      </c>
      <c r="AI924" s="34">
        <f t="shared" si="815"/>
        <v>0</v>
      </c>
      <c r="AJ924" s="34">
        <f t="shared" si="816"/>
        <v>0</v>
      </c>
      <c r="AK924" s="34">
        <f t="shared" si="817"/>
        <v>0</v>
      </c>
      <c r="AL924" s="34">
        <f t="shared" si="818"/>
        <v>0</v>
      </c>
      <c r="AM924" s="34">
        <f t="shared" si="819"/>
        <v>0</v>
      </c>
      <c r="AN924" s="34">
        <f t="shared" si="820"/>
        <v>0</v>
      </c>
      <c r="AO924" s="34">
        <f t="shared" si="821"/>
        <v>0</v>
      </c>
      <c r="AP924" s="34">
        <f t="shared" si="822"/>
        <v>0</v>
      </c>
      <c r="AQ924" s="34">
        <f t="shared" si="823"/>
        <v>0</v>
      </c>
      <c r="AR924" s="34">
        <f t="shared" si="824"/>
        <v>0</v>
      </c>
      <c r="AS924" s="30">
        <f t="shared" si="825"/>
        <v>2.1443976535379918</v>
      </c>
      <c r="AT924" s="29">
        <f t="shared" si="826"/>
        <v>0</v>
      </c>
      <c r="AU924" s="29">
        <f t="shared" si="827"/>
        <v>0</v>
      </c>
      <c r="AV924" s="34">
        <f t="shared" si="828"/>
        <v>0</v>
      </c>
      <c r="AW924" s="34">
        <f t="shared" si="829"/>
        <v>0</v>
      </c>
      <c r="AX924" s="29">
        <f t="shared" si="830"/>
        <v>0</v>
      </c>
      <c r="AY924" s="34">
        <f t="shared" si="831"/>
        <v>0</v>
      </c>
      <c r="AZ924" s="37">
        <f t="shared" si="832"/>
        <v>0</v>
      </c>
      <c r="BA924" s="37">
        <f t="shared" si="833"/>
        <v>0</v>
      </c>
      <c r="BB924" s="35">
        <f t="shared" si="834"/>
        <v>1.6196603385294495E-3</v>
      </c>
      <c r="BC924" s="31">
        <f t="shared" si="835"/>
        <v>0.22562474162979865</v>
      </c>
      <c r="BD924" s="34">
        <f t="shared" si="836"/>
        <v>0</v>
      </c>
    </row>
    <row r="925" spans="1:56" x14ac:dyDescent="0.2">
      <c r="A925" s="27">
        <f t="shared" si="837"/>
        <v>921</v>
      </c>
      <c r="B925" s="28">
        <f t="shared" si="784"/>
        <v>921</v>
      </c>
      <c r="C925" s="27">
        <f t="shared" si="785"/>
        <v>76</v>
      </c>
      <c r="D925" s="28">
        <f t="shared" si="786"/>
        <v>96</v>
      </c>
      <c r="E925" s="29">
        <f t="shared" si="787"/>
        <v>0</v>
      </c>
      <c r="F925" s="30">
        <f t="shared" si="788"/>
        <v>0.1002273550954023</v>
      </c>
      <c r="G925" s="31">
        <f t="shared" si="789"/>
        <v>8.7624807457609144E-3</v>
      </c>
      <c r="H925" s="32">
        <f t="shared" si="790"/>
        <v>0.02</v>
      </c>
      <c r="I925" s="32">
        <f t="shared" si="791"/>
        <v>0</v>
      </c>
      <c r="J925" s="33">
        <f t="shared" si="838"/>
        <v>0</v>
      </c>
      <c r="K925" s="30">
        <f t="shared" si="792"/>
        <v>0</v>
      </c>
      <c r="L925" s="33">
        <f t="shared" si="793"/>
        <v>0</v>
      </c>
      <c r="M925" s="30">
        <f t="shared" si="794"/>
        <v>0</v>
      </c>
      <c r="N925" s="33">
        <f t="shared" si="795"/>
        <v>0</v>
      </c>
      <c r="O925" s="31">
        <f t="shared" si="796"/>
        <v>0</v>
      </c>
      <c r="P925" s="33">
        <f t="shared" si="797"/>
        <v>0</v>
      </c>
      <c r="Q925" s="34">
        <f t="shared" si="839"/>
        <v>979845.8937012176</v>
      </c>
      <c r="R925" s="29">
        <f t="shared" si="798"/>
        <v>0</v>
      </c>
      <c r="S925" s="34">
        <f t="shared" si="799"/>
        <v>979845.8937012176</v>
      </c>
      <c r="T925" s="29">
        <f t="shared" si="800"/>
        <v>816.53824475101476</v>
      </c>
      <c r="U925" s="29">
        <f t="shared" si="801"/>
        <v>0</v>
      </c>
      <c r="V925" s="35">
        <f t="shared" si="802"/>
        <v>9.6387288203370058E-3</v>
      </c>
      <c r="W925" s="34">
        <f t="shared" si="803"/>
        <v>0</v>
      </c>
      <c r="X925" s="34">
        <f t="shared" si="804"/>
        <v>979029.35545646655</v>
      </c>
      <c r="Y925" s="36">
        <f t="shared" si="805"/>
        <v>-2.1968913109723376E-3</v>
      </c>
      <c r="Z925" s="34">
        <f t="shared" si="806"/>
        <v>-2150.8210841891596</v>
      </c>
      <c r="AA925" s="34">
        <f t="shared" si="807"/>
        <v>977953.94491437194</v>
      </c>
      <c r="AB925" s="34">
        <f t="shared" si="808"/>
        <v>0</v>
      </c>
      <c r="AC925" s="34">
        <f t="shared" si="809"/>
        <v>0</v>
      </c>
      <c r="AD925" s="34">
        <f t="shared" si="810"/>
        <v>0</v>
      </c>
      <c r="AE925" s="34">
        <f t="shared" si="811"/>
        <v>0</v>
      </c>
      <c r="AF925" s="34">
        <f t="shared" si="812"/>
        <v>0</v>
      </c>
      <c r="AG925" s="29">
        <f t="shared" si="813"/>
        <v>977953.94491437194</v>
      </c>
      <c r="AH925" s="34">
        <f t="shared" si="814"/>
        <v>0</v>
      </c>
      <c r="AI925" s="34">
        <f t="shared" si="815"/>
        <v>0</v>
      </c>
      <c r="AJ925" s="34">
        <f t="shared" si="816"/>
        <v>0</v>
      </c>
      <c r="AK925" s="34">
        <f t="shared" si="817"/>
        <v>0</v>
      </c>
      <c r="AL925" s="34">
        <f t="shared" si="818"/>
        <v>0</v>
      </c>
      <c r="AM925" s="34">
        <f t="shared" si="819"/>
        <v>0</v>
      </c>
      <c r="AN925" s="34">
        <f t="shared" si="820"/>
        <v>0</v>
      </c>
      <c r="AO925" s="34">
        <f t="shared" si="821"/>
        <v>0</v>
      </c>
      <c r="AP925" s="34">
        <f t="shared" si="822"/>
        <v>0</v>
      </c>
      <c r="AQ925" s="34">
        <f t="shared" si="823"/>
        <v>0</v>
      </c>
      <c r="AR925" s="34">
        <f t="shared" si="824"/>
        <v>0</v>
      </c>
      <c r="AS925" s="30">
        <f t="shared" si="825"/>
        <v>2.1461765131239163</v>
      </c>
      <c r="AT925" s="29">
        <f t="shared" si="826"/>
        <v>0</v>
      </c>
      <c r="AU925" s="29">
        <f t="shared" si="827"/>
        <v>0</v>
      </c>
      <c r="AV925" s="34">
        <f t="shared" si="828"/>
        <v>0</v>
      </c>
      <c r="AW925" s="34">
        <f t="shared" si="829"/>
        <v>0</v>
      </c>
      <c r="AX925" s="29">
        <f t="shared" si="830"/>
        <v>0</v>
      </c>
      <c r="AY925" s="34">
        <f t="shared" si="831"/>
        <v>0</v>
      </c>
      <c r="AZ925" s="37">
        <f t="shared" si="832"/>
        <v>0</v>
      </c>
      <c r="BA925" s="37">
        <f t="shared" si="833"/>
        <v>0</v>
      </c>
      <c r="BB925" s="35">
        <f t="shared" si="834"/>
        <v>1.6196603385294495E-3</v>
      </c>
      <c r="BC925" s="31">
        <f t="shared" si="835"/>
        <v>0.22525989710859073</v>
      </c>
      <c r="BD925" s="34">
        <f t="shared" si="836"/>
        <v>0</v>
      </c>
    </row>
    <row r="926" spans="1:56" x14ac:dyDescent="0.2">
      <c r="A926" s="27">
        <f t="shared" si="837"/>
        <v>922</v>
      </c>
      <c r="B926" s="28">
        <f t="shared" si="784"/>
        <v>922</v>
      </c>
      <c r="C926" s="27">
        <f t="shared" si="785"/>
        <v>76</v>
      </c>
      <c r="D926" s="28">
        <f t="shared" si="786"/>
        <v>96</v>
      </c>
      <c r="E926" s="29">
        <f t="shared" si="787"/>
        <v>0</v>
      </c>
      <c r="F926" s="30">
        <f t="shared" si="788"/>
        <v>0.1002273550954023</v>
      </c>
      <c r="G926" s="31">
        <f t="shared" si="789"/>
        <v>8.7624807457609144E-3</v>
      </c>
      <c r="H926" s="32">
        <f t="shared" si="790"/>
        <v>0.02</v>
      </c>
      <c r="I926" s="32">
        <f t="shared" si="791"/>
        <v>0</v>
      </c>
      <c r="J926" s="33">
        <f t="shared" si="838"/>
        <v>0</v>
      </c>
      <c r="K926" s="30">
        <f t="shared" si="792"/>
        <v>0</v>
      </c>
      <c r="L926" s="33">
        <f t="shared" si="793"/>
        <v>0</v>
      </c>
      <c r="M926" s="30">
        <f t="shared" si="794"/>
        <v>0</v>
      </c>
      <c r="N926" s="33">
        <f t="shared" si="795"/>
        <v>0</v>
      </c>
      <c r="O926" s="31">
        <f t="shared" si="796"/>
        <v>0</v>
      </c>
      <c r="P926" s="33">
        <f t="shared" si="797"/>
        <v>0</v>
      </c>
      <c r="Q926" s="34">
        <f t="shared" si="839"/>
        <v>976878.53437227744</v>
      </c>
      <c r="R926" s="29">
        <f t="shared" si="798"/>
        <v>0</v>
      </c>
      <c r="S926" s="34">
        <f t="shared" si="799"/>
        <v>976878.53437227744</v>
      </c>
      <c r="T926" s="29">
        <f t="shared" si="800"/>
        <v>814.06544531023121</v>
      </c>
      <c r="U926" s="29">
        <f t="shared" si="801"/>
        <v>0</v>
      </c>
      <c r="V926" s="35">
        <f t="shared" si="802"/>
        <v>9.6387288203370058E-3</v>
      </c>
      <c r="W926" s="34">
        <f t="shared" si="803"/>
        <v>0</v>
      </c>
      <c r="X926" s="34">
        <f t="shared" si="804"/>
        <v>976064.46892696724</v>
      </c>
      <c r="Y926" s="36">
        <f t="shared" si="805"/>
        <v>3.5500018729544003E-3</v>
      </c>
      <c r="Z926" s="34">
        <f t="shared" si="806"/>
        <v>3465.0306928149757</v>
      </c>
      <c r="AA926" s="34">
        <f t="shared" si="807"/>
        <v>977796.98427337478</v>
      </c>
      <c r="AB926" s="34">
        <f t="shared" si="808"/>
        <v>0</v>
      </c>
      <c r="AC926" s="34">
        <f t="shared" si="809"/>
        <v>0</v>
      </c>
      <c r="AD926" s="34">
        <f t="shared" si="810"/>
        <v>0</v>
      </c>
      <c r="AE926" s="34">
        <f t="shared" si="811"/>
        <v>0</v>
      </c>
      <c r="AF926" s="34">
        <f t="shared" si="812"/>
        <v>0</v>
      </c>
      <c r="AG926" s="29">
        <f t="shared" si="813"/>
        <v>977796.98427337478</v>
      </c>
      <c r="AH926" s="34">
        <f t="shared" si="814"/>
        <v>0</v>
      </c>
      <c r="AI926" s="34">
        <f t="shared" si="815"/>
        <v>0</v>
      </c>
      <c r="AJ926" s="34">
        <f t="shared" si="816"/>
        <v>0</v>
      </c>
      <c r="AK926" s="34">
        <f t="shared" si="817"/>
        <v>0</v>
      </c>
      <c r="AL926" s="34">
        <f t="shared" si="818"/>
        <v>0</v>
      </c>
      <c r="AM926" s="34">
        <f t="shared" si="819"/>
        <v>0</v>
      </c>
      <c r="AN926" s="34">
        <f t="shared" si="820"/>
        <v>0</v>
      </c>
      <c r="AO926" s="34">
        <f t="shared" si="821"/>
        <v>0</v>
      </c>
      <c r="AP926" s="34">
        <f t="shared" si="822"/>
        <v>0</v>
      </c>
      <c r="AQ926" s="34">
        <f t="shared" si="823"/>
        <v>0</v>
      </c>
      <c r="AR926" s="34">
        <f t="shared" si="824"/>
        <v>0</v>
      </c>
      <c r="AS926" s="30">
        <f t="shared" si="825"/>
        <v>2.1479568483416669</v>
      </c>
      <c r="AT926" s="29">
        <f t="shared" si="826"/>
        <v>0</v>
      </c>
      <c r="AU926" s="29">
        <f t="shared" si="827"/>
        <v>0</v>
      </c>
      <c r="AV926" s="34">
        <f t="shared" si="828"/>
        <v>0</v>
      </c>
      <c r="AW926" s="34">
        <f t="shared" si="829"/>
        <v>0</v>
      </c>
      <c r="AX926" s="29">
        <f t="shared" si="830"/>
        <v>0</v>
      </c>
      <c r="AY926" s="34">
        <f t="shared" si="831"/>
        <v>0</v>
      </c>
      <c r="AZ926" s="37">
        <f t="shared" si="832"/>
        <v>0</v>
      </c>
      <c r="BA926" s="37">
        <f t="shared" si="833"/>
        <v>0</v>
      </c>
      <c r="BB926" s="35">
        <f t="shared" si="834"/>
        <v>1.6196603385294495E-3</v>
      </c>
      <c r="BC926" s="31">
        <f t="shared" si="835"/>
        <v>0.2248956425560345</v>
      </c>
      <c r="BD926" s="34">
        <f t="shared" si="836"/>
        <v>0</v>
      </c>
    </row>
    <row r="927" spans="1:56" x14ac:dyDescent="0.2">
      <c r="A927" s="27">
        <f t="shared" si="837"/>
        <v>923</v>
      </c>
      <c r="B927" s="28">
        <f t="shared" si="784"/>
        <v>923</v>
      </c>
      <c r="C927" s="27">
        <f t="shared" si="785"/>
        <v>76</v>
      </c>
      <c r="D927" s="28">
        <f t="shared" si="786"/>
        <v>96</v>
      </c>
      <c r="E927" s="29">
        <f t="shared" si="787"/>
        <v>0</v>
      </c>
      <c r="F927" s="30">
        <f t="shared" si="788"/>
        <v>0.1002273550954023</v>
      </c>
      <c r="G927" s="31">
        <f t="shared" si="789"/>
        <v>8.7624807457609144E-3</v>
      </c>
      <c r="H927" s="32">
        <f t="shared" si="790"/>
        <v>0.02</v>
      </c>
      <c r="I927" s="32">
        <f t="shared" si="791"/>
        <v>0</v>
      </c>
      <c r="J927" s="33">
        <f t="shared" si="838"/>
        <v>0</v>
      </c>
      <c r="K927" s="30">
        <f t="shared" si="792"/>
        <v>0</v>
      </c>
      <c r="L927" s="33">
        <f t="shared" si="793"/>
        <v>0</v>
      </c>
      <c r="M927" s="30">
        <f t="shared" si="794"/>
        <v>0</v>
      </c>
      <c r="N927" s="33">
        <f t="shared" si="795"/>
        <v>0</v>
      </c>
      <c r="O927" s="31">
        <f t="shared" si="796"/>
        <v>0</v>
      </c>
      <c r="P927" s="33">
        <f t="shared" si="797"/>
        <v>0</v>
      </c>
      <c r="Q927" s="34">
        <f t="shared" si="839"/>
        <v>979529.4996197822</v>
      </c>
      <c r="R927" s="29">
        <f t="shared" si="798"/>
        <v>0</v>
      </c>
      <c r="S927" s="34">
        <f t="shared" si="799"/>
        <v>979529.4996197822</v>
      </c>
      <c r="T927" s="29">
        <f t="shared" si="800"/>
        <v>816.27458301648517</v>
      </c>
      <c r="U927" s="29">
        <f t="shared" si="801"/>
        <v>0</v>
      </c>
      <c r="V927" s="35">
        <f t="shared" si="802"/>
        <v>9.6387288203370058E-3</v>
      </c>
      <c r="W927" s="34">
        <f t="shared" si="803"/>
        <v>0</v>
      </c>
      <c r="X927" s="34">
        <f t="shared" si="804"/>
        <v>978713.22503676568</v>
      </c>
      <c r="Y927" s="36">
        <f t="shared" si="805"/>
        <v>7.6716697105196907E-3</v>
      </c>
      <c r="Z927" s="34">
        <f t="shared" si="806"/>
        <v>7508.3646037995968</v>
      </c>
      <c r="AA927" s="34">
        <f t="shared" si="807"/>
        <v>982467.40733866545</v>
      </c>
      <c r="AB927" s="34">
        <f t="shared" si="808"/>
        <v>0</v>
      </c>
      <c r="AC927" s="34">
        <f t="shared" si="809"/>
        <v>0</v>
      </c>
      <c r="AD927" s="34">
        <f t="shared" si="810"/>
        <v>0</v>
      </c>
      <c r="AE927" s="34">
        <f t="shared" si="811"/>
        <v>0</v>
      </c>
      <c r="AF927" s="34">
        <f t="shared" si="812"/>
        <v>0</v>
      </c>
      <c r="AG927" s="29">
        <f t="shared" si="813"/>
        <v>982467.40733866545</v>
      </c>
      <c r="AH927" s="34">
        <f t="shared" si="814"/>
        <v>0</v>
      </c>
      <c r="AI927" s="34">
        <f t="shared" si="815"/>
        <v>0</v>
      </c>
      <c r="AJ927" s="34">
        <f t="shared" si="816"/>
        <v>0</v>
      </c>
      <c r="AK927" s="34">
        <f t="shared" si="817"/>
        <v>0</v>
      </c>
      <c r="AL927" s="34">
        <f t="shared" si="818"/>
        <v>0</v>
      </c>
      <c r="AM927" s="34">
        <f t="shared" si="819"/>
        <v>0</v>
      </c>
      <c r="AN927" s="34">
        <f t="shared" si="820"/>
        <v>0</v>
      </c>
      <c r="AO927" s="34">
        <f t="shared" si="821"/>
        <v>0</v>
      </c>
      <c r="AP927" s="34">
        <f t="shared" si="822"/>
        <v>0</v>
      </c>
      <c r="AQ927" s="34">
        <f t="shared" si="823"/>
        <v>0</v>
      </c>
      <c r="AR927" s="34">
        <f t="shared" si="824"/>
        <v>0</v>
      </c>
      <c r="AS927" s="30">
        <f t="shared" si="825"/>
        <v>2.1497386604153377</v>
      </c>
      <c r="AT927" s="29">
        <f t="shared" si="826"/>
        <v>0</v>
      </c>
      <c r="AU927" s="29">
        <f t="shared" si="827"/>
        <v>0</v>
      </c>
      <c r="AV927" s="34">
        <f t="shared" si="828"/>
        <v>0</v>
      </c>
      <c r="AW927" s="34">
        <f t="shared" si="829"/>
        <v>0</v>
      </c>
      <c r="AX927" s="29">
        <f t="shared" si="830"/>
        <v>0</v>
      </c>
      <c r="AY927" s="34">
        <f t="shared" si="831"/>
        <v>0</v>
      </c>
      <c r="AZ927" s="37">
        <f t="shared" si="832"/>
        <v>0</v>
      </c>
      <c r="BA927" s="37">
        <f t="shared" si="833"/>
        <v>0</v>
      </c>
      <c r="BB927" s="35">
        <f t="shared" si="834"/>
        <v>1.6196603385294495E-3</v>
      </c>
      <c r="BC927" s="31">
        <f t="shared" si="835"/>
        <v>0.22453197701812669</v>
      </c>
      <c r="BD927" s="34">
        <f t="shared" si="836"/>
        <v>0</v>
      </c>
    </row>
    <row r="928" spans="1:56" x14ac:dyDescent="0.2">
      <c r="A928" s="27">
        <f t="shared" si="837"/>
        <v>924</v>
      </c>
      <c r="B928" s="28">
        <f t="shared" si="784"/>
        <v>924</v>
      </c>
      <c r="C928" s="27">
        <f t="shared" si="785"/>
        <v>77</v>
      </c>
      <c r="D928" s="28">
        <f t="shared" si="786"/>
        <v>97</v>
      </c>
      <c r="E928" s="29">
        <f t="shared" si="787"/>
        <v>0</v>
      </c>
      <c r="F928" s="30">
        <f t="shared" si="788"/>
        <v>0.1144128154406663</v>
      </c>
      <c r="G928" s="31">
        <f t="shared" si="789"/>
        <v>1.0074275128591492E-2</v>
      </c>
      <c r="H928" s="32">
        <f t="shared" si="790"/>
        <v>0.02</v>
      </c>
      <c r="I928" s="32">
        <f t="shared" si="791"/>
        <v>0</v>
      </c>
      <c r="J928" s="33">
        <f t="shared" si="838"/>
        <v>0</v>
      </c>
      <c r="K928" s="30">
        <f t="shared" si="792"/>
        <v>0</v>
      </c>
      <c r="L928" s="33">
        <f t="shared" si="793"/>
        <v>0</v>
      </c>
      <c r="M928" s="30">
        <f t="shared" si="794"/>
        <v>0</v>
      </c>
      <c r="N928" s="33">
        <f t="shared" si="795"/>
        <v>0</v>
      </c>
      <c r="O928" s="31">
        <f t="shared" si="796"/>
        <v>0</v>
      </c>
      <c r="P928" s="33">
        <f t="shared" si="797"/>
        <v>0</v>
      </c>
      <c r="Q928" s="34">
        <f t="shared" si="839"/>
        <v>986221.58964056533</v>
      </c>
      <c r="R928" s="29">
        <f t="shared" si="798"/>
        <v>0</v>
      </c>
      <c r="S928" s="34">
        <f t="shared" si="799"/>
        <v>986221.58964056533</v>
      </c>
      <c r="T928" s="29">
        <f t="shared" si="800"/>
        <v>821.8513247004712</v>
      </c>
      <c r="U928" s="29">
        <f t="shared" si="801"/>
        <v>0</v>
      </c>
      <c r="V928" s="35">
        <f t="shared" si="802"/>
        <v>1.1081702641450643E-2</v>
      </c>
      <c r="W928" s="34">
        <f t="shared" si="803"/>
        <v>0</v>
      </c>
      <c r="X928" s="34">
        <f t="shared" si="804"/>
        <v>985399.73831586482</v>
      </c>
      <c r="Y928" s="36">
        <f t="shared" si="805"/>
        <v>-1.2779934031027729E-2</v>
      </c>
      <c r="Z928" s="34">
        <f t="shared" si="806"/>
        <v>-12593.343649868739</v>
      </c>
      <c r="AA928" s="34">
        <f t="shared" si="807"/>
        <v>979103.06649093039</v>
      </c>
      <c r="AB928" s="34">
        <f t="shared" si="808"/>
        <v>0</v>
      </c>
      <c r="AC928" s="34">
        <f t="shared" si="809"/>
        <v>0</v>
      </c>
      <c r="AD928" s="34">
        <f t="shared" si="810"/>
        <v>0</v>
      </c>
      <c r="AE928" s="34">
        <f t="shared" si="811"/>
        <v>0</v>
      </c>
      <c r="AF928" s="34">
        <f t="shared" si="812"/>
        <v>0</v>
      </c>
      <c r="AG928" s="29">
        <f t="shared" si="813"/>
        <v>979103.06649093039</v>
      </c>
      <c r="AH928" s="34">
        <f t="shared" si="814"/>
        <v>0</v>
      </c>
      <c r="AI928" s="34">
        <f t="shared" si="815"/>
        <v>0</v>
      </c>
      <c r="AJ928" s="34">
        <f t="shared" si="816"/>
        <v>0</v>
      </c>
      <c r="AK928" s="34">
        <f t="shared" si="817"/>
        <v>0</v>
      </c>
      <c r="AL928" s="34">
        <f t="shared" si="818"/>
        <v>0</v>
      </c>
      <c r="AM928" s="34">
        <f t="shared" si="819"/>
        <v>0</v>
      </c>
      <c r="AN928" s="34">
        <f t="shared" si="820"/>
        <v>0</v>
      </c>
      <c r="AO928" s="34">
        <f t="shared" si="821"/>
        <v>0</v>
      </c>
      <c r="AP928" s="34">
        <f t="shared" si="822"/>
        <v>0</v>
      </c>
      <c r="AQ928" s="34">
        <f t="shared" si="823"/>
        <v>0</v>
      </c>
      <c r="AR928" s="34">
        <f t="shared" si="824"/>
        <v>0</v>
      </c>
      <c r="AS928" s="30">
        <f t="shared" si="825"/>
        <v>2.1515219505700358</v>
      </c>
      <c r="AT928" s="29">
        <f t="shared" si="826"/>
        <v>0</v>
      </c>
      <c r="AU928" s="29">
        <f t="shared" si="827"/>
        <v>0</v>
      </c>
      <c r="AV928" s="34">
        <f t="shared" si="828"/>
        <v>0</v>
      </c>
      <c r="AW928" s="34">
        <f t="shared" si="829"/>
        <v>0</v>
      </c>
      <c r="AX928" s="29">
        <f t="shared" si="830"/>
        <v>0</v>
      </c>
      <c r="AY928" s="34">
        <f t="shared" si="831"/>
        <v>0</v>
      </c>
      <c r="AZ928" s="37">
        <f t="shared" si="832"/>
        <v>0</v>
      </c>
      <c r="BA928" s="37">
        <f t="shared" si="833"/>
        <v>0</v>
      </c>
      <c r="BB928" s="35">
        <f t="shared" si="834"/>
        <v>1.6425790862020229E-3</v>
      </c>
      <c r="BC928" s="31">
        <f t="shared" si="835"/>
        <v>0.21947917351601812</v>
      </c>
      <c r="BD928" s="34">
        <f t="shared" si="836"/>
        <v>0</v>
      </c>
    </row>
    <row r="929" spans="1:56" x14ac:dyDescent="0.2">
      <c r="A929" s="27">
        <f t="shared" si="837"/>
        <v>925</v>
      </c>
      <c r="B929" s="28">
        <f t="shared" si="784"/>
        <v>925</v>
      </c>
      <c r="C929" s="27">
        <f t="shared" si="785"/>
        <v>77</v>
      </c>
      <c r="D929" s="28">
        <f t="shared" si="786"/>
        <v>97</v>
      </c>
      <c r="E929" s="29">
        <f t="shared" si="787"/>
        <v>0</v>
      </c>
      <c r="F929" s="30">
        <f t="shared" si="788"/>
        <v>0.1144128154406663</v>
      </c>
      <c r="G929" s="31">
        <f t="shared" si="789"/>
        <v>1.0074275128591492E-2</v>
      </c>
      <c r="H929" s="32">
        <f t="shared" si="790"/>
        <v>0.02</v>
      </c>
      <c r="I929" s="32">
        <f t="shared" si="791"/>
        <v>0</v>
      </c>
      <c r="J929" s="33">
        <f t="shared" si="838"/>
        <v>0</v>
      </c>
      <c r="K929" s="30">
        <f t="shared" si="792"/>
        <v>0</v>
      </c>
      <c r="L929" s="33">
        <f t="shared" si="793"/>
        <v>0</v>
      </c>
      <c r="M929" s="30">
        <f t="shared" si="794"/>
        <v>0</v>
      </c>
      <c r="N929" s="33">
        <f t="shared" si="795"/>
        <v>0</v>
      </c>
      <c r="O929" s="31">
        <f t="shared" si="796"/>
        <v>0</v>
      </c>
      <c r="P929" s="33">
        <f t="shared" si="797"/>
        <v>0</v>
      </c>
      <c r="Q929" s="34">
        <f t="shared" si="839"/>
        <v>972806.39466599608</v>
      </c>
      <c r="R929" s="29">
        <f t="shared" si="798"/>
        <v>0</v>
      </c>
      <c r="S929" s="34">
        <f t="shared" si="799"/>
        <v>972806.39466599608</v>
      </c>
      <c r="T929" s="29">
        <f t="shared" si="800"/>
        <v>810.67199555499678</v>
      </c>
      <c r="U929" s="29">
        <f t="shared" si="801"/>
        <v>0</v>
      </c>
      <c r="V929" s="35">
        <f t="shared" si="802"/>
        <v>1.1081702641450643E-2</v>
      </c>
      <c r="W929" s="34">
        <f t="shared" si="803"/>
        <v>0</v>
      </c>
      <c r="X929" s="34">
        <f t="shared" si="804"/>
        <v>971995.72267044103</v>
      </c>
      <c r="Y929" s="36">
        <f t="shared" si="805"/>
        <v>4.8704070306015979E-4</v>
      </c>
      <c r="Z929" s="34">
        <f t="shared" si="806"/>
        <v>473.4014801408797</v>
      </c>
      <c r="AA929" s="34">
        <f t="shared" si="807"/>
        <v>972232.42341051146</v>
      </c>
      <c r="AB929" s="34">
        <f t="shared" si="808"/>
        <v>0</v>
      </c>
      <c r="AC929" s="34">
        <f t="shared" si="809"/>
        <v>0</v>
      </c>
      <c r="AD929" s="34">
        <f t="shared" si="810"/>
        <v>0</v>
      </c>
      <c r="AE929" s="34">
        <f t="shared" si="811"/>
        <v>0</v>
      </c>
      <c r="AF929" s="34">
        <f t="shared" si="812"/>
        <v>0</v>
      </c>
      <c r="AG929" s="29">
        <f t="shared" si="813"/>
        <v>972232.42341051146</v>
      </c>
      <c r="AH929" s="34">
        <f t="shared" si="814"/>
        <v>0</v>
      </c>
      <c r="AI929" s="34">
        <f t="shared" si="815"/>
        <v>0</v>
      </c>
      <c r="AJ929" s="34">
        <f t="shared" si="816"/>
        <v>0</v>
      </c>
      <c r="AK929" s="34">
        <f t="shared" si="817"/>
        <v>0</v>
      </c>
      <c r="AL929" s="34">
        <f t="shared" si="818"/>
        <v>0</v>
      </c>
      <c r="AM929" s="34">
        <f t="shared" si="819"/>
        <v>0</v>
      </c>
      <c r="AN929" s="34">
        <f t="shared" si="820"/>
        <v>0</v>
      </c>
      <c r="AO929" s="34">
        <f t="shared" si="821"/>
        <v>0</v>
      </c>
      <c r="AP929" s="34">
        <f t="shared" si="822"/>
        <v>0</v>
      </c>
      <c r="AQ929" s="34">
        <f t="shared" si="823"/>
        <v>0</v>
      </c>
      <c r="AR929" s="34">
        <f t="shared" si="824"/>
        <v>0</v>
      </c>
      <c r="AS929" s="30">
        <f t="shared" si="825"/>
        <v>2.1533067200318858</v>
      </c>
      <c r="AT929" s="29">
        <f t="shared" si="826"/>
        <v>0</v>
      </c>
      <c r="AU929" s="29">
        <f t="shared" si="827"/>
        <v>0</v>
      </c>
      <c r="AV929" s="34">
        <f t="shared" si="828"/>
        <v>0</v>
      </c>
      <c r="AW929" s="34">
        <f t="shared" si="829"/>
        <v>0</v>
      </c>
      <c r="AX929" s="29">
        <f t="shared" si="830"/>
        <v>0</v>
      </c>
      <c r="AY929" s="34">
        <f t="shared" si="831"/>
        <v>0</v>
      </c>
      <c r="AZ929" s="37">
        <f t="shared" si="832"/>
        <v>0</v>
      </c>
      <c r="BA929" s="37">
        <f t="shared" si="833"/>
        <v>0</v>
      </c>
      <c r="BB929" s="35">
        <f t="shared" si="834"/>
        <v>1.6425790862020229E-3</v>
      </c>
      <c r="BC929" s="31">
        <f t="shared" si="835"/>
        <v>0.21911925281396175</v>
      </c>
      <c r="BD929" s="34">
        <f t="shared" si="836"/>
        <v>0</v>
      </c>
    </row>
    <row r="930" spans="1:56" x14ac:dyDescent="0.2">
      <c r="A930" s="27">
        <f t="shared" si="837"/>
        <v>926</v>
      </c>
      <c r="B930" s="28">
        <f t="shared" si="784"/>
        <v>926</v>
      </c>
      <c r="C930" s="27">
        <f t="shared" si="785"/>
        <v>77</v>
      </c>
      <c r="D930" s="28">
        <f t="shared" si="786"/>
        <v>97</v>
      </c>
      <c r="E930" s="29">
        <f t="shared" si="787"/>
        <v>0</v>
      </c>
      <c r="F930" s="30">
        <f t="shared" si="788"/>
        <v>0.1144128154406663</v>
      </c>
      <c r="G930" s="31">
        <f t="shared" si="789"/>
        <v>1.0074275128591492E-2</v>
      </c>
      <c r="H930" s="32">
        <f t="shared" si="790"/>
        <v>0.02</v>
      </c>
      <c r="I930" s="32">
        <f t="shared" si="791"/>
        <v>0</v>
      </c>
      <c r="J930" s="33">
        <f t="shared" si="838"/>
        <v>0</v>
      </c>
      <c r="K930" s="30">
        <f t="shared" si="792"/>
        <v>0</v>
      </c>
      <c r="L930" s="33">
        <f t="shared" si="793"/>
        <v>0</v>
      </c>
      <c r="M930" s="30">
        <f t="shared" si="794"/>
        <v>0</v>
      </c>
      <c r="N930" s="33">
        <f t="shared" si="795"/>
        <v>0</v>
      </c>
      <c r="O930" s="31">
        <f t="shared" si="796"/>
        <v>0</v>
      </c>
      <c r="P930" s="33">
        <f t="shared" si="797"/>
        <v>0</v>
      </c>
      <c r="Q930" s="34">
        <f t="shared" si="839"/>
        <v>972469.12415058189</v>
      </c>
      <c r="R930" s="29">
        <f t="shared" si="798"/>
        <v>0</v>
      </c>
      <c r="S930" s="34">
        <f t="shared" si="799"/>
        <v>972469.12415058189</v>
      </c>
      <c r="T930" s="29">
        <f t="shared" si="800"/>
        <v>810.39093679215159</v>
      </c>
      <c r="U930" s="29">
        <f t="shared" si="801"/>
        <v>0</v>
      </c>
      <c r="V930" s="35">
        <f t="shared" si="802"/>
        <v>1.1081702641450643E-2</v>
      </c>
      <c r="W930" s="34">
        <f t="shared" si="803"/>
        <v>0</v>
      </c>
      <c r="X930" s="34">
        <f t="shared" si="804"/>
        <v>971658.73321378976</v>
      </c>
      <c r="Y930" s="36">
        <f t="shared" si="805"/>
        <v>1.126674846961162E-2</v>
      </c>
      <c r="Z930" s="34">
        <f t="shared" si="806"/>
        <v>10947.434545421231</v>
      </c>
      <c r="AA930" s="34">
        <f t="shared" si="807"/>
        <v>977132.4504865004</v>
      </c>
      <c r="AB930" s="34">
        <f t="shared" si="808"/>
        <v>0</v>
      </c>
      <c r="AC930" s="34">
        <f t="shared" si="809"/>
        <v>0</v>
      </c>
      <c r="AD930" s="34">
        <f t="shared" si="810"/>
        <v>0</v>
      </c>
      <c r="AE930" s="34">
        <f t="shared" si="811"/>
        <v>0</v>
      </c>
      <c r="AF930" s="34">
        <f t="shared" si="812"/>
        <v>0</v>
      </c>
      <c r="AG930" s="29">
        <f t="shared" si="813"/>
        <v>977132.4504865004</v>
      </c>
      <c r="AH930" s="34">
        <f t="shared" si="814"/>
        <v>0</v>
      </c>
      <c r="AI930" s="34">
        <f t="shared" si="815"/>
        <v>0</v>
      </c>
      <c r="AJ930" s="34">
        <f t="shared" si="816"/>
        <v>0</v>
      </c>
      <c r="AK930" s="34">
        <f t="shared" si="817"/>
        <v>0</v>
      </c>
      <c r="AL930" s="34">
        <f t="shared" si="818"/>
        <v>0</v>
      </c>
      <c r="AM930" s="34">
        <f t="shared" si="819"/>
        <v>0</v>
      </c>
      <c r="AN930" s="34">
        <f t="shared" si="820"/>
        <v>0</v>
      </c>
      <c r="AO930" s="34">
        <f t="shared" si="821"/>
        <v>0</v>
      </c>
      <c r="AP930" s="34">
        <f t="shared" si="822"/>
        <v>0</v>
      </c>
      <c r="AQ930" s="34">
        <f t="shared" si="823"/>
        <v>0</v>
      </c>
      <c r="AR930" s="34">
        <f t="shared" si="824"/>
        <v>0</v>
      </c>
      <c r="AS930" s="30">
        <f t="shared" si="825"/>
        <v>2.1550929700280306</v>
      </c>
      <c r="AT930" s="29">
        <f t="shared" si="826"/>
        <v>0</v>
      </c>
      <c r="AU930" s="29">
        <f t="shared" si="827"/>
        <v>0</v>
      </c>
      <c r="AV930" s="34">
        <f t="shared" si="828"/>
        <v>0</v>
      </c>
      <c r="AW930" s="34">
        <f t="shared" si="829"/>
        <v>0</v>
      </c>
      <c r="AX930" s="29">
        <f t="shared" si="830"/>
        <v>0</v>
      </c>
      <c r="AY930" s="34">
        <f t="shared" si="831"/>
        <v>0</v>
      </c>
      <c r="AZ930" s="37">
        <f t="shared" si="832"/>
        <v>0</v>
      </c>
      <c r="BA930" s="37">
        <f t="shared" si="833"/>
        <v>0</v>
      </c>
      <c r="BB930" s="35">
        <f t="shared" si="834"/>
        <v>1.6425790862020229E-3</v>
      </c>
      <c r="BC930" s="31">
        <f t="shared" si="835"/>
        <v>0.2187599223406258</v>
      </c>
      <c r="BD930" s="34">
        <f t="shared" si="836"/>
        <v>0</v>
      </c>
    </row>
    <row r="931" spans="1:56" x14ac:dyDescent="0.2">
      <c r="A931" s="27">
        <f t="shared" si="837"/>
        <v>927</v>
      </c>
      <c r="B931" s="28">
        <f t="shared" si="784"/>
        <v>927</v>
      </c>
      <c r="C931" s="27">
        <f t="shared" si="785"/>
        <v>77</v>
      </c>
      <c r="D931" s="28">
        <f t="shared" si="786"/>
        <v>97</v>
      </c>
      <c r="E931" s="29">
        <f t="shared" si="787"/>
        <v>0</v>
      </c>
      <c r="F931" s="30">
        <f t="shared" si="788"/>
        <v>0.1144128154406663</v>
      </c>
      <c r="G931" s="31">
        <f t="shared" si="789"/>
        <v>1.0074275128591492E-2</v>
      </c>
      <c r="H931" s="32">
        <f t="shared" si="790"/>
        <v>0.02</v>
      </c>
      <c r="I931" s="32">
        <f t="shared" si="791"/>
        <v>0</v>
      </c>
      <c r="J931" s="33">
        <f t="shared" si="838"/>
        <v>0</v>
      </c>
      <c r="K931" s="30">
        <f t="shared" si="792"/>
        <v>0</v>
      </c>
      <c r="L931" s="33">
        <f t="shared" si="793"/>
        <v>0</v>
      </c>
      <c r="M931" s="30">
        <f t="shared" si="794"/>
        <v>0</v>
      </c>
      <c r="N931" s="33">
        <f t="shared" si="795"/>
        <v>0</v>
      </c>
      <c r="O931" s="31">
        <f t="shared" si="796"/>
        <v>0</v>
      </c>
      <c r="P931" s="33">
        <f t="shared" si="797"/>
        <v>0</v>
      </c>
      <c r="Q931" s="34">
        <f t="shared" si="839"/>
        <v>982606.16775921104</v>
      </c>
      <c r="R931" s="29">
        <f t="shared" si="798"/>
        <v>0</v>
      </c>
      <c r="S931" s="34">
        <f t="shared" si="799"/>
        <v>982606.16775921104</v>
      </c>
      <c r="T931" s="29">
        <f t="shared" si="800"/>
        <v>818.83847313267597</v>
      </c>
      <c r="U931" s="29">
        <f t="shared" si="801"/>
        <v>0</v>
      </c>
      <c r="V931" s="35">
        <f t="shared" si="802"/>
        <v>1.1081702641450643E-2</v>
      </c>
      <c r="W931" s="34">
        <f t="shared" si="803"/>
        <v>0</v>
      </c>
      <c r="X931" s="34">
        <f t="shared" si="804"/>
        <v>981787.32928607834</v>
      </c>
      <c r="Y931" s="36">
        <f t="shared" si="805"/>
        <v>4.6312481688657314E-3</v>
      </c>
      <c r="Z931" s="34">
        <f t="shared" si="806"/>
        <v>4546.9007709717271</v>
      </c>
      <c r="AA931" s="34">
        <f t="shared" si="807"/>
        <v>984060.77967156423</v>
      </c>
      <c r="AB931" s="34">
        <f t="shared" si="808"/>
        <v>0</v>
      </c>
      <c r="AC931" s="34">
        <f t="shared" si="809"/>
        <v>0</v>
      </c>
      <c r="AD931" s="34">
        <f t="shared" si="810"/>
        <v>0</v>
      </c>
      <c r="AE931" s="34">
        <f t="shared" si="811"/>
        <v>0</v>
      </c>
      <c r="AF931" s="34">
        <f t="shared" si="812"/>
        <v>0</v>
      </c>
      <c r="AG931" s="29">
        <f t="shared" si="813"/>
        <v>984060.77967156423</v>
      </c>
      <c r="AH931" s="34">
        <f t="shared" si="814"/>
        <v>0</v>
      </c>
      <c r="AI931" s="34">
        <f t="shared" si="815"/>
        <v>0</v>
      </c>
      <c r="AJ931" s="34">
        <f t="shared" si="816"/>
        <v>0</v>
      </c>
      <c r="AK931" s="34">
        <f t="shared" si="817"/>
        <v>0</v>
      </c>
      <c r="AL931" s="34">
        <f t="shared" si="818"/>
        <v>0</v>
      </c>
      <c r="AM931" s="34">
        <f t="shared" si="819"/>
        <v>0</v>
      </c>
      <c r="AN931" s="34">
        <f t="shared" si="820"/>
        <v>0</v>
      </c>
      <c r="AO931" s="34">
        <f t="shared" si="821"/>
        <v>0</v>
      </c>
      <c r="AP931" s="34">
        <f t="shared" si="822"/>
        <v>0</v>
      </c>
      <c r="AQ931" s="34">
        <f t="shared" si="823"/>
        <v>0</v>
      </c>
      <c r="AR931" s="34">
        <f t="shared" si="824"/>
        <v>0</v>
      </c>
      <c r="AS931" s="30">
        <f t="shared" si="825"/>
        <v>2.1568807017866285</v>
      </c>
      <c r="AT931" s="29">
        <f t="shared" si="826"/>
        <v>0</v>
      </c>
      <c r="AU931" s="29">
        <f t="shared" si="827"/>
        <v>0</v>
      </c>
      <c r="AV931" s="34">
        <f t="shared" si="828"/>
        <v>0</v>
      </c>
      <c r="AW931" s="34">
        <f t="shared" si="829"/>
        <v>0</v>
      </c>
      <c r="AX931" s="29">
        <f t="shared" si="830"/>
        <v>0</v>
      </c>
      <c r="AY931" s="34">
        <f t="shared" si="831"/>
        <v>0</v>
      </c>
      <c r="AZ931" s="37">
        <f t="shared" si="832"/>
        <v>0</v>
      </c>
      <c r="BA931" s="37">
        <f t="shared" si="833"/>
        <v>0</v>
      </c>
      <c r="BB931" s="35">
        <f t="shared" si="834"/>
        <v>1.6425790862020229E-3</v>
      </c>
      <c r="BC931" s="31">
        <f t="shared" si="835"/>
        <v>0.21840118112810303</v>
      </c>
      <c r="BD931" s="34">
        <f t="shared" si="836"/>
        <v>0</v>
      </c>
    </row>
    <row r="932" spans="1:56" x14ac:dyDescent="0.2">
      <c r="A932" s="27">
        <f t="shared" si="837"/>
        <v>928</v>
      </c>
      <c r="B932" s="28">
        <f t="shared" si="784"/>
        <v>928</v>
      </c>
      <c r="C932" s="27">
        <f t="shared" si="785"/>
        <v>77</v>
      </c>
      <c r="D932" s="28">
        <f t="shared" si="786"/>
        <v>97</v>
      </c>
      <c r="E932" s="29">
        <f t="shared" si="787"/>
        <v>0</v>
      </c>
      <c r="F932" s="30">
        <f t="shared" si="788"/>
        <v>0.1144128154406663</v>
      </c>
      <c r="G932" s="31">
        <f t="shared" si="789"/>
        <v>1.0074275128591492E-2</v>
      </c>
      <c r="H932" s="32">
        <f t="shared" si="790"/>
        <v>0.02</v>
      </c>
      <c r="I932" s="32">
        <f t="shared" si="791"/>
        <v>0</v>
      </c>
      <c r="J932" s="33">
        <f t="shared" si="838"/>
        <v>0</v>
      </c>
      <c r="K932" s="30">
        <f t="shared" si="792"/>
        <v>0</v>
      </c>
      <c r="L932" s="33">
        <f t="shared" si="793"/>
        <v>0</v>
      </c>
      <c r="M932" s="30">
        <f t="shared" si="794"/>
        <v>0</v>
      </c>
      <c r="N932" s="33">
        <f t="shared" si="795"/>
        <v>0</v>
      </c>
      <c r="O932" s="31">
        <f t="shared" si="796"/>
        <v>0</v>
      </c>
      <c r="P932" s="33">
        <f t="shared" si="797"/>
        <v>0</v>
      </c>
      <c r="Q932" s="34">
        <f t="shared" si="839"/>
        <v>986334.23005705012</v>
      </c>
      <c r="R932" s="29">
        <f t="shared" si="798"/>
        <v>0</v>
      </c>
      <c r="S932" s="34">
        <f t="shared" si="799"/>
        <v>986334.23005705012</v>
      </c>
      <c r="T932" s="29">
        <f t="shared" si="800"/>
        <v>821.94519171420848</v>
      </c>
      <c r="U932" s="29">
        <f t="shared" si="801"/>
        <v>0</v>
      </c>
      <c r="V932" s="35">
        <f t="shared" si="802"/>
        <v>1.1081702641450643E-2</v>
      </c>
      <c r="W932" s="34">
        <f t="shared" si="803"/>
        <v>0</v>
      </c>
      <c r="X932" s="34">
        <f t="shared" si="804"/>
        <v>985512.28486533591</v>
      </c>
      <c r="Y932" s="36">
        <f t="shared" si="805"/>
        <v>-3.5906047893885518E-4</v>
      </c>
      <c r="Z932" s="34">
        <f t="shared" si="806"/>
        <v>-353.85851300387299</v>
      </c>
      <c r="AA932" s="34">
        <f t="shared" si="807"/>
        <v>985335.35560883395</v>
      </c>
      <c r="AB932" s="34">
        <f t="shared" si="808"/>
        <v>0</v>
      </c>
      <c r="AC932" s="34">
        <f t="shared" si="809"/>
        <v>0</v>
      </c>
      <c r="AD932" s="34">
        <f t="shared" si="810"/>
        <v>0</v>
      </c>
      <c r="AE932" s="34">
        <f t="shared" si="811"/>
        <v>0</v>
      </c>
      <c r="AF932" s="34">
        <f t="shared" si="812"/>
        <v>0</v>
      </c>
      <c r="AG932" s="29">
        <f t="shared" si="813"/>
        <v>985335.35560883395</v>
      </c>
      <c r="AH932" s="34">
        <f t="shared" si="814"/>
        <v>0</v>
      </c>
      <c r="AI932" s="34">
        <f t="shared" si="815"/>
        <v>0</v>
      </c>
      <c r="AJ932" s="34">
        <f t="shared" si="816"/>
        <v>0</v>
      </c>
      <c r="AK932" s="34">
        <f t="shared" si="817"/>
        <v>0</v>
      </c>
      <c r="AL932" s="34">
        <f t="shared" si="818"/>
        <v>0</v>
      </c>
      <c r="AM932" s="34">
        <f t="shared" si="819"/>
        <v>0</v>
      </c>
      <c r="AN932" s="34">
        <f t="shared" si="820"/>
        <v>0</v>
      </c>
      <c r="AO932" s="34">
        <f t="shared" si="821"/>
        <v>0</v>
      </c>
      <c r="AP932" s="34">
        <f t="shared" si="822"/>
        <v>0</v>
      </c>
      <c r="AQ932" s="34">
        <f t="shared" si="823"/>
        <v>0</v>
      </c>
      <c r="AR932" s="34">
        <f t="shared" si="824"/>
        <v>0</v>
      </c>
      <c r="AS932" s="30">
        <f t="shared" si="825"/>
        <v>2.1586699165368581</v>
      </c>
      <c r="AT932" s="29">
        <f t="shared" si="826"/>
        <v>0</v>
      </c>
      <c r="AU932" s="29">
        <f t="shared" si="827"/>
        <v>0</v>
      </c>
      <c r="AV932" s="34">
        <f t="shared" si="828"/>
        <v>0</v>
      </c>
      <c r="AW932" s="34">
        <f t="shared" si="829"/>
        <v>0</v>
      </c>
      <c r="AX932" s="29">
        <f t="shared" si="830"/>
        <v>0</v>
      </c>
      <c r="AY932" s="34">
        <f t="shared" si="831"/>
        <v>0</v>
      </c>
      <c r="AZ932" s="37">
        <f t="shared" si="832"/>
        <v>0</v>
      </c>
      <c r="BA932" s="37">
        <f t="shared" si="833"/>
        <v>0</v>
      </c>
      <c r="BB932" s="35">
        <f t="shared" si="834"/>
        <v>1.6425790862020229E-3</v>
      </c>
      <c r="BC932" s="31">
        <f t="shared" si="835"/>
        <v>0.21804302821007304</v>
      </c>
      <c r="BD932" s="34">
        <f t="shared" si="836"/>
        <v>0</v>
      </c>
    </row>
    <row r="933" spans="1:56" x14ac:dyDescent="0.2">
      <c r="A933" s="27">
        <f t="shared" si="837"/>
        <v>929</v>
      </c>
      <c r="B933" s="28">
        <f t="shared" si="784"/>
        <v>929</v>
      </c>
      <c r="C933" s="27">
        <f t="shared" si="785"/>
        <v>77</v>
      </c>
      <c r="D933" s="28">
        <f t="shared" si="786"/>
        <v>97</v>
      </c>
      <c r="E933" s="29">
        <f t="shared" si="787"/>
        <v>0</v>
      </c>
      <c r="F933" s="30">
        <f t="shared" si="788"/>
        <v>0.1144128154406663</v>
      </c>
      <c r="G933" s="31">
        <f t="shared" si="789"/>
        <v>1.0074275128591492E-2</v>
      </c>
      <c r="H933" s="32">
        <f t="shared" si="790"/>
        <v>0.02</v>
      </c>
      <c r="I933" s="32">
        <f t="shared" si="791"/>
        <v>0</v>
      </c>
      <c r="J933" s="33">
        <f t="shared" si="838"/>
        <v>0</v>
      </c>
      <c r="K933" s="30">
        <f t="shared" si="792"/>
        <v>0</v>
      </c>
      <c r="L933" s="33">
        <f t="shared" si="793"/>
        <v>0</v>
      </c>
      <c r="M933" s="30">
        <f t="shared" si="794"/>
        <v>0</v>
      </c>
      <c r="N933" s="33">
        <f t="shared" si="795"/>
        <v>0</v>
      </c>
      <c r="O933" s="31">
        <f t="shared" si="796"/>
        <v>0</v>
      </c>
      <c r="P933" s="33">
        <f t="shared" si="797"/>
        <v>0</v>
      </c>
      <c r="Q933" s="34">
        <f t="shared" si="839"/>
        <v>985158.426352332</v>
      </c>
      <c r="R933" s="29">
        <f t="shared" si="798"/>
        <v>0</v>
      </c>
      <c r="S933" s="34">
        <f t="shared" si="799"/>
        <v>985158.426352332</v>
      </c>
      <c r="T933" s="29">
        <f t="shared" si="800"/>
        <v>820.96535529361006</v>
      </c>
      <c r="U933" s="29">
        <f t="shared" si="801"/>
        <v>0</v>
      </c>
      <c r="V933" s="35">
        <f t="shared" si="802"/>
        <v>1.1081702641450643E-2</v>
      </c>
      <c r="W933" s="34">
        <f t="shared" si="803"/>
        <v>0</v>
      </c>
      <c r="X933" s="34">
        <f t="shared" si="804"/>
        <v>984337.4609970384</v>
      </c>
      <c r="Y933" s="36">
        <f t="shared" si="805"/>
        <v>7.0833898265660888E-3</v>
      </c>
      <c r="Z933" s="34">
        <f t="shared" si="806"/>
        <v>6972.4459571343159</v>
      </c>
      <c r="AA933" s="34">
        <f t="shared" si="807"/>
        <v>987823.68397560553</v>
      </c>
      <c r="AB933" s="34">
        <f t="shared" si="808"/>
        <v>0</v>
      </c>
      <c r="AC933" s="34">
        <f t="shared" si="809"/>
        <v>0</v>
      </c>
      <c r="AD933" s="34">
        <f t="shared" si="810"/>
        <v>0</v>
      </c>
      <c r="AE933" s="34">
        <f t="shared" si="811"/>
        <v>0</v>
      </c>
      <c r="AF933" s="34">
        <f t="shared" si="812"/>
        <v>0</v>
      </c>
      <c r="AG933" s="29">
        <f t="shared" si="813"/>
        <v>987823.68397560553</v>
      </c>
      <c r="AH933" s="34">
        <f t="shared" si="814"/>
        <v>0</v>
      </c>
      <c r="AI933" s="34">
        <f t="shared" si="815"/>
        <v>0</v>
      </c>
      <c r="AJ933" s="34">
        <f t="shared" si="816"/>
        <v>0</v>
      </c>
      <c r="AK933" s="34">
        <f t="shared" si="817"/>
        <v>0</v>
      </c>
      <c r="AL933" s="34">
        <f t="shared" si="818"/>
        <v>0</v>
      </c>
      <c r="AM933" s="34">
        <f t="shared" si="819"/>
        <v>0</v>
      </c>
      <c r="AN933" s="34">
        <f t="shared" si="820"/>
        <v>0</v>
      </c>
      <c r="AO933" s="34">
        <f t="shared" si="821"/>
        <v>0</v>
      </c>
      <c r="AP933" s="34">
        <f t="shared" si="822"/>
        <v>0</v>
      </c>
      <c r="AQ933" s="34">
        <f t="shared" si="823"/>
        <v>0</v>
      </c>
      <c r="AR933" s="34">
        <f t="shared" si="824"/>
        <v>0</v>
      </c>
      <c r="AS933" s="30">
        <f t="shared" si="825"/>
        <v>2.1604606155089181</v>
      </c>
      <c r="AT933" s="29">
        <f t="shared" si="826"/>
        <v>0</v>
      </c>
      <c r="AU933" s="29">
        <f t="shared" si="827"/>
        <v>0</v>
      </c>
      <c r="AV933" s="34">
        <f t="shared" si="828"/>
        <v>0</v>
      </c>
      <c r="AW933" s="34">
        <f t="shared" si="829"/>
        <v>0</v>
      </c>
      <c r="AX933" s="29">
        <f t="shared" si="830"/>
        <v>0</v>
      </c>
      <c r="AY933" s="34">
        <f t="shared" si="831"/>
        <v>0</v>
      </c>
      <c r="AZ933" s="37">
        <f t="shared" si="832"/>
        <v>0</v>
      </c>
      <c r="BA933" s="37">
        <f t="shared" si="833"/>
        <v>0</v>
      </c>
      <c r="BB933" s="35">
        <f t="shared" si="834"/>
        <v>1.6425790862020229E-3</v>
      </c>
      <c r="BC933" s="31">
        <f t="shared" si="835"/>
        <v>0.21768546262180022</v>
      </c>
      <c r="BD933" s="34">
        <f t="shared" si="836"/>
        <v>0</v>
      </c>
    </row>
    <row r="934" spans="1:56" x14ac:dyDescent="0.2">
      <c r="A934" s="27">
        <f t="shared" si="837"/>
        <v>930</v>
      </c>
      <c r="B934" s="28">
        <f t="shared" si="784"/>
        <v>930</v>
      </c>
      <c r="C934" s="27">
        <f t="shared" si="785"/>
        <v>77</v>
      </c>
      <c r="D934" s="28">
        <f t="shared" si="786"/>
        <v>97</v>
      </c>
      <c r="E934" s="29">
        <f t="shared" si="787"/>
        <v>0</v>
      </c>
      <c r="F934" s="30">
        <f t="shared" si="788"/>
        <v>0.1144128154406663</v>
      </c>
      <c r="G934" s="31">
        <f t="shared" si="789"/>
        <v>1.0074275128591492E-2</v>
      </c>
      <c r="H934" s="32">
        <f t="shared" si="790"/>
        <v>0.02</v>
      </c>
      <c r="I934" s="32">
        <f t="shared" si="791"/>
        <v>0</v>
      </c>
      <c r="J934" s="33">
        <f t="shared" si="838"/>
        <v>0</v>
      </c>
      <c r="K934" s="30">
        <f t="shared" si="792"/>
        <v>0</v>
      </c>
      <c r="L934" s="33">
        <f t="shared" si="793"/>
        <v>0</v>
      </c>
      <c r="M934" s="30">
        <f t="shared" si="794"/>
        <v>0</v>
      </c>
      <c r="N934" s="33">
        <f t="shared" si="795"/>
        <v>0</v>
      </c>
      <c r="O934" s="31">
        <f t="shared" si="796"/>
        <v>0</v>
      </c>
      <c r="P934" s="33">
        <f t="shared" si="797"/>
        <v>0</v>
      </c>
      <c r="Q934" s="34">
        <f t="shared" si="839"/>
        <v>991309.90695417277</v>
      </c>
      <c r="R934" s="29">
        <f t="shared" si="798"/>
        <v>0</v>
      </c>
      <c r="S934" s="34">
        <f t="shared" si="799"/>
        <v>991309.90695417277</v>
      </c>
      <c r="T934" s="29">
        <f t="shared" si="800"/>
        <v>826.09158912847738</v>
      </c>
      <c r="U934" s="29">
        <f t="shared" si="801"/>
        <v>0</v>
      </c>
      <c r="V934" s="35">
        <f t="shared" si="802"/>
        <v>1.1081702641450643E-2</v>
      </c>
      <c r="W934" s="34">
        <f t="shared" si="803"/>
        <v>0</v>
      </c>
      <c r="X934" s="34">
        <f t="shared" si="804"/>
        <v>990483.81536504428</v>
      </c>
      <c r="Y934" s="36">
        <f t="shared" si="805"/>
        <v>-1.0753474962481469E-2</v>
      </c>
      <c r="Z934" s="34">
        <f t="shared" si="806"/>
        <v>-10651.142909271121</v>
      </c>
      <c r="AA934" s="34">
        <f t="shared" si="807"/>
        <v>985158.2439104087</v>
      </c>
      <c r="AB934" s="34">
        <f t="shared" si="808"/>
        <v>0</v>
      </c>
      <c r="AC934" s="34">
        <f t="shared" si="809"/>
        <v>0</v>
      </c>
      <c r="AD934" s="34">
        <f t="shared" si="810"/>
        <v>0</v>
      </c>
      <c r="AE934" s="34">
        <f t="shared" si="811"/>
        <v>0</v>
      </c>
      <c r="AF934" s="34">
        <f t="shared" si="812"/>
        <v>0</v>
      </c>
      <c r="AG934" s="29">
        <f t="shared" si="813"/>
        <v>985158.2439104087</v>
      </c>
      <c r="AH934" s="34">
        <f t="shared" si="814"/>
        <v>0</v>
      </c>
      <c r="AI934" s="34">
        <f t="shared" si="815"/>
        <v>0</v>
      </c>
      <c r="AJ934" s="34">
        <f t="shared" si="816"/>
        <v>0</v>
      </c>
      <c r="AK934" s="34">
        <f t="shared" si="817"/>
        <v>0</v>
      </c>
      <c r="AL934" s="34">
        <f t="shared" si="818"/>
        <v>0</v>
      </c>
      <c r="AM934" s="34">
        <f t="shared" si="819"/>
        <v>0</v>
      </c>
      <c r="AN934" s="34">
        <f t="shared" si="820"/>
        <v>0</v>
      </c>
      <c r="AO934" s="34">
        <f t="shared" si="821"/>
        <v>0</v>
      </c>
      <c r="AP934" s="34">
        <f t="shared" si="822"/>
        <v>0</v>
      </c>
      <c r="AQ934" s="34">
        <f t="shared" si="823"/>
        <v>0</v>
      </c>
      <c r="AR934" s="34">
        <f t="shared" si="824"/>
        <v>0</v>
      </c>
      <c r="AS934" s="30">
        <f t="shared" si="825"/>
        <v>2.1622527999340266</v>
      </c>
      <c r="AT934" s="29">
        <f t="shared" si="826"/>
        <v>0</v>
      </c>
      <c r="AU934" s="29">
        <f t="shared" si="827"/>
        <v>0</v>
      </c>
      <c r="AV934" s="34">
        <f t="shared" si="828"/>
        <v>0</v>
      </c>
      <c r="AW934" s="34">
        <f t="shared" si="829"/>
        <v>0</v>
      </c>
      <c r="AX934" s="29">
        <f t="shared" si="830"/>
        <v>0</v>
      </c>
      <c r="AY934" s="34">
        <f t="shared" si="831"/>
        <v>0</v>
      </c>
      <c r="AZ934" s="37">
        <f t="shared" si="832"/>
        <v>0</v>
      </c>
      <c r="BA934" s="37">
        <f t="shared" si="833"/>
        <v>0</v>
      </c>
      <c r="BB934" s="35">
        <f t="shared" si="834"/>
        <v>1.6425790862020229E-3</v>
      </c>
      <c r="BC934" s="31">
        <f t="shared" si="835"/>
        <v>0.21732848340013119</v>
      </c>
      <c r="BD934" s="34">
        <f t="shared" si="836"/>
        <v>0</v>
      </c>
    </row>
    <row r="935" spans="1:56" x14ac:dyDescent="0.2">
      <c r="A935" s="27">
        <f t="shared" si="837"/>
        <v>931</v>
      </c>
      <c r="B935" s="28">
        <f t="shared" si="784"/>
        <v>931</v>
      </c>
      <c r="C935" s="27">
        <f t="shared" si="785"/>
        <v>77</v>
      </c>
      <c r="D935" s="28">
        <f t="shared" si="786"/>
        <v>97</v>
      </c>
      <c r="E935" s="29">
        <f t="shared" si="787"/>
        <v>0</v>
      </c>
      <c r="F935" s="30">
        <f t="shared" si="788"/>
        <v>0.1144128154406663</v>
      </c>
      <c r="G935" s="31">
        <f t="shared" si="789"/>
        <v>1.0074275128591492E-2</v>
      </c>
      <c r="H935" s="32">
        <f t="shared" si="790"/>
        <v>0.02</v>
      </c>
      <c r="I935" s="32">
        <f t="shared" si="791"/>
        <v>0</v>
      </c>
      <c r="J935" s="33">
        <f t="shared" si="838"/>
        <v>0</v>
      </c>
      <c r="K935" s="30">
        <f t="shared" si="792"/>
        <v>0</v>
      </c>
      <c r="L935" s="33">
        <f t="shared" si="793"/>
        <v>0</v>
      </c>
      <c r="M935" s="30">
        <f t="shared" si="794"/>
        <v>0</v>
      </c>
      <c r="N935" s="33">
        <f t="shared" si="795"/>
        <v>0</v>
      </c>
      <c r="O935" s="31">
        <f t="shared" si="796"/>
        <v>0</v>
      </c>
      <c r="P935" s="33">
        <f t="shared" si="797"/>
        <v>0</v>
      </c>
      <c r="Q935" s="34">
        <f t="shared" si="839"/>
        <v>979832.67245577311</v>
      </c>
      <c r="R935" s="29">
        <f t="shared" si="798"/>
        <v>0</v>
      </c>
      <c r="S935" s="34">
        <f t="shared" si="799"/>
        <v>979832.67245577311</v>
      </c>
      <c r="T935" s="29">
        <f t="shared" si="800"/>
        <v>816.52722704647761</v>
      </c>
      <c r="U935" s="29">
        <f t="shared" si="801"/>
        <v>0</v>
      </c>
      <c r="V935" s="35">
        <f t="shared" si="802"/>
        <v>1.1081702641450643E-2</v>
      </c>
      <c r="W935" s="34">
        <f t="shared" si="803"/>
        <v>0</v>
      </c>
      <c r="X935" s="34">
        <f t="shared" si="804"/>
        <v>979016.14522872667</v>
      </c>
      <c r="Y935" s="36">
        <f t="shared" si="805"/>
        <v>-9.4849782318640052E-4</v>
      </c>
      <c r="Z935" s="34">
        <f t="shared" si="806"/>
        <v>-928.59468261378822</v>
      </c>
      <c r="AA935" s="34">
        <f t="shared" si="807"/>
        <v>978551.84788741975</v>
      </c>
      <c r="AB935" s="34">
        <f t="shared" si="808"/>
        <v>0</v>
      </c>
      <c r="AC935" s="34">
        <f t="shared" si="809"/>
        <v>0</v>
      </c>
      <c r="AD935" s="34">
        <f t="shared" si="810"/>
        <v>0</v>
      </c>
      <c r="AE935" s="34">
        <f t="shared" si="811"/>
        <v>0</v>
      </c>
      <c r="AF935" s="34">
        <f t="shared" si="812"/>
        <v>0</v>
      </c>
      <c r="AG935" s="29">
        <f t="shared" si="813"/>
        <v>978551.84788741975</v>
      </c>
      <c r="AH935" s="34">
        <f t="shared" si="814"/>
        <v>0</v>
      </c>
      <c r="AI935" s="34">
        <f t="shared" si="815"/>
        <v>0</v>
      </c>
      <c r="AJ935" s="34">
        <f t="shared" si="816"/>
        <v>0</v>
      </c>
      <c r="AK935" s="34">
        <f t="shared" si="817"/>
        <v>0</v>
      </c>
      <c r="AL935" s="34">
        <f t="shared" si="818"/>
        <v>0</v>
      </c>
      <c r="AM935" s="34">
        <f t="shared" si="819"/>
        <v>0</v>
      </c>
      <c r="AN935" s="34">
        <f t="shared" si="820"/>
        <v>0</v>
      </c>
      <c r="AO935" s="34">
        <f t="shared" si="821"/>
        <v>0</v>
      </c>
      <c r="AP935" s="34">
        <f t="shared" si="822"/>
        <v>0</v>
      </c>
      <c r="AQ935" s="34">
        <f t="shared" si="823"/>
        <v>0</v>
      </c>
      <c r="AR935" s="34">
        <f t="shared" si="824"/>
        <v>0</v>
      </c>
      <c r="AS935" s="30">
        <f t="shared" si="825"/>
        <v>2.1640464710444238</v>
      </c>
      <c r="AT935" s="29">
        <f t="shared" si="826"/>
        <v>0</v>
      </c>
      <c r="AU935" s="29">
        <f t="shared" si="827"/>
        <v>0</v>
      </c>
      <c r="AV935" s="34">
        <f t="shared" si="828"/>
        <v>0</v>
      </c>
      <c r="AW935" s="34">
        <f t="shared" si="829"/>
        <v>0</v>
      </c>
      <c r="AX935" s="29">
        <f t="shared" si="830"/>
        <v>0</v>
      </c>
      <c r="AY935" s="34">
        <f t="shared" si="831"/>
        <v>0</v>
      </c>
      <c r="AZ935" s="37">
        <f t="shared" si="832"/>
        <v>0</v>
      </c>
      <c r="BA935" s="37">
        <f t="shared" si="833"/>
        <v>0</v>
      </c>
      <c r="BB935" s="35">
        <f t="shared" si="834"/>
        <v>1.6425790862020229E-3</v>
      </c>
      <c r="BC935" s="31">
        <f t="shared" si="835"/>
        <v>0.21697208958349185</v>
      </c>
      <c r="BD935" s="34">
        <f t="shared" si="836"/>
        <v>0</v>
      </c>
    </row>
    <row r="936" spans="1:56" x14ac:dyDescent="0.2">
      <c r="A936" s="27">
        <f t="shared" si="837"/>
        <v>932</v>
      </c>
      <c r="B936" s="28">
        <f t="shared" si="784"/>
        <v>932</v>
      </c>
      <c r="C936" s="27">
        <f t="shared" si="785"/>
        <v>77</v>
      </c>
      <c r="D936" s="28">
        <f t="shared" si="786"/>
        <v>97</v>
      </c>
      <c r="E936" s="29">
        <f t="shared" si="787"/>
        <v>0</v>
      </c>
      <c r="F936" s="30">
        <f t="shared" si="788"/>
        <v>0.1144128154406663</v>
      </c>
      <c r="G936" s="31">
        <f t="shared" si="789"/>
        <v>1.0074275128591492E-2</v>
      </c>
      <c r="H936" s="32">
        <f t="shared" si="790"/>
        <v>0.02</v>
      </c>
      <c r="I936" s="32">
        <f t="shared" si="791"/>
        <v>0</v>
      </c>
      <c r="J936" s="33">
        <f t="shared" si="838"/>
        <v>0</v>
      </c>
      <c r="K936" s="30">
        <f t="shared" si="792"/>
        <v>0</v>
      </c>
      <c r="L936" s="33">
        <f t="shared" si="793"/>
        <v>0</v>
      </c>
      <c r="M936" s="30">
        <f t="shared" si="794"/>
        <v>0</v>
      </c>
      <c r="N936" s="33">
        <f t="shared" si="795"/>
        <v>0</v>
      </c>
      <c r="O936" s="31">
        <f t="shared" si="796"/>
        <v>0</v>
      </c>
      <c r="P936" s="33">
        <f t="shared" si="797"/>
        <v>0</v>
      </c>
      <c r="Q936" s="34">
        <f t="shared" si="839"/>
        <v>978087.55054611294</v>
      </c>
      <c r="R936" s="29">
        <f t="shared" si="798"/>
        <v>0</v>
      </c>
      <c r="S936" s="34">
        <f t="shared" si="799"/>
        <v>978087.55054611294</v>
      </c>
      <c r="T936" s="29">
        <f t="shared" si="800"/>
        <v>815.07295878842751</v>
      </c>
      <c r="U936" s="29">
        <f t="shared" si="801"/>
        <v>0</v>
      </c>
      <c r="V936" s="35">
        <f t="shared" si="802"/>
        <v>1.1081702641450643E-2</v>
      </c>
      <c r="W936" s="34">
        <f t="shared" si="803"/>
        <v>0</v>
      </c>
      <c r="X936" s="34">
        <f t="shared" si="804"/>
        <v>977272.47758732445</v>
      </c>
      <c r="Y936" s="36">
        <f t="shared" si="805"/>
        <v>1.9448247961224574E-3</v>
      </c>
      <c r="Z936" s="34">
        <f t="shared" si="806"/>
        <v>1900.6237469798571</v>
      </c>
      <c r="AA936" s="34">
        <f t="shared" si="807"/>
        <v>978222.78946081433</v>
      </c>
      <c r="AB936" s="34">
        <f t="shared" si="808"/>
        <v>0</v>
      </c>
      <c r="AC936" s="34">
        <f t="shared" si="809"/>
        <v>0</v>
      </c>
      <c r="AD936" s="34">
        <f t="shared" si="810"/>
        <v>0</v>
      </c>
      <c r="AE936" s="34">
        <f t="shared" si="811"/>
        <v>0</v>
      </c>
      <c r="AF936" s="34">
        <f t="shared" si="812"/>
        <v>0</v>
      </c>
      <c r="AG936" s="29">
        <f t="shared" si="813"/>
        <v>978222.78946081433</v>
      </c>
      <c r="AH936" s="34">
        <f t="shared" si="814"/>
        <v>0</v>
      </c>
      <c r="AI936" s="34">
        <f t="shared" si="815"/>
        <v>0</v>
      </c>
      <c r="AJ936" s="34">
        <f t="shared" si="816"/>
        <v>0</v>
      </c>
      <c r="AK936" s="34">
        <f t="shared" si="817"/>
        <v>0</v>
      </c>
      <c r="AL936" s="34">
        <f t="shared" si="818"/>
        <v>0</v>
      </c>
      <c r="AM936" s="34">
        <f t="shared" si="819"/>
        <v>0</v>
      </c>
      <c r="AN936" s="34">
        <f t="shared" si="820"/>
        <v>0</v>
      </c>
      <c r="AO936" s="34">
        <f t="shared" si="821"/>
        <v>0</v>
      </c>
      <c r="AP936" s="34">
        <f t="shared" si="822"/>
        <v>0</v>
      </c>
      <c r="AQ936" s="34">
        <f t="shared" si="823"/>
        <v>0</v>
      </c>
      <c r="AR936" s="34">
        <f t="shared" si="824"/>
        <v>0</v>
      </c>
      <c r="AS936" s="30">
        <f t="shared" si="825"/>
        <v>2.165841630073372</v>
      </c>
      <c r="AT936" s="29">
        <f t="shared" si="826"/>
        <v>0</v>
      </c>
      <c r="AU936" s="29">
        <f t="shared" si="827"/>
        <v>0</v>
      </c>
      <c r="AV936" s="34">
        <f t="shared" si="828"/>
        <v>0</v>
      </c>
      <c r="AW936" s="34">
        <f t="shared" si="829"/>
        <v>0</v>
      </c>
      <c r="AX936" s="29">
        <f t="shared" si="830"/>
        <v>0</v>
      </c>
      <c r="AY936" s="34">
        <f t="shared" si="831"/>
        <v>0</v>
      </c>
      <c r="AZ936" s="37">
        <f t="shared" si="832"/>
        <v>0</v>
      </c>
      <c r="BA936" s="37">
        <f t="shared" si="833"/>
        <v>0</v>
      </c>
      <c r="BB936" s="35">
        <f t="shared" si="834"/>
        <v>1.6425790862020229E-3</v>
      </c>
      <c r="BC936" s="31">
        <f t="shared" si="835"/>
        <v>0.21661628021188495</v>
      </c>
      <c r="BD936" s="34">
        <f t="shared" si="836"/>
        <v>0</v>
      </c>
    </row>
    <row r="937" spans="1:56" x14ac:dyDescent="0.2">
      <c r="A937" s="27">
        <f t="shared" si="837"/>
        <v>933</v>
      </c>
      <c r="B937" s="28">
        <f t="shared" si="784"/>
        <v>933</v>
      </c>
      <c r="C937" s="27">
        <f t="shared" si="785"/>
        <v>77</v>
      </c>
      <c r="D937" s="28">
        <f t="shared" si="786"/>
        <v>97</v>
      </c>
      <c r="E937" s="29">
        <f t="shared" si="787"/>
        <v>0</v>
      </c>
      <c r="F937" s="30">
        <f t="shared" si="788"/>
        <v>0.1144128154406663</v>
      </c>
      <c r="G937" s="31">
        <f t="shared" si="789"/>
        <v>1.0074275128591492E-2</v>
      </c>
      <c r="H937" s="32">
        <f t="shared" si="790"/>
        <v>0.02</v>
      </c>
      <c r="I937" s="32">
        <f t="shared" si="791"/>
        <v>0</v>
      </c>
      <c r="J937" s="33">
        <f t="shared" si="838"/>
        <v>0</v>
      </c>
      <c r="K937" s="30">
        <f t="shared" si="792"/>
        <v>0</v>
      </c>
      <c r="L937" s="33">
        <f t="shared" si="793"/>
        <v>0</v>
      </c>
      <c r="M937" s="30">
        <f t="shared" si="794"/>
        <v>0</v>
      </c>
      <c r="N937" s="33">
        <f t="shared" si="795"/>
        <v>0</v>
      </c>
      <c r="O937" s="31">
        <f t="shared" si="796"/>
        <v>0</v>
      </c>
      <c r="P937" s="33">
        <f t="shared" si="797"/>
        <v>0</v>
      </c>
      <c r="Q937" s="34">
        <f t="shared" si="839"/>
        <v>979173.10133430432</v>
      </c>
      <c r="R937" s="29">
        <f t="shared" si="798"/>
        <v>0</v>
      </c>
      <c r="S937" s="34">
        <f t="shared" si="799"/>
        <v>979173.10133430432</v>
      </c>
      <c r="T937" s="29">
        <f t="shared" si="800"/>
        <v>815.97758444525368</v>
      </c>
      <c r="U937" s="29">
        <f t="shared" si="801"/>
        <v>0</v>
      </c>
      <c r="V937" s="35">
        <f t="shared" si="802"/>
        <v>1.1081702641450643E-2</v>
      </c>
      <c r="W937" s="34">
        <f t="shared" si="803"/>
        <v>0</v>
      </c>
      <c r="X937" s="34">
        <f t="shared" si="804"/>
        <v>978357.12374985905</v>
      </c>
      <c r="Y937" s="36">
        <f t="shared" si="805"/>
        <v>-4.6988717496477816E-3</v>
      </c>
      <c r="Z937" s="34">
        <f t="shared" si="806"/>
        <v>-4597.1746498548719</v>
      </c>
      <c r="AA937" s="34">
        <f t="shared" si="807"/>
        <v>976058.5364249316</v>
      </c>
      <c r="AB937" s="34">
        <f t="shared" si="808"/>
        <v>0</v>
      </c>
      <c r="AC937" s="34">
        <f t="shared" si="809"/>
        <v>0</v>
      </c>
      <c r="AD937" s="34">
        <f t="shared" si="810"/>
        <v>0</v>
      </c>
      <c r="AE937" s="34">
        <f t="shared" si="811"/>
        <v>0</v>
      </c>
      <c r="AF937" s="34">
        <f t="shared" si="812"/>
        <v>0</v>
      </c>
      <c r="AG937" s="29">
        <f t="shared" si="813"/>
        <v>976058.5364249316</v>
      </c>
      <c r="AH937" s="34">
        <f t="shared" si="814"/>
        <v>0</v>
      </c>
      <c r="AI937" s="34">
        <f t="shared" si="815"/>
        <v>0</v>
      </c>
      <c r="AJ937" s="34">
        <f t="shared" si="816"/>
        <v>0</v>
      </c>
      <c r="AK937" s="34">
        <f t="shared" si="817"/>
        <v>0</v>
      </c>
      <c r="AL937" s="34">
        <f t="shared" si="818"/>
        <v>0</v>
      </c>
      <c r="AM937" s="34">
        <f t="shared" si="819"/>
        <v>0</v>
      </c>
      <c r="AN937" s="34">
        <f t="shared" si="820"/>
        <v>0</v>
      </c>
      <c r="AO937" s="34">
        <f t="shared" si="821"/>
        <v>0</v>
      </c>
      <c r="AP937" s="34">
        <f t="shared" si="822"/>
        <v>0</v>
      </c>
      <c r="AQ937" s="34">
        <f t="shared" si="823"/>
        <v>0</v>
      </c>
      <c r="AR937" s="34">
        <f t="shared" si="824"/>
        <v>0</v>
      </c>
      <c r="AS937" s="30">
        <f t="shared" si="825"/>
        <v>2.1676382782551555</v>
      </c>
      <c r="AT937" s="29">
        <f t="shared" si="826"/>
        <v>0</v>
      </c>
      <c r="AU937" s="29">
        <f t="shared" si="827"/>
        <v>0</v>
      </c>
      <c r="AV937" s="34">
        <f t="shared" si="828"/>
        <v>0</v>
      </c>
      <c r="AW937" s="34">
        <f t="shared" si="829"/>
        <v>0</v>
      </c>
      <c r="AX937" s="29">
        <f t="shared" si="830"/>
        <v>0</v>
      </c>
      <c r="AY937" s="34">
        <f t="shared" si="831"/>
        <v>0</v>
      </c>
      <c r="AZ937" s="37">
        <f t="shared" si="832"/>
        <v>0</v>
      </c>
      <c r="BA937" s="37">
        <f t="shared" si="833"/>
        <v>0</v>
      </c>
      <c r="BB937" s="35">
        <f t="shared" si="834"/>
        <v>1.6425790862020229E-3</v>
      </c>
      <c r="BC937" s="31">
        <f t="shared" si="835"/>
        <v>0.21626105432688761</v>
      </c>
      <c r="BD937" s="34">
        <f t="shared" si="836"/>
        <v>0</v>
      </c>
    </row>
    <row r="938" spans="1:56" x14ac:dyDescent="0.2">
      <c r="A938" s="27">
        <f t="shared" si="837"/>
        <v>934</v>
      </c>
      <c r="B938" s="28">
        <f t="shared" si="784"/>
        <v>934</v>
      </c>
      <c r="C938" s="27">
        <f t="shared" si="785"/>
        <v>77</v>
      </c>
      <c r="D938" s="28">
        <f t="shared" si="786"/>
        <v>97</v>
      </c>
      <c r="E938" s="29">
        <f t="shared" si="787"/>
        <v>0</v>
      </c>
      <c r="F938" s="30">
        <f t="shared" si="788"/>
        <v>0.1144128154406663</v>
      </c>
      <c r="G938" s="31">
        <f t="shared" si="789"/>
        <v>1.0074275128591492E-2</v>
      </c>
      <c r="H938" s="32">
        <f t="shared" si="790"/>
        <v>0.02</v>
      </c>
      <c r="I938" s="32">
        <f t="shared" si="791"/>
        <v>0</v>
      </c>
      <c r="J938" s="33">
        <f t="shared" si="838"/>
        <v>0</v>
      </c>
      <c r="K938" s="30">
        <f t="shared" si="792"/>
        <v>0</v>
      </c>
      <c r="L938" s="33">
        <f t="shared" si="793"/>
        <v>0</v>
      </c>
      <c r="M938" s="30">
        <f t="shared" si="794"/>
        <v>0</v>
      </c>
      <c r="N938" s="33">
        <f t="shared" si="795"/>
        <v>0</v>
      </c>
      <c r="O938" s="31">
        <f t="shared" si="796"/>
        <v>0</v>
      </c>
      <c r="P938" s="33">
        <f t="shared" si="797"/>
        <v>0</v>
      </c>
      <c r="Q938" s="34">
        <f t="shared" si="839"/>
        <v>973759.94910000416</v>
      </c>
      <c r="R938" s="29">
        <f t="shared" si="798"/>
        <v>0</v>
      </c>
      <c r="S938" s="34">
        <f t="shared" si="799"/>
        <v>973759.94910000416</v>
      </c>
      <c r="T938" s="29">
        <f t="shared" si="800"/>
        <v>811.46662425000352</v>
      </c>
      <c r="U938" s="29">
        <f t="shared" si="801"/>
        <v>0</v>
      </c>
      <c r="V938" s="35">
        <f t="shared" si="802"/>
        <v>1.1081702641450643E-2</v>
      </c>
      <c r="W938" s="34">
        <f t="shared" si="803"/>
        <v>0</v>
      </c>
      <c r="X938" s="34">
        <f t="shared" si="804"/>
        <v>972948.48247575411</v>
      </c>
      <c r="Y938" s="36">
        <f t="shared" si="805"/>
        <v>-1.7851425071225835E-3</v>
      </c>
      <c r="Z938" s="34">
        <f t="shared" si="806"/>
        <v>-1736.8516933078806</v>
      </c>
      <c r="AA938" s="34">
        <f t="shared" si="807"/>
        <v>972080.05662910012</v>
      </c>
      <c r="AB938" s="34">
        <f t="shared" si="808"/>
        <v>0</v>
      </c>
      <c r="AC938" s="34">
        <f t="shared" si="809"/>
        <v>0</v>
      </c>
      <c r="AD938" s="34">
        <f t="shared" si="810"/>
        <v>0</v>
      </c>
      <c r="AE938" s="34">
        <f t="shared" si="811"/>
        <v>0</v>
      </c>
      <c r="AF938" s="34">
        <f t="shared" si="812"/>
        <v>0</v>
      </c>
      <c r="AG938" s="29">
        <f t="shared" si="813"/>
        <v>972080.05662910012</v>
      </c>
      <c r="AH938" s="34">
        <f t="shared" si="814"/>
        <v>0</v>
      </c>
      <c r="AI938" s="34">
        <f t="shared" si="815"/>
        <v>0</v>
      </c>
      <c r="AJ938" s="34">
        <f t="shared" si="816"/>
        <v>0</v>
      </c>
      <c r="AK938" s="34">
        <f t="shared" si="817"/>
        <v>0</v>
      </c>
      <c r="AL938" s="34">
        <f t="shared" si="818"/>
        <v>0</v>
      </c>
      <c r="AM938" s="34">
        <f t="shared" si="819"/>
        <v>0</v>
      </c>
      <c r="AN938" s="34">
        <f t="shared" si="820"/>
        <v>0</v>
      </c>
      <c r="AO938" s="34">
        <f t="shared" si="821"/>
        <v>0</v>
      </c>
      <c r="AP938" s="34">
        <f t="shared" si="822"/>
        <v>0</v>
      </c>
      <c r="AQ938" s="34">
        <f t="shared" si="823"/>
        <v>0</v>
      </c>
      <c r="AR938" s="34">
        <f t="shared" si="824"/>
        <v>0</v>
      </c>
      <c r="AS938" s="30">
        <f t="shared" si="825"/>
        <v>2.1694364168250839</v>
      </c>
      <c r="AT938" s="29">
        <f t="shared" si="826"/>
        <v>0</v>
      </c>
      <c r="AU938" s="29">
        <f t="shared" si="827"/>
        <v>0</v>
      </c>
      <c r="AV938" s="34">
        <f t="shared" si="828"/>
        <v>0</v>
      </c>
      <c r="AW938" s="34">
        <f t="shared" si="829"/>
        <v>0</v>
      </c>
      <c r="AX938" s="29">
        <f t="shared" si="830"/>
        <v>0</v>
      </c>
      <c r="AY938" s="34">
        <f t="shared" si="831"/>
        <v>0</v>
      </c>
      <c r="AZ938" s="37">
        <f t="shared" si="832"/>
        <v>0</v>
      </c>
      <c r="BA938" s="37">
        <f t="shared" si="833"/>
        <v>0</v>
      </c>
      <c r="BB938" s="35">
        <f t="shared" si="834"/>
        <v>1.6425790862020229E-3</v>
      </c>
      <c r="BC938" s="31">
        <f t="shared" si="835"/>
        <v>0.21590641097164862</v>
      </c>
      <c r="BD938" s="34">
        <f t="shared" si="836"/>
        <v>0</v>
      </c>
    </row>
    <row r="939" spans="1:56" x14ac:dyDescent="0.2">
      <c r="A939" s="27">
        <f t="shared" si="837"/>
        <v>935</v>
      </c>
      <c r="B939" s="28">
        <f t="shared" si="784"/>
        <v>935</v>
      </c>
      <c r="C939" s="27">
        <f t="shared" si="785"/>
        <v>77</v>
      </c>
      <c r="D939" s="28">
        <f t="shared" si="786"/>
        <v>97</v>
      </c>
      <c r="E939" s="29">
        <f t="shared" si="787"/>
        <v>0</v>
      </c>
      <c r="F939" s="30">
        <f t="shared" si="788"/>
        <v>0.1144128154406663</v>
      </c>
      <c r="G939" s="31">
        <f t="shared" si="789"/>
        <v>1.0074275128591492E-2</v>
      </c>
      <c r="H939" s="32">
        <f t="shared" si="790"/>
        <v>0.02</v>
      </c>
      <c r="I939" s="32">
        <f t="shared" si="791"/>
        <v>0</v>
      </c>
      <c r="J939" s="33">
        <f t="shared" si="838"/>
        <v>0</v>
      </c>
      <c r="K939" s="30">
        <f t="shared" si="792"/>
        <v>0</v>
      </c>
      <c r="L939" s="33">
        <f t="shared" si="793"/>
        <v>0</v>
      </c>
      <c r="M939" s="30">
        <f t="shared" si="794"/>
        <v>0</v>
      </c>
      <c r="N939" s="33">
        <f t="shared" si="795"/>
        <v>0</v>
      </c>
      <c r="O939" s="31">
        <f t="shared" si="796"/>
        <v>0</v>
      </c>
      <c r="P939" s="33">
        <f t="shared" si="797"/>
        <v>0</v>
      </c>
      <c r="Q939" s="34">
        <f t="shared" si="839"/>
        <v>971211.63078244624</v>
      </c>
      <c r="R939" s="29">
        <f t="shared" si="798"/>
        <v>0</v>
      </c>
      <c r="S939" s="34">
        <f t="shared" si="799"/>
        <v>971211.63078244624</v>
      </c>
      <c r="T939" s="29">
        <f t="shared" si="800"/>
        <v>809.34302565203859</v>
      </c>
      <c r="U939" s="29">
        <f t="shared" si="801"/>
        <v>0</v>
      </c>
      <c r="V939" s="35">
        <f t="shared" si="802"/>
        <v>1.1081702641450643E-2</v>
      </c>
      <c r="W939" s="34">
        <f t="shared" si="803"/>
        <v>0</v>
      </c>
      <c r="X939" s="34">
        <f t="shared" si="804"/>
        <v>970402.28775679425</v>
      </c>
      <c r="Y939" s="36">
        <f t="shared" si="805"/>
        <v>-4.5845430672402099E-3</v>
      </c>
      <c r="Z939" s="34">
        <f t="shared" si="806"/>
        <v>-4448.8510807694502</v>
      </c>
      <c r="AA939" s="34">
        <f t="shared" si="807"/>
        <v>968177.86221640953</v>
      </c>
      <c r="AB939" s="34">
        <f t="shared" si="808"/>
        <v>0</v>
      </c>
      <c r="AC939" s="34">
        <f t="shared" si="809"/>
        <v>0</v>
      </c>
      <c r="AD939" s="34">
        <f t="shared" si="810"/>
        <v>0</v>
      </c>
      <c r="AE939" s="34">
        <f t="shared" si="811"/>
        <v>0</v>
      </c>
      <c r="AF939" s="34">
        <f t="shared" si="812"/>
        <v>0</v>
      </c>
      <c r="AG939" s="29">
        <f t="shared" si="813"/>
        <v>968177.86221640953</v>
      </c>
      <c r="AH939" s="34">
        <f t="shared" si="814"/>
        <v>0</v>
      </c>
      <c r="AI939" s="34">
        <f t="shared" si="815"/>
        <v>0</v>
      </c>
      <c r="AJ939" s="34">
        <f t="shared" si="816"/>
        <v>0</v>
      </c>
      <c r="AK939" s="34">
        <f t="shared" si="817"/>
        <v>0</v>
      </c>
      <c r="AL939" s="34">
        <f t="shared" si="818"/>
        <v>0</v>
      </c>
      <c r="AM939" s="34">
        <f t="shared" si="819"/>
        <v>0</v>
      </c>
      <c r="AN939" s="34">
        <f t="shared" si="820"/>
        <v>0</v>
      </c>
      <c r="AO939" s="34">
        <f t="shared" si="821"/>
        <v>0</v>
      </c>
      <c r="AP939" s="34">
        <f t="shared" si="822"/>
        <v>0</v>
      </c>
      <c r="AQ939" s="34">
        <f t="shared" si="823"/>
        <v>0</v>
      </c>
      <c r="AR939" s="34">
        <f t="shared" si="824"/>
        <v>0</v>
      </c>
      <c r="AS939" s="30">
        <f t="shared" si="825"/>
        <v>2.1712360470194909</v>
      </c>
      <c r="AT939" s="29">
        <f t="shared" si="826"/>
        <v>0</v>
      </c>
      <c r="AU939" s="29">
        <f t="shared" si="827"/>
        <v>0</v>
      </c>
      <c r="AV939" s="34">
        <f t="shared" si="828"/>
        <v>0</v>
      </c>
      <c r="AW939" s="34">
        <f t="shared" si="829"/>
        <v>0</v>
      </c>
      <c r="AX939" s="29">
        <f t="shared" si="830"/>
        <v>0</v>
      </c>
      <c r="AY939" s="34">
        <f t="shared" si="831"/>
        <v>0</v>
      </c>
      <c r="AZ939" s="37">
        <f t="shared" si="832"/>
        <v>0</v>
      </c>
      <c r="BA939" s="37">
        <f t="shared" si="833"/>
        <v>0</v>
      </c>
      <c r="BB939" s="35">
        <f t="shared" si="834"/>
        <v>1.6425790862020229E-3</v>
      </c>
      <c r="BC939" s="31">
        <f t="shared" si="835"/>
        <v>0.21555234919088601</v>
      </c>
      <c r="BD939" s="34">
        <f t="shared" si="836"/>
        <v>0</v>
      </c>
    </row>
    <row r="940" spans="1:56" x14ac:dyDescent="0.2">
      <c r="A940" s="27">
        <f t="shared" si="837"/>
        <v>936</v>
      </c>
      <c r="B940" s="28">
        <f t="shared" si="784"/>
        <v>936</v>
      </c>
      <c r="C940" s="27">
        <f t="shared" si="785"/>
        <v>78</v>
      </c>
      <c r="D940" s="28">
        <f t="shared" si="786"/>
        <v>98</v>
      </c>
      <c r="E940" s="29">
        <f t="shared" si="787"/>
        <v>0</v>
      </c>
      <c r="F940" s="30">
        <f t="shared" si="788"/>
        <v>0.13082137057164159</v>
      </c>
      <c r="G940" s="31">
        <f t="shared" si="789"/>
        <v>1.1615893259680821E-2</v>
      </c>
      <c r="H940" s="32">
        <f t="shared" si="790"/>
        <v>0.02</v>
      </c>
      <c r="I940" s="32">
        <f t="shared" si="791"/>
        <v>0</v>
      </c>
      <c r="J940" s="33">
        <f t="shared" si="838"/>
        <v>0</v>
      </c>
      <c r="K940" s="30">
        <f t="shared" si="792"/>
        <v>0</v>
      </c>
      <c r="L940" s="33">
        <f t="shared" si="793"/>
        <v>0</v>
      </c>
      <c r="M940" s="30">
        <f t="shared" si="794"/>
        <v>0</v>
      </c>
      <c r="N940" s="33">
        <f t="shared" si="795"/>
        <v>0</v>
      </c>
      <c r="O940" s="31">
        <f t="shared" si="796"/>
        <v>0</v>
      </c>
      <c r="P940" s="33">
        <f t="shared" si="797"/>
        <v>0</v>
      </c>
      <c r="Q940" s="34">
        <f t="shared" si="839"/>
        <v>965953.43667602481</v>
      </c>
      <c r="R940" s="29">
        <f t="shared" si="798"/>
        <v>0</v>
      </c>
      <c r="S940" s="34">
        <f t="shared" si="799"/>
        <v>965953.43667602481</v>
      </c>
      <c r="T940" s="29">
        <f t="shared" si="800"/>
        <v>804.96119723002073</v>
      </c>
      <c r="U940" s="29">
        <f t="shared" si="801"/>
        <v>0</v>
      </c>
      <c r="V940" s="35">
        <f t="shared" si="802"/>
        <v>1.2777482585648904E-2</v>
      </c>
      <c r="W940" s="34">
        <f t="shared" si="803"/>
        <v>0</v>
      </c>
      <c r="X940" s="34">
        <f t="shared" si="804"/>
        <v>965148.47547879477</v>
      </c>
      <c r="Y940" s="36">
        <f t="shared" si="805"/>
        <v>-2.659949548221574E-3</v>
      </c>
      <c r="Z940" s="34">
        <f t="shared" si="806"/>
        <v>-2567.246251316561</v>
      </c>
      <c r="AA940" s="34">
        <f t="shared" si="807"/>
        <v>963864.85235313652</v>
      </c>
      <c r="AB940" s="34">
        <f t="shared" si="808"/>
        <v>0</v>
      </c>
      <c r="AC940" s="34">
        <f t="shared" si="809"/>
        <v>0</v>
      </c>
      <c r="AD940" s="34">
        <f t="shared" si="810"/>
        <v>0</v>
      </c>
      <c r="AE940" s="34">
        <f t="shared" si="811"/>
        <v>0</v>
      </c>
      <c r="AF940" s="34">
        <f t="shared" si="812"/>
        <v>0</v>
      </c>
      <c r="AG940" s="29">
        <f t="shared" si="813"/>
        <v>963864.85235313652</v>
      </c>
      <c r="AH940" s="34">
        <f t="shared" si="814"/>
        <v>0</v>
      </c>
      <c r="AI940" s="34">
        <f t="shared" si="815"/>
        <v>0</v>
      </c>
      <c r="AJ940" s="34">
        <f t="shared" si="816"/>
        <v>0</v>
      </c>
      <c r="AK940" s="34">
        <f t="shared" si="817"/>
        <v>0</v>
      </c>
      <c r="AL940" s="34">
        <f t="shared" si="818"/>
        <v>0</v>
      </c>
      <c r="AM940" s="34">
        <f t="shared" si="819"/>
        <v>0</v>
      </c>
      <c r="AN940" s="34">
        <f t="shared" si="820"/>
        <v>0</v>
      </c>
      <c r="AO940" s="34">
        <f t="shared" si="821"/>
        <v>0</v>
      </c>
      <c r="AP940" s="34">
        <f t="shared" si="822"/>
        <v>0</v>
      </c>
      <c r="AQ940" s="34">
        <f t="shared" si="823"/>
        <v>0</v>
      </c>
      <c r="AR940" s="34">
        <f t="shared" si="824"/>
        <v>0</v>
      </c>
      <c r="AS940" s="30">
        <f t="shared" si="825"/>
        <v>2.1730371700757365</v>
      </c>
      <c r="AT940" s="29">
        <f t="shared" si="826"/>
        <v>0</v>
      </c>
      <c r="AU940" s="29">
        <f t="shared" si="827"/>
        <v>0</v>
      </c>
      <c r="AV940" s="34">
        <f t="shared" si="828"/>
        <v>0</v>
      </c>
      <c r="AW940" s="34">
        <f t="shared" si="829"/>
        <v>0</v>
      </c>
      <c r="AX940" s="29">
        <f t="shared" si="830"/>
        <v>0</v>
      </c>
      <c r="AY940" s="34">
        <f t="shared" si="831"/>
        <v>0</v>
      </c>
      <c r="AZ940" s="37">
        <f t="shared" si="832"/>
        <v>0</v>
      </c>
      <c r="BA940" s="37">
        <f t="shared" si="833"/>
        <v>0</v>
      </c>
      <c r="BB940" s="35">
        <f t="shared" si="834"/>
        <v>1.6646738453758303E-3</v>
      </c>
      <c r="BC940" s="31">
        <f t="shared" si="835"/>
        <v>0.21080130667437769</v>
      </c>
      <c r="BD940" s="34">
        <f t="shared" si="836"/>
        <v>0</v>
      </c>
    </row>
    <row r="941" spans="1:56" x14ac:dyDescent="0.2">
      <c r="A941" s="27">
        <f t="shared" si="837"/>
        <v>937</v>
      </c>
      <c r="B941" s="28">
        <f t="shared" si="784"/>
        <v>937</v>
      </c>
      <c r="C941" s="27">
        <f t="shared" si="785"/>
        <v>78</v>
      </c>
      <c r="D941" s="28">
        <f t="shared" si="786"/>
        <v>98</v>
      </c>
      <c r="E941" s="29">
        <f t="shared" si="787"/>
        <v>0</v>
      </c>
      <c r="F941" s="30">
        <f t="shared" si="788"/>
        <v>0.13082137057164159</v>
      </c>
      <c r="G941" s="31">
        <f t="shared" si="789"/>
        <v>1.1615893259680821E-2</v>
      </c>
      <c r="H941" s="32">
        <f t="shared" si="790"/>
        <v>0.02</v>
      </c>
      <c r="I941" s="32">
        <f t="shared" si="791"/>
        <v>0</v>
      </c>
      <c r="J941" s="33">
        <f t="shared" si="838"/>
        <v>0</v>
      </c>
      <c r="K941" s="30">
        <f t="shared" si="792"/>
        <v>0</v>
      </c>
      <c r="L941" s="33">
        <f t="shared" si="793"/>
        <v>0</v>
      </c>
      <c r="M941" s="30">
        <f t="shared" si="794"/>
        <v>0</v>
      </c>
      <c r="N941" s="33">
        <f t="shared" si="795"/>
        <v>0</v>
      </c>
      <c r="O941" s="31">
        <f t="shared" si="796"/>
        <v>0</v>
      </c>
      <c r="P941" s="33">
        <f t="shared" si="797"/>
        <v>0</v>
      </c>
      <c r="Q941" s="34">
        <f t="shared" si="839"/>
        <v>962581.22922747827</v>
      </c>
      <c r="R941" s="29">
        <f t="shared" si="798"/>
        <v>0</v>
      </c>
      <c r="S941" s="34">
        <f t="shared" si="799"/>
        <v>962581.22922747827</v>
      </c>
      <c r="T941" s="29">
        <f t="shared" si="800"/>
        <v>802.15102435623191</v>
      </c>
      <c r="U941" s="29">
        <f t="shared" si="801"/>
        <v>0</v>
      </c>
      <c r="V941" s="35">
        <f t="shared" si="802"/>
        <v>1.2777482585648904E-2</v>
      </c>
      <c r="W941" s="34">
        <f t="shared" si="803"/>
        <v>0</v>
      </c>
      <c r="X941" s="34">
        <f t="shared" si="804"/>
        <v>961779.07820312202</v>
      </c>
      <c r="Y941" s="36">
        <f t="shared" si="805"/>
        <v>1.4567768349452725E-2</v>
      </c>
      <c r="Z941" s="34">
        <f t="shared" si="806"/>
        <v>14010.974814613259</v>
      </c>
      <c r="AA941" s="34">
        <f t="shared" si="807"/>
        <v>968784.56561042869</v>
      </c>
      <c r="AB941" s="34">
        <f t="shared" si="808"/>
        <v>0</v>
      </c>
      <c r="AC941" s="34">
        <f t="shared" si="809"/>
        <v>0</v>
      </c>
      <c r="AD941" s="34">
        <f t="shared" si="810"/>
        <v>0</v>
      </c>
      <c r="AE941" s="34">
        <f t="shared" si="811"/>
        <v>0</v>
      </c>
      <c r="AF941" s="34">
        <f t="shared" si="812"/>
        <v>0</v>
      </c>
      <c r="AG941" s="29">
        <f t="shared" si="813"/>
        <v>968784.56561042869</v>
      </c>
      <c r="AH941" s="34">
        <f t="shared" si="814"/>
        <v>0</v>
      </c>
      <c r="AI941" s="34">
        <f t="shared" si="815"/>
        <v>0</v>
      </c>
      <c r="AJ941" s="34">
        <f t="shared" si="816"/>
        <v>0</v>
      </c>
      <c r="AK941" s="34">
        <f t="shared" si="817"/>
        <v>0</v>
      </c>
      <c r="AL941" s="34">
        <f t="shared" si="818"/>
        <v>0</v>
      </c>
      <c r="AM941" s="34">
        <f t="shared" si="819"/>
        <v>0</v>
      </c>
      <c r="AN941" s="34">
        <f t="shared" si="820"/>
        <v>0</v>
      </c>
      <c r="AO941" s="34">
        <f t="shared" si="821"/>
        <v>0</v>
      </c>
      <c r="AP941" s="34">
        <f t="shared" si="822"/>
        <v>0</v>
      </c>
      <c r="AQ941" s="34">
        <f t="shared" si="823"/>
        <v>0</v>
      </c>
      <c r="AR941" s="34">
        <f t="shared" si="824"/>
        <v>0</v>
      </c>
      <c r="AS941" s="30">
        <f t="shared" si="825"/>
        <v>2.1748397872322047</v>
      </c>
      <c r="AT941" s="29">
        <f t="shared" si="826"/>
        <v>0</v>
      </c>
      <c r="AU941" s="29">
        <f t="shared" si="827"/>
        <v>0</v>
      </c>
      <c r="AV941" s="34">
        <f t="shared" si="828"/>
        <v>0</v>
      </c>
      <c r="AW941" s="34">
        <f t="shared" si="829"/>
        <v>0</v>
      </c>
      <c r="AX941" s="29">
        <f t="shared" si="830"/>
        <v>0</v>
      </c>
      <c r="AY941" s="34">
        <f t="shared" si="831"/>
        <v>0</v>
      </c>
      <c r="AZ941" s="37">
        <f t="shared" si="832"/>
        <v>0</v>
      </c>
      <c r="BA941" s="37">
        <f t="shared" si="833"/>
        <v>0</v>
      </c>
      <c r="BB941" s="35">
        <f t="shared" si="834"/>
        <v>1.6646738453758303E-3</v>
      </c>
      <c r="BC941" s="31">
        <f t="shared" si="835"/>
        <v>0.21045097444149111</v>
      </c>
      <c r="BD941" s="34">
        <f t="shared" si="836"/>
        <v>0</v>
      </c>
    </row>
    <row r="942" spans="1:56" x14ac:dyDescent="0.2">
      <c r="A942" s="27">
        <f t="shared" si="837"/>
        <v>938</v>
      </c>
      <c r="B942" s="28">
        <f t="shared" si="784"/>
        <v>938</v>
      </c>
      <c r="C942" s="27">
        <f t="shared" si="785"/>
        <v>78</v>
      </c>
      <c r="D942" s="28">
        <f t="shared" si="786"/>
        <v>98</v>
      </c>
      <c r="E942" s="29">
        <f t="shared" si="787"/>
        <v>0</v>
      </c>
      <c r="F942" s="30">
        <f t="shared" si="788"/>
        <v>0.13082137057164159</v>
      </c>
      <c r="G942" s="31">
        <f t="shared" si="789"/>
        <v>1.1615893259680821E-2</v>
      </c>
      <c r="H942" s="32">
        <f t="shared" si="790"/>
        <v>0.02</v>
      </c>
      <c r="I942" s="32">
        <f t="shared" si="791"/>
        <v>0</v>
      </c>
      <c r="J942" s="33">
        <f t="shared" si="838"/>
        <v>0</v>
      </c>
      <c r="K942" s="30">
        <f t="shared" si="792"/>
        <v>0</v>
      </c>
      <c r="L942" s="33">
        <f t="shared" si="793"/>
        <v>0</v>
      </c>
      <c r="M942" s="30">
        <f t="shared" si="794"/>
        <v>0</v>
      </c>
      <c r="N942" s="33">
        <f t="shared" si="795"/>
        <v>0</v>
      </c>
      <c r="O942" s="31">
        <f t="shared" si="796"/>
        <v>0</v>
      </c>
      <c r="P942" s="33">
        <f t="shared" si="797"/>
        <v>0</v>
      </c>
      <c r="Q942" s="34">
        <f t="shared" si="839"/>
        <v>975790.05301773525</v>
      </c>
      <c r="R942" s="29">
        <f t="shared" si="798"/>
        <v>0</v>
      </c>
      <c r="S942" s="34">
        <f t="shared" si="799"/>
        <v>975790.05301773525</v>
      </c>
      <c r="T942" s="29">
        <f t="shared" si="800"/>
        <v>813.15837751477943</v>
      </c>
      <c r="U942" s="29">
        <f t="shared" si="801"/>
        <v>0</v>
      </c>
      <c r="V942" s="35">
        <f t="shared" si="802"/>
        <v>1.2777482585648904E-2</v>
      </c>
      <c r="W942" s="34">
        <f t="shared" si="803"/>
        <v>0</v>
      </c>
      <c r="X942" s="34">
        <f t="shared" si="804"/>
        <v>974976.89464022045</v>
      </c>
      <c r="Y942" s="36">
        <f t="shared" si="805"/>
        <v>2.4953938925333485E-2</v>
      </c>
      <c r="Z942" s="34">
        <f t="shared" si="806"/>
        <v>24329.513882463361</v>
      </c>
      <c r="AA942" s="34">
        <f t="shared" si="807"/>
        <v>987141.65158145211</v>
      </c>
      <c r="AB942" s="34">
        <f t="shared" si="808"/>
        <v>0</v>
      </c>
      <c r="AC942" s="34">
        <f t="shared" si="809"/>
        <v>0</v>
      </c>
      <c r="AD942" s="34">
        <f t="shared" si="810"/>
        <v>0</v>
      </c>
      <c r="AE942" s="34">
        <f t="shared" si="811"/>
        <v>0</v>
      </c>
      <c r="AF942" s="34">
        <f t="shared" si="812"/>
        <v>0</v>
      </c>
      <c r="AG942" s="29">
        <f t="shared" si="813"/>
        <v>987141.65158145211</v>
      </c>
      <c r="AH942" s="34">
        <f t="shared" si="814"/>
        <v>0</v>
      </c>
      <c r="AI942" s="34">
        <f t="shared" si="815"/>
        <v>0</v>
      </c>
      <c r="AJ942" s="34">
        <f t="shared" si="816"/>
        <v>0</v>
      </c>
      <c r="AK942" s="34">
        <f t="shared" si="817"/>
        <v>0</v>
      </c>
      <c r="AL942" s="34">
        <f t="shared" si="818"/>
        <v>0</v>
      </c>
      <c r="AM942" s="34">
        <f t="shared" si="819"/>
        <v>0</v>
      </c>
      <c r="AN942" s="34">
        <f t="shared" si="820"/>
        <v>0</v>
      </c>
      <c r="AO942" s="34">
        <f t="shared" si="821"/>
        <v>0</v>
      </c>
      <c r="AP942" s="34">
        <f t="shared" si="822"/>
        <v>0</v>
      </c>
      <c r="AQ942" s="34">
        <f t="shared" si="823"/>
        <v>0</v>
      </c>
      <c r="AR942" s="34">
        <f t="shared" si="824"/>
        <v>0</v>
      </c>
      <c r="AS942" s="30">
        <f t="shared" si="825"/>
        <v>2.1766438997283108</v>
      </c>
      <c r="AT942" s="29">
        <f t="shared" si="826"/>
        <v>0</v>
      </c>
      <c r="AU942" s="29">
        <f t="shared" si="827"/>
        <v>0</v>
      </c>
      <c r="AV942" s="34">
        <f t="shared" si="828"/>
        <v>0</v>
      </c>
      <c r="AW942" s="34">
        <f t="shared" si="829"/>
        <v>0</v>
      </c>
      <c r="AX942" s="29">
        <f t="shared" si="830"/>
        <v>0</v>
      </c>
      <c r="AY942" s="34">
        <f t="shared" si="831"/>
        <v>0</v>
      </c>
      <c r="AZ942" s="37">
        <f t="shared" si="832"/>
        <v>0</v>
      </c>
      <c r="BA942" s="37">
        <f t="shared" si="833"/>
        <v>0</v>
      </c>
      <c r="BB942" s="35">
        <f t="shared" si="834"/>
        <v>1.6646738453758303E-3</v>
      </c>
      <c r="BC942" s="31">
        <f t="shared" si="835"/>
        <v>0.21010122442830392</v>
      </c>
      <c r="BD942" s="34">
        <f t="shared" si="836"/>
        <v>0</v>
      </c>
    </row>
    <row r="943" spans="1:56" x14ac:dyDescent="0.2">
      <c r="A943" s="27">
        <f t="shared" si="837"/>
        <v>939</v>
      </c>
      <c r="B943" s="28">
        <f t="shared" si="784"/>
        <v>939</v>
      </c>
      <c r="C943" s="27">
        <f t="shared" si="785"/>
        <v>78</v>
      </c>
      <c r="D943" s="28">
        <f t="shared" si="786"/>
        <v>98</v>
      </c>
      <c r="E943" s="29">
        <f t="shared" si="787"/>
        <v>0</v>
      </c>
      <c r="F943" s="30">
        <f t="shared" si="788"/>
        <v>0.13082137057164159</v>
      </c>
      <c r="G943" s="31">
        <f t="shared" si="789"/>
        <v>1.1615893259680821E-2</v>
      </c>
      <c r="H943" s="32">
        <f t="shared" si="790"/>
        <v>0.02</v>
      </c>
      <c r="I943" s="32">
        <f t="shared" si="791"/>
        <v>0</v>
      </c>
      <c r="J943" s="33">
        <f t="shared" si="838"/>
        <v>0</v>
      </c>
      <c r="K943" s="30">
        <f t="shared" si="792"/>
        <v>0</v>
      </c>
      <c r="L943" s="33">
        <f t="shared" si="793"/>
        <v>0</v>
      </c>
      <c r="M943" s="30">
        <f t="shared" si="794"/>
        <v>0</v>
      </c>
      <c r="N943" s="33">
        <f t="shared" si="795"/>
        <v>0</v>
      </c>
      <c r="O943" s="31">
        <f t="shared" si="796"/>
        <v>0</v>
      </c>
      <c r="P943" s="33">
        <f t="shared" si="797"/>
        <v>0</v>
      </c>
      <c r="Q943" s="34">
        <f t="shared" si="839"/>
        <v>999306.40852268378</v>
      </c>
      <c r="R943" s="29">
        <f t="shared" si="798"/>
        <v>0</v>
      </c>
      <c r="S943" s="34">
        <f t="shared" si="799"/>
        <v>999306.40852268378</v>
      </c>
      <c r="T943" s="29">
        <f t="shared" si="800"/>
        <v>832.75534043556991</v>
      </c>
      <c r="U943" s="29">
        <f t="shared" si="801"/>
        <v>0</v>
      </c>
      <c r="V943" s="35">
        <f t="shared" si="802"/>
        <v>1.2777482585648904E-2</v>
      </c>
      <c r="W943" s="34">
        <f t="shared" si="803"/>
        <v>0</v>
      </c>
      <c r="X943" s="34">
        <f t="shared" si="804"/>
        <v>998473.65318224824</v>
      </c>
      <c r="Y943" s="36">
        <f t="shared" si="805"/>
        <v>-4.9033354118332984E-3</v>
      </c>
      <c r="Z943" s="34">
        <f t="shared" si="806"/>
        <v>-4895.8512214310767</v>
      </c>
      <c r="AA943" s="34">
        <f t="shared" si="807"/>
        <v>996025.72757153271</v>
      </c>
      <c r="AB943" s="34">
        <f t="shared" si="808"/>
        <v>0</v>
      </c>
      <c r="AC943" s="34">
        <f t="shared" si="809"/>
        <v>0</v>
      </c>
      <c r="AD943" s="34">
        <f t="shared" si="810"/>
        <v>0</v>
      </c>
      <c r="AE943" s="34">
        <f t="shared" si="811"/>
        <v>0</v>
      </c>
      <c r="AF943" s="34">
        <f t="shared" si="812"/>
        <v>0</v>
      </c>
      <c r="AG943" s="29">
        <f t="shared" si="813"/>
        <v>996025.72757153271</v>
      </c>
      <c r="AH943" s="34">
        <f t="shared" si="814"/>
        <v>0</v>
      </c>
      <c r="AI943" s="34">
        <f t="shared" si="815"/>
        <v>0</v>
      </c>
      <c r="AJ943" s="34">
        <f t="shared" si="816"/>
        <v>0</v>
      </c>
      <c r="AK943" s="34">
        <f t="shared" si="817"/>
        <v>0</v>
      </c>
      <c r="AL943" s="34">
        <f t="shared" si="818"/>
        <v>0</v>
      </c>
      <c r="AM943" s="34">
        <f t="shared" si="819"/>
        <v>0</v>
      </c>
      <c r="AN943" s="34">
        <f t="shared" si="820"/>
        <v>0</v>
      </c>
      <c r="AO943" s="34">
        <f t="shared" si="821"/>
        <v>0</v>
      </c>
      <c r="AP943" s="34">
        <f t="shared" si="822"/>
        <v>0</v>
      </c>
      <c r="AQ943" s="34">
        <f t="shared" si="823"/>
        <v>0</v>
      </c>
      <c r="AR943" s="34">
        <f t="shared" si="824"/>
        <v>0</v>
      </c>
      <c r="AS943" s="30">
        <f t="shared" si="825"/>
        <v>2.1784495088044946</v>
      </c>
      <c r="AT943" s="29">
        <f t="shared" si="826"/>
        <v>0</v>
      </c>
      <c r="AU943" s="29">
        <f t="shared" si="827"/>
        <v>0</v>
      </c>
      <c r="AV943" s="34">
        <f t="shared" si="828"/>
        <v>0</v>
      </c>
      <c r="AW943" s="34">
        <f t="shared" si="829"/>
        <v>0</v>
      </c>
      <c r="AX943" s="29">
        <f t="shared" si="830"/>
        <v>0</v>
      </c>
      <c r="AY943" s="34">
        <f t="shared" si="831"/>
        <v>0</v>
      </c>
      <c r="AZ943" s="37">
        <f t="shared" si="832"/>
        <v>0</v>
      </c>
      <c r="BA943" s="37">
        <f t="shared" si="833"/>
        <v>0</v>
      </c>
      <c r="BB943" s="35">
        <f t="shared" si="834"/>
        <v>1.6646738453758303E-3</v>
      </c>
      <c r="BC943" s="31">
        <f t="shared" si="835"/>
        <v>0.20975205566722091</v>
      </c>
      <c r="BD943" s="34">
        <f t="shared" si="836"/>
        <v>0</v>
      </c>
    </row>
    <row r="944" spans="1:56" x14ac:dyDescent="0.2">
      <c r="A944" s="27">
        <f t="shared" si="837"/>
        <v>940</v>
      </c>
      <c r="B944" s="28">
        <f t="shared" si="784"/>
        <v>940</v>
      </c>
      <c r="C944" s="27">
        <f t="shared" si="785"/>
        <v>78</v>
      </c>
      <c r="D944" s="28">
        <f t="shared" si="786"/>
        <v>98</v>
      </c>
      <c r="E944" s="29">
        <f t="shared" si="787"/>
        <v>0</v>
      </c>
      <c r="F944" s="30">
        <f t="shared" si="788"/>
        <v>0.13082137057164159</v>
      </c>
      <c r="G944" s="31">
        <f t="shared" si="789"/>
        <v>1.1615893259680821E-2</v>
      </c>
      <c r="H944" s="32">
        <f t="shared" si="790"/>
        <v>0.02</v>
      </c>
      <c r="I944" s="32">
        <f t="shared" si="791"/>
        <v>0</v>
      </c>
      <c r="J944" s="33">
        <f t="shared" si="838"/>
        <v>0</v>
      </c>
      <c r="K944" s="30">
        <f t="shared" si="792"/>
        <v>0</v>
      </c>
      <c r="L944" s="33">
        <f t="shared" si="793"/>
        <v>0</v>
      </c>
      <c r="M944" s="30">
        <f t="shared" si="794"/>
        <v>0</v>
      </c>
      <c r="N944" s="33">
        <f t="shared" si="795"/>
        <v>0</v>
      </c>
      <c r="O944" s="31">
        <f t="shared" si="796"/>
        <v>0</v>
      </c>
      <c r="P944" s="33">
        <f t="shared" si="797"/>
        <v>0</v>
      </c>
      <c r="Q944" s="34">
        <f t="shared" si="839"/>
        <v>993577.80196081719</v>
      </c>
      <c r="R944" s="29">
        <f t="shared" si="798"/>
        <v>0</v>
      </c>
      <c r="S944" s="34">
        <f t="shared" si="799"/>
        <v>993577.80196081719</v>
      </c>
      <c r="T944" s="29">
        <f t="shared" si="800"/>
        <v>827.98150163401442</v>
      </c>
      <c r="U944" s="29">
        <f t="shared" si="801"/>
        <v>0</v>
      </c>
      <c r="V944" s="35">
        <f t="shared" si="802"/>
        <v>1.2777482585648904E-2</v>
      </c>
      <c r="W944" s="34">
        <f t="shared" si="803"/>
        <v>0</v>
      </c>
      <c r="X944" s="34">
        <f t="shared" si="804"/>
        <v>992749.82045918319</v>
      </c>
      <c r="Y944" s="36">
        <f t="shared" si="805"/>
        <v>-8.0142944005339167E-3</v>
      </c>
      <c r="Z944" s="34">
        <f t="shared" si="806"/>
        <v>-7956.1893272370826</v>
      </c>
      <c r="AA944" s="34">
        <f t="shared" si="807"/>
        <v>988771.72579556459</v>
      </c>
      <c r="AB944" s="34">
        <f t="shared" si="808"/>
        <v>0</v>
      </c>
      <c r="AC944" s="34">
        <f t="shared" si="809"/>
        <v>0</v>
      </c>
      <c r="AD944" s="34">
        <f t="shared" si="810"/>
        <v>0</v>
      </c>
      <c r="AE944" s="34">
        <f t="shared" si="811"/>
        <v>0</v>
      </c>
      <c r="AF944" s="34">
        <f t="shared" si="812"/>
        <v>0</v>
      </c>
      <c r="AG944" s="29">
        <f t="shared" si="813"/>
        <v>988771.72579556459</v>
      </c>
      <c r="AH944" s="34">
        <f t="shared" si="814"/>
        <v>0</v>
      </c>
      <c r="AI944" s="34">
        <f t="shared" si="815"/>
        <v>0</v>
      </c>
      <c r="AJ944" s="34">
        <f t="shared" si="816"/>
        <v>0</v>
      </c>
      <c r="AK944" s="34">
        <f t="shared" si="817"/>
        <v>0</v>
      </c>
      <c r="AL944" s="34">
        <f t="shared" si="818"/>
        <v>0</v>
      </c>
      <c r="AM944" s="34">
        <f t="shared" si="819"/>
        <v>0</v>
      </c>
      <c r="AN944" s="34">
        <f t="shared" si="820"/>
        <v>0</v>
      </c>
      <c r="AO944" s="34">
        <f t="shared" si="821"/>
        <v>0</v>
      </c>
      <c r="AP944" s="34">
        <f t="shared" si="822"/>
        <v>0</v>
      </c>
      <c r="AQ944" s="34">
        <f t="shared" si="823"/>
        <v>0</v>
      </c>
      <c r="AR944" s="34">
        <f t="shared" si="824"/>
        <v>0</v>
      </c>
      <c r="AS944" s="30">
        <f t="shared" si="825"/>
        <v>2.1802566157022265</v>
      </c>
      <c r="AT944" s="29">
        <f t="shared" si="826"/>
        <v>0</v>
      </c>
      <c r="AU944" s="29">
        <f t="shared" si="827"/>
        <v>0</v>
      </c>
      <c r="AV944" s="34">
        <f t="shared" si="828"/>
        <v>0</v>
      </c>
      <c r="AW944" s="34">
        <f t="shared" si="829"/>
        <v>0</v>
      </c>
      <c r="AX944" s="29">
        <f t="shared" si="830"/>
        <v>0</v>
      </c>
      <c r="AY944" s="34">
        <f t="shared" si="831"/>
        <v>0</v>
      </c>
      <c r="AZ944" s="37">
        <f t="shared" si="832"/>
        <v>0</v>
      </c>
      <c r="BA944" s="37">
        <f t="shared" si="833"/>
        <v>0</v>
      </c>
      <c r="BB944" s="35">
        <f t="shared" si="834"/>
        <v>1.6646738453758303E-3</v>
      </c>
      <c r="BC944" s="31">
        <f t="shared" si="835"/>
        <v>0.20940346719225497</v>
      </c>
      <c r="BD944" s="34">
        <f t="shared" si="836"/>
        <v>0</v>
      </c>
    </row>
    <row r="945" spans="1:56" x14ac:dyDescent="0.2">
      <c r="A945" s="27">
        <f t="shared" si="837"/>
        <v>941</v>
      </c>
      <c r="B945" s="28">
        <f t="shared" si="784"/>
        <v>941</v>
      </c>
      <c r="C945" s="27">
        <f t="shared" si="785"/>
        <v>78</v>
      </c>
      <c r="D945" s="28">
        <f t="shared" si="786"/>
        <v>98</v>
      </c>
      <c r="E945" s="29">
        <f t="shared" si="787"/>
        <v>0</v>
      </c>
      <c r="F945" s="30">
        <f t="shared" si="788"/>
        <v>0.13082137057164159</v>
      </c>
      <c r="G945" s="31">
        <f t="shared" si="789"/>
        <v>1.1615893259680821E-2</v>
      </c>
      <c r="H945" s="32">
        <f t="shared" si="790"/>
        <v>0.02</v>
      </c>
      <c r="I945" s="32">
        <f t="shared" si="791"/>
        <v>0</v>
      </c>
      <c r="J945" s="33">
        <f t="shared" si="838"/>
        <v>0</v>
      </c>
      <c r="K945" s="30">
        <f t="shared" si="792"/>
        <v>0</v>
      </c>
      <c r="L945" s="33">
        <f t="shared" si="793"/>
        <v>0</v>
      </c>
      <c r="M945" s="30">
        <f t="shared" si="794"/>
        <v>0</v>
      </c>
      <c r="N945" s="33">
        <f t="shared" si="795"/>
        <v>0</v>
      </c>
      <c r="O945" s="31">
        <f t="shared" si="796"/>
        <v>0</v>
      </c>
      <c r="P945" s="33">
        <f t="shared" si="797"/>
        <v>0</v>
      </c>
      <c r="Q945" s="34">
        <f t="shared" si="839"/>
        <v>984793.63113194611</v>
      </c>
      <c r="R945" s="29">
        <f t="shared" si="798"/>
        <v>0</v>
      </c>
      <c r="S945" s="34">
        <f t="shared" si="799"/>
        <v>984793.63113194611</v>
      </c>
      <c r="T945" s="29">
        <f t="shared" si="800"/>
        <v>820.66135927662185</v>
      </c>
      <c r="U945" s="29">
        <f t="shared" si="801"/>
        <v>0</v>
      </c>
      <c r="V945" s="35">
        <f t="shared" si="802"/>
        <v>1.2777482585648904E-2</v>
      </c>
      <c r="W945" s="34">
        <f t="shared" si="803"/>
        <v>0</v>
      </c>
      <c r="X945" s="34">
        <f t="shared" si="804"/>
        <v>983972.96977266949</v>
      </c>
      <c r="Y945" s="36">
        <f t="shared" si="805"/>
        <v>7.6126416717474665E-3</v>
      </c>
      <c r="Z945" s="34">
        <f t="shared" si="806"/>
        <v>7490.6336335645337</v>
      </c>
      <c r="AA945" s="34">
        <f t="shared" si="807"/>
        <v>987718.28658945172</v>
      </c>
      <c r="AB945" s="34">
        <f t="shared" si="808"/>
        <v>0</v>
      </c>
      <c r="AC945" s="34">
        <f t="shared" si="809"/>
        <v>0</v>
      </c>
      <c r="AD945" s="34">
        <f t="shared" si="810"/>
        <v>0</v>
      </c>
      <c r="AE945" s="34">
        <f t="shared" si="811"/>
        <v>0</v>
      </c>
      <c r="AF945" s="34">
        <f t="shared" si="812"/>
        <v>0</v>
      </c>
      <c r="AG945" s="29">
        <f t="shared" si="813"/>
        <v>987718.28658945172</v>
      </c>
      <c r="AH945" s="34">
        <f t="shared" si="814"/>
        <v>0</v>
      </c>
      <c r="AI945" s="34">
        <f t="shared" si="815"/>
        <v>0</v>
      </c>
      <c r="AJ945" s="34">
        <f t="shared" si="816"/>
        <v>0</v>
      </c>
      <c r="AK945" s="34">
        <f t="shared" si="817"/>
        <v>0</v>
      </c>
      <c r="AL945" s="34">
        <f t="shared" si="818"/>
        <v>0</v>
      </c>
      <c r="AM945" s="34">
        <f t="shared" si="819"/>
        <v>0</v>
      </c>
      <c r="AN945" s="34">
        <f t="shared" si="820"/>
        <v>0</v>
      </c>
      <c r="AO945" s="34">
        <f t="shared" si="821"/>
        <v>0</v>
      </c>
      <c r="AP945" s="34">
        <f t="shared" si="822"/>
        <v>0</v>
      </c>
      <c r="AQ945" s="34">
        <f t="shared" si="823"/>
        <v>0</v>
      </c>
      <c r="AR945" s="34">
        <f t="shared" si="824"/>
        <v>0</v>
      </c>
      <c r="AS945" s="30">
        <f t="shared" si="825"/>
        <v>2.1820652216640073</v>
      </c>
      <c r="AT945" s="29">
        <f t="shared" si="826"/>
        <v>0</v>
      </c>
      <c r="AU945" s="29">
        <f t="shared" si="827"/>
        <v>0</v>
      </c>
      <c r="AV945" s="34">
        <f t="shared" si="828"/>
        <v>0</v>
      </c>
      <c r="AW945" s="34">
        <f t="shared" si="829"/>
        <v>0</v>
      </c>
      <c r="AX945" s="29">
        <f t="shared" si="830"/>
        <v>0</v>
      </c>
      <c r="AY945" s="34">
        <f t="shared" si="831"/>
        <v>0</v>
      </c>
      <c r="AZ945" s="37">
        <f t="shared" si="832"/>
        <v>0</v>
      </c>
      <c r="BA945" s="37">
        <f t="shared" si="833"/>
        <v>0</v>
      </c>
      <c r="BB945" s="35">
        <f t="shared" si="834"/>
        <v>1.6646738453758303E-3</v>
      </c>
      <c r="BC945" s="31">
        <f t="shared" si="835"/>
        <v>0.20905545803902434</v>
      </c>
      <c r="BD945" s="34">
        <f t="shared" si="836"/>
        <v>0</v>
      </c>
    </row>
    <row r="946" spans="1:56" x14ac:dyDescent="0.2">
      <c r="A946" s="27">
        <f t="shared" si="837"/>
        <v>942</v>
      </c>
      <c r="B946" s="28">
        <f t="shared" si="784"/>
        <v>942</v>
      </c>
      <c r="C946" s="27">
        <f t="shared" si="785"/>
        <v>78</v>
      </c>
      <c r="D946" s="28">
        <f t="shared" si="786"/>
        <v>98</v>
      </c>
      <c r="E946" s="29">
        <f t="shared" si="787"/>
        <v>0</v>
      </c>
      <c r="F946" s="30">
        <f t="shared" si="788"/>
        <v>0.13082137057164159</v>
      </c>
      <c r="G946" s="31">
        <f t="shared" si="789"/>
        <v>1.1615893259680821E-2</v>
      </c>
      <c r="H946" s="32">
        <f t="shared" si="790"/>
        <v>0.02</v>
      </c>
      <c r="I946" s="32">
        <f t="shared" si="791"/>
        <v>0</v>
      </c>
      <c r="J946" s="33">
        <f t="shared" si="838"/>
        <v>0</v>
      </c>
      <c r="K946" s="30">
        <f t="shared" si="792"/>
        <v>0</v>
      </c>
      <c r="L946" s="33">
        <f t="shared" si="793"/>
        <v>0</v>
      </c>
      <c r="M946" s="30">
        <f t="shared" si="794"/>
        <v>0</v>
      </c>
      <c r="N946" s="33">
        <f t="shared" si="795"/>
        <v>0</v>
      </c>
      <c r="O946" s="31">
        <f t="shared" si="796"/>
        <v>0</v>
      </c>
      <c r="P946" s="33">
        <f t="shared" si="797"/>
        <v>0</v>
      </c>
      <c r="Q946" s="34">
        <f t="shared" si="839"/>
        <v>991463.60340623406</v>
      </c>
      <c r="R946" s="29">
        <f t="shared" si="798"/>
        <v>0</v>
      </c>
      <c r="S946" s="34">
        <f t="shared" si="799"/>
        <v>991463.60340623406</v>
      </c>
      <c r="T946" s="29">
        <f t="shared" si="800"/>
        <v>826.21966950519516</v>
      </c>
      <c r="U946" s="29">
        <f t="shared" si="801"/>
        <v>0</v>
      </c>
      <c r="V946" s="35">
        <f t="shared" si="802"/>
        <v>1.2777482585648904E-2</v>
      </c>
      <c r="W946" s="34">
        <f t="shared" si="803"/>
        <v>0</v>
      </c>
      <c r="X946" s="34">
        <f t="shared" si="804"/>
        <v>990637.38373672892</v>
      </c>
      <c r="Y946" s="36">
        <f t="shared" si="805"/>
        <v>2.8925028594310342E-2</v>
      </c>
      <c r="Z946" s="34">
        <f t="shared" si="806"/>
        <v>28654.21465117767</v>
      </c>
      <c r="AA946" s="34">
        <f t="shared" si="807"/>
        <v>1004964.4910623177</v>
      </c>
      <c r="AB946" s="34">
        <f t="shared" si="808"/>
        <v>0</v>
      </c>
      <c r="AC946" s="34">
        <f t="shared" si="809"/>
        <v>0</v>
      </c>
      <c r="AD946" s="34">
        <f t="shared" si="810"/>
        <v>0</v>
      </c>
      <c r="AE946" s="34">
        <f t="shared" si="811"/>
        <v>0</v>
      </c>
      <c r="AF946" s="34">
        <f t="shared" si="812"/>
        <v>0</v>
      </c>
      <c r="AG946" s="29">
        <f t="shared" si="813"/>
        <v>1004964.4910623177</v>
      </c>
      <c r="AH946" s="34">
        <f t="shared" si="814"/>
        <v>0</v>
      </c>
      <c r="AI946" s="34">
        <f t="shared" si="815"/>
        <v>0</v>
      </c>
      <c r="AJ946" s="34">
        <f t="shared" si="816"/>
        <v>0</v>
      </c>
      <c r="AK946" s="34">
        <f t="shared" si="817"/>
        <v>0</v>
      </c>
      <c r="AL946" s="34">
        <f t="shared" si="818"/>
        <v>0</v>
      </c>
      <c r="AM946" s="34">
        <f t="shared" si="819"/>
        <v>0</v>
      </c>
      <c r="AN946" s="34">
        <f t="shared" si="820"/>
        <v>0</v>
      </c>
      <c r="AO946" s="34">
        <f t="shared" si="821"/>
        <v>0</v>
      </c>
      <c r="AP946" s="34">
        <f t="shared" si="822"/>
        <v>0</v>
      </c>
      <c r="AQ946" s="34">
        <f t="shared" si="823"/>
        <v>0</v>
      </c>
      <c r="AR946" s="34">
        <f t="shared" si="824"/>
        <v>0</v>
      </c>
      <c r="AS946" s="30">
        <f t="shared" si="825"/>
        <v>2.1838753279333671</v>
      </c>
      <c r="AT946" s="29">
        <f t="shared" si="826"/>
        <v>0</v>
      </c>
      <c r="AU946" s="29">
        <f t="shared" si="827"/>
        <v>0</v>
      </c>
      <c r="AV946" s="34">
        <f t="shared" si="828"/>
        <v>0</v>
      </c>
      <c r="AW946" s="34">
        <f t="shared" si="829"/>
        <v>0</v>
      </c>
      <c r="AX946" s="29">
        <f t="shared" si="830"/>
        <v>0</v>
      </c>
      <c r="AY946" s="34">
        <f t="shared" si="831"/>
        <v>0</v>
      </c>
      <c r="AZ946" s="37">
        <f t="shared" si="832"/>
        <v>0</v>
      </c>
      <c r="BA946" s="37">
        <f t="shared" si="833"/>
        <v>0</v>
      </c>
      <c r="BB946" s="35">
        <f t="shared" si="834"/>
        <v>1.6646738453758303E-3</v>
      </c>
      <c r="BC946" s="31">
        <f t="shared" si="835"/>
        <v>0.20870802724475007</v>
      </c>
      <c r="BD946" s="34">
        <f t="shared" si="836"/>
        <v>0</v>
      </c>
    </row>
    <row r="947" spans="1:56" x14ac:dyDescent="0.2">
      <c r="A947" s="27">
        <f t="shared" si="837"/>
        <v>943</v>
      </c>
      <c r="B947" s="28">
        <f t="shared" si="784"/>
        <v>943</v>
      </c>
      <c r="C947" s="27">
        <f t="shared" si="785"/>
        <v>78</v>
      </c>
      <c r="D947" s="28">
        <f t="shared" si="786"/>
        <v>98</v>
      </c>
      <c r="E947" s="29">
        <f t="shared" si="787"/>
        <v>0</v>
      </c>
      <c r="F947" s="30">
        <f t="shared" si="788"/>
        <v>0.13082137057164159</v>
      </c>
      <c r="G947" s="31">
        <f t="shared" si="789"/>
        <v>1.1615893259680821E-2</v>
      </c>
      <c r="H947" s="32">
        <f t="shared" si="790"/>
        <v>0.02</v>
      </c>
      <c r="I947" s="32">
        <f t="shared" si="791"/>
        <v>0</v>
      </c>
      <c r="J947" s="33">
        <f t="shared" si="838"/>
        <v>0</v>
      </c>
      <c r="K947" s="30">
        <f t="shared" si="792"/>
        <v>0</v>
      </c>
      <c r="L947" s="33">
        <f t="shared" si="793"/>
        <v>0</v>
      </c>
      <c r="M947" s="30">
        <f t="shared" si="794"/>
        <v>0</v>
      </c>
      <c r="N947" s="33">
        <f t="shared" si="795"/>
        <v>0</v>
      </c>
      <c r="O947" s="31">
        <f t="shared" si="796"/>
        <v>0</v>
      </c>
      <c r="P947" s="33">
        <f t="shared" si="797"/>
        <v>0</v>
      </c>
      <c r="Q947" s="34">
        <f t="shared" si="839"/>
        <v>1019291.5983879066</v>
      </c>
      <c r="R947" s="29">
        <f t="shared" si="798"/>
        <v>0</v>
      </c>
      <c r="S947" s="34">
        <f t="shared" si="799"/>
        <v>1019291.5983879066</v>
      </c>
      <c r="T947" s="29">
        <f t="shared" si="800"/>
        <v>849.40966532325547</v>
      </c>
      <c r="U947" s="29">
        <f t="shared" si="801"/>
        <v>0</v>
      </c>
      <c r="V947" s="35">
        <f t="shared" si="802"/>
        <v>1.2777482585648904E-2</v>
      </c>
      <c r="W947" s="34">
        <f t="shared" si="803"/>
        <v>0</v>
      </c>
      <c r="X947" s="34">
        <f t="shared" si="804"/>
        <v>1018442.1887225833</v>
      </c>
      <c r="Y947" s="36">
        <f t="shared" si="805"/>
        <v>-1.2069373166596398E-2</v>
      </c>
      <c r="Z947" s="34">
        <f t="shared" si="806"/>
        <v>-12291.958824298052</v>
      </c>
      <c r="AA947" s="34">
        <f t="shared" si="807"/>
        <v>1012296.2093104343</v>
      </c>
      <c r="AB947" s="34">
        <f t="shared" si="808"/>
        <v>0</v>
      </c>
      <c r="AC947" s="34">
        <f t="shared" si="809"/>
        <v>0</v>
      </c>
      <c r="AD947" s="34">
        <f t="shared" si="810"/>
        <v>0</v>
      </c>
      <c r="AE947" s="34">
        <f t="shared" si="811"/>
        <v>0</v>
      </c>
      <c r="AF947" s="34">
        <f t="shared" si="812"/>
        <v>0</v>
      </c>
      <c r="AG947" s="29">
        <f t="shared" si="813"/>
        <v>1012296.2093104343</v>
      </c>
      <c r="AH947" s="34">
        <f t="shared" si="814"/>
        <v>0</v>
      </c>
      <c r="AI947" s="34">
        <f t="shared" si="815"/>
        <v>0</v>
      </c>
      <c r="AJ947" s="34">
        <f t="shared" si="816"/>
        <v>0</v>
      </c>
      <c r="AK947" s="34">
        <f t="shared" si="817"/>
        <v>0</v>
      </c>
      <c r="AL947" s="34">
        <f t="shared" si="818"/>
        <v>0</v>
      </c>
      <c r="AM947" s="34">
        <f t="shared" si="819"/>
        <v>0</v>
      </c>
      <c r="AN947" s="34">
        <f t="shared" si="820"/>
        <v>0</v>
      </c>
      <c r="AO947" s="34">
        <f t="shared" si="821"/>
        <v>0</v>
      </c>
      <c r="AP947" s="34">
        <f t="shared" si="822"/>
        <v>0</v>
      </c>
      <c r="AQ947" s="34">
        <f t="shared" si="823"/>
        <v>0</v>
      </c>
      <c r="AR947" s="34">
        <f t="shared" si="824"/>
        <v>0</v>
      </c>
      <c r="AS947" s="30">
        <f t="shared" si="825"/>
        <v>2.1856869357548678</v>
      </c>
      <c r="AT947" s="29">
        <f t="shared" si="826"/>
        <v>0</v>
      </c>
      <c r="AU947" s="29">
        <f t="shared" si="827"/>
        <v>0</v>
      </c>
      <c r="AV947" s="34">
        <f t="shared" si="828"/>
        <v>0</v>
      </c>
      <c r="AW947" s="34">
        <f t="shared" si="829"/>
        <v>0</v>
      </c>
      <c r="AX947" s="29">
        <f t="shared" si="830"/>
        <v>0</v>
      </c>
      <c r="AY947" s="34">
        <f t="shared" si="831"/>
        <v>0</v>
      </c>
      <c r="AZ947" s="37">
        <f t="shared" si="832"/>
        <v>0</v>
      </c>
      <c r="BA947" s="37">
        <f t="shared" si="833"/>
        <v>0</v>
      </c>
      <c r="BB947" s="35">
        <f t="shared" si="834"/>
        <v>1.6646738453758303E-3</v>
      </c>
      <c r="BC947" s="31">
        <f t="shared" si="835"/>
        <v>0.20836117384825309</v>
      </c>
      <c r="BD947" s="34">
        <f t="shared" si="836"/>
        <v>0</v>
      </c>
    </row>
    <row r="948" spans="1:56" x14ac:dyDescent="0.2">
      <c r="A948" s="27">
        <f t="shared" si="837"/>
        <v>944</v>
      </c>
      <c r="B948" s="28">
        <f t="shared" si="784"/>
        <v>944</v>
      </c>
      <c r="C948" s="27">
        <f t="shared" si="785"/>
        <v>78</v>
      </c>
      <c r="D948" s="28">
        <f t="shared" si="786"/>
        <v>98</v>
      </c>
      <c r="E948" s="29">
        <f t="shared" si="787"/>
        <v>0</v>
      </c>
      <c r="F948" s="30">
        <f t="shared" si="788"/>
        <v>0.13082137057164159</v>
      </c>
      <c r="G948" s="31">
        <f t="shared" si="789"/>
        <v>1.1615893259680821E-2</v>
      </c>
      <c r="H948" s="32">
        <f t="shared" si="790"/>
        <v>0.02</v>
      </c>
      <c r="I948" s="32">
        <f t="shared" si="791"/>
        <v>0</v>
      </c>
      <c r="J948" s="33">
        <f t="shared" si="838"/>
        <v>0</v>
      </c>
      <c r="K948" s="30">
        <f t="shared" si="792"/>
        <v>0</v>
      </c>
      <c r="L948" s="33">
        <f t="shared" si="793"/>
        <v>0</v>
      </c>
      <c r="M948" s="30">
        <f t="shared" si="794"/>
        <v>0</v>
      </c>
      <c r="N948" s="33">
        <f t="shared" si="795"/>
        <v>0</v>
      </c>
      <c r="O948" s="31">
        <f t="shared" si="796"/>
        <v>0</v>
      </c>
      <c r="P948" s="33">
        <f t="shared" si="797"/>
        <v>0</v>
      </c>
      <c r="Q948" s="34">
        <f t="shared" si="839"/>
        <v>1006150.2298982854</v>
      </c>
      <c r="R948" s="29">
        <f t="shared" si="798"/>
        <v>0</v>
      </c>
      <c r="S948" s="34">
        <f t="shared" si="799"/>
        <v>1006150.2298982854</v>
      </c>
      <c r="T948" s="29">
        <f t="shared" si="800"/>
        <v>838.45852491523783</v>
      </c>
      <c r="U948" s="29">
        <f t="shared" si="801"/>
        <v>0</v>
      </c>
      <c r="V948" s="35">
        <f t="shared" si="802"/>
        <v>1.2777482585648904E-2</v>
      </c>
      <c r="W948" s="34">
        <f t="shared" si="803"/>
        <v>0</v>
      </c>
      <c r="X948" s="34">
        <f t="shared" si="804"/>
        <v>1005311.7713733701</v>
      </c>
      <c r="Y948" s="36">
        <f t="shared" si="805"/>
        <v>1.0361990236753549E-3</v>
      </c>
      <c r="Z948" s="34">
        <f t="shared" si="806"/>
        <v>1041.7030759864276</v>
      </c>
      <c r="AA948" s="34">
        <f t="shared" si="807"/>
        <v>1005832.6229113633</v>
      </c>
      <c r="AB948" s="34">
        <f t="shared" si="808"/>
        <v>0</v>
      </c>
      <c r="AC948" s="34">
        <f t="shared" si="809"/>
        <v>0</v>
      </c>
      <c r="AD948" s="34">
        <f t="shared" si="810"/>
        <v>0</v>
      </c>
      <c r="AE948" s="34">
        <f t="shared" si="811"/>
        <v>0</v>
      </c>
      <c r="AF948" s="34">
        <f t="shared" si="812"/>
        <v>0</v>
      </c>
      <c r="AG948" s="29">
        <f t="shared" si="813"/>
        <v>1005832.6229113633</v>
      </c>
      <c r="AH948" s="34">
        <f t="shared" si="814"/>
        <v>0</v>
      </c>
      <c r="AI948" s="34">
        <f t="shared" si="815"/>
        <v>0</v>
      </c>
      <c r="AJ948" s="34">
        <f t="shared" si="816"/>
        <v>0</v>
      </c>
      <c r="AK948" s="34">
        <f t="shared" si="817"/>
        <v>0</v>
      </c>
      <c r="AL948" s="34">
        <f t="shared" si="818"/>
        <v>0</v>
      </c>
      <c r="AM948" s="34">
        <f t="shared" si="819"/>
        <v>0</v>
      </c>
      <c r="AN948" s="34">
        <f t="shared" si="820"/>
        <v>0</v>
      </c>
      <c r="AO948" s="34">
        <f t="shared" si="821"/>
        <v>0</v>
      </c>
      <c r="AP948" s="34">
        <f t="shared" si="822"/>
        <v>0</v>
      </c>
      <c r="AQ948" s="34">
        <f t="shared" si="823"/>
        <v>0</v>
      </c>
      <c r="AR948" s="34">
        <f t="shared" si="824"/>
        <v>0</v>
      </c>
      <c r="AS948" s="30">
        <f t="shared" si="825"/>
        <v>2.1875000463741054</v>
      </c>
      <c r="AT948" s="29">
        <f t="shared" si="826"/>
        <v>0</v>
      </c>
      <c r="AU948" s="29">
        <f t="shared" si="827"/>
        <v>0</v>
      </c>
      <c r="AV948" s="34">
        <f t="shared" si="828"/>
        <v>0</v>
      </c>
      <c r="AW948" s="34">
        <f t="shared" si="829"/>
        <v>0</v>
      </c>
      <c r="AX948" s="29">
        <f t="shared" si="830"/>
        <v>0</v>
      </c>
      <c r="AY948" s="34">
        <f t="shared" si="831"/>
        <v>0</v>
      </c>
      <c r="AZ948" s="37">
        <f t="shared" si="832"/>
        <v>0</v>
      </c>
      <c r="BA948" s="37">
        <f t="shared" si="833"/>
        <v>0</v>
      </c>
      <c r="BB948" s="35">
        <f t="shared" si="834"/>
        <v>1.6646738453758303E-3</v>
      </c>
      <c r="BC948" s="31">
        <f t="shared" si="835"/>
        <v>0.20801489688995189</v>
      </c>
      <c r="BD948" s="34">
        <f t="shared" si="836"/>
        <v>0</v>
      </c>
    </row>
    <row r="949" spans="1:56" x14ac:dyDescent="0.2">
      <c r="A949" s="27">
        <f t="shared" si="837"/>
        <v>945</v>
      </c>
      <c r="B949" s="28">
        <f t="shared" si="784"/>
        <v>945</v>
      </c>
      <c r="C949" s="27">
        <f t="shared" si="785"/>
        <v>78</v>
      </c>
      <c r="D949" s="28">
        <f t="shared" si="786"/>
        <v>98</v>
      </c>
      <c r="E949" s="29">
        <f t="shared" si="787"/>
        <v>0</v>
      </c>
      <c r="F949" s="30">
        <f t="shared" si="788"/>
        <v>0.13082137057164159</v>
      </c>
      <c r="G949" s="31">
        <f t="shared" si="789"/>
        <v>1.1615893259680821E-2</v>
      </c>
      <c r="H949" s="32">
        <f t="shared" si="790"/>
        <v>0.02</v>
      </c>
      <c r="I949" s="32">
        <f t="shared" si="791"/>
        <v>0</v>
      </c>
      <c r="J949" s="33">
        <f t="shared" si="838"/>
        <v>0</v>
      </c>
      <c r="K949" s="30">
        <f t="shared" si="792"/>
        <v>0</v>
      </c>
      <c r="L949" s="33">
        <f t="shared" si="793"/>
        <v>0</v>
      </c>
      <c r="M949" s="30">
        <f t="shared" si="794"/>
        <v>0</v>
      </c>
      <c r="N949" s="33">
        <f t="shared" si="795"/>
        <v>0</v>
      </c>
      <c r="O949" s="31">
        <f t="shared" si="796"/>
        <v>0</v>
      </c>
      <c r="P949" s="33">
        <f t="shared" si="797"/>
        <v>0</v>
      </c>
      <c r="Q949" s="34">
        <f t="shared" si="839"/>
        <v>1006353.4744493566</v>
      </c>
      <c r="R949" s="29">
        <f t="shared" si="798"/>
        <v>0</v>
      </c>
      <c r="S949" s="34">
        <f t="shared" si="799"/>
        <v>1006353.4744493566</v>
      </c>
      <c r="T949" s="29">
        <f t="shared" si="800"/>
        <v>838.62789537446383</v>
      </c>
      <c r="U949" s="29">
        <f t="shared" si="801"/>
        <v>0</v>
      </c>
      <c r="V949" s="35">
        <f t="shared" si="802"/>
        <v>1.2777482585648904E-2</v>
      </c>
      <c r="W949" s="34">
        <f t="shared" si="803"/>
        <v>0</v>
      </c>
      <c r="X949" s="34">
        <f t="shared" si="804"/>
        <v>1005514.8465539821</v>
      </c>
      <c r="Y949" s="36">
        <f t="shared" si="805"/>
        <v>-1.0131020890692288E-2</v>
      </c>
      <c r="Z949" s="34">
        <f t="shared" si="806"/>
        <v>-10186.891916339644</v>
      </c>
      <c r="AA949" s="34">
        <f t="shared" si="807"/>
        <v>1000421.4005958122</v>
      </c>
      <c r="AB949" s="34">
        <f t="shared" si="808"/>
        <v>0</v>
      </c>
      <c r="AC949" s="34">
        <f t="shared" si="809"/>
        <v>0</v>
      </c>
      <c r="AD949" s="34">
        <f t="shared" si="810"/>
        <v>0</v>
      </c>
      <c r="AE949" s="34">
        <f t="shared" si="811"/>
        <v>0</v>
      </c>
      <c r="AF949" s="34">
        <f t="shared" si="812"/>
        <v>0</v>
      </c>
      <c r="AG949" s="29">
        <f t="shared" si="813"/>
        <v>1000421.4005958122</v>
      </c>
      <c r="AH949" s="34">
        <f t="shared" si="814"/>
        <v>0</v>
      </c>
      <c r="AI949" s="34">
        <f t="shared" si="815"/>
        <v>0</v>
      </c>
      <c r="AJ949" s="34">
        <f t="shared" si="816"/>
        <v>0</v>
      </c>
      <c r="AK949" s="34">
        <f t="shared" si="817"/>
        <v>0</v>
      </c>
      <c r="AL949" s="34">
        <f t="shared" si="818"/>
        <v>0</v>
      </c>
      <c r="AM949" s="34">
        <f t="shared" si="819"/>
        <v>0</v>
      </c>
      <c r="AN949" s="34">
        <f t="shared" si="820"/>
        <v>0</v>
      </c>
      <c r="AO949" s="34">
        <f t="shared" si="821"/>
        <v>0</v>
      </c>
      <c r="AP949" s="34">
        <f t="shared" si="822"/>
        <v>0</v>
      </c>
      <c r="AQ949" s="34">
        <f t="shared" si="823"/>
        <v>0</v>
      </c>
      <c r="AR949" s="34">
        <f t="shared" si="824"/>
        <v>0</v>
      </c>
      <c r="AS949" s="30">
        <f t="shared" si="825"/>
        <v>2.1893146610377068</v>
      </c>
      <c r="AT949" s="29">
        <f t="shared" si="826"/>
        <v>0</v>
      </c>
      <c r="AU949" s="29">
        <f t="shared" si="827"/>
        <v>0</v>
      </c>
      <c r="AV949" s="34">
        <f t="shared" si="828"/>
        <v>0</v>
      </c>
      <c r="AW949" s="34">
        <f t="shared" si="829"/>
        <v>0</v>
      </c>
      <c r="AX949" s="29">
        <f t="shared" si="830"/>
        <v>0</v>
      </c>
      <c r="AY949" s="34">
        <f t="shared" si="831"/>
        <v>0</v>
      </c>
      <c r="AZ949" s="37">
        <f t="shared" si="832"/>
        <v>0</v>
      </c>
      <c r="BA949" s="37">
        <f t="shared" si="833"/>
        <v>0</v>
      </c>
      <c r="BB949" s="35">
        <f t="shared" si="834"/>
        <v>1.6646738453758303E-3</v>
      </c>
      <c r="BC949" s="31">
        <f t="shared" si="835"/>
        <v>0.20766919541185949</v>
      </c>
      <c r="BD949" s="34">
        <f t="shared" si="836"/>
        <v>0</v>
      </c>
    </row>
    <row r="950" spans="1:56" x14ac:dyDescent="0.2">
      <c r="A950" s="27">
        <f t="shared" si="837"/>
        <v>946</v>
      </c>
      <c r="B950" s="28">
        <f t="shared" si="784"/>
        <v>946</v>
      </c>
      <c r="C950" s="27">
        <f t="shared" si="785"/>
        <v>78</v>
      </c>
      <c r="D950" s="28">
        <f t="shared" si="786"/>
        <v>98</v>
      </c>
      <c r="E950" s="29">
        <f t="shared" si="787"/>
        <v>0</v>
      </c>
      <c r="F950" s="30">
        <f t="shared" si="788"/>
        <v>0.13082137057164159</v>
      </c>
      <c r="G950" s="31">
        <f t="shared" si="789"/>
        <v>1.1615893259680821E-2</v>
      </c>
      <c r="H950" s="32">
        <f t="shared" si="790"/>
        <v>0.02</v>
      </c>
      <c r="I950" s="32">
        <f t="shared" si="791"/>
        <v>0</v>
      </c>
      <c r="J950" s="33">
        <f t="shared" si="838"/>
        <v>0</v>
      </c>
      <c r="K950" s="30">
        <f t="shared" si="792"/>
        <v>0</v>
      </c>
      <c r="L950" s="33">
        <f t="shared" si="793"/>
        <v>0</v>
      </c>
      <c r="M950" s="30">
        <f t="shared" si="794"/>
        <v>0</v>
      </c>
      <c r="N950" s="33">
        <f t="shared" si="795"/>
        <v>0</v>
      </c>
      <c r="O950" s="31">
        <f t="shared" si="796"/>
        <v>0</v>
      </c>
      <c r="P950" s="33">
        <f t="shared" si="797"/>
        <v>0</v>
      </c>
      <c r="Q950" s="34">
        <f t="shared" si="839"/>
        <v>995327.95463764248</v>
      </c>
      <c r="R950" s="29">
        <f t="shared" si="798"/>
        <v>0</v>
      </c>
      <c r="S950" s="34">
        <f t="shared" si="799"/>
        <v>995327.95463764248</v>
      </c>
      <c r="T950" s="29">
        <f t="shared" si="800"/>
        <v>829.43996219803546</v>
      </c>
      <c r="U950" s="29">
        <f t="shared" si="801"/>
        <v>0</v>
      </c>
      <c r="V950" s="35">
        <f t="shared" si="802"/>
        <v>1.2777482585648904E-2</v>
      </c>
      <c r="W950" s="34">
        <f t="shared" si="803"/>
        <v>0</v>
      </c>
      <c r="X950" s="34">
        <f t="shared" si="804"/>
        <v>994498.51467544446</v>
      </c>
      <c r="Y950" s="36">
        <f t="shared" si="805"/>
        <v>1.0522061688595707E-2</v>
      </c>
      <c r="Z950" s="34">
        <f t="shared" si="806"/>
        <v>10464.17472063183</v>
      </c>
      <c r="AA950" s="34">
        <f t="shared" si="807"/>
        <v>999730.60203576041</v>
      </c>
      <c r="AB950" s="34">
        <f t="shared" si="808"/>
        <v>0</v>
      </c>
      <c r="AC950" s="34">
        <f t="shared" si="809"/>
        <v>0</v>
      </c>
      <c r="AD950" s="34">
        <f t="shared" si="810"/>
        <v>0</v>
      </c>
      <c r="AE950" s="34">
        <f t="shared" si="811"/>
        <v>0</v>
      </c>
      <c r="AF950" s="34">
        <f t="shared" si="812"/>
        <v>0</v>
      </c>
      <c r="AG950" s="29">
        <f t="shared" si="813"/>
        <v>999730.60203576041</v>
      </c>
      <c r="AH950" s="34">
        <f t="shared" si="814"/>
        <v>0</v>
      </c>
      <c r="AI950" s="34">
        <f t="shared" si="815"/>
        <v>0</v>
      </c>
      <c r="AJ950" s="34">
        <f t="shared" si="816"/>
        <v>0</v>
      </c>
      <c r="AK950" s="34">
        <f t="shared" si="817"/>
        <v>0</v>
      </c>
      <c r="AL950" s="34">
        <f t="shared" si="818"/>
        <v>0</v>
      </c>
      <c r="AM950" s="34">
        <f t="shared" si="819"/>
        <v>0</v>
      </c>
      <c r="AN950" s="34">
        <f t="shared" si="820"/>
        <v>0</v>
      </c>
      <c r="AO950" s="34">
        <f t="shared" si="821"/>
        <v>0</v>
      </c>
      <c r="AP950" s="34">
        <f t="shared" si="822"/>
        <v>0</v>
      </c>
      <c r="AQ950" s="34">
        <f t="shared" si="823"/>
        <v>0</v>
      </c>
      <c r="AR950" s="34">
        <f t="shared" si="824"/>
        <v>0</v>
      </c>
      <c r="AS950" s="30">
        <f t="shared" si="825"/>
        <v>2.1911307809933347</v>
      </c>
      <c r="AT950" s="29">
        <f t="shared" si="826"/>
        <v>0</v>
      </c>
      <c r="AU950" s="29">
        <f t="shared" si="827"/>
        <v>0</v>
      </c>
      <c r="AV950" s="34">
        <f t="shared" si="828"/>
        <v>0</v>
      </c>
      <c r="AW950" s="34">
        <f t="shared" si="829"/>
        <v>0</v>
      </c>
      <c r="AX950" s="29">
        <f t="shared" si="830"/>
        <v>0</v>
      </c>
      <c r="AY950" s="34">
        <f t="shared" si="831"/>
        <v>0</v>
      </c>
      <c r="AZ950" s="37">
        <f t="shared" si="832"/>
        <v>0</v>
      </c>
      <c r="BA950" s="37">
        <f t="shared" si="833"/>
        <v>0</v>
      </c>
      <c r="BB950" s="35">
        <f t="shared" si="834"/>
        <v>1.6646738453758303E-3</v>
      </c>
      <c r="BC950" s="31">
        <f t="shared" si="835"/>
        <v>0.20732406845758131</v>
      </c>
      <c r="BD950" s="34">
        <f t="shared" si="836"/>
        <v>0</v>
      </c>
    </row>
    <row r="951" spans="1:56" x14ac:dyDescent="0.2">
      <c r="A951" s="27">
        <f t="shared" si="837"/>
        <v>947</v>
      </c>
      <c r="B951" s="28">
        <f t="shared" si="784"/>
        <v>947</v>
      </c>
      <c r="C951" s="27">
        <f t="shared" si="785"/>
        <v>78</v>
      </c>
      <c r="D951" s="28">
        <f t="shared" si="786"/>
        <v>98</v>
      </c>
      <c r="E951" s="29">
        <f t="shared" si="787"/>
        <v>0</v>
      </c>
      <c r="F951" s="30">
        <f t="shared" si="788"/>
        <v>0.13082137057164159</v>
      </c>
      <c r="G951" s="31">
        <f t="shared" si="789"/>
        <v>1.1615893259680821E-2</v>
      </c>
      <c r="H951" s="32">
        <f t="shared" si="790"/>
        <v>0.02</v>
      </c>
      <c r="I951" s="32">
        <f t="shared" si="791"/>
        <v>0</v>
      </c>
      <c r="J951" s="33">
        <f t="shared" si="838"/>
        <v>0</v>
      </c>
      <c r="K951" s="30">
        <f t="shared" si="792"/>
        <v>0</v>
      </c>
      <c r="L951" s="33">
        <f t="shared" si="793"/>
        <v>0</v>
      </c>
      <c r="M951" s="30">
        <f t="shared" si="794"/>
        <v>0</v>
      </c>
      <c r="N951" s="33">
        <f t="shared" si="795"/>
        <v>0</v>
      </c>
      <c r="O951" s="31">
        <f t="shared" si="796"/>
        <v>0</v>
      </c>
      <c r="P951" s="33">
        <f t="shared" si="797"/>
        <v>0</v>
      </c>
      <c r="Q951" s="34">
        <f t="shared" si="839"/>
        <v>1004962.6893960763</v>
      </c>
      <c r="R951" s="29">
        <f t="shared" si="798"/>
        <v>0</v>
      </c>
      <c r="S951" s="34">
        <f t="shared" si="799"/>
        <v>1004962.6893960763</v>
      </c>
      <c r="T951" s="29">
        <f t="shared" si="800"/>
        <v>837.46890783006359</v>
      </c>
      <c r="U951" s="29">
        <f t="shared" si="801"/>
        <v>0</v>
      </c>
      <c r="V951" s="35">
        <f t="shared" si="802"/>
        <v>1.2777482585648904E-2</v>
      </c>
      <c r="W951" s="34">
        <f t="shared" si="803"/>
        <v>0</v>
      </c>
      <c r="X951" s="34">
        <f t="shared" si="804"/>
        <v>1004125.2204882462</v>
      </c>
      <c r="Y951" s="36">
        <f t="shared" si="805"/>
        <v>-3.325161384847064E-3</v>
      </c>
      <c r="Z951" s="34">
        <f t="shared" si="806"/>
        <v>-3338.87840871856</v>
      </c>
      <c r="AA951" s="34">
        <f t="shared" si="807"/>
        <v>1002455.7812838869</v>
      </c>
      <c r="AB951" s="34">
        <f t="shared" si="808"/>
        <v>0</v>
      </c>
      <c r="AC951" s="34">
        <f t="shared" si="809"/>
        <v>0</v>
      </c>
      <c r="AD951" s="34">
        <f t="shared" si="810"/>
        <v>0</v>
      </c>
      <c r="AE951" s="34">
        <f t="shared" si="811"/>
        <v>0</v>
      </c>
      <c r="AF951" s="34">
        <f t="shared" si="812"/>
        <v>0</v>
      </c>
      <c r="AG951" s="29">
        <f t="shared" si="813"/>
        <v>1002455.7812838869</v>
      </c>
      <c r="AH951" s="34">
        <f t="shared" si="814"/>
        <v>0</v>
      </c>
      <c r="AI951" s="34">
        <f t="shared" si="815"/>
        <v>0</v>
      </c>
      <c r="AJ951" s="34">
        <f t="shared" si="816"/>
        <v>0</v>
      </c>
      <c r="AK951" s="34">
        <f t="shared" si="817"/>
        <v>0</v>
      </c>
      <c r="AL951" s="34">
        <f t="shared" si="818"/>
        <v>0</v>
      </c>
      <c r="AM951" s="34">
        <f t="shared" si="819"/>
        <v>0</v>
      </c>
      <c r="AN951" s="34">
        <f t="shared" si="820"/>
        <v>0</v>
      </c>
      <c r="AO951" s="34">
        <f t="shared" si="821"/>
        <v>0</v>
      </c>
      <c r="AP951" s="34">
        <f t="shared" si="822"/>
        <v>0</v>
      </c>
      <c r="AQ951" s="34">
        <f t="shared" si="823"/>
        <v>0</v>
      </c>
      <c r="AR951" s="34">
        <f t="shared" si="824"/>
        <v>0</v>
      </c>
      <c r="AS951" s="30">
        <f t="shared" si="825"/>
        <v>2.1929484074896859</v>
      </c>
      <c r="AT951" s="29">
        <f t="shared" si="826"/>
        <v>0</v>
      </c>
      <c r="AU951" s="29">
        <f t="shared" si="827"/>
        <v>0</v>
      </c>
      <c r="AV951" s="34">
        <f t="shared" si="828"/>
        <v>0</v>
      </c>
      <c r="AW951" s="34">
        <f t="shared" si="829"/>
        <v>0</v>
      </c>
      <c r="AX951" s="29">
        <f t="shared" si="830"/>
        <v>0</v>
      </c>
      <c r="AY951" s="34">
        <f t="shared" si="831"/>
        <v>0</v>
      </c>
      <c r="AZ951" s="37">
        <f t="shared" si="832"/>
        <v>0</v>
      </c>
      <c r="BA951" s="37">
        <f t="shared" si="833"/>
        <v>0</v>
      </c>
      <c r="BB951" s="35">
        <f t="shared" si="834"/>
        <v>1.6646738453758303E-3</v>
      </c>
      <c r="BC951" s="31">
        <f t="shared" si="835"/>
        <v>0.20697951507231185</v>
      </c>
      <c r="BD951" s="34">
        <f t="shared" si="836"/>
        <v>0</v>
      </c>
    </row>
    <row r="952" spans="1:56" x14ac:dyDescent="0.2">
      <c r="A952" s="27">
        <f t="shared" si="837"/>
        <v>948</v>
      </c>
      <c r="B952" s="28">
        <f t="shared" si="784"/>
        <v>948</v>
      </c>
      <c r="C952" s="27">
        <f t="shared" si="785"/>
        <v>79</v>
      </c>
      <c r="D952" s="28">
        <f t="shared" si="786"/>
        <v>99</v>
      </c>
      <c r="E952" s="29">
        <f t="shared" si="787"/>
        <v>0</v>
      </c>
      <c r="F952" s="30">
        <f t="shared" si="788"/>
        <v>0.14983035395454769</v>
      </c>
      <c r="G952" s="31">
        <f t="shared" si="789"/>
        <v>1.3435540279708613E-2</v>
      </c>
      <c r="H952" s="32">
        <f t="shared" si="790"/>
        <v>0.02</v>
      </c>
      <c r="I952" s="32">
        <f t="shared" si="791"/>
        <v>0</v>
      </c>
      <c r="J952" s="33">
        <f t="shared" si="838"/>
        <v>0</v>
      </c>
      <c r="K952" s="30">
        <f t="shared" si="792"/>
        <v>0</v>
      </c>
      <c r="L952" s="33">
        <f t="shared" si="793"/>
        <v>0</v>
      </c>
      <c r="M952" s="30">
        <f t="shared" si="794"/>
        <v>0</v>
      </c>
      <c r="N952" s="33">
        <f t="shared" si="795"/>
        <v>0</v>
      </c>
      <c r="O952" s="31">
        <f t="shared" si="796"/>
        <v>0</v>
      </c>
      <c r="P952" s="33">
        <f t="shared" si="797"/>
        <v>0</v>
      </c>
      <c r="Q952" s="34">
        <f t="shared" si="839"/>
        <v>1000786.3420795277</v>
      </c>
      <c r="R952" s="29">
        <f t="shared" si="798"/>
        <v>0</v>
      </c>
      <c r="S952" s="34">
        <f t="shared" si="799"/>
        <v>1000786.3420795277</v>
      </c>
      <c r="T952" s="29">
        <f t="shared" si="800"/>
        <v>833.98861839960648</v>
      </c>
      <c r="U952" s="29">
        <f t="shared" si="801"/>
        <v>0</v>
      </c>
      <c r="V952" s="35">
        <f t="shared" si="802"/>
        <v>1.4779094307679475E-2</v>
      </c>
      <c r="W952" s="34">
        <f t="shared" si="803"/>
        <v>0</v>
      </c>
      <c r="X952" s="34">
        <f t="shared" si="804"/>
        <v>999952.35346112808</v>
      </c>
      <c r="Y952" s="36">
        <f t="shared" si="805"/>
        <v>-1.319079258403022E-2</v>
      </c>
      <c r="Z952" s="34">
        <f t="shared" si="806"/>
        <v>-13190.164088418613</v>
      </c>
      <c r="AA952" s="34">
        <f t="shared" si="807"/>
        <v>993357.27141691872</v>
      </c>
      <c r="AB952" s="34">
        <f t="shared" si="808"/>
        <v>0</v>
      </c>
      <c r="AC952" s="34">
        <f t="shared" si="809"/>
        <v>0</v>
      </c>
      <c r="AD952" s="34">
        <f t="shared" si="810"/>
        <v>0</v>
      </c>
      <c r="AE952" s="34">
        <f t="shared" si="811"/>
        <v>0</v>
      </c>
      <c r="AF952" s="34">
        <f t="shared" si="812"/>
        <v>0</v>
      </c>
      <c r="AG952" s="29">
        <f t="shared" si="813"/>
        <v>993357.27141691872</v>
      </c>
      <c r="AH952" s="34">
        <f t="shared" si="814"/>
        <v>0</v>
      </c>
      <c r="AI952" s="34">
        <f t="shared" si="815"/>
        <v>0</v>
      </c>
      <c r="AJ952" s="34">
        <f t="shared" si="816"/>
        <v>0</v>
      </c>
      <c r="AK952" s="34">
        <f t="shared" si="817"/>
        <v>0</v>
      </c>
      <c r="AL952" s="34">
        <f t="shared" si="818"/>
        <v>0</v>
      </c>
      <c r="AM952" s="34">
        <f t="shared" si="819"/>
        <v>0</v>
      </c>
      <c r="AN952" s="34">
        <f t="shared" si="820"/>
        <v>0</v>
      </c>
      <c r="AO952" s="34">
        <f t="shared" si="821"/>
        <v>0</v>
      </c>
      <c r="AP952" s="34">
        <f t="shared" si="822"/>
        <v>0</v>
      </c>
      <c r="AQ952" s="34">
        <f t="shared" si="823"/>
        <v>0</v>
      </c>
      <c r="AR952" s="34">
        <f t="shared" si="824"/>
        <v>0</v>
      </c>
      <c r="AS952" s="30">
        <f t="shared" si="825"/>
        <v>2.1947675417764931</v>
      </c>
      <c r="AT952" s="29">
        <f t="shared" si="826"/>
        <v>0</v>
      </c>
      <c r="AU952" s="29">
        <f t="shared" si="827"/>
        <v>0</v>
      </c>
      <c r="AV952" s="34">
        <f t="shared" si="828"/>
        <v>0</v>
      </c>
      <c r="AW952" s="34">
        <f t="shared" si="829"/>
        <v>0</v>
      </c>
      <c r="AX952" s="29">
        <f t="shared" si="830"/>
        <v>0</v>
      </c>
      <c r="AY952" s="34">
        <f t="shared" si="831"/>
        <v>0</v>
      </c>
      <c r="AZ952" s="37">
        <f t="shared" si="832"/>
        <v>0</v>
      </c>
      <c r="BA952" s="37">
        <f t="shared" si="833"/>
        <v>0</v>
      </c>
      <c r="BB952" s="35">
        <f t="shared" si="834"/>
        <v>1.6867632448120951E-3</v>
      </c>
      <c r="BC952" s="31">
        <f t="shared" si="835"/>
        <v>0.20236051188312165</v>
      </c>
      <c r="BD952" s="34">
        <f t="shared" si="836"/>
        <v>0</v>
      </c>
    </row>
    <row r="953" spans="1:56" x14ac:dyDescent="0.2">
      <c r="A953" s="27">
        <f t="shared" si="837"/>
        <v>949</v>
      </c>
      <c r="B953" s="28">
        <f t="shared" si="784"/>
        <v>949</v>
      </c>
      <c r="C953" s="27">
        <f t="shared" si="785"/>
        <v>79</v>
      </c>
      <c r="D953" s="28">
        <f t="shared" si="786"/>
        <v>99</v>
      </c>
      <c r="E953" s="29">
        <f t="shared" si="787"/>
        <v>0</v>
      </c>
      <c r="F953" s="30">
        <f t="shared" si="788"/>
        <v>0.14983035395454769</v>
      </c>
      <c r="G953" s="31">
        <f t="shared" si="789"/>
        <v>1.3435540279708613E-2</v>
      </c>
      <c r="H953" s="32">
        <f t="shared" si="790"/>
        <v>0.02</v>
      </c>
      <c r="I953" s="32">
        <f t="shared" si="791"/>
        <v>0</v>
      </c>
      <c r="J953" s="33">
        <f t="shared" si="838"/>
        <v>0</v>
      </c>
      <c r="K953" s="30">
        <f t="shared" si="792"/>
        <v>0</v>
      </c>
      <c r="L953" s="33">
        <f t="shared" si="793"/>
        <v>0</v>
      </c>
      <c r="M953" s="30">
        <f t="shared" si="794"/>
        <v>0</v>
      </c>
      <c r="N953" s="33">
        <f t="shared" si="795"/>
        <v>0</v>
      </c>
      <c r="O953" s="31">
        <f t="shared" si="796"/>
        <v>0</v>
      </c>
      <c r="P953" s="33">
        <f t="shared" si="797"/>
        <v>0</v>
      </c>
      <c r="Q953" s="34">
        <f t="shared" si="839"/>
        <v>986762.18937270949</v>
      </c>
      <c r="R953" s="29">
        <f t="shared" si="798"/>
        <v>0</v>
      </c>
      <c r="S953" s="34">
        <f t="shared" si="799"/>
        <v>986762.18937270949</v>
      </c>
      <c r="T953" s="29">
        <f t="shared" si="800"/>
        <v>822.30182447725792</v>
      </c>
      <c r="U953" s="29">
        <f t="shared" si="801"/>
        <v>0</v>
      </c>
      <c r="V953" s="35">
        <f t="shared" si="802"/>
        <v>1.4779094307679475E-2</v>
      </c>
      <c r="W953" s="34">
        <f t="shared" si="803"/>
        <v>0</v>
      </c>
      <c r="X953" s="34">
        <f t="shared" si="804"/>
        <v>985939.88754823222</v>
      </c>
      <c r="Y953" s="36">
        <f t="shared" si="805"/>
        <v>3.7388757167273745E-3</v>
      </c>
      <c r="Z953" s="34">
        <f t="shared" si="806"/>
        <v>3686.3067037070036</v>
      </c>
      <c r="AA953" s="34">
        <f t="shared" si="807"/>
        <v>987783.0409000857</v>
      </c>
      <c r="AB953" s="34">
        <f t="shared" si="808"/>
        <v>0</v>
      </c>
      <c r="AC953" s="34">
        <f t="shared" si="809"/>
        <v>0</v>
      </c>
      <c r="AD953" s="34">
        <f t="shared" si="810"/>
        <v>0</v>
      </c>
      <c r="AE953" s="34">
        <f t="shared" si="811"/>
        <v>0</v>
      </c>
      <c r="AF953" s="34">
        <f t="shared" si="812"/>
        <v>0</v>
      </c>
      <c r="AG953" s="29">
        <f t="shared" si="813"/>
        <v>987783.0409000857</v>
      </c>
      <c r="AH953" s="34">
        <f t="shared" si="814"/>
        <v>0</v>
      </c>
      <c r="AI953" s="34">
        <f t="shared" si="815"/>
        <v>0</v>
      </c>
      <c r="AJ953" s="34">
        <f t="shared" si="816"/>
        <v>0</v>
      </c>
      <c r="AK953" s="34">
        <f t="shared" si="817"/>
        <v>0</v>
      </c>
      <c r="AL953" s="34">
        <f t="shared" si="818"/>
        <v>0</v>
      </c>
      <c r="AM953" s="34">
        <f t="shared" si="819"/>
        <v>0</v>
      </c>
      <c r="AN953" s="34">
        <f t="shared" si="820"/>
        <v>0</v>
      </c>
      <c r="AO953" s="34">
        <f t="shared" si="821"/>
        <v>0</v>
      </c>
      <c r="AP953" s="34">
        <f t="shared" si="822"/>
        <v>0</v>
      </c>
      <c r="AQ953" s="34">
        <f t="shared" si="823"/>
        <v>0</v>
      </c>
      <c r="AR953" s="34">
        <f t="shared" si="824"/>
        <v>0</v>
      </c>
      <c r="AS953" s="30">
        <f t="shared" si="825"/>
        <v>2.196588185104527</v>
      </c>
      <c r="AT953" s="29">
        <f t="shared" si="826"/>
        <v>0</v>
      </c>
      <c r="AU953" s="29">
        <f t="shared" si="827"/>
        <v>0</v>
      </c>
      <c r="AV953" s="34">
        <f t="shared" si="828"/>
        <v>0</v>
      </c>
      <c r="AW953" s="34">
        <f t="shared" si="829"/>
        <v>0</v>
      </c>
      <c r="AX953" s="29">
        <f t="shared" si="830"/>
        <v>0</v>
      </c>
      <c r="AY953" s="34">
        <f t="shared" si="831"/>
        <v>0</v>
      </c>
      <c r="AZ953" s="37">
        <f t="shared" si="832"/>
        <v>0</v>
      </c>
      <c r="BA953" s="37">
        <f t="shared" si="833"/>
        <v>0</v>
      </c>
      <c r="BB953" s="35">
        <f t="shared" si="834"/>
        <v>1.6867632448120951E-3</v>
      </c>
      <c r="BC953" s="31">
        <f t="shared" si="835"/>
        <v>0.20201975239006403</v>
      </c>
      <c r="BD953" s="34">
        <f t="shared" si="836"/>
        <v>0</v>
      </c>
    </row>
    <row r="954" spans="1:56" x14ac:dyDescent="0.2">
      <c r="A954" s="27">
        <f t="shared" si="837"/>
        <v>950</v>
      </c>
      <c r="B954" s="28">
        <f t="shared" si="784"/>
        <v>950</v>
      </c>
      <c r="C954" s="27">
        <f t="shared" si="785"/>
        <v>79</v>
      </c>
      <c r="D954" s="28">
        <f t="shared" si="786"/>
        <v>99</v>
      </c>
      <c r="E954" s="29">
        <f t="shared" si="787"/>
        <v>0</v>
      </c>
      <c r="F954" s="30">
        <f t="shared" si="788"/>
        <v>0.14983035395454769</v>
      </c>
      <c r="G954" s="31">
        <f t="shared" si="789"/>
        <v>1.3435540279708613E-2</v>
      </c>
      <c r="H954" s="32">
        <f t="shared" si="790"/>
        <v>0.02</v>
      </c>
      <c r="I954" s="32">
        <f t="shared" si="791"/>
        <v>0</v>
      </c>
      <c r="J954" s="33">
        <f t="shared" si="838"/>
        <v>0</v>
      </c>
      <c r="K954" s="30">
        <f t="shared" si="792"/>
        <v>0</v>
      </c>
      <c r="L954" s="33">
        <f t="shared" si="793"/>
        <v>0</v>
      </c>
      <c r="M954" s="30">
        <f t="shared" si="794"/>
        <v>0</v>
      </c>
      <c r="N954" s="33">
        <f t="shared" si="795"/>
        <v>0</v>
      </c>
      <c r="O954" s="31">
        <f t="shared" si="796"/>
        <v>0</v>
      </c>
      <c r="P954" s="33">
        <f t="shared" si="797"/>
        <v>0</v>
      </c>
      <c r="Q954" s="34">
        <f t="shared" si="839"/>
        <v>989626.19425193919</v>
      </c>
      <c r="R954" s="29">
        <f t="shared" si="798"/>
        <v>0</v>
      </c>
      <c r="S954" s="34">
        <f t="shared" si="799"/>
        <v>989626.19425193919</v>
      </c>
      <c r="T954" s="29">
        <f t="shared" si="800"/>
        <v>824.68849520994934</v>
      </c>
      <c r="U954" s="29">
        <f t="shared" si="801"/>
        <v>0</v>
      </c>
      <c r="V954" s="35">
        <f t="shared" si="802"/>
        <v>1.4779094307679475E-2</v>
      </c>
      <c r="W954" s="34">
        <f t="shared" si="803"/>
        <v>0</v>
      </c>
      <c r="X954" s="34">
        <f t="shared" si="804"/>
        <v>988801.50575672928</v>
      </c>
      <c r="Y954" s="36">
        <f t="shared" si="805"/>
        <v>-2.0949452196569185E-3</v>
      </c>
      <c r="Z954" s="34">
        <f t="shared" si="806"/>
        <v>-2071.484987674623</v>
      </c>
      <c r="AA954" s="34">
        <f t="shared" si="807"/>
        <v>987765.76326289203</v>
      </c>
      <c r="AB954" s="34">
        <f t="shared" si="808"/>
        <v>0</v>
      </c>
      <c r="AC954" s="34">
        <f t="shared" si="809"/>
        <v>0</v>
      </c>
      <c r="AD954" s="34">
        <f t="shared" si="810"/>
        <v>0</v>
      </c>
      <c r="AE954" s="34">
        <f t="shared" si="811"/>
        <v>0</v>
      </c>
      <c r="AF954" s="34">
        <f t="shared" si="812"/>
        <v>0</v>
      </c>
      <c r="AG954" s="29">
        <f t="shared" si="813"/>
        <v>987765.76326289203</v>
      </c>
      <c r="AH954" s="34">
        <f t="shared" si="814"/>
        <v>0</v>
      </c>
      <c r="AI954" s="34">
        <f t="shared" si="815"/>
        <v>0</v>
      </c>
      <c r="AJ954" s="34">
        <f t="shared" si="816"/>
        <v>0</v>
      </c>
      <c r="AK954" s="34">
        <f t="shared" si="817"/>
        <v>0</v>
      </c>
      <c r="AL954" s="34">
        <f t="shared" si="818"/>
        <v>0</v>
      </c>
      <c r="AM954" s="34">
        <f t="shared" si="819"/>
        <v>0</v>
      </c>
      <c r="AN954" s="34">
        <f t="shared" si="820"/>
        <v>0</v>
      </c>
      <c r="AO954" s="34">
        <f t="shared" si="821"/>
        <v>0</v>
      </c>
      <c r="AP954" s="34">
        <f t="shared" si="822"/>
        <v>0</v>
      </c>
      <c r="AQ954" s="34">
        <f t="shared" si="823"/>
        <v>0</v>
      </c>
      <c r="AR954" s="34">
        <f t="shared" si="824"/>
        <v>0</v>
      </c>
      <c r="AS954" s="30">
        <f t="shared" si="825"/>
        <v>2.1984103387255938</v>
      </c>
      <c r="AT954" s="29">
        <f t="shared" si="826"/>
        <v>0</v>
      </c>
      <c r="AU954" s="29">
        <f t="shared" si="827"/>
        <v>0</v>
      </c>
      <c r="AV954" s="34">
        <f t="shared" si="828"/>
        <v>0</v>
      </c>
      <c r="AW954" s="34">
        <f t="shared" si="829"/>
        <v>0</v>
      </c>
      <c r="AX954" s="29">
        <f t="shared" si="830"/>
        <v>0</v>
      </c>
      <c r="AY954" s="34">
        <f t="shared" si="831"/>
        <v>0</v>
      </c>
      <c r="AZ954" s="37">
        <f t="shared" si="832"/>
        <v>0</v>
      </c>
      <c r="BA954" s="37">
        <f t="shared" si="833"/>
        <v>0</v>
      </c>
      <c r="BB954" s="35">
        <f t="shared" si="834"/>
        <v>1.6867632448120951E-3</v>
      </c>
      <c r="BC954" s="31">
        <f t="shared" si="835"/>
        <v>0.20167956670970841</v>
      </c>
      <c r="BD954" s="34">
        <f t="shared" si="836"/>
        <v>0</v>
      </c>
    </row>
    <row r="955" spans="1:56" x14ac:dyDescent="0.2">
      <c r="A955" s="27">
        <f t="shared" si="837"/>
        <v>951</v>
      </c>
      <c r="B955" s="28">
        <f t="shared" si="784"/>
        <v>951</v>
      </c>
      <c r="C955" s="27">
        <f t="shared" si="785"/>
        <v>79</v>
      </c>
      <c r="D955" s="28">
        <f t="shared" si="786"/>
        <v>99</v>
      </c>
      <c r="E955" s="29">
        <f t="shared" si="787"/>
        <v>0</v>
      </c>
      <c r="F955" s="30">
        <f t="shared" si="788"/>
        <v>0.14983035395454769</v>
      </c>
      <c r="G955" s="31">
        <f t="shared" si="789"/>
        <v>1.3435540279708613E-2</v>
      </c>
      <c r="H955" s="32">
        <f t="shared" si="790"/>
        <v>0.02</v>
      </c>
      <c r="I955" s="32">
        <f t="shared" si="791"/>
        <v>0</v>
      </c>
      <c r="J955" s="33">
        <f t="shared" si="838"/>
        <v>0</v>
      </c>
      <c r="K955" s="30">
        <f t="shared" si="792"/>
        <v>0</v>
      </c>
      <c r="L955" s="33">
        <f t="shared" si="793"/>
        <v>0</v>
      </c>
      <c r="M955" s="30">
        <f t="shared" si="794"/>
        <v>0</v>
      </c>
      <c r="N955" s="33">
        <f t="shared" si="795"/>
        <v>0</v>
      </c>
      <c r="O955" s="31">
        <f t="shared" si="796"/>
        <v>0</v>
      </c>
      <c r="P955" s="33">
        <f t="shared" si="797"/>
        <v>0</v>
      </c>
      <c r="Q955" s="34">
        <f t="shared" si="839"/>
        <v>986730.02076905465</v>
      </c>
      <c r="R955" s="29">
        <f t="shared" si="798"/>
        <v>0</v>
      </c>
      <c r="S955" s="34">
        <f t="shared" si="799"/>
        <v>986730.02076905465</v>
      </c>
      <c r="T955" s="29">
        <f t="shared" si="800"/>
        <v>822.27501730754557</v>
      </c>
      <c r="U955" s="29">
        <f t="shared" si="801"/>
        <v>0</v>
      </c>
      <c r="V955" s="35">
        <f t="shared" si="802"/>
        <v>1.4779094307679475E-2</v>
      </c>
      <c r="W955" s="34">
        <f t="shared" si="803"/>
        <v>0</v>
      </c>
      <c r="X955" s="34">
        <f t="shared" si="804"/>
        <v>985907.74575174716</v>
      </c>
      <c r="Y955" s="36">
        <f t="shared" si="805"/>
        <v>-6.4556968622186961E-4</v>
      </c>
      <c r="Z955" s="34">
        <f t="shared" si="806"/>
        <v>-636.47215406866621</v>
      </c>
      <c r="AA955" s="34">
        <f t="shared" si="807"/>
        <v>985589.50967471278</v>
      </c>
      <c r="AB955" s="34">
        <f t="shared" si="808"/>
        <v>0</v>
      </c>
      <c r="AC955" s="34">
        <f t="shared" si="809"/>
        <v>0</v>
      </c>
      <c r="AD955" s="34">
        <f t="shared" si="810"/>
        <v>0</v>
      </c>
      <c r="AE955" s="34">
        <f t="shared" si="811"/>
        <v>0</v>
      </c>
      <c r="AF955" s="34">
        <f t="shared" si="812"/>
        <v>0</v>
      </c>
      <c r="AG955" s="29">
        <f t="shared" si="813"/>
        <v>985589.50967471278</v>
      </c>
      <c r="AH955" s="34">
        <f t="shared" si="814"/>
        <v>0</v>
      </c>
      <c r="AI955" s="34">
        <f t="shared" si="815"/>
        <v>0</v>
      </c>
      <c r="AJ955" s="34">
        <f t="shared" si="816"/>
        <v>0</v>
      </c>
      <c r="AK955" s="34">
        <f t="shared" si="817"/>
        <v>0</v>
      </c>
      <c r="AL955" s="34">
        <f t="shared" si="818"/>
        <v>0</v>
      </c>
      <c r="AM955" s="34">
        <f t="shared" si="819"/>
        <v>0</v>
      </c>
      <c r="AN955" s="34">
        <f t="shared" si="820"/>
        <v>0</v>
      </c>
      <c r="AO955" s="34">
        <f t="shared" si="821"/>
        <v>0</v>
      </c>
      <c r="AP955" s="34">
        <f t="shared" si="822"/>
        <v>0</v>
      </c>
      <c r="AQ955" s="34">
        <f t="shared" si="823"/>
        <v>0</v>
      </c>
      <c r="AR955" s="34">
        <f t="shared" si="824"/>
        <v>0</v>
      </c>
      <c r="AS955" s="30">
        <f t="shared" si="825"/>
        <v>2.2002340038925396</v>
      </c>
      <c r="AT955" s="29">
        <f t="shared" si="826"/>
        <v>0</v>
      </c>
      <c r="AU955" s="29">
        <f t="shared" si="827"/>
        <v>0</v>
      </c>
      <c r="AV955" s="34">
        <f t="shared" si="828"/>
        <v>0</v>
      </c>
      <c r="AW955" s="34">
        <f t="shared" si="829"/>
        <v>0</v>
      </c>
      <c r="AX955" s="29">
        <f t="shared" si="830"/>
        <v>0</v>
      </c>
      <c r="AY955" s="34">
        <f t="shared" si="831"/>
        <v>0</v>
      </c>
      <c r="AZ955" s="37">
        <f t="shared" si="832"/>
        <v>0</v>
      </c>
      <c r="BA955" s="37">
        <f t="shared" si="833"/>
        <v>0</v>
      </c>
      <c r="BB955" s="35">
        <f t="shared" si="834"/>
        <v>1.6867632448120951E-3</v>
      </c>
      <c r="BC955" s="31">
        <f t="shared" si="835"/>
        <v>0.20133995387579859</v>
      </c>
      <c r="BD955" s="34">
        <f t="shared" si="836"/>
        <v>0</v>
      </c>
    </row>
    <row r="956" spans="1:56" x14ac:dyDescent="0.2">
      <c r="A956" s="27">
        <f t="shared" si="837"/>
        <v>952</v>
      </c>
      <c r="B956" s="28">
        <f t="shared" si="784"/>
        <v>952</v>
      </c>
      <c r="C956" s="27">
        <f t="shared" si="785"/>
        <v>79</v>
      </c>
      <c r="D956" s="28">
        <f t="shared" si="786"/>
        <v>99</v>
      </c>
      <c r="E956" s="29">
        <f t="shared" si="787"/>
        <v>0</v>
      </c>
      <c r="F956" s="30">
        <f t="shared" si="788"/>
        <v>0.14983035395454769</v>
      </c>
      <c r="G956" s="31">
        <f t="shared" si="789"/>
        <v>1.3435540279708613E-2</v>
      </c>
      <c r="H956" s="32">
        <f t="shared" si="790"/>
        <v>0.02</v>
      </c>
      <c r="I956" s="32">
        <f t="shared" si="791"/>
        <v>0</v>
      </c>
      <c r="J956" s="33">
        <f t="shared" si="838"/>
        <v>0</v>
      </c>
      <c r="K956" s="30">
        <f t="shared" si="792"/>
        <v>0</v>
      </c>
      <c r="L956" s="33">
        <f t="shared" si="793"/>
        <v>0</v>
      </c>
      <c r="M956" s="30">
        <f t="shared" si="794"/>
        <v>0</v>
      </c>
      <c r="N956" s="33">
        <f t="shared" si="795"/>
        <v>0</v>
      </c>
      <c r="O956" s="31">
        <f t="shared" si="796"/>
        <v>0</v>
      </c>
      <c r="P956" s="33">
        <f t="shared" si="797"/>
        <v>0</v>
      </c>
      <c r="Q956" s="34">
        <f t="shared" si="839"/>
        <v>985271.27359767852</v>
      </c>
      <c r="R956" s="29">
        <f t="shared" si="798"/>
        <v>0</v>
      </c>
      <c r="S956" s="34">
        <f t="shared" si="799"/>
        <v>985271.27359767852</v>
      </c>
      <c r="T956" s="29">
        <f t="shared" si="800"/>
        <v>821.05939466473217</v>
      </c>
      <c r="U956" s="29">
        <f t="shared" si="801"/>
        <v>0</v>
      </c>
      <c r="V956" s="35">
        <f t="shared" si="802"/>
        <v>1.4779094307679475E-2</v>
      </c>
      <c r="W956" s="34">
        <f t="shared" si="803"/>
        <v>0</v>
      </c>
      <c r="X956" s="34">
        <f t="shared" si="804"/>
        <v>984450.21420301381</v>
      </c>
      <c r="Y956" s="36">
        <f t="shared" si="805"/>
        <v>3.4899861685142586E-3</v>
      </c>
      <c r="Z956" s="34">
        <f t="shared" si="806"/>
        <v>3435.7176311594171</v>
      </c>
      <c r="AA956" s="34">
        <f t="shared" si="807"/>
        <v>986168.07301859348</v>
      </c>
      <c r="AB956" s="34">
        <f t="shared" si="808"/>
        <v>0</v>
      </c>
      <c r="AC956" s="34">
        <f t="shared" si="809"/>
        <v>0</v>
      </c>
      <c r="AD956" s="34">
        <f t="shared" si="810"/>
        <v>0</v>
      </c>
      <c r="AE956" s="34">
        <f t="shared" si="811"/>
        <v>0</v>
      </c>
      <c r="AF956" s="34">
        <f t="shared" si="812"/>
        <v>0</v>
      </c>
      <c r="AG956" s="29">
        <f t="shared" si="813"/>
        <v>986168.07301859348</v>
      </c>
      <c r="AH956" s="34">
        <f t="shared" si="814"/>
        <v>0</v>
      </c>
      <c r="AI956" s="34">
        <f t="shared" si="815"/>
        <v>0</v>
      </c>
      <c r="AJ956" s="34">
        <f t="shared" si="816"/>
        <v>0</v>
      </c>
      <c r="AK956" s="34">
        <f t="shared" si="817"/>
        <v>0</v>
      </c>
      <c r="AL956" s="34">
        <f t="shared" si="818"/>
        <v>0</v>
      </c>
      <c r="AM956" s="34">
        <f t="shared" si="819"/>
        <v>0</v>
      </c>
      <c r="AN956" s="34">
        <f t="shared" si="820"/>
        <v>0</v>
      </c>
      <c r="AO956" s="34">
        <f t="shared" si="821"/>
        <v>0</v>
      </c>
      <c r="AP956" s="34">
        <f t="shared" si="822"/>
        <v>0</v>
      </c>
      <c r="AQ956" s="34">
        <f t="shared" si="823"/>
        <v>0</v>
      </c>
      <c r="AR956" s="34">
        <f t="shared" si="824"/>
        <v>0</v>
      </c>
      <c r="AS956" s="30">
        <f t="shared" si="825"/>
        <v>2.2020591818592492</v>
      </c>
      <c r="AT956" s="29">
        <f t="shared" si="826"/>
        <v>0</v>
      </c>
      <c r="AU956" s="29">
        <f t="shared" si="827"/>
        <v>0</v>
      </c>
      <c r="AV956" s="34">
        <f t="shared" si="828"/>
        <v>0</v>
      </c>
      <c r="AW956" s="34">
        <f t="shared" si="829"/>
        <v>0</v>
      </c>
      <c r="AX956" s="29">
        <f t="shared" si="830"/>
        <v>0</v>
      </c>
      <c r="AY956" s="34">
        <f t="shared" si="831"/>
        <v>0</v>
      </c>
      <c r="AZ956" s="37">
        <f t="shared" si="832"/>
        <v>0</v>
      </c>
      <c r="BA956" s="37">
        <f t="shared" si="833"/>
        <v>0</v>
      </c>
      <c r="BB956" s="35">
        <f t="shared" si="834"/>
        <v>1.6867632448120951E-3</v>
      </c>
      <c r="BC956" s="31">
        <f t="shared" si="835"/>
        <v>0.20100091292370517</v>
      </c>
      <c r="BD956" s="34">
        <f t="shared" si="836"/>
        <v>0</v>
      </c>
    </row>
    <row r="957" spans="1:56" x14ac:dyDescent="0.2">
      <c r="A957" s="27">
        <f t="shared" si="837"/>
        <v>953</v>
      </c>
      <c r="B957" s="28">
        <f t="shared" si="784"/>
        <v>953</v>
      </c>
      <c r="C957" s="27">
        <f t="shared" si="785"/>
        <v>79</v>
      </c>
      <c r="D957" s="28">
        <f t="shared" si="786"/>
        <v>99</v>
      </c>
      <c r="E957" s="29">
        <f t="shared" si="787"/>
        <v>0</v>
      </c>
      <c r="F957" s="30">
        <f t="shared" si="788"/>
        <v>0.14983035395454769</v>
      </c>
      <c r="G957" s="31">
        <f t="shared" si="789"/>
        <v>1.3435540279708613E-2</v>
      </c>
      <c r="H957" s="32">
        <f t="shared" si="790"/>
        <v>0.02</v>
      </c>
      <c r="I957" s="32">
        <f t="shared" si="791"/>
        <v>0</v>
      </c>
      <c r="J957" s="33">
        <f t="shared" si="838"/>
        <v>0</v>
      </c>
      <c r="K957" s="30">
        <f t="shared" si="792"/>
        <v>0</v>
      </c>
      <c r="L957" s="33">
        <f t="shared" si="793"/>
        <v>0</v>
      </c>
      <c r="M957" s="30">
        <f t="shared" si="794"/>
        <v>0</v>
      </c>
      <c r="N957" s="33">
        <f t="shared" si="795"/>
        <v>0</v>
      </c>
      <c r="O957" s="31">
        <f t="shared" si="796"/>
        <v>0</v>
      </c>
      <c r="P957" s="33">
        <f t="shared" si="797"/>
        <v>0</v>
      </c>
      <c r="Q957" s="34">
        <f t="shared" si="839"/>
        <v>987885.93183417327</v>
      </c>
      <c r="R957" s="29">
        <f t="shared" si="798"/>
        <v>0</v>
      </c>
      <c r="S957" s="34">
        <f t="shared" si="799"/>
        <v>987885.93183417327</v>
      </c>
      <c r="T957" s="29">
        <f t="shared" si="800"/>
        <v>823.23827652847774</v>
      </c>
      <c r="U957" s="29">
        <f t="shared" si="801"/>
        <v>0</v>
      </c>
      <c r="V957" s="35">
        <f t="shared" si="802"/>
        <v>1.4779094307679475E-2</v>
      </c>
      <c r="W957" s="34">
        <f t="shared" si="803"/>
        <v>0</v>
      </c>
      <c r="X957" s="34">
        <f t="shared" si="804"/>
        <v>987062.69355764484</v>
      </c>
      <c r="Y957" s="36">
        <f t="shared" si="805"/>
        <v>5.4719815900992064E-3</v>
      </c>
      <c r="Z957" s="34">
        <f t="shared" si="806"/>
        <v>5401.1888874211672</v>
      </c>
      <c r="AA957" s="34">
        <f t="shared" si="807"/>
        <v>989763.28800135548</v>
      </c>
      <c r="AB957" s="34">
        <f t="shared" si="808"/>
        <v>0</v>
      </c>
      <c r="AC957" s="34">
        <f t="shared" si="809"/>
        <v>0</v>
      </c>
      <c r="AD957" s="34">
        <f t="shared" si="810"/>
        <v>0</v>
      </c>
      <c r="AE957" s="34">
        <f t="shared" si="811"/>
        <v>0</v>
      </c>
      <c r="AF957" s="34">
        <f t="shared" si="812"/>
        <v>0</v>
      </c>
      <c r="AG957" s="29">
        <f t="shared" si="813"/>
        <v>989763.28800135548</v>
      </c>
      <c r="AH957" s="34">
        <f t="shared" si="814"/>
        <v>0</v>
      </c>
      <c r="AI957" s="34">
        <f t="shared" si="815"/>
        <v>0</v>
      </c>
      <c r="AJ957" s="34">
        <f t="shared" si="816"/>
        <v>0</v>
      </c>
      <c r="AK957" s="34">
        <f t="shared" si="817"/>
        <v>0</v>
      </c>
      <c r="AL957" s="34">
        <f t="shared" si="818"/>
        <v>0</v>
      </c>
      <c r="AM957" s="34">
        <f t="shared" si="819"/>
        <v>0</v>
      </c>
      <c r="AN957" s="34">
        <f t="shared" si="820"/>
        <v>0</v>
      </c>
      <c r="AO957" s="34">
        <f t="shared" si="821"/>
        <v>0</v>
      </c>
      <c r="AP957" s="34">
        <f t="shared" si="822"/>
        <v>0</v>
      </c>
      <c r="AQ957" s="34">
        <f t="shared" si="823"/>
        <v>0</v>
      </c>
      <c r="AR957" s="34">
        <f t="shared" si="824"/>
        <v>0</v>
      </c>
      <c r="AS957" s="30">
        <f t="shared" si="825"/>
        <v>2.2038858738806475</v>
      </c>
      <c r="AT957" s="29">
        <f t="shared" si="826"/>
        <v>0</v>
      </c>
      <c r="AU957" s="29">
        <f t="shared" si="827"/>
        <v>0</v>
      </c>
      <c r="AV957" s="34">
        <f t="shared" si="828"/>
        <v>0</v>
      </c>
      <c r="AW957" s="34">
        <f t="shared" si="829"/>
        <v>0</v>
      </c>
      <c r="AX957" s="29">
        <f t="shared" si="830"/>
        <v>0</v>
      </c>
      <c r="AY957" s="34">
        <f t="shared" si="831"/>
        <v>0</v>
      </c>
      <c r="AZ957" s="37">
        <f t="shared" si="832"/>
        <v>0</v>
      </c>
      <c r="BA957" s="37">
        <f t="shared" si="833"/>
        <v>0</v>
      </c>
      <c r="BB957" s="35">
        <f t="shared" si="834"/>
        <v>1.6867632448120951E-3</v>
      </c>
      <c r="BC957" s="31">
        <f t="shared" si="835"/>
        <v>0.20066244289042345</v>
      </c>
      <c r="BD957" s="34">
        <f t="shared" si="836"/>
        <v>0</v>
      </c>
    </row>
    <row r="958" spans="1:56" x14ac:dyDescent="0.2">
      <c r="A958" s="27">
        <f t="shared" si="837"/>
        <v>954</v>
      </c>
      <c r="B958" s="28">
        <f t="shared" si="784"/>
        <v>954</v>
      </c>
      <c r="C958" s="27">
        <f t="shared" si="785"/>
        <v>79</v>
      </c>
      <c r="D958" s="28">
        <f t="shared" si="786"/>
        <v>99</v>
      </c>
      <c r="E958" s="29">
        <f t="shared" si="787"/>
        <v>0</v>
      </c>
      <c r="F958" s="30">
        <f t="shared" si="788"/>
        <v>0.14983035395454769</v>
      </c>
      <c r="G958" s="31">
        <f t="shared" si="789"/>
        <v>1.3435540279708613E-2</v>
      </c>
      <c r="H958" s="32">
        <f t="shared" si="790"/>
        <v>0.02</v>
      </c>
      <c r="I958" s="32">
        <f t="shared" si="791"/>
        <v>0</v>
      </c>
      <c r="J958" s="33">
        <f t="shared" si="838"/>
        <v>0</v>
      </c>
      <c r="K958" s="30">
        <f t="shared" si="792"/>
        <v>0</v>
      </c>
      <c r="L958" s="33">
        <f t="shared" si="793"/>
        <v>0</v>
      </c>
      <c r="M958" s="30">
        <f t="shared" si="794"/>
        <v>0</v>
      </c>
      <c r="N958" s="33">
        <f t="shared" si="795"/>
        <v>0</v>
      </c>
      <c r="O958" s="31">
        <f t="shared" si="796"/>
        <v>0</v>
      </c>
      <c r="P958" s="33">
        <f t="shared" si="797"/>
        <v>0</v>
      </c>
      <c r="Q958" s="34">
        <f t="shared" si="839"/>
        <v>992463.882445066</v>
      </c>
      <c r="R958" s="29">
        <f t="shared" si="798"/>
        <v>0</v>
      </c>
      <c r="S958" s="34">
        <f t="shared" si="799"/>
        <v>992463.882445066</v>
      </c>
      <c r="T958" s="29">
        <f t="shared" si="800"/>
        <v>827.05323537088839</v>
      </c>
      <c r="U958" s="29">
        <f t="shared" si="801"/>
        <v>0</v>
      </c>
      <c r="V958" s="35">
        <f t="shared" si="802"/>
        <v>1.4779094307679475E-2</v>
      </c>
      <c r="W958" s="34">
        <f t="shared" si="803"/>
        <v>0</v>
      </c>
      <c r="X958" s="34">
        <f t="shared" si="804"/>
        <v>991636.8292096951</v>
      </c>
      <c r="Y958" s="36">
        <f t="shared" si="805"/>
        <v>-1.2777498767324147E-2</v>
      </c>
      <c r="Z958" s="34">
        <f t="shared" si="806"/>
        <v>-12670.638362860105</v>
      </c>
      <c r="AA958" s="34">
        <f t="shared" si="807"/>
        <v>985301.51002826507</v>
      </c>
      <c r="AB958" s="34">
        <f t="shared" si="808"/>
        <v>0</v>
      </c>
      <c r="AC958" s="34">
        <f t="shared" si="809"/>
        <v>0</v>
      </c>
      <c r="AD958" s="34">
        <f t="shared" si="810"/>
        <v>0</v>
      </c>
      <c r="AE958" s="34">
        <f t="shared" si="811"/>
        <v>0</v>
      </c>
      <c r="AF958" s="34">
        <f t="shared" si="812"/>
        <v>0</v>
      </c>
      <c r="AG958" s="29">
        <f t="shared" si="813"/>
        <v>985301.51002826507</v>
      </c>
      <c r="AH958" s="34">
        <f t="shared" si="814"/>
        <v>0</v>
      </c>
      <c r="AI958" s="34">
        <f t="shared" si="815"/>
        <v>0</v>
      </c>
      <c r="AJ958" s="34">
        <f t="shared" si="816"/>
        <v>0</v>
      </c>
      <c r="AK958" s="34">
        <f t="shared" si="817"/>
        <v>0</v>
      </c>
      <c r="AL958" s="34">
        <f t="shared" si="818"/>
        <v>0</v>
      </c>
      <c r="AM958" s="34">
        <f t="shared" si="819"/>
        <v>0</v>
      </c>
      <c r="AN958" s="34">
        <f t="shared" si="820"/>
        <v>0</v>
      </c>
      <c r="AO958" s="34">
        <f t="shared" si="821"/>
        <v>0</v>
      </c>
      <c r="AP958" s="34">
        <f t="shared" si="822"/>
        <v>0</v>
      </c>
      <c r="AQ958" s="34">
        <f t="shared" si="823"/>
        <v>0</v>
      </c>
      <c r="AR958" s="34">
        <f t="shared" si="824"/>
        <v>0</v>
      </c>
      <c r="AS958" s="30">
        <f t="shared" si="825"/>
        <v>2.2057140812127005</v>
      </c>
      <c r="AT958" s="29">
        <f t="shared" si="826"/>
        <v>0</v>
      </c>
      <c r="AU958" s="29">
        <f t="shared" si="827"/>
        <v>0</v>
      </c>
      <c r="AV958" s="34">
        <f t="shared" si="828"/>
        <v>0</v>
      </c>
      <c r="AW958" s="34">
        <f t="shared" si="829"/>
        <v>0</v>
      </c>
      <c r="AX958" s="29">
        <f t="shared" si="830"/>
        <v>0</v>
      </c>
      <c r="AY958" s="34">
        <f t="shared" si="831"/>
        <v>0</v>
      </c>
      <c r="AZ958" s="37">
        <f t="shared" si="832"/>
        <v>0</v>
      </c>
      <c r="BA958" s="37">
        <f t="shared" si="833"/>
        <v>0</v>
      </c>
      <c r="BB958" s="35">
        <f t="shared" si="834"/>
        <v>1.6867632448120951E-3</v>
      </c>
      <c r="BC958" s="31">
        <f t="shared" si="835"/>
        <v>0.20032454281457007</v>
      </c>
      <c r="BD958" s="34">
        <f t="shared" si="836"/>
        <v>0</v>
      </c>
    </row>
    <row r="959" spans="1:56" x14ac:dyDescent="0.2">
      <c r="A959" s="27">
        <f t="shared" si="837"/>
        <v>955</v>
      </c>
      <c r="B959" s="28">
        <f t="shared" si="784"/>
        <v>955</v>
      </c>
      <c r="C959" s="27">
        <f t="shared" si="785"/>
        <v>79</v>
      </c>
      <c r="D959" s="28">
        <f t="shared" si="786"/>
        <v>99</v>
      </c>
      <c r="E959" s="29">
        <f t="shared" si="787"/>
        <v>0</v>
      </c>
      <c r="F959" s="30">
        <f t="shared" si="788"/>
        <v>0.14983035395454769</v>
      </c>
      <c r="G959" s="31">
        <f t="shared" si="789"/>
        <v>1.3435540279708613E-2</v>
      </c>
      <c r="H959" s="32">
        <f t="shared" si="790"/>
        <v>0.02</v>
      </c>
      <c r="I959" s="32">
        <f t="shared" si="791"/>
        <v>0</v>
      </c>
      <c r="J959" s="33">
        <f t="shared" si="838"/>
        <v>0</v>
      </c>
      <c r="K959" s="30">
        <f t="shared" si="792"/>
        <v>0</v>
      </c>
      <c r="L959" s="33">
        <f t="shared" si="793"/>
        <v>0</v>
      </c>
      <c r="M959" s="30">
        <f t="shared" si="794"/>
        <v>0</v>
      </c>
      <c r="N959" s="33">
        <f t="shared" si="795"/>
        <v>0</v>
      </c>
      <c r="O959" s="31">
        <f t="shared" si="796"/>
        <v>0</v>
      </c>
      <c r="P959" s="33">
        <f t="shared" si="797"/>
        <v>0</v>
      </c>
      <c r="Q959" s="34">
        <f t="shared" si="839"/>
        <v>978966.19084683503</v>
      </c>
      <c r="R959" s="29">
        <f t="shared" si="798"/>
        <v>0</v>
      </c>
      <c r="S959" s="34">
        <f t="shared" si="799"/>
        <v>978966.19084683503</v>
      </c>
      <c r="T959" s="29">
        <f t="shared" si="800"/>
        <v>815.80515903902926</v>
      </c>
      <c r="U959" s="29">
        <f t="shared" si="801"/>
        <v>0</v>
      </c>
      <c r="V959" s="35">
        <f t="shared" si="802"/>
        <v>1.4779094307679475E-2</v>
      </c>
      <c r="W959" s="34">
        <f t="shared" si="803"/>
        <v>0</v>
      </c>
      <c r="X959" s="34">
        <f t="shared" si="804"/>
        <v>978150.38568779605</v>
      </c>
      <c r="Y959" s="36">
        <f t="shared" si="805"/>
        <v>-1.1938880961413489E-2</v>
      </c>
      <c r="Z959" s="34">
        <f t="shared" si="806"/>
        <v>-11678.021017087291</v>
      </c>
      <c r="AA959" s="34">
        <f t="shared" si="807"/>
        <v>972311.37517925235</v>
      </c>
      <c r="AB959" s="34">
        <f t="shared" si="808"/>
        <v>0</v>
      </c>
      <c r="AC959" s="34">
        <f t="shared" si="809"/>
        <v>0</v>
      </c>
      <c r="AD959" s="34">
        <f t="shared" si="810"/>
        <v>0</v>
      </c>
      <c r="AE959" s="34">
        <f t="shared" si="811"/>
        <v>0</v>
      </c>
      <c r="AF959" s="34">
        <f t="shared" si="812"/>
        <v>0</v>
      </c>
      <c r="AG959" s="29">
        <f t="shared" si="813"/>
        <v>972311.37517925235</v>
      </c>
      <c r="AH959" s="34">
        <f t="shared" si="814"/>
        <v>0</v>
      </c>
      <c r="AI959" s="34">
        <f t="shared" si="815"/>
        <v>0</v>
      </c>
      <c r="AJ959" s="34">
        <f t="shared" si="816"/>
        <v>0</v>
      </c>
      <c r="AK959" s="34">
        <f t="shared" si="817"/>
        <v>0</v>
      </c>
      <c r="AL959" s="34">
        <f t="shared" si="818"/>
        <v>0</v>
      </c>
      <c r="AM959" s="34">
        <f t="shared" si="819"/>
        <v>0</v>
      </c>
      <c r="AN959" s="34">
        <f t="shared" si="820"/>
        <v>0</v>
      </c>
      <c r="AO959" s="34">
        <f t="shared" si="821"/>
        <v>0</v>
      </c>
      <c r="AP959" s="34">
        <f t="shared" si="822"/>
        <v>0</v>
      </c>
      <c r="AQ959" s="34">
        <f t="shared" si="823"/>
        <v>0</v>
      </c>
      <c r="AR959" s="34">
        <f t="shared" si="824"/>
        <v>0</v>
      </c>
      <c r="AS959" s="30">
        <f t="shared" si="825"/>
        <v>2.2075438051124165</v>
      </c>
      <c r="AT959" s="29">
        <f t="shared" si="826"/>
        <v>0</v>
      </c>
      <c r="AU959" s="29">
        <f t="shared" si="827"/>
        <v>0</v>
      </c>
      <c r="AV959" s="34">
        <f t="shared" si="828"/>
        <v>0</v>
      </c>
      <c r="AW959" s="34">
        <f t="shared" si="829"/>
        <v>0</v>
      </c>
      <c r="AX959" s="29">
        <f t="shared" si="830"/>
        <v>0</v>
      </c>
      <c r="AY959" s="34">
        <f t="shared" si="831"/>
        <v>0</v>
      </c>
      <c r="AZ959" s="37">
        <f t="shared" si="832"/>
        <v>0</v>
      </c>
      <c r="BA959" s="37">
        <f t="shared" si="833"/>
        <v>0</v>
      </c>
      <c r="BB959" s="35">
        <f t="shared" si="834"/>
        <v>1.6867632448120951E-3</v>
      </c>
      <c r="BC959" s="31">
        <f t="shared" si="835"/>
        <v>0.19998721173638065</v>
      </c>
      <c r="BD959" s="34">
        <f t="shared" si="836"/>
        <v>0</v>
      </c>
    </row>
    <row r="960" spans="1:56" x14ac:dyDescent="0.2">
      <c r="A960" s="27">
        <f t="shared" si="837"/>
        <v>956</v>
      </c>
      <c r="B960" s="28">
        <f t="shared" si="784"/>
        <v>956</v>
      </c>
      <c r="C960" s="27">
        <f t="shared" si="785"/>
        <v>79</v>
      </c>
      <c r="D960" s="28">
        <f t="shared" si="786"/>
        <v>99</v>
      </c>
      <c r="E960" s="29">
        <f t="shared" si="787"/>
        <v>0</v>
      </c>
      <c r="F960" s="30">
        <f t="shared" si="788"/>
        <v>0.14983035395454769</v>
      </c>
      <c r="G960" s="31">
        <f t="shared" si="789"/>
        <v>1.3435540279708613E-2</v>
      </c>
      <c r="H960" s="32">
        <f t="shared" si="790"/>
        <v>0.02</v>
      </c>
      <c r="I960" s="32">
        <f t="shared" si="791"/>
        <v>0</v>
      </c>
      <c r="J960" s="33">
        <f t="shared" si="838"/>
        <v>0</v>
      </c>
      <c r="K960" s="30">
        <f t="shared" si="792"/>
        <v>0</v>
      </c>
      <c r="L960" s="33">
        <f t="shared" si="793"/>
        <v>0</v>
      </c>
      <c r="M960" s="30">
        <f t="shared" si="794"/>
        <v>0</v>
      </c>
      <c r="N960" s="33">
        <f t="shared" si="795"/>
        <v>0</v>
      </c>
      <c r="O960" s="31">
        <f t="shared" si="796"/>
        <v>0</v>
      </c>
      <c r="P960" s="33">
        <f t="shared" si="797"/>
        <v>0</v>
      </c>
      <c r="Q960" s="34">
        <f t="shared" si="839"/>
        <v>966472.36467070878</v>
      </c>
      <c r="R960" s="29">
        <f t="shared" si="798"/>
        <v>0</v>
      </c>
      <c r="S960" s="34">
        <f t="shared" si="799"/>
        <v>966472.36467070878</v>
      </c>
      <c r="T960" s="29">
        <f t="shared" si="800"/>
        <v>805.39363722559074</v>
      </c>
      <c r="U960" s="29">
        <f t="shared" si="801"/>
        <v>0</v>
      </c>
      <c r="V960" s="35">
        <f t="shared" si="802"/>
        <v>1.4779094307679475E-2</v>
      </c>
      <c r="W960" s="34">
        <f t="shared" si="803"/>
        <v>0</v>
      </c>
      <c r="X960" s="34">
        <f t="shared" si="804"/>
        <v>965666.97103348316</v>
      </c>
      <c r="Y960" s="36">
        <f t="shared" si="805"/>
        <v>-1.5270523993798912E-3</v>
      </c>
      <c r="Z960" s="34">
        <f t="shared" si="806"/>
        <v>-1474.6240651185924</v>
      </c>
      <c r="AA960" s="34">
        <f t="shared" si="807"/>
        <v>964929.65900092386</v>
      </c>
      <c r="AB960" s="34">
        <f t="shared" si="808"/>
        <v>0</v>
      </c>
      <c r="AC960" s="34">
        <f t="shared" si="809"/>
        <v>0</v>
      </c>
      <c r="AD960" s="34">
        <f t="shared" si="810"/>
        <v>0</v>
      </c>
      <c r="AE960" s="34">
        <f t="shared" si="811"/>
        <v>0</v>
      </c>
      <c r="AF960" s="34">
        <f t="shared" si="812"/>
        <v>0</v>
      </c>
      <c r="AG960" s="29">
        <f t="shared" si="813"/>
        <v>964929.65900092386</v>
      </c>
      <c r="AH960" s="34">
        <f t="shared" si="814"/>
        <v>0</v>
      </c>
      <c r="AI960" s="34">
        <f t="shared" si="815"/>
        <v>0</v>
      </c>
      <c r="AJ960" s="34">
        <f t="shared" si="816"/>
        <v>0</v>
      </c>
      <c r="AK960" s="34">
        <f t="shared" si="817"/>
        <v>0</v>
      </c>
      <c r="AL960" s="34">
        <f t="shared" si="818"/>
        <v>0</v>
      </c>
      <c r="AM960" s="34">
        <f t="shared" si="819"/>
        <v>0</v>
      </c>
      <c r="AN960" s="34">
        <f t="shared" si="820"/>
        <v>0</v>
      </c>
      <c r="AO960" s="34">
        <f t="shared" si="821"/>
        <v>0</v>
      </c>
      <c r="AP960" s="34">
        <f t="shared" si="822"/>
        <v>0</v>
      </c>
      <c r="AQ960" s="34">
        <f t="shared" si="823"/>
        <v>0</v>
      </c>
      <c r="AR960" s="34">
        <f t="shared" si="824"/>
        <v>0</v>
      </c>
      <c r="AS960" s="30">
        <f t="shared" si="825"/>
        <v>2.2093750468378466</v>
      </c>
      <c r="AT960" s="29">
        <f t="shared" si="826"/>
        <v>0</v>
      </c>
      <c r="AU960" s="29">
        <f t="shared" si="827"/>
        <v>0</v>
      </c>
      <c r="AV960" s="34">
        <f t="shared" si="828"/>
        <v>0</v>
      </c>
      <c r="AW960" s="34">
        <f t="shared" si="829"/>
        <v>0</v>
      </c>
      <c r="AX960" s="29">
        <f t="shared" si="830"/>
        <v>0</v>
      </c>
      <c r="AY960" s="34">
        <f t="shared" si="831"/>
        <v>0</v>
      </c>
      <c r="AZ960" s="37">
        <f t="shared" si="832"/>
        <v>0</v>
      </c>
      <c r="BA960" s="37">
        <f t="shared" si="833"/>
        <v>0</v>
      </c>
      <c r="BB960" s="35">
        <f t="shared" si="834"/>
        <v>1.6867632448120951E-3</v>
      </c>
      <c r="BC960" s="31">
        <f t="shared" si="835"/>
        <v>0.19965044869770715</v>
      </c>
      <c r="BD960" s="34">
        <f t="shared" si="836"/>
        <v>0</v>
      </c>
    </row>
    <row r="961" spans="1:56" x14ac:dyDescent="0.2">
      <c r="A961" s="27">
        <f t="shared" si="837"/>
        <v>957</v>
      </c>
      <c r="B961" s="28">
        <f t="shared" si="784"/>
        <v>957</v>
      </c>
      <c r="C961" s="27">
        <f t="shared" si="785"/>
        <v>79</v>
      </c>
      <c r="D961" s="28">
        <f t="shared" si="786"/>
        <v>99</v>
      </c>
      <c r="E961" s="29">
        <f t="shared" si="787"/>
        <v>0</v>
      </c>
      <c r="F961" s="30">
        <f t="shared" si="788"/>
        <v>0.14983035395454769</v>
      </c>
      <c r="G961" s="31">
        <f t="shared" si="789"/>
        <v>1.3435540279708613E-2</v>
      </c>
      <c r="H961" s="32">
        <f t="shared" si="790"/>
        <v>0.02</v>
      </c>
      <c r="I961" s="32">
        <f t="shared" si="791"/>
        <v>0</v>
      </c>
      <c r="J961" s="33">
        <f t="shared" si="838"/>
        <v>0</v>
      </c>
      <c r="K961" s="30">
        <f t="shared" si="792"/>
        <v>0</v>
      </c>
      <c r="L961" s="33">
        <f t="shared" si="793"/>
        <v>0</v>
      </c>
      <c r="M961" s="30">
        <f t="shared" si="794"/>
        <v>0</v>
      </c>
      <c r="N961" s="33">
        <f t="shared" si="795"/>
        <v>0</v>
      </c>
      <c r="O961" s="31">
        <f t="shared" si="796"/>
        <v>0</v>
      </c>
      <c r="P961" s="33">
        <f t="shared" si="797"/>
        <v>0</v>
      </c>
      <c r="Q961" s="34">
        <f t="shared" si="839"/>
        <v>964192.34696836455</v>
      </c>
      <c r="R961" s="29">
        <f t="shared" si="798"/>
        <v>0</v>
      </c>
      <c r="S961" s="34">
        <f t="shared" si="799"/>
        <v>964192.34696836455</v>
      </c>
      <c r="T961" s="29">
        <f t="shared" si="800"/>
        <v>803.49362247363717</v>
      </c>
      <c r="U961" s="29">
        <f t="shared" si="801"/>
        <v>0</v>
      </c>
      <c r="V961" s="35">
        <f t="shared" si="802"/>
        <v>1.4779094307679475E-2</v>
      </c>
      <c r="W961" s="34">
        <f t="shared" si="803"/>
        <v>0</v>
      </c>
      <c r="X961" s="34">
        <f t="shared" si="804"/>
        <v>963388.85334589088</v>
      </c>
      <c r="Y961" s="36">
        <f t="shared" si="805"/>
        <v>1.1060016343368062E-2</v>
      </c>
      <c r="Z961" s="34">
        <f t="shared" si="806"/>
        <v>10655.096463024171</v>
      </c>
      <c r="AA961" s="34">
        <f t="shared" si="807"/>
        <v>968716.40157740295</v>
      </c>
      <c r="AB961" s="34">
        <f t="shared" si="808"/>
        <v>0</v>
      </c>
      <c r="AC961" s="34">
        <f t="shared" si="809"/>
        <v>0</v>
      </c>
      <c r="AD961" s="34">
        <f t="shared" si="810"/>
        <v>0</v>
      </c>
      <c r="AE961" s="34">
        <f t="shared" si="811"/>
        <v>0</v>
      </c>
      <c r="AF961" s="34">
        <f t="shared" si="812"/>
        <v>0</v>
      </c>
      <c r="AG961" s="29">
        <f t="shared" si="813"/>
        <v>968716.40157740295</v>
      </c>
      <c r="AH961" s="34">
        <f t="shared" si="814"/>
        <v>0</v>
      </c>
      <c r="AI961" s="34">
        <f t="shared" si="815"/>
        <v>0</v>
      </c>
      <c r="AJ961" s="34">
        <f t="shared" si="816"/>
        <v>0</v>
      </c>
      <c r="AK961" s="34">
        <f t="shared" si="817"/>
        <v>0</v>
      </c>
      <c r="AL961" s="34">
        <f t="shared" si="818"/>
        <v>0</v>
      </c>
      <c r="AM961" s="34">
        <f t="shared" si="819"/>
        <v>0</v>
      </c>
      <c r="AN961" s="34">
        <f t="shared" si="820"/>
        <v>0</v>
      </c>
      <c r="AO961" s="34">
        <f t="shared" si="821"/>
        <v>0</v>
      </c>
      <c r="AP961" s="34">
        <f t="shared" si="822"/>
        <v>0</v>
      </c>
      <c r="AQ961" s="34">
        <f t="shared" si="823"/>
        <v>0</v>
      </c>
      <c r="AR961" s="34">
        <f t="shared" si="824"/>
        <v>0</v>
      </c>
      <c r="AS961" s="30">
        <f t="shared" si="825"/>
        <v>2.2112078076480839</v>
      </c>
      <c r="AT961" s="29">
        <f t="shared" si="826"/>
        <v>0</v>
      </c>
      <c r="AU961" s="29">
        <f t="shared" si="827"/>
        <v>0</v>
      </c>
      <c r="AV961" s="34">
        <f t="shared" si="828"/>
        <v>0</v>
      </c>
      <c r="AW961" s="34">
        <f t="shared" si="829"/>
        <v>0</v>
      </c>
      <c r="AX961" s="29">
        <f t="shared" si="830"/>
        <v>0</v>
      </c>
      <c r="AY961" s="34">
        <f t="shared" si="831"/>
        <v>0</v>
      </c>
      <c r="AZ961" s="37">
        <f t="shared" si="832"/>
        <v>0</v>
      </c>
      <c r="BA961" s="37">
        <f t="shared" si="833"/>
        <v>0</v>
      </c>
      <c r="BB961" s="35">
        <f t="shared" si="834"/>
        <v>1.6867632448120951E-3</v>
      </c>
      <c r="BC961" s="31">
        <f t="shared" si="835"/>
        <v>0.19931425274201475</v>
      </c>
      <c r="BD961" s="34">
        <f t="shared" si="836"/>
        <v>0</v>
      </c>
    </row>
    <row r="962" spans="1:56" x14ac:dyDescent="0.2">
      <c r="A962" s="27">
        <f t="shared" si="837"/>
        <v>958</v>
      </c>
      <c r="B962" s="28">
        <f t="shared" si="784"/>
        <v>958</v>
      </c>
      <c r="C962" s="27">
        <f t="shared" si="785"/>
        <v>79</v>
      </c>
      <c r="D962" s="28">
        <f t="shared" si="786"/>
        <v>99</v>
      </c>
      <c r="E962" s="29">
        <f t="shared" si="787"/>
        <v>0</v>
      </c>
      <c r="F962" s="30">
        <f t="shared" si="788"/>
        <v>0.14983035395454769</v>
      </c>
      <c r="G962" s="31">
        <f t="shared" si="789"/>
        <v>1.3435540279708613E-2</v>
      </c>
      <c r="H962" s="32">
        <f t="shared" si="790"/>
        <v>0.02</v>
      </c>
      <c r="I962" s="32">
        <f t="shared" si="791"/>
        <v>0</v>
      </c>
      <c r="J962" s="33">
        <f t="shared" si="838"/>
        <v>0</v>
      </c>
      <c r="K962" s="30">
        <f t="shared" si="792"/>
        <v>0</v>
      </c>
      <c r="L962" s="33">
        <f t="shared" si="793"/>
        <v>0</v>
      </c>
      <c r="M962" s="30">
        <f t="shared" si="794"/>
        <v>0</v>
      </c>
      <c r="N962" s="33">
        <f t="shared" si="795"/>
        <v>0</v>
      </c>
      <c r="O962" s="31">
        <f t="shared" si="796"/>
        <v>0</v>
      </c>
      <c r="P962" s="33">
        <f t="shared" si="797"/>
        <v>0</v>
      </c>
      <c r="Q962" s="34">
        <f t="shared" si="839"/>
        <v>974043.94980891503</v>
      </c>
      <c r="R962" s="29">
        <f t="shared" si="798"/>
        <v>0</v>
      </c>
      <c r="S962" s="34">
        <f t="shared" si="799"/>
        <v>974043.94980891503</v>
      </c>
      <c r="T962" s="29">
        <f t="shared" si="800"/>
        <v>811.7032915074293</v>
      </c>
      <c r="U962" s="29">
        <f t="shared" si="801"/>
        <v>0</v>
      </c>
      <c r="V962" s="35">
        <f t="shared" si="802"/>
        <v>1.4779094307679475E-2</v>
      </c>
      <c r="W962" s="34">
        <f t="shared" si="803"/>
        <v>0</v>
      </c>
      <c r="X962" s="34">
        <f t="shared" si="804"/>
        <v>973232.24651740759</v>
      </c>
      <c r="Y962" s="36">
        <f t="shared" si="805"/>
        <v>1.3064586440902914E-5</v>
      </c>
      <c r="Z962" s="34">
        <f t="shared" si="806"/>
        <v>12.714876811700806</v>
      </c>
      <c r="AA962" s="34">
        <f t="shared" si="807"/>
        <v>973238.60395581345</v>
      </c>
      <c r="AB962" s="34">
        <f t="shared" si="808"/>
        <v>0</v>
      </c>
      <c r="AC962" s="34">
        <f t="shared" si="809"/>
        <v>0</v>
      </c>
      <c r="AD962" s="34">
        <f t="shared" si="810"/>
        <v>0</v>
      </c>
      <c r="AE962" s="34">
        <f t="shared" si="811"/>
        <v>0</v>
      </c>
      <c r="AF962" s="34">
        <f t="shared" si="812"/>
        <v>0</v>
      </c>
      <c r="AG962" s="29">
        <f t="shared" si="813"/>
        <v>973238.60395581345</v>
      </c>
      <c r="AH962" s="34">
        <f t="shared" si="814"/>
        <v>0</v>
      </c>
      <c r="AI962" s="34">
        <f t="shared" si="815"/>
        <v>0</v>
      </c>
      <c r="AJ962" s="34">
        <f t="shared" si="816"/>
        <v>0</v>
      </c>
      <c r="AK962" s="34">
        <f t="shared" si="817"/>
        <v>0</v>
      </c>
      <c r="AL962" s="34">
        <f t="shared" si="818"/>
        <v>0</v>
      </c>
      <c r="AM962" s="34">
        <f t="shared" si="819"/>
        <v>0</v>
      </c>
      <c r="AN962" s="34">
        <f t="shared" si="820"/>
        <v>0</v>
      </c>
      <c r="AO962" s="34">
        <f t="shared" si="821"/>
        <v>0</v>
      </c>
      <c r="AP962" s="34">
        <f t="shared" si="822"/>
        <v>0</v>
      </c>
      <c r="AQ962" s="34">
        <f t="shared" si="823"/>
        <v>0</v>
      </c>
      <c r="AR962" s="34">
        <f t="shared" si="824"/>
        <v>0</v>
      </c>
      <c r="AS962" s="30">
        <f t="shared" si="825"/>
        <v>2.213042088803268</v>
      </c>
      <c r="AT962" s="29">
        <f t="shared" si="826"/>
        <v>0</v>
      </c>
      <c r="AU962" s="29">
        <f t="shared" si="827"/>
        <v>0</v>
      </c>
      <c r="AV962" s="34">
        <f t="shared" si="828"/>
        <v>0</v>
      </c>
      <c r="AW962" s="34">
        <f t="shared" si="829"/>
        <v>0</v>
      </c>
      <c r="AX962" s="29">
        <f t="shared" si="830"/>
        <v>0</v>
      </c>
      <c r="AY962" s="34">
        <f t="shared" si="831"/>
        <v>0</v>
      </c>
      <c r="AZ962" s="37">
        <f t="shared" si="832"/>
        <v>0</v>
      </c>
      <c r="BA962" s="37">
        <f t="shared" si="833"/>
        <v>0</v>
      </c>
      <c r="BB962" s="35">
        <f t="shared" si="834"/>
        <v>1.6867632448120951E-3</v>
      </c>
      <c r="BC962" s="31">
        <f t="shared" si="835"/>
        <v>0.1989786229143794</v>
      </c>
      <c r="BD962" s="34">
        <f t="shared" si="836"/>
        <v>0</v>
      </c>
    </row>
    <row r="963" spans="1:56" x14ac:dyDescent="0.2">
      <c r="A963" s="27">
        <f t="shared" si="837"/>
        <v>959</v>
      </c>
      <c r="B963" s="28">
        <f t="shared" si="784"/>
        <v>959</v>
      </c>
      <c r="C963" s="27">
        <f t="shared" si="785"/>
        <v>79</v>
      </c>
      <c r="D963" s="28">
        <f t="shared" si="786"/>
        <v>99</v>
      </c>
      <c r="E963" s="29">
        <f t="shared" si="787"/>
        <v>0</v>
      </c>
      <c r="F963" s="30">
        <f t="shared" si="788"/>
        <v>0.14983035395454769</v>
      </c>
      <c r="G963" s="31">
        <f t="shared" si="789"/>
        <v>1.3435540279708613E-2</v>
      </c>
      <c r="H963" s="32">
        <f t="shared" si="790"/>
        <v>0.02</v>
      </c>
      <c r="I963" s="32">
        <f t="shared" si="791"/>
        <v>0</v>
      </c>
      <c r="J963" s="33">
        <f t="shared" si="838"/>
        <v>0</v>
      </c>
      <c r="K963" s="30">
        <f t="shared" si="792"/>
        <v>0</v>
      </c>
      <c r="L963" s="33">
        <f t="shared" si="793"/>
        <v>0</v>
      </c>
      <c r="M963" s="30">
        <f t="shared" si="794"/>
        <v>0</v>
      </c>
      <c r="N963" s="33">
        <f t="shared" si="795"/>
        <v>0</v>
      </c>
      <c r="O963" s="31">
        <f t="shared" si="796"/>
        <v>0</v>
      </c>
      <c r="P963" s="33">
        <f t="shared" si="797"/>
        <v>0</v>
      </c>
      <c r="Q963" s="34">
        <f t="shared" si="839"/>
        <v>973244.96139421931</v>
      </c>
      <c r="R963" s="29">
        <f t="shared" si="798"/>
        <v>0</v>
      </c>
      <c r="S963" s="34">
        <f t="shared" si="799"/>
        <v>973244.96139421931</v>
      </c>
      <c r="T963" s="29">
        <f t="shared" si="800"/>
        <v>811.03746782851613</v>
      </c>
      <c r="U963" s="29">
        <f t="shared" si="801"/>
        <v>0</v>
      </c>
      <c r="V963" s="35">
        <f t="shared" si="802"/>
        <v>1.4779094307679475E-2</v>
      </c>
      <c r="W963" s="34">
        <f t="shared" si="803"/>
        <v>0</v>
      </c>
      <c r="X963" s="34">
        <f t="shared" si="804"/>
        <v>972433.92392639082</v>
      </c>
      <c r="Y963" s="36">
        <f t="shared" si="805"/>
        <v>3.313856236785151E-3</v>
      </c>
      <c r="Z963" s="34">
        <f t="shared" si="806"/>
        <v>3222.5062236649273</v>
      </c>
      <c r="AA963" s="34">
        <f t="shared" si="807"/>
        <v>974045.17703822325</v>
      </c>
      <c r="AB963" s="34">
        <f t="shared" si="808"/>
        <v>0</v>
      </c>
      <c r="AC963" s="34">
        <f t="shared" si="809"/>
        <v>0</v>
      </c>
      <c r="AD963" s="34">
        <f t="shared" si="810"/>
        <v>0</v>
      </c>
      <c r="AE963" s="34">
        <f t="shared" si="811"/>
        <v>0</v>
      </c>
      <c r="AF963" s="34">
        <f t="shared" si="812"/>
        <v>0</v>
      </c>
      <c r="AG963" s="29">
        <f t="shared" si="813"/>
        <v>974045.17703822325</v>
      </c>
      <c r="AH963" s="34">
        <f t="shared" si="814"/>
        <v>0</v>
      </c>
      <c r="AI963" s="34">
        <f t="shared" si="815"/>
        <v>0</v>
      </c>
      <c r="AJ963" s="34">
        <f t="shared" si="816"/>
        <v>0</v>
      </c>
      <c r="AK963" s="34">
        <f t="shared" si="817"/>
        <v>0</v>
      </c>
      <c r="AL963" s="34">
        <f t="shared" si="818"/>
        <v>0</v>
      </c>
      <c r="AM963" s="34">
        <f t="shared" si="819"/>
        <v>0</v>
      </c>
      <c r="AN963" s="34">
        <f t="shared" si="820"/>
        <v>0</v>
      </c>
      <c r="AO963" s="34">
        <f t="shared" si="821"/>
        <v>0</v>
      </c>
      <c r="AP963" s="34">
        <f t="shared" si="822"/>
        <v>0</v>
      </c>
      <c r="AQ963" s="34">
        <f t="shared" si="823"/>
        <v>0</v>
      </c>
      <c r="AR963" s="34">
        <f t="shared" si="824"/>
        <v>0</v>
      </c>
      <c r="AS963" s="30">
        <f t="shared" si="825"/>
        <v>2.214877891564583</v>
      </c>
      <c r="AT963" s="29">
        <f t="shared" si="826"/>
        <v>0</v>
      </c>
      <c r="AU963" s="29">
        <f t="shared" si="827"/>
        <v>0</v>
      </c>
      <c r="AV963" s="34">
        <f t="shared" si="828"/>
        <v>0</v>
      </c>
      <c r="AW963" s="34">
        <f t="shared" si="829"/>
        <v>0</v>
      </c>
      <c r="AX963" s="29">
        <f t="shared" si="830"/>
        <v>0</v>
      </c>
      <c r="AY963" s="34">
        <f t="shared" si="831"/>
        <v>0</v>
      </c>
      <c r="AZ963" s="37">
        <f t="shared" si="832"/>
        <v>0</v>
      </c>
      <c r="BA963" s="37">
        <f t="shared" si="833"/>
        <v>0</v>
      </c>
      <c r="BB963" s="35">
        <f t="shared" si="834"/>
        <v>1.6867632448120951E-3</v>
      </c>
      <c r="BC963" s="31">
        <f t="shared" si="835"/>
        <v>0.19864355826148525</v>
      </c>
      <c r="BD963" s="34">
        <f t="shared" si="836"/>
        <v>0</v>
      </c>
    </row>
    <row r="964" spans="1:56" x14ac:dyDescent="0.2">
      <c r="A964" s="27">
        <f t="shared" si="837"/>
        <v>960</v>
      </c>
      <c r="B964" s="28">
        <f t="shared" ref="B964:B1027" si="840">Duration0+A964</f>
        <v>960</v>
      </c>
      <c r="C964" s="27">
        <f t="shared" ref="C964:C1027" si="841">INT(B964/12)</f>
        <v>80</v>
      </c>
      <c r="D964" s="28">
        <f t="shared" ref="D964:D1027" si="842">AgeAtEntry+C964</f>
        <v>100</v>
      </c>
      <c r="E964" s="29">
        <f t="shared" ref="E964:E1027" si="843">IF(PremiumType="SINGLE",IF(B964=0,PremiumPPInput,0),IF(B964&lt;12*PolicyTerm,PremiumPPInput,0))</f>
        <v>0</v>
      </c>
      <c r="F964" s="30">
        <f t="shared" ref="F964:F1027" si="844">INDEX(MortRates,MATCH(MIN(D964,120),MortAges,0),MAX(MIN(C964,5),0)+1)</f>
        <v>0.17188558730024411</v>
      </c>
      <c r="G964" s="31">
        <f t="shared" ref="G964:G1027" si="845">1-(1-F964)^(1/12)</f>
        <v>1.5594128772402849E-2</v>
      </c>
      <c r="H964" s="32">
        <f t="shared" ref="H964:H1027" si="846">MAX(LapseBase-LapseStep*C964,LapseFloor)</f>
        <v>0.02</v>
      </c>
      <c r="I964" s="32">
        <f t="shared" ref="I964:I1027" si="847">IF(HasSurrCharge,INDEX(SurrRates,MIN(C964,SurrDurMax)+1,MATCH(SurrChargeID,SurrTypes,0)),0)</f>
        <v>0</v>
      </c>
      <c r="J964" s="33">
        <f t="shared" si="838"/>
        <v>0</v>
      </c>
      <c r="K964" s="30">
        <f t="shared" ref="K964:K1027" si="848">IF(B964=12*PolicyTerm,J964,0)</f>
        <v>0</v>
      </c>
      <c r="L964" s="33">
        <f t="shared" ref="L964:L1027" si="849">J964-K964</f>
        <v>0</v>
      </c>
      <c r="M964" s="30">
        <f t="shared" ref="M964:M1027" si="850">IF(B964=0,PolicyCount,0)</f>
        <v>0</v>
      </c>
      <c r="N964" s="33">
        <f t="shared" ref="N964:N1027" si="851">L964+M964</f>
        <v>0</v>
      </c>
      <c r="O964" s="31">
        <f t="shared" ref="O964:O1027" si="852">N964*G964</f>
        <v>0</v>
      </c>
      <c r="P964" s="33">
        <f t="shared" ref="P964:P1027" si="853">(N964-O964)*(1-(1-H964)^(1/12))</f>
        <v>0</v>
      </c>
      <c r="Q964" s="34">
        <f t="shared" si="839"/>
        <v>975656.43015005579</v>
      </c>
      <c r="R964" s="29">
        <f t="shared" ref="R964:R1027" si="854">(1-LoadPremRate)*E964</f>
        <v>0</v>
      </c>
      <c r="S964" s="34">
        <f t="shared" ref="S964:S1027" si="855">Q964+R964</f>
        <v>975656.43015005579</v>
      </c>
      <c r="T964" s="29">
        <f t="shared" ref="T964:T1027" si="856">MaintFeeRateAnn/12*S964</f>
        <v>813.0470251250465</v>
      </c>
      <c r="U964" s="29">
        <f t="shared" ref="U964:U1027" si="857">MAX(SumAssured-S964,0)</f>
        <v>0</v>
      </c>
      <c r="V964" s="35">
        <f t="shared" ref="V964:V1027" si="858">CoiMultiple*G964</f>
        <v>1.7153541649643136E-2</v>
      </c>
      <c r="W964" s="34">
        <f t="shared" ref="W964:W1027" si="859">V964*U964</f>
        <v>0</v>
      </c>
      <c r="X964" s="34">
        <f t="shared" ref="X964:X1027" si="860">S964-T964-W964</f>
        <v>974843.38312493078</v>
      </c>
      <c r="Y964" s="36">
        <f t="shared" ref="Y964:Y1027" si="861">EXP((Mu-0.5*Sigma^2)/12+Sigma*SQRT(1/12)*INDEX(NormRand,ScenID,A964+1))-1</f>
        <v>1.284100996520543E-3</v>
      </c>
      <c r="Z964" s="34">
        <f t="shared" ref="Z964:Z1027" si="862">Y964*X964</f>
        <v>1251.797359722181</v>
      </c>
      <c r="AA964" s="34">
        <f t="shared" ref="AA964:AA1027" si="863">X964+0.5*Z964</f>
        <v>975469.28180479188</v>
      </c>
      <c r="AB964" s="34">
        <f t="shared" ref="AB964:AB1027" si="864">Q964*J964</f>
        <v>0</v>
      </c>
      <c r="AC964" s="34">
        <f t="shared" ref="AC964:AC1027" si="865">Q964*L964</f>
        <v>0</v>
      </c>
      <c r="AD964" s="34">
        <f t="shared" ref="AD964:AD1027" si="866">S964*N964</f>
        <v>0</v>
      </c>
      <c r="AE964" s="34">
        <f t="shared" ref="AE964:AE1027" si="867">E964*N964</f>
        <v>0</v>
      </c>
      <c r="AF964" s="34">
        <f t="shared" ref="AF964:AF1027" si="868">R964*N964</f>
        <v>0</v>
      </c>
      <c r="AG964" s="29">
        <f t="shared" ref="AG964:AG1027" si="869">MAX(SumAssured,AA964)</f>
        <v>975469.28180479188</v>
      </c>
      <c r="AH964" s="34">
        <f t="shared" ref="AH964:AH1027" si="870">AG964*O964</f>
        <v>0</v>
      </c>
      <c r="AI964" s="34">
        <f t="shared" ref="AI964:AI1027" si="871">AA964*O964</f>
        <v>0</v>
      </c>
      <c r="AJ964" s="34">
        <f t="shared" ref="AJ964:AJ1027" si="872">AA964*P964</f>
        <v>0</v>
      </c>
      <c r="AK964" s="34">
        <f t="shared" ref="AK964:AK1027" si="873">I964*AA964*P964</f>
        <v>0</v>
      </c>
      <c r="AL964" s="34">
        <f t="shared" ref="AL964:AL1027" si="874">AJ964-AK964</f>
        <v>0</v>
      </c>
      <c r="AM964" s="34">
        <f t="shared" ref="AM964:AM1027" si="875">Q964*K964</f>
        <v>0</v>
      </c>
      <c r="AN964" s="34">
        <f t="shared" ref="AN964:AN1027" si="876">AH964+AL964+AM964</f>
        <v>0</v>
      </c>
      <c r="AO964" s="34">
        <f t="shared" ref="AO964:AO1027" si="877">(AG964-AA964)*O964</f>
        <v>0</v>
      </c>
      <c r="AP964" s="34">
        <f t="shared" ref="AP964:AP1027" si="878">W964*N964</f>
        <v>0</v>
      </c>
      <c r="AQ964" s="34">
        <f t="shared" ref="AQ964:AQ1027" si="879">T964*N964</f>
        <v>0</v>
      </c>
      <c r="AR964" s="34">
        <f t="shared" ref="AR964:AR1027" si="880">Z964*J965+0.5*Z964*(O964+P964)</f>
        <v>0</v>
      </c>
      <c r="AS964" s="30">
        <f t="shared" ref="AS964:AS1027" si="881">(1+InflationRate)^(A964/12)</f>
        <v>2.2167152171942588</v>
      </c>
      <c r="AT964" s="29">
        <f t="shared" ref="AT964:AT1027" si="882">ExpenseAcq*M964+N964*ExpenseMaint/12*AS964</f>
        <v>0</v>
      </c>
      <c r="AU964" s="29">
        <f t="shared" ref="AU964:AU1027" si="883">CommissionRate*AE964</f>
        <v>0</v>
      </c>
      <c r="AV964" s="34">
        <f t="shared" ref="AV964:AV1027" si="884">AB965-AB964</f>
        <v>0</v>
      </c>
      <c r="AW964" s="34">
        <f t="shared" ref="AW964:AW1027" si="885">AE964+AR964-AN964-AT964-AU964-AV964</f>
        <v>0</v>
      </c>
      <c r="AX964" s="29">
        <f t="shared" ref="AX964:AX1027" si="886">LoadPremRate*E964*N964+AK964+AQ964-AU964-AT964</f>
        <v>0</v>
      </c>
      <c r="AY964" s="34">
        <f t="shared" ref="AY964:AY1027" si="887">AP964-AO964</f>
        <v>0</v>
      </c>
      <c r="AZ964" s="37">
        <f t="shared" ref="AZ964:AZ1027" si="888">(AW964-AX964-AY964)/MAX(1,ABS(AW964),ABS(AX964),ABS(AY964))</f>
        <v>0</v>
      </c>
      <c r="BA964" s="37">
        <f t="shared" ref="BA964:BA1027" si="889">IF(OR(K964&gt;0,K965&gt;0),0,(AC965-(AC964+AF964-AQ964-AP964+AR964-AI964-AJ964-AM964))/MAX(1,ABS(AC964),ABS(AC965)))</f>
        <v>0</v>
      </c>
      <c r="BB964" s="35">
        <f t="shared" ref="BB964:BB1027" si="890">(1+INDEX(DiscRateAnn,INT(A964/12)+1))^(1/12)-1</f>
        <v>1.7080294552300757E-3</v>
      </c>
      <c r="BC964" s="31">
        <f t="shared" ref="BC964:BC1027" si="891">(1+BB964)^-A964</f>
        <v>0.19430823618102794</v>
      </c>
      <c r="BD964" s="34">
        <f t="shared" ref="BD964:BD1027" si="892">AW964*BC964</f>
        <v>0</v>
      </c>
    </row>
    <row r="965" spans="1:56" x14ac:dyDescent="0.2">
      <c r="A965" s="27">
        <f t="shared" ref="A965:A1028" si="893">A964+1</f>
        <v>961</v>
      </c>
      <c r="B965" s="28">
        <f t="shared" si="840"/>
        <v>961</v>
      </c>
      <c r="C965" s="27">
        <f t="shared" si="841"/>
        <v>80</v>
      </c>
      <c r="D965" s="28">
        <f t="shared" si="842"/>
        <v>100</v>
      </c>
      <c r="E965" s="29">
        <f t="shared" si="843"/>
        <v>0</v>
      </c>
      <c r="F965" s="30">
        <f t="shared" si="844"/>
        <v>0.17188558730024411</v>
      </c>
      <c r="G965" s="31">
        <f t="shared" si="845"/>
        <v>1.5594128772402849E-2</v>
      </c>
      <c r="H965" s="32">
        <f t="shared" si="846"/>
        <v>0.02</v>
      </c>
      <c r="I965" s="32">
        <f t="shared" si="847"/>
        <v>0</v>
      </c>
      <c r="J965" s="33">
        <f t="shared" ref="J965:J1028" si="894">N964-P964-O964</f>
        <v>0</v>
      </c>
      <c r="K965" s="30">
        <f t="shared" si="848"/>
        <v>0</v>
      </c>
      <c r="L965" s="33">
        <f t="shared" si="849"/>
        <v>0</v>
      </c>
      <c r="M965" s="30">
        <f t="shared" si="850"/>
        <v>0</v>
      </c>
      <c r="N965" s="33">
        <f t="shared" si="851"/>
        <v>0</v>
      </c>
      <c r="O965" s="31">
        <f t="shared" si="852"/>
        <v>0</v>
      </c>
      <c r="P965" s="33">
        <f t="shared" si="853"/>
        <v>0</v>
      </c>
      <c r="Q965" s="34">
        <f t="shared" ref="Q965:Q1028" si="895">X964+Z964</f>
        <v>976095.18048465298</v>
      </c>
      <c r="R965" s="29">
        <f t="shared" si="854"/>
        <v>0</v>
      </c>
      <c r="S965" s="34">
        <f t="shared" si="855"/>
        <v>976095.18048465298</v>
      </c>
      <c r="T965" s="29">
        <f t="shared" si="856"/>
        <v>813.41265040387759</v>
      </c>
      <c r="U965" s="29">
        <f t="shared" si="857"/>
        <v>0</v>
      </c>
      <c r="V965" s="35">
        <f t="shared" si="858"/>
        <v>1.7153541649643136E-2</v>
      </c>
      <c r="W965" s="34">
        <f t="shared" si="859"/>
        <v>0</v>
      </c>
      <c r="X965" s="34">
        <f t="shared" si="860"/>
        <v>975281.76783424907</v>
      </c>
      <c r="Y965" s="36">
        <f t="shared" si="861"/>
        <v>6.9503906756289702E-3</v>
      </c>
      <c r="Z965" s="34">
        <f t="shared" si="862"/>
        <v>6778.5893052661031</v>
      </c>
      <c r="AA965" s="34">
        <f t="shared" si="863"/>
        <v>978671.06248688209</v>
      </c>
      <c r="AB965" s="34">
        <f t="shared" si="864"/>
        <v>0</v>
      </c>
      <c r="AC965" s="34">
        <f t="shared" si="865"/>
        <v>0</v>
      </c>
      <c r="AD965" s="34">
        <f t="shared" si="866"/>
        <v>0</v>
      </c>
      <c r="AE965" s="34">
        <f t="shared" si="867"/>
        <v>0</v>
      </c>
      <c r="AF965" s="34">
        <f t="shared" si="868"/>
        <v>0</v>
      </c>
      <c r="AG965" s="29">
        <f t="shared" si="869"/>
        <v>978671.06248688209</v>
      </c>
      <c r="AH965" s="34">
        <f t="shared" si="870"/>
        <v>0</v>
      </c>
      <c r="AI965" s="34">
        <f t="shared" si="871"/>
        <v>0</v>
      </c>
      <c r="AJ965" s="34">
        <f t="shared" si="872"/>
        <v>0</v>
      </c>
      <c r="AK965" s="34">
        <f t="shared" si="873"/>
        <v>0</v>
      </c>
      <c r="AL965" s="34">
        <f t="shared" si="874"/>
        <v>0</v>
      </c>
      <c r="AM965" s="34">
        <f t="shared" si="875"/>
        <v>0</v>
      </c>
      <c r="AN965" s="34">
        <f t="shared" si="876"/>
        <v>0</v>
      </c>
      <c r="AO965" s="34">
        <f t="shared" si="877"/>
        <v>0</v>
      </c>
      <c r="AP965" s="34">
        <f t="shared" si="878"/>
        <v>0</v>
      </c>
      <c r="AQ965" s="34">
        <f t="shared" si="879"/>
        <v>0</v>
      </c>
      <c r="AR965" s="34">
        <f t="shared" si="880"/>
        <v>0</v>
      </c>
      <c r="AS965" s="30">
        <f t="shared" si="881"/>
        <v>2.2185540669555723</v>
      </c>
      <c r="AT965" s="29">
        <f t="shared" si="882"/>
        <v>0</v>
      </c>
      <c r="AU965" s="29">
        <f t="shared" si="883"/>
        <v>0</v>
      </c>
      <c r="AV965" s="34">
        <f t="shared" si="884"/>
        <v>0</v>
      </c>
      <c r="AW965" s="34">
        <f t="shared" si="885"/>
        <v>0</v>
      </c>
      <c r="AX965" s="29">
        <f t="shared" si="886"/>
        <v>0</v>
      </c>
      <c r="AY965" s="34">
        <f t="shared" si="887"/>
        <v>0</v>
      </c>
      <c r="AZ965" s="37">
        <f t="shared" si="888"/>
        <v>0</v>
      </c>
      <c r="BA965" s="37">
        <f t="shared" si="889"/>
        <v>0</v>
      </c>
      <c r="BB965" s="35">
        <f t="shared" si="890"/>
        <v>1.7080294552300757E-3</v>
      </c>
      <c r="BC965" s="31">
        <f t="shared" si="891"/>
        <v>0.19397691789163424</v>
      </c>
      <c r="BD965" s="34">
        <f t="shared" si="892"/>
        <v>0</v>
      </c>
    </row>
    <row r="966" spans="1:56" x14ac:dyDescent="0.2">
      <c r="A966" s="27">
        <f t="shared" si="893"/>
        <v>962</v>
      </c>
      <c r="B966" s="28">
        <f t="shared" si="840"/>
        <v>962</v>
      </c>
      <c r="C966" s="27">
        <f t="shared" si="841"/>
        <v>80</v>
      </c>
      <c r="D966" s="28">
        <f t="shared" si="842"/>
        <v>100</v>
      </c>
      <c r="E966" s="29">
        <f t="shared" si="843"/>
        <v>0</v>
      </c>
      <c r="F966" s="30">
        <f t="shared" si="844"/>
        <v>0.17188558730024411</v>
      </c>
      <c r="G966" s="31">
        <f t="shared" si="845"/>
        <v>1.5594128772402849E-2</v>
      </c>
      <c r="H966" s="32">
        <f t="shared" si="846"/>
        <v>0.02</v>
      </c>
      <c r="I966" s="32">
        <f t="shared" si="847"/>
        <v>0</v>
      </c>
      <c r="J966" s="33">
        <f t="shared" si="894"/>
        <v>0</v>
      </c>
      <c r="K966" s="30">
        <f t="shared" si="848"/>
        <v>0</v>
      </c>
      <c r="L966" s="33">
        <f t="shared" si="849"/>
        <v>0</v>
      </c>
      <c r="M966" s="30">
        <f t="shared" si="850"/>
        <v>0</v>
      </c>
      <c r="N966" s="33">
        <f t="shared" si="851"/>
        <v>0</v>
      </c>
      <c r="O966" s="31">
        <f t="shared" si="852"/>
        <v>0</v>
      </c>
      <c r="P966" s="33">
        <f t="shared" si="853"/>
        <v>0</v>
      </c>
      <c r="Q966" s="34">
        <f t="shared" si="895"/>
        <v>982060.35713951522</v>
      </c>
      <c r="R966" s="29">
        <f t="shared" si="854"/>
        <v>0</v>
      </c>
      <c r="S966" s="34">
        <f t="shared" si="855"/>
        <v>982060.35713951522</v>
      </c>
      <c r="T966" s="29">
        <f t="shared" si="856"/>
        <v>818.38363094959607</v>
      </c>
      <c r="U966" s="29">
        <f t="shared" si="857"/>
        <v>0</v>
      </c>
      <c r="V966" s="35">
        <f t="shared" si="858"/>
        <v>1.7153541649643136E-2</v>
      </c>
      <c r="W966" s="34">
        <f t="shared" si="859"/>
        <v>0</v>
      </c>
      <c r="X966" s="34">
        <f t="shared" si="860"/>
        <v>981241.97350856569</v>
      </c>
      <c r="Y966" s="36">
        <f t="shared" si="861"/>
        <v>1.7137646178815302E-3</v>
      </c>
      <c r="Z966" s="34">
        <f t="shared" si="862"/>
        <v>1681.6177757792257</v>
      </c>
      <c r="AA966" s="34">
        <f t="shared" si="863"/>
        <v>982082.7823964553</v>
      </c>
      <c r="AB966" s="34">
        <f t="shared" si="864"/>
        <v>0</v>
      </c>
      <c r="AC966" s="34">
        <f t="shared" si="865"/>
        <v>0</v>
      </c>
      <c r="AD966" s="34">
        <f t="shared" si="866"/>
        <v>0</v>
      </c>
      <c r="AE966" s="34">
        <f t="shared" si="867"/>
        <v>0</v>
      </c>
      <c r="AF966" s="34">
        <f t="shared" si="868"/>
        <v>0</v>
      </c>
      <c r="AG966" s="29">
        <f t="shared" si="869"/>
        <v>982082.7823964553</v>
      </c>
      <c r="AH966" s="34">
        <f t="shared" si="870"/>
        <v>0</v>
      </c>
      <c r="AI966" s="34">
        <f t="shared" si="871"/>
        <v>0</v>
      </c>
      <c r="AJ966" s="34">
        <f t="shared" si="872"/>
        <v>0</v>
      </c>
      <c r="AK966" s="34">
        <f t="shared" si="873"/>
        <v>0</v>
      </c>
      <c r="AL966" s="34">
        <f t="shared" si="874"/>
        <v>0</v>
      </c>
      <c r="AM966" s="34">
        <f t="shared" si="875"/>
        <v>0</v>
      </c>
      <c r="AN966" s="34">
        <f t="shared" si="876"/>
        <v>0</v>
      </c>
      <c r="AO966" s="34">
        <f t="shared" si="877"/>
        <v>0</v>
      </c>
      <c r="AP966" s="34">
        <f t="shared" si="878"/>
        <v>0</v>
      </c>
      <c r="AQ966" s="34">
        <f t="shared" si="879"/>
        <v>0</v>
      </c>
      <c r="AR966" s="34">
        <f t="shared" si="880"/>
        <v>0</v>
      </c>
      <c r="AS966" s="30">
        <f t="shared" si="881"/>
        <v>2.2203944421128496</v>
      </c>
      <c r="AT966" s="29">
        <f t="shared" si="882"/>
        <v>0</v>
      </c>
      <c r="AU966" s="29">
        <f t="shared" si="883"/>
        <v>0</v>
      </c>
      <c r="AV966" s="34">
        <f t="shared" si="884"/>
        <v>0</v>
      </c>
      <c r="AW966" s="34">
        <f t="shared" si="885"/>
        <v>0</v>
      </c>
      <c r="AX966" s="29">
        <f t="shared" si="886"/>
        <v>0</v>
      </c>
      <c r="AY966" s="34">
        <f t="shared" si="887"/>
        <v>0</v>
      </c>
      <c r="AZ966" s="37">
        <f t="shared" si="888"/>
        <v>0</v>
      </c>
      <c r="BA966" s="37">
        <f t="shared" si="889"/>
        <v>0</v>
      </c>
      <c r="BB966" s="35">
        <f t="shared" si="890"/>
        <v>1.7080294552300757E-3</v>
      </c>
      <c r="BC966" s="31">
        <f t="shared" si="891"/>
        <v>0.19364616453870978</v>
      </c>
      <c r="BD966" s="34">
        <f t="shared" si="892"/>
        <v>0</v>
      </c>
    </row>
    <row r="967" spans="1:56" x14ac:dyDescent="0.2">
      <c r="A967" s="27">
        <f t="shared" si="893"/>
        <v>963</v>
      </c>
      <c r="B967" s="28">
        <f t="shared" si="840"/>
        <v>963</v>
      </c>
      <c r="C967" s="27">
        <f t="shared" si="841"/>
        <v>80</v>
      </c>
      <c r="D967" s="28">
        <f t="shared" si="842"/>
        <v>100</v>
      </c>
      <c r="E967" s="29">
        <f t="shared" si="843"/>
        <v>0</v>
      </c>
      <c r="F967" s="30">
        <f t="shared" si="844"/>
        <v>0.17188558730024411</v>
      </c>
      <c r="G967" s="31">
        <f t="shared" si="845"/>
        <v>1.5594128772402849E-2</v>
      </c>
      <c r="H967" s="32">
        <f t="shared" si="846"/>
        <v>0.02</v>
      </c>
      <c r="I967" s="32">
        <f t="shared" si="847"/>
        <v>0</v>
      </c>
      <c r="J967" s="33">
        <f t="shared" si="894"/>
        <v>0</v>
      </c>
      <c r="K967" s="30">
        <f t="shared" si="848"/>
        <v>0</v>
      </c>
      <c r="L967" s="33">
        <f t="shared" si="849"/>
        <v>0</v>
      </c>
      <c r="M967" s="30">
        <f t="shared" si="850"/>
        <v>0</v>
      </c>
      <c r="N967" s="33">
        <f t="shared" si="851"/>
        <v>0</v>
      </c>
      <c r="O967" s="31">
        <f t="shared" si="852"/>
        <v>0</v>
      </c>
      <c r="P967" s="33">
        <f t="shared" si="853"/>
        <v>0</v>
      </c>
      <c r="Q967" s="34">
        <f t="shared" si="895"/>
        <v>982923.5912843449</v>
      </c>
      <c r="R967" s="29">
        <f t="shared" si="854"/>
        <v>0</v>
      </c>
      <c r="S967" s="34">
        <f t="shared" si="855"/>
        <v>982923.5912843449</v>
      </c>
      <c r="T967" s="29">
        <f t="shared" si="856"/>
        <v>819.10299273695409</v>
      </c>
      <c r="U967" s="29">
        <f t="shared" si="857"/>
        <v>0</v>
      </c>
      <c r="V967" s="35">
        <f t="shared" si="858"/>
        <v>1.7153541649643136E-2</v>
      </c>
      <c r="W967" s="34">
        <f t="shared" si="859"/>
        <v>0</v>
      </c>
      <c r="X967" s="34">
        <f t="shared" si="860"/>
        <v>982104.48829160794</v>
      </c>
      <c r="Y967" s="36">
        <f t="shared" si="861"/>
        <v>-3.2494945979397727E-3</v>
      </c>
      <c r="Z967" s="34">
        <f t="shared" si="862"/>
        <v>-3191.3432293159849</v>
      </c>
      <c r="AA967" s="34">
        <f t="shared" si="863"/>
        <v>980508.81667694997</v>
      </c>
      <c r="AB967" s="34">
        <f t="shared" si="864"/>
        <v>0</v>
      </c>
      <c r="AC967" s="34">
        <f t="shared" si="865"/>
        <v>0</v>
      </c>
      <c r="AD967" s="34">
        <f t="shared" si="866"/>
        <v>0</v>
      </c>
      <c r="AE967" s="34">
        <f t="shared" si="867"/>
        <v>0</v>
      </c>
      <c r="AF967" s="34">
        <f t="shared" si="868"/>
        <v>0</v>
      </c>
      <c r="AG967" s="29">
        <f t="shared" si="869"/>
        <v>980508.81667694997</v>
      </c>
      <c r="AH967" s="34">
        <f t="shared" si="870"/>
        <v>0</v>
      </c>
      <c r="AI967" s="34">
        <f t="shared" si="871"/>
        <v>0</v>
      </c>
      <c r="AJ967" s="34">
        <f t="shared" si="872"/>
        <v>0</v>
      </c>
      <c r="AK967" s="34">
        <f t="shared" si="873"/>
        <v>0</v>
      </c>
      <c r="AL967" s="34">
        <f t="shared" si="874"/>
        <v>0</v>
      </c>
      <c r="AM967" s="34">
        <f t="shared" si="875"/>
        <v>0</v>
      </c>
      <c r="AN967" s="34">
        <f t="shared" si="876"/>
        <v>0</v>
      </c>
      <c r="AO967" s="34">
        <f t="shared" si="877"/>
        <v>0</v>
      </c>
      <c r="AP967" s="34">
        <f t="shared" si="878"/>
        <v>0</v>
      </c>
      <c r="AQ967" s="34">
        <f t="shared" si="879"/>
        <v>0</v>
      </c>
      <c r="AR967" s="34">
        <f t="shared" si="880"/>
        <v>0</v>
      </c>
      <c r="AS967" s="30">
        <f t="shared" si="881"/>
        <v>2.2222363439314647</v>
      </c>
      <c r="AT967" s="29">
        <f t="shared" si="882"/>
        <v>0</v>
      </c>
      <c r="AU967" s="29">
        <f t="shared" si="883"/>
        <v>0</v>
      </c>
      <c r="AV967" s="34">
        <f t="shared" si="884"/>
        <v>0</v>
      </c>
      <c r="AW967" s="34">
        <f t="shared" si="885"/>
        <v>0</v>
      </c>
      <c r="AX967" s="29">
        <f t="shared" si="886"/>
        <v>0</v>
      </c>
      <c r="AY967" s="34">
        <f t="shared" si="887"/>
        <v>0</v>
      </c>
      <c r="AZ967" s="37">
        <f t="shared" si="888"/>
        <v>0</v>
      </c>
      <c r="BA967" s="37">
        <f t="shared" si="889"/>
        <v>0</v>
      </c>
      <c r="BB967" s="35">
        <f t="shared" si="890"/>
        <v>1.7080294552300757E-3</v>
      </c>
      <c r="BC967" s="31">
        <f t="shared" si="891"/>
        <v>0.19331597515897175</v>
      </c>
      <c r="BD967" s="34">
        <f t="shared" si="892"/>
        <v>0</v>
      </c>
    </row>
    <row r="968" spans="1:56" x14ac:dyDescent="0.2">
      <c r="A968" s="27">
        <f t="shared" si="893"/>
        <v>964</v>
      </c>
      <c r="B968" s="28">
        <f t="shared" si="840"/>
        <v>964</v>
      </c>
      <c r="C968" s="27">
        <f t="shared" si="841"/>
        <v>80</v>
      </c>
      <c r="D968" s="28">
        <f t="shared" si="842"/>
        <v>100</v>
      </c>
      <c r="E968" s="29">
        <f t="shared" si="843"/>
        <v>0</v>
      </c>
      <c r="F968" s="30">
        <f t="shared" si="844"/>
        <v>0.17188558730024411</v>
      </c>
      <c r="G968" s="31">
        <f t="shared" si="845"/>
        <v>1.5594128772402849E-2</v>
      </c>
      <c r="H968" s="32">
        <f t="shared" si="846"/>
        <v>0.02</v>
      </c>
      <c r="I968" s="32">
        <f t="shared" si="847"/>
        <v>0</v>
      </c>
      <c r="J968" s="33">
        <f t="shared" si="894"/>
        <v>0</v>
      </c>
      <c r="K968" s="30">
        <f t="shared" si="848"/>
        <v>0</v>
      </c>
      <c r="L968" s="33">
        <f t="shared" si="849"/>
        <v>0</v>
      </c>
      <c r="M968" s="30">
        <f t="shared" si="850"/>
        <v>0</v>
      </c>
      <c r="N968" s="33">
        <f t="shared" si="851"/>
        <v>0</v>
      </c>
      <c r="O968" s="31">
        <f t="shared" si="852"/>
        <v>0</v>
      </c>
      <c r="P968" s="33">
        <f t="shared" si="853"/>
        <v>0</v>
      </c>
      <c r="Q968" s="34">
        <f t="shared" si="895"/>
        <v>978913.14506229199</v>
      </c>
      <c r="R968" s="29">
        <f t="shared" si="854"/>
        <v>0</v>
      </c>
      <c r="S968" s="34">
        <f t="shared" si="855"/>
        <v>978913.14506229199</v>
      </c>
      <c r="T968" s="29">
        <f t="shared" si="856"/>
        <v>815.76095421857667</v>
      </c>
      <c r="U968" s="29">
        <f t="shared" si="857"/>
        <v>0</v>
      </c>
      <c r="V968" s="35">
        <f t="shared" si="858"/>
        <v>1.7153541649643136E-2</v>
      </c>
      <c r="W968" s="34">
        <f t="shared" si="859"/>
        <v>0</v>
      </c>
      <c r="X968" s="34">
        <f t="shared" si="860"/>
        <v>978097.38410807343</v>
      </c>
      <c r="Y968" s="36">
        <f t="shared" si="861"/>
        <v>4.7125111217687365E-3</v>
      </c>
      <c r="Z968" s="34">
        <f t="shared" si="862"/>
        <v>4609.2948007822042</v>
      </c>
      <c r="AA968" s="34">
        <f t="shared" si="863"/>
        <v>980402.03150846448</v>
      </c>
      <c r="AB968" s="34">
        <f t="shared" si="864"/>
        <v>0</v>
      </c>
      <c r="AC968" s="34">
        <f t="shared" si="865"/>
        <v>0</v>
      </c>
      <c r="AD968" s="34">
        <f t="shared" si="866"/>
        <v>0</v>
      </c>
      <c r="AE968" s="34">
        <f t="shared" si="867"/>
        <v>0</v>
      </c>
      <c r="AF968" s="34">
        <f t="shared" si="868"/>
        <v>0</v>
      </c>
      <c r="AG968" s="29">
        <f t="shared" si="869"/>
        <v>980402.03150846448</v>
      </c>
      <c r="AH968" s="34">
        <f t="shared" si="870"/>
        <v>0</v>
      </c>
      <c r="AI968" s="34">
        <f t="shared" si="871"/>
        <v>0</v>
      </c>
      <c r="AJ968" s="34">
        <f t="shared" si="872"/>
        <v>0</v>
      </c>
      <c r="AK968" s="34">
        <f t="shared" si="873"/>
        <v>0</v>
      </c>
      <c r="AL968" s="34">
        <f t="shared" si="874"/>
        <v>0</v>
      </c>
      <c r="AM968" s="34">
        <f t="shared" si="875"/>
        <v>0</v>
      </c>
      <c r="AN968" s="34">
        <f t="shared" si="876"/>
        <v>0</v>
      </c>
      <c r="AO968" s="34">
        <f t="shared" si="877"/>
        <v>0</v>
      </c>
      <c r="AP968" s="34">
        <f t="shared" si="878"/>
        <v>0</v>
      </c>
      <c r="AQ968" s="34">
        <f t="shared" si="879"/>
        <v>0</v>
      </c>
      <c r="AR968" s="34">
        <f t="shared" si="880"/>
        <v>0</v>
      </c>
      <c r="AS968" s="30">
        <f t="shared" si="881"/>
        <v>2.2240797736778415</v>
      </c>
      <c r="AT968" s="29">
        <f t="shared" si="882"/>
        <v>0</v>
      </c>
      <c r="AU968" s="29">
        <f t="shared" si="883"/>
        <v>0</v>
      </c>
      <c r="AV968" s="34">
        <f t="shared" si="884"/>
        <v>0</v>
      </c>
      <c r="AW968" s="34">
        <f t="shared" si="885"/>
        <v>0</v>
      </c>
      <c r="AX968" s="29">
        <f t="shared" si="886"/>
        <v>0</v>
      </c>
      <c r="AY968" s="34">
        <f t="shared" si="887"/>
        <v>0</v>
      </c>
      <c r="AZ968" s="37">
        <f t="shared" si="888"/>
        <v>0</v>
      </c>
      <c r="BA968" s="37">
        <f t="shared" si="889"/>
        <v>0</v>
      </c>
      <c r="BB968" s="35">
        <f t="shared" si="890"/>
        <v>1.7080294552300757E-3</v>
      </c>
      <c r="BC968" s="31">
        <f t="shared" si="891"/>
        <v>0.1929863487907798</v>
      </c>
      <c r="BD968" s="34">
        <f t="shared" si="892"/>
        <v>0</v>
      </c>
    </row>
    <row r="969" spans="1:56" x14ac:dyDescent="0.2">
      <c r="A969" s="27">
        <f t="shared" si="893"/>
        <v>965</v>
      </c>
      <c r="B969" s="28">
        <f t="shared" si="840"/>
        <v>965</v>
      </c>
      <c r="C969" s="27">
        <f t="shared" si="841"/>
        <v>80</v>
      </c>
      <c r="D969" s="28">
        <f t="shared" si="842"/>
        <v>100</v>
      </c>
      <c r="E969" s="29">
        <f t="shared" si="843"/>
        <v>0</v>
      </c>
      <c r="F969" s="30">
        <f t="shared" si="844"/>
        <v>0.17188558730024411</v>
      </c>
      <c r="G969" s="31">
        <f t="shared" si="845"/>
        <v>1.5594128772402849E-2</v>
      </c>
      <c r="H969" s="32">
        <f t="shared" si="846"/>
        <v>0.02</v>
      </c>
      <c r="I969" s="32">
        <f t="shared" si="847"/>
        <v>0</v>
      </c>
      <c r="J969" s="33">
        <f t="shared" si="894"/>
        <v>0</v>
      </c>
      <c r="K969" s="30">
        <f t="shared" si="848"/>
        <v>0</v>
      </c>
      <c r="L969" s="33">
        <f t="shared" si="849"/>
        <v>0</v>
      </c>
      <c r="M969" s="30">
        <f t="shared" si="850"/>
        <v>0</v>
      </c>
      <c r="N969" s="33">
        <f t="shared" si="851"/>
        <v>0</v>
      </c>
      <c r="O969" s="31">
        <f t="shared" si="852"/>
        <v>0</v>
      </c>
      <c r="P969" s="33">
        <f t="shared" si="853"/>
        <v>0</v>
      </c>
      <c r="Q969" s="34">
        <f t="shared" si="895"/>
        <v>982706.67890885565</v>
      </c>
      <c r="R969" s="29">
        <f t="shared" si="854"/>
        <v>0</v>
      </c>
      <c r="S969" s="34">
        <f t="shared" si="855"/>
        <v>982706.67890885565</v>
      </c>
      <c r="T969" s="29">
        <f t="shared" si="856"/>
        <v>818.92223242404646</v>
      </c>
      <c r="U969" s="29">
        <f t="shared" si="857"/>
        <v>0</v>
      </c>
      <c r="V969" s="35">
        <f t="shared" si="858"/>
        <v>1.7153541649643136E-2</v>
      </c>
      <c r="W969" s="34">
        <f t="shared" si="859"/>
        <v>0</v>
      </c>
      <c r="X969" s="34">
        <f t="shared" si="860"/>
        <v>981887.75667643163</v>
      </c>
      <c r="Y969" s="36">
        <f t="shared" si="861"/>
        <v>-4.2329606554682986E-3</v>
      </c>
      <c r="Z969" s="34">
        <f t="shared" si="862"/>
        <v>-4156.2922420973655</v>
      </c>
      <c r="AA969" s="34">
        <f t="shared" si="863"/>
        <v>979809.61055538291</v>
      </c>
      <c r="AB969" s="34">
        <f t="shared" si="864"/>
        <v>0</v>
      </c>
      <c r="AC969" s="34">
        <f t="shared" si="865"/>
        <v>0</v>
      </c>
      <c r="AD969" s="34">
        <f t="shared" si="866"/>
        <v>0</v>
      </c>
      <c r="AE969" s="34">
        <f t="shared" si="867"/>
        <v>0</v>
      </c>
      <c r="AF969" s="34">
        <f t="shared" si="868"/>
        <v>0</v>
      </c>
      <c r="AG969" s="29">
        <f t="shared" si="869"/>
        <v>979809.61055538291</v>
      </c>
      <c r="AH969" s="34">
        <f t="shared" si="870"/>
        <v>0</v>
      </c>
      <c r="AI969" s="34">
        <f t="shared" si="871"/>
        <v>0</v>
      </c>
      <c r="AJ969" s="34">
        <f t="shared" si="872"/>
        <v>0</v>
      </c>
      <c r="AK969" s="34">
        <f t="shared" si="873"/>
        <v>0</v>
      </c>
      <c r="AL969" s="34">
        <f t="shared" si="874"/>
        <v>0</v>
      </c>
      <c r="AM969" s="34">
        <f t="shared" si="875"/>
        <v>0</v>
      </c>
      <c r="AN969" s="34">
        <f t="shared" si="876"/>
        <v>0</v>
      </c>
      <c r="AO969" s="34">
        <f t="shared" si="877"/>
        <v>0</v>
      </c>
      <c r="AP969" s="34">
        <f t="shared" si="878"/>
        <v>0</v>
      </c>
      <c r="AQ969" s="34">
        <f t="shared" si="879"/>
        <v>0</v>
      </c>
      <c r="AR969" s="34">
        <f t="shared" si="880"/>
        <v>0</v>
      </c>
      <c r="AS969" s="30">
        <f t="shared" si="881"/>
        <v>2.225924732619454</v>
      </c>
      <c r="AT969" s="29">
        <f t="shared" si="882"/>
        <v>0</v>
      </c>
      <c r="AU969" s="29">
        <f t="shared" si="883"/>
        <v>0</v>
      </c>
      <c r="AV969" s="34">
        <f t="shared" si="884"/>
        <v>0</v>
      </c>
      <c r="AW969" s="34">
        <f t="shared" si="885"/>
        <v>0</v>
      </c>
      <c r="AX969" s="29">
        <f t="shared" si="886"/>
        <v>0</v>
      </c>
      <c r="AY969" s="34">
        <f t="shared" si="887"/>
        <v>0</v>
      </c>
      <c r="AZ969" s="37">
        <f t="shared" si="888"/>
        <v>0</v>
      </c>
      <c r="BA969" s="37">
        <f t="shared" si="889"/>
        <v>0</v>
      </c>
      <c r="BB969" s="35">
        <f t="shared" si="890"/>
        <v>1.7080294552300757E-3</v>
      </c>
      <c r="BC969" s="31">
        <f t="shared" si="891"/>
        <v>0.1926572844741333</v>
      </c>
      <c r="BD969" s="34">
        <f t="shared" si="892"/>
        <v>0</v>
      </c>
    </row>
    <row r="970" spans="1:56" x14ac:dyDescent="0.2">
      <c r="A970" s="27">
        <f t="shared" si="893"/>
        <v>966</v>
      </c>
      <c r="B970" s="28">
        <f t="shared" si="840"/>
        <v>966</v>
      </c>
      <c r="C970" s="27">
        <f t="shared" si="841"/>
        <v>80</v>
      </c>
      <c r="D970" s="28">
        <f t="shared" si="842"/>
        <v>100</v>
      </c>
      <c r="E970" s="29">
        <f t="shared" si="843"/>
        <v>0</v>
      </c>
      <c r="F970" s="30">
        <f t="shared" si="844"/>
        <v>0.17188558730024411</v>
      </c>
      <c r="G970" s="31">
        <f t="shared" si="845"/>
        <v>1.5594128772402849E-2</v>
      </c>
      <c r="H970" s="32">
        <f t="shared" si="846"/>
        <v>0.02</v>
      </c>
      <c r="I970" s="32">
        <f t="shared" si="847"/>
        <v>0</v>
      </c>
      <c r="J970" s="33">
        <f t="shared" si="894"/>
        <v>0</v>
      </c>
      <c r="K970" s="30">
        <f t="shared" si="848"/>
        <v>0</v>
      </c>
      <c r="L970" s="33">
        <f t="shared" si="849"/>
        <v>0</v>
      </c>
      <c r="M970" s="30">
        <f t="shared" si="850"/>
        <v>0</v>
      </c>
      <c r="N970" s="33">
        <f t="shared" si="851"/>
        <v>0</v>
      </c>
      <c r="O970" s="31">
        <f t="shared" si="852"/>
        <v>0</v>
      </c>
      <c r="P970" s="33">
        <f t="shared" si="853"/>
        <v>0</v>
      </c>
      <c r="Q970" s="34">
        <f t="shared" si="895"/>
        <v>977731.46443433431</v>
      </c>
      <c r="R970" s="29">
        <f t="shared" si="854"/>
        <v>0</v>
      </c>
      <c r="S970" s="34">
        <f t="shared" si="855"/>
        <v>977731.46443433431</v>
      </c>
      <c r="T970" s="29">
        <f t="shared" si="856"/>
        <v>814.77622036194532</v>
      </c>
      <c r="U970" s="29">
        <f t="shared" si="857"/>
        <v>0</v>
      </c>
      <c r="V970" s="35">
        <f t="shared" si="858"/>
        <v>1.7153541649643136E-2</v>
      </c>
      <c r="W970" s="34">
        <f t="shared" si="859"/>
        <v>0</v>
      </c>
      <c r="X970" s="34">
        <f t="shared" si="860"/>
        <v>976916.68821397237</v>
      </c>
      <c r="Y970" s="36">
        <f t="shared" si="861"/>
        <v>-8.0741977298381951E-4</v>
      </c>
      <c r="Z970" s="34">
        <f t="shared" si="862"/>
        <v>-788.78185062183036</v>
      </c>
      <c r="AA970" s="34">
        <f t="shared" si="863"/>
        <v>976522.29728866147</v>
      </c>
      <c r="AB970" s="34">
        <f t="shared" si="864"/>
        <v>0</v>
      </c>
      <c r="AC970" s="34">
        <f t="shared" si="865"/>
        <v>0</v>
      </c>
      <c r="AD970" s="34">
        <f t="shared" si="866"/>
        <v>0</v>
      </c>
      <c r="AE970" s="34">
        <f t="shared" si="867"/>
        <v>0</v>
      </c>
      <c r="AF970" s="34">
        <f t="shared" si="868"/>
        <v>0</v>
      </c>
      <c r="AG970" s="29">
        <f t="shared" si="869"/>
        <v>976522.29728866147</v>
      </c>
      <c r="AH970" s="34">
        <f t="shared" si="870"/>
        <v>0</v>
      </c>
      <c r="AI970" s="34">
        <f t="shared" si="871"/>
        <v>0</v>
      </c>
      <c r="AJ970" s="34">
        <f t="shared" si="872"/>
        <v>0</v>
      </c>
      <c r="AK970" s="34">
        <f t="shared" si="873"/>
        <v>0</v>
      </c>
      <c r="AL970" s="34">
        <f t="shared" si="874"/>
        <v>0</v>
      </c>
      <c r="AM970" s="34">
        <f t="shared" si="875"/>
        <v>0</v>
      </c>
      <c r="AN970" s="34">
        <f t="shared" si="876"/>
        <v>0</v>
      </c>
      <c r="AO970" s="34">
        <f t="shared" si="877"/>
        <v>0</v>
      </c>
      <c r="AP970" s="34">
        <f t="shared" si="878"/>
        <v>0</v>
      </c>
      <c r="AQ970" s="34">
        <f t="shared" si="879"/>
        <v>0</v>
      </c>
      <c r="AR970" s="34">
        <f t="shared" si="880"/>
        <v>0</v>
      </c>
      <c r="AS970" s="30">
        <f t="shared" si="881"/>
        <v>2.2277712220248276</v>
      </c>
      <c r="AT970" s="29">
        <f t="shared" si="882"/>
        <v>0</v>
      </c>
      <c r="AU970" s="29">
        <f t="shared" si="883"/>
        <v>0</v>
      </c>
      <c r="AV970" s="34">
        <f t="shared" si="884"/>
        <v>0</v>
      </c>
      <c r="AW970" s="34">
        <f t="shared" si="885"/>
        <v>0</v>
      </c>
      <c r="AX970" s="29">
        <f t="shared" si="886"/>
        <v>0</v>
      </c>
      <c r="AY970" s="34">
        <f t="shared" si="887"/>
        <v>0</v>
      </c>
      <c r="AZ970" s="37">
        <f t="shared" si="888"/>
        <v>0</v>
      </c>
      <c r="BA970" s="37">
        <f t="shared" si="889"/>
        <v>0</v>
      </c>
      <c r="BB970" s="35">
        <f t="shared" si="890"/>
        <v>1.7080294552300757E-3</v>
      </c>
      <c r="BC970" s="31">
        <f t="shared" si="891"/>
        <v>0.19232878125066871</v>
      </c>
      <c r="BD970" s="34">
        <f t="shared" si="892"/>
        <v>0</v>
      </c>
    </row>
    <row r="971" spans="1:56" x14ac:dyDescent="0.2">
      <c r="A971" s="27">
        <f t="shared" si="893"/>
        <v>967</v>
      </c>
      <c r="B971" s="28">
        <f t="shared" si="840"/>
        <v>967</v>
      </c>
      <c r="C971" s="27">
        <f t="shared" si="841"/>
        <v>80</v>
      </c>
      <c r="D971" s="28">
        <f t="shared" si="842"/>
        <v>100</v>
      </c>
      <c r="E971" s="29">
        <f t="shared" si="843"/>
        <v>0</v>
      </c>
      <c r="F971" s="30">
        <f t="shared" si="844"/>
        <v>0.17188558730024411</v>
      </c>
      <c r="G971" s="31">
        <f t="shared" si="845"/>
        <v>1.5594128772402849E-2</v>
      </c>
      <c r="H971" s="32">
        <f t="shared" si="846"/>
        <v>0.02</v>
      </c>
      <c r="I971" s="32">
        <f t="shared" si="847"/>
        <v>0</v>
      </c>
      <c r="J971" s="33">
        <f t="shared" si="894"/>
        <v>0</v>
      </c>
      <c r="K971" s="30">
        <f t="shared" si="848"/>
        <v>0</v>
      </c>
      <c r="L971" s="33">
        <f t="shared" si="849"/>
        <v>0</v>
      </c>
      <c r="M971" s="30">
        <f t="shared" si="850"/>
        <v>0</v>
      </c>
      <c r="N971" s="33">
        <f t="shared" si="851"/>
        <v>0</v>
      </c>
      <c r="O971" s="31">
        <f t="shared" si="852"/>
        <v>0</v>
      </c>
      <c r="P971" s="33">
        <f t="shared" si="853"/>
        <v>0</v>
      </c>
      <c r="Q971" s="34">
        <f t="shared" si="895"/>
        <v>976127.90636335057</v>
      </c>
      <c r="R971" s="29">
        <f t="shared" si="854"/>
        <v>0</v>
      </c>
      <c r="S971" s="34">
        <f t="shared" si="855"/>
        <v>976127.90636335057</v>
      </c>
      <c r="T971" s="29">
        <f t="shared" si="856"/>
        <v>813.43992196945885</v>
      </c>
      <c r="U971" s="29">
        <f t="shared" si="857"/>
        <v>0</v>
      </c>
      <c r="V971" s="35">
        <f t="shared" si="858"/>
        <v>1.7153541649643136E-2</v>
      </c>
      <c r="W971" s="34">
        <f t="shared" si="859"/>
        <v>0</v>
      </c>
      <c r="X971" s="34">
        <f t="shared" si="860"/>
        <v>975314.46644138114</v>
      </c>
      <c r="Y971" s="36">
        <f t="shared" si="861"/>
        <v>2.4732788533632366E-4</v>
      </c>
      <c r="Z971" s="34">
        <f t="shared" si="862"/>
        <v>241.2224645228716</v>
      </c>
      <c r="AA971" s="34">
        <f t="shared" si="863"/>
        <v>975435.07767364255</v>
      </c>
      <c r="AB971" s="34">
        <f t="shared" si="864"/>
        <v>0</v>
      </c>
      <c r="AC971" s="34">
        <f t="shared" si="865"/>
        <v>0</v>
      </c>
      <c r="AD971" s="34">
        <f t="shared" si="866"/>
        <v>0</v>
      </c>
      <c r="AE971" s="34">
        <f t="shared" si="867"/>
        <v>0</v>
      </c>
      <c r="AF971" s="34">
        <f t="shared" si="868"/>
        <v>0</v>
      </c>
      <c r="AG971" s="29">
        <f t="shared" si="869"/>
        <v>975435.07767364255</v>
      </c>
      <c r="AH971" s="34">
        <f t="shared" si="870"/>
        <v>0</v>
      </c>
      <c r="AI971" s="34">
        <f t="shared" si="871"/>
        <v>0</v>
      </c>
      <c r="AJ971" s="34">
        <f t="shared" si="872"/>
        <v>0</v>
      </c>
      <c r="AK971" s="34">
        <f t="shared" si="873"/>
        <v>0</v>
      </c>
      <c r="AL971" s="34">
        <f t="shared" si="874"/>
        <v>0</v>
      </c>
      <c r="AM971" s="34">
        <f t="shared" si="875"/>
        <v>0</v>
      </c>
      <c r="AN971" s="34">
        <f t="shared" si="876"/>
        <v>0</v>
      </c>
      <c r="AO971" s="34">
        <f t="shared" si="877"/>
        <v>0</v>
      </c>
      <c r="AP971" s="34">
        <f t="shared" si="878"/>
        <v>0</v>
      </c>
      <c r="AQ971" s="34">
        <f t="shared" si="879"/>
        <v>0</v>
      </c>
      <c r="AR971" s="34">
        <f t="shared" si="880"/>
        <v>0</v>
      </c>
      <c r="AS971" s="30">
        <f t="shared" si="881"/>
        <v>2.2296192431635409</v>
      </c>
      <c r="AT971" s="29">
        <f t="shared" si="882"/>
        <v>0</v>
      </c>
      <c r="AU971" s="29">
        <f t="shared" si="883"/>
        <v>0</v>
      </c>
      <c r="AV971" s="34">
        <f t="shared" si="884"/>
        <v>0</v>
      </c>
      <c r="AW971" s="34">
        <f t="shared" si="885"/>
        <v>0</v>
      </c>
      <c r="AX971" s="29">
        <f t="shared" si="886"/>
        <v>0</v>
      </c>
      <c r="AY971" s="34">
        <f t="shared" si="887"/>
        <v>0</v>
      </c>
      <c r="AZ971" s="37">
        <f t="shared" si="888"/>
        <v>0</v>
      </c>
      <c r="BA971" s="37">
        <f t="shared" si="889"/>
        <v>0</v>
      </c>
      <c r="BB971" s="35">
        <f t="shared" si="890"/>
        <v>1.7080294552300757E-3</v>
      </c>
      <c r="BC971" s="31">
        <f t="shared" si="891"/>
        <v>0.19200083816365637</v>
      </c>
      <c r="BD971" s="34">
        <f t="shared" si="892"/>
        <v>0</v>
      </c>
    </row>
    <row r="972" spans="1:56" x14ac:dyDescent="0.2">
      <c r="A972" s="27">
        <f t="shared" si="893"/>
        <v>968</v>
      </c>
      <c r="B972" s="28">
        <f t="shared" si="840"/>
        <v>968</v>
      </c>
      <c r="C972" s="27">
        <f t="shared" si="841"/>
        <v>80</v>
      </c>
      <c r="D972" s="28">
        <f t="shared" si="842"/>
        <v>100</v>
      </c>
      <c r="E972" s="29">
        <f t="shared" si="843"/>
        <v>0</v>
      </c>
      <c r="F972" s="30">
        <f t="shared" si="844"/>
        <v>0.17188558730024411</v>
      </c>
      <c r="G972" s="31">
        <f t="shared" si="845"/>
        <v>1.5594128772402849E-2</v>
      </c>
      <c r="H972" s="32">
        <f t="shared" si="846"/>
        <v>0.02</v>
      </c>
      <c r="I972" s="32">
        <f t="shared" si="847"/>
        <v>0</v>
      </c>
      <c r="J972" s="33">
        <f t="shared" si="894"/>
        <v>0</v>
      </c>
      <c r="K972" s="30">
        <f t="shared" si="848"/>
        <v>0</v>
      </c>
      <c r="L972" s="33">
        <f t="shared" si="849"/>
        <v>0</v>
      </c>
      <c r="M972" s="30">
        <f t="shared" si="850"/>
        <v>0</v>
      </c>
      <c r="N972" s="33">
        <f t="shared" si="851"/>
        <v>0</v>
      </c>
      <c r="O972" s="31">
        <f t="shared" si="852"/>
        <v>0</v>
      </c>
      <c r="P972" s="33">
        <f t="shared" si="853"/>
        <v>0</v>
      </c>
      <c r="Q972" s="34">
        <f t="shared" si="895"/>
        <v>975555.68890590407</v>
      </c>
      <c r="R972" s="29">
        <f t="shared" si="854"/>
        <v>0</v>
      </c>
      <c r="S972" s="34">
        <f t="shared" si="855"/>
        <v>975555.68890590407</v>
      </c>
      <c r="T972" s="29">
        <f t="shared" si="856"/>
        <v>812.96307408825339</v>
      </c>
      <c r="U972" s="29">
        <f t="shared" si="857"/>
        <v>0</v>
      </c>
      <c r="V972" s="35">
        <f t="shared" si="858"/>
        <v>1.7153541649643136E-2</v>
      </c>
      <c r="W972" s="34">
        <f t="shared" si="859"/>
        <v>0</v>
      </c>
      <c r="X972" s="34">
        <f t="shared" si="860"/>
        <v>974742.72583181586</v>
      </c>
      <c r="Y972" s="36">
        <f t="shared" si="861"/>
        <v>1.8409080346053486E-3</v>
      </c>
      <c r="Z972" s="34">
        <f t="shared" si="862"/>
        <v>1794.4117156569082</v>
      </c>
      <c r="AA972" s="34">
        <f t="shared" si="863"/>
        <v>975639.93168964435</v>
      </c>
      <c r="AB972" s="34">
        <f t="shared" si="864"/>
        <v>0</v>
      </c>
      <c r="AC972" s="34">
        <f t="shared" si="865"/>
        <v>0</v>
      </c>
      <c r="AD972" s="34">
        <f t="shared" si="866"/>
        <v>0</v>
      </c>
      <c r="AE972" s="34">
        <f t="shared" si="867"/>
        <v>0</v>
      </c>
      <c r="AF972" s="34">
        <f t="shared" si="868"/>
        <v>0</v>
      </c>
      <c r="AG972" s="29">
        <f t="shared" si="869"/>
        <v>975639.93168964435</v>
      </c>
      <c r="AH972" s="34">
        <f t="shared" si="870"/>
        <v>0</v>
      </c>
      <c r="AI972" s="34">
        <f t="shared" si="871"/>
        <v>0</v>
      </c>
      <c r="AJ972" s="34">
        <f t="shared" si="872"/>
        <v>0</v>
      </c>
      <c r="AK972" s="34">
        <f t="shared" si="873"/>
        <v>0</v>
      </c>
      <c r="AL972" s="34">
        <f t="shared" si="874"/>
        <v>0</v>
      </c>
      <c r="AM972" s="34">
        <f t="shared" si="875"/>
        <v>0</v>
      </c>
      <c r="AN972" s="34">
        <f t="shared" si="876"/>
        <v>0</v>
      </c>
      <c r="AO972" s="34">
        <f t="shared" si="877"/>
        <v>0</v>
      </c>
      <c r="AP972" s="34">
        <f t="shared" si="878"/>
        <v>0</v>
      </c>
      <c r="AQ972" s="34">
        <f t="shared" si="879"/>
        <v>0</v>
      </c>
      <c r="AR972" s="34">
        <f t="shared" si="880"/>
        <v>0</v>
      </c>
      <c r="AS972" s="30">
        <f t="shared" si="881"/>
        <v>2.231468797306225</v>
      </c>
      <c r="AT972" s="29">
        <f t="shared" si="882"/>
        <v>0</v>
      </c>
      <c r="AU972" s="29">
        <f t="shared" si="883"/>
        <v>0</v>
      </c>
      <c r="AV972" s="34">
        <f t="shared" si="884"/>
        <v>0</v>
      </c>
      <c r="AW972" s="34">
        <f t="shared" si="885"/>
        <v>0</v>
      </c>
      <c r="AX972" s="29">
        <f t="shared" si="886"/>
        <v>0</v>
      </c>
      <c r="AY972" s="34">
        <f t="shared" si="887"/>
        <v>0</v>
      </c>
      <c r="AZ972" s="37">
        <f t="shared" si="888"/>
        <v>0</v>
      </c>
      <c r="BA972" s="37">
        <f t="shared" si="889"/>
        <v>0</v>
      </c>
      <c r="BB972" s="35">
        <f t="shared" si="890"/>
        <v>1.7080294552300757E-3</v>
      </c>
      <c r="BC972" s="31">
        <f t="shared" si="891"/>
        <v>0.19167345425799798</v>
      </c>
      <c r="BD972" s="34">
        <f t="shared" si="892"/>
        <v>0</v>
      </c>
    </row>
    <row r="973" spans="1:56" x14ac:dyDescent="0.2">
      <c r="A973" s="27">
        <f t="shared" si="893"/>
        <v>969</v>
      </c>
      <c r="B973" s="28">
        <f t="shared" si="840"/>
        <v>969</v>
      </c>
      <c r="C973" s="27">
        <f t="shared" si="841"/>
        <v>80</v>
      </c>
      <c r="D973" s="28">
        <f t="shared" si="842"/>
        <v>100</v>
      </c>
      <c r="E973" s="29">
        <f t="shared" si="843"/>
        <v>0</v>
      </c>
      <c r="F973" s="30">
        <f t="shared" si="844"/>
        <v>0.17188558730024411</v>
      </c>
      <c r="G973" s="31">
        <f t="shared" si="845"/>
        <v>1.5594128772402849E-2</v>
      </c>
      <c r="H973" s="32">
        <f t="shared" si="846"/>
        <v>0.02</v>
      </c>
      <c r="I973" s="32">
        <f t="shared" si="847"/>
        <v>0</v>
      </c>
      <c r="J973" s="33">
        <f t="shared" si="894"/>
        <v>0</v>
      </c>
      <c r="K973" s="30">
        <f t="shared" si="848"/>
        <v>0</v>
      </c>
      <c r="L973" s="33">
        <f t="shared" si="849"/>
        <v>0</v>
      </c>
      <c r="M973" s="30">
        <f t="shared" si="850"/>
        <v>0</v>
      </c>
      <c r="N973" s="33">
        <f t="shared" si="851"/>
        <v>0</v>
      </c>
      <c r="O973" s="31">
        <f t="shared" si="852"/>
        <v>0</v>
      </c>
      <c r="P973" s="33">
        <f t="shared" si="853"/>
        <v>0</v>
      </c>
      <c r="Q973" s="34">
        <f t="shared" si="895"/>
        <v>976537.13754747272</v>
      </c>
      <c r="R973" s="29">
        <f t="shared" si="854"/>
        <v>0</v>
      </c>
      <c r="S973" s="34">
        <f t="shared" si="855"/>
        <v>976537.13754747272</v>
      </c>
      <c r="T973" s="29">
        <f t="shared" si="856"/>
        <v>813.78094795622735</v>
      </c>
      <c r="U973" s="29">
        <f t="shared" si="857"/>
        <v>0</v>
      </c>
      <c r="V973" s="35">
        <f t="shared" si="858"/>
        <v>1.7153541649643136E-2</v>
      </c>
      <c r="W973" s="34">
        <f t="shared" si="859"/>
        <v>0</v>
      </c>
      <c r="X973" s="34">
        <f t="shared" si="860"/>
        <v>975723.35659951647</v>
      </c>
      <c r="Y973" s="36">
        <f t="shared" si="861"/>
        <v>-5.8250450906857099E-3</v>
      </c>
      <c r="Z973" s="34">
        <f t="shared" si="862"/>
        <v>-5683.632548227396</v>
      </c>
      <c r="AA973" s="34">
        <f t="shared" si="863"/>
        <v>972881.54032540275</v>
      </c>
      <c r="AB973" s="34">
        <f t="shared" si="864"/>
        <v>0</v>
      </c>
      <c r="AC973" s="34">
        <f t="shared" si="865"/>
        <v>0</v>
      </c>
      <c r="AD973" s="34">
        <f t="shared" si="866"/>
        <v>0</v>
      </c>
      <c r="AE973" s="34">
        <f t="shared" si="867"/>
        <v>0</v>
      </c>
      <c r="AF973" s="34">
        <f t="shared" si="868"/>
        <v>0</v>
      </c>
      <c r="AG973" s="29">
        <f t="shared" si="869"/>
        <v>972881.54032540275</v>
      </c>
      <c r="AH973" s="34">
        <f t="shared" si="870"/>
        <v>0</v>
      </c>
      <c r="AI973" s="34">
        <f t="shared" si="871"/>
        <v>0</v>
      </c>
      <c r="AJ973" s="34">
        <f t="shared" si="872"/>
        <v>0</v>
      </c>
      <c r="AK973" s="34">
        <f t="shared" si="873"/>
        <v>0</v>
      </c>
      <c r="AL973" s="34">
        <f t="shared" si="874"/>
        <v>0</v>
      </c>
      <c r="AM973" s="34">
        <f t="shared" si="875"/>
        <v>0</v>
      </c>
      <c r="AN973" s="34">
        <f t="shared" si="876"/>
        <v>0</v>
      </c>
      <c r="AO973" s="34">
        <f t="shared" si="877"/>
        <v>0</v>
      </c>
      <c r="AP973" s="34">
        <f t="shared" si="878"/>
        <v>0</v>
      </c>
      <c r="AQ973" s="34">
        <f t="shared" si="879"/>
        <v>0</v>
      </c>
      <c r="AR973" s="34">
        <f t="shared" si="880"/>
        <v>0</v>
      </c>
      <c r="AS973" s="30">
        <f t="shared" si="881"/>
        <v>2.2333198857245646</v>
      </c>
      <c r="AT973" s="29">
        <f t="shared" si="882"/>
        <v>0</v>
      </c>
      <c r="AU973" s="29">
        <f t="shared" si="883"/>
        <v>0</v>
      </c>
      <c r="AV973" s="34">
        <f t="shared" si="884"/>
        <v>0</v>
      </c>
      <c r="AW973" s="34">
        <f t="shared" si="885"/>
        <v>0</v>
      </c>
      <c r="AX973" s="29">
        <f t="shared" si="886"/>
        <v>0</v>
      </c>
      <c r="AY973" s="34">
        <f t="shared" si="887"/>
        <v>0</v>
      </c>
      <c r="AZ973" s="37">
        <f t="shared" si="888"/>
        <v>0</v>
      </c>
      <c r="BA973" s="37">
        <f t="shared" si="889"/>
        <v>0</v>
      </c>
      <c r="BB973" s="35">
        <f t="shared" si="890"/>
        <v>1.7080294552300757E-3</v>
      </c>
      <c r="BC973" s="31">
        <f t="shared" si="891"/>
        <v>0.19134662858022397</v>
      </c>
      <c r="BD973" s="34">
        <f t="shared" si="892"/>
        <v>0</v>
      </c>
    </row>
    <row r="974" spans="1:56" x14ac:dyDescent="0.2">
      <c r="A974" s="27">
        <f t="shared" si="893"/>
        <v>970</v>
      </c>
      <c r="B974" s="28">
        <f t="shared" si="840"/>
        <v>970</v>
      </c>
      <c r="C974" s="27">
        <f t="shared" si="841"/>
        <v>80</v>
      </c>
      <c r="D974" s="28">
        <f t="shared" si="842"/>
        <v>100</v>
      </c>
      <c r="E974" s="29">
        <f t="shared" si="843"/>
        <v>0</v>
      </c>
      <c r="F974" s="30">
        <f t="shared" si="844"/>
        <v>0.17188558730024411</v>
      </c>
      <c r="G974" s="31">
        <f t="shared" si="845"/>
        <v>1.5594128772402849E-2</v>
      </c>
      <c r="H974" s="32">
        <f t="shared" si="846"/>
        <v>0.02</v>
      </c>
      <c r="I974" s="32">
        <f t="shared" si="847"/>
        <v>0</v>
      </c>
      <c r="J974" s="33">
        <f t="shared" si="894"/>
        <v>0</v>
      </c>
      <c r="K974" s="30">
        <f t="shared" si="848"/>
        <v>0</v>
      </c>
      <c r="L974" s="33">
        <f t="shared" si="849"/>
        <v>0</v>
      </c>
      <c r="M974" s="30">
        <f t="shared" si="850"/>
        <v>0</v>
      </c>
      <c r="N974" s="33">
        <f t="shared" si="851"/>
        <v>0</v>
      </c>
      <c r="O974" s="31">
        <f t="shared" si="852"/>
        <v>0</v>
      </c>
      <c r="P974" s="33">
        <f t="shared" si="853"/>
        <v>0</v>
      </c>
      <c r="Q974" s="34">
        <f t="shared" si="895"/>
        <v>970039.72405128903</v>
      </c>
      <c r="R974" s="29">
        <f t="shared" si="854"/>
        <v>0</v>
      </c>
      <c r="S974" s="34">
        <f t="shared" si="855"/>
        <v>970039.72405128903</v>
      </c>
      <c r="T974" s="29">
        <f t="shared" si="856"/>
        <v>808.36643670940759</v>
      </c>
      <c r="U974" s="29">
        <f t="shared" si="857"/>
        <v>0</v>
      </c>
      <c r="V974" s="35">
        <f t="shared" si="858"/>
        <v>1.7153541649643136E-2</v>
      </c>
      <c r="W974" s="34">
        <f t="shared" si="859"/>
        <v>0</v>
      </c>
      <c r="X974" s="34">
        <f t="shared" si="860"/>
        <v>969231.35761457961</v>
      </c>
      <c r="Y974" s="36">
        <f t="shared" si="861"/>
        <v>6.5084564047386273E-3</v>
      </c>
      <c r="Z974" s="34">
        <f t="shared" si="862"/>
        <v>6308.2000371401255</v>
      </c>
      <c r="AA974" s="34">
        <f t="shared" si="863"/>
        <v>972385.45763314969</v>
      </c>
      <c r="AB974" s="34">
        <f t="shared" si="864"/>
        <v>0</v>
      </c>
      <c r="AC974" s="34">
        <f t="shared" si="865"/>
        <v>0</v>
      </c>
      <c r="AD974" s="34">
        <f t="shared" si="866"/>
        <v>0</v>
      </c>
      <c r="AE974" s="34">
        <f t="shared" si="867"/>
        <v>0</v>
      </c>
      <c r="AF974" s="34">
        <f t="shared" si="868"/>
        <v>0</v>
      </c>
      <c r="AG974" s="29">
        <f t="shared" si="869"/>
        <v>972385.45763314969</v>
      </c>
      <c r="AH974" s="34">
        <f t="shared" si="870"/>
        <v>0</v>
      </c>
      <c r="AI974" s="34">
        <f t="shared" si="871"/>
        <v>0</v>
      </c>
      <c r="AJ974" s="34">
        <f t="shared" si="872"/>
        <v>0</v>
      </c>
      <c r="AK974" s="34">
        <f t="shared" si="873"/>
        <v>0</v>
      </c>
      <c r="AL974" s="34">
        <f t="shared" si="874"/>
        <v>0</v>
      </c>
      <c r="AM974" s="34">
        <f t="shared" si="875"/>
        <v>0</v>
      </c>
      <c r="AN974" s="34">
        <f t="shared" si="876"/>
        <v>0</v>
      </c>
      <c r="AO974" s="34">
        <f t="shared" si="877"/>
        <v>0</v>
      </c>
      <c r="AP974" s="34">
        <f t="shared" si="878"/>
        <v>0</v>
      </c>
      <c r="AQ974" s="34">
        <f t="shared" si="879"/>
        <v>0</v>
      </c>
      <c r="AR974" s="34">
        <f t="shared" si="880"/>
        <v>0</v>
      </c>
      <c r="AS974" s="30">
        <f t="shared" si="881"/>
        <v>2.2351725096913007</v>
      </c>
      <c r="AT974" s="29">
        <f t="shared" si="882"/>
        <v>0</v>
      </c>
      <c r="AU974" s="29">
        <f t="shared" si="883"/>
        <v>0</v>
      </c>
      <c r="AV974" s="34">
        <f t="shared" si="884"/>
        <v>0</v>
      </c>
      <c r="AW974" s="34">
        <f t="shared" si="885"/>
        <v>0</v>
      </c>
      <c r="AX974" s="29">
        <f t="shared" si="886"/>
        <v>0</v>
      </c>
      <c r="AY974" s="34">
        <f t="shared" si="887"/>
        <v>0</v>
      </c>
      <c r="AZ974" s="37">
        <f t="shared" si="888"/>
        <v>0</v>
      </c>
      <c r="BA974" s="37">
        <f t="shared" si="889"/>
        <v>0</v>
      </c>
      <c r="BB974" s="35">
        <f t="shared" si="890"/>
        <v>1.7080294552300757E-3</v>
      </c>
      <c r="BC974" s="31">
        <f t="shared" si="891"/>
        <v>0.1910203601784905</v>
      </c>
      <c r="BD974" s="34">
        <f t="shared" si="892"/>
        <v>0</v>
      </c>
    </row>
    <row r="975" spans="1:56" x14ac:dyDescent="0.2">
      <c r="A975" s="27">
        <f t="shared" si="893"/>
        <v>971</v>
      </c>
      <c r="B975" s="28">
        <f t="shared" si="840"/>
        <v>971</v>
      </c>
      <c r="C975" s="27">
        <f t="shared" si="841"/>
        <v>80</v>
      </c>
      <c r="D975" s="28">
        <f t="shared" si="842"/>
        <v>100</v>
      </c>
      <c r="E975" s="29">
        <f t="shared" si="843"/>
        <v>0</v>
      </c>
      <c r="F975" s="30">
        <f t="shared" si="844"/>
        <v>0.17188558730024411</v>
      </c>
      <c r="G975" s="31">
        <f t="shared" si="845"/>
        <v>1.5594128772402849E-2</v>
      </c>
      <c r="H975" s="32">
        <f t="shared" si="846"/>
        <v>0.02</v>
      </c>
      <c r="I975" s="32">
        <f t="shared" si="847"/>
        <v>0</v>
      </c>
      <c r="J975" s="33">
        <f t="shared" si="894"/>
        <v>0</v>
      </c>
      <c r="K975" s="30">
        <f t="shared" si="848"/>
        <v>0</v>
      </c>
      <c r="L975" s="33">
        <f t="shared" si="849"/>
        <v>0</v>
      </c>
      <c r="M975" s="30">
        <f t="shared" si="850"/>
        <v>0</v>
      </c>
      <c r="N975" s="33">
        <f t="shared" si="851"/>
        <v>0</v>
      </c>
      <c r="O975" s="31">
        <f t="shared" si="852"/>
        <v>0</v>
      </c>
      <c r="P975" s="33">
        <f t="shared" si="853"/>
        <v>0</v>
      </c>
      <c r="Q975" s="34">
        <f t="shared" si="895"/>
        <v>975539.55765171978</v>
      </c>
      <c r="R975" s="29">
        <f t="shared" si="854"/>
        <v>0</v>
      </c>
      <c r="S975" s="34">
        <f t="shared" si="855"/>
        <v>975539.55765171978</v>
      </c>
      <c r="T975" s="29">
        <f t="shared" si="856"/>
        <v>812.94963137643322</v>
      </c>
      <c r="U975" s="29">
        <f t="shared" si="857"/>
        <v>0</v>
      </c>
      <c r="V975" s="35">
        <f t="shared" si="858"/>
        <v>1.7153541649643136E-2</v>
      </c>
      <c r="W975" s="34">
        <f t="shared" si="859"/>
        <v>0</v>
      </c>
      <c r="X975" s="34">
        <f t="shared" si="860"/>
        <v>974726.60802034335</v>
      </c>
      <c r="Y975" s="36">
        <f t="shared" si="861"/>
        <v>2.6695629672386367E-3</v>
      </c>
      <c r="Z975" s="34">
        <f t="shared" si="862"/>
        <v>2602.0940559532391</v>
      </c>
      <c r="AA975" s="34">
        <f t="shared" si="863"/>
        <v>976027.65504831995</v>
      </c>
      <c r="AB975" s="34">
        <f t="shared" si="864"/>
        <v>0</v>
      </c>
      <c r="AC975" s="34">
        <f t="shared" si="865"/>
        <v>0</v>
      </c>
      <c r="AD975" s="34">
        <f t="shared" si="866"/>
        <v>0</v>
      </c>
      <c r="AE975" s="34">
        <f t="shared" si="867"/>
        <v>0</v>
      </c>
      <c r="AF975" s="34">
        <f t="shared" si="868"/>
        <v>0</v>
      </c>
      <c r="AG975" s="29">
        <f t="shared" si="869"/>
        <v>976027.65504831995</v>
      </c>
      <c r="AH975" s="34">
        <f t="shared" si="870"/>
        <v>0</v>
      </c>
      <c r="AI975" s="34">
        <f t="shared" si="871"/>
        <v>0</v>
      </c>
      <c r="AJ975" s="34">
        <f t="shared" si="872"/>
        <v>0</v>
      </c>
      <c r="AK975" s="34">
        <f t="shared" si="873"/>
        <v>0</v>
      </c>
      <c r="AL975" s="34">
        <f t="shared" si="874"/>
        <v>0</v>
      </c>
      <c r="AM975" s="34">
        <f t="shared" si="875"/>
        <v>0</v>
      </c>
      <c r="AN975" s="34">
        <f t="shared" si="876"/>
        <v>0</v>
      </c>
      <c r="AO975" s="34">
        <f t="shared" si="877"/>
        <v>0</v>
      </c>
      <c r="AP975" s="34">
        <f t="shared" si="878"/>
        <v>0</v>
      </c>
      <c r="AQ975" s="34">
        <f t="shared" si="879"/>
        <v>0</v>
      </c>
      <c r="AR975" s="34">
        <f t="shared" si="880"/>
        <v>0</v>
      </c>
      <c r="AS975" s="30">
        <f t="shared" si="881"/>
        <v>2.2370266704802289</v>
      </c>
      <c r="AT975" s="29">
        <f t="shared" si="882"/>
        <v>0</v>
      </c>
      <c r="AU975" s="29">
        <f t="shared" si="883"/>
        <v>0</v>
      </c>
      <c r="AV975" s="34">
        <f t="shared" si="884"/>
        <v>0</v>
      </c>
      <c r="AW975" s="34">
        <f t="shared" si="885"/>
        <v>0</v>
      </c>
      <c r="AX975" s="29">
        <f t="shared" si="886"/>
        <v>0</v>
      </c>
      <c r="AY975" s="34">
        <f t="shared" si="887"/>
        <v>0</v>
      </c>
      <c r="AZ975" s="37">
        <f t="shared" si="888"/>
        <v>0</v>
      </c>
      <c r="BA975" s="37">
        <f t="shared" si="889"/>
        <v>0</v>
      </c>
      <c r="BB975" s="35">
        <f t="shared" si="890"/>
        <v>1.7080294552300757E-3</v>
      </c>
      <c r="BC975" s="31">
        <f t="shared" si="891"/>
        <v>0.19069464810257652</v>
      </c>
      <c r="BD975" s="34">
        <f t="shared" si="892"/>
        <v>0</v>
      </c>
    </row>
    <row r="976" spans="1:56" x14ac:dyDescent="0.2">
      <c r="A976" s="27">
        <f t="shared" si="893"/>
        <v>972</v>
      </c>
      <c r="B976" s="28">
        <f t="shared" si="840"/>
        <v>972</v>
      </c>
      <c r="C976" s="27">
        <f t="shared" si="841"/>
        <v>81</v>
      </c>
      <c r="D976" s="28">
        <f t="shared" si="842"/>
        <v>101</v>
      </c>
      <c r="E976" s="29">
        <f t="shared" si="843"/>
        <v>0</v>
      </c>
      <c r="F976" s="30">
        <f t="shared" si="844"/>
        <v>0.19751455802244169</v>
      </c>
      <c r="G976" s="31">
        <f t="shared" si="845"/>
        <v>1.8169700913034159E-2</v>
      </c>
      <c r="H976" s="32">
        <f t="shared" si="846"/>
        <v>0.02</v>
      </c>
      <c r="I976" s="32">
        <f t="shared" si="847"/>
        <v>0</v>
      </c>
      <c r="J976" s="33">
        <f t="shared" si="894"/>
        <v>0</v>
      </c>
      <c r="K976" s="30">
        <f t="shared" si="848"/>
        <v>0</v>
      </c>
      <c r="L976" s="33">
        <f t="shared" si="849"/>
        <v>0</v>
      </c>
      <c r="M976" s="30">
        <f t="shared" si="850"/>
        <v>0</v>
      </c>
      <c r="N976" s="33">
        <f t="shared" si="851"/>
        <v>0</v>
      </c>
      <c r="O976" s="31">
        <f t="shared" si="852"/>
        <v>0</v>
      </c>
      <c r="P976" s="33">
        <f t="shared" si="853"/>
        <v>0</v>
      </c>
      <c r="Q976" s="34">
        <f t="shared" si="895"/>
        <v>977328.70207629655</v>
      </c>
      <c r="R976" s="29">
        <f t="shared" si="854"/>
        <v>0</v>
      </c>
      <c r="S976" s="34">
        <f t="shared" si="855"/>
        <v>977328.70207629655</v>
      </c>
      <c r="T976" s="29">
        <f t="shared" si="856"/>
        <v>814.44058506358056</v>
      </c>
      <c r="U976" s="29">
        <f t="shared" si="857"/>
        <v>0</v>
      </c>
      <c r="V976" s="35">
        <f t="shared" si="858"/>
        <v>1.9986671004337576E-2</v>
      </c>
      <c r="W976" s="34">
        <f t="shared" si="859"/>
        <v>0</v>
      </c>
      <c r="X976" s="34">
        <f t="shared" si="860"/>
        <v>976514.26149123302</v>
      </c>
      <c r="Y976" s="36">
        <f t="shared" si="861"/>
        <v>-1.5359431120944844E-3</v>
      </c>
      <c r="Z976" s="34">
        <f t="shared" si="862"/>
        <v>-1499.8703537994916</v>
      </c>
      <c r="AA976" s="34">
        <f t="shared" si="863"/>
        <v>975764.32631433324</v>
      </c>
      <c r="AB976" s="34">
        <f t="shared" si="864"/>
        <v>0</v>
      </c>
      <c r="AC976" s="34">
        <f t="shared" si="865"/>
        <v>0</v>
      </c>
      <c r="AD976" s="34">
        <f t="shared" si="866"/>
        <v>0</v>
      </c>
      <c r="AE976" s="34">
        <f t="shared" si="867"/>
        <v>0</v>
      </c>
      <c r="AF976" s="34">
        <f t="shared" si="868"/>
        <v>0</v>
      </c>
      <c r="AG976" s="29">
        <f t="shared" si="869"/>
        <v>975764.32631433324</v>
      </c>
      <c r="AH976" s="34">
        <f t="shared" si="870"/>
        <v>0</v>
      </c>
      <c r="AI976" s="34">
        <f t="shared" si="871"/>
        <v>0</v>
      </c>
      <c r="AJ976" s="34">
        <f t="shared" si="872"/>
        <v>0</v>
      </c>
      <c r="AK976" s="34">
        <f t="shared" si="873"/>
        <v>0</v>
      </c>
      <c r="AL976" s="34">
        <f t="shared" si="874"/>
        <v>0</v>
      </c>
      <c r="AM976" s="34">
        <f t="shared" si="875"/>
        <v>0</v>
      </c>
      <c r="AN976" s="34">
        <f t="shared" si="876"/>
        <v>0</v>
      </c>
      <c r="AO976" s="34">
        <f t="shared" si="877"/>
        <v>0</v>
      </c>
      <c r="AP976" s="34">
        <f t="shared" si="878"/>
        <v>0</v>
      </c>
      <c r="AQ976" s="34">
        <f t="shared" si="879"/>
        <v>0</v>
      </c>
      <c r="AR976" s="34">
        <f t="shared" si="880"/>
        <v>0</v>
      </c>
      <c r="AS976" s="30">
        <f t="shared" si="881"/>
        <v>2.2388823693662014</v>
      </c>
      <c r="AT976" s="29">
        <f t="shared" si="882"/>
        <v>0</v>
      </c>
      <c r="AU976" s="29">
        <f t="shared" si="883"/>
        <v>0</v>
      </c>
      <c r="AV976" s="34">
        <f t="shared" si="884"/>
        <v>0</v>
      </c>
      <c r="AW976" s="34">
        <f t="shared" si="885"/>
        <v>0</v>
      </c>
      <c r="AX976" s="29">
        <f t="shared" si="886"/>
        <v>0</v>
      </c>
      <c r="AY976" s="34">
        <f t="shared" si="887"/>
        <v>0</v>
      </c>
      <c r="AZ976" s="37">
        <f t="shared" si="888"/>
        <v>0</v>
      </c>
      <c r="BA976" s="37">
        <f t="shared" si="889"/>
        <v>0</v>
      </c>
      <c r="BB976" s="35">
        <f t="shared" si="890"/>
        <v>1.7292907005213021E-3</v>
      </c>
      <c r="BC976" s="31">
        <f t="shared" si="891"/>
        <v>0.18648231365588233</v>
      </c>
      <c r="BD976" s="34">
        <f t="shared" si="892"/>
        <v>0</v>
      </c>
    </row>
    <row r="977" spans="1:56" x14ac:dyDescent="0.2">
      <c r="A977" s="27">
        <f t="shared" si="893"/>
        <v>973</v>
      </c>
      <c r="B977" s="28">
        <f t="shared" si="840"/>
        <v>973</v>
      </c>
      <c r="C977" s="27">
        <f t="shared" si="841"/>
        <v>81</v>
      </c>
      <c r="D977" s="28">
        <f t="shared" si="842"/>
        <v>101</v>
      </c>
      <c r="E977" s="29">
        <f t="shared" si="843"/>
        <v>0</v>
      </c>
      <c r="F977" s="30">
        <f t="shared" si="844"/>
        <v>0.19751455802244169</v>
      </c>
      <c r="G977" s="31">
        <f t="shared" si="845"/>
        <v>1.8169700913034159E-2</v>
      </c>
      <c r="H977" s="32">
        <f t="shared" si="846"/>
        <v>0.02</v>
      </c>
      <c r="I977" s="32">
        <f t="shared" si="847"/>
        <v>0</v>
      </c>
      <c r="J977" s="33">
        <f t="shared" si="894"/>
        <v>0</v>
      </c>
      <c r="K977" s="30">
        <f t="shared" si="848"/>
        <v>0</v>
      </c>
      <c r="L977" s="33">
        <f t="shared" si="849"/>
        <v>0</v>
      </c>
      <c r="M977" s="30">
        <f t="shared" si="850"/>
        <v>0</v>
      </c>
      <c r="N977" s="33">
        <f t="shared" si="851"/>
        <v>0</v>
      </c>
      <c r="O977" s="31">
        <f t="shared" si="852"/>
        <v>0</v>
      </c>
      <c r="P977" s="33">
        <f t="shared" si="853"/>
        <v>0</v>
      </c>
      <c r="Q977" s="34">
        <f t="shared" si="895"/>
        <v>975014.39113743347</v>
      </c>
      <c r="R977" s="29">
        <f t="shared" si="854"/>
        <v>0</v>
      </c>
      <c r="S977" s="34">
        <f t="shared" si="855"/>
        <v>975014.39113743347</v>
      </c>
      <c r="T977" s="29">
        <f t="shared" si="856"/>
        <v>812.51199261452791</v>
      </c>
      <c r="U977" s="29">
        <f t="shared" si="857"/>
        <v>0</v>
      </c>
      <c r="V977" s="35">
        <f t="shared" si="858"/>
        <v>1.9986671004337576E-2</v>
      </c>
      <c r="W977" s="34">
        <f t="shared" si="859"/>
        <v>0</v>
      </c>
      <c r="X977" s="34">
        <f t="shared" si="860"/>
        <v>974201.87914481899</v>
      </c>
      <c r="Y977" s="36">
        <f t="shared" si="861"/>
        <v>2.3545499702464889E-2</v>
      </c>
      <c r="Z977" s="34">
        <f t="shared" si="862"/>
        <v>22938.070055545071</v>
      </c>
      <c r="AA977" s="34">
        <f t="shared" si="863"/>
        <v>985670.91417259153</v>
      </c>
      <c r="AB977" s="34">
        <f t="shared" si="864"/>
        <v>0</v>
      </c>
      <c r="AC977" s="34">
        <f t="shared" si="865"/>
        <v>0</v>
      </c>
      <c r="AD977" s="34">
        <f t="shared" si="866"/>
        <v>0</v>
      </c>
      <c r="AE977" s="34">
        <f t="shared" si="867"/>
        <v>0</v>
      </c>
      <c r="AF977" s="34">
        <f t="shared" si="868"/>
        <v>0</v>
      </c>
      <c r="AG977" s="29">
        <f t="shared" si="869"/>
        <v>985670.91417259153</v>
      </c>
      <c r="AH977" s="34">
        <f t="shared" si="870"/>
        <v>0</v>
      </c>
      <c r="AI977" s="34">
        <f t="shared" si="871"/>
        <v>0</v>
      </c>
      <c r="AJ977" s="34">
        <f t="shared" si="872"/>
        <v>0</v>
      </c>
      <c r="AK977" s="34">
        <f t="shared" si="873"/>
        <v>0</v>
      </c>
      <c r="AL977" s="34">
        <f t="shared" si="874"/>
        <v>0</v>
      </c>
      <c r="AM977" s="34">
        <f t="shared" si="875"/>
        <v>0</v>
      </c>
      <c r="AN977" s="34">
        <f t="shared" si="876"/>
        <v>0</v>
      </c>
      <c r="AO977" s="34">
        <f t="shared" si="877"/>
        <v>0</v>
      </c>
      <c r="AP977" s="34">
        <f t="shared" si="878"/>
        <v>0</v>
      </c>
      <c r="AQ977" s="34">
        <f t="shared" si="879"/>
        <v>0</v>
      </c>
      <c r="AR977" s="34">
        <f t="shared" si="880"/>
        <v>0</v>
      </c>
      <c r="AS977" s="30">
        <f t="shared" si="881"/>
        <v>2.240739607625128</v>
      </c>
      <c r="AT977" s="29">
        <f t="shared" si="882"/>
        <v>0</v>
      </c>
      <c r="AU977" s="29">
        <f t="shared" si="883"/>
        <v>0</v>
      </c>
      <c r="AV977" s="34">
        <f t="shared" si="884"/>
        <v>0</v>
      </c>
      <c r="AW977" s="34">
        <f t="shared" si="885"/>
        <v>0</v>
      </c>
      <c r="AX977" s="29">
        <f t="shared" si="886"/>
        <v>0</v>
      </c>
      <c r="AY977" s="34">
        <f t="shared" si="887"/>
        <v>0</v>
      </c>
      <c r="AZ977" s="37">
        <f t="shared" si="888"/>
        <v>0</v>
      </c>
      <c r="BA977" s="37">
        <f t="shared" si="889"/>
        <v>0</v>
      </c>
      <c r="BB977" s="35">
        <f t="shared" si="890"/>
        <v>1.7292907005213021E-3</v>
      </c>
      <c r="BC977" s="31">
        <f t="shared" si="891"/>
        <v>0.18616038822771477</v>
      </c>
      <c r="BD977" s="34">
        <f t="shared" si="892"/>
        <v>0</v>
      </c>
    </row>
    <row r="978" spans="1:56" x14ac:dyDescent="0.2">
      <c r="A978" s="27">
        <f t="shared" si="893"/>
        <v>974</v>
      </c>
      <c r="B978" s="28">
        <f t="shared" si="840"/>
        <v>974</v>
      </c>
      <c r="C978" s="27">
        <f t="shared" si="841"/>
        <v>81</v>
      </c>
      <c r="D978" s="28">
        <f t="shared" si="842"/>
        <v>101</v>
      </c>
      <c r="E978" s="29">
        <f t="shared" si="843"/>
        <v>0</v>
      </c>
      <c r="F978" s="30">
        <f t="shared" si="844"/>
        <v>0.19751455802244169</v>
      </c>
      <c r="G978" s="31">
        <f t="shared" si="845"/>
        <v>1.8169700913034159E-2</v>
      </c>
      <c r="H978" s="32">
        <f t="shared" si="846"/>
        <v>0.02</v>
      </c>
      <c r="I978" s="32">
        <f t="shared" si="847"/>
        <v>0</v>
      </c>
      <c r="J978" s="33">
        <f t="shared" si="894"/>
        <v>0</v>
      </c>
      <c r="K978" s="30">
        <f t="shared" si="848"/>
        <v>0</v>
      </c>
      <c r="L978" s="33">
        <f t="shared" si="849"/>
        <v>0</v>
      </c>
      <c r="M978" s="30">
        <f t="shared" si="850"/>
        <v>0</v>
      </c>
      <c r="N978" s="33">
        <f t="shared" si="851"/>
        <v>0</v>
      </c>
      <c r="O978" s="31">
        <f t="shared" si="852"/>
        <v>0</v>
      </c>
      <c r="P978" s="33">
        <f t="shared" si="853"/>
        <v>0</v>
      </c>
      <c r="Q978" s="34">
        <f t="shared" si="895"/>
        <v>997139.94920036406</v>
      </c>
      <c r="R978" s="29">
        <f t="shared" si="854"/>
        <v>0</v>
      </c>
      <c r="S978" s="34">
        <f t="shared" si="855"/>
        <v>997139.94920036406</v>
      </c>
      <c r="T978" s="29">
        <f t="shared" si="856"/>
        <v>830.94995766697014</v>
      </c>
      <c r="U978" s="29">
        <f t="shared" si="857"/>
        <v>0</v>
      </c>
      <c r="V978" s="35">
        <f t="shared" si="858"/>
        <v>1.9986671004337576E-2</v>
      </c>
      <c r="W978" s="34">
        <f t="shared" si="859"/>
        <v>0</v>
      </c>
      <c r="X978" s="34">
        <f t="shared" si="860"/>
        <v>996308.99924269714</v>
      </c>
      <c r="Y978" s="36">
        <f t="shared" si="861"/>
        <v>2.0381748508963016E-2</v>
      </c>
      <c r="Z978" s="34">
        <f t="shared" si="862"/>
        <v>20306.519459781277</v>
      </c>
      <c r="AA978" s="34">
        <f t="shared" si="863"/>
        <v>1006462.2589725878</v>
      </c>
      <c r="AB978" s="34">
        <f t="shared" si="864"/>
        <v>0</v>
      </c>
      <c r="AC978" s="34">
        <f t="shared" si="865"/>
        <v>0</v>
      </c>
      <c r="AD978" s="34">
        <f t="shared" si="866"/>
        <v>0</v>
      </c>
      <c r="AE978" s="34">
        <f t="shared" si="867"/>
        <v>0</v>
      </c>
      <c r="AF978" s="34">
        <f t="shared" si="868"/>
        <v>0</v>
      </c>
      <c r="AG978" s="29">
        <f t="shared" si="869"/>
        <v>1006462.2589725878</v>
      </c>
      <c r="AH978" s="34">
        <f t="shared" si="870"/>
        <v>0</v>
      </c>
      <c r="AI978" s="34">
        <f t="shared" si="871"/>
        <v>0</v>
      </c>
      <c r="AJ978" s="34">
        <f t="shared" si="872"/>
        <v>0</v>
      </c>
      <c r="AK978" s="34">
        <f t="shared" si="873"/>
        <v>0</v>
      </c>
      <c r="AL978" s="34">
        <f t="shared" si="874"/>
        <v>0</v>
      </c>
      <c r="AM978" s="34">
        <f t="shared" si="875"/>
        <v>0</v>
      </c>
      <c r="AN978" s="34">
        <f t="shared" si="876"/>
        <v>0</v>
      </c>
      <c r="AO978" s="34">
        <f t="shared" si="877"/>
        <v>0</v>
      </c>
      <c r="AP978" s="34">
        <f t="shared" si="878"/>
        <v>0</v>
      </c>
      <c r="AQ978" s="34">
        <f t="shared" si="879"/>
        <v>0</v>
      </c>
      <c r="AR978" s="34">
        <f t="shared" si="880"/>
        <v>0</v>
      </c>
      <c r="AS978" s="30">
        <f t="shared" si="881"/>
        <v>2.2425983865339782</v>
      </c>
      <c r="AT978" s="29">
        <f t="shared" si="882"/>
        <v>0</v>
      </c>
      <c r="AU978" s="29">
        <f t="shared" si="883"/>
        <v>0</v>
      </c>
      <c r="AV978" s="34">
        <f t="shared" si="884"/>
        <v>0</v>
      </c>
      <c r="AW978" s="34">
        <f t="shared" si="885"/>
        <v>0</v>
      </c>
      <c r="AX978" s="29">
        <f t="shared" si="886"/>
        <v>0</v>
      </c>
      <c r="AY978" s="34">
        <f t="shared" si="887"/>
        <v>0</v>
      </c>
      <c r="AZ978" s="37">
        <f t="shared" si="888"/>
        <v>0</v>
      </c>
      <c r="BA978" s="37">
        <f t="shared" si="889"/>
        <v>0</v>
      </c>
      <c r="BB978" s="35">
        <f t="shared" si="890"/>
        <v>1.7292907005213021E-3</v>
      </c>
      <c r="BC978" s="31">
        <f t="shared" si="891"/>
        <v>0.18583901854115745</v>
      </c>
      <c r="BD978" s="34">
        <f t="shared" si="892"/>
        <v>0</v>
      </c>
    </row>
    <row r="979" spans="1:56" x14ac:dyDescent="0.2">
      <c r="A979" s="27">
        <f t="shared" si="893"/>
        <v>975</v>
      </c>
      <c r="B979" s="28">
        <f t="shared" si="840"/>
        <v>975</v>
      </c>
      <c r="C979" s="27">
        <f t="shared" si="841"/>
        <v>81</v>
      </c>
      <c r="D979" s="28">
        <f t="shared" si="842"/>
        <v>101</v>
      </c>
      <c r="E979" s="29">
        <f t="shared" si="843"/>
        <v>0</v>
      </c>
      <c r="F979" s="30">
        <f t="shared" si="844"/>
        <v>0.19751455802244169</v>
      </c>
      <c r="G979" s="31">
        <f t="shared" si="845"/>
        <v>1.8169700913034159E-2</v>
      </c>
      <c r="H979" s="32">
        <f t="shared" si="846"/>
        <v>0.02</v>
      </c>
      <c r="I979" s="32">
        <f t="shared" si="847"/>
        <v>0</v>
      </c>
      <c r="J979" s="33">
        <f t="shared" si="894"/>
        <v>0</v>
      </c>
      <c r="K979" s="30">
        <f t="shared" si="848"/>
        <v>0</v>
      </c>
      <c r="L979" s="33">
        <f t="shared" si="849"/>
        <v>0</v>
      </c>
      <c r="M979" s="30">
        <f t="shared" si="850"/>
        <v>0</v>
      </c>
      <c r="N979" s="33">
        <f t="shared" si="851"/>
        <v>0</v>
      </c>
      <c r="O979" s="31">
        <f t="shared" si="852"/>
        <v>0</v>
      </c>
      <c r="P979" s="33">
        <f t="shared" si="853"/>
        <v>0</v>
      </c>
      <c r="Q979" s="34">
        <f t="shared" si="895"/>
        <v>1016615.5187024784</v>
      </c>
      <c r="R979" s="29">
        <f t="shared" si="854"/>
        <v>0</v>
      </c>
      <c r="S979" s="34">
        <f t="shared" si="855"/>
        <v>1016615.5187024784</v>
      </c>
      <c r="T979" s="29">
        <f t="shared" si="856"/>
        <v>847.17959891873204</v>
      </c>
      <c r="U979" s="29">
        <f t="shared" si="857"/>
        <v>0</v>
      </c>
      <c r="V979" s="35">
        <f t="shared" si="858"/>
        <v>1.9986671004337576E-2</v>
      </c>
      <c r="W979" s="34">
        <f t="shared" si="859"/>
        <v>0</v>
      </c>
      <c r="X979" s="34">
        <f t="shared" si="860"/>
        <v>1015768.3391035596</v>
      </c>
      <c r="Y979" s="36">
        <f t="shared" si="861"/>
        <v>3.8242931159224725E-3</v>
      </c>
      <c r="Z979" s="34">
        <f t="shared" si="862"/>
        <v>3884.5958666057468</v>
      </c>
      <c r="AA979" s="34">
        <f t="shared" si="863"/>
        <v>1017710.6370368624</v>
      </c>
      <c r="AB979" s="34">
        <f t="shared" si="864"/>
        <v>0</v>
      </c>
      <c r="AC979" s="34">
        <f t="shared" si="865"/>
        <v>0</v>
      </c>
      <c r="AD979" s="34">
        <f t="shared" si="866"/>
        <v>0</v>
      </c>
      <c r="AE979" s="34">
        <f t="shared" si="867"/>
        <v>0</v>
      </c>
      <c r="AF979" s="34">
        <f t="shared" si="868"/>
        <v>0</v>
      </c>
      <c r="AG979" s="29">
        <f t="shared" si="869"/>
        <v>1017710.6370368624</v>
      </c>
      <c r="AH979" s="34">
        <f t="shared" si="870"/>
        <v>0</v>
      </c>
      <c r="AI979" s="34">
        <f t="shared" si="871"/>
        <v>0</v>
      </c>
      <c r="AJ979" s="34">
        <f t="shared" si="872"/>
        <v>0</v>
      </c>
      <c r="AK979" s="34">
        <f t="shared" si="873"/>
        <v>0</v>
      </c>
      <c r="AL979" s="34">
        <f t="shared" si="874"/>
        <v>0</v>
      </c>
      <c r="AM979" s="34">
        <f t="shared" si="875"/>
        <v>0</v>
      </c>
      <c r="AN979" s="34">
        <f t="shared" si="876"/>
        <v>0</v>
      </c>
      <c r="AO979" s="34">
        <f t="shared" si="877"/>
        <v>0</v>
      </c>
      <c r="AP979" s="34">
        <f t="shared" si="878"/>
        <v>0</v>
      </c>
      <c r="AQ979" s="34">
        <f t="shared" si="879"/>
        <v>0</v>
      </c>
      <c r="AR979" s="34">
        <f t="shared" si="880"/>
        <v>0</v>
      </c>
      <c r="AS979" s="30">
        <f t="shared" si="881"/>
        <v>2.2444587073707796</v>
      </c>
      <c r="AT979" s="29">
        <f t="shared" si="882"/>
        <v>0</v>
      </c>
      <c r="AU979" s="29">
        <f t="shared" si="883"/>
        <v>0</v>
      </c>
      <c r="AV979" s="34">
        <f t="shared" si="884"/>
        <v>0</v>
      </c>
      <c r="AW979" s="34">
        <f t="shared" si="885"/>
        <v>0</v>
      </c>
      <c r="AX979" s="29">
        <f t="shared" si="886"/>
        <v>0</v>
      </c>
      <c r="AY979" s="34">
        <f t="shared" si="887"/>
        <v>0</v>
      </c>
      <c r="AZ979" s="37">
        <f t="shared" si="888"/>
        <v>0</v>
      </c>
      <c r="BA979" s="37">
        <f t="shared" si="889"/>
        <v>0</v>
      </c>
      <c r="BB979" s="35">
        <f t="shared" si="890"/>
        <v>1.7292907005213021E-3</v>
      </c>
      <c r="BC979" s="31">
        <f t="shared" si="891"/>
        <v>0.18551820363683097</v>
      </c>
      <c r="BD979" s="34">
        <f t="shared" si="892"/>
        <v>0</v>
      </c>
    </row>
    <row r="980" spans="1:56" x14ac:dyDescent="0.2">
      <c r="A980" s="27">
        <f t="shared" si="893"/>
        <v>976</v>
      </c>
      <c r="B980" s="28">
        <f t="shared" si="840"/>
        <v>976</v>
      </c>
      <c r="C980" s="27">
        <f t="shared" si="841"/>
        <v>81</v>
      </c>
      <c r="D980" s="28">
        <f t="shared" si="842"/>
        <v>101</v>
      </c>
      <c r="E980" s="29">
        <f t="shared" si="843"/>
        <v>0</v>
      </c>
      <c r="F980" s="30">
        <f t="shared" si="844"/>
        <v>0.19751455802244169</v>
      </c>
      <c r="G980" s="31">
        <f t="shared" si="845"/>
        <v>1.8169700913034159E-2</v>
      </c>
      <c r="H980" s="32">
        <f t="shared" si="846"/>
        <v>0.02</v>
      </c>
      <c r="I980" s="32">
        <f t="shared" si="847"/>
        <v>0</v>
      </c>
      <c r="J980" s="33">
        <f t="shared" si="894"/>
        <v>0</v>
      </c>
      <c r="K980" s="30">
        <f t="shared" si="848"/>
        <v>0</v>
      </c>
      <c r="L980" s="33">
        <f t="shared" si="849"/>
        <v>0</v>
      </c>
      <c r="M980" s="30">
        <f t="shared" si="850"/>
        <v>0</v>
      </c>
      <c r="N980" s="33">
        <f t="shared" si="851"/>
        <v>0</v>
      </c>
      <c r="O980" s="31">
        <f t="shared" si="852"/>
        <v>0</v>
      </c>
      <c r="P980" s="33">
        <f t="shared" si="853"/>
        <v>0</v>
      </c>
      <c r="Q980" s="34">
        <f t="shared" si="895"/>
        <v>1019652.9349701654</v>
      </c>
      <c r="R980" s="29">
        <f t="shared" si="854"/>
        <v>0</v>
      </c>
      <c r="S980" s="34">
        <f t="shared" si="855"/>
        <v>1019652.9349701654</v>
      </c>
      <c r="T980" s="29">
        <f t="shared" si="856"/>
        <v>849.71077914180455</v>
      </c>
      <c r="U980" s="29">
        <f t="shared" si="857"/>
        <v>0</v>
      </c>
      <c r="V980" s="35">
        <f t="shared" si="858"/>
        <v>1.9986671004337576E-2</v>
      </c>
      <c r="W980" s="34">
        <f t="shared" si="859"/>
        <v>0</v>
      </c>
      <c r="X980" s="34">
        <f t="shared" si="860"/>
        <v>1018803.2241910236</v>
      </c>
      <c r="Y980" s="36">
        <f t="shared" si="861"/>
        <v>-3.1670305368184382E-3</v>
      </c>
      <c r="Z980" s="34">
        <f t="shared" si="862"/>
        <v>-3226.5809220220531</v>
      </c>
      <c r="AA980" s="34">
        <f t="shared" si="863"/>
        <v>1017189.9337300126</v>
      </c>
      <c r="AB980" s="34">
        <f t="shared" si="864"/>
        <v>0</v>
      </c>
      <c r="AC980" s="34">
        <f t="shared" si="865"/>
        <v>0</v>
      </c>
      <c r="AD980" s="34">
        <f t="shared" si="866"/>
        <v>0</v>
      </c>
      <c r="AE980" s="34">
        <f t="shared" si="867"/>
        <v>0</v>
      </c>
      <c r="AF980" s="34">
        <f t="shared" si="868"/>
        <v>0</v>
      </c>
      <c r="AG980" s="29">
        <f t="shared" si="869"/>
        <v>1017189.9337300126</v>
      </c>
      <c r="AH980" s="34">
        <f t="shared" si="870"/>
        <v>0</v>
      </c>
      <c r="AI980" s="34">
        <f t="shared" si="871"/>
        <v>0</v>
      </c>
      <c r="AJ980" s="34">
        <f t="shared" si="872"/>
        <v>0</v>
      </c>
      <c r="AK980" s="34">
        <f t="shared" si="873"/>
        <v>0</v>
      </c>
      <c r="AL980" s="34">
        <f t="shared" si="874"/>
        <v>0</v>
      </c>
      <c r="AM980" s="34">
        <f t="shared" si="875"/>
        <v>0</v>
      </c>
      <c r="AN980" s="34">
        <f t="shared" si="876"/>
        <v>0</v>
      </c>
      <c r="AO980" s="34">
        <f t="shared" si="877"/>
        <v>0</v>
      </c>
      <c r="AP980" s="34">
        <f t="shared" si="878"/>
        <v>0</v>
      </c>
      <c r="AQ980" s="34">
        <f t="shared" si="879"/>
        <v>0</v>
      </c>
      <c r="AR980" s="34">
        <f t="shared" si="880"/>
        <v>0</v>
      </c>
      <c r="AS980" s="30">
        <f t="shared" si="881"/>
        <v>2.2463205714146199</v>
      </c>
      <c r="AT980" s="29">
        <f t="shared" si="882"/>
        <v>0</v>
      </c>
      <c r="AU980" s="29">
        <f t="shared" si="883"/>
        <v>0</v>
      </c>
      <c r="AV980" s="34">
        <f t="shared" si="884"/>
        <v>0</v>
      </c>
      <c r="AW980" s="34">
        <f t="shared" si="885"/>
        <v>0</v>
      </c>
      <c r="AX980" s="29">
        <f t="shared" si="886"/>
        <v>0</v>
      </c>
      <c r="AY980" s="34">
        <f t="shared" si="887"/>
        <v>0</v>
      </c>
      <c r="AZ980" s="37">
        <f t="shared" si="888"/>
        <v>0</v>
      </c>
      <c r="BA980" s="37">
        <f t="shared" si="889"/>
        <v>0</v>
      </c>
      <c r="BB980" s="35">
        <f t="shared" si="890"/>
        <v>1.7292907005213021E-3</v>
      </c>
      <c r="BC980" s="31">
        <f t="shared" si="891"/>
        <v>0.18519794255701136</v>
      </c>
      <c r="BD980" s="34">
        <f t="shared" si="892"/>
        <v>0</v>
      </c>
    </row>
    <row r="981" spans="1:56" x14ac:dyDescent="0.2">
      <c r="A981" s="27">
        <f t="shared" si="893"/>
        <v>977</v>
      </c>
      <c r="B981" s="28">
        <f t="shared" si="840"/>
        <v>977</v>
      </c>
      <c r="C981" s="27">
        <f t="shared" si="841"/>
        <v>81</v>
      </c>
      <c r="D981" s="28">
        <f t="shared" si="842"/>
        <v>101</v>
      </c>
      <c r="E981" s="29">
        <f t="shared" si="843"/>
        <v>0</v>
      </c>
      <c r="F981" s="30">
        <f t="shared" si="844"/>
        <v>0.19751455802244169</v>
      </c>
      <c r="G981" s="31">
        <f t="shared" si="845"/>
        <v>1.8169700913034159E-2</v>
      </c>
      <c r="H981" s="32">
        <f t="shared" si="846"/>
        <v>0.02</v>
      </c>
      <c r="I981" s="32">
        <f t="shared" si="847"/>
        <v>0</v>
      </c>
      <c r="J981" s="33">
        <f t="shared" si="894"/>
        <v>0</v>
      </c>
      <c r="K981" s="30">
        <f t="shared" si="848"/>
        <v>0</v>
      </c>
      <c r="L981" s="33">
        <f t="shared" si="849"/>
        <v>0</v>
      </c>
      <c r="M981" s="30">
        <f t="shared" si="850"/>
        <v>0</v>
      </c>
      <c r="N981" s="33">
        <f t="shared" si="851"/>
        <v>0</v>
      </c>
      <c r="O981" s="31">
        <f t="shared" si="852"/>
        <v>0</v>
      </c>
      <c r="P981" s="33">
        <f t="shared" si="853"/>
        <v>0</v>
      </c>
      <c r="Q981" s="34">
        <f t="shared" si="895"/>
        <v>1015576.6432690016</v>
      </c>
      <c r="R981" s="29">
        <f t="shared" si="854"/>
        <v>0</v>
      </c>
      <c r="S981" s="34">
        <f t="shared" si="855"/>
        <v>1015576.6432690016</v>
      </c>
      <c r="T981" s="29">
        <f t="shared" si="856"/>
        <v>846.31386939083472</v>
      </c>
      <c r="U981" s="29">
        <f t="shared" si="857"/>
        <v>0</v>
      </c>
      <c r="V981" s="35">
        <f t="shared" si="858"/>
        <v>1.9986671004337576E-2</v>
      </c>
      <c r="W981" s="34">
        <f t="shared" si="859"/>
        <v>0</v>
      </c>
      <c r="X981" s="34">
        <f t="shared" si="860"/>
        <v>1014730.3293996108</v>
      </c>
      <c r="Y981" s="36">
        <f t="shared" si="861"/>
        <v>-2.1752830847214799E-3</v>
      </c>
      <c r="Z981" s="34">
        <f t="shared" si="862"/>
        <v>-2207.3257210968286</v>
      </c>
      <c r="AA981" s="34">
        <f t="shared" si="863"/>
        <v>1013626.6665390624</v>
      </c>
      <c r="AB981" s="34">
        <f t="shared" si="864"/>
        <v>0</v>
      </c>
      <c r="AC981" s="34">
        <f t="shared" si="865"/>
        <v>0</v>
      </c>
      <c r="AD981" s="34">
        <f t="shared" si="866"/>
        <v>0</v>
      </c>
      <c r="AE981" s="34">
        <f t="shared" si="867"/>
        <v>0</v>
      </c>
      <c r="AF981" s="34">
        <f t="shared" si="868"/>
        <v>0</v>
      </c>
      <c r="AG981" s="29">
        <f t="shared" si="869"/>
        <v>1013626.6665390624</v>
      </c>
      <c r="AH981" s="34">
        <f t="shared" si="870"/>
        <v>0</v>
      </c>
      <c r="AI981" s="34">
        <f t="shared" si="871"/>
        <v>0</v>
      </c>
      <c r="AJ981" s="34">
        <f t="shared" si="872"/>
        <v>0</v>
      </c>
      <c r="AK981" s="34">
        <f t="shared" si="873"/>
        <v>0</v>
      </c>
      <c r="AL981" s="34">
        <f t="shared" si="874"/>
        <v>0</v>
      </c>
      <c r="AM981" s="34">
        <f t="shared" si="875"/>
        <v>0</v>
      </c>
      <c r="AN981" s="34">
        <f t="shared" si="876"/>
        <v>0</v>
      </c>
      <c r="AO981" s="34">
        <f t="shared" si="877"/>
        <v>0</v>
      </c>
      <c r="AP981" s="34">
        <f t="shared" si="878"/>
        <v>0</v>
      </c>
      <c r="AQ981" s="34">
        <f t="shared" si="879"/>
        <v>0</v>
      </c>
      <c r="AR981" s="34">
        <f t="shared" si="880"/>
        <v>0</v>
      </c>
      <c r="AS981" s="30">
        <f t="shared" si="881"/>
        <v>2.2481839799456487</v>
      </c>
      <c r="AT981" s="29">
        <f t="shared" si="882"/>
        <v>0</v>
      </c>
      <c r="AU981" s="29">
        <f t="shared" si="883"/>
        <v>0</v>
      </c>
      <c r="AV981" s="34">
        <f t="shared" si="884"/>
        <v>0</v>
      </c>
      <c r="AW981" s="34">
        <f t="shared" si="885"/>
        <v>0</v>
      </c>
      <c r="AX981" s="29">
        <f t="shared" si="886"/>
        <v>0</v>
      </c>
      <c r="AY981" s="34">
        <f t="shared" si="887"/>
        <v>0</v>
      </c>
      <c r="AZ981" s="37">
        <f t="shared" si="888"/>
        <v>0</v>
      </c>
      <c r="BA981" s="37">
        <f t="shared" si="889"/>
        <v>0</v>
      </c>
      <c r="BB981" s="35">
        <f t="shared" si="890"/>
        <v>1.7292907005213021E-3</v>
      </c>
      <c r="BC981" s="31">
        <f t="shared" si="891"/>
        <v>0.18487823434562864</v>
      </c>
      <c r="BD981" s="34">
        <f t="shared" si="892"/>
        <v>0</v>
      </c>
    </row>
    <row r="982" spans="1:56" x14ac:dyDescent="0.2">
      <c r="A982" s="27">
        <f t="shared" si="893"/>
        <v>978</v>
      </c>
      <c r="B982" s="28">
        <f t="shared" si="840"/>
        <v>978</v>
      </c>
      <c r="C982" s="27">
        <f t="shared" si="841"/>
        <v>81</v>
      </c>
      <c r="D982" s="28">
        <f t="shared" si="842"/>
        <v>101</v>
      </c>
      <c r="E982" s="29">
        <f t="shared" si="843"/>
        <v>0</v>
      </c>
      <c r="F982" s="30">
        <f t="shared" si="844"/>
        <v>0.19751455802244169</v>
      </c>
      <c r="G982" s="31">
        <f t="shared" si="845"/>
        <v>1.8169700913034159E-2</v>
      </c>
      <c r="H982" s="32">
        <f t="shared" si="846"/>
        <v>0.02</v>
      </c>
      <c r="I982" s="32">
        <f t="shared" si="847"/>
        <v>0</v>
      </c>
      <c r="J982" s="33">
        <f t="shared" si="894"/>
        <v>0</v>
      </c>
      <c r="K982" s="30">
        <f t="shared" si="848"/>
        <v>0</v>
      </c>
      <c r="L982" s="33">
        <f t="shared" si="849"/>
        <v>0</v>
      </c>
      <c r="M982" s="30">
        <f t="shared" si="850"/>
        <v>0</v>
      </c>
      <c r="N982" s="33">
        <f t="shared" si="851"/>
        <v>0</v>
      </c>
      <c r="O982" s="31">
        <f t="shared" si="852"/>
        <v>0</v>
      </c>
      <c r="P982" s="33">
        <f t="shared" si="853"/>
        <v>0</v>
      </c>
      <c r="Q982" s="34">
        <f t="shared" si="895"/>
        <v>1012523.0036785139</v>
      </c>
      <c r="R982" s="29">
        <f t="shared" si="854"/>
        <v>0</v>
      </c>
      <c r="S982" s="34">
        <f t="shared" si="855"/>
        <v>1012523.0036785139</v>
      </c>
      <c r="T982" s="29">
        <f t="shared" si="856"/>
        <v>843.76916973209495</v>
      </c>
      <c r="U982" s="29">
        <f t="shared" si="857"/>
        <v>0</v>
      </c>
      <c r="V982" s="35">
        <f t="shared" si="858"/>
        <v>1.9986671004337576E-2</v>
      </c>
      <c r="W982" s="34">
        <f t="shared" si="859"/>
        <v>0</v>
      </c>
      <c r="X982" s="34">
        <f t="shared" si="860"/>
        <v>1011679.2345087818</v>
      </c>
      <c r="Y982" s="36">
        <f t="shared" si="861"/>
        <v>1.1274913344004656E-2</v>
      </c>
      <c r="Z982" s="34">
        <f t="shared" si="862"/>
        <v>11406.59570101548</v>
      </c>
      <c r="AA982" s="34">
        <f t="shared" si="863"/>
        <v>1017382.5323592896</v>
      </c>
      <c r="AB982" s="34">
        <f t="shared" si="864"/>
        <v>0</v>
      </c>
      <c r="AC982" s="34">
        <f t="shared" si="865"/>
        <v>0</v>
      </c>
      <c r="AD982" s="34">
        <f t="shared" si="866"/>
        <v>0</v>
      </c>
      <c r="AE982" s="34">
        <f t="shared" si="867"/>
        <v>0</v>
      </c>
      <c r="AF982" s="34">
        <f t="shared" si="868"/>
        <v>0</v>
      </c>
      <c r="AG982" s="29">
        <f t="shared" si="869"/>
        <v>1017382.5323592896</v>
      </c>
      <c r="AH982" s="34">
        <f t="shared" si="870"/>
        <v>0</v>
      </c>
      <c r="AI982" s="34">
        <f t="shared" si="871"/>
        <v>0</v>
      </c>
      <c r="AJ982" s="34">
        <f t="shared" si="872"/>
        <v>0</v>
      </c>
      <c r="AK982" s="34">
        <f t="shared" si="873"/>
        <v>0</v>
      </c>
      <c r="AL982" s="34">
        <f t="shared" si="874"/>
        <v>0</v>
      </c>
      <c r="AM982" s="34">
        <f t="shared" si="875"/>
        <v>0</v>
      </c>
      <c r="AN982" s="34">
        <f t="shared" si="876"/>
        <v>0</v>
      </c>
      <c r="AO982" s="34">
        <f t="shared" si="877"/>
        <v>0</v>
      </c>
      <c r="AP982" s="34">
        <f t="shared" si="878"/>
        <v>0</v>
      </c>
      <c r="AQ982" s="34">
        <f t="shared" si="879"/>
        <v>0</v>
      </c>
      <c r="AR982" s="34">
        <f t="shared" si="880"/>
        <v>0</v>
      </c>
      <c r="AS982" s="30">
        <f t="shared" si="881"/>
        <v>2.250048934245076</v>
      </c>
      <c r="AT982" s="29">
        <f t="shared" si="882"/>
        <v>0</v>
      </c>
      <c r="AU982" s="29">
        <f t="shared" si="883"/>
        <v>0</v>
      </c>
      <c r="AV982" s="34">
        <f t="shared" si="884"/>
        <v>0</v>
      </c>
      <c r="AW982" s="34">
        <f t="shared" si="885"/>
        <v>0</v>
      </c>
      <c r="AX982" s="29">
        <f t="shared" si="886"/>
        <v>0</v>
      </c>
      <c r="AY982" s="34">
        <f t="shared" si="887"/>
        <v>0</v>
      </c>
      <c r="AZ982" s="37">
        <f t="shared" si="888"/>
        <v>0</v>
      </c>
      <c r="BA982" s="37">
        <f t="shared" si="889"/>
        <v>0</v>
      </c>
      <c r="BB982" s="35">
        <f t="shared" si="890"/>
        <v>1.7292907005213021E-3</v>
      </c>
      <c r="BC982" s="31">
        <f t="shared" si="891"/>
        <v>0.18455907804826296</v>
      </c>
      <c r="BD982" s="34">
        <f t="shared" si="892"/>
        <v>0</v>
      </c>
    </row>
    <row r="983" spans="1:56" x14ac:dyDescent="0.2">
      <c r="A983" s="27">
        <f t="shared" si="893"/>
        <v>979</v>
      </c>
      <c r="B983" s="28">
        <f t="shared" si="840"/>
        <v>979</v>
      </c>
      <c r="C983" s="27">
        <f t="shared" si="841"/>
        <v>81</v>
      </c>
      <c r="D983" s="28">
        <f t="shared" si="842"/>
        <v>101</v>
      </c>
      <c r="E983" s="29">
        <f t="shared" si="843"/>
        <v>0</v>
      </c>
      <c r="F983" s="30">
        <f t="shared" si="844"/>
        <v>0.19751455802244169</v>
      </c>
      <c r="G983" s="31">
        <f t="shared" si="845"/>
        <v>1.8169700913034159E-2</v>
      </c>
      <c r="H983" s="32">
        <f t="shared" si="846"/>
        <v>0.02</v>
      </c>
      <c r="I983" s="32">
        <f t="shared" si="847"/>
        <v>0</v>
      </c>
      <c r="J983" s="33">
        <f t="shared" si="894"/>
        <v>0</v>
      </c>
      <c r="K983" s="30">
        <f t="shared" si="848"/>
        <v>0</v>
      </c>
      <c r="L983" s="33">
        <f t="shared" si="849"/>
        <v>0</v>
      </c>
      <c r="M983" s="30">
        <f t="shared" si="850"/>
        <v>0</v>
      </c>
      <c r="N983" s="33">
        <f t="shared" si="851"/>
        <v>0</v>
      </c>
      <c r="O983" s="31">
        <f t="shared" si="852"/>
        <v>0</v>
      </c>
      <c r="P983" s="33">
        <f t="shared" si="853"/>
        <v>0</v>
      </c>
      <c r="Q983" s="34">
        <f t="shared" si="895"/>
        <v>1023085.8302097972</v>
      </c>
      <c r="R983" s="29">
        <f t="shared" si="854"/>
        <v>0</v>
      </c>
      <c r="S983" s="34">
        <f t="shared" si="855"/>
        <v>1023085.8302097972</v>
      </c>
      <c r="T983" s="29">
        <f t="shared" si="856"/>
        <v>852.57152517483109</v>
      </c>
      <c r="U983" s="29">
        <f t="shared" si="857"/>
        <v>0</v>
      </c>
      <c r="V983" s="35">
        <f t="shared" si="858"/>
        <v>1.9986671004337576E-2</v>
      </c>
      <c r="W983" s="34">
        <f t="shared" si="859"/>
        <v>0</v>
      </c>
      <c r="X983" s="34">
        <f t="shared" si="860"/>
        <v>1022233.2586846225</v>
      </c>
      <c r="Y983" s="36">
        <f t="shared" si="861"/>
        <v>-8.4245341044236755E-3</v>
      </c>
      <c r="Z983" s="34">
        <f t="shared" si="862"/>
        <v>-8611.8389504647512</v>
      </c>
      <c r="AA983" s="34">
        <f t="shared" si="863"/>
        <v>1017927.3392093901</v>
      </c>
      <c r="AB983" s="34">
        <f t="shared" si="864"/>
        <v>0</v>
      </c>
      <c r="AC983" s="34">
        <f t="shared" si="865"/>
        <v>0</v>
      </c>
      <c r="AD983" s="34">
        <f t="shared" si="866"/>
        <v>0</v>
      </c>
      <c r="AE983" s="34">
        <f t="shared" si="867"/>
        <v>0</v>
      </c>
      <c r="AF983" s="34">
        <f t="shared" si="868"/>
        <v>0</v>
      </c>
      <c r="AG983" s="29">
        <f t="shared" si="869"/>
        <v>1017927.3392093901</v>
      </c>
      <c r="AH983" s="34">
        <f t="shared" si="870"/>
        <v>0</v>
      </c>
      <c r="AI983" s="34">
        <f t="shared" si="871"/>
        <v>0</v>
      </c>
      <c r="AJ983" s="34">
        <f t="shared" si="872"/>
        <v>0</v>
      </c>
      <c r="AK983" s="34">
        <f t="shared" si="873"/>
        <v>0</v>
      </c>
      <c r="AL983" s="34">
        <f t="shared" si="874"/>
        <v>0</v>
      </c>
      <c r="AM983" s="34">
        <f t="shared" si="875"/>
        <v>0</v>
      </c>
      <c r="AN983" s="34">
        <f t="shared" si="876"/>
        <v>0</v>
      </c>
      <c r="AO983" s="34">
        <f t="shared" si="877"/>
        <v>0</v>
      </c>
      <c r="AP983" s="34">
        <f t="shared" si="878"/>
        <v>0</v>
      </c>
      <c r="AQ983" s="34">
        <f t="shared" si="879"/>
        <v>0</v>
      </c>
      <c r="AR983" s="34">
        <f t="shared" si="880"/>
        <v>0</v>
      </c>
      <c r="AS983" s="30">
        <f t="shared" si="881"/>
        <v>2.2519154355951763</v>
      </c>
      <c r="AT983" s="29">
        <f t="shared" si="882"/>
        <v>0</v>
      </c>
      <c r="AU983" s="29">
        <f t="shared" si="883"/>
        <v>0</v>
      </c>
      <c r="AV983" s="34">
        <f t="shared" si="884"/>
        <v>0</v>
      </c>
      <c r="AW983" s="34">
        <f t="shared" si="885"/>
        <v>0</v>
      </c>
      <c r="AX983" s="29">
        <f t="shared" si="886"/>
        <v>0</v>
      </c>
      <c r="AY983" s="34">
        <f t="shared" si="887"/>
        <v>0</v>
      </c>
      <c r="AZ983" s="37">
        <f t="shared" si="888"/>
        <v>0</v>
      </c>
      <c r="BA983" s="37">
        <f t="shared" si="889"/>
        <v>0</v>
      </c>
      <c r="BB983" s="35">
        <f t="shared" si="890"/>
        <v>1.7292907005213021E-3</v>
      </c>
      <c r="BC983" s="31">
        <f t="shared" si="891"/>
        <v>0.18424047271214222</v>
      </c>
      <c r="BD983" s="34">
        <f t="shared" si="892"/>
        <v>0</v>
      </c>
    </row>
    <row r="984" spans="1:56" x14ac:dyDescent="0.2">
      <c r="A984" s="27">
        <f t="shared" si="893"/>
        <v>980</v>
      </c>
      <c r="B984" s="28">
        <f t="shared" si="840"/>
        <v>980</v>
      </c>
      <c r="C984" s="27">
        <f t="shared" si="841"/>
        <v>81</v>
      </c>
      <c r="D984" s="28">
        <f t="shared" si="842"/>
        <v>101</v>
      </c>
      <c r="E984" s="29">
        <f t="shared" si="843"/>
        <v>0</v>
      </c>
      <c r="F984" s="30">
        <f t="shared" si="844"/>
        <v>0.19751455802244169</v>
      </c>
      <c r="G984" s="31">
        <f t="shared" si="845"/>
        <v>1.8169700913034159E-2</v>
      </c>
      <c r="H984" s="32">
        <f t="shared" si="846"/>
        <v>0.02</v>
      </c>
      <c r="I984" s="32">
        <f t="shared" si="847"/>
        <v>0</v>
      </c>
      <c r="J984" s="33">
        <f t="shared" si="894"/>
        <v>0</v>
      </c>
      <c r="K984" s="30">
        <f t="shared" si="848"/>
        <v>0</v>
      </c>
      <c r="L984" s="33">
        <f t="shared" si="849"/>
        <v>0</v>
      </c>
      <c r="M984" s="30">
        <f t="shared" si="850"/>
        <v>0</v>
      </c>
      <c r="N984" s="33">
        <f t="shared" si="851"/>
        <v>0</v>
      </c>
      <c r="O984" s="31">
        <f t="shared" si="852"/>
        <v>0</v>
      </c>
      <c r="P984" s="33">
        <f t="shared" si="853"/>
        <v>0</v>
      </c>
      <c r="Q984" s="34">
        <f t="shared" si="895"/>
        <v>1013621.4197341577</v>
      </c>
      <c r="R984" s="29">
        <f t="shared" si="854"/>
        <v>0</v>
      </c>
      <c r="S984" s="34">
        <f t="shared" si="855"/>
        <v>1013621.4197341577</v>
      </c>
      <c r="T984" s="29">
        <f t="shared" si="856"/>
        <v>844.68451644513152</v>
      </c>
      <c r="U984" s="29">
        <f t="shared" si="857"/>
        <v>0</v>
      </c>
      <c r="V984" s="35">
        <f t="shared" si="858"/>
        <v>1.9986671004337576E-2</v>
      </c>
      <c r="W984" s="34">
        <f t="shared" si="859"/>
        <v>0</v>
      </c>
      <c r="X984" s="34">
        <f t="shared" si="860"/>
        <v>1012776.7352177126</v>
      </c>
      <c r="Y984" s="36">
        <f t="shared" si="861"/>
        <v>2.5181834564433903E-2</v>
      </c>
      <c r="Z984" s="34">
        <f t="shared" si="862"/>
        <v>25503.576196959919</v>
      </c>
      <c r="AA984" s="34">
        <f t="shared" si="863"/>
        <v>1025528.5233161926</v>
      </c>
      <c r="AB984" s="34">
        <f t="shared" si="864"/>
        <v>0</v>
      </c>
      <c r="AC984" s="34">
        <f t="shared" si="865"/>
        <v>0</v>
      </c>
      <c r="AD984" s="34">
        <f t="shared" si="866"/>
        <v>0</v>
      </c>
      <c r="AE984" s="34">
        <f t="shared" si="867"/>
        <v>0</v>
      </c>
      <c r="AF984" s="34">
        <f t="shared" si="868"/>
        <v>0</v>
      </c>
      <c r="AG984" s="29">
        <f t="shared" si="869"/>
        <v>1025528.5233161926</v>
      </c>
      <c r="AH984" s="34">
        <f t="shared" si="870"/>
        <v>0</v>
      </c>
      <c r="AI984" s="34">
        <f t="shared" si="871"/>
        <v>0</v>
      </c>
      <c r="AJ984" s="34">
        <f t="shared" si="872"/>
        <v>0</v>
      </c>
      <c r="AK984" s="34">
        <f t="shared" si="873"/>
        <v>0</v>
      </c>
      <c r="AL984" s="34">
        <f t="shared" si="874"/>
        <v>0</v>
      </c>
      <c r="AM984" s="34">
        <f t="shared" si="875"/>
        <v>0</v>
      </c>
      <c r="AN984" s="34">
        <f t="shared" si="876"/>
        <v>0</v>
      </c>
      <c r="AO984" s="34">
        <f t="shared" si="877"/>
        <v>0</v>
      </c>
      <c r="AP984" s="34">
        <f t="shared" si="878"/>
        <v>0</v>
      </c>
      <c r="AQ984" s="34">
        <f t="shared" si="879"/>
        <v>0</v>
      </c>
      <c r="AR984" s="34">
        <f t="shared" si="880"/>
        <v>0</v>
      </c>
      <c r="AS984" s="30">
        <f t="shared" si="881"/>
        <v>2.2537834852792873</v>
      </c>
      <c r="AT984" s="29">
        <f t="shared" si="882"/>
        <v>0</v>
      </c>
      <c r="AU984" s="29">
        <f t="shared" si="883"/>
        <v>0</v>
      </c>
      <c r="AV984" s="34">
        <f t="shared" si="884"/>
        <v>0</v>
      </c>
      <c r="AW984" s="34">
        <f t="shared" si="885"/>
        <v>0</v>
      </c>
      <c r="AX984" s="29">
        <f t="shared" si="886"/>
        <v>0</v>
      </c>
      <c r="AY984" s="34">
        <f t="shared" si="887"/>
        <v>0</v>
      </c>
      <c r="AZ984" s="37">
        <f t="shared" si="888"/>
        <v>0</v>
      </c>
      <c r="BA984" s="37">
        <f t="shared" si="889"/>
        <v>0</v>
      </c>
      <c r="BB984" s="35">
        <f t="shared" si="890"/>
        <v>1.7292907005213021E-3</v>
      </c>
      <c r="BC984" s="31">
        <f t="shared" si="891"/>
        <v>0.18392241738613899</v>
      </c>
      <c r="BD984" s="34">
        <f t="shared" si="892"/>
        <v>0</v>
      </c>
    </row>
    <row r="985" spans="1:56" x14ac:dyDescent="0.2">
      <c r="A985" s="27">
        <f t="shared" si="893"/>
        <v>981</v>
      </c>
      <c r="B985" s="28">
        <f t="shared" si="840"/>
        <v>981</v>
      </c>
      <c r="C985" s="27">
        <f t="shared" si="841"/>
        <v>81</v>
      </c>
      <c r="D985" s="28">
        <f t="shared" si="842"/>
        <v>101</v>
      </c>
      <c r="E985" s="29">
        <f t="shared" si="843"/>
        <v>0</v>
      </c>
      <c r="F985" s="30">
        <f t="shared" si="844"/>
        <v>0.19751455802244169</v>
      </c>
      <c r="G985" s="31">
        <f t="shared" si="845"/>
        <v>1.8169700913034159E-2</v>
      </c>
      <c r="H985" s="32">
        <f t="shared" si="846"/>
        <v>0.02</v>
      </c>
      <c r="I985" s="32">
        <f t="shared" si="847"/>
        <v>0</v>
      </c>
      <c r="J985" s="33">
        <f t="shared" si="894"/>
        <v>0</v>
      </c>
      <c r="K985" s="30">
        <f t="shared" si="848"/>
        <v>0</v>
      </c>
      <c r="L985" s="33">
        <f t="shared" si="849"/>
        <v>0</v>
      </c>
      <c r="M985" s="30">
        <f t="shared" si="850"/>
        <v>0</v>
      </c>
      <c r="N985" s="33">
        <f t="shared" si="851"/>
        <v>0</v>
      </c>
      <c r="O985" s="31">
        <f t="shared" si="852"/>
        <v>0</v>
      </c>
      <c r="P985" s="33">
        <f t="shared" si="853"/>
        <v>0</v>
      </c>
      <c r="Q985" s="34">
        <f t="shared" si="895"/>
        <v>1038280.3114146725</v>
      </c>
      <c r="R985" s="29">
        <f t="shared" si="854"/>
        <v>0</v>
      </c>
      <c r="S985" s="34">
        <f t="shared" si="855"/>
        <v>1038280.3114146725</v>
      </c>
      <c r="T985" s="29">
        <f t="shared" si="856"/>
        <v>865.23359284556045</v>
      </c>
      <c r="U985" s="29">
        <f t="shared" si="857"/>
        <v>0</v>
      </c>
      <c r="V985" s="35">
        <f t="shared" si="858"/>
        <v>1.9986671004337576E-2</v>
      </c>
      <c r="W985" s="34">
        <f t="shared" si="859"/>
        <v>0</v>
      </c>
      <c r="X985" s="34">
        <f t="shared" si="860"/>
        <v>1037415.0778218269</v>
      </c>
      <c r="Y985" s="36">
        <f t="shared" si="861"/>
        <v>-1.9354363235605909E-2</v>
      </c>
      <c r="Z985" s="34">
        <f t="shared" si="862"/>
        <v>-20078.508242258009</v>
      </c>
      <c r="AA985" s="34">
        <f t="shared" si="863"/>
        <v>1027375.8237006979</v>
      </c>
      <c r="AB985" s="34">
        <f t="shared" si="864"/>
        <v>0</v>
      </c>
      <c r="AC985" s="34">
        <f t="shared" si="865"/>
        <v>0</v>
      </c>
      <c r="AD985" s="34">
        <f t="shared" si="866"/>
        <v>0</v>
      </c>
      <c r="AE985" s="34">
        <f t="shared" si="867"/>
        <v>0</v>
      </c>
      <c r="AF985" s="34">
        <f t="shared" si="868"/>
        <v>0</v>
      </c>
      <c r="AG985" s="29">
        <f t="shared" si="869"/>
        <v>1027375.8237006979</v>
      </c>
      <c r="AH985" s="34">
        <f t="shared" si="870"/>
        <v>0</v>
      </c>
      <c r="AI985" s="34">
        <f t="shared" si="871"/>
        <v>0</v>
      </c>
      <c r="AJ985" s="34">
        <f t="shared" si="872"/>
        <v>0</v>
      </c>
      <c r="AK985" s="34">
        <f t="shared" si="873"/>
        <v>0</v>
      </c>
      <c r="AL985" s="34">
        <f t="shared" si="874"/>
        <v>0</v>
      </c>
      <c r="AM985" s="34">
        <f t="shared" si="875"/>
        <v>0</v>
      </c>
      <c r="AN985" s="34">
        <f t="shared" si="876"/>
        <v>0</v>
      </c>
      <c r="AO985" s="34">
        <f t="shared" si="877"/>
        <v>0</v>
      </c>
      <c r="AP985" s="34">
        <f t="shared" si="878"/>
        <v>0</v>
      </c>
      <c r="AQ985" s="34">
        <f t="shared" si="879"/>
        <v>0</v>
      </c>
      <c r="AR985" s="34">
        <f t="shared" si="880"/>
        <v>0</v>
      </c>
      <c r="AS985" s="30">
        <f t="shared" si="881"/>
        <v>2.2556530845818106</v>
      </c>
      <c r="AT985" s="29">
        <f t="shared" si="882"/>
        <v>0</v>
      </c>
      <c r="AU985" s="29">
        <f t="shared" si="883"/>
        <v>0</v>
      </c>
      <c r="AV985" s="34">
        <f t="shared" si="884"/>
        <v>0</v>
      </c>
      <c r="AW985" s="34">
        <f t="shared" si="885"/>
        <v>0</v>
      </c>
      <c r="AX985" s="29">
        <f t="shared" si="886"/>
        <v>0</v>
      </c>
      <c r="AY985" s="34">
        <f t="shared" si="887"/>
        <v>0</v>
      </c>
      <c r="AZ985" s="37">
        <f t="shared" si="888"/>
        <v>0</v>
      </c>
      <c r="BA985" s="37">
        <f t="shared" si="889"/>
        <v>0</v>
      </c>
      <c r="BB985" s="35">
        <f t="shared" si="890"/>
        <v>1.7292907005213021E-3</v>
      </c>
      <c r="BC985" s="31">
        <f t="shared" si="891"/>
        <v>0.18360491112076782</v>
      </c>
      <c r="BD985" s="34">
        <f t="shared" si="892"/>
        <v>0</v>
      </c>
    </row>
    <row r="986" spans="1:56" x14ac:dyDescent="0.2">
      <c r="A986" s="27">
        <f t="shared" si="893"/>
        <v>982</v>
      </c>
      <c r="B986" s="28">
        <f t="shared" si="840"/>
        <v>982</v>
      </c>
      <c r="C986" s="27">
        <f t="shared" si="841"/>
        <v>81</v>
      </c>
      <c r="D986" s="28">
        <f t="shared" si="842"/>
        <v>101</v>
      </c>
      <c r="E986" s="29">
        <f t="shared" si="843"/>
        <v>0</v>
      </c>
      <c r="F986" s="30">
        <f t="shared" si="844"/>
        <v>0.19751455802244169</v>
      </c>
      <c r="G986" s="31">
        <f t="shared" si="845"/>
        <v>1.8169700913034159E-2</v>
      </c>
      <c r="H986" s="32">
        <f t="shared" si="846"/>
        <v>0.02</v>
      </c>
      <c r="I986" s="32">
        <f t="shared" si="847"/>
        <v>0</v>
      </c>
      <c r="J986" s="33">
        <f t="shared" si="894"/>
        <v>0</v>
      </c>
      <c r="K986" s="30">
        <f t="shared" si="848"/>
        <v>0</v>
      </c>
      <c r="L986" s="33">
        <f t="shared" si="849"/>
        <v>0</v>
      </c>
      <c r="M986" s="30">
        <f t="shared" si="850"/>
        <v>0</v>
      </c>
      <c r="N986" s="33">
        <f t="shared" si="851"/>
        <v>0</v>
      </c>
      <c r="O986" s="31">
        <f t="shared" si="852"/>
        <v>0</v>
      </c>
      <c r="P986" s="33">
        <f t="shared" si="853"/>
        <v>0</v>
      </c>
      <c r="Q986" s="34">
        <f t="shared" si="895"/>
        <v>1017336.5695795689</v>
      </c>
      <c r="R986" s="29">
        <f t="shared" si="854"/>
        <v>0</v>
      </c>
      <c r="S986" s="34">
        <f t="shared" si="855"/>
        <v>1017336.5695795689</v>
      </c>
      <c r="T986" s="29">
        <f t="shared" si="856"/>
        <v>847.78047464964084</v>
      </c>
      <c r="U986" s="29">
        <f t="shared" si="857"/>
        <v>0</v>
      </c>
      <c r="V986" s="35">
        <f t="shared" si="858"/>
        <v>1.9986671004337576E-2</v>
      </c>
      <c r="W986" s="34">
        <f t="shared" si="859"/>
        <v>0</v>
      </c>
      <c r="X986" s="34">
        <f t="shared" si="860"/>
        <v>1016488.7891049193</v>
      </c>
      <c r="Y986" s="36">
        <f t="shared" si="861"/>
        <v>2.9612681537105612E-3</v>
      </c>
      <c r="Z986" s="34">
        <f t="shared" si="862"/>
        <v>3010.0958797802082</v>
      </c>
      <c r="AA986" s="34">
        <f t="shared" si="863"/>
        <v>1017993.8370448094</v>
      </c>
      <c r="AB986" s="34">
        <f t="shared" si="864"/>
        <v>0</v>
      </c>
      <c r="AC986" s="34">
        <f t="shared" si="865"/>
        <v>0</v>
      </c>
      <c r="AD986" s="34">
        <f t="shared" si="866"/>
        <v>0</v>
      </c>
      <c r="AE986" s="34">
        <f t="shared" si="867"/>
        <v>0</v>
      </c>
      <c r="AF986" s="34">
        <f t="shared" si="868"/>
        <v>0</v>
      </c>
      <c r="AG986" s="29">
        <f t="shared" si="869"/>
        <v>1017993.8370448094</v>
      </c>
      <c r="AH986" s="34">
        <f t="shared" si="870"/>
        <v>0</v>
      </c>
      <c r="AI986" s="34">
        <f t="shared" si="871"/>
        <v>0</v>
      </c>
      <c r="AJ986" s="34">
        <f t="shared" si="872"/>
        <v>0</v>
      </c>
      <c r="AK986" s="34">
        <f t="shared" si="873"/>
        <v>0</v>
      </c>
      <c r="AL986" s="34">
        <f t="shared" si="874"/>
        <v>0</v>
      </c>
      <c r="AM986" s="34">
        <f t="shared" si="875"/>
        <v>0</v>
      </c>
      <c r="AN986" s="34">
        <f t="shared" si="876"/>
        <v>0</v>
      </c>
      <c r="AO986" s="34">
        <f t="shared" si="877"/>
        <v>0</v>
      </c>
      <c r="AP986" s="34">
        <f t="shared" si="878"/>
        <v>0</v>
      </c>
      <c r="AQ986" s="34">
        <f t="shared" si="879"/>
        <v>0</v>
      </c>
      <c r="AR986" s="34">
        <f t="shared" si="880"/>
        <v>0</v>
      </c>
      <c r="AS986" s="30">
        <f t="shared" si="881"/>
        <v>2.2575242347882134</v>
      </c>
      <c r="AT986" s="29">
        <f t="shared" si="882"/>
        <v>0</v>
      </c>
      <c r="AU986" s="29">
        <f t="shared" si="883"/>
        <v>0</v>
      </c>
      <c r="AV986" s="34">
        <f t="shared" si="884"/>
        <v>0</v>
      </c>
      <c r="AW986" s="34">
        <f t="shared" si="885"/>
        <v>0</v>
      </c>
      <c r="AX986" s="29">
        <f t="shared" si="886"/>
        <v>0</v>
      </c>
      <c r="AY986" s="34">
        <f t="shared" si="887"/>
        <v>0</v>
      </c>
      <c r="AZ986" s="37">
        <f t="shared" si="888"/>
        <v>0</v>
      </c>
      <c r="BA986" s="37">
        <f t="shared" si="889"/>
        <v>0</v>
      </c>
      <c r="BB986" s="35">
        <f t="shared" si="890"/>
        <v>1.7292907005213021E-3</v>
      </c>
      <c r="BC986" s="31">
        <f t="shared" si="891"/>
        <v>0.18328795296818234</v>
      </c>
      <c r="BD986" s="34">
        <f t="shared" si="892"/>
        <v>0</v>
      </c>
    </row>
    <row r="987" spans="1:56" x14ac:dyDescent="0.2">
      <c r="A987" s="27">
        <f t="shared" si="893"/>
        <v>983</v>
      </c>
      <c r="B987" s="28">
        <f t="shared" si="840"/>
        <v>983</v>
      </c>
      <c r="C987" s="27">
        <f t="shared" si="841"/>
        <v>81</v>
      </c>
      <c r="D987" s="28">
        <f t="shared" si="842"/>
        <v>101</v>
      </c>
      <c r="E987" s="29">
        <f t="shared" si="843"/>
        <v>0</v>
      </c>
      <c r="F987" s="30">
        <f t="shared" si="844"/>
        <v>0.19751455802244169</v>
      </c>
      <c r="G987" s="31">
        <f t="shared" si="845"/>
        <v>1.8169700913034159E-2</v>
      </c>
      <c r="H987" s="32">
        <f t="shared" si="846"/>
        <v>0.02</v>
      </c>
      <c r="I987" s="32">
        <f t="shared" si="847"/>
        <v>0</v>
      </c>
      <c r="J987" s="33">
        <f t="shared" si="894"/>
        <v>0</v>
      </c>
      <c r="K987" s="30">
        <f t="shared" si="848"/>
        <v>0</v>
      </c>
      <c r="L987" s="33">
        <f t="shared" si="849"/>
        <v>0</v>
      </c>
      <c r="M987" s="30">
        <f t="shared" si="850"/>
        <v>0</v>
      </c>
      <c r="N987" s="33">
        <f t="shared" si="851"/>
        <v>0</v>
      </c>
      <c r="O987" s="31">
        <f t="shared" si="852"/>
        <v>0</v>
      </c>
      <c r="P987" s="33">
        <f t="shared" si="853"/>
        <v>0</v>
      </c>
      <c r="Q987" s="34">
        <f t="shared" si="895"/>
        <v>1019498.8849846995</v>
      </c>
      <c r="R987" s="29">
        <f t="shared" si="854"/>
        <v>0</v>
      </c>
      <c r="S987" s="34">
        <f t="shared" si="855"/>
        <v>1019498.8849846995</v>
      </c>
      <c r="T987" s="29">
        <f t="shared" si="856"/>
        <v>849.58240415391629</v>
      </c>
      <c r="U987" s="29">
        <f t="shared" si="857"/>
        <v>0</v>
      </c>
      <c r="V987" s="35">
        <f t="shared" si="858"/>
        <v>1.9986671004337576E-2</v>
      </c>
      <c r="W987" s="34">
        <f t="shared" si="859"/>
        <v>0</v>
      </c>
      <c r="X987" s="34">
        <f t="shared" si="860"/>
        <v>1018649.3025805457</v>
      </c>
      <c r="Y987" s="36">
        <f t="shared" si="861"/>
        <v>-4.7300550250197748E-3</v>
      </c>
      <c r="Z987" s="34">
        <f t="shared" si="862"/>
        <v>-4818.267252403999</v>
      </c>
      <c r="AA987" s="34">
        <f t="shared" si="863"/>
        <v>1016240.1689543437</v>
      </c>
      <c r="AB987" s="34">
        <f t="shared" si="864"/>
        <v>0</v>
      </c>
      <c r="AC987" s="34">
        <f t="shared" si="865"/>
        <v>0</v>
      </c>
      <c r="AD987" s="34">
        <f t="shared" si="866"/>
        <v>0</v>
      </c>
      <c r="AE987" s="34">
        <f t="shared" si="867"/>
        <v>0</v>
      </c>
      <c r="AF987" s="34">
        <f t="shared" si="868"/>
        <v>0</v>
      </c>
      <c r="AG987" s="29">
        <f t="shared" si="869"/>
        <v>1016240.1689543437</v>
      </c>
      <c r="AH987" s="34">
        <f t="shared" si="870"/>
        <v>0</v>
      </c>
      <c r="AI987" s="34">
        <f t="shared" si="871"/>
        <v>0</v>
      </c>
      <c r="AJ987" s="34">
        <f t="shared" si="872"/>
        <v>0</v>
      </c>
      <c r="AK987" s="34">
        <f t="shared" si="873"/>
        <v>0</v>
      </c>
      <c r="AL987" s="34">
        <f t="shared" si="874"/>
        <v>0</v>
      </c>
      <c r="AM987" s="34">
        <f t="shared" si="875"/>
        <v>0</v>
      </c>
      <c r="AN987" s="34">
        <f t="shared" si="876"/>
        <v>0</v>
      </c>
      <c r="AO987" s="34">
        <f t="shared" si="877"/>
        <v>0</v>
      </c>
      <c r="AP987" s="34">
        <f t="shared" si="878"/>
        <v>0</v>
      </c>
      <c r="AQ987" s="34">
        <f t="shared" si="879"/>
        <v>0</v>
      </c>
      <c r="AR987" s="34">
        <f t="shared" si="880"/>
        <v>0</v>
      </c>
      <c r="AS987" s="30">
        <f t="shared" si="881"/>
        <v>2.2593969371850311</v>
      </c>
      <c r="AT987" s="29">
        <f t="shared" si="882"/>
        <v>0</v>
      </c>
      <c r="AU987" s="29">
        <f t="shared" si="883"/>
        <v>0</v>
      </c>
      <c r="AV987" s="34">
        <f t="shared" si="884"/>
        <v>0</v>
      </c>
      <c r="AW987" s="34">
        <f t="shared" si="885"/>
        <v>0</v>
      </c>
      <c r="AX987" s="29">
        <f t="shared" si="886"/>
        <v>0</v>
      </c>
      <c r="AY987" s="34">
        <f t="shared" si="887"/>
        <v>0</v>
      </c>
      <c r="AZ987" s="37">
        <f t="shared" si="888"/>
        <v>0</v>
      </c>
      <c r="BA987" s="37">
        <f t="shared" si="889"/>
        <v>0</v>
      </c>
      <c r="BB987" s="35">
        <f t="shared" si="890"/>
        <v>1.7292907005213021E-3</v>
      </c>
      <c r="BC987" s="31">
        <f t="shared" si="891"/>
        <v>0.18297154198217244</v>
      </c>
      <c r="BD987" s="34">
        <f t="shared" si="892"/>
        <v>0</v>
      </c>
    </row>
    <row r="988" spans="1:56" x14ac:dyDescent="0.2">
      <c r="A988" s="27">
        <f t="shared" si="893"/>
        <v>984</v>
      </c>
      <c r="B988" s="28">
        <f t="shared" si="840"/>
        <v>984</v>
      </c>
      <c r="C988" s="27">
        <f t="shared" si="841"/>
        <v>82</v>
      </c>
      <c r="D988" s="28">
        <f t="shared" si="842"/>
        <v>102</v>
      </c>
      <c r="E988" s="29">
        <f t="shared" si="843"/>
        <v>0</v>
      </c>
      <c r="F988" s="30">
        <f t="shared" si="844"/>
        <v>0.22734226705058899</v>
      </c>
      <c r="G988" s="31">
        <f t="shared" si="845"/>
        <v>2.1263924730523964E-2</v>
      </c>
      <c r="H988" s="32">
        <f t="shared" si="846"/>
        <v>0.02</v>
      </c>
      <c r="I988" s="32">
        <f t="shared" si="847"/>
        <v>0</v>
      </c>
      <c r="J988" s="33">
        <f t="shared" si="894"/>
        <v>0</v>
      </c>
      <c r="K988" s="30">
        <f t="shared" si="848"/>
        <v>0</v>
      </c>
      <c r="L988" s="33">
        <f t="shared" si="849"/>
        <v>0</v>
      </c>
      <c r="M988" s="30">
        <f t="shared" si="850"/>
        <v>0</v>
      </c>
      <c r="N988" s="33">
        <f t="shared" si="851"/>
        <v>0</v>
      </c>
      <c r="O988" s="31">
        <f t="shared" si="852"/>
        <v>0</v>
      </c>
      <c r="P988" s="33">
        <f t="shared" si="853"/>
        <v>0</v>
      </c>
      <c r="Q988" s="34">
        <f t="shared" si="895"/>
        <v>1013831.0353281416</v>
      </c>
      <c r="R988" s="29">
        <f t="shared" si="854"/>
        <v>0</v>
      </c>
      <c r="S988" s="34">
        <f t="shared" si="855"/>
        <v>1013831.0353281416</v>
      </c>
      <c r="T988" s="29">
        <f t="shared" si="856"/>
        <v>844.85919610678479</v>
      </c>
      <c r="U988" s="29">
        <f t="shared" si="857"/>
        <v>0</v>
      </c>
      <c r="V988" s="35">
        <f t="shared" si="858"/>
        <v>2.3390317203576361E-2</v>
      </c>
      <c r="W988" s="34">
        <f t="shared" si="859"/>
        <v>0</v>
      </c>
      <c r="X988" s="34">
        <f t="shared" si="860"/>
        <v>1012986.1761320349</v>
      </c>
      <c r="Y988" s="36">
        <f t="shared" si="861"/>
        <v>-7.8837654720095296E-3</v>
      </c>
      <c r="Z988" s="34">
        <f t="shared" si="862"/>
        <v>-7986.1454390127001</v>
      </c>
      <c r="AA988" s="34">
        <f t="shared" si="863"/>
        <v>1008993.1034125285</v>
      </c>
      <c r="AB988" s="34">
        <f t="shared" si="864"/>
        <v>0</v>
      </c>
      <c r="AC988" s="34">
        <f t="shared" si="865"/>
        <v>0</v>
      </c>
      <c r="AD988" s="34">
        <f t="shared" si="866"/>
        <v>0</v>
      </c>
      <c r="AE988" s="34">
        <f t="shared" si="867"/>
        <v>0</v>
      </c>
      <c r="AF988" s="34">
        <f t="shared" si="868"/>
        <v>0</v>
      </c>
      <c r="AG988" s="29">
        <f t="shared" si="869"/>
        <v>1008993.1034125285</v>
      </c>
      <c r="AH988" s="34">
        <f t="shared" si="870"/>
        <v>0</v>
      </c>
      <c r="AI988" s="34">
        <f t="shared" si="871"/>
        <v>0</v>
      </c>
      <c r="AJ988" s="34">
        <f t="shared" si="872"/>
        <v>0</v>
      </c>
      <c r="AK988" s="34">
        <f t="shared" si="873"/>
        <v>0</v>
      </c>
      <c r="AL988" s="34">
        <f t="shared" si="874"/>
        <v>0</v>
      </c>
      <c r="AM988" s="34">
        <f t="shared" si="875"/>
        <v>0</v>
      </c>
      <c r="AN988" s="34">
        <f t="shared" si="876"/>
        <v>0</v>
      </c>
      <c r="AO988" s="34">
        <f t="shared" si="877"/>
        <v>0</v>
      </c>
      <c r="AP988" s="34">
        <f t="shared" si="878"/>
        <v>0</v>
      </c>
      <c r="AQ988" s="34">
        <f t="shared" si="879"/>
        <v>0</v>
      </c>
      <c r="AR988" s="34">
        <f t="shared" si="880"/>
        <v>0</v>
      </c>
      <c r="AS988" s="30">
        <f t="shared" si="881"/>
        <v>2.2612711930598639</v>
      </c>
      <c r="AT988" s="29">
        <f t="shared" si="882"/>
        <v>0</v>
      </c>
      <c r="AU988" s="29">
        <f t="shared" si="883"/>
        <v>0</v>
      </c>
      <c r="AV988" s="34">
        <f t="shared" si="884"/>
        <v>0</v>
      </c>
      <c r="AW988" s="34">
        <f t="shared" si="885"/>
        <v>0</v>
      </c>
      <c r="AX988" s="29">
        <f t="shared" si="886"/>
        <v>0</v>
      </c>
      <c r="AY988" s="34">
        <f t="shared" si="887"/>
        <v>0</v>
      </c>
      <c r="AZ988" s="37">
        <f t="shared" si="888"/>
        <v>0</v>
      </c>
      <c r="BA988" s="37">
        <f t="shared" si="889"/>
        <v>0</v>
      </c>
      <c r="BB988" s="35">
        <f t="shared" si="890"/>
        <v>1.7497295255153311E-3</v>
      </c>
      <c r="BC988" s="31">
        <f t="shared" si="891"/>
        <v>0.17902508852850471</v>
      </c>
      <c r="BD988" s="34">
        <f t="shared" si="892"/>
        <v>0</v>
      </c>
    </row>
    <row r="989" spans="1:56" x14ac:dyDescent="0.2">
      <c r="A989" s="27">
        <f t="shared" si="893"/>
        <v>985</v>
      </c>
      <c r="B989" s="28">
        <f t="shared" si="840"/>
        <v>985</v>
      </c>
      <c r="C989" s="27">
        <f t="shared" si="841"/>
        <v>82</v>
      </c>
      <c r="D989" s="28">
        <f t="shared" si="842"/>
        <v>102</v>
      </c>
      <c r="E989" s="29">
        <f t="shared" si="843"/>
        <v>0</v>
      </c>
      <c r="F989" s="30">
        <f t="shared" si="844"/>
        <v>0.22734226705058899</v>
      </c>
      <c r="G989" s="31">
        <f t="shared" si="845"/>
        <v>2.1263924730523964E-2</v>
      </c>
      <c r="H989" s="32">
        <f t="shared" si="846"/>
        <v>0.02</v>
      </c>
      <c r="I989" s="32">
        <f t="shared" si="847"/>
        <v>0</v>
      </c>
      <c r="J989" s="33">
        <f t="shared" si="894"/>
        <v>0</v>
      </c>
      <c r="K989" s="30">
        <f t="shared" si="848"/>
        <v>0</v>
      </c>
      <c r="L989" s="33">
        <f t="shared" si="849"/>
        <v>0</v>
      </c>
      <c r="M989" s="30">
        <f t="shared" si="850"/>
        <v>0</v>
      </c>
      <c r="N989" s="33">
        <f t="shared" si="851"/>
        <v>0</v>
      </c>
      <c r="O989" s="31">
        <f t="shared" si="852"/>
        <v>0</v>
      </c>
      <c r="P989" s="33">
        <f t="shared" si="853"/>
        <v>0</v>
      </c>
      <c r="Q989" s="34">
        <f t="shared" si="895"/>
        <v>1005000.0306930222</v>
      </c>
      <c r="R989" s="29">
        <f t="shared" si="854"/>
        <v>0</v>
      </c>
      <c r="S989" s="34">
        <f t="shared" si="855"/>
        <v>1005000.0306930222</v>
      </c>
      <c r="T989" s="29">
        <f t="shared" si="856"/>
        <v>837.5000255775185</v>
      </c>
      <c r="U989" s="29">
        <f t="shared" si="857"/>
        <v>0</v>
      </c>
      <c r="V989" s="35">
        <f t="shared" si="858"/>
        <v>2.3390317203576361E-2</v>
      </c>
      <c r="W989" s="34">
        <f t="shared" si="859"/>
        <v>0</v>
      </c>
      <c r="X989" s="34">
        <f t="shared" si="860"/>
        <v>1004162.5306674447</v>
      </c>
      <c r="Y989" s="36">
        <f t="shared" si="861"/>
        <v>-1.251881621320583E-2</v>
      </c>
      <c r="Z989" s="34">
        <f t="shared" si="862"/>
        <v>-12570.926169613404</v>
      </c>
      <c r="AA989" s="34">
        <f t="shared" si="863"/>
        <v>997877.067582638</v>
      </c>
      <c r="AB989" s="34">
        <f t="shared" si="864"/>
        <v>0</v>
      </c>
      <c r="AC989" s="34">
        <f t="shared" si="865"/>
        <v>0</v>
      </c>
      <c r="AD989" s="34">
        <f t="shared" si="866"/>
        <v>0</v>
      </c>
      <c r="AE989" s="34">
        <f t="shared" si="867"/>
        <v>0</v>
      </c>
      <c r="AF989" s="34">
        <f t="shared" si="868"/>
        <v>0</v>
      </c>
      <c r="AG989" s="29">
        <f t="shared" si="869"/>
        <v>997877.067582638</v>
      </c>
      <c r="AH989" s="34">
        <f t="shared" si="870"/>
        <v>0</v>
      </c>
      <c r="AI989" s="34">
        <f t="shared" si="871"/>
        <v>0</v>
      </c>
      <c r="AJ989" s="34">
        <f t="shared" si="872"/>
        <v>0</v>
      </c>
      <c r="AK989" s="34">
        <f t="shared" si="873"/>
        <v>0</v>
      </c>
      <c r="AL989" s="34">
        <f t="shared" si="874"/>
        <v>0</v>
      </c>
      <c r="AM989" s="34">
        <f t="shared" si="875"/>
        <v>0</v>
      </c>
      <c r="AN989" s="34">
        <f t="shared" si="876"/>
        <v>0</v>
      </c>
      <c r="AO989" s="34">
        <f t="shared" si="877"/>
        <v>0</v>
      </c>
      <c r="AP989" s="34">
        <f t="shared" si="878"/>
        <v>0</v>
      </c>
      <c r="AQ989" s="34">
        <f t="shared" si="879"/>
        <v>0</v>
      </c>
      <c r="AR989" s="34">
        <f t="shared" si="880"/>
        <v>0</v>
      </c>
      <c r="AS989" s="30">
        <f t="shared" si="881"/>
        <v>2.2631470037013792</v>
      </c>
      <c r="AT989" s="29">
        <f t="shared" si="882"/>
        <v>0</v>
      </c>
      <c r="AU989" s="29">
        <f t="shared" si="883"/>
        <v>0</v>
      </c>
      <c r="AV989" s="34">
        <f t="shared" si="884"/>
        <v>0</v>
      </c>
      <c r="AW989" s="34">
        <f t="shared" si="885"/>
        <v>0</v>
      </c>
      <c r="AX989" s="29">
        <f t="shared" si="886"/>
        <v>0</v>
      </c>
      <c r="AY989" s="34">
        <f t="shared" si="887"/>
        <v>0</v>
      </c>
      <c r="AZ989" s="37">
        <f t="shared" si="888"/>
        <v>0</v>
      </c>
      <c r="BA989" s="37">
        <f t="shared" si="889"/>
        <v>0</v>
      </c>
      <c r="BB989" s="35">
        <f t="shared" si="890"/>
        <v>1.7497295255153311E-3</v>
      </c>
      <c r="BC989" s="31">
        <f t="shared" si="891"/>
        <v>0.17871239018282642</v>
      </c>
      <c r="BD989" s="34">
        <f t="shared" si="892"/>
        <v>0</v>
      </c>
    </row>
    <row r="990" spans="1:56" x14ac:dyDescent="0.2">
      <c r="A990" s="27">
        <f t="shared" si="893"/>
        <v>986</v>
      </c>
      <c r="B990" s="28">
        <f t="shared" si="840"/>
        <v>986</v>
      </c>
      <c r="C990" s="27">
        <f t="shared" si="841"/>
        <v>82</v>
      </c>
      <c r="D990" s="28">
        <f t="shared" si="842"/>
        <v>102</v>
      </c>
      <c r="E990" s="29">
        <f t="shared" si="843"/>
        <v>0</v>
      </c>
      <c r="F990" s="30">
        <f t="shared" si="844"/>
        <v>0.22734226705058899</v>
      </c>
      <c r="G990" s="31">
        <f t="shared" si="845"/>
        <v>2.1263924730523964E-2</v>
      </c>
      <c r="H990" s="32">
        <f t="shared" si="846"/>
        <v>0.02</v>
      </c>
      <c r="I990" s="32">
        <f t="shared" si="847"/>
        <v>0</v>
      </c>
      <c r="J990" s="33">
        <f t="shared" si="894"/>
        <v>0</v>
      </c>
      <c r="K990" s="30">
        <f t="shared" si="848"/>
        <v>0</v>
      </c>
      <c r="L990" s="33">
        <f t="shared" si="849"/>
        <v>0</v>
      </c>
      <c r="M990" s="30">
        <f t="shared" si="850"/>
        <v>0</v>
      </c>
      <c r="N990" s="33">
        <f t="shared" si="851"/>
        <v>0</v>
      </c>
      <c r="O990" s="31">
        <f t="shared" si="852"/>
        <v>0</v>
      </c>
      <c r="P990" s="33">
        <f t="shared" si="853"/>
        <v>0</v>
      </c>
      <c r="Q990" s="34">
        <f t="shared" si="895"/>
        <v>991591.60449783131</v>
      </c>
      <c r="R990" s="29">
        <f t="shared" si="854"/>
        <v>0</v>
      </c>
      <c r="S990" s="34">
        <f t="shared" si="855"/>
        <v>991591.60449783131</v>
      </c>
      <c r="T990" s="29">
        <f t="shared" si="856"/>
        <v>826.32633708152616</v>
      </c>
      <c r="U990" s="29">
        <f t="shared" si="857"/>
        <v>0</v>
      </c>
      <c r="V990" s="35">
        <f t="shared" si="858"/>
        <v>2.3390317203576361E-2</v>
      </c>
      <c r="W990" s="34">
        <f t="shared" si="859"/>
        <v>0</v>
      </c>
      <c r="X990" s="34">
        <f t="shared" si="860"/>
        <v>990765.27816074982</v>
      </c>
      <c r="Y990" s="36">
        <f t="shared" si="861"/>
        <v>1.7339627833563576E-3</v>
      </c>
      <c r="Z990" s="34">
        <f t="shared" si="862"/>
        <v>1717.9501193724495</v>
      </c>
      <c r="AA990" s="34">
        <f t="shared" si="863"/>
        <v>991624.25322043605</v>
      </c>
      <c r="AB990" s="34">
        <f t="shared" si="864"/>
        <v>0</v>
      </c>
      <c r="AC990" s="34">
        <f t="shared" si="865"/>
        <v>0</v>
      </c>
      <c r="AD990" s="34">
        <f t="shared" si="866"/>
        <v>0</v>
      </c>
      <c r="AE990" s="34">
        <f t="shared" si="867"/>
        <v>0</v>
      </c>
      <c r="AF990" s="34">
        <f t="shared" si="868"/>
        <v>0</v>
      </c>
      <c r="AG990" s="29">
        <f t="shared" si="869"/>
        <v>991624.25322043605</v>
      </c>
      <c r="AH990" s="34">
        <f t="shared" si="870"/>
        <v>0</v>
      </c>
      <c r="AI990" s="34">
        <f t="shared" si="871"/>
        <v>0</v>
      </c>
      <c r="AJ990" s="34">
        <f t="shared" si="872"/>
        <v>0</v>
      </c>
      <c r="AK990" s="34">
        <f t="shared" si="873"/>
        <v>0</v>
      </c>
      <c r="AL990" s="34">
        <f t="shared" si="874"/>
        <v>0</v>
      </c>
      <c r="AM990" s="34">
        <f t="shared" si="875"/>
        <v>0</v>
      </c>
      <c r="AN990" s="34">
        <f t="shared" si="876"/>
        <v>0</v>
      </c>
      <c r="AO990" s="34">
        <f t="shared" si="877"/>
        <v>0</v>
      </c>
      <c r="AP990" s="34">
        <f t="shared" si="878"/>
        <v>0</v>
      </c>
      <c r="AQ990" s="34">
        <f t="shared" si="879"/>
        <v>0</v>
      </c>
      <c r="AR990" s="34">
        <f t="shared" si="880"/>
        <v>0</v>
      </c>
      <c r="AS990" s="30">
        <f t="shared" si="881"/>
        <v>2.2650243703993183</v>
      </c>
      <c r="AT990" s="29">
        <f t="shared" si="882"/>
        <v>0</v>
      </c>
      <c r="AU990" s="29">
        <f t="shared" si="883"/>
        <v>0</v>
      </c>
      <c r="AV990" s="34">
        <f t="shared" si="884"/>
        <v>0</v>
      </c>
      <c r="AW990" s="34">
        <f t="shared" si="885"/>
        <v>0</v>
      </c>
      <c r="AX990" s="29">
        <f t="shared" si="886"/>
        <v>0</v>
      </c>
      <c r="AY990" s="34">
        <f t="shared" si="887"/>
        <v>0</v>
      </c>
      <c r="AZ990" s="37">
        <f t="shared" si="888"/>
        <v>0</v>
      </c>
      <c r="BA990" s="37">
        <f t="shared" si="889"/>
        <v>0</v>
      </c>
      <c r="BB990" s="35">
        <f t="shared" si="890"/>
        <v>1.7497295255153311E-3</v>
      </c>
      <c r="BC990" s="31">
        <f t="shared" si="891"/>
        <v>0.17840023801900562</v>
      </c>
      <c r="BD990" s="34">
        <f t="shared" si="892"/>
        <v>0</v>
      </c>
    </row>
    <row r="991" spans="1:56" x14ac:dyDescent="0.2">
      <c r="A991" s="27">
        <f t="shared" si="893"/>
        <v>987</v>
      </c>
      <c r="B991" s="28">
        <f t="shared" si="840"/>
        <v>987</v>
      </c>
      <c r="C991" s="27">
        <f t="shared" si="841"/>
        <v>82</v>
      </c>
      <c r="D991" s="28">
        <f t="shared" si="842"/>
        <v>102</v>
      </c>
      <c r="E991" s="29">
        <f t="shared" si="843"/>
        <v>0</v>
      </c>
      <c r="F991" s="30">
        <f t="shared" si="844"/>
        <v>0.22734226705058899</v>
      </c>
      <c r="G991" s="31">
        <f t="shared" si="845"/>
        <v>2.1263924730523964E-2</v>
      </c>
      <c r="H991" s="32">
        <f t="shared" si="846"/>
        <v>0.02</v>
      </c>
      <c r="I991" s="32">
        <f t="shared" si="847"/>
        <v>0</v>
      </c>
      <c r="J991" s="33">
        <f t="shared" si="894"/>
        <v>0</v>
      </c>
      <c r="K991" s="30">
        <f t="shared" si="848"/>
        <v>0</v>
      </c>
      <c r="L991" s="33">
        <f t="shared" si="849"/>
        <v>0</v>
      </c>
      <c r="M991" s="30">
        <f t="shared" si="850"/>
        <v>0</v>
      </c>
      <c r="N991" s="33">
        <f t="shared" si="851"/>
        <v>0</v>
      </c>
      <c r="O991" s="31">
        <f t="shared" si="852"/>
        <v>0</v>
      </c>
      <c r="P991" s="33">
        <f t="shared" si="853"/>
        <v>0</v>
      </c>
      <c r="Q991" s="34">
        <f t="shared" si="895"/>
        <v>992483.22828012228</v>
      </c>
      <c r="R991" s="29">
        <f t="shared" si="854"/>
        <v>0</v>
      </c>
      <c r="S991" s="34">
        <f t="shared" si="855"/>
        <v>992483.22828012228</v>
      </c>
      <c r="T991" s="29">
        <f t="shared" si="856"/>
        <v>827.06935690010198</v>
      </c>
      <c r="U991" s="29">
        <f t="shared" si="857"/>
        <v>0</v>
      </c>
      <c r="V991" s="35">
        <f t="shared" si="858"/>
        <v>2.3390317203576361E-2</v>
      </c>
      <c r="W991" s="34">
        <f t="shared" si="859"/>
        <v>0</v>
      </c>
      <c r="X991" s="34">
        <f t="shared" si="860"/>
        <v>991656.15892322222</v>
      </c>
      <c r="Y991" s="36">
        <f t="shared" si="861"/>
        <v>1.2972617277115628E-2</v>
      </c>
      <c r="Z991" s="34">
        <f t="shared" si="862"/>
        <v>12864.375820205514</v>
      </c>
      <c r="AA991" s="34">
        <f t="shared" si="863"/>
        <v>998088.34683332499</v>
      </c>
      <c r="AB991" s="34">
        <f t="shared" si="864"/>
        <v>0</v>
      </c>
      <c r="AC991" s="34">
        <f t="shared" si="865"/>
        <v>0</v>
      </c>
      <c r="AD991" s="34">
        <f t="shared" si="866"/>
        <v>0</v>
      </c>
      <c r="AE991" s="34">
        <f t="shared" si="867"/>
        <v>0</v>
      </c>
      <c r="AF991" s="34">
        <f t="shared" si="868"/>
        <v>0</v>
      </c>
      <c r="AG991" s="29">
        <f t="shared" si="869"/>
        <v>998088.34683332499</v>
      </c>
      <c r="AH991" s="34">
        <f t="shared" si="870"/>
        <v>0</v>
      </c>
      <c r="AI991" s="34">
        <f t="shared" si="871"/>
        <v>0</v>
      </c>
      <c r="AJ991" s="34">
        <f t="shared" si="872"/>
        <v>0</v>
      </c>
      <c r="AK991" s="34">
        <f t="shared" si="873"/>
        <v>0</v>
      </c>
      <c r="AL991" s="34">
        <f t="shared" si="874"/>
        <v>0</v>
      </c>
      <c r="AM991" s="34">
        <f t="shared" si="875"/>
        <v>0</v>
      </c>
      <c r="AN991" s="34">
        <f t="shared" si="876"/>
        <v>0</v>
      </c>
      <c r="AO991" s="34">
        <f t="shared" si="877"/>
        <v>0</v>
      </c>
      <c r="AP991" s="34">
        <f t="shared" si="878"/>
        <v>0</v>
      </c>
      <c r="AQ991" s="34">
        <f t="shared" si="879"/>
        <v>0</v>
      </c>
      <c r="AR991" s="34">
        <f t="shared" si="880"/>
        <v>0</v>
      </c>
      <c r="AS991" s="30">
        <f t="shared" si="881"/>
        <v>2.2669032944444876</v>
      </c>
      <c r="AT991" s="29">
        <f t="shared" si="882"/>
        <v>0</v>
      </c>
      <c r="AU991" s="29">
        <f t="shared" si="883"/>
        <v>0</v>
      </c>
      <c r="AV991" s="34">
        <f t="shared" si="884"/>
        <v>0</v>
      </c>
      <c r="AW991" s="34">
        <f t="shared" si="885"/>
        <v>0</v>
      </c>
      <c r="AX991" s="29">
        <f t="shared" si="886"/>
        <v>0</v>
      </c>
      <c r="AY991" s="34">
        <f t="shared" si="887"/>
        <v>0</v>
      </c>
      <c r="AZ991" s="37">
        <f t="shared" si="888"/>
        <v>0</v>
      </c>
      <c r="BA991" s="37">
        <f t="shared" si="889"/>
        <v>0</v>
      </c>
      <c r="BB991" s="35">
        <f t="shared" si="890"/>
        <v>1.7497295255153311E-3</v>
      </c>
      <c r="BC991" s="31">
        <f t="shared" si="891"/>
        <v>0.17808863108304096</v>
      </c>
      <c r="BD991" s="34">
        <f t="shared" si="892"/>
        <v>0</v>
      </c>
    </row>
    <row r="992" spans="1:56" x14ac:dyDescent="0.2">
      <c r="A992" s="27">
        <f t="shared" si="893"/>
        <v>988</v>
      </c>
      <c r="B992" s="28">
        <f t="shared" si="840"/>
        <v>988</v>
      </c>
      <c r="C992" s="27">
        <f t="shared" si="841"/>
        <v>82</v>
      </c>
      <c r="D992" s="28">
        <f t="shared" si="842"/>
        <v>102</v>
      </c>
      <c r="E992" s="29">
        <f t="shared" si="843"/>
        <v>0</v>
      </c>
      <c r="F992" s="30">
        <f t="shared" si="844"/>
        <v>0.22734226705058899</v>
      </c>
      <c r="G992" s="31">
        <f t="shared" si="845"/>
        <v>2.1263924730523964E-2</v>
      </c>
      <c r="H992" s="32">
        <f t="shared" si="846"/>
        <v>0.02</v>
      </c>
      <c r="I992" s="32">
        <f t="shared" si="847"/>
        <v>0</v>
      </c>
      <c r="J992" s="33">
        <f t="shared" si="894"/>
        <v>0</v>
      </c>
      <c r="K992" s="30">
        <f t="shared" si="848"/>
        <v>0</v>
      </c>
      <c r="L992" s="33">
        <f t="shared" si="849"/>
        <v>0</v>
      </c>
      <c r="M992" s="30">
        <f t="shared" si="850"/>
        <v>0</v>
      </c>
      <c r="N992" s="33">
        <f t="shared" si="851"/>
        <v>0</v>
      </c>
      <c r="O992" s="31">
        <f t="shared" si="852"/>
        <v>0</v>
      </c>
      <c r="P992" s="33">
        <f t="shared" si="853"/>
        <v>0</v>
      </c>
      <c r="Q992" s="34">
        <f t="shared" si="895"/>
        <v>1004520.5347434278</v>
      </c>
      <c r="R992" s="29">
        <f t="shared" si="854"/>
        <v>0</v>
      </c>
      <c r="S992" s="34">
        <f t="shared" si="855"/>
        <v>1004520.5347434278</v>
      </c>
      <c r="T992" s="29">
        <f t="shared" si="856"/>
        <v>837.10044561952316</v>
      </c>
      <c r="U992" s="29">
        <f t="shared" si="857"/>
        <v>0</v>
      </c>
      <c r="V992" s="35">
        <f t="shared" si="858"/>
        <v>2.3390317203576361E-2</v>
      </c>
      <c r="W992" s="34">
        <f t="shared" si="859"/>
        <v>0</v>
      </c>
      <c r="X992" s="34">
        <f t="shared" si="860"/>
        <v>1003683.4342978082</v>
      </c>
      <c r="Y992" s="36">
        <f t="shared" si="861"/>
        <v>6.2368049827026262E-3</v>
      </c>
      <c r="Z992" s="34">
        <f t="shared" si="862"/>
        <v>6259.7778440846541</v>
      </c>
      <c r="AA992" s="34">
        <f t="shared" si="863"/>
        <v>1006813.3232198505</v>
      </c>
      <c r="AB992" s="34">
        <f t="shared" si="864"/>
        <v>0</v>
      </c>
      <c r="AC992" s="34">
        <f t="shared" si="865"/>
        <v>0</v>
      </c>
      <c r="AD992" s="34">
        <f t="shared" si="866"/>
        <v>0</v>
      </c>
      <c r="AE992" s="34">
        <f t="shared" si="867"/>
        <v>0</v>
      </c>
      <c r="AF992" s="34">
        <f t="shared" si="868"/>
        <v>0</v>
      </c>
      <c r="AG992" s="29">
        <f t="shared" si="869"/>
        <v>1006813.3232198505</v>
      </c>
      <c r="AH992" s="34">
        <f t="shared" si="870"/>
        <v>0</v>
      </c>
      <c r="AI992" s="34">
        <f t="shared" si="871"/>
        <v>0</v>
      </c>
      <c r="AJ992" s="34">
        <f t="shared" si="872"/>
        <v>0</v>
      </c>
      <c r="AK992" s="34">
        <f t="shared" si="873"/>
        <v>0</v>
      </c>
      <c r="AL992" s="34">
        <f t="shared" si="874"/>
        <v>0</v>
      </c>
      <c r="AM992" s="34">
        <f t="shared" si="875"/>
        <v>0</v>
      </c>
      <c r="AN992" s="34">
        <f t="shared" si="876"/>
        <v>0</v>
      </c>
      <c r="AO992" s="34">
        <f t="shared" si="877"/>
        <v>0</v>
      </c>
      <c r="AP992" s="34">
        <f t="shared" si="878"/>
        <v>0</v>
      </c>
      <c r="AQ992" s="34">
        <f t="shared" si="879"/>
        <v>0</v>
      </c>
      <c r="AR992" s="34">
        <f t="shared" si="880"/>
        <v>0</v>
      </c>
      <c r="AS992" s="30">
        <f t="shared" si="881"/>
        <v>2.2687837771287658</v>
      </c>
      <c r="AT992" s="29">
        <f t="shared" si="882"/>
        <v>0</v>
      </c>
      <c r="AU992" s="29">
        <f t="shared" si="883"/>
        <v>0</v>
      </c>
      <c r="AV992" s="34">
        <f t="shared" si="884"/>
        <v>0</v>
      </c>
      <c r="AW992" s="34">
        <f t="shared" si="885"/>
        <v>0</v>
      </c>
      <c r="AX992" s="29">
        <f t="shared" si="886"/>
        <v>0</v>
      </c>
      <c r="AY992" s="34">
        <f t="shared" si="887"/>
        <v>0</v>
      </c>
      <c r="AZ992" s="37">
        <f t="shared" si="888"/>
        <v>0</v>
      </c>
      <c r="BA992" s="37">
        <f t="shared" si="889"/>
        <v>0</v>
      </c>
      <c r="BB992" s="35">
        <f t="shared" si="890"/>
        <v>1.7497295255153311E-3</v>
      </c>
      <c r="BC992" s="31">
        <f t="shared" si="891"/>
        <v>0.17777756842259765</v>
      </c>
      <c r="BD992" s="34">
        <f t="shared" si="892"/>
        <v>0</v>
      </c>
    </row>
    <row r="993" spans="1:56" x14ac:dyDescent="0.2">
      <c r="A993" s="27">
        <f t="shared" si="893"/>
        <v>989</v>
      </c>
      <c r="B993" s="28">
        <f t="shared" si="840"/>
        <v>989</v>
      </c>
      <c r="C993" s="27">
        <f t="shared" si="841"/>
        <v>82</v>
      </c>
      <c r="D993" s="28">
        <f t="shared" si="842"/>
        <v>102</v>
      </c>
      <c r="E993" s="29">
        <f t="shared" si="843"/>
        <v>0</v>
      </c>
      <c r="F993" s="30">
        <f t="shared" si="844"/>
        <v>0.22734226705058899</v>
      </c>
      <c r="G993" s="31">
        <f t="shared" si="845"/>
        <v>2.1263924730523964E-2</v>
      </c>
      <c r="H993" s="32">
        <f t="shared" si="846"/>
        <v>0.02</v>
      </c>
      <c r="I993" s="32">
        <f t="shared" si="847"/>
        <v>0</v>
      </c>
      <c r="J993" s="33">
        <f t="shared" si="894"/>
        <v>0</v>
      </c>
      <c r="K993" s="30">
        <f t="shared" si="848"/>
        <v>0</v>
      </c>
      <c r="L993" s="33">
        <f t="shared" si="849"/>
        <v>0</v>
      </c>
      <c r="M993" s="30">
        <f t="shared" si="850"/>
        <v>0</v>
      </c>
      <c r="N993" s="33">
        <f t="shared" si="851"/>
        <v>0</v>
      </c>
      <c r="O993" s="31">
        <f t="shared" si="852"/>
        <v>0</v>
      </c>
      <c r="P993" s="33">
        <f t="shared" si="853"/>
        <v>0</v>
      </c>
      <c r="Q993" s="34">
        <f t="shared" si="895"/>
        <v>1009943.2121418929</v>
      </c>
      <c r="R993" s="29">
        <f t="shared" si="854"/>
        <v>0</v>
      </c>
      <c r="S993" s="34">
        <f t="shared" si="855"/>
        <v>1009943.2121418929</v>
      </c>
      <c r="T993" s="29">
        <f t="shared" si="856"/>
        <v>841.61934345157749</v>
      </c>
      <c r="U993" s="29">
        <f t="shared" si="857"/>
        <v>0</v>
      </c>
      <c r="V993" s="35">
        <f t="shared" si="858"/>
        <v>2.3390317203576361E-2</v>
      </c>
      <c r="W993" s="34">
        <f t="shared" si="859"/>
        <v>0</v>
      </c>
      <c r="X993" s="34">
        <f t="shared" si="860"/>
        <v>1009101.5927984413</v>
      </c>
      <c r="Y993" s="36">
        <f t="shared" si="861"/>
        <v>4.2133614927941654E-3</v>
      </c>
      <c r="Z993" s="34">
        <f t="shared" si="862"/>
        <v>4251.7097934142103</v>
      </c>
      <c r="AA993" s="34">
        <f t="shared" si="863"/>
        <v>1011227.4476951484</v>
      </c>
      <c r="AB993" s="34">
        <f t="shared" si="864"/>
        <v>0</v>
      </c>
      <c r="AC993" s="34">
        <f t="shared" si="865"/>
        <v>0</v>
      </c>
      <c r="AD993" s="34">
        <f t="shared" si="866"/>
        <v>0</v>
      </c>
      <c r="AE993" s="34">
        <f t="shared" si="867"/>
        <v>0</v>
      </c>
      <c r="AF993" s="34">
        <f t="shared" si="868"/>
        <v>0</v>
      </c>
      <c r="AG993" s="29">
        <f t="shared" si="869"/>
        <v>1011227.4476951484</v>
      </c>
      <c r="AH993" s="34">
        <f t="shared" si="870"/>
        <v>0</v>
      </c>
      <c r="AI993" s="34">
        <f t="shared" si="871"/>
        <v>0</v>
      </c>
      <c r="AJ993" s="34">
        <f t="shared" si="872"/>
        <v>0</v>
      </c>
      <c r="AK993" s="34">
        <f t="shared" si="873"/>
        <v>0</v>
      </c>
      <c r="AL993" s="34">
        <f t="shared" si="874"/>
        <v>0</v>
      </c>
      <c r="AM993" s="34">
        <f t="shared" si="875"/>
        <v>0</v>
      </c>
      <c r="AN993" s="34">
        <f t="shared" si="876"/>
        <v>0</v>
      </c>
      <c r="AO993" s="34">
        <f t="shared" si="877"/>
        <v>0</v>
      </c>
      <c r="AP993" s="34">
        <f t="shared" si="878"/>
        <v>0</v>
      </c>
      <c r="AQ993" s="34">
        <f t="shared" si="879"/>
        <v>0</v>
      </c>
      <c r="AR993" s="34">
        <f t="shared" si="880"/>
        <v>0</v>
      </c>
      <c r="AS993" s="30">
        <f t="shared" si="881"/>
        <v>2.2706658197451053</v>
      </c>
      <c r="AT993" s="29">
        <f t="shared" si="882"/>
        <v>0</v>
      </c>
      <c r="AU993" s="29">
        <f t="shared" si="883"/>
        <v>0</v>
      </c>
      <c r="AV993" s="34">
        <f t="shared" si="884"/>
        <v>0</v>
      </c>
      <c r="AW993" s="34">
        <f t="shared" si="885"/>
        <v>0</v>
      </c>
      <c r="AX993" s="29">
        <f t="shared" si="886"/>
        <v>0</v>
      </c>
      <c r="AY993" s="34">
        <f t="shared" si="887"/>
        <v>0</v>
      </c>
      <c r="AZ993" s="37">
        <f t="shared" si="888"/>
        <v>0</v>
      </c>
      <c r="BA993" s="37">
        <f t="shared" si="889"/>
        <v>0</v>
      </c>
      <c r="BB993" s="35">
        <f t="shared" si="890"/>
        <v>1.7497295255153311E-3</v>
      </c>
      <c r="BC993" s="31">
        <f t="shared" si="891"/>
        <v>0.17746704908700395</v>
      </c>
      <c r="BD993" s="34">
        <f t="shared" si="892"/>
        <v>0</v>
      </c>
    </row>
    <row r="994" spans="1:56" x14ac:dyDescent="0.2">
      <c r="A994" s="27">
        <f t="shared" si="893"/>
        <v>990</v>
      </c>
      <c r="B994" s="28">
        <f t="shared" si="840"/>
        <v>990</v>
      </c>
      <c r="C994" s="27">
        <f t="shared" si="841"/>
        <v>82</v>
      </c>
      <c r="D994" s="28">
        <f t="shared" si="842"/>
        <v>102</v>
      </c>
      <c r="E994" s="29">
        <f t="shared" si="843"/>
        <v>0</v>
      </c>
      <c r="F994" s="30">
        <f t="shared" si="844"/>
        <v>0.22734226705058899</v>
      </c>
      <c r="G994" s="31">
        <f t="shared" si="845"/>
        <v>2.1263924730523964E-2</v>
      </c>
      <c r="H994" s="32">
        <f t="shared" si="846"/>
        <v>0.02</v>
      </c>
      <c r="I994" s="32">
        <f t="shared" si="847"/>
        <v>0</v>
      </c>
      <c r="J994" s="33">
        <f t="shared" si="894"/>
        <v>0</v>
      </c>
      <c r="K994" s="30">
        <f t="shared" si="848"/>
        <v>0</v>
      </c>
      <c r="L994" s="33">
        <f t="shared" si="849"/>
        <v>0</v>
      </c>
      <c r="M994" s="30">
        <f t="shared" si="850"/>
        <v>0</v>
      </c>
      <c r="N994" s="33">
        <f t="shared" si="851"/>
        <v>0</v>
      </c>
      <c r="O994" s="31">
        <f t="shared" si="852"/>
        <v>0</v>
      </c>
      <c r="P994" s="33">
        <f t="shared" si="853"/>
        <v>0</v>
      </c>
      <c r="Q994" s="34">
        <f t="shared" si="895"/>
        <v>1013353.3025918555</v>
      </c>
      <c r="R994" s="29">
        <f t="shared" si="854"/>
        <v>0</v>
      </c>
      <c r="S994" s="34">
        <f t="shared" si="855"/>
        <v>1013353.3025918555</v>
      </c>
      <c r="T994" s="29">
        <f t="shared" si="856"/>
        <v>844.46108549321298</v>
      </c>
      <c r="U994" s="29">
        <f t="shared" si="857"/>
        <v>0</v>
      </c>
      <c r="V994" s="35">
        <f t="shared" si="858"/>
        <v>2.3390317203576361E-2</v>
      </c>
      <c r="W994" s="34">
        <f t="shared" si="859"/>
        <v>0</v>
      </c>
      <c r="X994" s="34">
        <f t="shared" si="860"/>
        <v>1012508.8415063623</v>
      </c>
      <c r="Y994" s="36">
        <f t="shared" si="861"/>
        <v>-2.2003797893535015E-3</v>
      </c>
      <c r="Z994" s="34">
        <f t="shared" si="862"/>
        <v>-2227.9039913923275</v>
      </c>
      <c r="AA994" s="34">
        <f t="shared" si="863"/>
        <v>1011394.8895106661</v>
      </c>
      <c r="AB994" s="34">
        <f t="shared" si="864"/>
        <v>0</v>
      </c>
      <c r="AC994" s="34">
        <f t="shared" si="865"/>
        <v>0</v>
      </c>
      <c r="AD994" s="34">
        <f t="shared" si="866"/>
        <v>0</v>
      </c>
      <c r="AE994" s="34">
        <f t="shared" si="867"/>
        <v>0</v>
      </c>
      <c r="AF994" s="34">
        <f t="shared" si="868"/>
        <v>0</v>
      </c>
      <c r="AG994" s="29">
        <f t="shared" si="869"/>
        <v>1011394.8895106661</v>
      </c>
      <c r="AH994" s="34">
        <f t="shared" si="870"/>
        <v>0</v>
      </c>
      <c r="AI994" s="34">
        <f t="shared" si="871"/>
        <v>0</v>
      </c>
      <c r="AJ994" s="34">
        <f t="shared" si="872"/>
        <v>0</v>
      </c>
      <c r="AK994" s="34">
        <f t="shared" si="873"/>
        <v>0</v>
      </c>
      <c r="AL994" s="34">
        <f t="shared" si="874"/>
        <v>0</v>
      </c>
      <c r="AM994" s="34">
        <f t="shared" si="875"/>
        <v>0</v>
      </c>
      <c r="AN994" s="34">
        <f t="shared" si="876"/>
        <v>0</v>
      </c>
      <c r="AO994" s="34">
        <f t="shared" si="877"/>
        <v>0</v>
      </c>
      <c r="AP994" s="34">
        <f t="shared" si="878"/>
        <v>0</v>
      </c>
      <c r="AQ994" s="34">
        <f t="shared" si="879"/>
        <v>0</v>
      </c>
      <c r="AR994" s="34">
        <f t="shared" si="880"/>
        <v>0</v>
      </c>
      <c r="AS994" s="30">
        <f t="shared" si="881"/>
        <v>2.272549423587527</v>
      </c>
      <c r="AT994" s="29">
        <f t="shared" si="882"/>
        <v>0</v>
      </c>
      <c r="AU994" s="29">
        <f t="shared" si="883"/>
        <v>0</v>
      </c>
      <c r="AV994" s="34">
        <f t="shared" si="884"/>
        <v>0</v>
      </c>
      <c r="AW994" s="34">
        <f t="shared" si="885"/>
        <v>0</v>
      </c>
      <c r="AX994" s="29">
        <f t="shared" si="886"/>
        <v>0</v>
      </c>
      <c r="AY994" s="34">
        <f t="shared" si="887"/>
        <v>0</v>
      </c>
      <c r="AZ994" s="37">
        <f t="shared" si="888"/>
        <v>0</v>
      </c>
      <c r="BA994" s="37">
        <f t="shared" si="889"/>
        <v>0</v>
      </c>
      <c r="BB994" s="35">
        <f t="shared" si="890"/>
        <v>1.7497295255153311E-3</v>
      </c>
      <c r="BC994" s="31">
        <f t="shared" si="891"/>
        <v>0.1771570721272491</v>
      </c>
      <c r="BD994" s="34">
        <f t="shared" si="892"/>
        <v>0</v>
      </c>
    </row>
    <row r="995" spans="1:56" x14ac:dyDescent="0.2">
      <c r="A995" s="27">
        <f t="shared" si="893"/>
        <v>991</v>
      </c>
      <c r="B995" s="28">
        <f t="shared" si="840"/>
        <v>991</v>
      </c>
      <c r="C995" s="27">
        <f t="shared" si="841"/>
        <v>82</v>
      </c>
      <c r="D995" s="28">
        <f t="shared" si="842"/>
        <v>102</v>
      </c>
      <c r="E995" s="29">
        <f t="shared" si="843"/>
        <v>0</v>
      </c>
      <c r="F995" s="30">
        <f t="shared" si="844"/>
        <v>0.22734226705058899</v>
      </c>
      <c r="G995" s="31">
        <f t="shared" si="845"/>
        <v>2.1263924730523964E-2</v>
      </c>
      <c r="H995" s="32">
        <f t="shared" si="846"/>
        <v>0.02</v>
      </c>
      <c r="I995" s="32">
        <f t="shared" si="847"/>
        <v>0</v>
      </c>
      <c r="J995" s="33">
        <f t="shared" si="894"/>
        <v>0</v>
      </c>
      <c r="K995" s="30">
        <f t="shared" si="848"/>
        <v>0</v>
      </c>
      <c r="L995" s="33">
        <f t="shared" si="849"/>
        <v>0</v>
      </c>
      <c r="M995" s="30">
        <f t="shared" si="850"/>
        <v>0</v>
      </c>
      <c r="N995" s="33">
        <f t="shared" si="851"/>
        <v>0</v>
      </c>
      <c r="O995" s="31">
        <f t="shared" si="852"/>
        <v>0</v>
      </c>
      <c r="P995" s="33">
        <f t="shared" si="853"/>
        <v>0</v>
      </c>
      <c r="Q995" s="34">
        <f t="shared" si="895"/>
        <v>1010280.93751497</v>
      </c>
      <c r="R995" s="29">
        <f t="shared" si="854"/>
        <v>0</v>
      </c>
      <c r="S995" s="34">
        <f t="shared" si="855"/>
        <v>1010280.93751497</v>
      </c>
      <c r="T995" s="29">
        <f t="shared" si="856"/>
        <v>841.90078126247499</v>
      </c>
      <c r="U995" s="29">
        <f t="shared" si="857"/>
        <v>0</v>
      </c>
      <c r="V995" s="35">
        <f t="shared" si="858"/>
        <v>2.3390317203576361E-2</v>
      </c>
      <c r="W995" s="34">
        <f t="shared" si="859"/>
        <v>0</v>
      </c>
      <c r="X995" s="34">
        <f t="shared" si="860"/>
        <v>1009439.0367337075</v>
      </c>
      <c r="Y995" s="36">
        <f t="shared" si="861"/>
        <v>-3.9962817611134405E-3</v>
      </c>
      <c r="Z995" s="34">
        <f t="shared" si="862"/>
        <v>-4034.0028114548359</v>
      </c>
      <c r="AA995" s="34">
        <f t="shared" si="863"/>
        <v>1007422.0353279801</v>
      </c>
      <c r="AB995" s="34">
        <f t="shared" si="864"/>
        <v>0</v>
      </c>
      <c r="AC995" s="34">
        <f t="shared" si="865"/>
        <v>0</v>
      </c>
      <c r="AD995" s="34">
        <f t="shared" si="866"/>
        <v>0</v>
      </c>
      <c r="AE995" s="34">
        <f t="shared" si="867"/>
        <v>0</v>
      </c>
      <c r="AF995" s="34">
        <f t="shared" si="868"/>
        <v>0</v>
      </c>
      <c r="AG995" s="29">
        <f t="shared" si="869"/>
        <v>1007422.0353279801</v>
      </c>
      <c r="AH995" s="34">
        <f t="shared" si="870"/>
        <v>0</v>
      </c>
      <c r="AI995" s="34">
        <f t="shared" si="871"/>
        <v>0</v>
      </c>
      <c r="AJ995" s="34">
        <f t="shared" si="872"/>
        <v>0</v>
      </c>
      <c r="AK995" s="34">
        <f t="shared" si="873"/>
        <v>0</v>
      </c>
      <c r="AL995" s="34">
        <f t="shared" si="874"/>
        <v>0</v>
      </c>
      <c r="AM995" s="34">
        <f t="shared" si="875"/>
        <v>0</v>
      </c>
      <c r="AN995" s="34">
        <f t="shared" si="876"/>
        <v>0</v>
      </c>
      <c r="AO995" s="34">
        <f t="shared" si="877"/>
        <v>0</v>
      </c>
      <c r="AP995" s="34">
        <f t="shared" si="878"/>
        <v>0</v>
      </c>
      <c r="AQ995" s="34">
        <f t="shared" si="879"/>
        <v>0</v>
      </c>
      <c r="AR995" s="34">
        <f t="shared" si="880"/>
        <v>0</v>
      </c>
      <c r="AS995" s="30">
        <f t="shared" si="881"/>
        <v>2.2744345899511282</v>
      </c>
      <c r="AT995" s="29">
        <f t="shared" si="882"/>
        <v>0</v>
      </c>
      <c r="AU995" s="29">
        <f t="shared" si="883"/>
        <v>0</v>
      </c>
      <c r="AV995" s="34">
        <f t="shared" si="884"/>
        <v>0</v>
      </c>
      <c r="AW995" s="34">
        <f t="shared" si="885"/>
        <v>0</v>
      </c>
      <c r="AX995" s="29">
        <f t="shared" si="886"/>
        <v>0</v>
      </c>
      <c r="AY995" s="34">
        <f t="shared" si="887"/>
        <v>0</v>
      </c>
      <c r="AZ995" s="37">
        <f t="shared" si="888"/>
        <v>0</v>
      </c>
      <c r="BA995" s="37">
        <f t="shared" si="889"/>
        <v>0</v>
      </c>
      <c r="BB995" s="35">
        <f t="shared" si="890"/>
        <v>1.7497295255153311E-3</v>
      </c>
      <c r="BC995" s="31">
        <f t="shared" si="891"/>
        <v>0.17684763659597955</v>
      </c>
      <c r="BD995" s="34">
        <f t="shared" si="892"/>
        <v>0</v>
      </c>
    </row>
    <row r="996" spans="1:56" x14ac:dyDescent="0.2">
      <c r="A996" s="27">
        <f t="shared" si="893"/>
        <v>992</v>
      </c>
      <c r="B996" s="28">
        <f t="shared" si="840"/>
        <v>992</v>
      </c>
      <c r="C996" s="27">
        <f t="shared" si="841"/>
        <v>82</v>
      </c>
      <c r="D996" s="28">
        <f t="shared" si="842"/>
        <v>102</v>
      </c>
      <c r="E996" s="29">
        <f t="shared" si="843"/>
        <v>0</v>
      </c>
      <c r="F996" s="30">
        <f t="shared" si="844"/>
        <v>0.22734226705058899</v>
      </c>
      <c r="G996" s="31">
        <f t="shared" si="845"/>
        <v>2.1263924730523964E-2</v>
      </c>
      <c r="H996" s="32">
        <f t="shared" si="846"/>
        <v>0.02</v>
      </c>
      <c r="I996" s="32">
        <f t="shared" si="847"/>
        <v>0</v>
      </c>
      <c r="J996" s="33">
        <f t="shared" si="894"/>
        <v>0</v>
      </c>
      <c r="K996" s="30">
        <f t="shared" si="848"/>
        <v>0</v>
      </c>
      <c r="L996" s="33">
        <f t="shared" si="849"/>
        <v>0</v>
      </c>
      <c r="M996" s="30">
        <f t="shared" si="850"/>
        <v>0</v>
      </c>
      <c r="N996" s="33">
        <f t="shared" si="851"/>
        <v>0</v>
      </c>
      <c r="O996" s="31">
        <f t="shared" si="852"/>
        <v>0</v>
      </c>
      <c r="P996" s="33">
        <f t="shared" si="853"/>
        <v>0</v>
      </c>
      <c r="Q996" s="34">
        <f t="shared" si="895"/>
        <v>1005405.0339222527</v>
      </c>
      <c r="R996" s="29">
        <f t="shared" si="854"/>
        <v>0</v>
      </c>
      <c r="S996" s="34">
        <f t="shared" si="855"/>
        <v>1005405.0339222527</v>
      </c>
      <c r="T996" s="29">
        <f t="shared" si="856"/>
        <v>837.83752826854402</v>
      </c>
      <c r="U996" s="29">
        <f t="shared" si="857"/>
        <v>0</v>
      </c>
      <c r="V996" s="35">
        <f t="shared" si="858"/>
        <v>2.3390317203576361E-2</v>
      </c>
      <c r="W996" s="34">
        <f t="shared" si="859"/>
        <v>0</v>
      </c>
      <c r="X996" s="34">
        <f t="shared" si="860"/>
        <v>1004567.1963939841</v>
      </c>
      <c r="Y996" s="36">
        <f t="shared" si="861"/>
        <v>8.102527508630164E-3</v>
      </c>
      <c r="Z996" s="34">
        <f t="shared" si="862"/>
        <v>8139.5333430497367</v>
      </c>
      <c r="AA996" s="34">
        <f t="shared" si="863"/>
        <v>1008636.963065509</v>
      </c>
      <c r="AB996" s="34">
        <f t="shared" si="864"/>
        <v>0</v>
      </c>
      <c r="AC996" s="34">
        <f t="shared" si="865"/>
        <v>0</v>
      </c>
      <c r="AD996" s="34">
        <f t="shared" si="866"/>
        <v>0</v>
      </c>
      <c r="AE996" s="34">
        <f t="shared" si="867"/>
        <v>0</v>
      </c>
      <c r="AF996" s="34">
        <f t="shared" si="868"/>
        <v>0</v>
      </c>
      <c r="AG996" s="29">
        <f t="shared" si="869"/>
        <v>1008636.963065509</v>
      </c>
      <c r="AH996" s="34">
        <f t="shared" si="870"/>
        <v>0</v>
      </c>
      <c r="AI996" s="34">
        <f t="shared" si="871"/>
        <v>0</v>
      </c>
      <c r="AJ996" s="34">
        <f t="shared" si="872"/>
        <v>0</v>
      </c>
      <c r="AK996" s="34">
        <f t="shared" si="873"/>
        <v>0</v>
      </c>
      <c r="AL996" s="34">
        <f t="shared" si="874"/>
        <v>0</v>
      </c>
      <c r="AM996" s="34">
        <f t="shared" si="875"/>
        <v>0</v>
      </c>
      <c r="AN996" s="34">
        <f t="shared" si="876"/>
        <v>0</v>
      </c>
      <c r="AO996" s="34">
        <f t="shared" si="877"/>
        <v>0</v>
      </c>
      <c r="AP996" s="34">
        <f t="shared" si="878"/>
        <v>0</v>
      </c>
      <c r="AQ996" s="34">
        <f t="shared" si="879"/>
        <v>0</v>
      </c>
      <c r="AR996" s="34">
        <f t="shared" si="880"/>
        <v>0</v>
      </c>
      <c r="AS996" s="30">
        <f t="shared" si="881"/>
        <v>2.2763213201320802</v>
      </c>
      <c r="AT996" s="29">
        <f t="shared" si="882"/>
        <v>0</v>
      </c>
      <c r="AU996" s="29">
        <f t="shared" si="883"/>
        <v>0</v>
      </c>
      <c r="AV996" s="34">
        <f t="shared" si="884"/>
        <v>0</v>
      </c>
      <c r="AW996" s="34">
        <f t="shared" si="885"/>
        <v>0</v>
      </c>
      <c r="AX996" s="29">
        <f t="shared" si="886"/>
        <v>0</v>
      </c>
      <c r="AY996" s="34">
        <f t="shared" si="887"/>
        <v>0</v>
      </c>
      <c r="AZ996" s="37">
        <f t="shared" si="888"/>
        <v>0</v>
      </c>
      <c r="BA996" s="37">
        <f t="shared" si="889"/>
        <v>0</v>
      </c>
      <c r="BB996" s="35">
        <f t="shared" si="890"/>
        <v>1.7497295255153311E-3</v>
      </c>
      <c r="BC996" s="31">
        <f t="shared" si="891"/>
        <v>0.17653874154749657</v>
      </c>
      <c r="BD996" s="34">
        <f t="shared" si="892"/>
        <v>0</v>
      </c>
    </row>
    <row r="997" spans="1:56" x14ac:dyDescent="0.2">
      <c r="A997" s="27">
        <f t="shared" si="893"/>
        <v>993</v>
      </c>
      <c r="B997" s="28">
        <f t="shared" si="840"/>
        <v>993</v>
      </c>
      <c r="C997" s="27">
        <f t="shared" si="841"/>
        <v>82</v>
      </c>
      <c r="D997" s="28">
        <f t="shared" si="842"/>
        <v>102</v>
      </c>
      <c r="E997" s="29">
        <f t="shared" si="843"/>
        <v>0</v>
      </c>
      <c r="F997" s="30">
        <f t="shared" si="844"/>
        <v>0.22734226705058899</v>
      </c>
      <c r="G997" s="31">
        <f t="shared" si="845"/>
        <v>2.1263924730523964E-2</v>
      </c>
      <c r="H997" s="32">
        <f t="shared" si="846"/>
        <v>0.02</v>
      </c>
      <c r="I997" s="32">
        <f t="shared" si="847"/>
        <v>0</v>
      </c>
      <c r="J997" s="33">
        <f t="shared" si="894"/>
        <v>0</v>
      </c>
      <c r="K997" s="30">
        <f t="shared" si="848"/>
        <v>0</v>
      </c>
      <c r="L997" s="33">
        <f t="shared" si="849"/>
        <v>0</v>
      </c>
      <c r="M997" s="30">
        <f t="shared" si="850"/>
        <v>0</v>
      </c>
      <c r="N997" s="33">
        <f t="shared" si="851"/>
        <v>0</v>
      </c>
      <c r="O997" s="31">
        <f t="shared" si="852"/>
        <v>0</v>
      </c>
      <c r="P997" s="33">
        <f t="shared" si="853"/>
        <v>0</v>
      </c>
      <c r="Q997" s="34">
        <f t="shared" si="895"/>
        <v>1012706.7297370338</v>
      </c>
      <c r="R997" s="29">
        <f t="shared" si="854"/>
        <v>0</v>
      </c>
      <c r="S997" s="34">
        <f t="shared" si="855"/>
        <v>1012706.7297370338</v>
      </c>
      <c r="T997" s="29">
        <f t="shared" si="856"/>
        <v>843.92227478086158</v>
      </c>
      <c r="U997" s="29">
        <f t="shared" si="857"/>
        <v>0</v>
      </c>
      <c r="V997" s="35">
        <f t="shared" si="858"/>
        <v>2.3390317203576361E-2</v>
      </c>
      <c r="W997" s="34">
        <f t="shared" si="859"/>
        <v>0</v>
      </c>
      <c r="X997" s="34">
        <f t="shared" si="860"/>
        <v>1011862.807462253</v>
      </c>
      <c r="Y997" s="36">
        <f t="shared" si="861"/>
        <v>-3.0941121604699529E-4</v>
      </c>
      <c r="Z997" s="34">
        <f t="shared" si="862"/>
        <v>-313.08170172962235</v>
      </c>
      <c r="AA997" s="34">
        <f t="shared" si="863"/>
        <v>1011706.2666113882</v>
      </c>
      <c r="AB997" s="34">
        <f t="shared" si="864"/>
        <v>0</v>
      </c>
      <c r="AC997" s="34">
        <f t="shared" si="865"/>
        <v>0</v>
      </c>
      <c r="AD997" s="34">
        <f t="shared" si="866"/>
        <v>0</v>
      </c>
      <c r="AE997" s="34">
        <f t="shared" si="867"/>
        <v>0</v>
      </c>
      <c r="AF997" s="34">
        <f t="shared" si="868"/>
        <v>0</v>
      </c>
      <c r="AG997" s="29">
        <f t="shared" si="869"/>
        <v>1011706.2666113882</v>
      </c>
      <c r="AH997" s="34">
        <f t="shared" si="870"/>
        <v>0</v>
      </c>
      <c r="AI997" s="34">
        <f t="shared" si="871"/>
        <v>0</v>
      </c>
      <c r="AJ997" s="34">
        <f t="shared" si="872"/>
        <v>0</v>
      </c>
      <c r="AK997" s="34">
        <f t="shared" si="873"/>
        <v>0</v>
      </c>
      <c r="AL997" s="34">
        <f t="shared" si="874"/>
        <v>0</v>
      </c>
      <c r="AM997" s="34">
        <f t="shared" si="875"/>
        <v>0</v>
      </c>
      <c r="AN997" s="34">
        <f t="shared" si="876"/>
        <v>0</v>
      </c>
      <c r="AO997" s="34">
        <f t="shared" si="877"/>
        <v>0</v>
      </c>
      <c r="AP997" s="34">
        <f t="shared" si="878"/>
        <v>0</v>
      </c>
      <c r="AQ997" s="34">
        <f t="shared" si="879"/>
        <v>0</v>
      </c>
      <c r="AR997" s="34">
        <f t="shared" si="880"/>
        <v>0</v>
      </c>
      <c r="AS997" s="30">
        <f t="shared" si="881"/>
        <v>2.2782096154276283</v>
      </c>
      <c r="AT997" s="29">
        <f t="shared" si="882"/>
        <v>0</v>
      </c>
      <c r="AU997" s="29">
        <f t="shared" si="883"/>
        <v>0</v>
      </c>
      <c r="AV997" s="34">
        <f t="shared" si="884"/>
        <v>0</v>
      </c>
      <c r="AW997" s="34">
        <f t="shared" si="885"/>
        <v>0</v>
      </c>
      <c r="AX997" s="29">
        <f t="shared" si="886"/>
        <v>0</v>
      </c>
      <c r="AY997" s="34">
        <f t="shared" si="887"/>
        <v>0</v>
      </c>
      <c r="AZ997" s="37">
        <f t="shared" si="888"/>
        <v>0</v>
      </c>
      <c r="BA997" s="37">
        <f t="shared" si="889"/>
        <v>0</v>
      </c>
      <c r="BB997" s="35">
        <f t="shared" si="890"/>
        <v>1.7497295255153311E-3</v>
      </c>
      <c r="BC997" s="31">
        <f t="shared" si="891"/>
        <v>0.17623038603775334</v>
      </c>
      <c r="BD997" s="34">
        <f t="shared" si="892"/>
        <v>0</v>
      </c>
    </row>
    <row r="998" spans="1:56" x14ac:dyDescent="0.2">
      <c r="A998" s="27">
        <f t="shared" si="893"/>
        <v>994</v>
      </c>
      <c r="B998" s="28">
        <f t="shared" si="840"/>
        <v>994</v>
      </c>
      <c r="C998" s="27">
        <f t="shared" si="841"/>
        <v>82</v>
      </c>
      <c r="D998" s="28">
        <f t="shared" si="842"/>
        <v>102</v>
      </c>
      <c r="E998" s="29">
        <f t="shared" si="843"/>
        <v>0</v>
      </c>
      <c r="F998" s="30">
        <f t="shared" si="844"/>
        <v>0.22734226705058899</v>
      </c>
      <c r="G998" s="31">
        <f t="shared" si="845"/>
        <v>2.1263924730523964E-2</v>
      </c>
      <c r="H998" s="32">
        <f t="shared" si="846"/>
        <v>0.02</v>
      </c>
      <c r="I998" s="32">
        <f t="shared" si="847"/>
        <v>0</v>
      </c>
      <c r="J998" s="33">
        <f t="shared" si="894"/>
        <v>0</v>
      </c>
      <c r="K998" s="30">
        <f t="shared" si="848"/>
        <v>0</v>
      </c>
      <c r="L998" s="33">
        <f t="shared" si="849"/>
        <v>0</v>
      </c>
      <c r="M998" s="30">
        <f t="shared" si="850"/>
        <v>0</v>
      </c>
      <c r="N998" s="33">
        <f t="shared" si="851"/>
        <v>0</v>
      </c>
      <c r="O998" s="31">
        <f t="shared" si="852"/>
        <v>0</v>
      </c>
      <c r="P998" s="33">
        <f t="shared" si="853"/>
        <v>0</v>
      </c>
      <c r="Q998" s="34">
        <f t="shared" si="895"/>
        <v>1011549.7257605233</v>
      </c>
      <c r="R998" s="29">
        <f t="shared" si="854"/>
        <v>0</v>
      </c>
      <c r="S998" s="34">
        <f t="shared" si="855"/>
        <v>1011549.7257605233</v>
      </c>
      <c r="T998" s="29">
        <f t="shared" si="856"/>
        <v>842.95810480043622</v>
      </c>
      <c r="U998" s="29">
        <f t="shared" si="857"/>
        <v>0</v>
      </c>
      <c r="V998" s="35">
        <f t="shared" si="858"/>
        <v>2.3390317203576361E-2</v>
      </c>
      <c r="W998" s="34">
        <f t="shared" si="859"/>
        <v>0</v>
      </c>
      <c r="X998" s="34">
        <f t="shared" si="860"/>
        <v>1010706.7676557229</v>
      </c>
      <c r="Y998" s="36">
        <f t="shared" si="861"/>
        <v>3.1366005420996323E-3</v>
      </c>
      <c r="Z998" s="34">
        <f t="shared" si="862"/>
        <v>3170.1833953327077</v>
      </c>
      <c r="AA998" s="34">
        <f t="shared" si="863"/>
        <v>1012291.8593533892</v>
      </c>
      <c r="AB998" s="34">
        <f t="shared" si="864"/>
        <v>0</v>
      </c>
      <c r="AC998" s="34">
        <f t="shared" si="865"/>
        <v>0</v>
      </c>
      <c r="AD998" s="34">
        <f t="shared" si="866"/>
        <v>0</v>
      </c>
      <c r="AE998" s="34">
        <f t="shared" si="867"/>
        <v>0</v>
      </c>
      <c r="AF998" s="34">
        <f t="shared" si="868"/>
        <v>0</v>
      </c>
      <c r="AG998" s="29">
        <f t="shared" si="869"/>
        <v>1012291.8593533892</v>
      </c>
      <c r="AH998" s="34">
        <f t="shared" si="870"/>
        <v>0</v>
      </c>
      <c r="AI998" s="34">
        <f t="shared" si="871"/>
        <v>0</v>
      </c>
      <c r="AJ998" s="34">
        <f t="shared" si="872"/>
        <v>0</v>
      </c>
      <c r="AK998" s="34">
        <f t="shared" si="873"/>
        <v>0</v>
      </c>
      <c r="AL998" s="34">
        <f t="shared" si="874"/>
        <v>0</v>
      </c>
      <c r="AM998" s="34">
        <f t="shared" si="875"/>
        <v>0</v>
      </c>
      <c r="AN998" s="34">
        <f t="shared" si="876"/>
        <v>0</v>
      </c>
      <c r="AO998" s="34">
        <f t="shared" si="877"/>
        <v>0</v>
      </c>
      <c r="AP998" s="34">
        <f t="shared" si="878"/>
        <v>0</v>
      </c>
      <c r="AQ998" s="34">
        <f t="shared" si="879"/>
        <v>0</v>
      </c>
      <c r="AR998" s="34">
        <f t="shared" si="880"/>
        <v>0</v>
      </c>
      <c r="AS998" s="30">
        <f t="shared" si="881"/>
        <v>2.2800994771360958</v>
      </c>
      <c r="AT998" s="29">
        <f t="shared" si="882"/>
        <v>0</v>
      </c>
      <c r="AU998" s="29">
        <f t="shared" si="883"/>
        <v>0</v>
      </c>
      <c r="AV998" s="34">
        <f t="shared" si="884"/>
        <v>0</v>
      </c>
      <c r="AW998" s="34">
        <f t="shared" si="885"/>
        <v>0</v>
      </c>
      <c r="AX998" s="29">
        <f t="shared" si="886"/>
        <v>0</v>
      </c>
      <c r="AY998" s="34">
        <f t="shared" si="887"/>
        <v>0</v>
      </c>
      <c r="AZ998" s="37">
        <f t="shared" si="888"/>
        <v>0</v>
      </c>
      <c r="BA998" s="37">
        <f t="shared" si="889"/>
        <v>0</v>
      </c>
      <c r="BB998" s="35">
        <f t="shared" si="890"/>
        <v>1.7497295255153311E-3</v>
      </c>
      <c r="BC998" s="31">
        <f t="shared" si="891"/>
        <v>0.17592256912435197</v>
      </c>
      <c r="BD998" s="34">
        <f t="shared" si="892"/>
        <v>0</v>
      </c>
    </row>
    <row r="999" spans="1:56" x14ac:dyDescent="0.2">
      <c r="A999" s="27">
        <f t="shared" si="893"/>
        <v>995</v>
      </c>
      <c r="B999" s="28">
        <f t="shared" si="840"/>
        <v>995</v>
      </c>
      <c r="C999" s="27">
        <f t="shared" si="841"/>
        <v>82</v>
      </c>
      <c r="D999" s="28">
        <f t="shared" si="842"/>
        <v>102</v>
      </c>
      <c r="E999" s="29">
        <f t="shared" si="843"/>
        <v>0</v>
      </c>
      <c r="F999" s="30">
        <f t="shared" si="844"/>
        <v>0.22734226705058899</v>
      </c>
      <c r="G999" s="31">
        <f t="shared" si="845"/>
        <v>2.1263924730523964E-2</v>
      </c>
      <c r="H999" s="32">
        <f t="shared" si="846"/>
        <v>0.02</v>
      </c>
      <c r="I999" s="32">
        <f t="shared" si="847"/>
        <v>0</v>
      </c>
      <c r="J999" s="33">
        <f t="shared" si="894"/>
        <v>0</v>
      </c>
      <c r="K999" s="30">
        <f t="shared" si="848"/>
        <v>0</v>
      </c>
      <c r="L999" s="33">
        <f t="shared" si="849"/>
        <v>0</v>
      </c>
      <c r="M999" s="30">
        <f t="shared" si="850"/>
        <v>0</v>
      </c>
      <c r="N999" s="33">
        <f t="shared" si="851"/>
        <v>0</v>
      </c>
      <c r="O999" s="31">
        <f t="shared" si="852"/>
        <v>0</v>
      </c>
      <c r="P999" s="33">
        <f t="shared" si="853"/>
        <v>0</v>
      </c>
      <c r="Q999" s="34">
        <f t="shared" si="895"/>
        <v>1013876.9510510556</v>
      </c>
      <c r="R999" s="29">
        <f t="shared" si="854"/>
        <v>0</v>
      </c>
      <c r="S999" s="34">
        <f t="shared" si="855"/>
        <v>1013876.9510510556</v>
      </c>
      <c r="T999" s="29">
        <f t="shared" si="856"/>
        <v>844.89745920921303</v>
      </c>
      <c r="U999" s="29">
        <f t="shared" si="857"/>
        <v>0</v>
      </c>
      <c r="V999" s="35">
        <f t="shared" si="858"/>
        <v>2.3390317203576361E-2</v>
      </c>
      <c r="W999" s="34">
        <f t="shared" si="859"/>
        <v>0</v>
      </c>
      <c r="X999" s="34">
        <f t="shared" si="860"/>
        <v>1013032.0535918464</v>
      </c>
      <c r="Y999" s="36">
        <f t="shared" si="861"/>
        <v>1.7877400445590386E-2</v>
      </c>
      <c r="Z999" s="34">
        <f t="shared" si="862"/>
        <v>18110.379686280219</v>
      </c>
      <c r="AA999" s="34">
        <f t="shared" si="863"/>
        <v>1022087.2434349864</v>
      </c>
      <c r="AB999" s="34">
        <f t="shared" si="864"/>
        <v>0</v>
      </c>
      <c r="AC999" s="34">
        <f t="shared" si="865"/>
        <v>0</v>
      </c>
      <c r="AD999" s="34">
        <f t="shared" si="866"/>
        <v>0</v>
      </c>
      <c r="AE999" s="34">
        <f t="shared" si="867"/>
        <v>0</v>
      </c>
      <c r="AF999" s="34">
        <f t="shared" si="868"/>
        <v>0</v>
      </c>
      <c r="AG999" s="29">
        <f t="shared" si="869"/>
        <v>1022087.2434349864</v>
      </c>
      <c r="AH999" s="34">
        <f t="shared" si="870"/>
        <v>0</v>
      </c>
      <c r="AI999" s="34">
        <f t="shared" si="871"/>
        <v>0</v>
      </c>
      <c r="AJ999" s="34">
        <f t="shared" si="872"/>
        <v>0</v>
      </c>
      <c r="AK999" s="34">
        <f t="shared" si="873"/>
        <v>0</v>
      </c>
      <c r="AL999" s="34">
        <f t="shared" si="874"/>
        <v>0</v>
      </c>
      <c r="AM999" s="34">
        <f t="shared" si="875"/>
        <v>0</v>
      </c>
      <c r="AN999" s="34">
        <f t="shared" si="876"/>
        <v>0</v>
      </c>
      <c r="AO999" s="34">
        <f t="shared" si="877"/>
        <v>0</v>
      </c>
      <c r="AP999" s="34">
        <f t="shared" si="878"/>
        <v>0</v>
      </c>
      <c r="AQ999" s="34">
        <f t="shared" si="879"/>
        <v>0</v>
      </c>
      <c r="AR999" s="34">
        <f t="shared" si="880"/>
        <v>0</v>
      </c>
      <c r="AS999" s="30">
        <f t="shared" si="881"/>
        <v>2.2819909065568815</v>
      </c>
      <c r="AT999" s="29">
        <f t="shared" si="882"/>
        <v>0</v>
      </c>
      <c r="AU999" s="29">
        <f t="shared" si="883"/>
        <v>0</v>
      </c>
      <c r="AV999" s="34">
        <f t="shared" si="884"/>
        <v>0</v>
      </c>
      <c r="AW999" s="34">
        <f t="shared" si="885"/>
        <v>0</v>
      </c>
      <c r="AX999" s="29">
        <f t="shared" si="886"/>
        <v>0</v>
      </c>
      <c r="AY999" s="34">
        <f t="shared" si="887"/>
        <v>0</v>
      </c>
      <c r="AZ999" s="37">
        <f t="shared" si="888"/>
        <v>0</v>
      </c>
      <c r="BA999" s="37">
        <f t="shared" si="889"/>
        <v>0</v>
      </c>
      <c r="BB999" s="35">
        <f t="shared" si="890"/>
        <v>1.7497295255153311E-3</v>
      </c>
      <c r="BC999" s="31">
        <f t="shared" si="891"/>
        <v>0.17561528986654049</v>
      </c>
      <c r="BD999" s="34">
        <f t="shared" si="892"/>
        <v>0</v>
      </c>
    </row>
    <row r="1000" spans="1:56" x14ac:dyDescent="0.2">
      <c r="A1000" s="27">
        <f t="shared" si="893"/>
        <v>996</v>
      </c>
      <c r="B1000" s="28">
        <f t="shared" si="840"/>
        <v>996</v>
      </c>
      <c r="C1000" s="27">
        <f t="shared" si="841"/>
        <v>83</v>
      </c>
      <c r="D1000" s="28">
        <f t="shared" si="842"/>
        <v>103</v>
      </c>
      <c r="E1000" s="29">
        <f t="shared" si="843"/>
        <v>0</v>
      </c>
      <c r="F1000" s="30">
        <f t="shared" si="844"/>
        <v>0.26211031409167013</v>
      </c>
      <c r="G1000" s="31">
        <f t="shared" si="845"/>
        <v>2.5011963731697562E-2</v>
      </c>
      <c r="H1000" s="32">
        <f t="shared" si="846"/>
        <v>0.02</v>
      </c>
      <c r="I1000" s="32">
        <f t="shared" si="847"/>
        <v>0</v>
      </c>
      <c r="J1000" s="33">
        <f t="shared" si="894"/>
        <v>0</v>
      </c>
      <c r="K1000" s="30">
        <f t="shared" si="848"/>
        <v>0</v>
      </c>
      <c r="L1000" s="33">
        <f t="shared" si="849"/>
        <v>0</v>
      </c>
      <c r="M1000" s="30">
        <f t="shared" si="850"/>
        <v>0</v>
      </c>
      <c r="N1000" s="33">
        <f t="shared" si="851"/>
        <v>0</v>
      </c>
      <c r="O1000" s="31">
        <f t="shared" si="852"/>
        <v>0</v>
      </c>
      <c r="P1000" s="33">
        <f t="shared" si="853"/>
        <v>0</v>
      </c>
      <c r="Q1000" s="34">
        <f t="shared" si="895"/>
        <v>1031142.4332781266</v>
      </c>
      <c r="R1000" s="29">
        <f t="shared" si="854"/>
        <v>0</v>
      </c>
      <c r="S1000" s="34">
        <f t="shared" si="855"/>
        <v>1031142.4332781266</v>
      </c>
      <c r="T1000" s="29">
        <f t="shared" si="856"/>
        <v>859.28536106510558</v>
      </c>
      <c r="U1000" s="29">
        <f t="shared" si="857"/>
        <v>0</v>
      </c>
      <c r="V1000" s="35">
        <f t="shared" si="858"/>
        <v>2.7513160104867321E-2</v>
      </c>
      <c r="W1000" s="34">
        <f t="shared" si="859"/>
        <v>0</v>
      </c>
      <c r="X1000" s="34">
        <f t="shared" si="860"/>
        <v>1030283.1479170616</v>
      </c>
      <c r="Y1000" s="36">
        <f t="shared" si="861"/>
        <v>-1.0356087842001038E-2</v>
      </c>
      <c r="Z1000" s="34">
        <f t="shared" si="862"/>
        <v>-10669.702781962438</v>
      </c>
      <c r="AA1000" s="34">
        <f t="shared" si="863"/>
        <v>1024948.2965260803</v>
      </c>
      <c r="AB1000" s="34">
        <f t="shared" si="864"/>
        <v>0</v>
      </c>
      <c r="AC1000" s="34">
        <f t="shared" si="865"/>
        <v>0</v>
      </c>
      <c r="AD1000" s="34">
        <f t="shared" si="866"/>
        <v>0</v>
      </c>
      <c r="AE1000" s="34">
        <f t="shared" si="867"/>
        <v>0</v>
      </c>
      <c r="AF1000" s="34">
        <f t="shared" si="868"/>
        <v>0</v>
      </c>
      <c r="AG1000" s="29">
        <f t="shared" si="869"/>
        <v>1024948.2965260803</v>
      </c>
      <c r="AH1000" s="34">
        <f t="shared" si="870"/>
        <v>0</v>
      </c>
      <c r="AI1000" s="34">
        <f t="shared" si="871"/>
        <v>0</v>
      </c>
      <c r="AJ1000" s="34">
        <f t="shared" si="872"/>
        <v>0</v>
      </c>
      <c r="AK1000" s="34">
        <f t="shared" si="873"/>
        <v>0</v>
      </c>
      <c r="AL1000" s="34">
        <f t="shared" si="874"/>
        <v>0</v>
      </c>
      <c r="AM1000" s="34">
        <f t="shared" si="875"/>
        <v>0</v>
      </c>
      <c r="AN1000" s="34">
        <f t="shared" si="876"/>
        <v>0</v>
      </c>
      <c r="AO1000" s="34">
        <f t="shared" si="877"/>
        <v>0</v>
      </c>
      <c r="AP1000" s="34">
        <f t="shared" si="878"/>
        <v>0</v>
      </c>
      <c r="AQ1000" s="34">
        <f t="shared" si="879"/>
        <v>0</v>
      </c>
      <c r="AR1000" s="34">
        <f t="shared" si="880"/>
        <v>0</v>
      </c>
      <c r="AS1000" s="30">
        <f t="shared" si="881"/>
        <v>2.283883904990462</v>
      </c>
      <c r="AT1000" s="29">
        <f t="shared" si="882"/>
        <v>0</v>
      </c>
      <c r="AU1000" s="29">
        <f t="shared" si="883"/>
        <v>0</v>
      </c>
      <c r="AV1000" s="34">
        <f t="shared" si="884"/>
        <v>0</v>
      </c>
      <c r="AW1000" s="34">
        <f t="shared" si="885"/>
        <v>0</v>
      </c>
      <c r="AX1000" s="29">
        <f t="shared" si="886"/>
        <v>0</v>
      </c>
      <c r="AY1000" s="34">
        <f t="shared" si="887"/>
        <v>0</v>
      </c>
      <c r="AZ1000" s="37">
        <f t="shared" si="888"/>
        <v>0</v>
      </c>
      <c r="BA1000" s="37">
        <f t="shared" si="889"/>
        <v>0</v>
      </c>
      <c r="BB1000" s="35">
        <f t="shared" si="890"/>
        <v>1.7693464828369976E-3</v>
      </c>
      <c r="BC1000" s="31">
        <f t="shared" si="891"/>
        <v>0.17192242847559225</v>
      </c>
      <c r="BD1000" s="34">
        <f t="shared" si="892"/>
        <v>0</v>
      </c>
    </row>
    <row r="1001" spans="1:56" x14ac:dyDescent="0.2">
      <c r="A1001" s="27">
        <f t="shared" si="893"/>
        <v>997</v>
      </c>
      <c r="B1001" s="28">
        <f t="shared" si="840"/>
        <v>997</v>
      </c>
      <c r="C1001" s="27">
        <f t="shared" si="841"/>
        <v>83</v>
      </c>
      <c r="D1001" s="28">
        <f t="shared" si="842"/>
        <v>103</v>
      </c>
      <c r="E1001" s="29">
        <f t="shared" si="843"/>
        <v>0</v>
      </c>
      <c r="F1001" s="30">
        <f t="shared" si="844"/>
        <v>0.26211031409167013</v>
      </c>
      <c r="G1001" s="31">
        <f t="shared" si="845"/>
        <v>2.5011963731697562E-2</v>
      </c>
      <c r="H1001" s="32">
        <f t="shared" si="846"/>
        <v>0.02</v>
      </c>
      <c r="I1001" s="32">
        <f t="shared" si="847"/>
        <v>0</v>
      </c>
      <c r="J1001" s="33">
        <f t="shared" si="894"/>
        <v>0</v>
      </c>
      <c r="K1001" s="30">
        <f t="shared" si="848"/>
        <v>0</v>
      </c>
      <c r="L1001" s="33">
        <f t="shared" si="849"/>
        <v>0</v>
      </c>
      <c r="M1001" s="30">
        <f t="shared" si="850"/>
        <v>0</v>
      </c>
      <c r="N1001" s="33">
        <f t="shared" si="851"/>
        <v>0</v>
      </c>
      <c r="O1001" s="31">
        <f t="shared" si="852"/>
        <v>0</v>
      </c>
      <c r="P1001" s="33">
        <f t="shared" si="853"/>
        <v>0</v>
      </c>
      <c r="Q1001" s="34">
        <f t="shared" si="895"/>
        <v>1019613.4451350991</v>
      </c>
      <c r="R1001" s="29">
        <f t="shared" si="854"/>
        <v>0</v>
      </c>
      <c r="S1001" s="34">
        <f t="shared" si="855"/>
        <v>1019613.4451350991</v>
      </c>
      <c r="T1001" s="29">
        <f t="shared" si="856"/>
        <v>849.67787094591597</v>
      </c>
      <c r="U1001" s="29">
        <f t="shared" si="857"/>
        <v>0</v>
      </c>
      <c r="V1001" s="35">
        <f t="shared" si="858"/>
        <v>2.7513160104867321E-2</v>
      </c>
      <c r="W1001" s="34">
        <f t="shared" si="859"/>
        <v>0</v>
      </c>
      <c r="X1001" s="34">
        <f t="shared" si="860"/>
        <v>1018763.7672641532</v>
      </c>
      <c r="Y1001" s="36">
        <f t="shared" si="861"/>
        <v>1.8105883855976668E-3</v>
      </c>
      <c r="Z1001" s="34">
        <f t="shared" si="862"/>
        <v>1844.5618446762003</v>
      </c>
      <c r="AA1001" s="34">
        <f t="shared" si="863"/>
        <v>1019686.0481864914</v>
      </c>
      <c r="AB1001" s="34">
        <f t="shared" si="864"/>
        <v>0</v>
      </c>
      <c r="AC1001" s="34">
        <f t="shared" si="865"/>
        <v>0</v>
      </c>
      <c r="AD1001" s="34">
        <f t="shared" si="866"/>
        <v>0</v>
      </c>
      <c r="AE1001" s="34">
        <f t="shared" si="867"/>
        <v>0</v>
      </c>
      <c r="AF1001" s="34">
        <f t="shared" si="868"/>
        <v>0</v>
      </c>
      <c r="AG1001" s="29">
        <f t="shared" si="869"/>
        <v>1019686.0481864914</v>
      </c>
      <c r="AH1001" s="34">
        <f t="shared" si="870"/>
        <v>0</v>
      </c>
      <c r="AI1001" s="34">
        <f t="shared" si="871"/>
        <v>0</v>
      </c>
      <c r="AJ1001" s="34">
        <f t="shared" si="872"/>
        <v>0</v>
      </c>
      <c r="AK1001" s="34">
        <f t="shared" si="873"/>
        <v>0</v>
      </c>
      <c r="AL1001" s="34">
        <f t="shared" si="874"/>
        <v>0</v>
      </c>
      <c r="AM1001" s="34">
        <f t="shared" si="875"/>
        <v>0</v>
      </c>
      <c r="AN1001" s="34">
        <f t="shared" si="876"/>
        <v>0</v>
      </c>
      <c r="AO1001" s="34">
        <f t="shared" si="877"/>
        <v>0</v>
      </c>
      <c r="AP1001" s="34">
        <f t="shared" si="878"/>
        <v>0</v>
      </c>
      <c r="AQ1001" s="34">
        <f t="shared" si="879"/>
        <v>0</v>
      </c>
      <c r="AR1001" s="34">
        <f t="shared" si="880"/>
        <v>0</v>
      </c>
      <c r="AS1001" s="30">
        <f t="shared" si="881"/>
        <v>2.285778473738393</v>
      </c>
      <c r="AT1001" s="29">
        <f t="shared" si="882"/>
        <v>0</v>
      </c>
      <c r="AU1001" s="29">
        <f t="shared" si="883"/>
        <v>0</v>
      </c>
      <c r="AV1001" s="34">
        <f t="shared" si="884"/>
        <v>0</v>
      </c>
      <c r="AW1001" s="34">
        <f t="shared" si="885"/>
        <v>0</v>
      </c>
      <c r="AX1001" s="29">
        <f t="shared" si="886"/>
        <v>0</v>
      </c>
      <c r="AY1001" s="34">
        <f t="shared" si="887"/>
        <v>0</v>
      </c>
      <c r="AZ1001" s="37">
        <f t="shared" si="888"/>
        <v>0</v>
      </c>
      <c r="BA1001" s="37">
        <f t="shared" si="889"/>
        <v>0</v>
      </c>
      <c r="BB1001" s="35">
        <f t="shared" si="890"/>
        <v>1.7693464828369976E-3</v>
      </c>
      <c r="BC1001" s="31">
        <f t="shared" si="891"/>
        <v>0.17161877539895137</v>
      </c>
      <c r="BD1001" s="34">
        <f t="shared" si="892"/>
        <v>0</v>
      </c>
    </row>
    <row r="1002" spans="1:56" x14ac:dyDescent="0.2">
      <c r="A1002" s="27">
        <f t="shared" si="893"/>
        <v>998</v>
      </c>
      <c r="B1002" s="28">
        <f t="shared" si="840"/>
        <v>998</v>
      </c>
      <c r="C1002" s="27">
        <f t="shared" si="841"/>
        <v>83</v>
      </c>
      <c r="D1002" s="28">
        <f t="shared" si="842"/>
        <v>103</v>
      </c>
      <c r="E1002" s="29">
        <f t="shared" si="843"/>
        <v>0</v>
      </c>
      <c r="F1002" s="30">
        <f t="shared" si="844"/>
        <v>0.26211031409167013</v>
      </c>
      <c r="G1002" s="31">
        <f t="shared" si="845"/>
        <v>2.5011963731697562E-2</v>
      </c>
      <c r="H1002" s="32">
        <f t="shared" si="846"/>
        <v>0.02</v>
      </c>
      <c r="I1002" s="32">
        <f t="shared" si="847"/>
        <v>0</v>
      </c>
      <c r="J1002" s="33">
        <f t="shared" si="894"/>
        <v>0</v>
      </c>
      <c r="K1002" s="30">
        <f t="shared" si="848"/>
        <v>0</v>
      </c>
      <c r="L1002" s="33">
        <f t="shared" si="849"/>
        <v>0</v>
      </c>
      <c r="M1002" s="30">
        <f t="shared" si="850"/>
        <v>0</v>
      </c>
      <c r="N1002" s="33">
        <f t="shared" si="851"/>
        <v>0</v>
      </c>
      <c r="O1002" s="31">
        <f t="shared" si="852"/>
        <v>0</v>
      </c>
      <c r="P1002" s="33">
        <f t="shared" si="853"/>
        <v>0</v>
      </c>
      <c r="Q1002" s="34">
        <f t="shared" si="895"/>
        <v>1020608.3291088294</v>
      </c>
      <c r="R1002" s="29">
        <f t="shared" si="854"/>
        <v>0</v>
      </c>
      <c r="S1002" s="34">
        <f t="shared" si="855"/>
        <v>1020608.3291088294</v>
      </c>
      <c r="T1002" s="29">
        <f t="shared" si="856"/>
        <v>850.50694092402455</v>
      </c>
      <c r="U1002" s="29">
        <f t="shared" si="857"/>
        <v>0</v>
      </c>
      <c r="V1002" s="35">
        <f t="shared" si="858"/>
        <v>2.7513160104867321E-2</v>
      </c>
      <c r="W1002" s="34">
        <f t="shared" si="859"/>
        <v>0</v>
      </c>
      <c r="X1002" s="34">
        <f t="shared" si="860"/>
        <v>1019757.8221679054</v>
      </c>
      <c r="Y1002" s="36">
        <f t="shared" si="861"/>
        <v>-1.5236111547523024E-3</v>
      </c>
      <c r="Z1002" s="34">
        <f t="shared" si="862"/>
        <v>-1553.7143930009354</v>
      </c>
      <c r="AA1002" s="34">
        <f t="shared" si="863"/>
        <v>1018980.9649714049</v>
      </c>
      <c r="AB1002" s="34">
        <f t="shared" si="864"/>
        <v>0</v>
      </c>
      <c r="AC1002" s="34">
        <f t="shared" si="865"/>
        <v>0</v>
      </c>
      <c r="AD1002" s="34">
        <f t="shared" si="866"/>
        <v>0</v>
      </c>
      <c r="AE1002" s="34">
        <f t="shared" si="867"/>
        <v>0</v>
      </c>
      <c r="AF1002" s="34">
        <f t="shared" si="868"/>
        <v>0</v>
      </c>
      <c r="AG1002" s="29">
        <f t="shared" si="869"/>
        <v>1018980.9649714049</v>
      </c>
      <c r="AH1002" s="34">
        <f t="shared" si="870"/>
        <v>0</v>
      </c>
      <c r="AI1002" s="34">
        <f t="shared" si="871"/>
        <v>0</v>
      </c>
      <c r="AJ1002" s="34">
        <f t="shared" si="872"/>
        <v>0</v>
      </c>
      <c r="AK1002" s="34">
        <f t="shared" si="873"/>
        <v>0</v>
      </c>
      <c r="AL1002" s="34">
        <f t="shared" si="874"/>
        <v>0</v>
      </c>
      <c r="AM1002" s="34">
        <f t="shared" si="875"/>
        <v>0</v>
      </c>
      <c r="AN1002" s="34">
        <f t="shared" si="876"/>
        <v>0</v>
      </c>
      <c r="AO1002" s="34">
        <f t="shared" si="877"/>
        <v>0</v>
      </c>
      <c r="AP1002" s="34">
        <f t="shared" si="878"/>
        <v>0</v>
      </c>
      <c r="AQ1002" s="34">
        <f t="shared" si="879"/>
        <v>0</v>
      </c>
      <c r="AR1002" s="34">
        <f t="shared" si="880"/>
        <v>0</v>
      </c>
      <c r="AS1002" s="30">
        <f t="shared" si="881"/>
        <v>2.2876746141033113</v>
      </c>
      <c r="AT1002" s="29">
        <f t="shared" si="882"/>
        <v>0</v>
      </c>
      <c r="AU1002" s="29">
        <f t="shared" si="883"/>
        <v>0</v>
      </c>
      <c r="AV1002" s="34">
        <f t="shared" si="884"/>
        <v>0</v>
      </c>
      <c r="AW1002" s="34">
        <f t="shared" si="885"/>
        <v>0</v>
      </c>
      <c r="AX1002" s="29">
        <f t="shared" si="886"/>
        <v>0</v>
      </c>
      <c r="AY1002" s="34">
        <f t="shared" si="887"/>
        <v>0</v>
      </c>
      <c r="AZ1002" s="37">
        <f t="shared" si="888"/>
        <v>0</v>
      </c>
      <c r="BA1002" s="37">
        <f t="shared" si="889"/>
        <v>0</v>
      </c>
      <c r="BB1002" s="35">
        <f t="shared" si="890"/>
        <v>1.7693464828369976E-3</v>
      </c>
      <c r="BC1002" s="31">
        <f t="shared" si="891"/>
        <v>0.17131565864088019</v>
      </c>
      <c r="BD1002" s="34">
        <f t="shared" si="892"/>
        <v>0</v>
      </c>
    </row>
    <row r="1003" spans="1:56" x14ac:dyDescent="0.2">
      <c r="A1003" s="27">
        <f t="shared" si="893"/>
        <v>999</v>
      </c>
      <c r="B1003" s="28">
        <f t="shared" si="840"/>
        <v>999</v>
      </c>
      <c r="C1003" s="27">
        <f t="shared" si="841"/>
        <v>83</v>
      </c>
      <c r="D1003" s="28">
        <f t="shared" si="842"/>
        <v>103</v>
      </c>
      <c r="E1003" s="29">
        <f t="shared" si="843"/>
        <v>0</v>
      </c>
      <c r="F1003" s="30">
        <f t="shared" si="844"/>
        <v>0.26211031409167013</v>
      </c>
      <c r="G1003" s="31">
        <f t="shared" si="845"/>
        <v>2.5011963731697562E-2</v>
      </c>
      <c r="H1003" s="32">
        <f t="shared" si="846"/>
        <v>0.02</v>
      </c>
      <c r="I1003" s="32">
        <f t="shared" si="847"/>
        <v>0</v>
      </c>
      <c r="J1003" s="33">
        <f t="shared" si="894"/>
        <v>0</v>
      </c>
      <c r="K1003" s="30">
        <f t="shared" si="848"/>
        <v>0</v>
      </c>
      <c r="L1003" s="33">
        <f t="shared" si="849"/>
        <v>0</v>
      </c>
      <c r="M1003" s="30">
        <f t="shared" si="850"/>
        <v>0</v>
      </c>
      <c r="N1003" s="33">
        <f t="shared" si="851"/>
        <v>0</v>
      </c>
      <c r="O1003" s="31">
        <f t="shared" si="852"/>
        <v>0</v>
      </c>
      <c r="P1003" s="33">
        <f t="shared" si="853"/>
        <v>0</v>
      </c>
      <c r="Q1003" s="34">
        <f t="shared" si="895"/>
        <v>1018204.1077749045</v>
      </c>
      <c r="R1003" s="29">
        <f t="shared" si="854"/>
        <v>0</v>
      </c>
      <c r="S1003" s="34">
        <f t="shared" si="855"/>
        <v>1018204.1077749045</v>
      </c>
      <c r="T1003" s="29">
        <f t="shared" si="856"/>
        <v>848.5034231457538</v>
      </c>
      <c r="U1003" s="29">
        <f t="shared" si="857"/>
        <v>0</v>
      </c>
      <c r="V1003" s="35">
        <f t="shared" si="858"/>
        <v>2.7513160104867321E-2</v>
      </c>
      <c r="W1003" s="34">
        <f t="shared" si="859"/>
        <v>0</v>
      </c>
      <c r="X1003" s="34">
        <f t="shared" si="860"/>
        <v>1017355.6043517587</v>
      </c>
      <c r="Y1003" s="36">
        <f t="shared" si="861"/>
        <v>2.200297967552145E-2</v>
      </c>
      <c r="Z1003" s="34">
        <f t="shared" si="862"/>
        <v>22384.854685329588</v>
      </c>
      <c r="AA1003" s="34">
        <f t="shared" si="863"/>
        <v>1028548.0316944235</v>
      </c>
      <c r="AB1003" s="34">
        <f t="shared" si="864"/>
        <v>0</v>
      </c>
      <c r="AC1003" s="34">
        <f t="shared" si="865"/>
        <v>0</v>
      </c>
      <c r="AD1003" s="34">
        <f t="shared" si="866"/>
        <v>0</v>
      </c>
      <c r="AE1003" s="34">
        <f t="shared" si="867"/>
        <v>0</v>
      </c>
      <c r="AF1003" s="34">
        <f t="shared" si="868"/>
        <v>0</v>
      </c>
      <c r="AG1003" s="29">
        <f t="shared" si="869"/>
        <v>1028548.0316944235</v>
      </c>
      <c r="AH1003" s="34">
        <f t="shared" si="870"/>
        <v>0</v>
      </c>
      <c r="AI1003" s="34">
        <f t="shared" si="871"/>
        <v>0</v>
      </c>
      <c r="AJ1003" s="34">
        <f t="shared" si="872"/>
        <v>0</v>
      </c>
      <c r="AK1003" s="34">
        <f t="shared" si="873"/>
        <v>0</v>
      </c>
      <c r="AL1003" s="34">
        <f t="shared" si="874"/>
        <v>0</v>
      </c>
      <c r="AM1003" s="34">
        <f t="shared" si="875"/>
        <v>0</v>
      </c>
      <c r="AN1003" s="34">
        <f t="shared" si="876"/>
        <v>0</v>
      </c>
      <c r="AO1003" s="34">
        <f t="shared" si="877"/>
        <v>0</v>
      </c>
      <c r="AP1003" s="34">
        <f t="shared" si="878"/>
        <v>0</v>
      </c>
      <c r="AQ1003" s="34">
        <f t="shared" si="879"/>
        <v>0</v>
      </c>
      <c r="AR1003" s="34">
        <f t="shared" si="880"/>
        <v>0</v>
      </c>
      <c r="AS1003" s="30">
        <f t="shared" si="881"/>
        <v>2.2895723273889321</v>
      </c>
      <c r="AT1003" s="29">
        <f t="shared" si="882"/>
        <v>0</v>
      </c>
      <c r="AU1003" s="29">
        <f t="shared" si="883"/>
        <v>0</v>
      </c>
      <c r="AV1003" s="34">
        <f t="shared" si="884"/>
        <v>0</v>
      </c>
      <c r="AW1003" s="34">
        <f t="shared" si="885"/>
        <v>0</v>
      </c>
      <c r="AX1003" s="29">
        <f t="shared" si="886"/>
        <v>0</v>
      </c>
      <c r="AY1003" s="34">
        <f t="shared" si="887"/>
        <v>0</v>
      </c>
      <c r="AZ1003" s="37">
        <f t="shared" si="888"/>
        <v>0</v>
      </c>
      <c r="BA1003" s="37">
        <f t="shared" si="889"/>
        <v>0</v>
      </c>
      <c r="BB1003" s="35">
        <f t="shared" si="890"/>
        <v>1.7693464828369976E-3</v>
      </c>
      <c r="BC1003" s="31">
        <f t="shared" si="891"/>
        <v>0.1710130772541214</v>
      </c>
      <c r="BD1003" s="34">
        <f t="shared" si="892"/>
        <v>0</v>
      </c>
    </row>
    <row r="1004" spans="1:56" x14ac:dyDescent="0.2">
      <c r="A1004" s="27">
        <f t="shared" si="893"/>
        <v>1000</v>
      </c>
      <c r="B1004" s="28">
        <f t="shared" si="840"/>
        <v>1000</v>
      </c>
      <c r="C1004" s="27">
        <f t="shared" si="841"/>
        <v>83</v>
      </c>
      <c r="D1004" s="28">
        <f t="shared" si="842"/>
        <v>103</v>
      </c>
      <c r="E1004" s="29">
        <f t="shared" si="843"/>
        <v>0</v>
      </c>
      <c r="F1004" s="30">
        <f t="shared" si="844"/>
        <v>0.26211031409167013</v>
      </c>
      <c r="G1004" s="31">
        <f t="shared" si="845"/>
        <v>2.5011963731697562E-2</v>
      </c>
      <c r="H1004" s="32">
        <f t="shared" si="846"/>
        <v>0.02</v>
      </c>
      <c r="I1004" s="32">
        <f t="shared" si="847"/>
        <v>0</v>
      </c>
      <c r="J1004" s="33">
        <f t="shared" si="894"/>
        <v>0</v>
      </c>
      <c r="K1004" s="30">
        <f t="shared" si="848"/>
        <v>0</v>
      </c>
      <c r="L1004" s="33">
        <f t="shared" si="849"/>
        <v>0</v>
      </c>
      <c r="M1004" s="30">
        <f t="shared" si="850"/>
        <v>0</v>
      </c>
      <c r="N1004" s="33">
        <f t="shared" si="851"/>
        <v>0</v>
      </c>
      <c r="O1004" s="31">
        <f t="shared" si="852"/>
        <v>0</v>
      </c>
      <c r="P1004" s="33">
        <f t="shared" si="853"/>
        <v>0</v>
      </c>
      <c r="Q1004" s="34">
        <f t="shared" si="895"/>
        <v>1039740.4590370883</v>
      </c>
      <c r="R1004" s="29">
        <f t="shared" si="854"/>
        <v>0</v>
      </c>
      <c r="S1004" s="34">
        <f t="shared" si="855"/>
        <v>1039740.4590370883</v>
      </c>
      <c r="T1004" s="29">
        <f t="shared" si="856"/>
        <v>866.45038253090695</v>
      </c>
      <c r="U1004" s="29">
        <f t="shared" si="857"/>
        <v>0</v>
      </c>
      <c r="V1004" s="35">
        <f t="shared" si="858"/>
        <v>2.7513160104867321E-2</v>
      </c>
      <c r="W1004" s="34">
        <f t="shared" si="859"/>
        <v>0</v>
      </c>
      <c r="X1004" s="34">
        <f t="shared" si="860"/>
        <v>1038874.0086545574</v>
      </c>
      <c r="Y1004" s="36">
        <f t="shared" si="861"/>
        <v>1.7831754535601707E-2</v>
      </c>
      <c r="Z1004" s="34">
        <f t="shared" si="862"/>
        <v>18524.94631574463</v>
      </c>
      <c r="AA1004" s="34">
        <f t="shared" si="863"/>
        <v>1048136.4818124297</v>
      </c>
      <c r="AB1004" s="34">
        <f t="shared" si="864"/>
        <v>0</v>
      </c>
      <c r="AC1004" s="34">
        <f t="shared" si="865"/>
        <v>0</v>
      </c>
      <c r="AD1004" s="34">
        <f t="shared" si="866"/>
        <v>0</v>
      </c>
      <c r="AE1004" s="34">
        <f t="shared" si="867"/>
        <v>0</v>
      </c>
      <c r="AF1004" s="34">
        <f t="shared" si="868"/>
        <v>0</v>
      </c>
      <c r="AG1004" s="29">
        <f t="shared" si="869"/>
        <v>1048136.4818124297</v>
      </c>
      <c r="AH1004" s="34">
        <f t="shared" si="870"/>
        <v>0</v>
      </c>
      <c r="AI1004" s="34">
        <f t="shared" si="871"/>
        <v>0</v>
      </c>
      <c r="AJ1004" s="34">
        <f t="shared" si="872"/>
        <v>0</v>
      </c>
      <c r="AK1004" s="34">
        <f t="shared" si="873"/>
        <v>0</v>
      </c>
      <c r="AL1004" s="34">
        <f t="shared" si="874"/>
        <v>0</v>
      </c>
      <c r="AM1004" s="34">
        <f t="shared" si="875"/>
        <v>0</v>
      </c>
      <c r="AN1004" s="34">
        <f t="shared" si="876"/>
        <v>0</v>
      </c>
      <c r="AO1004" s="34">
        <f t="shared" si="877"/>
        <v>0</v>
      </c>
      <c r="AP1004" s="34">
        <f t="shared" si="878"/>
        <v>0</v>
      </c>
      <c r="AQ1004" s="34">
        <f t="shared" si="879"/>
        <v>0</v>
      </c>
      <c r="AR1004" s="34">
        <f t="shared" si="880"/>
        <v>0</v>
      </c>
      <c r="AS1004" s="30">
        <f t="shared" si="881"/>
        <v>2.2914716149000536</v>
      </c>
      <c r="AT1004" s="29">
        <f t="shared" si="882"/>
        <v>0</v>
      </c>
      <c r="AU1004" s="29">
        <f t="shared" si="883"/>
        <v>0</v>
      </c>
      <c r="AV1004" s="34">
        <f t="shared" si="884"/>
        <v>0</v>
      </c>
      <c r="AW1004" s="34">
        <f t="shared" si="885"/>
        <v>0</v>
      </c>
      <c r="AX1004" s="29">
        <f t="shared" si="886"/>
        <v>0</v>
      </c>
      <c r="AY1004" s="34">
        <f t="shared" si="887"/>
        <v>0</v>
      </c>
      <c r="AZ1004" s="37">
        <f t="shared" si="888"/>
        <v>0</v>
      </c>
      <c r="BA1004" s="37">
        <f t="shared" si="889"/>
        <v>0</v>
      </c>
      <c r="BB1004" s="35">
        <f t="shared" si="890"/>
        <v>1.7693464828369976E-3</v>
      </c>
      <c r="BC1004" s="31">
        <f t="shared" si="891"/>
        <v>0.1707110302930909</v>
      </c>
      <c r="BD1004" s="34">
        <f t="shared" si="892"/>
        <v>0</v>
      </c>
    </row>
    <row r="1005" spans="1:56" x14ac:dyDescent="0.2">
      <c r="A1005" s="27">
        <f t="shared" si="893"/>
        <v>1001</v>
      </c>
      <c r="B1005" s="28">
        <f t="shared" si="840"/>
        <v>1001</v>
      </c>
      <c r="C1005" s="27">
        <f t="shared" si="841"/>
        <v>83</v>
      </c>
      <c r="D1005" s="28">
        <f t="shared" si="842"/>
        <v>103</v>
      </c>
      <c r="E1005" s="29">
        <f t="shared" si="843"/>
        <v>0</v>
      </c>
      <c r="F1005" s="30">
        <f t="shared" si="844"/>
        <v>0.26211031409167013</v>
      </c>
      <c r="G1005" s="31">
        <f t="shared" si="845"/>
        <v>2.5011963731697562E-2</v>
      </c>
      <c r="H1005" s="32">
        <f t="shared" si="846"/>
        <v>0.02</v>
      </c>
      <c r="I1005" s="32">
        <f t="shared" si="847"/>
        <v>0</v>
      </c>
      <c r="J1005" s="33">
        <f t="shared" si="894"/>
        <v>0</v>
      </c>
      <c r="K1005" s="30">
        <f t="shared" si="848"/>
        <v>0</v>
      </c>
      <c r="L1005" s="33">
        <f t="shared" si="849"/>
        <v>0</v>
      </c>
      <c r="M1005" s="30">
        <f t="shared" si="850"/>
        <v>0</v>
      </c>
      <c r="N1005" s="33">
        <f t="shared" si="851"/>
        <v>0</v>
      </c>
      <c r="O1005" s="31">
        <f t="shared" si="852"/>
        <v>0</v>
      </c>
      <c r="P1005" s="33">
        <f t="shared" si="853"/>
        <v>0</v>
      </c>
      <c r="Q1005" s="34">
        <f t="shared" si="895"/>
        <v>1057398.9549703021</v>
      </c>
      <c r="R1005" s="29">
        <f t="shared" si="854"/>
        <v>0</v>
      </c>
      <c r="S1005" s="34">
        <f t="shared" si="855"/>
        <v>1057398.9549703021</v>
      </c>
      <c r="T1005" s="29">
        <f t="shared" si="856"/>
        <v>881.16579580858513</v>
      </c>
      <c r="U1005" s="29">
        <f t="shared" si="857"/>
        <v>0</v>
      </c>
      <c r="V1005" s="35">
        <f t="shared" si="858"/>
        <v>2.7513160104867321E-2</v>
      </c>
      <c r="W1005" s="34">
        <f t="shared" si="859"/>
        <v>0</v>
      </c>
      <c r="X1005" s="34">
        <f t="shared" si="860"/>
        <v>1056517.7891744934</v>
      </c>
      <c r="Y1005" s="36">
        <f t="shared" si="861"/>
        <v>7.9150704688675244E-3</v>
      </c>
      <c r="Z1005" s="34">
        <f t="shared" si="862"/>
        <v>8362.4127529282378</v>
      </c>
      <c r="AA1005" s="34">
        <f t="shared" si="863"/>
        <v>1060698.9955509575</v>
      </c>
      <c r="AB1005" s="34">
        <f t="shared" si="864"/>
        <v>0</v>
      </c>
      <c r="AC1005" s="34">
        <f t="shared" si="865"/>
        <v>0</v>
      </c>
      <c r="AD1005" s="34">
        <f t="shared" si="866"/>
        <v>0</v>
      </c>
      <c r="AE1005" s="34">
        <f t="shared" si="867"/>
        <v>0</v>
      </c>
      <c r="AF1005" s="34">
        <f t="shared" si="868"/>
        <v>0</v>
      </c>
      <c r="AG1005" s="29">
        <f t="shared" si="869"/>
        <v>1060698.9955509575</v>
      </c>
      <c r="AH1005" s="34">
        <f t="shared" si="870"/>
        <v>0</v>
      </c>
      <c r="AI1005" s="34">
        <f t="shared" si="871"/>
        <v>0</v>
      </c>
      <c r="AJ1005" s="34">
        <f t="shared" si="872"/>
        <v>0</v>
      </c>
      <c r="AK1005" s="34">
        <f t="shared" si="873"/>
        <v>0</v>
      </c>
      <c r="AL1005" s="34">
        <f t="shared" si="874"/>
        <v>0</v>
      </c>
      <c r="AM1005" s="34">
        <f t="shared" si="875"/>
        <v>0</v>
      </c>
      <c r="AN1005" s="34">
        <f t="shared" si="876"/>
        <v>0</v>
      </c>
      <c r="AO1005" s="34">
        <f t="shared" si="877"/>
        <v>0</v>
      </c>
      <c r="AP1005" s="34">
        <f t="shared" si="878"/>
        <v>0</v>
      </c>
      <c r="AQ1005" s="34">
        <f t="shared" si="879"/>
        <v>0</v>
      </c>
      <c r="AR1005" s="34">
        <f t="shared" si="880"/>
        <v>0</v>
      </c>
      <c r="AS1005" s="30">
        <f t="shared" si="881"/>
        <v>2.2933724779425564</v>
      </c>
      <c r="AT1005" s="29">
        <f t="shared" si="882"/>
        <v>0</v>
      </c>
      <c r="AU1005" s="29">
        <f t="shared" si="883"/>
        <v>0</v>
      </c>
      <c r="AV1005" s="34">
        <f t="shared" si="884"/>
        <v>0</v>
      </c>
      <c r="AW1005" s="34">
        <f t="shared" si="885"/>
        <v>0</v>
      </c>
      <c r="AX1005" s="29">
        <f t="shared" si="886"/>
        <v>0</v>
      </c>
      <c r="AY1005" s="34">
        <f t="shared" si="887"/>
        <v>0</v>
      </c>
      <c r="AZ1005" s="37">
        <f t="shared" si="888"/>
        <v>0</v>
      </c>
      <c r="BA1005" s="37">
        <f t="shared" si="889"/>
        <v>0</v>
      </c>
      <c r="BB1005" s="35">
        <f t="shared" si="890"/>
        <v>1.7693464828369976E-3</v>
      </c>
      <c r="BC1005" s="31">
        <f t="shared" si="891"/>
        <v>0.17040951681387431</v>
      </c>
      <c r="BD1005" s="34">
        <f t="shared" si="892"/>
        <v>0</v>
      </c>
    </row>
    <row r="1006" spans="1:56" x14ac:dyDescent="0.2">
      <c r="A1006" s="27">
        <f t="shared" si="893"/>
        <v>1002</v>
      </c>
      <c r="B1006" s="28">
        <f t="shared" si="840"/>
        <v>1002</v>
      </c>
      <c r="C1006" s="27">
        <f t="shared" si="841"/>
        <v>83</v>
      </c>
      <c r="D1006" s="28">
        <f t="shared" si="842"/>
        <v>103</v>
      </c>
      <c r="E1006" s="29">
        <f t="shared" si="843"/>
        <v>0</v>
      </c>
      <c r="F1006" s="30">
        <f t="shared" si="844"/>
        <v>0.26211031409167013</v>
      </c>
      <c r="G1006" s="31">
        <f t="shared" si="845"/>
        <v>2.5011963731697562E-2</v>
      </c>
      <c r="H1006" s="32">
        <f t="shared" si="846"/>
        <v>0.02</v>
      </c>
      <c r="I1006" s="32">
        <f t="shared" si="847"/>
        <v>0</v>
      </c>
      <c r="J1006" s="33">
        <f t="shared" si="894"/>
        <v>0</v>
      </c>
      <c r="K1006" s="30">
        <f t="shared" si="848"/>
        <v>0</v>
      </c>
      <c r="L1006" s="33">
        <f t="shared" si="849"/>
        <v>0</v>
      </c>
      <c r="M1006" s="30">
        <f t="shared" si="850"/>
        <v>0</v>
      </c>
      <c r="N1006" s="33">
        <f t="shared" si="851"/>
        <v>0</v>
      </c>
      <c r="O1006" s="31">
        <f t="shared" si="852"/>
        <v>0</v>
      </c>
      <c r="P1006" s="33">
        <f t="shared" si="853"/>
        <v>0</v>
      </c>
      <c r="Q1006" s="34">
        <f t="shared" si="895"/>
        <v>1064880.2019274216</v>
      </c>
      <c r="R1006" s="29">
        <f t="shared" si="854"/>
        <v>0</v>
      </c>
      <c r="S1006" s="34">
        <f t="shared" si="855"/>
        <v>1064880.2019274216</v>
      </c>
      <c r="T1006" s="29">
        <f t="shared" si="856"/>
        <v>887.40016827285137</v>
      </c>
      <c r="U1006" s="29">
        <f t="shared" si="857"/>
        <v>0</v>
      </c>
      <c r="V1006" s="35">
        <f t="shared" si="858"/>
        <v>2.7513160104867321E-2</v>
      </c>
      <c r="W1006" s="34">
        <f t="shared" si="859"/>
        <v>0</v>
      </c>
      <c r="X1006" s="34">
        <f t="shared" si="860"/>
        <v>1063992.8017591487</v>
      </c>
      <c r="Y1006" s="36">
        <f t="shared" si="861"/>
        <v>-9.5814667860782965E-4</v>
      </c>
      <c r="Z1006" s="34">
        <f t="shared" si="862"/>
        <v>-1019.4611690681672</v>
      </c>
      <c r="AA1006" s="34">
        <f t="shared" si="863"/>
        <v>1063483.0711746146</v>
      </c>
      <c r="AB1006" s="34">
        <f t="shared" si="864"/>
        <v>0</v>
      </c>
      <c r="AC1006" s="34">
        <f t="shared" si="865"/>
        <v>0</v>
      </c>
      <c r="AD1006" s="34">
        <f t="shared" si="866"/>
        <v>0</v>
      </c>
      <c r="AE1006" s="34">
        <f t="shared" si="867"/>
        <v>0</v>
      </c>
      <c r="AF1006" s="34">
        <f t="shared" si="868"/>
        <v>0</v>
      </c>
      <c r="AG1006" s="29">
        <f t="shared" si="869"/>
        <v>1063483.0711746146</v>
      </c>
      <c r="AH1006" s="34">
        <f t="shared" si="870"/>
        <v>0</v>
      </c>
      <c r="AI1006" s="34">
        <f t="shared" si="871"/>
        <v>0</v>
      </c>
      <c r="AJ1006" s="34">
        <f t="shared" si="872"/>
        <v>0</v>
      </c>
      <c r="AK1006" s="34">
        <f t="shared" si="873"/>
        <v>0</v>
      </c>
      <c r="AL1006" s="34">
        <f t="shared" si="874"/>
        <v>0</v>
      </c>
      <c r="AM1006" s="34">
        <f t="shared" si="875"/>
        <v>0</v>
      </c>
      <c r="AN1006" s="34">
        <f t="shared" si="876"/>
        <v>0</v>
      </c>
      <c r="AO1006" s="34">
        <f t="shared" si="877"/>
        <v>0</v>
      </c>
      <c r="AP1006" s="34">
        <f t="shared" si="878"/>
        <v>0</v>
      </c>
      <c r="AQ1006" s="34">
        <f t="shared" si="879"/>
        <v>0</v>
      </c>
      <c r="AR1006" s="34">
        <f t="shared" si="880"/>
        <v>0</v>
      </c>
      <c r="AS1006" s="30">
        <f t="shared" si="881"/>
        <v>2.2952749178234022</v>
      </c>
      <c r="AT1006" s="29">
        <f t="shared" si="882"/>
        <v>0</v>
      </c>
      <c r="AU1006" s="29">
        <f t="shared" si="883"/>
        <v>0</v>
      </c>
      <c r="AV1006" s="34">
        <f t="shared" si="884"/>
        <v>0</v>
      </c>
      <c r="AW1006" s="34">
        <f t="shared" si="885"/>
        <v>0</v>
      </c>
      <c r="AX1006" s="29">
        <f t="shared" si="886"/>
        <v>0</v>
      </c>
      <c r="AY1006" s="34">
        <f t="shared" si="887"/>
        <v>0</v>
      </c>
      <c r="AZ1006" s="37">
        <f t="shared" si="888"/>
        <v>0</v>
      </c>
      <c r="BA1006" s="37">
        <f t="shared" si="889"/>
        <v>0</v>
      </c>
      <c r="BB1006" s="35">
        <f t="shared" si="890"/>
        <v>1.7693464828369976E-3</v>
      </c>
      <c r="BC1006" s="31">
        <f t="shared" si="891"/>
        <v>0.1701085358742247</v>
      </c>
      <c r="BD1006" s="34">
        <f t="shared" si="892"/>
        <v>0</v>
      </c>
    </row>
    <row r="1007" spans="1:56" x14ac:dyDescent="0.2">
      <c r="A1007" s="27">
        <f t="shared" si="893"/>
        <v>1003</v>
      </c>
      <c r="B1007" s="28">
        <f t="shared" si="840"/>
        <v>1003</v>
      </c>
      <c r="C1007" s="27">
        <f t="shared" si="841"/>
        <v>83</v>
      </c>
      <c r="D1007" s="28">
        <f t="shared" si="842"/>
        <v>103</v>
      </c>
      <c r="E1007" s="29">
        <f t="shared" si="843"/>
        <v>0</v>
      </c>
      <c r="F1007" s="30">
        <f t="shared" si="844"/>
        <v>0.26211031409167013</v>
      </c>
      <c r="G1007" s="31">
        <f t="shared" si="845"/>
        <v>2.5011963731697562E-2</v>
      </c>
      <c r="H1007" s="32">
        <f t="shared" si="846"/>
        <v>0.02</v>
      </c>
      <c r="I1007" s="32">
        <f t="shared" si="847"/>
        <v>0</v>
      </c>
      <c r="J1007" s="33">
        <f t="shared" si="894"/>
        <v>0</v>
      </c>
      <c r="K1007" s="30">
        <f t="shared" si="848"/>
        <v>0</v>
      </c>
      <c r="L1007" s="33">
        <f t="shared" si="849"/>
        <v>0</v>
      </c>
      <c r="M1007" s="30">
        <f t="shared" si="850"/>
        <v>0</v>
      </c>
      <c r="N1007" s="33">
        <f t="shared" si="851"/>
        <v>0</v>
      </c>
      <c r="O1007" s="31">
        <f t="shared" si="852"/>
        <v>0</v>
      </c>
      <c r="P1007" s="33">
        <f t="shared" si="853"/>
        <v>0</v>
      </c>
      <c r="Q1007" s="34">
        <f t="shared" si="895"/>
        <v>1062973.3405900805</v>
      </c>
      <c r="R1007" s="29">
        <f t="shared" si="854"/>
        <v>0</v>
      </c>
      <c r="S1007" s="34">
        <f t="shared" si="855"/>
        <v>1062973.3405900805</v>
      </c>
      <c r="T1007" s="29">
        <f t="shared" si="856"/>
        <v>885.81111715840041</v>
      </c>
      <c r="U1007" s="29">
        <f t="shared" si="857"/>
        <v>0</v>
      </c>
      <c r="V1007" s="35">
        <f t="shared" si="858"/>
        <v>2.7513160104867321E-2</v>
      </c>
      <c r="W1007" s="34">
        <f t="shared" si="859"/>
        <v>0</v>
      </c>
      <c r="X1007" s="34">
        <f t="shared" si="860"/>
        <v>1062087.529472922</v>
      </c>
      <c r="Y1007" s="36">
        <f t="shared" si="861"/>
        <v>1.0028147162308931E-2</v>
      </c>
      <c r="Z1007" s="34">
        <f t="shared" si="862"/>
        <v>10650.770044807587</v>
      </c>
      <c r="AA1007" s="34">
        <f t="shared" si="863"/>
        <v>1067412.9144953259</v>
      </c>
      <c r="AB1007" s="34">
        <f t="shared" si="864"/>
        <v>0</v>
      </c>
      <c r="AC1007" s="34">
        <f t="shared" si="865"/>
        <v>0</v>
      </c>
      <c r="AD1007" s="34">
        <f t="shared" si="866"/>
        <v>0</v>
      </c>
      <c r="AE1007" s="34">
        <f t="shared" si="867"/>
        <v>0</v>
      </c>
      <c r="AF1007" s="34">
        <f t="shared" si="868"/>
        <v>0</v>
      </c>
      <c r="AG1007" s="29">
        <f t="shared" si="869"/>
        <v>1067412.9144953259</v>
      </c>
      <c r="AH1007" s="34">
        <f t="shared" si="870"/>
        <v>0</v>
      </c>
      <c r="AI1007" s="34">
        <f t="shared" si="871"/>
        <v>0</v>
      </c>
      <c r="AJ1007" s="34">
        <f t="shared" si="872"/>
        <v>0</v>
      </c>
      <c r="AK1007" s="34">
        <f t="shared" si="873"/>
        <v>0</v>
      </c>
      <c r="AL1007" s="34">
        <f t="shared" si="874"/>
        <v>0</v>
      </c>
      <c r="AM1007" s="34">
        <f t="shared" si="875"/>
        <v>0</v>
      </c>
      <c r="AN1007" s="34">
        <f t="shared" si="876"/>
        <v>0</v>
      </c>
      <c r="AO1007" s="34">
        <f t="shared" si="877"/>
        <v>0</v>
      </c>
      <c r="AP1007" s="34">
        <f t="shared" si="878"/>
        <v>0</v>
      </c>
      <c r="AQ1007" s="34">
        <f t="shared" si="879"/>
        <v>0</v>
      </c>
      <c r="AR1007" s="34">
        <f t="shared" si="880"/>
        <v>0</v>
      </c>
      <c r="AS1007" s="30">
        <f t="shared" si="881"/>
        <v>2.2971789358506394</v>
      </c>
      <c r="AT1007" s="29">
        <f t="shared" si="882"/>
        <v>0</v>
      </c>
      <c r="AU1007" s="29">
        <f t="shared" si="883"/>
        <v>0</v>
      </c>
      <c r="AV1007" s="34">
        <f t="shared" si="884"/>
        <v>0</v>
      </c>
      <c r="AW1007" s="34">
        <f t="shared" si="885"/>
        <v>0</v>
      </c>
      <c r="AX1007" s="29">
        <f t="shared" si="886"/>
        <v>0</v>
      </c>
      <c r="AY1007" s="34">
        <f t="shared" si="887"/>
        <v>0</v>
      </c>
      <c r="AZ1007" s="37">
        <f t="shared" si="888"/>
        <v>0</v>
      </c>
      <c r="BA1007" s="37">
        <f t="shared" si="889"/>
        <v>0</v>
      </c>
      <c r="BB1007" s="35">
        <f t="shared" si="890"/>
        <v>1.7693464828369976E-3</v>
      </c>
      <c r="BC1007" s="31">
        <f t="shared" si="891"/>
        <v>0.1698080865335593</v>
      </c>
      <c r="BD1007" s="34">
        <f t="shared" si="892"/>
        <v>0</v>
      </c>
    </row>
    <row r="1008" spans="1:56" x14ac:dyDescent="0.2">
      <c r="A1008" s="27">
        <f t="shared" si="893"/>
        <v>1004</v>
      </c>
      <c r="B1008" s="28">
        <f t="shared" si="840"/>
        <v>1004</v>
      </c>
      <c r="C1008" s="27">
        <f t="shared" si="841"/>
        <v>83</v>
      </c>
      <c r="D1008" s="28">
        <f t="shared" si="842"/>
        <v>103</v>
      </c>
      <c r="E1008" s="29">
        <f t="shared" si="843"/>
        <v>0</v>
      </c>
      <c r="F1008" s="30">
        <f t="shared" si="844"/>
        <v>0.26211031409167013</v>
      </c>
      <c r="G1008" s="31">
        <f t="shared" si="845"/>
        <v>2.5011963731697562E-2</v>
      </c>
      <c r="H1008" s="32">
        <f t="shared" si="846"/>
        <v>0.02</v>
      </c>
      <c r="I1008" s="32">
        <f t="shared" si="847"/>
        <v>0</v>
      </c>
      <c r="J1008" s="33">
        <f t="shared" si="894"/>
        <v>0</v>
      </c>
      <c r="K1008" s="30">
        <f t="shared" si="848"/>
        <v>0</v>
      </c>
      <c r="L1008" s="33">
        <f t="shared" si="849"/>
        <v>0</v>
      </c>
      <c r="M1008" s="30">
        <f t="shared" si="850"/>
        <v>0</v>
      </c>
      <c r="N1008" s="33">
        <f t="shared" si="851"/>
        <v>0</v>
      </c>
      <c r="O1008" s="31">
        <f t="shared" si="852"/>
        <v>0</v>
      </c>
      <c r="P1008" s="33">
        <f t="shared" si="853"/>
        <v>0</v>
      </c>
      <c r="Q1008" s="34">
        <f t="shared" si="895"/>
        <v>1072738.2995177296</v>
      </c>
      <c r="R1008" s="29">
        <f t="shared" si="854"/>
        <v>0</v>
      </c>
      <c r="S1008" s="34">
        <f t="shared" si="855"/>
        <v>1072738.2995177296</v>
      </c>
      <c r="T1008" s="29">
        <f t="shared" si="856"/>
        <v>893.94858293144136</v>
      </c>
      <c r="U1008" s="29">
        <f t="shared" si="857"/>
        <v>0</v>
      </c>
      <c r="V1008" s="35">
        <f t="shared" si="858"/>
        <v>2.7513160104867321E-2</v>
      </c>
      <c r="W1008" s="34">
        <f t="shared" si="859"/>
        <v>0</v>
      </c>
      <c r="X1008" s="34">
        <f t="shared" si="860"/>
        <v>1071844.3509347981</v>
      </c>
      <c r="Y1008" s="36">
        <f t="shared" si="861"/>
        <v>-5.9489194934121414E-3</v>
      </c>
      <c r="Z1008" s="34">
        <f t="shared" si="862"/>
        <v>-6376.3157531797051</v>
      </c>
      <c r="AA1008" s="34">
        <f t="shared" si="863"/>
        <v>1068656.1930582083</v>
      </c>
      <c r="AB1008" s="34">
        <f t="shared" si="864"/>
        <v>0</v>
      </c>
      <c r="AC1008" s="34">
        <f t="shared" si="865"/>
        <v>0</v>
      </c>
      <c r="AD1008" s="34">
        <f t="shared" si="866"/>
        <v>0</v>
      </c>
      <c r="AE1008" s="34">
        <f t="shared" si="867"/>
        <v>0</v>
      </c>
      <c r="AF1008" s="34">
        <f t="shared" si="868"/>
        <v>0</v>
      </c>
      <c r="AG1008" s="29">
        <f t="shared" si="869"/>
        <v>1068656.1930582083</v>
      </c>
      <c r="AH1008" s="34">
        <f t="shared" si="870"/>
        <v>0</v>
      </c>
      <c r="AI1008" s="34">
        <f t="shared" si="871"/>
        <v>0</v>
      </c>
      <c r="AJ1008" s="34">
        <f t="shared" si="872"/>
        <v>0</v>
      </c>
      <c r="AK1008" s="34">
        <f t="shared" si="873"/>
        <v>0</v>
      </c>
      <c r="AL1008" s="34">
        <f t="shared" si="874"/>
        <v>0</v>
      </c>
      <c r="AM1008" s="34">
        <f t="shared" si="875"/>
        <v>0</v>
      </c>
      <c r="AN1008" s="34">
        <f t="shared" si="876"/>
        <v>0</v>
      </c>
      <c r="AO1008" s="34">
        <f t="shared" si="877"/>
        <v>0</v>
      </c>
      <c r="AP1008" s="34">
        <f t="shared" si="878"/>
        <v>0</v>
      </c>
      <c r="AQ1008" s="34">
        <f t="shared" si="879"/>
        <v>0</v>
      </c>
      <c r="AR1008" s="34">
        <f t="shared" si="880"/>
        <v>0</v>
      </c>
      <c r="AS1008" s="30">
        <f t="shared" si="881"/>
        <v>2.2990845333334011</v>
      </c>
      <c r="AT1008" s="29">
        <f t="shared" si="882"/>
        <v>0</v>
      </c>
      <c r="AU1008" s="29">
        <f t="shared" si="883"/>
        <v>0</v>
      </c>
      <c r="AV1008" s="34">
        <f t="shared" si="884"/>
        <v>0</v>
      </c>
      <c r="AW1008" s="34">
        <f t="shared" si="885"/>
        <v>0</v>
      </c>
      <c r="AX1008" s="29">
        <f t="shared" si="886"/>
        <v>0</v>
      </c>
      <c r="AY1008" s="34">
        <f t="shared" si="887"/>
        <v>0</v>
      </c>
      <c r="AZ1008" s="37">
        <f t="shared" si="888"/>
        <v>0</v>
      </c>
      <c r="BA1008" s="37">
        <f t="shared" si="889"/>
        <v>0</v>
      </c>
      <c r="BB1008" s="35">
        <f t="shared" si="890"/>
        <v>1.7693464828369976E-3</v>
      </c>
      <c r="BC1008" s="31">
        <f t="shared" si="891"/>
        <v>0.16950816785295653</v>
      </c>
      <c r="BD1008" s="34">
        <f t="shared" si="892"/>
        <v>0</v>
      </c>
    </row>
    <row r="1009" spans="1:56" x14ac:dyDescent="0.2">
      <c r="A1009" s="27">
        <f t="shared" si="893"/>
        <v>1005</v>
      </c>
      <c r="B1009" s="28">
        <f t="shared" si="840"/>
        <v>1005</v>
      </c>
      <c r="C1009" s="27">
        <f t="shared" si="841"/>
        <v>83</v>
      </c>
      <c r="D1009" s="28">
        <f t="shared" si="842"/>
        <v>103</v>
      </c>
      <c r="E1009" s="29">
        <f t="shared" si="843"/>
        <v>0</v>
      </c>
      <c r="F1009" s="30">
        <f t="shared" si="844"/>
        <v>0.26211031409167013</v>
      </c>
      <c r="G1009" s="31">
        <f t="shared" si="845"/>
        <v>2.5011963731697562E-2</v>
      </c>
      <c r="H1009" s="32">
        <f t="shared" si="846"/>
        <v>0.02</v>
      </c>
      <c r="I1009" s="32">
        <f t="shared" si="847"/>
        <v>0</v>
      </c>
      <c r="J1009" s="33">
        <f t="shared" si="894"/>
        <v>0</v>
      </c>
      <c r="K1009" s="30">
        <f t="shared" si="848"/>
        <v>0</v>
      </c>
      <c r="L1009" s="33">
        <f t="shared" si="849"/>
        <v>0</v>
      </c>
      <c r="M1009" s="30">
        <f t="shared" si="850"/>
        <v>0</v>
      </c>
      <c r="N1009" s="33">
        <f t="shared" si="851"/>
        <v>0</v>
      </c>
      <c r="O1009" s="31">
        <f t="shared" si="852"/>
        <v>0</v>
      </c>
      <c r="P1009" s="33">
        <f t="shared" si="853"/>
        <v>0</v>
      </c>
      <c r="Q1009" s="34">
        <f t="shared" si="895"/>
        <v>1065468.0351816185</v>
      </c>
      <c r="R1009" s="29">
        <f t="shared" si="854"/>
        <v>0</v>
      </c>
      <c r="S1009" s="34">
        <f t="shared" si="855"/>
        <v>1065468.0351816185</v>
      </c>
      <c r="T1009" s="29">
        <f t="shared" si="856"/>
        <v>887.89002931801554</v>
      </c>
      <c r="U1009" s="29">
        <f t="shared" si="857"/>
        <v>0</v>
      </c>
      <c r="V1009" s="35">
        <f t="shared" si="858"/>
        <v>2.7513160104867321E-2</v>
      </c>
      <c r="W1009" s="34">
        <f t="shared" si="859"/>
        <v>0</v>
      </c>
      <c r="X1009" s="34">
        <f t="shared" si="860"/>
        <v>1064580.1451523006</v>
      </c>
      <c r="Y1009" s="36">
        <f t="shared" si="861"/>
        <v>5.6872618489809401E-3</v>
      </c>
      <c r="Z1009" s="34">
        <f t="shared" si="862"/>
        <v>6054.546044707271</v>
      </c>
      <c r="AA1009" s="34">
        <f t="shared" si="863"/>
        <v>1067607.4181746542</v>
      </c>
      <c r="AB1009" s="34">
        <f t="shared" si="864"/>
        <v>0</v>
      </c>
      <c r="AC1009" s="34">
        <f t="shared" si="865"/>
        <v>0</v>
      </c>
      <c r="AD1009" s="34">
        <f t="shared" si="866"/>
        <v>0</v>
      </c>
      <c r="AE1009" s="34">
        <f t="shared" si="867"/>
        <v>0</v>
      </c>
      <c r="AF1009" s="34">
        <f t="shared" si="868"/>
        <v>0</v>
      </c>
      <c r="AG1009" s="29">
        <f t="shared" si="869"/>
        <v>1067607.4181746542</v>
      </c>
      <c r="AH1009" s="34">
        <f t="shared" si="870"/>
        <v>0</v>
      </c>
      <c r="AI1009" s="34">
        <f t="shared" si="871"/>
        <v>0</v>
      </c>
      <c r="AJ1009" s="34">
        <f t="shared" si="872"/>
        <v>0</v>
      </c>
      <c r="AK1009" s="34">
        <f t="shared" si="873"/>
        <v>0</v>
      </c>
      <c r="AL1009" s="34">
        <f t="shared" si="874"/>
        <v>0</v>
      </c>
      <c r="AM1009" s="34">
        <f t="shared" si="875"/>
        <v>0</v>
      </c>
      <c r="AN1009" s="34">
        <f t="shared" si="876"/>
        <v>0</v>
      </c>
      <c r="AO1009" s="34">
        <f t="shared" si="877"/>
        <v>0</v>
      </c>
      <c r="AP1009" s="34">
        <f t="shared" si="878"/>
        <v>0</v>
      </c>
      <c r="AQ1009" s="34">
        <f t="shared" si="879"/>
        <v>0</v>
      </c>
      <c r="AR1009" s="34">
        <f t="shared" si="880"/>
        <v>0</v>
      </c>
      <c r="AS1009" s="30">
        <f t="shared" si="881"/>
        <v>2.3009917115819047</v>
      </c>
      <c r="AT1009" s="29">
        <f t="shared" si="882"/>
        <v>0</v>
      </c>
      <c r="AU1009" s="29">
        <f t="shared" si="883"/>
        <v>0</v>
      </c>
      <c r="AV1009" s="34">
        <f t="shared" si="884"/>
        <v>0</v>
      </c>
      <c r="AW1009" s="34">
        <f t="shared" si="885"/>
        <v>0</v>
      </c>
      <c r="AX1009" s="29">
        <f t="shared" si="886"/>
        <v>0</v>
      </c>
      <c r="AY1009" s="34">
        <f t="shared" si="887"/>
        <v>0</v>
      </c>
      <c r="AZ1009" s="37">
        <f t="shared" si="888"/>
        <v>0</v>
      </c>
      <c r="BA1009" s="37">
        <f t="shared" si="889"/>
        <v>0</v>
      </c>
      <c r="BB1009" s="35">
        <f t="shared" si="890"/>
        <v>1.7693464828369976E-3</v>
      </c>
      <c r="BC1009" s="31">
        <f t="shared" si="891"/>
        <v>0.16920877889515321</v>
      </c>
      <c r="BD1009" s="34">
        <f t="shared" si="892"/>
        <v>0</v>
      </c>
    </row>
    <row r="1010" spans="1:56" x14ac:dyDescent="0.2">
      <c r="A1010" s="27">
        <f t="shared" si="893"/>
        <v>1006</v>
      </c>
      <c r="B1010" s="28">
        <f t="shared" si="840"/>
        <v>1006</v>
      </c>
      <c r="C1010" s="27">
        <f t="shared" si="841"/>
        <v>83</v>
      </c>
      <c r="D1010" s="28">
        <f t="shared" si="842"/>
        <v>103</v>
      </c>
      <c r="E1010" s="29">
        <f t="shared" si="843"/>
        <v>0</v>
      </c>
      <c r="F1010" s="30">
        <f t="shared" si="844"/>
        <v>0.26211031409167013</v>
      </c>
      <c r="G1010" s="31">
        <f t="shared" si="845"/>
        <v>2.5011963731697562E-2</v>
      </c>
      <c r="H1010" s="32">
        <f t="shared" si="846"/>
        <v>0.02</v>
      </c>
      <c r="I1010" s="32">
        <f t="shared" si="847"/>
        <v>0</v>
      </c>
      <c r="J1010" s="33">
        <f t="shared" si="894"/>
        <v>0</v>
      </c>
      <c r="K1010" s="30">
        <f t="shared" si="848"/>
        <v>0</v>
      </c>
      <c r="L1010" s="33">
        <f t="shared" si="849"/>
        <v>0</v>
      </c>
      <c r="M1010" s="30">
        <f t="shared" si="850"/>
        <v>0</v>
      </c>
      <c r="N1010" s="33">
        <f t="shared" si="851"/>
        <v>0</v>
      </c>
      <c r="O1010" s="31">
        <f t="shared" si="852"/>
        <v>0</v>
      </c>
      <c r="P1010" s="33">
        <f t="shared" si="853"/>
        <v>0</v>
      </c>
      <c r="Q1010" s="34">
        <f t="shared" si="895"/>
        <v>1070634.6911970079</v>
      </c>
      <c r="R1010" s="29">
        <f t="shared" si="854"/>
        <v>0</v>
      </c>
      <c r="S1010" s="34">
        <f t="shared" si="855"/>
        <v>1070634.6911970079</v>
      </c>
      <c r="T1010" s="29">
        <f t="shared" si="856"/>
        <v>892.19557599750658</v>
      </c>
      <c r="U1010" s="29">
        <f t="shared" si="857"/>
        <v>0</v>
      </c>
      <c r="V1010" s="35">
        <f t="shared" si="858"/>
        <v>2.7513160104867321E-2</v>
      </c>
      <c r="W1010" s="34">
        <f t="shared" si="859"/>
        <v>0</v>
      </c>
      <c r="X1010" s="34">
        <f t="shared" si="860"/>
        <v>1069742.4956210104</v>
      </c>
      <c r="Y1010" s="36">
        <f t="shared" si="861"/>
        <v>-6.751710671882849E-4</v>
      </c>
      <c r="Z1010" s="34">
        <f t="shared" si="862"/>
        <v>-722.25918238509678</v>
      </c>
      <c r="AA1010" s="34">
        <f t="shared" si="863"/>
        <v>1069381.3660298178</v>
      </c>
      <c r="AB1010" s="34">
        <f t="shared" si="864"/>
        <v>0</v>
      </c>
      <c r="AC1010" s="34">
        <f t="shared" si="865"/>
        <v>0</v>
      </c>
      <c r="AD1010" s="34">
        <f t="shared" si="866"/>
        <v>0</v>
      </c>
      <c r="AE1010" s="34">
        <f t="shared" si="867"/>
        <v>0</v>
      </c>
      <c r="AF1010" s="34">
        <f t="shared" si="868"/>
        <v>0</v>
      </c>
      <c r="AG1010" s="29">
        <f t="shared" si="869"/>
        <v>1069381.3660298178</v>
      </c>
      <c r="AH1010" s="34">
        <f t="shared" si="870"/>
        <v>0</v>
      </c>
      <c r="AI1010" s="34">
        <f t="shared" si="871"/>
        <v>0</v>
      </c>
      <c r="AJ1010" s="34">
        <f t="shared" si="872"/>
        <v>0</v>
      </c>
      <c r="AK1010" s="34">
        <f t="shared" si="873"/>
        <v>0</v>
      </c>
      <c r="AL1010" s="34">
        <f t="shared" si="874"/>
        <v>0</v>
      </c>
      <c r="AM1010" s="34">
        <f t="shared" si="875"/>
        <v>0</v>
      </c>
      <c r="AN1010" s="34">
        <f t="shared" si="876"/>
        <v>0</v>
      </c>
      <c r="AO1010" s="34">
        <f t="shared" si="877"/>
        <v>0</v>
      </c>
      <c r="AP1010" s="34">
        <f t="shared" si="878"/>
        <v>0</v>
      </c>
      <c r="AQ1010" s="34">
        <f t="shared" si="879"/>
        <v>0</v>
      </c>
      <c r="AR1010" s="34">
        <f t="shared" si="880"/>
        <v>0</v>
      </c>
      <c r="AS1010" s="30">
        <f t="shared" si="881"/>
        <v>2.3029004719074568</v>
      </c>
      <c r="AT1010" s="29">
        <f t="shared" si="882"/>
        <v>0</v>
      </c>
      <c r="AU1010" s="29">
        <f t="shared" si="883"/>
        <v>0</v>
      </c>
      <c r="AV1010" s="34">
        <f t="shared" si="884"/>
        <v>0</v>
      </c>
      <c r="AW1010" s="34">
        <f t="shared" si="885"/>
        <v>0</v>
      </c>
      <c r="AX1010" s="29">
        <f t="shared" si="886"/>
        <v>0</v>
      </c>
      <c r="AY1010" s="34">
        <f t="shared" si="887"/>
        <v>0</v>
      </c>
      <c r="AZ1010" s="37">
        <f t="shared" si="888"/>
        <v>0</v>
      </c>
      <c r="BA1010" s="37">
        <f t="shared" si="889"/>
        <v>0</v>
      </c>
      <c r="BB1010" s="35">
        <f t="shared" si="890"/>
        <v>1.7693464828369976E-3</v>
      </c>
      <c r="BC1010" s="31">
        <f t="shared" si="891"/>
        <v>0.16890991872454167</v>
      </c>
      <c r="BD1010" s="34">
        <f t="shared" si="892"/>
        <v>0</v>
      </c>
    </row>
    <row r="1011" spans="1:56" x14ac:dyDescent="0.2">
      <c r="A1011" s="27">
        <f t="shared" si="893"/>
        <v>1007</v>
      </c>
      <c r="B1011" s="28">
        <f t="shared" si="840"/>
        <v>1007</v>
      </c>
      <c r="C1011" s="27">
        <f t="shared" si="841"/>
        <v>83</v>
      </c>
      <c r="D1011" s="28">
        <f t="shared" si="842"/>
        <v>103</v>
      </c>
      <c r="E1011" s="29">
        <f t="shared" si="843"/>
        <v>0</v>
      </c>
      <c r="F1011" s="30">
        <f t="shared" si="844"/>
        <v>0.26211031409167013</v>
      </c>
      <c r="G1011" s="31">
        <f t="shared" si="845"/>
        <v>2.5011963731697562E-2</v>
      </c>
      <c r="H1011" s="32">
        <f t="shared" si="846"/>
        <v>0.02</v>
      </c>
      <c r="I1011" s="32">
        <f t="shared" si="847"/>
        <v>0</v>
      </c>
      <c r="J1011" s="33">
        <f t="shared" si="894"/>
        <v>0</v>
      </c>
      <c r="K1011" s="30">
        <f t="shared" si="848"/>
        <v>0</v>
      </c>
      <c r="L1011" s="33">
        <f t="shared" si="849"/>
        <v>0</v>
      </c>
      <c r="M1011" s="30">
        <f t="shared" si="850"/>
        <v>0</v>
      </c>
      <c r="N1011" s="33">
        <f t="shared" si="851"/>
        <v>0</v>
      </c>
      <c r="O1011" s="31">
        <f t="shared" si="852"/>
        <v>0</v>
      </c>
      <c r="P1011" s="33">
        <f t="shared" si="853"/>
        <v>0</v>
      </c>
      <c r="Q1011" s="34">
        <f t="shared" si="895"/>
        <v>1069020.2364386253</v>
      </c>
      <c r="R1011" s="29">
        <f t="shared" si="854"/>
        <v>0</v>
      </c>
      <c r="S1011" s="34">
        <f t="shared" si="855"/>
        <v>1069020.2364386253</v>
      </c>
      <c r="T1011" s="29">
        <f t="shared" si="856"/>
        <v>890.85019703218779</v>
      </c>
      <c r="U1011" s="29">
        <f t="shared" si="857"/>
        <v>0</v>
      </c>
      <c r="V1011" s="35">
        <f t="shared" si="858"/>
        <v>2.7513160104867321E-2</v>
      </c>
      <c r="W1011" s="34">
        <f t="shared" si="859"/>
        <v>0</v>
      </c>
      <c r="X1011" s="34">
        <f t="shared" si="860"/>
        <v>1068129.3862415932</v>
      </c>
      <c r="Y1011" s="36">
        <f t="shared" si="861"/>
        <v>9.5154962095636009E-3</v>
      </c>
      <c r="Z1011" s="34">
        <f t="shared" si="862"/>
        <v>10163.781126105376</v>
      </c>
      <c r="AA1011" s="34">
        <f t="shared" si="863"/>
        <v>1073211.2768046458</v>
      </c>
      <c r="AB1011" s="34">
        <f t="shared" si="864"/>
        <v>0</v>
      </c>
      <c r="AC1011" s="34">
        <f t="shared" si="865"/>
        <v>0</v>
      </c>
      <c r="AD1011" s="34">
        <f t="shared" si="866"/>
        <v>0</v>
      </c>
      <c r="AE1011" s="34">
        <f t="shared" si="867"/>
        <v>0</v>
      </c>
      <c r="AF1011" s="34">
        <f t="shared" si="868"/>
        <v>0</v>
      </c>
      <c r="AG1011" s="29">
        <f t="shared" si="869"/>
        <v>1073211.2768046458</v>
      </c>
      <c r="AH1011" s="34">
        <f t="shared" si="870"/>
        <v>0</v>
      </c>
      <c r="AI1011" s="34">
        <f t="shared" si="871"/>
        <v>0</v>
      </c>
      <c r="AJ1011" s="34">
        <f t="shared" si="872"/>
        <v>0</v>
      </c>
      <c r="AK1011" s="34">
        <f t="shared" si="873"/>
        <v>0</v>
      </c>
      <c r="AL1011" s="34">
        <f t="shared" si="874"/>
        <v>0</v>
      </c>
      <c r="AM1011" s="34">
        <f t="shared" si="875"/>
        <v>0</v>
      </c>
      <c r="AN1011" s="34">
        <f t="shared" si="876"/>
        <v>0</v>
      </c>
      <c r="AO1011" s="34">
        <f t="shared" si="877"/>
        <v>0</v>
      </c>
      <c r="AP1011" s="34">
        <f t="shared" si="878"/>
        <v>0</v>
      </c>
      <c r="AQ1011" s="34">
        <f t="shared" si="879"/>
        <v>0</v>
      </c>
      <c r="AR1011" s="34">
        <f t="shared" si="880"/>
        <v>0</v>
      </c>
      <c r="AS1011" s="30">
        <f t="shared" si="881"/>
        <v>2.3048108156224503</v>
      </c>
      <c r="AT1011" s="29">
        <f t="shared" si="882"/>
        <v>0</v>
      </c>
      <c r="AU1011" s="29">
        <f t="shared" si="883"/>
        <v>0</v>
      </c>
      <c r="AV1011" s="34">
        <f t="shared" si="884"/>
        <v>0</v>
      </c>
      <c r="AW1011" s="34">
        <f t="shared" si="885"/>
        <v>0</v>
      </c>
      <c r="AX1011" s="29">
        <f t="shared" si="886"/>
        <v>0</v>
      </c>
      <c r="AY1011" s="34">
        <f t="shared" si="887"/>
        <v>0</v>
      </c>
      <c r="AZ1011" s="37">
        <f t="shared" si="888"/>
        <v>0</v>
      </c>
      <c r="BA1011" s="37">
        <f t="shared" si="889"/>
        <v>0</v>
      </c>
      <c r="BB1011" s="35">
        <f t="shared" si="890"/>
        <v>1.7693464828369976E-3</v>
      </c>
      <c r="BC1011" s="31">
        <f t="shared" si="891"/>
        <v>0.16861158640716656</v>
      </c>
      <c r="BD1011" s="34">
        <f t="shared" si="892"/>
        <v>0</v>
      </c>
    </row>
    <row r="1012" spans="1:56" x14ac:dyDescent="0.2">
      <c r="A1012" s="27">
        <f t="shared" si="893"/>
        <v>1008</v>
      </c>
      <c r="B1012" s="28">
        <f t="shared" si="840"/>
        <v>1008</v>
      </c>
      <c r="C1012" s="27">
        <f t="shared" si="841"/>
        <v>84</v>
      </c>
      <c r="D1012" s="28">
        <f t="shared" si="842"/>
        <v>104</v>
      </c>
      <c r="E1012" s="29">
        <f t="shared" si="843"/>
        <v>0</v>
      </c>
      <c r="F1012" s="30">
        <f t="shared" si="844"/>
        <v>0.3026999131391076</v>
      </c>
      <c r="G1012" s="31">
        <f t="shared" si="845"/>
        <v>2.9598088630362174E-2</v>
      </c>
      <c r="H1012" s="32">
        <f t="shared" si="846"/>
        <v>0.02</v>
      </c>
      <c r="I1012" s="32">
        <f t="shared" si="847"/>
        <v>0</v>
      </c>
      <c r="J1012" s="33">
        <f t="shared" si="894"/>
        <v>0</v>
      </c>
      <c r="K1012" s="30">
        <f t="shared" si="848"/>
        <v>0</v>
      </c>
      <c r="L1012" s="33">
        <f t="shared" si="849"/>
        <v>0</v>
      </c>
      <c r="M1012" s="30">
        <f t="shared" si="850"/>
        <v>0</v>
      </c>
      <c r="N1012" s="33">
        <f t="shared" si="851"/>
        <v>0</v>
      </c>
      <c r="O1012" s="31">
        <f t="shared" si="852"/>
        <v>0</v>
      </c>
      <c r="P1012" s="33">
        <f t="shared" si="853"/>
        <v>0</v>
      </c>
      <c r="Q1012" s="34">
        <f t="shared" si="895"/>
        <v>1078293.1673676986</v>
      </c>
      <c r="R1012" s="29">
        <f t="shared" si="854"/>
        <v>0</v>
      </c>
      <c r="S1012" s="34">
        <f t="shared" si="855"/>
        <v>1078293.1673676986</v>
      </c>
      <c r="T1012" s="29">
        <f t="shared" si="856"/>
        <v>898.57763947308229</v>
      </c>
      <c r="U1012" s="29">
        <f t="shared" si="857"/>
        <v>0</v>
      </c>
      <c r="V1012" s="35">
        <f t="shared" si="858"/>
        <v>3.2557897493398394E-2</v>
      </c>
      <c r="W1012" s="34">
        <f t="shared" si="859"/>
        <v>0</v>
      </c>
      <c r="X1012" s="34">
        <f t="shared" si="860"/>
        <v>1077394.5897282255</v>
      </c>
      <c r="Y1012" s="36">
        <f t="shared" si="861"/>
        <v>-2.1481814471218108E-3</v>
      </c>
      <c r="Z1012" s="34">
        <f t="shared" si="862"/>
        <v>-2314.4390688835892</v>
      </c>
      <c r="AA1012" s="34">
        <f t="shared" si="863"/>
        <v>1076237.3701937837</v>
      </c>
      <c r="AB1012" s="34">
        <f t="shared" si="864"/>
        <v>0</v>
      </c>
      <c r="AC1012" s="34">
        <f t="shared" si="865"/>
        <v>0</v>
      </c>
      <c r="AD1012" s="34">
        <f t="shared" si="866"/>
        <v>0</v>
      </c>
      <c r="AE1012" s="34">
        <f t="shared" si="867"/>
        <v>0</v>
      </c>
      <c r="AF1012" s="34">
        <f t="shared" si="868"/>
        <v>0</v>
      </c>
      <c r="AG1012" s="29">
        <f t="shared" si="869"/>
        <v>1076237.3701937837</v>
      </c>
      <c r="AH1012" s="34">
        <f t="shared" si="870"/>
        <v>0</v>
      </c>
      <c r="AI1012" s="34">
        <f t="shared" si="871"/>
        <v>0</v>
      </c>
      <c r="AJ1012" s="34">
        <f t="shared" si="872"/>
        <v>0</v>
      </c>
      <c r="AK1012" s="34">
        <f t="shared" si="873"/>
        <v>0</v>
      </c>
      <c r="AL1012" s="34">
        <f t="shared" si="874"/>
        <v>0</v>
      </c>
      <c r="AM1012" s="34">
        <f t="shared" si="875"/>
        <v>0</v>
      </c>
      <c r="AN1012" s="34">
        <f t="shared" si="876"/>
        <v>0</v>
      </c>
      <c r="AO1012" s="34">
        <f t="shared" si="877"/>
        <v>0</v>
      </c>
      <c r="AP1012" s="34">
        <f t="shared" si="878"/>
        <v>0</v>
      </c>
      <c r="AQ1012" s="34">
        <f t="shared" si="879"/>
        <v>0</v>
      </c>
      <c r="AR1012" s="34">
        <f t="shared" si="880"/>
        <v>0</v>
      </c>
      <c r="AS1012" s="30">
        <f t="shared" si="881"/>
        <v>2.3067227440403668</v>
      </c>
      <c r="AT1012" s="29">
        <f t="shared" si="882"/>
        <v>0</v>
      </c>
      <c r="AU1012" s="29">
        <f t="shared" si="883"/>
        <v>0</v>
      </c>
      <c r="AV1012" s="34">
        <f t="shared" si="884"/>
        <v>0</v>
      </c>
      <c r="AW1012" s="34">
        <f t="shared" si="885"/>
        <v>0</v>
      </c>
      <c r="AX1012" s="29">
        <f t="shared" si="886"/>
        <v>0</v>
      </c>
      <c r="AY1012" s="34">
        <f t="shared" si="887"/>
        <v>0</v>
      </c>
      <c r="AZ1012" s="37">
        <f t="shared" si="888"/>
        <v>0</v>
      </c>
      <c r="BA1012" s="37">
        <f t="shared" si="889"/>
        <v>0</v>
      </c>
      <c r="BB1012" s="35">
        <f t="shared" si="890"/>
        <v>1.788959215469843E-3</v>
      </c>
      <c r="BC1012" s="31">
        <f t="shared" si="891"/>
        <v>0.16502474918105914</v>
      </c>
      <c r="BD1012" s="34">
        <f t="shared" si="892"/>
        <v>0</v>
      </c>
    </row>
    <row r="1013" spans="1:56" x14ac:dyDescent="0.2">
      <c r="A1013" s="27">
        <f t="shared" si="893"/>
        <v>1009</v>
      </c>
      <c r="B1013" s="28">
        <f t="shared" si="840"/>
        <v>1009</v>
      </c>
      <c r="C1013" s="27">
        <f t="shared" si="841"/>
        <v>84</v>
      </c>
      <c r="D1013" s="28">
        <f t="shared" si="842"/>
        <v>104</v>
      </c>
      <c r="E1013" s="29">
        <f t="shared" si="843"/>
        <v>0</v>
      </c>
      <c r="F1013" s="30">
        <f t="shared" si="844"/>
        <v>0.3026999131391076</v>
      </c>
      <c r="G1013" s="31">
        <f t="shared" si="845"/>
        <v>2.9598088630362174E-2</v>
      </c>
      <c r="H1013" s="32">
        <f t="shared" si="846"/>
        <v>0.02</v>
      </c>
      <c r="I1013" s="32">
        <f t="shared" si="847"/>
        <v>0</v>
      </c>
      <c r="J1013" s="33">
        <f t="shared" si="894"/>
        <v>0</v>
      </c>
      <c r="K1013" s="30">
        <f t="shared" si="848"/>
        <v>0</v>
      </c>
      <c r="L1013" s="33">
        <f t="shared" si="849"/>
        <v>0</v>
      </c>
      <c r="M1013" s="30">
        <f t="shared" si="850"/>
        <v>0</v>
      </c>
      <c r="N1013" s="33">
        <f t="shared" si="851"/>
        <v>0</v>
      </c>
      <c r="O1013" s="31">
        <f t="shared" si="852"/>
        <v>0</v>
      </c>
      <c r="P1013" s="33">
        <f t="shared" si="853"/>
        <v>0</v>
      </c>
      <c r="Q1013" s="34">
        <f t="shared" si="895"/>
        <v>1075080.1506593418</v>
      </c>
      <c r="R1013" s="29">
        <f t="shared" si="854"/>
        <v>0</v>
      </c>
      <c r="S1013" s="34">
        <f t="shared" si="855"/>
        <v>1075080.1506593418</v>
      </c>
      <c r="T1013" s="29">
        <f t="shared" si="856"/>
        <v>895.90012554945156</v>
      </c>
      <c r="U1013" s="29">
        <f t="shared" si="857"/>
        <v>0</v>
      </c>
      <c r="V1013" s="35">
        <f t="shared" si="858"/>
        <v>3.2557897493398394E-2</v>
      </c>
      <c r="W1013" s="34">
        <f t="shared" si="859"/>
        <v>0</v>
      </c>
      <c r="X1013" s="34">
        <f t="shared" si="860"/>
        <v>1074184.2505337924</v>
      </c>
      <c r="Y1013" s="36">
        <f t="shared" si="861"/>
        <v>1.6799738006878728E-2</v>
      </c>
      <c r="Z1013" s="34">
        <f t="shared" si="862"/>
        <v>18046.013980083095</v>
      </c>
      <c r="AA1013" s="34">
        <f t="shared" si="863"/>
        <v>1083207.257523834</v>
      </c>
      <c r="AB1013" s="34">
        <f t="shared" si="864"/>
        <v>0</v>
      </c>
      <c r="AC1013" s="34">
        <f t="shared" si="865"/>
        <v>0</v>
      </c>
      <c r="AD1013" s="34">
        <f t="shared" si="866"/>
        <v>0</v>
      </c>
      <c r="AE1013" s="34">
        <f t="shared" si="867"/>
        <v>0</v>
      </c>
      <c r="AF1013" s="34">
        <f t="shared" si="868"/>
        <v>0</v>
      </c>
      <c r="AG1013" s="29">
        <f t="shared" si="869"/>
        <v>1083207.257523834</v>
      </c>
      <c r="AH1013" s="34">
        <f t="shared" si="870"/>
        <v>0</v>
      </c>
      <c r="AI1013" s="34">
        <f t="shared" si="871"/>
        <v>0</v>
      </c>
      <c r="AJ1013" s="34">
        <f t="shared" si="872"/>
        <v>0</v>
      </c>
      <c r="AK1013" s="34">
        <f t="shared" si="873"/>
        <v>0</v>
      </c>
      <c r="AL1013" s="34">
        <f t="shared" si="874"/>
        <v>0</v>
      </c>
      <c r="AM1013" s="34">
        <f t="shared" si="875"/>
        <v>0</v>
      </c>
      <c r="AN1013" s="34">
        <f t="shared" si="876"/>
        <v>0</v>
      </c>
      <c r="AO1013" s="34">
        <f t="shared" si="877"/>
        <v>0</v>
      </c>
      <c r="AP1013" s="34">
        <f t="shared" si="878"/>
        <v>0</v>
      </c>
      <c r="AQ1013" s="34">
        <f t="shared" si="879"/>
        <v>0</v>
      </c>
      <c r="AR1013" s="34">
        <f t="shared" si="880"/>
        <v>0</v>
      </c>
      <c r="AS1013" s="30">
        <f t="shared" si="881"/>
        <v>2.3086362584757771</v>
      </c>
      <c r="AT1013" s="29">
        <f t="shared" si="882"/>
        <v>0</v>
      </c>
      <c r="AU1013" s="29">
        <f t="shared" si="883"/>
        <v>0</v>
      </c>
      <c r="AV1013" s="34">
        <f t="shared" si="884"/>
        <v>0</v>
      </c>
      <c r="AW1013" s="34">
        <f t="shared" si="885"/>
        <v>0</v>
      </c>
      <c r="AX1013" s="29">
        <f t="shared" si="886"/>
        <v>0</v>
      </c>
      <c r="AY1013" s="34">
        <f t="shared" si="887"/>
        <v>0</v>
      </c>
      <c r="AZ1013" s="37">
        <f t="shared" si="888"/>
        <v>0</v>
      </c>
      <c r="BA1013" s="37">
        <f t="shared" si="889"/>
        <v>0</v>
      </c>
      <c r="BB1013" s="35">
        <f t="shared" si="890"/>
        <v>1.788959215469843E-3</v>
      </c>
      <c r="BC1013" s="31">
        <f t="shared" si="891"/>
        <v>0.16473005383318942</v>
      </c>
      <c r="BD1013" s="34">
        <f t="shared" si="892"/>
        <v>0</v>
      </c>
    </row>
    <row r="1014" spans="1:56" x14ac:dyDescent="0.2">
      <c r="A1014" s="27">
        <f t="shared" si="893"/>
        <v>1010</v>
      </c>
      <c r="B1014" s="28">
        <f t="shared" si="840"/>
        <v>1010</v>
      </c>
      <c r="C1014" s="27">
        <f t="shared" si="841"/>
        <v>84</v>
      </c>
      <c r="D1014" s="28">
        <f t="shared" si="842"/>
        <v>104</v>
      </c>
      <c r="E1014" s="29">
        <f t="shared" si="843"/>
        <v>0</v>
      </c>
      <c r="F1014" s="30">
        <f t="shared" si="844"/>
        <v>0.3026999131391076</v>
      </c>
      <c r="G1014" s="31">
        <f t="shared" si="845"/>
        <v>2.9598088630362174E-2</v>
      </c>
      <c r="H1014" s="32">
        <f t="shared" si="846"/>
        <v>0.02</v>
      </c>
      <c r="I1014" s="32">
        <f t="shared" si="847"/>
        <v>0</v>
      </c>
      <c r="J1014" s="33">
        <f t="shared" si="894"/>
        <v>0</v>
      </c>
      <c r="K1014" s="30">
        <f t="shared" si="848"/>
        <v>0</v>
      </c>
      <c r="L1014" s="33">
        <f t="shared" si="849"/>
        <v>0</v>
      </c>
      <c r="M1014" s="30">
        <f t="shared" si="850"/>
        <v>0</v>
      </c>
      <c r="N1014" s="33">
        <f t="shared" si="851"/>
        <v>0</v>
      </c>
      <c r="O1014" s="31">
        <f t="shared" si="852"/>
        <v>0</v>
      </c>
      <c r="P1014" s="33">
        <f t="shared" si="853"/>
        <v>0</v>
      </c>
      <c r="Q1014" s="34">
        <f t="shared" si="895"/>
        <v>1092230.2645138756</v>
      </c>
      <c r="R1014" s="29">
        <f t="shared" si="854"/>
        <v>0</v>
      </c>
      <c r="S1014" s="34">
        <f t="shared" si="855"/>
        <v>1092230.2645138756</v>
      </c>
      <c r="T1014" s="29">
        <f t="shared" si="856"/>
        <v>910.1918870948964</v>
      </c>
      <c r="U1014" s="29">
        <f t="shared" si="857"/>
        <v>0</v>
      </c>
      <c r="V1014" s="35">
        <f t="shared" si="858"/>
        <v>3.2557897493398394E-2</v>
      </c>
      <c r="W1014" s="34">
        <f t="shared" si="859"/>
        <v>0</v>
      </c>
      <c r="X1014" s="34">
        <f t="shared" si="860"/>
        <v>1091320.0726267807</v>
      </c>
      <c r="Y1014" s="36">
        <f t="shared" si="861"/>
        <v>4.4624910450630217E-3</v>
      </c>
      <c r="Z1014" s="34">
        <f t="shared" si="862"/>
        <v>4870.0060513945355</v>
      </c>
      <c r="AA1014" s="34">
        <f t="shared" si="863"/>
        <v>1093755.075652478</v>
      </c>
      <c r="AB1014" s="34">
        <f t="shared" si="864"/>
        <v>0</v>
      </c>
      <c r="AC1014" s="34">
        <f t="shared" si="865"/>
        <v>0</v>
      </c>
      <c r="AD1014" s="34">
        <f t="shared" si="866"/>
        <v>0</v>
      </c>
      <c r="AE1014" s="34">
        <f t="shared" si="867"/>
        <v>0</v>
      </c>
      <c r="AF1014" s="34">
        <f t="shared" si="868"/>
        <v>0</v>
      </c>
      <c r="AG1014" s="29">
        <f t="shared" si="869"/>
        <v>1093755.075652478</v>
      </c>
      <c r="AH1014" s="34">
        <f t="shared" si="870"/>
        <v>0</v>
      </c>
      <c r="AI1014" s="34">
        <f t="shared" si="871"/>
        <v>0</v>
      </c>
      <c r="AJ1014" s="34">
        <f t="shared" si="872"/>
        <v>0</v>
      </c>
      <c r="AK1014" s="34">
        <f t="shared" si="873"/>
        <v>0</v>
      </c>
      <c r="AL1014" s="34">
        <f t="shared" si="874"/>
        <v>0</v>
      </c>
      <c r="AM1014" s="34">
        <f t="shared" si="875"/>
        <v>0</v>
      </c>
      <c r="AN1014" s="34">
        <f t="shared" si="876"/>
        <v>0</v>
      </c>
      <c r="AO1014" s="34">
        <f t="shared" si="877"/>
        <v>0</v>
      </c>
      <c r="AP1014" s="34">
        <f t="shared" si="878"/>
        <v>0</v>
      </c>
      <c r="AQ1014" s="34">
        <f t="shared" si="879"/>
        <v>0</v>
      </c>
      <c r="AR1014" s="34">
        <f t="shared" si="880"/>
        <v>0</v>
      </c>
      <c r="AS1014" s="30">
        <f t="shared" si="881"/>
        <v>2.3105513602443444</v>
      </c>
      <c r="AT1014" s="29">
        <f t="shared" si="882"/>
        <v>0</v>
      </c>
      <c r="AU1014" s="29">
        <f t="shared" si="883"/>
        <v>0</v>
      </c>
      <c r="AV1014" s="34">
        <f t="shared" si="884"/>
        <v>0</v>
      </c>
      <c r="AW1014" s="34">
        <f t="shared" si="885"/>
        <v>0</v>
      </c>
      <c r="AX1014" s="29">
        <f t="shared" si="886"/>
        <v>0</v>
      </c>
      <c r="AY1014" s="34">
        <f t="shared" si="887"/>
        <v>0</v>
      </c>
      <c r="AZ1014" s="37">
        <f t="shared" si="888"/>
        <v>0</v>
      </c>
      <c r="BA1014" s="37">
        <f t="shared" si="889"/>
        <v>0</v>
      </c>
      <c r="BB1014" s="35">
        <f t="shared" si="890"/>
        <v>1.788959215469843E-3</v>
      </c>
      <c r="BC1014" s="31">
        <f t="shared" si="891"/>
        <v>0.1644358847418266</v>
      </c>
      <c r="BD1014" s="34">
        <f t="shared" si="892"/>
        <v>0</v>
      </c>
    </row>
    <row r="1015" spans="1:56" x14ac:dyDescent="0.2">
      <c r="A1015" s="27">
        <f t="shared" si="893"/>
        <v>1011</v>
      </c>
      <c r="B1015" s="28">
        <f t="shared" si="840"/>
        <v>1011</v>
      </c>
      <c r="C1015" s="27">
        <f t="shared" si="841"/>
        <v>84</v>
      </c>
      <c r="D1015" s="28">
        <f t="shared" si="842"/>
        <v>104</v>
      </c>
      <c r="E1015" s="29">
        <f t="shared" si="843"/>
        <v>0</v>
      </c>
      <c r="F1015" s="30">
        <f t="shared" si="844"/>
        <v>0.3026999131391076</v>
      </c>
      <c r="G1015" s="31">
        <f t="shared" si="845"/>
        <v>2.9598088630362174E-2</v>
      </c>
      <c r="H1015" s="32">
        <f t="shared" si="846"/>
        <v>0.02</v>
      </c>
      <c r="I1015" s="32">
        <f t="shared" si="847"/>
        <v>0</v>
      </c>
      <c r="J1015" s="33">
        <f t="shared" si="894"/>
        <v>0</v>
      </c>
      <c r="K1015" s="30">
        <f t="shared" si="848"/>
        <v>0</v>
      </c>
      <c r="L1015" s="33">
        <f t="shared" si="849"/>
        <v>0</v>
      </c>
      <c r="M1015" s="30">
        <f t="shared" si="850"/>
        <v>0</v>
      </c>
      <c r="N1015" s="33">
        <f t="shared" si="851"/>
        <v>0</v>
      </c>
      <c r="O1015" s="31">
        <f t="shared" si="852"/>
        <v>0</v>
      </c>
      <c r="P1015" s="33">
        <f t="shared" si="853"/>
        <v>0</v>
      </c>
      <c r="Q1015" s="34">
        <f t="shared" si="895"/>
        <v>1096190.0786781753</v>
      </c>
      <c r="R1015" s="29">
        <f t="shared" si="854"/>
        <v>0</v>
      </c>
      <c r="S1015" s="34">
        <f t="shared" si="855"/>
        <v>1096190.0786781753</v>
      </c>
      <c r="T1015" s="29">
        <f t="shared" si="856"/>
        <v>913.49173223181288</v>
      </c>
      <c r="U1015" s="29">
        <f t="shared" si="857"/>
        <v>0</v>
      </c>
      <c r="V1015" s="35">
        <f t="shared" si="858"/>
        <v>3.2557897493398394E-2</v>
      </c>
      <c r="W1015" s="34">
        <f t="shared" si="859"/>
        <v>0</v>
      </c>
      <c r="X1015" s="34">
        <f t="shared" si="860"/>
        <v>1095276.5869459435</v>
      </c>
      <c r="Y1015" s="36">
        <f t="shared" si="861"/>
        <v>1.7002093264508522E-2</v>
      </c>
      <c r="Z1015" s="34">
        <f t="shared" si="862"/>
        <v>18621.994681687509</v>
      </c>
      <c r="AA1015" s="34">
        <f t="shared" si="863"/>
        <v>1104587.5842867873</v>
      </c>
      <c r="AB1015" s="34">
        <f t="shared" si="864"/>
        <v>0</v>
      </c>
      <c r="AC1015" s="34">
        <f t="shared" si="865"/>
        <v>0</v>
      </c>
      <c r="AD1015" s="34">
        <f t="shared" si="866"/>
        <v>0</v>
      </c>
      <c r="AE1015" s="34">
        <f t="shared" si="867"/>
        <v>0</v>
      </c>
      <c r="AF1015" s="34">
        <f t="shared" si="868"/>
        <v>0</v>
      </c>
      <c r="AG1015" s="29">
        <f t="shared" si="869"/>
        <v>1104587.5842867873</v>
      </c>
      <c r="AH1015" s="34">
        <f t="shared" si="870"/>
        <v>0</v>
      </c>
      <c r="AI1015" s="34">
        <f t="shared" si="871"/>
        <v>0</v>
      </c>
      <c r="AJ1015" s="34">
        <f t="shared" si="872"/>
        <v>0</v>
      </c>
      <c r="AK1015" s="34">
        <f t="shared" si="873"/>
        <v>0</v>
      </c>
      <c r="AL1015" s="34">
        <f t="shared" si="874"/>
        <v>0</v>
      </c>
      <c r="AM1015" s="34">
        <f t="shared" si="875"/>
        <v>0</v>
      </c>
      <c r="AN1015" s="34">
        <f t="shared" si="876"/>
        <v>0</v>
      </c>
      <c r="AO1015" s="34">
        <f t="shared" si="877"/>
        <v>0</v>
      </c>
      <c r="AP1015" s="34">
        <f t="shared" si="878"/>
        <v>0</v>
      </c>
      <c r="AQ1015" s="34">
        <f t="shared" si="879"/>
        <v>0</v>
      </c>
      <c r="AR1015" s="34">
        <f t="shared" si="880"/>
        <v>0</v>
      </c>
      <c r="AS1015" s="30">
        <f t="shared" si="881"/>
        <v>2.3124680506628215</v>
      </c>
      <c r="AT1015" s="29">
        <f t="shared" si="882"/>
        <v>0</v>
      </c>
      <c r="AU1015" s="29">
        <f t="shared" si="883"/>
        <v>0</v>
      </c>
      <c r="AV1015" s="34">
        <f t="shared" si="884"/>
        <v>0</v>
      </c>
      <c r="AW1015" s="34">
        <f t="shared" si="885"/>
        <v>0</v>
      </c>
      <c r="AX1015" s="29">
        <f t="shared" si="886"/>
        <v>0</v>
      </c>
      <c r="AY1015" s="34">
        <f t="shared" si="887"/>
        <v>0</v>
      </c>
      <c r="AZ1015" s="37">
        <f t="shared" si="888"/>
        <v>0</v>
      </c>
      <c r="BA1015" s="37">
        <f t="shared" si="889"/>
        <v>0</v>
      </c>
      <c r="BB1015" s="35">
        <f t="shared" si="890"/>
        <v>1.788959215469843E-3</v>
      </c>
      <c r="BC1015" s="31">
        <f t="shared" si="891"/>
        <v>0.16414224096720048</v>
      </c>
      <c r="BD1015" s="34">
        <f t="shared" si="892"/>
        <v>0</v>
      </c>
    </row>
    <row r="1016" spans="1:56" x14ac:dyDescent="0.2">
      <c r="A1016" s="27">
        <f t="shared" si="893"/>
        <v>1012</v>
      </c>
      <c r="B1016" s="28">
        <f t="shared" si="840"/>
        <v>1012</v>
      </c>
      <c r="C1016" s="27">
        <f t="shared" si="841"/>
        <v>84</v>
      </c>
      <c r="D1016" s="28">
        <f t="shared" si="842"/>
        <v>104</v>
      </c>
      <c r="E1016" s="29">
        <f t="shared" si="843"/>
        <v>0</v>
      </c>
      <c r="F1016" s="30">
        <f t="shared" si="844"/>
        <v>0.3026999131391076</v>
      </c>
      <c r="G1016" s="31">
        <f t="shared" si="845"/>
        <v>2.9598088630362174E-2</v>
      </c>
      <c r="H1016" s="32">
        <f t="shared" si="846"/>
        <v>0.02</v>
      </c>
      <c r="I1016" s="32">
        <f t="shared" si="847"/>
        <v>0</v>
      </c>
      <c r="J1016" s="33">
        <f t="shared" si="894"/>
        <v>0</v>
      </c>
      <c r="K1016" s="30">
        <f t="shared" si="848"/>
        <v>0</v>
      </c>
      <c r="L1016" s="33">
        <f t="shared" si="849"/>
        <v>0</v>
      </c>
      <c r="M1016" s="30">
        <f t="shared" si="850"/>
        <v>0</v>
      </c>
      <c r="N1016" s="33">
        <f t="shared" si="851"/>
        <v>0</v>
      </c>
      <c r="O1016" s="31">
        <f t="shared" si="852"/>
        <v>0</v>
      </c>
      <c r="P1016" s="33">
        <f t="shared" si="853"/>
        <v>0</v>
      </c>
      <c r="Q1016" s="34">
        <f t="shared" si="895"/>
        <v>1113898.5816276311</v>
      </c>
      <c r="R1016" s="29">
        <f t="shared" si="854"/>
        <v>0</v>
      </c>
      <c r="S1016" s="34">
        <f t="shared" si="855"/>
        <v>1113898.5816276311</v>
      </c>
      <c r="T1016" s="29">
        <f t="shared" si="856"/>
        <v>928.24881802302593</v>
      </c>
      <c r="U1016" s="29">
        <f t="shared" si="857"/>
        <v>0</v>
      </c>
      <c r="V1016" s="35">
        <f t="shared" si="858"/>
        <v>3.2557897493398394E-2</v>
      </c>
      <c r="W1016" s="34">
        <f t="shared" si="859"/>
        <v>0</v>
      </c>
      <c r="X1016" s="34">
        <f t="shared" si="860"/>
        <v>1112970.332809608</v>
      </c>
      <c r="Y1016" s="36">
        <f t="shared" si="861"/>
        <v>-1.0234515181955395E-2</v>
      </c>
      <c r="Z1016" s="34">
        <f t="shared" si="862"/>
        <v>-11390.711768205882</v>
      </c>
      <c r="AA1016" s="34">
        <f t="shared" si="863"/>
        <v>1107274.9769255051</v>
      </c>
      <c r="AB1016" s="34">
        <f t="shared" si="864"/>
        <v>0</v>
      </c>
      <c r="AC1016" s="34">
        <f t="shared" si="865"/>
        <v>0</v>
      </c>
      <c r="AD1016" s="34">
        <f t="shared" si="866"/>
        <v>0</v>
      </c>
      <c r="AE1016" s="34">
        <f t="shared" si="867"/>
        <v>0</v>
      </c>
      <c r="AF1016" s="34">
        <f t="shared" si="868"/>
        <v>0</v>
      </c>
      <c r="AG1016" s="29">
        <f t="shared" si="869"/>
        <v>1107274.9769255051</v>
      </c>
      <c r="AH1016" s="34">
        <f t="shared" si="870"/>
        <v>0</v>
      </c>
      <c r="AI1016" s="34">
        <f t="shared" si="871"/>
        <v>0</v>
      </c>
      <c r="AJ1016" s="34">
        <f t="shared" si="872"/>
        <v>0</v>
      </c>
      <c r="AK1016" s="34">
        <f t="shared" si="873"/>
        <v>0</v>
      </c>
      <c r="AL1016" s="34">
        <f t="shared" si="874"/>
        <v>0</v>
      </c>
      <c r="AM1016" s="34">
        <f t="shared" si="875"/>
        <v>0</v>
      </c>
      <c r="AN1016" s="34">
        <f t="shared" si="876"/>
        <v>0</v>
      </c>
      <c r="AO1016" s="34">
        <f t="shared" si="877"/>
        <v>0</v>
      </c>
      <c r="AP1016" s="34">
        <f t="shared" si="878"/>
        <v>0</v>
      </c>
      <c r="AQ1016" s="34">
        <f t="shared" si="879"/>
        <v>0</v>
      </c>
      <c r="AR1016" s="34">
        <f t="shared" si="880"/>
        <v>0</v>
      </c>
      <c r="AS1016" s="30">
        <f t="shared" si="881"/>
        <v>2.3143863310490542</v>
      </c>
      <c r="AT1016" s="29">
        <f t="shared" si="882"/>
        <v>0</v>
      </c>
      <c r="AU1016" s="29">
        <f t="shared" si="883"/>
        <v>0</v>
      </c>
      <c r="AV1016" s="34">
        <f t="shared" si="884"/>
        <v>0</v>
      </c>
      <c r="AW1016" s="34">
        <f t="shared" si="885"/>
        <v>0</v>
      </c>
      <c r="AX1016" s="29">
        <f t="shared" si="886"/>
        <v>0</v>
      </c>
      <c r="AY1016" s="34">
        <f t="shared" si="887"/>
        <v>0</v>
      </c>
      <c r="AZ1016" s="37">
        <f t="shared" si="888"/>
        <v>0</v>
      </c>
      <c r="BA1016" s="37">
        <f t="shared" si="889"/>
        <v>0</v>
      </c>
      <c r="BB1016" s="35">
        <f t="shared" si="890"/>
        <v>1.788959215469843E-3</v>
      </c>
      <c r="BC1016" s="31">
        <f t="shared" si="891"/>
        <v>0.16384912157121898</v>
      </c>
      <c r="BD1016" s="34">
        <f t="shared" si="892"/>
        <v>0</v>
      </c>
    </row>
    <row r="1017" spans="1:56" x14ac:dyDescent="0.2">
      <c r="A1017" s="27">
        <f t="shared" si="893"/>
        <v>1013</v>
      </c>
      <c r="B1017" s="28">
        <f t="shared" si="840"/>
        <v>1013</v>
      </c>
      <c r="C1017" s="27">
        <f t="shared" si="841"/>
        <v>84</v>
      </c>
      <c r="D1017" s="28">
        <f t="shared" si="842"/>
        <v>104</v>
      </c>
      <c r="E1017" s="29">
        <f t="shared" si="843"/>
        <v>0</v>
      </c>
      <c r="F1017" s="30">
        <f t="shared" si="844"/>
        <v>0.3026999131391076</v>
      </c>
      <c r="G1017" s="31">
        <f t="shared" si="845"/>
        <v>2.9598088630362174E-2</v>
      </c>
      <c r="H1017" s="32">
        <f t="shared" si="846"/>
        <v>0.02</v>
      </c>
      <c r="I1017" s="32">
        <f t="shared" si="847"/>
        <v>0</v>
      </c>
      <c r="J1017" s="33">
        <f t="shared" si="894"/>
        <v>0</v>
      </c>
      <c r="K1017" s="30">
        <f t="shared" si="848"/>
        <v>0</v>
      </c>
      <c r="L1017" s="33">
        <f t="shared" si="849"/>
        <v>0</v>
      </c>
      <c r="M1017" s="30">
        <f t="shared" si="850"/>
        <v>0</v>
      </c>
      <c r="N1017" s="33">
        <f t="shared" si="851"/>
        <v>0</v>
      </c>
      <c r="O1017" s="31">
        <f t="shared" si="852"/>
        <v>0</v>
      </c>
      <c r="P1017" s="33">
        <f t="shared" si="853"/>
        <v>0</v>
      </c>
      <c r="Q1017" s="34">
        <f t="shared" si="895"/>
        <v>1101579.621041402</v>
      </c>
      <c r="R1017" s="29">
        <f t="shared" si="854"/>
        <v>0</v>
      </c>
      <c r="S1017" s="34">
        <f t="shared" si="855"/>
        <v>1101579.621041402</v>
      </c>
      <c r="T1017" s="29">
        <f t="shared" si="856"/>
        <v>917.98301753450176</v>
      </c>
      <c r="U1017" s="29">
        <f t="shared" si="857"/>
        <v>0</v>
      </c>
      <c r="V1017" s="35">
        <f t="shared" si="858"/>
        <v>3.2557897493398394E-2</v>
      </c>
      <c r="W1017" s="34">
        <f t="shared" si="859"/>
        <v>0</v>
      </c>
      <c r="X1017" s="34">
        <f t="shared" si="860"/>
        <v>1100661.6380238675</v>
      </c>
      <c r="Y1017" s="36">
        <f t="shared" si="861"/>
        <v>-6.7167940410923777E-3</v>
      </c>
      <c r="Z1017" s="34">
        <f t="shared" si="862"/>
        <v>-7392.9175315376888</v>
      </c>
      <c r="AA1017" s="34">
        <f t="shared" si="863"/>
        <v>1096965.1792580986</v>
      </c>
      <c r="AB1017" s="34">
        <f t="shared" si="864"/>
        <v>0</v>
      </c>
      <c r="AC1017" s="34">
        <f t="shared" si="865"/>
        <v>0</v>
      </c>
      <c r="AD1017" s="34">
        <f t="shared" si="866"/>
        <v>0</v>
      </c>
      <c r="AE1017" s="34">
        <f t="shared" si="867"/>
        <v>0</v>
      </c>
      <c r="AF1017" s="34">
        <f t="shared" si="868"/>
        <v>0</v>
      </c>
      <c r="AG1017" s="29">
        <f t="shared" si="869"/>
        <v>1096965.1792580986</v>
      </c>
      <c r="AH1017" s="34">
        <f t="shared" si="870"/>
        <v>0</v>
      </c>
      <c r="AI1017" s="34">
        <f t="shared" si="871"/>
        <v>0</v>
      </c>
      <c r="AJ1017" s="34">
        <f t="shared" si="872"/>
        <v>0</v>
      </c>
      <c r="AK1017" s="34">
        <f t="shared" si="873"/>
        <v>0</v>
      </c>
      <c r="AL1017" s="34">
        <f t="shared" si="874"/>
        <v>0</v>
      </c>
      <c r="AM1017" s="34">
        <f t="shared" si="875"/>
        <v>0</v>
      </c>
      <c r="AN1017" s="34">
        <f t="shared" si="876"/>
        <v>0</v>
      </c>
      <c r="AO1017" s="34">
        <f t="shared" si="877"/>
        <v>0</v>
      </c>
      <c r="AP1017" s="34">
        <f t="shared" si="878"/>
        <v>0</v>
      </c>
      <c r="AQ1017" s="34">
        <f t="shared" si="879"/>
        <v>0</v>
      </c>
      <c r="AR1017" s="34">
        <f t="shared" si="880"/>
        <v>0</v>
      </c>
      <c r="AS1017" s="30">
        <f t="shared" si="881"/>
        <v>2.3163062027219818</v>
      </c>
      <c r="AT1017" s="29">
        <f t="shared" si="882"/>
        <v>0</v>
      </c>
      <c r="AU1017" s="29">
        <f t="shared" si="883"/>
        <v>0</v>
      </c>
      <c r="AV1017" s="34">
        <f t="shared" si="884"/>
        <v>0</v>
      </c>
      <c r="AW1017" s="34">
        <f t="shared" si="885"/>
        <v>0</v>
      </c>
      <c r="AX1017" s="29">
        <f t="shared" si="886"/>
        <v>0</v>
      </c>
      <c r="AY1017" s="34">
        <f t="shared" si="887"/>
        <v>0</v>
      </c>
      <c r="AZ1017" s="37">
        <f t="shared" si="888"/>
        <v>0</v>
      </c>
      <c r="BA1017" s="37">
        <f t="shared" si="889"/>
        <v>0</v>
      </c>
      <c r="BB1017" s="35">
        <f t="shared" si="890"/>
        <v>1.788959215469843E-3</v>
      </c>
      <c r="BC1017" s="31">
        <f t="shared" si="891"/>
        <v>0.16355652561746542</v>
      </c>
      <c r="BD1017" s="34">
        <f t="shared" si="892"/>
        <v>0</v>
      </c>
    </row>
    <row r="1018" spans="1:56" x14ac:dyDescent="0.2">
      <c r="A1018" s="27">
        <f t="shared" si="893"/>
        <v>1014</v>
      </c>
      <c r="B1018" s="28">
        <f t="shared" si="840"/>
        <v>1014</v>
      </c>
      <c r="C1018" s="27">
        <f t="shared" si="841"/>
        <v>84</v>
      </c>
      <c r="D1018" s="28">
        <f t="shared" si="842"/>
        <v>104</v>
      </c>
      <c r="E1018" s="29">
        <f t="shared" si="843"/>
        <v>0</v>
      </c>
      <c r="F1018" s="30">
        <f t="shared" si="844"/>
        <v>0.3026999131391076</v>
      </c>
      <c r="G1018" s="31">
        <f t="shared" si="845"/>
        <v>2.9598088630362174E-2</v>
      </c>
      <c r="H1018" s="32">
        <f t="shared" si="846"/>
        <v>0.02</v>
      </c>
      <c r="I1018" s="32">
        <f t="shared" si="847"/>
        <v>0</v>
      </c>
      <c r="J1018" s="33">
        <f t="shared" si="894"/>
        <v>0</v>
      </c>
      <c r="K1018" s="30">
        <f t="shared" si="848"/>
        <v>0</v>
      </c>
      <c r="L1018" s="33">
        <f t="shared" si="849"/>
        <v>0</v>
      </c>
      <c r="M1018" s="30">
        <f t="shared" si="850"/>
        <v>0</v>
      </c>
      <c r="N1018" s="33">
        <f t="shared" si="851"/>
        <v>0</v>
      </c>
      <c r="O1018" s="31">
        <f t="shared" si="852"/>
        <v>0</v>
      </c>
      <c r="P1018" s="33">
        <f t="shared" si="853"/>
        <v>0</v>
      </c>
      <c r="Q1018" s="34">
        <f t="shared" si="895"/>
        <v>1093268.7204923299</v>
      </c>
      <c r="R1018" s="29">
        <f t="shared" si="854"/>
        <v>0</v>
      </c>
      <c r="S1018" s="34">
        <f t="shared" si="855"/>
        <v>1093268.7204923299</v>
      </c>
      <c r="T1018" s="29">
        <f t="shared" si="856"/>
        <v>911.05726707694168</v>
      </c>
      <c r="U1018" s="29">
        <f t="shared" si="857"/>
        <v>0</v>
      </c>
      <c r="V1018" s="35">
        <f t="shared" si="858"/>
        <v>3.2557897493398394E-2</v>
      </c>
      <c r="W1018" s="34">
        <f t="shared" si="859"/>
        <v>0</v>
      </c>
      <c r="X1018" s="34">
        <f t="shared" si="860"/>
        <v>1092357.6632252529</v>
      </c>
      <c r="Y1018" s="36">
        <f t="shared" si="861"/>
        <v>9.0515044047001503E-4</v>
      </c>
      <c r="Z1018" s="34">
        <f t="shared" si="862"/>
        <v>988.74802001913395</v>
      </c>
      <c r="AA1018" s="34">
        <f t="shared" si="863"/>
        <v>1092852.0372352623</v>
      </c>
      <c r="AB1018" s="34">
        <f t="shared" si="864"/>
        <v>0</v>
      </c>
      <c r="AC1018" s="34">
        <f t="shared" si="865"/>
        <v>0</v>
      </c>
      <c r="AD1018" s="34">
        <f t="shared" si="866"/>
        <v>0</v>
      </c>
      <c r="AE1018" s="34">
        <f t="shared" si="867"/>
        <v>0</v>
      </c>
      <c r="AF1018" s="34">
        <f t="shared" si="868"/>
        <v>0</v>
      </c>
      <c r="AG1018" s="29">
        <f t="shared" si="869"/>
        <v>1092852.0372352623</v>
      </c>
      <c r="AH1018" s="34">
        <f t="shared" si="870"/>
        <v>0</v>
      </c>
      <c r="AI1018" s="34">
        <f t="shared" si="871"/>
        <v>0</v>
      </c>
      <c r="AJ1018" s="34">
        <f t="shared" si="872"/>
        <v>0</v>
      </c>
      <c r="AK1018" s="34">
        <f t="shared" si="873"/>
        <v>0</v>
      </c>
      <c r="AL1018" s="34">
        <f t="shared" si="874"/>
        <v>0</v>
      </c>
      <c r="AM1018" s="34">
        <f t="shared" si="875"/>
        <v>0</v>
      </c>
      <c r="AN1018" s="34">
        <f t="shared" si="876"/>
        <v>0</v>
      </c>
      <c r="AO1018" s="34">
        <f t="shared" si="877"/>
        <v>0</v>
      </c>
      <c r="AP1018" s="34">
        <f t="shared" si="878"/>
        <v>0</v>
      </c>
      <c r="AQ1018" s="34">
        <f t="shared" si="879"/>
        <v>0</v>
      </c>
      <c r="AR1018" s="34">
        <f t="shared" si="880"/>
        <v>0</v>
      </c>
      <c r="AS1018" s="30">
        <f t="shared" si="881"/>
        <v>2.318227667001636</v>
      </c>
      <c r="AT1018" s="29">
        <f t="shared" si="882"/>
        <v>0</v>
      </c>
      <c r="AU1018" s="29">
        <f t="shared" si="883"/>
        <v>0</v>
      </c>
      <c r="AV1018" s="34">
        <f t="shared" si="884"/>
        <v>0</v>
      </c>
      <c r="AW1018" s="34">
        <f t="shared" si="885"/>
        <v>0</v>
      </c>
      <c r="AX1018" s="29">
        <f t="shared" si="886"/>
        <v>0</v>
      </c>
      <c r="AY1018" s="34">
        <f t="shared" si="887"/>
        <v>0</v>
      </c>
      <c r="AZ1018" s="37">
        <f t="shared" si="888"/>
        <v>0</v>
      </c>
      <c r="BA1018" s="37">
        <f t="shared" si="889"/>
        <v>0</v>
      </c>
      <c r="BB1018" s="35">
        <f t="shared" si="890"/>
        <v>1.788959215469843E-3</v>
      </c>
      <c r="BC1018" s="31">
        <f t="shared" si="891"/>
        <v>0.16326445217119512</v>
      </c>
      <c r="BD1018" s="34">
        <f t="shared" si="892"/>
        <v>0</v>
      </c>
    </row>
    <row r="1019" spans="1:56" x14ac:dyDescent="0.2">
      <c r="A1019" s="27">
        <f t="shared" si="893"/>
        <v>1015</v>
      </c>
      <c r="B1019" s="28">
        <f t="shared" si="840"/>
        <v>1015</v>
      </c>
      <c r="C1019" s="27">
        <f t="shared" si="841"/>
        <v>84</v>
      </c>
      <c r="D1019" s="28">
        <f t="shared" si="842"/>
        <v>104</v>
      </c>
      <c r="E1019" s="29">
        <f t="shared" si="843"/>
        <v>0</v>
      </c>
      <c r="F1019" s="30">
        <f t="shared" si="844"/>
        <v>0.3026999131391076</v>
      </c>
      <c r="G1019" s="31">
        <f t="shared" si="845"/>
        <v>2.9598088630362174E-2</v>
      </c>
      <c r="H1019" s="32">
        <f t="shared" si="846"/>
        <v>0.02</v>
      </c>
      <c r="I1019" s="32">
        <f t="shared" si="847"/>
        <v>0</v>
      </c>
      <c r="J1019" s="33">
        <f t="shared" si="894"/>
        <v>0</v>
      </c>
      <c r="K1019" s="30">
        <f t="shared" si="848"/>
        <v>0</v>
      </c>
      <c r="L1019" s="33">
        <f t="shared" si="849"/>
        <v>0</v>
      </c>
      <c r="M1019" s="30">
        <f t="shared" si="850"/>
        <v>0</v>
      </c>
      <c r="N1019" s="33">
        <f t="shared" si="851"/>
        <v>0</v>
      </c>
      <c r="O1019" s="31">
        <f t="shared" si="852"/>
        <v>0</v>
      </c>
      <c r="P1019" s="33">
        <f t="shared" si="853"/>
        <v>0</v>
      </c>
      <c r="Q1019" s="34">
        <f t="shared" si="895"/>
        <v>1093346.411245272</v>
      </c>
      <c r="R1019" s="29">
        <f t="shared" si="854"/>
        <v>0</v>
      </c>
      <c r="S1019" s="34">
        <f t="shared" si="855"/>
        <v>1093346.411245272</v>
      </c>
      <c r="T1019" s="29">
        <f t="shared" si="856"/>
        <v>911.12200937106013</v>
      </c>
      <c r="U1019" s="29">
        <f t="shared" si="857"/>
        <v>0</v>
      </c>
      <c r="V1019" s="35">
        <f t="shared" si="858"/>
        <v>3.2557897493398394E-2</v>
      </c>
      <c r="W1019" s="34">
        <f t="shared" si="859"/>
        <v>0</v>
      </c>
      <c r="X1019" s="34">
        <f t="shared" si="860"/>
        <v>1092435.2892359009</v>
      </c>
      <c r="Y1019" s="36">
        <f t="shared" si="861"/>
        <v>8.9652011518248642E-4</v>
      </c>
      <c r="Z1019" s="34">
        <f t="shared" si="862"/>
        <v>979.3902113351827</v>
      </c>
      <c r="AA1019" s="34">
        <f t="shared" si="863"/>
        <v>1092924.9843415685</v>
      </c>
      <c r="AB1019" s="34">
        <f t="shared" si="864"/>
        <v>0</v>
      </c>
      <c r="AC1019" s="34">
        <f t="shared" si="865"/>
        <v>0</v>
      </c>
      <c r="AD1019" s="34">
        <f t="shared" si="866"/>
        <v>0</v>
      </c>
      <c r="AE1019" s="34">
        <f t="shared" si="867"/>
        <v>0</v>
      </c>
      <c r="AF1019" s="34">
        <f t="shared" si="868"/>
        <v>0</v>
      </c>
      <c r="AG1019" s="29">
        <f t="shared" si="869"/>
        <v>1092924.9843415685</v>
      </c>
      <c r="AH1019" s="34">
        <f t="shared" si="870"/>
        <v>0</v>
      </c>
      <c r="AI1019" s="34">
        <f t="shared" si="871"/>
        <v>0</v>
      </c>
      <c r="AJ1019" s="34">
        <f t="shared" si="872"/>
        <v>0</v>
      </c>
      <c r="AK1019" s="34">
        <f t="shared" si="873"/>
        <v>0</v>
      </c>
      <c r="AL1019" s="34">
        <f t="shared" si="874"/>
        <v>0</v>
      </c>
      <c r="AM1019" s="34">
        <f t="shared" si="875"/>
        <v>0</v>
      </c>
      <c r="AN1019" s="34">
        <f t="shared" si="876"/>
        <v>0</v>
      </c>
      <c r="AO1019" s="34">
        <f t="shared" si="877"/>
        <v>0</v>
      </c>
      <c r="AP1019" s="34">
        <f t="shared" si="878"/>
        <v>0</v>
      </c>
      <c r="AQ1019" s="34">
        <f t="shared" si="879"/>
        <v>0</v>
      </c>
      <c r="AR1019" s="34">
        <f t="shared" si="880"/>
        <v>0</v>
      </c>
      <c r="AS1019" s="30">
        <f t="shared" si="881"/>
        <v>2.320150725209146</v>
      </c>
      <c r="AT1019" s="29">
        <f t="shared" si="882"/>
        <v>0</v>
      </c>
      <c r="AU1019" s="29">
        <f t="shared" si="883"/>
        <v>0</v>
      </c>
      <c r="AV1019" s="34">
        <f t="shared" si="884"/>
        <v>0</v>
      </c>
      <c r="AW1019" s="34">
        <f t="shared" si="885"/>
        <v>0</v>
      </c>
      <c r="AX1019" s="29">
        <f t="shared" si="886"/>
        <v>0</v>
      </c>
      <c r="AY1019" s="34">
        <f t="shared" si="887"/>
        <v>0</v>
      </c>
      <c r="AZ1019" s="37">
        <f t="shared" si="888"/>
        <v>0</v>
      </c>
      <c r="BA1019" s="37">
        <f t="shared" si="889"/>
        <v>0</v>
      </c>
      <c r="BB1019" s="35">
        <f t="shared" si="890"/>
        <v>1.788959215469843E-3</v>
      </c>
      <c r="BC1019" s="31">
        <f t="shared" si="891"/>
        <v>0.16297290029933284</v>
      </c>
      <c r="BD1019" s="34">
        <f t="shared" si="892"/>
        <v>0</v>
      </c>
    </row>
    <row r="1020" spans="1:56" x14ac:dyDescent="0.2">
      <c r="A1020" s="27">
        <f t="shared" si="893"/>
        <v>1016</v>
      </c>
      <c r="B1020" s="28">
        <f t="shared" si="840"/>
        <v>1016</v>
      </c>
      <c r="C1020" s="27">
        <f t="shared" si="841"/>
        <v>84</v>
      </c>
      <c r="D1020" s="28">
        <f t="shared" si="842"/>
        <v>104</v>
      </c>
      <c r="E1020" s="29">
        <f t="shared" si="843"/>
        <v>0</v>
      </c>
      <c r="F1020" s="30">
        <f t="shared" si="844"/>
        <v>0.3026999131391076</v>
      </c>
      <c r="G1020" s="31">
        <f t="shared" si="845"/>
        <v>2.9598088630362174E-2</v>
      </c>
      <c r="H1020" s="32">
        <f t="shared" si="846"/>
        <v>0.02</v>
      </c>
      <c r="I1020" s="32">
        <f t="shared" si="847"/>
        <v>0</v>
      </c>
      <c r="J1020" s="33">
        <f t="shared" si="894"/>
        <v>0</v>
      </c>
      <c r="K1020" s="30">
        <f t="shared" si="848"/>
        <v>0</v>
      </c>
      <c r="L1020" s="33">
        <f t="shared" si="849"/>
        <v>0</v>
      </c>
      <c r="M1020" s="30">
        <f t="shared" si="850"/>
        <v>0</v>
      </c>
      <c r="N1020" s="33">
        <f t="shared" si="851"/>
        <v>0</v>
      </c>
      <c r="O1020" s="31">
        <f t="shared" si="852"/>
        <v>0</v>
      </c>
      <c r="P1020" s="33">
        <f t="shared" si="853"/>
        <v>0</v>
      </c>
      <c r="Q1020" s="34">
        <f t="shared" si="895"/>
        <v>1093414.679447236</v>
      </c>
      <c r="R1020" s="29">
        <f t="shared" si="854"/>
        <v>0</v>
      </c>
      <c r="S1020" s="34">
        <f t="shared" si="855"/>
        <v>1093414.679447236</v>
      </c>
      <c r="T1020" s="29">
        <f t="shared" si="856"/>
        <v>911.17889953936344</v>
      </c>
      <c r="U1020" s="29">
        <f t="shared" si="857"/>
        <v>0</v>
      </c>
      <c r="V1020" s="35">
        <f t="shared" si="858"/>
        <v>3.2557897493398394E-2</v>
      </c>
      <c r="W1020" s="34">
        <f t="shared" si="859"/>
        <v>0</v>
      </c>
      <c r="X1020" s="34">
        <f t="shared" si="860"/>
        <v>1092503.5005476966</v>
      </c>
      <c r="Y1020" s="36">
        <f t="shared" si="861"/>
        <v>1.5362842730872295E-2</v>
      </c>
      <c r="Z1020" s="34">
        <f t="shared" si="862"/>
        <v>16783.959461841718</v>
      </c>
      <c r="AA1020" s="34">
        <f t="shared" si="863"/>
        <v>1100895.4802786175</v>
      </c>
      <c r="AB1020" s="34">
        <f t="shared" si="864"/>
        <v>0</v>
      </c>
      <c r="AC1020" s="34">
        <f t="shared" si="865"/>
        <v>0</v>
      </c>
      <c r="AD1020" s="34">
        <f t="shared" si="866"/>
        <v>0</v>
      </c>
      <c r="AE1020" s="34">
        <f t="shared" si="867"/>
        <v>0</v>
      </c>
      <c r="AF1020" s="34">
        <f t="shared" si="868"/>
        <v>0</v>
      </c>
      <c r="AG1020" s="29">
        <f t="shared" si="869"/>
        <v>1100895.4802786175</v>
      </c>
      <c r="AH1020" s="34">
        <f t="shared" si="870"/>
        <v>0</v>
      </c>
      <c r="AI1020" s="34">
        <f t="shared" si="871"/>
        <v>0</v>
      </c>
      <c r="AJ1020" s="34">
        <f t="shared" si="872"/>
        <v>0</v>
      </c>
      <c r="AK1020" s="34">
        <f t="shared" si="873"/>
        <v>0</v>
      </c>
      <c r="AL1020" s="34">
        <f t="shared" si="874"/>
        <v>0</v>
      </c>
      <c r="AM1020" s="34">
        <f t="shared" si="875"/>
        <v>0</v>
      </c>
      <c r="AN1020" s="34">
        <f t="shared" si="876"/>
        <v>0</v>
      </c>
      <c r="AO1020" s="34">
        <f t="shared" si="877"/>
        <v>0</v>
      </c>
      <c r="AP1020" s="34">
        <f t="shared" si="878"/>
        <v>0</v>
      </c>
      <c r="AQ1020" s="34">
        <f t="shared" si="879"/>
        <v>0</v>
      </c>
      <c r="AR1020" s="34">
        <f t="shared" si="880"/>
        <v>0</v>
      </c>
      <c r="AS1020" s="30">
        <f t="shared" si="881"/>
        <v>2.3220753786667352</v>
      </c>
      <c r="AT1020" s="29">
        <f t="shared" si="882"/>
        <v>0</v>
      </c>
      <c r="AU1020" s="29">
        <f t="shared" si="883"/>
        <v>0</v>
      </c>
      <c r="AV1020" s="34">
        <f t="shared" si="884"/>
        <v>0</v>
      </c>
      <c r="AW1020" s="34">
        <f t="shared" si="885"/>
        <v>0</v>
      </c>
      <c r="AX1020" s="29">
        <f t="shared" si="886"/>
        <v>0</v>
      </c>
      <c r="AY1020" s="34">
        <f t="shared" si="887"/>
        <v>0</v>
      </c>
      <c r="AZ1020" s="37">
        <f t="shared" si="888"/>
        <v>0</v>
      </c>
      <c r="BA1020" s="37">
        <f t="shared" si="889"/>
        <v>0</v>
      </c>
      <c r="BB1020" s="35">
        <f t="shared" si="890"/>
        <v>1.788959215469843E-3</v>
      </c>
      <c r="BC1020" s="31">
        <f t="shared" si="891"/>
        <v>0.16268186907046936</v>
      </c>
      <c r="BD1020" s="34">
        <f t="shared" si="892"/>
        <v>0</v>
      </c>
    </row>
    <row r="1021" spans="1:56" x14ac:dyDescent="0.2">
      <c r="A1021" s="27">
        <f t="shared" si="893"/>
        <v>1017</v>
      </c>
      <c r="B1021" s="28">
        <f t="shared" si="840"/>
        <v>1017</v>
      </c>
      <c r="C1021" s="27">
        <f t="shared" si="841"/>
        <v>84</v>
      </c>
      <c r="D1021" s="28">
        <f t="shared" si="842"/>
        <v>104</v>
      </c>
      <c r="E1021" s="29">
        <f t="shared" si="843"/>
        <v>0</v>
      </c>
      <c r="F1021" s="30">
        <f t="shared" si="844"/>
        <v>0.3026999131391076</v>
      </c>
      <c r="G1021" s="31">
        <f t="shared" si="845"/>
        <v>2.9598088630362174E-2</v>
      </c>
      <c r="H1021" s="32">
        <f t="shared" si="846"/>
        <v>0.02</v>
      </c>
      <c r="I1021" s="32">
        <f t="shared" si="847"/>
        <v>0</v>
      </c>
      <c r="J1021" s="33">
        <f t="shared" si="894"/>
        <v>0</v>
      </c>
      <c r="K1021" s="30">
        <f t="shared" si="848"/>
        <v>0</v>
      </c>
      <c r="L1021" s="33">
        <f t="shared" si="849"/>
        <v>0</v>
      </c>
      <c r="M1021" s="30">
        <f t="shared" si="850"/>
        <v>0</v>
      </c>
      <c r="N1021" s="33">
        <f t="shared" si="851"/>
        <v>0</v>
      </c>
      <c r="O1021" s="31">
        <f t="shared" si="852"/>
        <v>0</v>
      </c>
      <c r="P1021" s="33">
        <f t="shared" si="853"/>
        <v>0</v>
      </c>
      <c r="Q1021" s="34">
        <f t="shared" si="895"/>
        <v>1109287.4600095383</v>
      </c>
      <c r="R1021" s="29">
        <f t="shared" si="854"/>
        <v>0</v>
      </c>
      <c r="S1021" s="34">
        <f t="shared" si="855"/>
        <v>1109287.4600095383</v>
      </c>
      <c r="T1021" s="29">
        <f t="shared" si="856"/>
        <v>924.40621667461539</v>
      </c>
      <c r="U1021" s="29">
        <f t="shared" si="857"/>
        <v>0</v>
      </c>
      <c r="V1021" s="35">
        <f t="shared" si="858"/>
        <v>3.2557897493398394E-2</v>
      </c>
      <c r="W1021" s="34">
        <f t="shared" si="859"/>
        <v>0</v>
      </c>
      <c r="X1021" s="34">
        <f t="shared" si="860"/>
        <v>1108363.0537928636</v>
      </c>
      <c r="Y1021" s="36">
        <f t="shared" si="861"/>
        <v>-1.3663419007649891E-2</v>
      </c>
      <c r="Z1021" s="34">
        <f t="shared" si="862"/>
        <v>-15144.028816570291</v>
      </c>
      <c r="AA1021" s="34">
        <f t="shared" si="863"/>
        <v>1100791.0393845786</v>
      </c>
      <c r="AB1021" s="34">
        <f t="shared" si="864"/>
        <v>0</v>
      </c>
      <c r="AC1021" s="34">
        <f t="shared" si="865"/>
        <v>0</v>
      </c>
      <c r="AD1021" s="34">
        <f t="shared" si="866"/>
        <v>0</v>
      </c>
      <c r="AE1021" s="34">
        <f t="shared" si="867"/>
        <v>0</v>
      </c>
      <c r="AF1021" s="34">
        <f t="shared" si="868"/>
        <v>0</v>
      </c>
      <c r="AG1021" s="29">
        <f t="shared" si="869"/>
        <v>1100791.0393845786</v>
      </c>
      <c r="AH1021" s="34">
        <f t="shared" si="870"/>
        <v>0</v>
      </c>
      <c r="AI1021" s="34">
        <f t="shared" si="871"/>
        <v>0</v>
      </c>
      <c r="AJ1021" s="34">
        <f t="shared" si="872"/>
        <v>0</v>
      </c>
      <c r="AK1021" s="34">
        <f t="shared" si="873"/>
        <v>0</v>
      </c>
      <c r="AL1021" s="34">
        <f t="shared" si="874"/>
        <v>0</v>
      </c>
      <c r="AM1021" s="34">
        <f t="shared" si="875"/>
        <v>0</v>
      </c>
      <c r="AN1021" s="34">
        <f t="shared" si="876"/>
        <v>0</v>
      </c>
      <c r="AO1021" s="34">
        <f t="shared" si="877"/>
        <v>0</v>
      </c>
      <c r="AP1021" s="34">
        <f t="shared" si="878"/>
        <v>0</v>
      </c>
      <c r="AQ1021" s="34">
        <f t="shared" si="879"/>
        <v>0</v>
      </c>
      <c r="AR1021" s="34">
        <f t="shared" si="880"/>
        <v>0</v>
      </c>
      <c r="AS1021" s="30">
        <f t="shared" si="881"/>
        <v>2.3240016286977241</v>
      </c>
      <c r="AT1021" s="29">
        <f t="shared" si="882"/>
        <v>0</v>
      </c>
      <c r="AU1021" s="29">
        <f t="shared" si="883"/>
        <v>0</v>
      </c>
      <c r="AV1021" s="34">
        <f t="shared" si="884"/>
        <v>0</v>
      </c>
      <c r="AW1021" s="34">
        <f t="shared" si="885"/>
        <v>0</v>
      </c>
      <c r="AX1021" s="29">
        <f t="shared" si="886"/>
        <v>0</v>
      </c>
      <c r="AY1021" s="34">
        <f t="shared" si="887"/>
        <v>0</v>
      </c>
      <c r="AZ1021" s="37">
        <f t="shared" si="888"/>
        <v>0</v>
      </c>
      <c r="BA1021" s="37">
        <f t="shared" si="889"/>
        <v>0</v>
      </c>
      <c r="BB1021" s="35">
        <f t="shared" si="890"/>
        <v>1.788959215469843E-3</v>
      </c>
      <c r="BC1021" s="31">
        <f t="shared" si="891"/>
        <v>0.1623913575548589</v>
      </c>
      <c r="BD1021" s="34">
        <f t="shared" si="892"/>
        <v>0</v>
      </c>
    </row>
    <row r="1022" spans="1:56" x14ac:dyDescent="0.2">
      <c r="A1022" s="27">
        <f t="shared" si="893"/>
        <v>1018</v>
      </c>
      <c r="B1022" s="28">
        <f t="shared" si="840"/>
        <v>1018</v>
      </c>
      <c r="C1022" s="27">
        <f t="shared" si="841"/>
        <v>84</v>
      </c>
      <c r="D1022" s="28">
        <f t="shared" si="842"/>
        <v>104</v>
      </c>
      <c r="E1022" s="29">
        <f t="shared" si="843"/>
        <v>0</v>
      </c>
      <c r="F1022" s="30">
        <f t="shared" si="844"/>
        <v>0.3026999131391076</v>
      </c>
      <c r="G1022" s="31">
        <f t="shared" si="845"/>
        <v>2.9598088630362174E-2</v>
      </c>
      <c r="H1022" s="32">
        <f t="shared" si="846"/>
        <v>0.02</v>
      </c>
      <c r="I1022" s="32">
        <f t="shared" si="847"/>
        <v>0</v>
      </c>
      <c r="J1022" s="33">
        <f t="shared" si="894"/>
        <v>0</v>
      </c>
      <c r="K1022" s="30">
        <f t="shared" si="848"/>
        <v>0</v>
      </c>
      <c r="L1022" s="33">
        <f t="shared" si="849"/>
        <v>0</v>
      </c>
      <c r="M1022" s="30">
        <f t="shared" si="850"/>
        <v>0</v>
      </c>
      <c r="N1022" s="33">
        <f t="shared" si="851"/>
        <v>0</v>
      </c>
      <c r="O1022" s="31">
        <f t="shared" si="852"/>
        <v>0</v>
      </c>
      <c r="P1022" s="33">
        <f t="shared" si="853"/>
        <v>0</v>
      </c>
      <c r="Q1022" s="34">
        <f t="shared" si="895"/>
        <v>1093219.0249762933</v>
      </c>
      <c r="R1022" s="29">
        <f t="shared" si="854"/>
        <v>0</v>
      </c>
      <c r="S1022" s="34">
        <f t="shared" si="855"/>
        <v>1093219.0249762933</v>
      </c>
      <c r="T1022" s="29">
        <f t="shared" si="856"/>
        <v>911.01585414691112</v>
      </c>
      <c r="U1022" s="29">
        <f t="shared" si="857"/>
        <v>0</v>
      </c>
      <c r="V1022" s="35">
        <f t="shared" si="858"/>
        <v>3.2557897493398394E-2</v>
      </c>
      <c r="W1022" s="34">
        <f t="shared" si="859"/>
        <v>0</v>
      </c>
      <c r="X1022" s="34">
        <f t="shared" si="860"/>
        <v>1092308.0091221465</v>
      </c>
      <c r="Y1022" s="36">
        <f t="shared" si="861"/>
        <v>6.9487117057962511E-3</v>
      </c>
      <c r="Z1022" s="34">
        <f t="shared" si="862"/>
        <v>7590.1334493220575</v>
      </c>
      <c r="AA1022" s="34">
        <f t="shared" si="863"/>
        <v>1096103.0758468076</v>
      </c>
      <c r="AB1022" s="34">
        <f t="shared" si="864"/>
        <v>0</v>
      </c>
      <c r="AC1022" s="34">
        <f t="shared" si="865"/>
        <v>0</v>
      </c>
      <c r="AD1022" s="34">
        <f t="shared" si="866"/>
        <v>0</v>
      </c>
      <c r="AE1022" s="34">
        <f t="shared" si="867"/>
        <v>0</v>
      </c>
      <c r="AF1022" s="34">
        <f t="shared" si="868"/>
        <v>0</v>
      </c>
      <c r="AG1022" s="29">
        <f t="shared" si="869"/>
        <v>1096103.0758468076</v>
      </c>
      <c r="AH1022" s="34">
        <f t="shared" si="870"/>
        <v>0</v>
      </c>
      <c r="AI1022" s="34">
        <f t="shared" si="871"/>
        <v>0</v>
      </c>
      <c r="AJ1022" s="34">
        <f t="shared" si="872"/>
        <v>0</v>
      </c>
      <c r="AK1022" s="34">
        <f t="shared" si="873"/>
        <v>0</v>
      </c>
      <c r="AL1022" s="34">
        <f t="shared" si="874"/>
        <v>0</v>
      </c>
      <c r="AM1022" s="34">
        <f t="shared" si="875"/>
        <v>0</v>
      </c>
      <c r="AN1022" s="34">
        <f t="shared" si="876"/>
        <v>0</v>
      </c>
      <c r="AO1022" s="34">
        <f t="shared" si="877"/>
        <v>0</v>
      </c>
      <c r="AP1022" s="34">
        <f t="shared" si="878"/>
        <v>0</v>
      </c>
      <c r="AQ1022" s="34">
        <f t="shared" si="879"/>
        <v>0</v>
      </c>
      <c r="AR1022" s="34">
        <f t="shared" si="880"/>
        <v>0</v>
      </c>
      <c r="AS1022" s="30">
        <f t="shared" si="881"/>
        <v>2.3259294766265315</v>
      </c>
      <c r="AT1022" s="29">
        <f t="shared" si="882"/>
        <v>0</v>
      </c>
      <c r="AU1022" s="29">
        <f t="shared" si="883"/>
        <v>0</v>
      </c>
      <c r="AV1022" s="34">
        <f t="shared" si="884"/>
        <v>0</v>
      </c>
      <c r="AW1022" s="34">
        <f t="shared" si="885"/>
        <v>0</v>
      </c>
      <c r="AX1022" s="29">
        <f t="shared" si="886"/>
        <v>0</v>
      </c>
      <c r="AY1022" s="34">
        <f t="shared" si="887"/>
        <v>0</v>
      </c>
      <c r="AZ1022" s="37">
        <f t="shared" si="888"/>
        <v>0</v>
      </c>
      <c r="BA1022" s="37">
        <f t="shared" si="889"/>
        <v>0</v>
      </c>
      <c r="BB1022" s="35">
        <f t="shared" si="890"/>
        <v>1.788959215469843E-3</v>
      </c>
      <c r="BC1022" s="31">
        <f t="shared" si="891"/>
        <v>0.16210136482441603</v>
      </c>
      <c r="BD1022" s="34">
        <f t="shared" si="892"/>
        <v>0</v>
      </c>
    </row>
    <row r="1023" spans="1:56" x14ac:dyDescent="0.2">
      <c r="A1023" s="27">
        <f t="shared" si="893"/>
        <v>1019</v>
      </c>
      <c r="B1023" s="28">
        <f t="shared" si="840"/>
        <v>1019</v>
      </c>
      <c r="C1023" s="27">
        <f t="shared" si="841"/>
        <v>84</v>
      </c>
      <c r="D1023" s="28">
        <f t="shared" si="842"/>
        <v>104</v>
      </c>
      <c r="E1023" s="29">
        <f t="shared" si="843"/>
        <v>0</v>
      </c>
      <c r="F1023" s="30">
        <f t="shared" si="844"/>
        <v>0.3026999131391076</v>
      </c>
      <c r="G1023" s="31">
        <f t="shared" si="845"/>
        <v>2.9598088630362174E-2</v>
      </c>
      <c r="H1023" s="32">
        <f t="shared" si="846"/>
        <v>0.02</v>
      </c>
      <c r="I1023" s="32">
        <f t="shared" si="847"/>
        <v>0</v>
      </c>
      <c r="J1023" s="33">
        <f t="shared" si="894"/>
        <v>0</v>
      </c>
      <c r="K1023" s="30">
        <f t="shared" si="848"/>
        <v>0</v>
      </c>
      <c r="L1023" s="33">
        <f t="shared" si="849"/>
        <v>0</v>
      </c>
      <c r="M1023" s="30">
        <f t="shared" si="850"/>
        <v>0</v>
      </c>
      <c r="N1023" s="33">
        <f t="shared" si="851"/>
        <v>0</v>
      </c>
      <c r="O1023" s="31">
        <f t="shared" si="852"/>
        <v>0</v>
      </c>
      <c r="P1023" s="33">
        <f t="shared" si="853"/>
        <v>0</v>
      </c>
      <c r="Q1023" s="34">
        <f t="shared" si="895"/>
        <v>1099898.1425714686</v>
      </c>
      <c r="R1023" s="29">
        <f t="shared" si="854"/>
        <v>0</v>
      </c>
      <c r="S1023" s="34">
        <f t="shared" si="855"/>
        <v>1099898.1425714686</v>
      </c>
      <c r="T1023" s="29">
        <f t="shared" si="856"/>
        <v>916.5817854762239</v>
      </c>
      <c r="U1023" s="29">
        <f t="shared" si="857"/>
        <v>0</v>
      </c>
      <c r="V1023" s="35">
        <f t="shared" si="858"/>
        <v>3.2557897493398394E-2</v>
      </c>
      <c r="W1023" s="34">
        <f t="shared" si="859"/>
        <v>0</v>
      </c>
      <c r="X1023" s="34">
        <f t="shared" si="860"/>
        <v>1098981.5607859923</v>
      </c>
      <c r="Y1023" s="36">
        <f t="shared" si="861"/>
        <v>-5.9300953627915431E-3</v>
      </c>
      <c r="Z1023" s="34">
        <f t="shared" si="862"/>
        <v>-6517.0654574104256</v>
      </c>
      <c r="AA1023" s="34">
        <f t="shared" si="863"/>
        <v>1095723.028057287</v>
      </c>
      <c r="AB1023" s="34">
        <f t="shared" si="864"/>
        <v>0</v>
      </c>
      <c r="AC1023" s="34">
        <f t="shared" si="865"/>
        <v>0</v>
      </c>
      <c r="AD1023" s="34">
        <f t="shared" si="866"/>
        <v>0</v>
      </c>
      <c r="AE1023" s="34">
        <f t="shared" si="867"/>
        <v>0</v>
      </c>
      <c r="AF1023" s="34">
        <f t="shared" si="868"/>
        <v>0</v>
      </c>
      <c r="AG1023" s="29">
        <f t="shared" si="869"/>
        <v>1095723.028057287</v>
      </c>
      <c r="AH1023" s="34">
        <f t="shared" si="870"/>
        <v>0</v>
      </c>
      <c r="AI1023" s="34">
        <f t="shared" si="871"/>
        <v>0</v>
      </c>
      <c r="AJ1023" s="34">
        <f t="shared" si="872"/>
        <v>0</v>
      </c>
      <c r="AK1023" s="34">
        <f t="shared" si="873"/>
        <v>0</v>
      </c>
      <c r="AL1023" s="34">
        <f t="shared" si="874"/>
        <v>0</v>
      </c>
      <c r="AM1023" s="34">
        <f t="shared" si="875"/>
        <v>0</v>
      </c>
      <c r="AN1023" s="34">
        <f t="shared" si="876"/>
        <v>0</v>
      </c>
      <c r="AO1023" s="34">
        <f t="shared" si="877"/>
        <v>0</v>
      </c>
      <c r="AP1023" s="34">
        <f t="shared" si="878"/>
        <v>0</v>
      </c>
      <c r="AQ1023" s="34">
        <f t="shared" si="879"/>
        <v>0</v>
      </c>
      <c r="AR1023" s="34">
        <f t="shared" si="880"/>
        <v>0</v>
      </c>
      <c r="AS1023" s="30">
        <f t="shared" si="881"/>
        <v>2.3278589237786749</v>
      </c>
      <c r="AT1023" s="29">
        <f t="shared" si="882"/>
        <v>0</v>
      </c>
      <c r="AU1023" s="29">
        <f t="shared" si="883"/>
        <v>0</v>
      </c>
      <c r="AV1023" s="34">
        <f t="shared" si="884"/>
        <v>0</v>
      </c>
      <c r="AW1023" s="34">
        <f t="shared" si="885"/>
        <v>0</v>
      </c>
      <c r="AX1023" s="29">
        <f t="shared" si="886"/>
        <v>0</v>
      </c>
      <c r="AY1023" s="34">
        <f t="shared" si="887"/>
        <v>0</v>
      </c>
      <c r="AZ1023" s="37">
        <f t="shared" si="888"/>
        <v>0</v>
      </c>
      <c r="BA1023" s="37">
        <f t="shared" si="889"/>
        <v>0</v>
      </c>
      <c r="BB1023" s="35">
        <f t="shared" si="890"/>
        <v>1.788959215469843E-3</v>
      </c>
      <c r="BC1023" s="31">
        <f t="shared" si="891"/>
        <v>0.16181188995271259</v>
      </c>
      <c r="BD1023" s="34">
        <f t="shared" si="892"/>
        <v>0</v>
      </c>
    </row>
    <row r="1024" spans="1:56" x14ac:dyDescent="0.2">
      <c r="A1024" s="27">
        <f t="shared" si="893"/>
        <v>1020</v>
      </c>
      <c r="B1024" s="28">
        <f t="shared" si="840"/>
        <v>1020</v>
      </c>
      <c r="C1024" s="27">
        <f t="shared" si="841"/>
        <v>85</v>
      </c>
      <c r="D1024" s="28">
        <f t="shared" si="842"/>
        <v>105</v>
      </c>
      <c r="E1024" s="29">
        <f t="shared" si="843"/>
        <v>0</v>
      </c>
      <c r="F1024" s="30">
        <f t="shared" si="844"/>
        <v>0.35015968571872153</v>
      </c>
      <c r="G1024" s="31">
        <f t="shared" si="845"/>
        <v>3.5281617059836679E-2</v>
      </c>
      <c r="H1024" s="32">
        <f t="shared" si="846"/>
        <v>0.02</v>
      </c>
      <c r="I1024" s="32">
        <f t="shared" si="847"/>
        <v>0</v>
      </c>
      <c r="J1024" s="33">
        <f t="shared" si="894"/>
        <v>0</v>
      </c>
      <c r="K1024" s="30">
        <f t="shared" si="848"/>
        <v>0</v>
      </c>
      <c r="L1024" s="33">
        <f t="shared" si="849"/>
        <v>0</v>
      </c>
      <c r="M1024" s="30">
        <f t="shared" si="850"/>
        <v>0</v>
      </c>
      <c r="N1024" s="33">
        <f t="shared" si="851"/>
        <v>0</v>
      </c>
      <c r="O1024" s="31">
        <f t="shared" si="852"/>
        <v>0</v>
      </c>
      <c r="P1024" s="33">
        <f t="shared" si="853"/>
        <v>0</v>
      </c>
      <c r="Q1024" s="34">
        <f t="shared" si="895"/>
        <v>1092464.4953285819</v>
      </c>
      <c r="R1024" s="29">
        <f t="shared" si="854"/>
        <v>0</v>
      </c>
      <c r="S1024" s="34">
        <f t="shared" si="855"/>
        <v>1092464.4953285819</v>
      </c>
      <c r="T1024" s="29">
        <f t="shared" si="856"/>
        <v>910.38707944048497</v>
      </c>
      <c r="U1024" s="29">
        <f t="shared" si="857"/>
        <v>0</v>
      </c>
      <c r="V1024" s="35">
        <f t="shared" si="858"/>
        <v>3.8809778765820348E-2</v>
      </c>
      <c r="W1024" s="34">
        <f t="shared" si="859"/>
        <v>0</v>
      </c>
      <c r="X1024" s="34">
        <f t="shared" si="860"/>
        <v>1091554.1082491414</v>
      </c>
      <c r="Y1024" s="36">
        <f t="shared" si="861"/>
        <v>-1.3231866475869047E-3</v>
      </c>
      <c r="Z1024" s="34">
        <f t="shared" si="862"/>
        <v>-1444.3298211538947</v>
      </c>
      <c r="AA1024" s="34">
        <f t="shared" si="863"/>
        <v>1090831.9433385644</v>
      </c>
      <c r="AB1024" s="34">
        <f t="shared" si="864"/>
        <v>0</v>
      </c>
      <c r="AC1024" s="34">
        <f t="shared" si="865"/>
        <v>0</v>
      </c>
      <c r="AD1024" s="34">
        <f t="shared" si="866"/>
        <v>0</v>
      </c>
      <c r="AE1024" s="34">
        <f t="shared" si="867"/>
        <v>0</v>
      </c>
      <c r="AF1024" s="34">
        <f t="shared" si="868"/>
        <v>0</v>
      </c>
      <c r="AG1024" s="29">
        <f t="shared" si="869"/>
        <v>1090831.9433385644</v>
      </c>
      <c r="AH1024" s="34">
        <f t="shared" si="870"/>
        <v>0</v>
      </c>
      <c r="AI1024" s="34">
        <f t="shared" si="871"/>
        <v>0</v>
      </c>
      <c r="AJ1024" s="34">
        <f t="shared" si="872"/>
        <v>0</v>
      </c>
      <c r="AK1024" s="34">
        <f t="shared" si="873"/>
        <v>0</v>
      </c>
      <c r="AL1024" s="34">
        <f t="shared" si="874"/>
        <v>0</v>
      </c>
      <c r="AM1024" s="34">
        <f t="shared" si="875"/>
        <v>0</v>
      </c>
      <c r="AN1024" s="34">
        <f t="shared" si="876"/>
        <v>0</v>
      </c>
      <c r="AO1024" s="34">
        <f t="shared" si="877"/>
        <v>0</v>
      </c>
      <c r="AP1024" s="34">
        <f t="shared" si="878"/>
        <v>0</v>
      </c>
      <c r="AQ1024" s="34">
        <f t="shared" si="879"/>
        <v>0</v>
      </c>
      <c r="AR1024" s="34">
        <f t="shared" si="880"/>
        <v>0</v>
      </c>
      <c r="AS1024" s="30">
        <f t="shared" si="881"/>
        <v>2.3297899714807699</v>
      </c>
      <c r="AT1024" s="29">
        <f t="shared" si="882"/>
        <v>0</v>
      </c>
      <c r="AU1024" s="29">
        <f t="shared" si="883"/>
        <v>0</v>
      </c>
      <c r="AV1024" s="34">
        <f t="shared" si="884"/>
        <v>0</v>
      </c>
      <c r="AW1024" s="34">
        <f t="shared" si="885"/>
        <v>0</v>
      </c>
      <c r="AX1024" s="29">
        <f t="shared" si="886"/>
        <v>0</v>
      </c>
      <c r="AY1024" s="34">
        <f t="shared" si="887"/>
        <v>0</v>
      </c>
      <c r="AZ1024" s="37">
        <f t="shared" si="888"/>
        <v>0</v>
      </c>
      <c r="BA1024" s="37">
        <f t="shared" si="889"/>
        <v>0</v>
      </c>
      <c r="BB1024" s="35">
        <f t="shared" si="890"/>
        <v>1.8085677253161236E-3</v>
      </c>
      <c r="BC1024" s="31">
        <f t="shared" si="891"/>
        <v>0.15833014183550889</v>
      </c>
      <c r="BD1024" s="34">
        <f t="shared" si="892"/>
        <v>0</v>
      </c>
    </row>
    <row r="1025" spans="1:56" x14ac:dyDescent="0.2">
      <c r="A1025" s="27">
        <f t="shared" si="893"/>
        <v>1021</v>
      </c>
      <c r="B1025" s="28">
        <f t="shared" si="840"/>
        <v>1021</v>
      </c>
      <c r="C1025" s="27">
        <f t="shared" si="841"/>
        <v>85</v>
      </c>
      <c r="D1025" s="28">
        <f t="shared" si="842"/>
        <v>105</v>
      </c>
      <c r="E1025" s="29">
        <f t="shared" si="843"/>
        <v>0</v>
      </c>
      <c r="F1025" s="30">
        <f t="shared" si="844"/>
        <v>0.35015968571872153</v>
      </c>
      <c r="G1025" s="31">
        <f t="shared" si="845"/>
        <v>3.5281617059836679E-2</v>
      </c>
      <c r="H1025" s="32">
        <f t="shared" si="846"/>
        <v>0.02</v>
      </c>
      <c r="I1025" s="32">
        <f t="shared" si="847"/>
        <v>0</v>
      </c>
      <c r="J1025" s="33">
        <f t="shared" si="894"/>
        <v>0</v>
      </c>
      <c r="K1025" s="30">
        <f t="shared" si="848"/>
        <v>0</v>
      </c>
      <c r="L1025" s="33">
        <f t="shared" si="849"/>
        <v>0</v>
      </c>
      <c r="M1025" s="30">
        <f t="shared" si="850"/>
        <v>0</v>
      </c>
      <c r="N1025" s="33">
        <f t="shared" si="851"/>
        <v>0</v>
      </c>
      <c r="O1025" s="31">
        <f t="shared" si="852"/>
        <v>0</v>
      </c>
      <c r="P1025" s="33">
        <f t="shared" si="853"/>
        <v>0</v>
      </c>
      <c r="Q1025" s="34">
        <f t="shared" si="895"/>
        <v>1090109.7784279874</v>
      </c>
      <c r="R1025" s="29">
        <f t="shared" si="854"/>
        <v>0</v>
      </c>
      <c r="S1025" s="34">
        <f t="shared" si="855"/>
        <v>1090109.7784279874</v>
      </c>
      <c r="T1025" s="29">
        <f t="shared" si="856"/>
        <v>908.42481535665615</v>
      </c>
      <c r="U1025" s="29">
        <f t="shared" si="857"/>
        <v>0</v>
      </c>
      <c r="V1025" s="35">
        <f t="shared" si="858"/>
        <v>3.8809778765820348E-2</v>
      </c>
      <c r="W1025" s="34">
        <f t="shared" si="859"/>
        <v>0</v>
      </c>
      <c r="X1025" s="34">
        <f t="shared" si="860"/>
        <v>1089201.3536126306</v>
      </c>
      <c r="Y1025" s="36">
        <f t="shared" si="861"/>
        <v>1.6284015574421273E-2</v>
      </c>
      <c r="Z1025" s="34">
        <f t="shared" si="862"/>
        <v>17736.57180590881</v>
      </c>
      <c r="AA1025" s="34">
        <f t="shared" si="863"/>
        <v>1098069.639515585</v>
      </c>
      <c r="AB1025" s="34">
        <f t="shared" si="864"/>
        <v>0</v>
      </c>
      <c r="AC1025" s="34">
        <f t="shared" si="865"/>
        <v>0</v>
      </c>
      <c r="AD1025" s="34">
        <f t="shared" si="866"/>
        <v>0</v>
      </c>
      <c r="AE1025" s="34">
        <f t="shared" si="867"/>
        <v>0</v>
      </c>
      <c r="AF1025" s="34">
        <f t="shared" si="868"/>
        <v>0</v>
      </c>
      <c r="AG1025" s="29">
        <f t="shared" si="869"/>
        <v>1098069.639515585</v>
      </c>
      <c r="AH1025" s="34">
        <f t="shared" si="870"/>
        <v>0</v>
      </c>
      <c r="AI1025" s="34">
        <f t="shared" si="871"/>
        <v>0</v>
      </c>
      <c r="AJ1025" s="34">
        <f t="shared" si="872"/>
        <v>0</v>
      </c>
      <c r="AK1025" s="34">
        <f t="shared" si="873"/>
        <v>0</v>
      </c>
      <c r="AL1025" s="34">
        <f t="shared" si="874"/>
        <v>0</v>
      </c>
      <c r="AM1025" s="34">
        <f t="shared" si="875"/>
        <v>0</v>
      </c>
      <c r="AN1025" s="34">
        <f t="shared" si="876"/>
        <v>0</v>
      </c>
      <c r="AO1025" s="34">
        <f t="shared" si="877"/>
        <v>0</v>
      </c>
      <c r="AP1025" s="34">
        <f t="shared" si="878"/>
        <v>0</v>
      </c>
      <c r="AQ1025" s="34">
        <f t="shared" si="879"/>
        <v>0</v>
      </c>
      <c r="AR1025" s="34">
        <f t="shared" si="880"/>
        <v>0</v>
      </c>
      <c r="AS1025" s="30">
        <f t="shared" si="881"/>
        <v>2.3317226210605351</v>
      </c>
      <c r="AT1025" s="29">
        <f t="shared" si="882"/>
        <v>0</v>
      </c>
      <c r="AU1025" s="29">
        <f t="shared" si="883"/>
        <v>0</v>
      </c>
      <c r="AV1025" s="34">
        <f t="shared" si="884"/>
        <v>0</v>
      </c>
      <c r="AW1025" s="34">
        <f t="shared" si="885"/>
        <v>0</v>
      </c>
      <c r="AX1025" s="29">
        <f t="shared" si="886"/>
        <v>0</v>
      </c>
      <c r="AY1025" s="34">
        <f t="shared" si="887"/>
        <v>0</v>
      </c>
      <c r="AZ1025" s="37">
        <f t="shared" si="888"/>
        <v>0</v>
      </c>
      <c r="BA1025" s="37">
        <f t="shared" si="889"/>
        <v>0</v>
      </c>
      <c r="BB1025" s="35">
        <f t="shared" si="890"/>
        <v>1.8085677253161236E-3</v>
      </c>
      <c r="BC1025" s="31">
        <f t="shared" si="891"/>
        <v>0.15804430800088856</v>
      </c>
      <c r="BD1025" s="34">
        <f t="shared" si="892"/>
        <v>0</v>
      </c>
    </row>
    <row r="1026" spans="1:56" x14ac:dyDescent="0.2">
      <c r="A1026" s="27">
        <f t="shared" si="893"/>
        <v>1022</v>
      </c>
      <c r="B1026" s="28">
        <f t="shared" si="840"/>
        <v>1022</v>
      </c>
      <c r="C1026" s="27">
        <f t="shared" si="841"/>
        <v>85</v>
      </c>
      <c r="D1026" s="28">
        <f t="shared" si="842"/>
        <v>105</v>
      </c>
      <c r="E1026" s="29">
        <f t="shared" si="843"/>
        <v>0</v>
      </c>
      <c r="F1026" s="30">
        <f t="shared" si="844"/>
        <v>0.35015968571872153</v>
      </c>
      <c r="G1026" s="31">
        <f t="shared" si="845"/>
        <v>3.5281617059836679E-2</v>
      </c>
      <c r="H1026" s="32">
        <f t="shared" si="846"/>
        <v>0.02</v>
      </c>
      <c r="I1026" s="32">
        <f t="shared" si="847"/>
        <v>0</v>
      </c>
      <c r="J1026" s="33">
        <f t="shared" si="894"/>
        <v>0</v>
      </c>
      <c r="K1026" s="30">
        <f t="shared" si="848"/>
        <v>0</v>
      </c>
      <c r="L1026" s="33">
        <f t="shared" si="849"/>
        <v>0</v>
      </c>
      <c r="M1026" s="30">
        <f t="shared" si="850"/>
        <v>0</v>
      </c>
      <c r="N1026" s="33">
        <f t="shared" si="851"/>
        <v>0</v>
      </c>
      <c r="O1026" s="31">
        <f t="shared" si="852"/>
        <v>0</v>
      </c>
      <c r="P1026" s="33">
        <f t="shared" si="853"/>
        <v>0</v>
      </c>
      <c r="Q1026" s="34">
        <f t="shared" si="895"/>
        <v>1106937.9254185394</v>
      </c>
      <c r="R1026" s="29">
        <f t="shared" si="854"/>
        <v>0</v>
      </c>
      <c r="S1026" s="34">
        <f t="shared" si="855"/>
        <v>1106937.9254185394</v>
      </c>
      <c r="T1026" s="29">
        <f t="shared" si="856"/>
        <v>922.44827118211629</v>
      </c>
      <c r="U1026" s="29">
        <f t="shared" si="857"/>
        <v>0</v>
      </c>
      <c r="V1026" s="35">
        <f t="shared" si="858"/>
        <v>3.8809778765820348E-2</v>
      </c>
      <c r="W1026" s="34">
        <f t="shared" si="859"/>
        <v>0</v>
      </c>
      <c r="X1026" s="34">
        <f t="shared" si="860"/>
        <v>1106015.4771473573</v>
      </c>
      <c r="Y1026" s="36">
        <f t="shared" si="861"/>
        <v>-3.9788392687590823E-3</v>
      </c>
      <c r="Z1026" s="34">
        <f t="shared" si="862"/>
        <v>-4400.6578123292184</v>
      </c>
      <c r="AA1026" s="34">
        <f t="shared" si="863"/>
        <v>1103815.1482411928</v>
      </c>
      <c r="AB1026" s="34">
        <f t="shared" si="864"/>
        <v>0</v>
      </c>
      <c r="AC1026" s="34">
        <f t="shared" si="865"/>
        <v>0</v>
      </c>
      <c r="AD1026" s="34">
        <f t="shared" si="866"/>
        <v>0</v>
      </c>
      <c r="AE1026" s="34">
        <f t="shared" si="867"/>
        <v>0</v>
      </c>
      <c r="AF1026" s="34">
        <f t="shared" si="868"/>
        <v>0</v>
      </c>
      <c r="AG1026" s="29">
        <f t="shared" si="869"/>
        <v>1103815.1482411928</v>
      </c>
      <c r="AH1026" s="34">
        <f t="shared" si="870"/>
        <v>0</v>
      </c>
      <c r="AI1026" s="34">
        <f t="shared" si="871"/>
        <v>0</v>
      </c>
      <c r="AJ1026" s="34">
        <f t="shared" si="872"/>
        <v>0</v>
      </c>
      <c r="AK1026" s="34">
        <f t="shared" si="873"/>
        <v>0</v>
      </c>
      <c r="AL1026" s="34">
        <f t="shared" si="874"/>
        <v>0</v>
      </c>
      <c r="AM1026" s="34">
        <f t="shared" si="875"/>
        <v>0</v>
      </c>
      <c r="AN1026" s="34">
        <f t="shared" si="876"/>
        <v>0</v>
      </c>
      <c r="AO1026" s="34">
        <f t="shared" si="877"/>
        <v>0</v>
      </c>
      <c r="AP1026" s="34">
        <f t="shared" si="878"/>
        <v>0</v>
      </c>
      <c r="AQ1026" s="34">
        <f t="shared" si="879"/>
        <v>0</v>
      </c>
      <c r="AR1026" s="34">
        <f t="shared" si="880"/>
        <v>0</v>
      </c>
      <c r="AS1026" s="30">
        <f t="shared" si="881"/>
        <v>2.3336568738467882</v>
      </c>
      <c r="AT1026" s="29">
        <f t="shared" si="882"/>
        <v>0</v>
      </c>
      <c r="AU1026" s="29">
        <f t="shared" si="883"/>
        <v>0</v>
      </c>
      <c r="AV1026" s="34">
        <f t="shared" si="884"/>
        <v>0</v>
      </c>
      <c r="AW1026" s="34">
        <f t="shared" si="885"/>
        <v>0</v>
      </c>
      <c r="AX1026" s="29">
        <f t="shared" si="886"/>
        <v>0</v>
      </c>
      <c r="AY1026" s="34">
        <f t="shared" si="887"/>
        <v>0</v>
      </c>
      <c r="AZ1026" s="37">
        <f t="shared" si="888"/>
        <v>0</v>
      </c>
      <c r="BA1026" s="37">
        <f t="shared" si="889"/>
        <v>0</v>
      </c>
      <c r="BB1026" s="35">
        <f t="shared" si="890"/>
        <v>1.8085677253161236E-3</v>
      </c>
      <c r="BC1026" s="31">
        <f t="shared" si="891"/>
        <v>0.15775899018286538</v>
      </c>
      <c r="BD1026" s="34">
        <f t="shared" si="892"/>
        <v>0</v>
      </c>
    </row>
    <row r="1027" spans="1:56" x14ac:dyDescent="0.2">
      <c r="A1027" s="27">
        <f t="shared" si="893"/>
        <v>1023</v>
      </c>
      <c r="B1027" s="28">
        <f t="shared" si="840"/>
        <v>1023</v>
      </c>
      <c r="C1027" s="27">
        <f t="shared" si="841"/>
        <v>85</v>
      </c>
      <c r="D1027" s="28">
        <f t="shared" si="842"/>
        <v>105</v>
      </c>
      <c r="E1027" s="29">
        <f t="shared" si="843"/>
        <v>0</v>
      </c>
      <c r="F1027" s="30">
        <f t="shared" si="844"/>
        <v>0.35015968571872153</v>
      </c>
      <c r="G1027" s="31">
        <f t="shared" si="845"/>
        <v>3.5281617059836679E-2</v>
      </c>
      <c r="H1027" s="32">
        <f t="shared" si="846"/>
        <v>0.02</v>
      </c>
      <c r="I1027" s="32">
        <f t="shared" si="847"/>
        <v>0</v>
      </c>
      <c r="J1027" s="33">
        <f t="shared" si="894"/>
        <v>0</v>
      </c>
      <c r="K1027" s="30">
        <f t="shared" si="848"/>
        <v>0</v>
      </c>
      <c r="L1027" s="33">
        <f t="shared" si="849"/>
        <v>0</v>
      </c>
      <c r="M1027" s="30">
        <f t="shared" si="850"/>
        <v>0</v>
      </c>
      <c r="N1027" s="33">
        <f t="shared" si="851"/>
        <v>0</v>
      </c>
      <c r="O1027" s="31">
        <f t="shared" si="852"/>
        <v>0</v>
      </c>
      <c r="P1027" s="33">
        <f t="shared" si="853"/>
        <v>0</v>
      </c>
      <c r="Q1027" s="34">
        <f t="shared" si="895"/>
        <v>1101614.8193350281</v>
      </c>
      <c r="R1027" s="29">
        <f t="shared" si="854"/>
        <v>0</v>
      </c>
      <c r="S1027" s="34">
        <f t="shared" si="855"/>
        <v>1101614.8193350281</v>
      </c>
      <c r="T1027" s="29">
        <f t="shared" si="856"/>
        <v>918.01234944585678</v>
      </c>
      <c r="U1027" s="29">
        <f t="shared" si="857"/>
        <v>0</v>
      </c>
      <c r="V1027" s="35">
        <f t="shared" si="858"/>
        <v>3.8809778765820348E-2</v>
      </c>
      <c r="W1027" s="34">
        <f t="shared" si="859"/>
        <v>0</v>
      </c>
      <c r="X1027" s="34">
        <f t="shared" si="860"/>
        <v>1100696.8069855822</v>
      </c>
      <c r="Y1027" s="36">
        <f t="shared" si="861"/>
        <v>9.3826467796764845E-5</v>
      </c>
      <c r="Z1027" s="34">
        <f t="shared" si="862"/>
        <v>103.27449351463463</v>
      </c>
      <c r="AA1027" s="34">
        <f t="shared" si="863"/>
        <v>1100748.4442323395</v>
      </c>
      <c r="AB1027" s="34">
        <f t="shared" si="864"/>
        <v>0</v>
      </c>
      <c r="AC1027" s="34">
        <f t="shared" si="865"/>
        <v>0</v>
      </c>
      <c r="AD1027" s="34">
        <f t="shared" si="866"/>
        <v>0</v>
      </c>
      <c r="AE1027" s="34">
        <f t="shared" si="867"/>
        <v>0</v>
      </c>
      <c r="AF1027" s="34">
        <f t="shared" si="868"/>
        <v>0</v>
      </c>
      <c r="AG1027" s="29">
        <f t="shared" si="869"/>
        <v>1100748.4442323395</v>
      </c>
      <c r="AH1027" s="34">
        <f t="shared" si="870"/>
        <v>0</v>
      </c>
      <c r="AI1027" s="34">
        <f t="shared" si="871"/>
        <v>0</v>
      </c>
      <c r="AJ1027" s="34">
        <f t="shared" si="872"/>
        <v>0</v>
      </c>
      <c r="AK1027" s="34">
        <f t="shared" si="873"/>
        <v>0</v>
      </c>
      <c r="AL1027" s="34">
        <f t="shared" si="874"/>
        <v>0</v>
      </c>
      <c r="AM1027" s="34">
        <f t="shared" si="875"/>
        <v>0</v>
      </c>
      <c r="AN1027" s="34">
        <f t="shared" si="876"/>
        <v>0</v>
      </c>
      <c r="AO1027" s="34">
        <f t="shared" si="877"/>
        <v>0</v>
      </c>
      <c r="AP1027" s="34">
        <f t="shared" si="878"/>
        <v>0</v>
      </c>
      <c r="AQ1027" s="34">
        <f t="shared" si="879"/>
        <v>0</v>
      </c>
      <c r="AR1027" s="34">
        <f t="shared" si="880"/>
        <v>0</v>
      </c>
      <c r="AS1027" s="30">
        <f t="shared" si="881"/>
        <v>2.33559273116945</v>
      </c>
      <c r="AT1027" s="29">
        <f t="shared" si="882"/>
        <v>0</v>
      </c>
      <c r="AU1027" s="29">
        <f t="shared" si="883"/>
        <v>0</v>
      </c>
      <c r="AV1027" s="34">
        <f t="shared" si="884"/>
        <v>0</v>
      </c>
      <c r="AW1027" s="34">
        <f t="shared" si="885"/>
        <v>0</v>
      </c>
      <c r="AX1027" s="29">
        <f t="shared" si="886"/>
        <v>0</v>
      </c>
      <c r="AY1027" s="34">
        <f t="shared" si="887"/>
        <v>0</v>
      </c>
      <c r="AZ1027" s="37">
        <f t="shared" si="888"/>
        <v>0</v>
      </c>
      <c r="BA1027" s="37">
        <f t="shared" si="889"/>
        <v>0</v>
      </c>
      <c r="BB1027" s="35">
        <f t="shared" si="890"/>
        <v>1.8085677253161236E-3</v>
      </c>
      <c r="BC1027" s="31">
        <f t="shared" si="891"/>
        <v>0.15747418744987318</v>
      </c>
      <c r="BD1027" s="34">
        <f t="shared" si="892"/>
        <v>0</v>
      </c>
    </row>
    <row r="1028" spans="1:56" x14ac:dyDescent="0.2">
      <c r="A1028" s="27">
        <f t="shared" si="893"/>
        <v>1024</v>
      </c>
      <c r="B1028" s="28">
        <f t="shared" ref="B1028:B1091" si="896">Duration0+A1028</f>
        <v>1024</v>
      </c>
      <c r="C1028" s="27">
        <f t="shared" ref="C1028:C1091" si="897">INT(B1028/12)</f>
        <v>85</v>
      </c>
      <c r="D1028" s="28">
        <f t="shared" ref="D1028:D1091" si="898">AgeAtEntry+C1028</f>
        <v>105</v>
      </c>
      <c r="E1028" s="29">
        <f t="shared" ref="E1028:E1091" si="899">IF(PremiumType="SINGLE",IF(B1028=0,PremiumPPInput,0),IF(B1028&lt;12*PolicyTerm,PremiumPPInput,0))</f>
        <v>0</v>
      </c>
      <c r="F1028" s="30">
        <f t="shared" ref="F1028:F1091" si="900">INDEX(MortRates,MATCH(MIN(D1028,120),MortAges,0),MAX(MIN(C1028,5),0)+1)</f>
        <v>0.35015968571872153</v>
      </c>
      <c r="G1028" s="31">
        <f t="shared" ref="G1028:G1091" si="901">1-(1-F1028)^(1/12)</f>
        <v>3.5281617059836679E-2</v>
      </c>
      <c r="H1028" s="32">
        <f t="shared" ref="H1028:H1091" si="902">MAX(LapseBase-LapseStep*C1028,LapseFloor)</f>
        <v>0.02</v>
      </c>
      <c r="I1028" s="32">
        <f t="shared" ref="I1028:I1091" si="903">IF(HasSurrCharge,INDEX(SurrRates,MIN(C1028,SurrDurMax)+1,MATCH(SurrChargeID,SurrTypes,0)),0)</f>
        <v>0</v>
      </c>
      <c r="J1028" s="33">
        <f t="shared" si="894"/>
        <v>0</v>
      </c>
      <c r="K1028" s="30">
        <f t="shared" ref="K1028:K1091" si="904">IF(B1028=12*PolicyTerm,J1028,0)</f>
        <v>0</v>
      </c>
      <c r="L1028" s="33">
        <f t="shared" ref="L1028:L1091" si="905">J1028-K1028</f>
        <v>0</v>
      </c>
      <c r="M1028" s="30">
        <f t="shared" ref="M1028:M1091" si="906">IF(B1028=0,PolicyCount,0)</f>
        <v>0</v>
      </c>
      <c r="N1028" s="33">
        <f t="shared" ref="N1028:N1091" si="907">L1028+M1028</f>
        <v>0</v>
      </c>
      <c r="O1028" s="31">
        <f t="shared" ref="O1028:O1091" si="908">N1028*G1028</f>
        <v>0</v>
      </c>
      <c r="P1028" s="33">
        <f t="shared" ref="P1028:P1091" si="909">(N1028-O1028)*(1-(1-H1028)^(1/12))</f>
        <v>0</v>
      </c>
      <c r="Q1028" s="34">
        <f t="shared" si="895"/>
        <v>1100800.0814790968</v>
      </c>
      <c r="R1028" s="29">
        <f t="shared" ref="R1028:R1091" si="910">(1-LoadPremRate)*E1028</f>
        <v>0</v>
      </c>
      <c r="S1028" s="34">
        <f t="shared" ref="S1028:S1091" si="911">Q1028+R1028</f>
        <v>1100800.0814790968</v>
      </c>
      <c r="T1028" s="29">
        <f t="shared" ref="T1028:T1091" si="912">MaintFeeRateAnn/12*S1028</f>
        <v>917.33340123258074</v>
      </c>
      <c r="U1028" s="29">
        <f t="shared" ref="U1028:U1091" si="913">MAX(SumAssured-S1028,0)</f>
        <v>0</v>
      </c>
      <c r="V1028" s="35">
        <f t="shared" ref="V1028:V1091" si="914">CoiMultiple*G1028</f>
        <v>3.8809778765820348E-2</v>
      </c>
      <c r="W1028" s="34">
        <f t="shared" ref="W1028:W1091" si="915">V1028*U1028</f>
        <v>0</v>
      </c>
      <c r="X1028" s="34">
        <f t="shared" ref="X1028:X1091" si="916">S1028-T1028-W1028</f>
        <v>1099882.7480778643</v>
      </c>
      <c r="Y1028" s="36">
        <f t="shared" ref="Y1028:Y1091" si="917">EXP((Mu-0.5*Sigma^2)/12+Sigma*SQRT(1/12)*INDEX(NormRand,ScenID,A1028+1))-1</f>
        <v>-4.9942064097094896E-3</v>
      </c>
      <c r="Z1028" s="34">
        <f t="shared" ref="Z1028:Z1091" si="918">Y1028*X1028</f>
        <v>-5493.0414703793576</v>
      </c>
      <c r="AA1028" s="34">
        <f t="shared" ref="AA1028:AA1091" si="919">X1028+0.5*Z1028</f>
        <v>1097136.2273426745</v>
      </c>
      <c r="AB1028" s="34">
        <f t="shared" ref="AB1028:AB1091" si="920">Q1028*J1028</f>
        <v>0</v>
      </c>
      <c r="AC1028" s="34">
        <f t="shared" ref="AC1028:AC1091" si="921">Q1028*L1028</f>
        <v>0</v>
      </c>
      <c r="AD1028" s="34">
        <f t="shared" ref="AD1028:AD1091" si="922">S1028*N1028</f>
        <v>0</v>
      </c>
      <c r="AE1028" s="34">
        <f t="shared" ref="AE1028:AE1091" si="923">E1028*N1028</f>
        <v>0</v>
      </c>
      <c r="AF1028" s="34">
        <f t="shared" ref="AF1028:AF1091" si="924">R1028*N1028</f>
        <v>0</v>
      </c>
      <c r="AG1028" s="29">
        <f t="shared" ref="AG1028:AG1091" si="925">MAX(SumAssured,AA1028)</f>
        <v>1097136.2273426745</v>
      </c>
      <c r="AH1028" s="34">
        <f t="shared" ref="AH1028:AH1091" si="926">AG1028*O1028</f>
        <v>0</v>
      </c>
      <c r="AI1028" s="34">
        <f t="shared" ref="AI1028:AI1091" si="927">AA1028*O1028</f>
        <v>0</v>
      </c>
      <c r="AJ1028" s="34">
        <f t="shared" ref="AJ1028:AJ1091" si="928">AA1028*P1028</f>
        <v>0</v>
      </c>
      <c r="AK1028" s="34">
        <f t="shared" ref="AK1028:AK1091" si="929">I1028*AA1028*P1028</f>
        <v>0</v>
      </c>
      <c r="AL1028" s="34">
        <f t="shared" ref="AL1028:AL1091" si="930">AJ1028-AK1028</f>
        <v>0</v>
      </c>
      <c r="AM1028" s="34">
        <f t="shared" ref="AM1028:AM1091" si="931">Q1028*K1028</f>
        <v>0</v>
      </c>
      <c r="AN1028" s="34">
        <f t="shared" ref="AN1028:AN1091" si="932">AH1028+AL1028+AM1028</f>
        <v>0</v>
      </c>
      <c r="AO1028" s="34">
        <f t="shared" ref="AO1028:AO1091" si="933">(AG1028-AA1028)*O1028</f>
        <v>0</v>
      </c>
      <c r="AP1028" s="34">
        <f t="shared" ref="AP1028:AP1091" si="934">W1028*N1028</f>
        <v>0</v>
      </c>
      <c r="AQ1028" s="34">
        <f t="shared" ref="AQ1028:AQ1091" si="935">T1028*N1028</f>
        <v>0</v>
      </c>
      <c r="AR1028" s="34">
        <f t="shared" ref="AR1028:AR1091" si="936">Z1028*J1029+0.5*Z1028*(O1028+P1028)</f>
        <v>0</v>
      </c>
      <c r="AS1028" s="30">
        <f t="shared" ref="AS1028:AS1091" si="937">(1+InflationRate)^(A1028/12)</f>
        <v>2.337530194359545</v>
      </c>
      <c r="AT1028" s="29">
        <f t="shared" ref="AT1028:AT1091" si="938">ExpenseAcq*M1028+N1028*ExpenseMaint/12*AS1028</f>
        <v>0</v>
      </c>
      <c r="AU1028" s="29">
        <f t="shared" ref="AU1028:AU1091" si="939">CommissionRate*AE1028</f>
        <v>0</v>
      </c>
      <c r="AV1028" s="34">
        <f t="shared" ref="AV1028:AV1091" si="940">AB1029-AB1028</f>
        <v>0</v>
      </c>
      <c r="AW1028" s="34">
        <f t="shared" ref="AW1028:AW1091" si="941">AE1028+AR1028-AN1028-AT1028-AU1028-AV1028</f>
        <v>0</v>
      </c>
      <c r="AX1028" s="29">
        <f t="shared" ref="AX1028:AX1091" si="942">LoadPremRate*E1028*N1028+AK1028+AQ1028-AU1028-AT1028</f>
        <v>0</v>
      </c>
      <c r="AY1028" s="34">
        <f t="shared" ref="AY1028:AY1091" si="943">AP1028-AO1028</f>
        <v>0</v>
      </c>
      <c r="AZ1028" s="37">
        <f t="shared" ref="AZ1028:AZ1091" si="944">(AW1028-AX1028-AY1028)/MAX(1,ABS(AW1028),ABS(AX1028),ABS(AY1028))</f>
        <v>0</v>
      </c>
      <c r="BA1028" s="37">
        <f t="shared" ref="BA1028:BA1091" si="945">IF(OR(K1028&gt;0,K1029&gt;0),0,(AC1029-(AC1028+AF1028-AQ1028-AP1028+AR1028-AI1028-AJ1028-AM1028))/MAX(1,ABS(AC1028),ABS(AC1029)))</f>
        <v>0</v>
      </c>
      <c r="BB1028" s="35">
        <f t="shared" ref="BB1028:BB1091" si="946">(1+INDEX(DiscRateAnn,INT(A1028/12)+1))^(1/12)-1</f>
        <v>1.8085677253161236E-3</v>
      </c>
      <c r="BC1028" s="31">
        <f t="shared" ref="BC1028:BC1091" si="947">(1+BB1028)^-A1028</f>
        <v>0.15718989887202744</v>
      </c>
      <c r="BD1028" s="34">
        <f t="shared" ref="BD1028:BD1091" si="948">AW1028*BC1028</f>
        <v>0</v>
      </c>
    </row>
    <row r="1029" spans="1:56" x14ac:dyDescent="0.2">
      <c r="A1029" s="27">
        <f t="shared" ref="A1029:A1092" si="949">A1028+1</f>
        <v>1025</v>
      </c>
      <c r="B1029" s="28">
        <f t="shared" si="896"/>
        <v>1025</v>
      </c>
      <c r="C1029" s="27">
        <f t="shared" si="897"/>
        <v>85</v>
      </c>
      <c r="D1029" s="28">
        <f t="shared" si="898"/>
        <v>105</v>
      </c>
      <c r="E1029" s="29">
        <f t="shared" si="899"/>
        <v>0</v>
      </c>
      <c r="F1029" s="30">
        <f t="shared" si="900"/>
        <v>0.35015968571872153</v>
      </c>
      <c r="G1029" s="31">
        <f t="shared" si="901"/>
        <v>3.5281617059836679E-2</v>
      </c>
      <c r="H1029" s="32">
        <f t="shared" si="902"/>
        <v>0.02</v>
      </c>
      <c r="I1029" s="32">
        <f t="shared" si="903"/>
        <v>0</v>
      </c>
      <c r="J1029" s="33">
        <f t="shared" ref="J1029:J1092" si="950">N1028-P1028-O1028</f>
        <v>0</v>
      </c>
      <c r="K1029" s="30">
        <f t="shared" si="904"/>
        <v>0</v>
      </c>
      <c r="L1029" s="33">
        <f t="shared" si="905"/>
        <v>0</v>
      </c>
      <c r="M1029" s="30">
        <f t="shared" si="906"/>
        <v>0</v>
      </c>
      <c r="N1029" s="33">
        <f t="shared" si="907"/>
        <v>0</v>
      </c>
      <c r="O1029" s="31">
        <f t="shared" si="908"/>
        <v>0</v>
      </c>
      <c r="P1029" s="33">
        <f t="shared" si="909"/>
        <v>0</v>
      </c>
      <c r="Q1029" s="34">
        <f t="shared" ref="Q1029:Q1092" si="951">X1028+Z1028</f>
        <v>1094389.706607485</v>
      </c>
      <c r="R1029" s="29">
        <f t="shared" si="910"/>
        <v>0</v>
      </c>
      <c r="S1029" s="34">
        <f t="shared" si="911"/>
        <v>1094389.706607485</v>
      </c>
      <c r="T1029" s="29">
        <f t="shared" si="912"/>
        <v>911.99142217290421</v>
      </c>
      <c r="U1029" s="29">
        <f t="shared" si="913"/>
        <v>0</v>
      </c>
      <c r="V1029" s="35">
        <f t="shared" si="914"/>
        <v>3.8809778765820348E-2</v>
      </c>
      <c r="W1029" s="34">
        <f t="shared" si="915"/>
        <v>0</v>
      </c>
      <c r="X1029" s="34">
        <f t="shared" si="916"/>
        <v>1093477.7151853121</v>
      </c>
      <c r="Y1029" s="36">
        <f t="shared" si="917"/>
        <v>-1.3848821691665125E-2</v>
      </c>
      <c r="Z1029" s="34">
        <f t="shared" si="918"/>
        <v>-15143.377901410769</v>
      </c>
      <c r="AA1029" s="34">
        <f t="shared" si="919"/>
        <v>1085906.0262346067</v>
      </c>
      <c r="AB1029" s="34">
        <f t="shared" si="920"/>
        <v>0</v>
      </c>
      <c r="AC1029" s="34">
        <f t="shared" si="921"/>
        <v>0</v>
      </c>
      <c r="AD1029" s="34">
        <f t="shared" si="922"/>
        <v>0</v>
      </c>
      <c r="AE1029" s="34">
        <f t="shared" si="923"/>
        <v>0</v>
      </c>
      <c r="AF1029" s="34">
        <f t="shared" si="924"/>
        <v>0</v>
      </c>
      <c r="AG1029" s="29">
        <f t="shared" si="925"/>
        <v>1085906.0262346067</v>
      </c>
      <c r="AH1029" s="34">
        <f t="shared" si="926"/>
        <v>0</v>
      </c>
      <c r="AI1029" s="34">
        <f t="shared" si="927"/>
        <v>0</v>
      </c>
      <c r="AJ1029" s="34">
        <f t="shared" si="928"/>
        <v>0</v>
      </c>
      <c r="AK1029" s="34">
        <f t="shared" si="929"/>
        <v>0</v>
      </c>
      <c r="AL1029" s="34">
        <f t="shared" si="930"/>
        <v>0</v>
      </c>
      <c r="AM1029" s="34">
        <f t="shared" si="931"/>
        <v>0</v>
      </c>
      <c r="AN1029" s="34">
        <f t="shared" si="932"/>
        <v>0</v>
      </c>
      <c r="AO1029" s="34">
        <f t="shared" si="933"/>
        <v>0</v>
      </c>
      <c r="AP1029" s="34">
        <f t="shared" si="934"/>
        <v>0</v>
      </c>
      <c r="AQ1029" s="34">
        <f t="shared" si="935"/>
        <v>0</v>
      </c>
      <c r="AR1029" s="34">
        <f t="shared" si="936"/>
        <v>0</v>
      </c>
      <c r="AS1029" s="30">
        <f t="shared" si="937"/>
        <v>2.3394692647492015</v>
      </c>
      <c r="AT1029" s="29">
        <f t="shared" si="938"/>
        <v>0</v>
      </c>
      <c r="AU1029" s="29">
        <f t="shared" si="939"/>
        <v>0</v>
      </c>
      <c r="AV1029" s="34">
        <f t="shared" si="940"/>
        <v>0</v>
      </c>
      <c r="AW1029" s="34">
        <f t="shared" si="941"/>
        <v>0</v>
      </c>
      <c r="AX1029" s="29">
        <f t="shared" si="942"/>
        <v>0</v>
      </c>
      <c r="AY1029" s="34">
        <f t="shared" si="943"/>
        <v>0</v>
      </c>
      <c r="AZ1029" s="37">
        <f t="shared" si="944"/>
        <v>0</v>
      </c>
      <c r="BA1029" s="37">
        <f t="shared" si="945"/>
        <v>0</v>
      </c>
      <c r="BB1029" s="35">
        <f t="shared" si="946"/>
        <v>1.8085677253161236E-3</v>
      </c>
      <c r="BC1029" s="31">
        <f t="shared" si="947"/>
        <v>0.15690612352112268</v>
      </c>
      <c r="BD1029" s="34">
        <f t="shared" si="948"/>
        <v>0</v>
      </c>
    </row>
    <row r="1030" spans="1:56" x14ac:dyDescent="0.2">
      <c r="A1030" s="27">
        <f t="shared" si="949"/>
        <v>1026</v>
      </c>
      <c r="B1030" s="28">
        <f t="shared" si="896"/>
        <v>1026</v>
      </c>
      <c r="C1030" s="27">
        <f t="shared" si="897"/>
        <v>85</v>
      </c>
      <c r="D1030" s="28">
        <f t="shared" si="898"/>
        <v>105</v>
      </c>
      <c r="E1030" s="29">
        <f t="shared" si="899"/>
        <v>0</v>
      </c>
      <c r="F1030" s="30">
        <f t="shared" si="900"/>
        <v>0.35015968571872153</v>
      </c>
      <c r="G1030" s="31">
        <f t="shared" si="901"/>
        <v>3.5281617059836679E-2</v>
      </c>
      <c r="H1030" s="32">
        <f t="shared" si="902"/>
        <v>0.02</v>
      </c>
      <c r="I1030" s="32">
        <f t="shared" si="903"/>
        <v>0</v>
      </c>
      <c r="J1030" s="33">
        <f t="shared" si="950"/>
        <v>0</v>
      </c>
      <c r="K1030" s="30">
        <f t="shared" si="904"/>
        <v>0</v>
      </c>
      <c r="L1030" s="33">
        <f t="shared" si="905"/>
        <v>0</v>
      </c>
      <c r="M1030" s="30">
        <f t="shared" si="906"/>
        <v>0</v>
      </c>
      <c r="N1030" s="33">
        <f t="shared" si="907"/>
        <v>0</v>
      </c>
      <c r="O1030" s="31">
        <f t="shared" si="908"/>
        <v>0</v>
      </c>
      <c r="P1030" s="33">
        <f t="shared" si="909"/>
        <v>0</v>
      </c>
      <c r="Q1030" s="34">
        <f t="shared" si="951"/>
        <v>1078334.3372839014</v>
      </c>
      <c r="R1030" s="29">
        <f t="shared" si="910"/>
        <v>0</v>
      </c>
      <c r="S1030" s="34">
        <f t="shared" si="911"/>
        <v>1078334.3372839014</v>
      </c>
      <c r="T1030" s="29">
        <f t="shared" si="912"/>
        <v>898.61194773658451</v>
      </c>
      <c r="U1030" s="29">
        <f t="shared" si="913"/>
        <v>0</v>
      </c>
      <c r="V1030" s="35">
        <f t="shared" si="914"/>
        <v>3.8809778765820348E-2</v>
      </c>
      <c r="W1030" s="34">
        <f t="shared" si="915"/>
        <v>0</v>
      </c>
      <c r="X1030" s="34">
        <f t="shared" si="916"/>
        <v>1077435.7253361649</v>
      </c>
      <c r="Y1030" s="36">
        <f t="shared" si="917"/>
        <v>-1.7868985191296094E-3</v>
      </c>
      <c r="Z1030" s="34">
        <f t="shared" si="918"/>
        <v>-1925.2683020605298</v>
      </c>
      <c r="AA1030" s="34">
        <f t="shared" si="919"/>
        <v>1076473.0911851346</v>
      </c>
      <c r="AB1030" s="34">
        <f t="shared" si="920"/>
        <v>0</v>
      </c>
      <c r="AC1030" s="34">
        <f t="shared" si="921"/>
        <v>0</v>
      </c>
      <c r="AD1030" s="34">
        <f t="shared" si="922"/>
        <v>0</v>
      </c>
      <c r="AE1030" s="34">
        <f t="shared" si="923"/>
        <v>0</v>
      </c>
      <c r="AF1030" s="34">
        <f t="shared" si="924"/>
        <v>0</v>
      </c>
      <c r="AG1030" s="29">
        <f t="shared" si="925"/>
        <v>1076473.0911851346</v>
      </c>
      <c r="AH1030" s="34">
        <f t="shared" si="926"/>
        <v>0</v>
      </c>
      <c r="AI1030" s="34">
        <f t="shared" si="927"/>
        <v>0</v>
      </c>
      <c r="AJ1030" s="34">
        <f t="shared" si="928"/>
        <v>0</v>
      </c>
      <c r="AK1030" s="34">
        <f t="shared" si="929"/>
        <v>0</v>
      </c>
      <c r="AL1030" s="34">
        <f t="shared" si="930"/>
        <v>0</v>
      </c>
      <c r="AM1030" s="34">
        <f t="shared" si="931"/>
        <v>0</v>
      </c>
      <c r="AN1030" s="34">
        <f t="shared" si="932"/>
        <v>0</v>
      </c>
      <c r="AO1030" s="34">
        <f t="shared" si="933"/>
        <v>0</v>
      </c>
      <c r="AP1030" s="34">
        <f t="shared" si="934"/>
        <v>0</v>
      </c>
      <c r="AQ1030" s="34">
        <f t="shared" si="935"/>
        <v>0</v>
      </c>
      <c r="AR1030" s="34">
        <f t="shared" si="936"/>
        <v>0</v>
      </c>
      <c r="AS1030" s="30">
        <f t="shared" si="937"/>
        <v>2.3414099436716524</v>
      </c>
      <c r="AT1030" s="29">
        <f t="shared" si="938"/>
        <v>0</v>
      </c>
      <c r="AU1030" s="29">
        <f t="shared" si="939"/>
        <v>0</v>
      </c>
      <c r="AV1030" s="34">
        <f t="shared" si="940"/>
        <v>0</v>
      </c>
      <c r="AW1030" s="34">
        <f t="shared" si="941"/>
        <v>0</v>
      </c>
      <c r="AX1030" s="29">
        <f t="shared" si="942"/>
        <v>0</v>
      </c>
      <c r="AY1030" s="34">
        <f t="shared" si="943"/>
        <v>0</v>
      </c>
      <c r="AZ1030" s="37">
        <f t="shared" si="944"/>
        <v>0</v>
      </c>
      <c r="BA1030" s="37">
        <f t="shared" si="945"/>
        <v>0</v>
      </c>
      <c r="BB1030" s="35">
        <f t="shared" si="946"/>
        <v>1.8085677253161236E-3</v>
      </c>
      <c r="BC1030" s="31">
        <f t="shared" si="947"/>
        <v>0.15662286047062882</v>
      </c>
      <c r="BD1030" s="34">
        <f t="shared" si="948"/>
        <v>0</v>
      </c>
    </row>
    <row r="1031" spans="1:56" x14ac:dyDescent="0.2">
      <c r="A1031" s="27">
        <f t="shared" si="949"/>
        <v>1027</v>
      </c>
      <c r="B1031" s="28">
        <f t="shared" si="896"/>
        <v>1027</v>
      </c>
      <c r="C1031" s="27">
        <f t="shared" si="897"/>
        <v>85</v>
      </c>
      <c r="D1031" s="28">
        <f t="shared" si="898"/>
        <v>105</v>
      </c>
      <c r="E1031" s="29">
        <f t="shared" si="899"/>
        <v>0</v>
      </c>
      <c r="F1031" s="30">
        <f t="shared" si="900"/>
        <v>0.35015968571872153</v>
      </c>
      <c r="G1031" s="31">
        <f t="shared" si="901"/>
        <v>3.5281617059836679E-2</v>
      </c>
      <c r="H1031" s="32">
        <f t="shared" si="902"/>
        <v>0.02</v>
      </c>
      <c r="I1031" s="32">
        <f t="shared" si="903"/>
        <v>0</v>
      </c>
      <c r="J1031" s="33">
        <f t="shared" si="950"/>
        <v>0</v>
      </c>
      <c r="K1031" s="30">
        <f t="shared" si="904"/>
        <v>0</v>
      </c>
      <c r="L1031" s="33">
        <f t="shared" si="905"/>
        <v>0</v>
      </c>
      <c r="M1031" s="30">
        <f t="shared" si="906"/>
        <v>0</v>
      </c>
      <c r="N1031" s="33">
        <f t="shared" si="907"/>
        <v>0</v>
      </c>
      <c r="O1031" s="31">
        <f t="shared" si="908"/>
        <v>0</v>
      </c>
      <c r="P1031" s="33">
        <f t="shared" si="909"/>
        <v>0</v>
      </c>
      <c r="Q1031" s="34">
        <f t="shared" si="951"/>
        <v>1075510.4570341045</v>
      </c>
      <c r="R1031" s="29">
        <f t="shared" si="910"/>
        <v>0</v>
      </c>
      <c r="S1031" s="34">
        <f t="shared" si="911"/>
        <v>1075510.4570341045</v>
      </c>
      <c r="T1031" s="29">
        <f t="shared" si="912"/>
        <v>896.25871419508712</v>
      </c>
      <c r="U1031" s="29">
        <f t="shared" si="913"/>
        <v>0</v>
      </c>
      <c r="V1031" s="35">
        <f t="shared" si="914"/>
        <v>3.8809778765820348E-2</v>
      </c>
      <c r="W1031" s="34">
        <f t="shared" si="915"/>
        <v>0</v>
      </c>
      <c r="X1031" s="34">
        <f t="shared" si="916"/>
        <v>1074614.1983199094</v>
      </c>
      <c r="Y1031" s="36">
        <f t="shared" si="917"/>
        <v>-1.9215515593459243E-3</v>
      </c>
      <c r="Z1031" s="34">
        <f t="shared" si="918"/>
        <v>-2064.926588476892</v>
      </c>
      <c r="AA1031" s="34">
        <f t="shared" si="919"/>
        <v>1073581.7350256708</v>
      </c>
      <c r="AB1031" s="34">
        <f t="shared" si="920"/>
        <v>0</v>
      </c>
      <c r="AC1031" s="34">
        <f t="shared" si="921"/>
        <v>0</v>
      </c>
      <c r="AD1031" s="34">
        <f t="shared" si="922"/>
        <v>0</v>
      </c>
      <c r="AE1031" s="34">
        <f t="shared" si="923"/>
        <v>0</v>
      </c>
      <c r="AF1031" s="34">
        <f t="shared" si="924"/>
        <v>0</v>
      </c>
      <c r="AG1031" s="29">
        <f t="shared" si="925"/>
        <v>1073581.7350256708</v>
      </c>
      <c r="AH1031" s="34">
        <f t="shared" si="926"/>
        <v>0</v>
      </c>
      <c r="AI1031" s="34">
        <f t="shared" si="927"/>
        <v>0</v>
      </c>
      <c r="AJ1031" s="34">
        <f t="shared" si="928"/>
        <v>0</v>
      </c>
      <c r="AK1031" s="34">
        <f t="shared" si="929"/>
        <v>0</v>
      </c>
      <c r="AL1031" s="34">
        <f t="shared" si="930"/>
        <v>0</v>
      </c>
      <c r="AM1031" s="34">
        <f t="shared" si="931"/>
        <v>0</v>
      </c>
      <c r="AN1031" s="34">
        <f t="shared" si="932"/>
        <v>0</v>
      </c>
      <c r="AO1031" s="34">
        <f t="shared" si="933"/>
        <v>0</v>
      </c>
      <c r="AP1031" s="34">
        <f t="shared" si="934"/>
        <v>0</v>
      </c>
      <c r="AQ1031" s="34">
        <f t="shared" si="935"/>
        <v>0</v>
      </c>
      <c r="AR1031" s="34">
        <f t="shared" si="936"/>
        <v>0</v>
      </c>
      <c r="AS1031" s="30">
        <f t="shared" si="937"/>
        <v>2.3433522324612373</v>
      </c>
      <c r="AT1031" s="29">
        <f t="shared" si="938"/>
        <v>0</v>
      </c>
      <c r="AU1031" s="29">
        <f t="shared" si="939"/>
        <v>0</v>
      </c>
      <c r="AV1031" s="34">
        <f t="shared" si="940"/>
        <v>0</v>
      </c>
      <c r="AW1031" s="34">
        <f t="shared" si="941"/>
        <v>0</v>
      </c>
      <c r="AX1031" s="29">
        <f t="shared" si="942"/>
        <v>0</v>
      </c>
      <c r="AY1031" s="34">
        <f t="shared" si="943"/>
        <v>0</v>
      </c>
      <c r="AZ1031" s="37">
        <f t="shared" si="944"/>
        <v>0</v>
      </c>
      <c r="BA1031" s="37">
        <f t="shared" si="945"/>
        <v>0</v>
      </c>
      <c r="BB1031" s="35">
        <f t="shared" si="946"/>
        <v>1.8085677253161236E-3</v>
      </c>
      <c r="BC1031" s="31">
        <f t="shared" si="947"/>
        <v>0.15634010879568852</v>
      </c>
      <c r="BD1031" s="34">
        <f t="shared" si="948"/>
        <v>0</v>
      </c>
    </row>
    <row r="1032" spans="1:56" x14ac:dyDescent="0.2">
      <c r="A1032" s="27">
        <f t="shared" si="949"/>
        <v>1028</v>
      </c>
      <c r="B1032" s="28">
        <f t="shared" si="896"/>
        <v>1028</v>
      </c>
      <c r="C1032" s="27">
        <f t="shared" si="897"/>
        <v>85</v>
      </c>
      <c r="D1032" s="28">
        <f t="shared" si="898"/>
        <v>105</v>
      </c>
      <c r="E1032" s="29">
        <f t="shared" si="899"/>
        <v>0</v>
      </c>
      <c r="F1032" s="30">
        <f t="shared" si="900"/>
        <v>0.35015968571872153</v>
      </c>
      <c r="G1032" s="31">
        <f t="shared" si="901"/>
        <v>3.5281617059836679E-2</v>
      </c>
      <c r="H1032" s="32">
        <f t="shared" si="902"/>
        <v>0.02</v>
      </c>
      <c r="I1032" s="32">
        <f t="shared" si="903"/>
        <v>0</v>
      </c>
      <c r="J1032" s="33">
        <f t="shared" si="950"/>
        <v>0</v>
      </c>
      <c r="K1032" s="30">
        <f t="shared" si="904"/>
        <v>0</v>
      </c>
      <c r="L1032" s="33">
        <f t="shared" si="905"/>
        <v>0</v>
      </c>
      <c r="M1032" s="30">
        <f t="shared" si="906"/>
        <v>0</v>
      </c>
      <c r="N1032" s="33">
        <f t="shared" si="907"/>
        <v>0</v>
      </c>
      <c r="O1032" s="31">
        <f t="shared" si="908"/>
        <v>0</v>
      </c>
      <c r="P1032" s="33">
        <f t="shared" si="909"/>
        <v>0</v>
      </c>
      <c r="Q1032" s="34">
        <f t="shared" si="951"/>
        <v>1072549.2717314325</v>
      </c>
      <c r="R1032" s="29">
        <f t="shared" si="910"/>
        <v>0</v>
      </c>
      <c r="S1032" s="34">
        <f t="shared" si="911"/>
        <v>1072549.2717314325</v>
      </c>
      <c r="T1032" s="29">
        <f t="shared" si="912"/>
        <v>893.79105977619383</v>
      </c>
      <c r="U1032" s="29">
        <f t="shared" si="913"/>
        <v>0</v>
      </c>
      <c r="V1032" s="35">
        <f t="shared" si="914"/>
        <v>3.8809778765820348E-2</v>
      </c>
      <c r="W1032" s="34">
        <f t="shared" si="915"/>
        <v>0</v>
      </c>
      <c r="X1032" s="34">
        <f t="shared" si="916"/>
        <v>1071655.4806716563</v>
      </c>
      <c r="Y1032" s="36">
        <f t="shared" si="917"/>
        <v>3.0000334234993709E-2</v>
      </c>
      <c r="Z1032" s="34">
        <f t="shared" si="918"/>
        <v>32150.02260491253</v>
      </c>
      <c r="AA1032" s="34">
        <f t="shared" si="919"/>
        <v>1087730.4919741126</v>
      </c>
      <c r="AB1032" s="34">
        <f t="shared" si="920"/>
        <v>0</v>
      </c>
      <c r="AC1032" s="34">
        <f t="shared" si="921"/>
        <v>0</v>
      </c>
      <c r="AD1032" s="34">
        <f t="shared" si="922"/>
        <v>0</v>
      </c>
      <c r="AE1032" s="34">
        <f t="shared" si="923"/>
        <v>0</v>
      </c>
      <c r="AF1032" s="34">
        <f t="shared" si="924"/>
        <v>0</v>
      </c>
      <c r="AG1032" s="29">
        <f t="shared" si="925"/>
        <v>1087730.4919741126</v>
      </c>
      <c r="AH1032" s="34">
        <f t="shared" si="926"/>
        <v>0</v>
      </c>
      <c r="AI1032" s="34">
        <f t="shared" si="927"/>
        <v>0</v>
      </c>
      <c r="AJ1032" s="34">
        <f t="shared" si="928"/>
        <v>0</v>
      </c>
      <c r="AK1032" s="34">
        <f t="shared" si="929"/>
        <v>0</v>
      </c>
      <c r="AL1032" s="34">
        <f t="shared" si="930"/>
        <v>0</v>
      </c>
      <c r="AM1032" s="34">
        <f t="shared" si="931"/>
        <v>0</v>
      </c>
      <c r="AN1032" s="34">
        <f t="shared" si="932"/>
        <v>0</v>
      </c>
      <c r="AO1032" s="34">
        <f t="shared" si="933"/>
        <v>0</v>
      </c>
      <c r="AP1032" s="34">
        <f t="shared" si="934"/>
        <v>0</v>
      </c>
      <c r="AQ1032" s="34">
        <f t="shared" si="935"/>
        <v>0</v>
      </c>
      <c r="AR1032" s="34">
        <f t="shared" si="936"/>
        <v>0</v>
      </c>
      <c r="AS1032" s="30">
        <f t="shared" si="937"/>
        <v>2.3452961324534023</v>
      </c>
      <c r="AT1032" s="29">
        <f t="shared" si="938"/>
        <v>0</v>
      </c>
      <c r="AU1032" s="29">
        <f t="shared" si="939"/>
        <v>0</v>
      </c>
      <c r="AV1032" s="34">
        <f t="shared" si="940"/>
        <v>0</v>
      </c>
      <c r="AW1032" s="34">
        <f t="shared" si="941"/>
        <v>0</v>
      </c>
      <c r="AX1032" s="29">
        <f t="shared" si="942"/>
        <v>0</v>
      </c>
      <c r="AY1032" s="34">
        <f t="shared" si="943"/>
        <v>0</v>
      </c>
      <c r="AZ1032" s="37">
        <f t="shared" si="944"/>
        <v>0</v>
      </c>
      <c r="BA1032" s="37">
        <f t="shared" si="945"/>
        <v>0</v>
      </c>
      <c r="BB1032" s="35">
        <f t="shared" si="946"/>
        <v>1.8085677253161236E-3</v>
      </c>
      <c r="BC1032" s="31">
        <f t="shared" si="947"/>
        <v>0.1560578675731141</v>
      </c>
      <c r="BD1032" s="34">
        <f t="shared" si="948"/>
        <v>0</v>
      </c>
    </row>
    <row r="1033" spans="1:56" x14ac:dyDescent="0.2">
      <c r="A1033" s="27">
        <f t="shared" si="949"/>
        <v>1029</v>
      </c>
      <c r="B1033" s="28">
        <f t="shared" si="896"/>
        <v>1029</v>
      </c>
      <c r="C1033" s="27">
        <f t="shared" si="897"/>
        <v>85</v>
      </c>
      <c r="D1033" s="28">
        <f t="shared" si="898"/>
        <v>105</v>
      </c>
      <c r="E1033" s="29">
        <f t="shared" si="899"/>
        <v>0</v>
      </c>
      <c r="F1033" s="30">
        <f t="shared" si="900"/>
        <v>0.35015968571872153</v>
      </c>
      <c r="G1033" s="31">
        <f t="shared" si="901"/>
        <v>3.5281617059836679E-2</v>
      </c>
      <c r="H1033" s="32">
        <f t="shared" si="902"/>
        <v>0.02</v>
      </c>
      <c r="I1033" s="32">
        <f t="shared" si="903"/>
        <v>0</v>
      </c>
      <c r="J1033" s="33">
        <f t="shared" si="950"/>
        <v>0</v>
      </c>
      <c r="K1033" s="30">
        <f t="shared" si="904"/>
        <v>0</v>
      </c>
      <c r="L1033" s="33">
        <f t="shared" si="905"/>
        <v>0</v>
      </c>
      <c r="M1033" s="30">
        <f t="shared" si="906"/>
        <v>0</v>
      </c>
      <c r="N1033" s="33">
        <f t="shared" si="907"/>
        <v>0</v>
      </c>
      <c r="O1033" s="31">
        <f t="shared" si="908"/>
        <v>0</v>
      </c>
      <c r="P1033" s="33">
        <f t="shared" si="909"/>
        <v>0</v>
      </c>
      <c r="Q1033" s="34">
        <f t="shared" si="951"/>
        <v>1103805.5032765688</v>
      </c>
      <c r="R1033" s="29">
        <f t="shared" si="910"/>
        <v>0</v>
      </c>
      <c r="S1033" s="34">
        <f t="shared" si="911"/>
        <v>1103805.5032765688</v>
      </c>
      <c r="T1033" s="29">
        <f t="shared" si="912"/>
        <v>919.83791939714081</v>
      </c>
      <c r="U1033" s="29">
        <f t="shared" si="913"/>
        <v>0</v>
      </c>
      <c r="V1033" s="35">
        <f t="shared" si="914"/>
        <v>3.8809778765820348E-2</v>
      </c>
      <c r="W1033" s="34">
        <f t="shared" si="915"/>
        <v>0</v>
      </c>
      <c r="X1033" s="34">
        <f t="shared" si="916"/>
        <v>1102885.6653571718</v>
      </c>
      <c r="Y1033" s="36">
        <f t="shared" si="917"/>
        <v>4.4949854766573871E-3</v>
      </c>
      <c r="Z1033" s="34">
        <f t="shared" si="918"/>
        <v>4957.455048194106</v>
      </c>
      <c r="AA1033" s="34">
        <f t="shared" si="919"/>
        <v>1105364.3928812689</v>
      </c>
      <c r="AB1033" s="34">
        <f t="shared" si="920"/>
        <v>0</v>
      </c>
      <c r="AC1033" s="34">
        <f t="shared" si="921"/>
        <v>0</v>
      </c>
      <c r="AD1033" s="34">
        <f t="shared" si="922"/>
        <v>0</v>
      </c>
      <c r="AE1033" s="34">
        <f t="shared" si="923"/>
        <v>0</v>
      </c>
      <c r="AF1033" s="34">
        <f t="shared" si="924"/>
        <v>0</v>
      </c>
      <c r="AG1033" s="29">
        <f t="shared" si="925"/>
        <v>1105364.3928812689</v>
      </c>
      <c r="AH1033" s="34">
        <f t="shared" si="926"/>
        <v>0</v>
      </c>
      <c r="AI1033" s="34">
        <f t="shared" si="927"/>
        <v>0</v>
      </c>
      <c r="AJ1033" s="34">
        <f t="shared" si="928"/>
        <v>0</v>
      </c>
      <c r="AK1033" s="34">
        <f t="shared" si="929"/>
        <v>0</v>
      </c>
      <c r="AL1033" s="34">
        <f t="shared" si="930"/>
        <v>0</v>
      </c>
      <c r="AM1033" s="34">
        <f t="shared" si="931"/>
        <v>0</v>
      </c>
      <c r="AN1033" s="34">
        <f t="shared" si="932"/>
        <v>0</v>
      </c>
      <c r="AO1033" s="34">
        <f t="shared" si="933"/>
        <v>0</v>
      </c>
      <c r="AP1033" s="34">
        <f t="shared" si="934"/>
        <v>0</v>
      </c>
      <c r="AQ1033" s="34">
        <f t="shared" si="935"/>
        <v>0</v>
      </c>
      <c r="AR1033" s="34">
        <f t="shared" si="936"/>
        <v>0</v>
      </c>
      <c r="AS1033" s="30">
        <f t="shared" si="937"/>
        <v>2.3472416449847011</v>
      </c>
      <c r="AT1033" s="29">
        <f t="shared" si="938"/>
        <v>0</v>
      </c>
      <c r="AU1033" s="29">
        <f t="shared" si="939"/>
        <v>0</v>
      </c>
      <c r="AV1033" s="34">
        <f t="shared" si="940"/>
        <v>0</v>
      </c>
      <c r="AW1033" s="34">
        <f t="shared" si="941"/>
        <v>0</v>
      </c>
      <c r="AX1033" s="29">
        <f t="shared" si="942"/>
        <v>0</v>
      </c>
      <c r="AY1033" s="34">
        <f t="shared" si="943"/>
        <v>0</v>
      </c>
      <c r="AZ1033" s="37">
        <f t="shared" si="944"/>
        <v>0</v>
      </c>
      <c r="BA1033" s="37">
        <f t="shared" si="945"/>
        <v>0</v>
      </c>
      <c r="BB1033" s="35">
        <f t="shared" si="946"/>
        <v>1.8085677253161236E-3</v>
      </c>
      <c r="BC1033" s="31">
        <f t="shared" si="947"/>
        <v>0.15577613588138459</v>
      </c>
      <c r="BD1033" s="34">
        <f t="shared" si="948"/>
        <v>0</v>
      </c>
    </row>
    <row r="1034" spans="1:56" x14ac:dyDescent="0.2">
      <c r="A1034" s="27">
        <f t="shared" si="949"/>
        <v>1030</v>
      </c>
      <c r="B1034" s="28">
        <f t="shared" si="896"/>
        <v>1030</v>
      </c>
      <c r="C1034" s="27">
        <f t="shared" si="897"/>
        <v>85</v>
      </c>
      <c r="D1034" s="28">
        <f t="shared" si="898"/>
        <v>105</v>
      </c>
      <c r="E1034" s="29">
        <f t="shared" si="899"/>
        <v>0</v>
      </c>
      <c r="F1034" s="30">
        <f t="shared" si="900"/>
        <v>0.35015968571872153</v>
      </c>
      <c r="G1034" s="31">
        <f t="shared" si="901"/>
        <v>3.5281617059836679E-2</v>
      </c>
      <c r="H1034" s="32">
        <f t="shared" si="902"/>
        <v>0.02</v>
      </c>
      <c r="I1034" s="32">
        <f t="shared" si="903"/>
        <v>0</v>
      </c>
      <c r="J1034" s="33">
        <f t="shared" si="950"/>
        <v>0</v>
      </c>
      <c r="K1034" s="30">
        <f t="shared" si="904"/>
        <v>0</v>
      </c>
      <c r="L1034" s="33">
        <f t="shared" si="905"/>
        <v>0</v>
      </c>
      <c r="M1034" s="30">
        <f t="shared" si="906"/>
        <v>0</v>
      </c>
      <c r="N1034" s="33">
        <f t="shared" si="907"/>
        <v>0</v>
      </c>
      <c r="O1034" s="31">
        <f t="shared" si="908"/>
        <v>0</v>
      </c>
      <c r="P1034" s="33">
        <f t="shared" si="909"/>
        <v>0</v>
      </c>
      <c r="Q1034" s="34">
        <f t="shared" si="951"/>
        <v>1107843.1204053659</v>
      </c>
      <c r="R1034" s="29">
        <f t="shared" si="910"/>
        <v>0</v>
      </c>
      <c r="S1034" s="34">
        <f t="shared" si="911"/>
        <v>1107843.1204053659</v>
      </c>
      <c r="T1034" s="29">
        <f t="shared" si="912"/>
        <v>923.20260033780505</v>
      </c>
      <c r="U1034" s="29">
        <f t="shared" si="913"/>
        <v>0</v>
      </c>
      <c r="V1034" s="35">
        <f t="shared" si="914"/>
        <v>3.8809778765820348E-2</v>
      </c>
      <c r="W1034" s="34">
        <f t="shared" si="915"/>
        <v>0</v>
      </c>
      <c r="X1034" s="34">
        <f t="shared" si="916"/>
        <v>1106919.9178050281</v>
      </c>
      <c r="Y1034" s="36">
        <f t="shared" si="917"/>
        <v>1.3709661496136283E-2</v>
      </c>
      <c r="Z1034" s="34">
        <f t="shared" si="918"/>
        <v>15175.497376437934</v>
      </c>
      <c r="AA1034" s="34">
        <f t="shared" si="919"/>
        <v>1114507.666493247</v>
      </c>
      <c r="AB1034" s="34">
        <f t="shared" si="920"/>
        <v>0</v>
      </c>
      <c r="AC1034" s="34">
        <f t="shared" si="921"/>
        <v>0</v>
      </c>
      <c r="AD1034" s="34">
        <f t="shared" si="922"/>
        <v>0</v>
      </c>
      <c r="AE1034" s="34">
        <f t="shared" si="923"/>
        <v>0</v>
      </c>
      <c r="AF1034" s="34">
        <f t="shared" si="924"/>
        <v>0</v>
      </c>
      <c r="AG1034" s="29">
        <f t="shared" si="925"/>
        <v>1114507.666493247</v>
      </c>
      <c r="AH1034" s="34">
        <f t="shared" si="926"/>
        <v>0</v>
      </c>
      <c r="AI1034" s="34">
        <f t="shared" si="927"/>
        <v>0</v>
      </c>
      <c r="AJ1034" s="34">
        <f t="shared" si="928"/>
        <v>0</v>
      </c>
      <c r="AK1034" s="34">
        <f t="shared" si="929"/>
        <v>0</v>
      </c>
      <c r="AL1034" s="34">
        <f t="shared" si="930"/>
        <v>0</v>
      </c>
      <c r="AM1034" s="34">
        <f t="shared" si="931"/>
        <v>0</v>
      </c>
      <c r="AN1034" s="34">
        <f t="shared" si="932"/>
        <v>0</v>
      </c>
      <c r="AO1034" s="34">
        <f t="shared" si="933"/>
        <v>0</v>
      </c>
      <c r="AP1034" s="34">
        <f t="shared" si="934"/>
        <v>0</v>
      </c>
      <c r="AQ1034" s="34">
        <f t="shared" si="935"/>
        <v>0</v>
      </c>
      <c r="AR1034" s="34">
        <f t="shared" si="936"/>
        <v>0</v>
      </c>
      <c r="AS1034" s="30">
        <f t="shared" si="937"/>
        <v>2.3491887713927966</v>
      </c>
      <c r="AT1034" s="29">
        <f t="shared" si="938"/>
        <v>0</v>
      </c>
      <c r="AU1034" s="29">
        <f t="shared" si="939"/>
        <v>0</v>
      </c>
      <c r="AV1034" s="34">
        <f t="shared" si="940"/>
        <v>0</v>
      </c>
      <c r="AW1034" s="34">
        <f t="shared" si="941"/>
        <v>0</v>
      </c>
      <c r="AX1034" s="29">
        <f t="shared" si="942"/>
        <v>0</v>
      </c>
      <c r="AY1034" s="34">
        <f t="shared" si="943"/>
        <v>0</v>
      </c>
      <c r="AZ1034" s="37">
        <f t="shared" si="944"/>
        <v>0</v>
      </c>
      <c r="BA1034" s="37">
        <f t="shared" si="945"/>
        <v>0</v>
      </c>
      <c r="BB1034" s="35">
        <f t="shared" si="946"/>
        <v>1.8085677253161236E-3</v>
      </c>
      <c r="BC1034" s="31">
        <f t="shared" si="947"/>
        <v>0.15549491280064248</v>
      </c>
      <c r="BD1034" s="34">
        <f t="shared" si="948"/>
        <v>0</v>
      </c>
    </row>
    <row r="1035" spans="1:56" x14ac:dyDescent="0.2">
      <c r="A1035" s="27">
        <f t="shared" si="949"/>
        <v>1031</v>
      </c>
      <c r="B1035" s="28">
        <f t="shared" si="896"/>
        <v>1031</v>
      </c>
      <c r="C1035" s="27">
        <f t="shared" si="897"/>
        <v>85</v>
      </c>
      <c r="D1035" s="28">
        <f t="shared" si="898"/>
        <v>105</v>
      </c>
      <c r="E1035" s="29">
        <f t="shared" si="899"/>
        <v>0</v>
      </c>
      <c r="F1035" s="30">
        <f t="shared" si="900"/>
        <v>0.35015968571872153</v>
      </c>
      <c r="G1035" s="31">
        <f t="shared" si="901"/>
        <v>3.5281617059836679E-2</v>
      </c>
      <c r="H1035" s="32">
        <f t="shared" si="902"/>
        <v>0.02</v>
      </c>
      <c r="I1035" s="32">
        <f t="shared" si="903"/>
        <v>0</v>
      </c>
      <c r="J1035" s="33">
        <f t="shared" si="950"/>
        <v>0</v>
      </c>
      <c r="K1035" s="30">
        <f t="shared" si="904"/>
        <v>0</v>
      </c>
      <c r="L1035" s="33">
        <f t="shared" si="905"/>
        <v>0</v>
      </c>
      <c r="M1035" s="30">
        <f t="shared" si="906"/>
        <v>0</v>
      </c>
      <c r="N1035" s="33">
        <f t="shared" si="907"/>
        <v>0</v>
      </c>
      <c r="O1035" s="31">
        <f t="shared" si="908"/>
        <v>0</v>
      </c>
      <c r="P1035" s="33">
        <f t="shared" si="909"/>
        <v>0</v>
      </c>
      <c r="Q1035" s="34">
        <f t="shared" si="951"/>
        <v>1122095.4151814661</v>
      </c>
      <c r="R1035" s="29">
        <f t="shared" si="910"/>
        <v>0</v>
      </c>
      <c r="S1035" s="34">
        <f t="shared" si="911"/>
        <v>1122095.4151814661</v>
      </c>
      <c r="T1035" s="29">
        <f t="shared" si="912"/>
        <v>935.07951265122188</v>
      </c>
      <c r="U1035" s="29">
        <f t="shared" si="913"/>
        <v>0</v>
      </c>
      <c r="V1035" s="35">
        <f t="shared" si="914"/>
        <v>3.8809778765820348E-2</v>
      </c>
      <c r="W1035" s="34">
        <f t="shared" si="915"/>
        <v>0</v>
      </c>
      <c r="X1035" s="34">
        <f t="shared" si="916"/>
        <v>1121160.3356688148</v>
      </c>
      <c r="Y1035" s="36">
        <f t="shared" si="917"/>
        <v>1.3259048839662446E-2</v>
      </c>
      <c r="Z1035" s="34">
        <f t="shared" si="918"/>
        <v>14865.519647725157</v>
      </c>
      <c r="AA1035" s="34">
        <f t="shared" si="919"/>
        <v>1128593.0954926773</v>
      </c>
      <c r="AB1035" s="34">
        <f t="shared" si="920"/>
        <v>0</v>
      </c>
      <c r="AC1035" s="34">
        <f t="shared" si="921"/>
        <v>0</v>
      </c>
      <c r="AD1035" s="34">
        <f t="shared" si="922"/>
        <v>0</v>
      </c>
      <c r="AE1035" s="34">
        <f t="shared" si="923"/>
        <v>0</v>
      </c>
      <c r="AF1035" s="34">
        <f t="shared" si="924"/>
        <v>0</v>
      </c>
      <c r="AG1035" s="29">
        <f t="shared" si="925"/>
        <v>1128593.0954926773</v>
      </c>
      <c r="AH1035" s="34">
        <f t="shared" si="926"/>
        <v>0</v>
      </c>
      <c r="AI1035" s="34">
        <f t="shared" si="927"/>
        <v>0</v>
      </c>
      <c r="AJ1035" s="34">
        <f t="shared" si="928"/>
        <v>0</v>
      </c>
      <c r="AK1035" s="34">
        <f t="shared" si="929"/>
        <v>0</v>
      </c>
      <c r="AL1035" s="34">
        <f t="shared" si="930"/>
        <v>0</v>
      </c>
      <c r="AM1035" s="34">
        <f t="shared" si="931"/>
        <v>0</v>
      </c>
      <c r="AN1035" s="34">
        <f t="shared" si="932"/>
        <v>0</v>
      </c>
      <c r="AO1035" s="34">
        <f t="shared" si="933"/>
        <v>0</v>
      </c>
      <c r="AP1035" s="34">
        <f t="shared" si="934"/>
        <v>0</v>
      </c>
      <c r="AQ1035" s="34">
        <f t="shared" si="935"/>
        <v>0</v>
      </c>
      <c r="AR1035" s="34">
        <f t="shared" si="936"/>
        <v>0</v>
      </c>
      <c r="AS1035" s="30">
        <f t="shared" si="937"/>
        <v>2.3511375130164613</v>
      </c>
      <c r="AT1035" s="29">
        <f t="shared" si="938"/>
        <v>0</v>
      </c>
      <c r="AU1035" s="29">
        <f t="shared" si="939"/>
        <v>0</v>
      </c>
      <c r="AV1035" s="34">
        <f t="shared" si="940"/>
        <v>0</v>
      </c>
      <c r="AW1035" s="34">
        <f t="shared" si="941"/>
        <v>0</v>
      </c>
      <c r="AX1035" s="29">
        <f t="shared" si="942"/>
        <v>0</v>
      </c>
      <c r="AY1035" s="34">
        <f t="shared" si="943"/>
        <v>0</v>
      </c>
      <c r="AZ1035" s="37">
        <f t="shared" si="944"/>
        <v>0</v>
      </c>
      <c r="BA1035" s="37">
        <f t="shared" si="945"/>
        <v>0</v>
      </c>
      <c r="BB1035" s="35">
        <f t="shared" si="946"/>
        <v>1.8085677253161236E-3</v>
      </c>
      <c r="BC1035" s="31">
        <f t="shared" si="947"/>
        <v>0.15521419741269105</v>
      </c>
      <c r="BD1035" s="34">
        <f t="shared" si="948"/>
        <v>0</v>
      </c>
    </row>
    <row r="1036" spans="1:56" x14ac:dyDescent="0.2">
      <c r="A1036" s="27">
        <f t="shared" si="949"/>
        <v>1032</v>
      </c>
      <c r="B1036" s="28">
        <f t="shared" si="896"/>
        <v>1032</v>
      </c>
      <c r="C1036" s="27">
        <f t="shared" si="897"/>
        <v>86</v>
      </c>
      <c r="D1036" s="28">
        <f t="shared" si="898"/>
        <v>106</v>
      </c>
      <c r="E1036" s="29">
        <f t="shared" si="899"/>
        <v>0</v>
      </c>
      <c r="F1036" s="30">
        <f t="shared" si="900"/>
        <v>0.40573926997628751</v>
      </c>
      <c r="G1036" s="31">
        <f t="shared" si="901"/>
        <v>4.2442741492654701E-2</v>
      </c>
      <c r="H1036" s="32">
        <f t="shared" si="902"/>
        <v>0.02</v>
      </c>
      <c r="I1036" s="32">
        <f t="shared" si="903"/>
        <v>0</v>
      </c>
      <c r="J1036" s="33">
        <f t="shared" si="950"/>
        <v>0</v>
      </c>
      <c r="K1036" s="30">
        <f t="shared" si="904"/>
        <v>0</v>
      </c>
      <c r="L1036" s="33">
        <f t="shared" si="905"/>
        <v>0</v>
      </c>
      <c r="M1036" s="30">
        <f t="shared" si="906"/>
        <v>0</v>
      </c>
      <c r="N1036" s="33">
        <f t="shared" si="907"/>
        <v>0</v>
      </c>
      <c r="O1036" s="31">
        <f t="shared" si="908"/>
        <v>0</v>
      </c>
      <c r="P1036" s="33">
        <f t="shared" si="909"/>
        <v>0</v>
      </c>
      <c r="Q1036" s="34">
        <f t="shared" si="951"/>
        <v>1136025.85531654</v>
      </c>
      <c r="R1036" s="29">
        <f t="shared" si="910"/>
        <v>0</v>
      </c>
      <c r="S1036" s="34">
        <f t="shared" si="911"/>
        <v>1136025.85531654</v>
      </c>
      <c r="T1036" s="29">
        <f t="shared" si="912"/>
        <v>946.68821276378344</v>
      </c>
      <c r="U1036" s="29">
        <f t="shared" si="913"/>
        <v>0</v>
      </c>
      <c r="V1036" s="35">
        <f t="shared" si="914"/>
        <v>4.6687015641920175E-2</v>
      </c>
      <c r="W1036" s="34">
        <f t="shared" si="915"/>
        <v>0</v>
      </c>
      <c r="X1036" s="34">
        <f t="shared" si="916"/>
        <v>1135079.1671037762</v>
      </c>
      <c r="Y1036" s="36">
        <f t="shared" si="917"/>
        <v>-4.491619989558937E-3</v>
      </c>
      <c r="Z1036" s="34">
        <f t="shared" si="918"/>
        <v>-5098.3442766952303</v>
      </c>
      <c r="AA1036" s="34">
        <f t="shared" si="919"/>
        <v>1132529.9949654287</v>
      </c>
      <c r="AB1036" s="34">
        <f t="shared" si="920"/>
        <v>0</v>
      </c>
      <c r="AC1036" s="34">
        <f t="shared" si="921"/>
        <v>0</v>
      </c>
      <c r="AD1036" s="34">
        <f t="shared" si="922"/>
        <v>0</v>
      </c>
      <c r="AE1036" s="34">
        <f t="shared" si="923"/>
        <v>0</v>
      </c>
      <c r="AF1036" s="34">
        <f t="shared" si="924"/>
        <v>0</v>
      </c>
      <c r="AG1036" s="29">
        <f t="shared" si="925"/>
        <v>1132529.9949654287</v>
      </c>
      <c r="AH1036" s="34">
        <f t="shared" si="926"/>
        <v>0</v>
      </c>
      <c r="AI1036" s="34">
        <f t="shared" si="927"/>
        <v>0</v>
      </c>
      <c r="AJ1036" s="34">
        <f t="shared" si="928"/>
        <v>0</v>
      </c>
      <c r="AK1036" s="34">
        <f t="shared" si="929"/>
        <v>0</v>
      </c>
      <c r="AL1036" s="34">
        <f t="shared" si="930"/>
        <v>0</v>
      </c>
      <c r="AM1036" s="34">
        <f t="shared" si="931"/>
        <v>0</v>
      </c>
      <c r="AN1036" s="34">
        <f t="shared" si="932"/>
        <v>0</v>
      </c>
      <c r="AO1036" s="34">
        <f t="shared" si="933"/>
        <v>0</v>
      </c>
      <c r="AP1036" s="34">
        <f t="shared" si="934"/>
        <v>0</v>
      </c>
      <c r="AQ1036" s="34">
        <f t="shared" si="935"/>
        <v>0</v>
      </c>
      <c r="AR1036" s="34">
        <f t="shared" si="936"/>
        <v>0</v>
      </c>
      <c r="AS1036" s="30">
        <f t="shared" si="937"/>
        <v>2.3530878711955783</v>
      </c>
      <c r="AT1036" s="29">
        <f t="shared" si="938"/>
        <v>0</v>
      </c>
      <c r="AU1036" s="29">
        <f t="shared" si="939"/>
        <v>0</v>
      </c>
      <c r="AV1036" s="34">
        <f t="shared" si="940"/>
        <v>0</v>
      </c>
      <c r="AW1036" s="34">
        <f t="shared" si="941"/>
        <v>0</v>
      </c>
      <c r="AX1036" s="29">
        <f t="shared" si="942"/>
        <v>0</v>
      </c>
      <c r="AY1036" s="34">
        <f t="shared" si="943"/>
        <v>0</v>
      </c>
      <c r="AZ1036" s="37">
        <f t="shared" si="944"/>
        <v>0</v>
      </c>
      <c r="BA1036" s="37">
        <f t="shared" si="945"/>
        <v>0</v>
      </c>
      <c r="BB1036" s="35">
        <f t="shared" si="946"/>
        <v>1.8273552531493653E-3</v>
      </c>
      <c r="BC1036" s="31">
        <f t="shared" si="947"/>
        <v>0.15196429664753938</v>
      </c>
      <c r="BD1036" s="34">
        <f t="shared" si="948"/>
        <v>0</v>
      </c>
    </row>
    <row r="1037" spans="1:56" x14ac:dyDescent="0.2">
      <c r="A1037" s="27">
        <f t="shared" si="949"/>
        <v>1033</v>
      </c>
      <c r="B1037" s="28">
        <f t="shared" si="896"/>
        <v>1033</v>
      </c>
      <c r="C1037" s="27">
        <f t="shared" si="897"/>
        <v>86</v>
      </c>
      <c r="D1037" s="28">
        <f t="shared" si="898"/>
        <v>106</v>
      </c>
      <c r="E1037" s="29">
        <f t="shared" si="899"/>
        <v>0</v>
      </c>
      <c r="F1037" s="30">
        <f t="shared" si="900"/>
        <v>0.40573926997628751</v>
      </c>
      <c r="G1037" s="31">
        <f t="shared" si="901"/>
        <v>4.2442741492654701E-2</v>
      </c>
      <c r="H1037" s="32">
        <f t="shared" si="902"/>
        <v>0.02</v>
      </c>
      <c r="I1037" s="32">
        <f t="shared" si="903"/>
        <v>0</v>
      </c>
      <c r="J1037" s="33">
        <f t="shared" si="950"/>
        <v>0</v>
      </c>
      <c r="K1037" s="30">
        <f t="shared" si="904"/>
        <v>0</v>
      </c>
      <c r="L1037" s="33">
        <f t="shared" si="905"/>
        <v>0</v>
      </c>
      <c r="M1037" s="30">
        <f t="shared" si="906"/>
        <v>0</v>
      </c>
      <c r="N1037" s="33">
        <f t="shared" si="907"/>
        <v>0</v>
      </c>
      <c r="O1037" s="31">
        <f t="shared" si="908"/>
        <v>0</v>
      </c>
      <c r="P1037" s="33">
        <f t="shared" si="909"/>
        <v>0</v>
      </c>
      <c r="Q1037" s="34">
        <f t="shared" si="951"/>
        <v>1129980.822827081</v>
      </c>
      <c r="R1037" s="29">
        <f t="shared" si="910"/>
        <v>0</v>
      </c>
      <c r="S1037" s="34">
        <f t="shared" si="911"/>
        <v>1129980.822827081</v>
      </c>
      <c r="T1037" s="29">
        <f t="shared" si="912"/>
        <v>941.65068568923425</v>
      </c>
      <c r="U1037" s="29">
        <f t="shared" si="913"/>
        <v>0</v>
      </c>
      <c r="V1037" s="35">
        <f t="shared" si="914"/>
        <v>4.6687015641920175E-2</v>
      </c>
      <c r="W1037" s="34">
        <f t="shared" si="915"/>
        <v>0</v>
      </c>
      <c r="X1037" s="34">
        <f t="shared" si="916"/>
        <v>1129039.1721413918</v>
      </c>
      <c r="Y1037" s="36">
        <f t="shared" si="917"/>
        <v>-4.7772404040457017E-3</v>
      </c>
      <c r="Z1037" s="34">
        <f t="shared" si="918"/>
        <v>-5393.6915509041673</v>
      </c>
      <c r="AA1037" s="34">
        <f t="shared" si="919"/>
        <v>1126342.3263659398</v>
      </c>
      <c r="AB1037" s="34">
        <f t="shared" si="920"/>
        <v>0</v>
      </c>
      <c r="AC1037" s="34">
        <f t="shared" si="921"/>
        <v>0</v>
      </c>
      <c r="AD1037" s="34">
        <f t="shared" si="922"/>
        <v>0</v>
      </c>
      <c r="AE1037" s="34">
        <f t="shared" si="923"/>
        <v>0</v>
      </c>
      <c r="AF1037" s="34">
        <f t="shared" si="924"/>
        <v>0</v>
      </c>
      <c r="AG1037" s="29">
        <f t="shared" si="925"/>
        <v>1126342.3263659398</v>
      </c>
      <c r="AH1037" s="34">
        <f t="shared" si="926"/>
        <v>0</v>
      </c>
      <c r="AI1037" s="34">
        <f t="shared" si="927"/>
        <v>0</v>
      </c>
      <c r="AJ1037" s="34">
        <f t="shared" si="928"/>
        <v>0</v>
      </c>
      <c r="AK1037" s="34">
        <f t="shared" si="929"/>
        <v>0</v>
      </c>
      <c r="AL1037" s="34">
        <f t="shared" si="930"/>
        <v>0</v>
      </c>
      <c r="AM1037" s="34">
        <f t="shared" si="931"/>
        <v>0</v>
      </c>
      <c r="AN1037" s="34">
        <f t="shared" si="932"/>
        <v>0</v>
      </c>
      <c r="AO1037" s="34">
        <f t="shared" si="933"/>
        <v>0</v>
      </c>
      <c r="AP1037" s="34">
        <f t="shared" si="934"/>
        <v>0</v>
      </c>
      <c r="AQ1037" s="34">
        <f t="shared" si="935"/>
        <v>0</v>
      </c>
      <c r="AR1037" s="34">
        <f t="shared" si="936"/>
        <v>0</v>
      </c>
      <c r="AS1037" s="30">
        <f t="shared" si="937"/>
        <v>2.3550398472711405</v>
      </c>
      <c r="AT1037" s="29">
        <f t="shared" si="938"/>
        <v>0</v>
      </c>
      <c r="AU1037" s="29">
        <f t="shared" si="939"/>
        <v>0</v>
      </c>
      <c r="AV1037" s="34">
        <f t="shared" si="940"/>
        <v>0</v>
      </c>
      <c r="AW1037" s="34">
        <f t="shared" si="941"/>
        <v>0</v>
      </c>
      <c r="AX1037" s="29">
        <f t="shared" si="942"/>
        <v>0</v>
      </c>
      <c r="AY1037" s="34">
        <f t="shared" si="943"/>
        <v>0</v>
      </c>
      <c r="AZ1037" s="37">
        <f t="shared" si="944"/>
        <v>0</v>
      </c>
      <c r="BA1037" s="37">
        <f t="shared" si="945"/>
        <v>0</v>
      </c>
      <c r="BB1037" s="35">
        <f t="shared" si="946"/>
        <v>1.8273552531493653E-3</v>
      </c>
      <c r="BC1037" s="31">
        <f t="shared" si="947"/>
        <v>0.15168711040949751</v>
      </c>
      <c r="BD1037" s="34">
        <f t="shared" si="948"/>
        <v>0</v>
      </c>
    </row>
    <row r="1038" spans="1:56" x14ac:dyDescent="0.2">
      <c r="A1038" s="27">
        <f t="shared" si="949"/>
        <v>1034</v>
      </c>
      <c r="B1038" s="28">
        <f t="shared" si="896"/>
        <v>1034</v>
      </c>
      <c r="C1038" s="27">
        <f t="shared" si="897"/>
        <v>86</v>
      </c>
      <c r="D1038" s="28">
        <f t="shared" si="898"/>
        <v>106</v>
      </c>
      <c r="E1038" s="29">
        <f t="shared" si="899"/>
        <v>0</v>
      </c>
      <c r="F1038" s="30">
        <f t="shared" si="900"/>
        <v>0.40573926997628751</v>
      </c>
      <c r="G1038" s="31">
        <f t="shared" si="901"/>
        <v>4.2442741492654701E-2</v>
      </c>
      <c r="H1038" s="32">
        <f t="shared" si="902"/>
        <v>0.02</v>
      </c>
      <c r="I1038" s="32">
        <f t="shared" si="903"/>
        <v>0</v>
      </c>
      <c r="J1038" s="33">
        <f t="shared" si="950"/>
        <v>0</v>
      </c>
      <c r="K1038" s="30">
        <f t="shared" si="904"/>
        <v>0</v>
      </c>
      <c r="L1038" s="33">
        <f t="shared" si="905"/>
        <v>0</v>
      </c>
      <c r="M1038" s="30">
        <f t="shared" si="906"/>
        <v>0</v>
      </c>
      <c r="N1038" s="33">
        <f t="shared" si="907"/>
        <v>0</v>
      </c>
      <c r="O1038" s="31">
        <f t="shared" si="908"/>
        <v>0</v>
      </c>
      <c r="P1038" s="33">
        <f t="shared" si="909"/>
        <v>0</v>
      </c>
      <c r="Q1038" s="34">
        <f t="shared" si="951"/>
        <v>1123645.4805904876</v>
      </c>
      <c r="R1038" s="29">
        <f t="shared" si="910"/>
        <v>0</v>
      </c>
      <c r="S1038" s="34">
        <f t="shared" si="911"/>
        <v>1123645.4805904876</v>
      </c>
      <c r="T1038" s="29">
        <f t="shared" si="912"/>
        <v>936.37123382540642</v>
      </c>
      <c r="U1038" s="29">
        <f t="shared" si="913"/>
        <v>0</v>
      </c>
      <c r="V1038" s="35">
        <f t="shared" si="914"/>
        <v>4.6687015641920175E-2</v>
      </c>
      <c r="W1038" s="34">
        <f t="shared" si="915"/>
        <v>0</v>
      </c>
      <c r="X1038" s="34">
        <f t="shared" si="916"/>
        <v>1122709.1093566623</v>
      </c>
      <c r="Y1038" s="36">
        <f t="shared" si="917"/>
        <v>1.0223389083947376E-2</v>
      </c>
      <c r="Z1038" s="34">
        <f t="shared" si="918"/>
        <v>11477.892053045181</v>
      </c>
      <c r="AA1038" s="34">
        <f t="shared" si="919"/>
        <v>1128448.0553831849</v>
      </c>
      <c r="AB1038" s="34">
        <f t="shared" si="920"/>
        <v>0</v>
      </c>
      <c r="AC1038" s="34">
        <f t="shared" si="921"/>
        <v>0</v>
      </c>
      <c r="AD1038" s="34">
        <f t="shared" si="922"/>
        <v>0</v>
      </c>
      <c r="AE1038" s="34">
        <f t="shared" si="923"/>
        <v>0</v>
      </c>
      <c r="AF1038" s="34">
        <f t="shared" si="924"/>
        <v>0</v>
      </c>
      <c r="AG1038" s="29">
        <f t="shared" si="925"/>
        <v>1128448.0553831849</v>
      </c>
      <c r="AH1038" s="34">
        <f t="shared" si="926"/>
        <v>0</v>
      </c>
      <c r="AI1038" s="34">
        <f t="shared" si="927"/>
        <v>0</v>
      </c>
      <c r="AJ1038" s="34">
        <f t="shared" si="928"/>
        <v>0</v>
      </c>
      <c r="AK1038" s="34">
        <f t="shared" si="929"/>
        <v>0</v>
      </c>
      <c r="AL1038" s="34">
        <f t="shared" si="930"/>
        <v>0</v>
      </c>
      <c r="AM1038" s="34">
        <f t="shared" si="931"/>
        <v>0</v>
      </c>
      <c r="AN1038" s="34">
        <f t="shared" si="932"/>
        <v>0</v>
      </c>
      <c r="AO1038" s="34">
        <f t="shared" si="933"/>
        <v>0</v>
      </c>
      <c r="AP1038" s="34">
        <f t="shared" si="934"/>
        <v>0</v>
      </c>
      <c r="AQ1038" s="34">
        <f t="shared" si="935"/>
        <v>0</v>
      </c>
      <c r="AR1038" s="34">
        <f t="shared" si="936"/>
        <v>0</v>
      </c>
      <c r="AS1038" s="30">
        <f t="shared" si="937"/>
        <v>2.3569934425852561</v>
      </c>
      <c r="AT1038" s="29">
        <f t="shared" si="938"/>
        <v>0</v>
      </c>
      <c r="AU1038" s="29">
        <f t="shared" si="939"/>
        <v>0</v>
      </c>
      <c r="AV1038" s="34">
        <f t="shared" si="940"/>
        <v>0</v>
      </c>
      <c r="AW1038" s="34">
        <f t="shared" si="941"/>
        <v>0</v>
      </c>
      <c r="AX1038" s="29">
        <f t="shared" si="942"/>
        <v>0</v>
      </c>
      <c r="AY1038" s="34">
        <f t="shared" si="943"/>
        <v>0</v>
      </c>
      <c r="AZ1038" s="37">
        <f t="shared" si="944"/>
        <v>0</v>
      </c>
      <c r="BA1038" s="37">
        <f t="shared" si="945"/>
        <v>0</v>
      </c>
      <c r="BB1038" s="35">
        <f t="shared" si="946"/>
        <v>1.8273552531493653E-3</v>
      </c>
      <c r="BC1038" s="31">
        <f t="shared" si="947"/>
        <v>0.15141042976528432</v>
      </c>
      <c r="BD1038" s="34">
        <f t="shared" si="948"/>
        <v>0</v>
      </c>
    </row>
    <row r="1039" spans="1:56" x14ac:dyDescent="0.2">
      <c r="A1039" s="27">
        <f t="shared" si="949"/>
        <v>1035</v>
      </c>
      <c r="B1039" s="28">
        <f t="shared" si="896"/>
        <v>1035</v>
      </c>
      <c r="C1039" s="27">
        <f t="shared" si="897"/>
        <v>86</v>
      </c>
      <c r="D1039" s="28">
        <f t="shared" si="898"/>
        <v>106</v>
      </c>
      <c r="E1039" s="29">
        <f t="shared" si="899"/>
        <v>0</v>
      </c>
      <c r="F1039" s="30">
        <f t="shared" si="900"/>
        <v>0.40573926997628751</v>
      </c>
      <c r="G1039" s="31">
        <f t="shared" si="901"/>
        <v>4.2442741492654701E-2</v>
      </c>
      <c r="H1039" s="32">
        <f t="shared" si="902"/>
        <v>0.02</v>
      </c>
      <c r="I1039" s="32">
        <f t="shared" si="903"/>
        <v>0</v>
      </c>
      <c r="J1039" s="33">
        <f t="shared" si="950"/>
        <v>0</v>
      </c>
      <c r="K1039" s="30">
        <f t="shared" si="904"/>
        <v>0</v>
      </c>
      <c r="L1039" s="33">
        <f t="shared" si="905"/>
        <v>0</v>
      </c>
      <c r="M1039" s="30">
        <f t="shared" si="906"/>
        <v>0</v>
      </c>
      <c r="N1039" s="33">
        <f t="shared" si="907"/>
        <v>0</v>
      </c>
      <c r="O1039" s="31">
        <f t="shared" si="908"/>
        <v>0</v>
      </c>
      <c r="P1039" s="33">
        <f t="shared" si="909"/>
        <v>0</v>
      </c>
      <c r="Q1039" s="34">
        <f t="shared" si="951"/>
        <v>1134187.0014097074</v>
      </c>
      <c r="R1039" s="29">
        <f t="shared" si="910"/>
        <v>0</v>
      </c>
      <c r="S1039" s="34">
        <f t="shared" si="911"/>
        <v>1134187.0014097074</v>
      </c>
      <c r="T1039" s="29">
        <f t="shared" si="912"/>
        <v>945.15583450808947</v>
      </c>
      <c r="U1039" s="29">
        <f t="shared" si="913"/>
        <v>0</v>
      </c>
      <c r="V1039" s="35">
        <f t="shared" si="914"/>
        <v>4.6687015641920175E-2</v>
      </c>
      <c r="W1039" s="34">
        <f t="shared" si="915"/>
        <v>0</v>
      </c>
      <c r="X1039" s="34">
        <f t="shared" si="916"/>
        <v>1133241.8455751992</v>
      </c>
      <c r="Y1039" s="36">
        <f t="shared" si="917"/>
        <v>5.7068807939704147E-3</v>
      </c>
      <c r="Z1039" s="34">
        <f t="shared" si="918"/>
        <v>6467.2761234366908</v>
      </c>
      <c r="AA1039" s="34">
        <f t="shared" si="919"/>
        <v>1136475.4836369175</v>
      </c>
      <c r="AB1039" s="34">
        <f t="shared" si="920"/>
        <v>0</v>
      </c>
      <c r="AC1039" s="34">
        <f t="shared" si="921"/>
        <v>0</v>
      </c>
      <c r="AD1039" s="34">
        <f t="shared" si="922"/>
        <v>0</v>
      </c>
      <c r="AE1039" s="34">
        <f t="shared" si="923"/>
        <v>0</v>
      </c>
      <c r="AF1039" s="34">
        <f t="shared" si="924"/>
        <v>0</v>
      </c>
      <c r="AG1039" s="29">
        <f t="shared" si="925"/>
        <v>1136475.4836369175</v>
      </c>
      <c r="AH1039" s="34">
        <f t="shared" si="926"/>
        <v>0</v>
      </c>
      <c r="AI1039" s="34">
        <f t="shared" si="927"/>
        <v>0</v>
      </c>
      <c r="AJ1039" s="34">
        <f t="shared" si="928"/>
        <v>0</v>
      </c>
      <c r="AK1039" s="34">
        <f t="shared" si="929"/>
        <v>0</v>
      </c>
      <c r="AL1039" s="34">
        <f t="shared" si="930"/>
        <v>0</v>
      </c>
      <c r="AM1039" s="34">
        <f t="shared" si="931"/>
        <v>0</v>
      </c>
      <c r="AN1039" s="34">
        <f t="shared" si="932"/>
        <v>0</v>
      </c>
      <c r="AO1039" s="34">
        <f t="shared" si="933"/>
        <v>0</v>
      </c>
      <c r="AP1039" s="34">
        <f t="shared" si="934"/>
        <v>0</v>
      </c>
      <c r="AQ1039" s="34">
        <f t="shared" si="935"/>
        <v>0</v>
      </c>
      <c r="AR1039" s="34">
        <f t="shared" si="936"/>
        <v>0</v>
      </c>
      <c r="AS1039" s="30">
        <f t="shared" si="937"/>
        <v>2.3589486584811445</v>
      </c>
      <c r="AT1039" s="29">
        <f t="shared" si="938"/>
        <v>0</v>
      </c>
      <c r="AU1039" s="29">
        <f t="shared" si="939"/>
        <v>0</v>
      </c>
      <c r="AV1039" s="34">
        <f t="shared" si="940"/>
        <v>0</v>
      </c>
      <c r="AW1039" s="34">
        <f t="shared" si="941"/>
        <v>0</v>
      </c>
      <c r="AX1039" s="29">
        <f t="shared" si="942"/>
        <v>0</v>
      </c>
      <c r="AY1039" s="34">
        <f t="shared" si="943"/>
        <v>0</v>
      </c>
      <c r="AZ1039" s="37">
        <f t="shared" si="944"/>
        <v>0</v>
      </c>
      <c r="BA1039" s="37">
        <f t="shared" si="945"/>
        <v>0</v>
      </c>
      <c r="BB1039" s="35">
        <f t="shared" si="946"/>
        <v>1.8273552531493653E-3</v>
      </c>
      <c r="BC1039" s="31">
        <f t="shared" si="947"/>
        <v>0.15113425379268547</v>
      </c>
      <c r="BD1039" s="34">
        <f t="shared" si="948"/>
        <v>0</v>
      </c>
    </row>
    <row r="1040" spans="1:56" x14ac:dyDescent="0.2">
      <c r="A1040" s="27">
        <f t="shared" si="949"/>
        <v>1036</v>
      </c>
      <c r="B1040" s="28">
        <f t="shared" si="896"/>
        <v>1036</v>
      </c>
      <c r="C1040" s="27">
        <f t="shared" si="897"/>
        <v>86</v>
      </c>
      <c r="D1040" s="28">
        <f t="shared" si="898"/>
        <v>106</v>
      </c>
      <c r="E1040" s="29">
        <f t="shared" si="899"/>
        <v>0</v>
      </c>
      <c r="F1040" s="30">
        <f t="shared" si="900"/>
        <v>0.40573926997628751</v>
      </c>
      <c r="G1040" s="31">
        <f t="shared" si="901"/>
        <v>4.2442741492654701E-2</v>
      </c>
      <c r="H1040" s="32">
        <f t="shared" si="902"/>
        <v>0.02</v>
      </c>
      <c r="I1040" s="32">
        <f t="shared" si="903"/>
        <v>0</v>
      </c>
      <c r="J1040" s="33">
        <f t="shared" si="950"/>
        <v>0</v>
      </c>
      <c r="K1040" s="30">
        <f t="shared" si="904"/>
        <v>0</v>
      </c>
      <c r="L1040" s="33">
        <f t="shared" si="905"/>
        <v>0</v>
      </c>
      <c r="M1040" s="30">
        <f t="shared" si="906"/>
        <v>0</v>
      </c>
      <c r="N1040" s="33">
        <f t="shared" si="907"/>
        <v>0</v>
      </c>
      <c r="O1040" s="31">
        <f t="shared" si="908"/>
        <v>0</v>
      </c>
      <c r="P1040" s="33">
        <f t="shared" si="909"/>
        <v>0</v>
      </c>
      <c r="Q1040" s="34">
        <f t="shared" si="951"/>
        <v>1139709.1216986359</v>
      </c>
      <c r="R1040" s="29">
        <f t="shared" si="910"/>
        <v>0</v>
      </c>
      <c r="S1040" s="34">
        <f t="shared" si="911"/>
        <v>1139709.1216986359</v>
      </c>
      <c r="T1040" s="29">
        <f t="shared" si="912"/>
        <v>949.75760141552996</v>
      </c>
      <c r="U1040" s="29">
        <f t="shared" si="913"/>
        <v>0</v>
      </c>
      <c r="V1040" s="35">
        <f t="shared" si="914"/>
        <v>4.6687015641920175E-2</v>
      </c>
      <c r="W1040" s="34">
        <f t="shared" si="915"/>
        <v>0</v>
      </c>
      <c r="X1040" s="34">
        <f t="shared" si="916"/>
        <v>1138759.3640972204</v>
      </c>
      <c r="Y1040" s="36">
        <f t="shared" si="917"/>
        <v>1.6396728514350034E-2</v>
      </c>
      <c r="Z1040" s="34">
        <f t="shared" si="918"/>
        <v>18671.928136276005</v>
      </c>
      <c r="AA1040" s="34">
        <f t="shared" si="919"/>
        <v>1148095.3281653584</v>
      </c>
      <c r="AB1040" s="34">
        <f t="shared" si="920"/>
        <v>0</v>
      </c>
      <c r="AC1040" s="34">
        <f t="shared" si="921"/>
        <v>0</v>
      </c>
      <c r="AD1040" s="34">
        <f t="shared" si="922"/>
        <v>0</v>
      </c>
      <c r="AE1040" s="34">
        <f t="shared" si="923"/>
        <v>0</v>
      </c>
      <c r="AF1040" s="34">
        <f t="shared" si="924"/>
        <v>0</v>
      </c>
      <c r="AG1040" s="29">
        <f t="shared" si="925"/>
        <v>1148095.3281653584</v>
      </c>
      <c r="AH1040" s="34">
        <f t="shared" si="926"/>
        <v>0</v>
      </c>
      <c r="AI1040" s="34">
        <f t="shared" si="927"/>
        <v>0</v>
      </c>
      <c r="AJ1040" s="34">
        <f t="shared" si="928"/>
        <v>0</v>
      </c>
      <c r="AK1040" s="34">
        <f t="shared" si="929"/>
        <v>0</v>
      </c>
      <c r="AL1040" s="34">
        <f t="shared" si="930"/>
        <v>0</v>
      </c>
      <c r="AM1040" s="34">
        <f t="shared" si="931"/>
        <v>0</v>
      </c>
      <c r="AN1040" s="34">
        <f t="shared" si="932"/>
        <v>0</v>
      </c>
      <c r="AO1040" s="34">
        <f t="shared" si="933"/>
        <v>0</v>
      </c>
      <c r="AP1040" s="34">
        <f t="shared" si="934"/>
        <v>0</v>
      </c>
      <c r="AQ1040" s="34">
        <f t="shared" si="935"/>
        <v>0</v>
      </c>
      <c r="AR1040" s="34">
        <f t="shared" si="936"/>
        <v>0</v>
      </c>
      <c r="AS1040" s="30">
        <f t="shared" si="937"/>
        <v>2.3609054963031402</v>
      </c>
      <c r="AT1040" s="29">
        <f t="shared" si="938"/>
        <v>0</v>
      </c>
      <c r="AU1040" s="29">
        <f t="shared" si="939"/>
        <v>0</v>
      </c>
      <c r="AV1040" s="34">
        <f t="shared" si="940"/>
        <v>0</v>
      </c>
      <c r="AW1040" s="34">
        <f t="shared" si="941"/>
        <v>0</v>
      </c>
      <c r="AX1040" s="29">
        <f t="shared" si="942"/>
        <v>0</v>
      </c>
      <c r="AY1040" s="34">
        <f t="shared" si="943"/>
        <v>0</v>
      </c>
      <c r="AZ1040" s="37">
        <f t="shared" si="944"/>
        <v>0</v>
      </c>
      <c r="BA1040" s="37">
        <f t="shared" si="945"/>
        <v>0</v>
      </c>
      <c r="BB1040" s="35">
        <f t="shared" si="946"/>
        <v>1.8273552531493653E-3</v>
      </c>
      <c r="BC1040" s="31">
        <f t="shared" si="947"/>
        <v>0.15085858157116874</v>
      </c>
      <c r="BD1040" s="34">
        <f t="shared" si="948"/>
        <v>0</v>
      </c>
    </row>
    <row r="1041" spans="1:56" x14ac:dyDescent="0.2">
      <c r="A1041" s="27">
        <f t="shared" si="949"/>
        <v>1037</v>
      </c>
      <c r="B1041" s="28">
        <f t="shared" si="896"/>
        <v>1037</v>
      </c>
      <c r="C1041" s="27">
        <f t="shared" si="897"/>
        <v>86</v>
      </c>
      <c r="D1041" s="28">
        <f t="shared" si="898"/>
        <v>106</v>
      </c>
      <c r="E1041" s="29">
        <f t="shared" si="899"/>
        <v>0</v>
      </c>
      <c r="F1041" s="30">
        <f t="shared" si="900"/>
        <v>0.40573926997628751</v>
      </c>
      <c r="G1041" s="31">
        <f t="shared" si="901"/>
        <v>4.2442741492654701E-2</v>
      </c>
      <c r="H1041" s="32">
        <f t="shared" si="902"/>
        <v>0.02</v>
      </c>
      <c r="I1041" s="32">
        <f t="shared" si="903"/>
        <v>0</v>
      </c>
      <c r="J1041" s="33">
        <f t="shared" si="950"/>
        <v>0</v>
      </c>
      <c r="K1041" s="30">
        <f t="shared" si="904"/>
        <v>0</v>
      </c>
      <c r="L1041" s="33">
        <f t="shared" si="905"/>
        <v>0</v>
      </c>
      <c r="M1041" s="30">
        <f t="shared" si="906"/>
        <v>0</v>
      </c>
      <c r="N1041" s="33">
        <f t="shared" si="907"/>
        <v>0</v>
      </c>
      <c r="O1041" s="31">
        <f t="shared" si="908"/>
        <v>0</v>
      </c>
      <c r="P1041" s="33">
        <f t="shared" si="909"/>
        <v>0</v>
      </c>
      <c r="Q1041" s="34">
        <f t="shared" si="951"/>
        <v>1157431.2922334964</v>
      </c>
      <c r="R1041" s="29">
        <f t="shared" si="910"/>
        <v>0</v>
      </c>
      <c r="S1041" s="34">
        <f t="shared" si="911"/>
        <v>1157431.2922334964</v>
      </c>
      <c r="T1041" s="29">
        <f t="shared" si="912"/>
        <v>964.52607686124713</v>
      </c>
      <c r="U1041" s="29">
        <f t="shared" si="913"/>
        <v>0</v>
      </c>
      <c r="V1041" s="35">
        <f t="shared" si="914"/>
        <v>4.6687015641920175E-2</v>
      </c>
      <c r="W1041" s="34">
        <f t="shared" si="915"/>
        <v>0</v>
      </c>
      <c r="X1041" s="34">
        <f t="shared" si="916"/>
        <v>1156466.7661566352</v>
      </c>
      <c r="Y1041" s="36">
        <f t="shared" si="917"/>
        <v>1.8030515209831011E-2</v>
      </c>
      <c r="Z1041" s="34">
        <f t="shared" si="918"/>
        <v>20851.691616851294</v>
      </c>
      <c r="AA1041" s="34">
        <f t="shared" si="919"/>
        <v>1166892.6119650609</v>
      </c>
      <c r="AB1041" s="34">
        <f t="shared" si="920"/>
        <v>0</v>
      </c>
      <c r="AC1041" s="34">
        <f t="shared" si="921"/>
        <v>0</v>
      </c>
      <c r="AD1041" s="34">
        <f t="shared" si="922"/>
        <v>0</v>
      </c>
      <c r="AE1041" s="34">
        <f t="shared" si="923"/>
        <v>0</v>
      </c>
      <c r="AF1041" s="34">
        <f t="shared" si="924"/>
        <v>0</v>
      </c>
      <c r="AG1041" s="29">
        <f t="shared" si="925"/>
        <v>1166892.6119650609</v>
      </c>
      <c r="AH1041" s="34">
        <f t="shared" si="926"/>
        <v>0</v>
      </c>
      <c r="AI1041" s="34">
        <f t="shared" si="927"/>
        <v>0</v>
      </c>
      <c r="AJ1041" s="34">
        <f t="shared" si="928"/>
        <v>0</v>
      </c>
      <c r="AK1041" s="34">
        <f t="shared" si="929"/>
        <v>0</v>
      </c>
      <c r="AL1041" s="34">
        <f t="shared" si="930"/>
        <v>0</v>
      </c>
      <c r="AM1041" s="34">
        <f t="shared" si="931"/>
        <v>0</v>
      </c>
      <c r="AN1041" s="34">
        <f t="shared" si="932"/>
        <v>0</v>
      </c>
      <c r="AO1041" s="34">
        <f t="shared" si="933"/>
        <v>0</v>
      </c>
      <c r="AP1041" s="34">
        <f t="shared" si="934"/>
        <v>0</v>
      </c>
      <c r="AQ1041" s="34">
        <f t="shared" si="935"/>
        <v>0</v>
      </c>
      <c r="AR1041" s="34">
        <f t="shared" si="936"/>
        <v>0</v>
      </c>
      <c r="AS1041" s="30">
        <f t="shared" si="937"/>
        <v>2.3628639573966939</v>
      </c>
      <c r="AT1041" s="29">
        <f t="shared" si="938"/>
        <v>0</v>
      </c>
      <c r="AU1041" s="29">
        <f t="shared" si="939"/>
        <v>0</v>
      </c>
      <c r="AV1041" s="34">
        <f t="shared" si="940"/>
        <v>0</v>
      </c>
      <c r="AW1041" s="34">
        <f t="shared" si="941"/>
        <v>0</v>
      </c>
      <c r="AX1041" s="29">
        <f t="shared" si="942"/>
        <v>0</v>
      </c>
      <c r="AY1041" s="34">
        <f t="shared" si="943"/>
        <v>0</v>
      </c>
      <c r="AZ1041" s="37">
        <f t="shared" si="944"/>
        <v>0</v>
      </c>
      <c r="BA1041" s="37">
        <f t="shared" si="945"/>
        <v>0</v>
      </c>
      <c r="BB1041" s="35">
        <f t="shared" si="946"/>
        <v>1.8273552531493653E-3</v>
      </c>
      <c r="BC1041" s="31">
        <f t="shared" si="947"/>
        <v>0.15058341218188104</v>
      </c>
      <c r="BD1041" s="34">
        <f t="shared" si="948"/>
        <v>0</v>
      </c>
    </row>
    <row r="1042" spans="1:56" x14ac:dyDescent="0.2">
      <c r="A1042" s="27">
        <f t="shared" si="949"/>
        <v>1038</v>
      </c>
      <c r="B1042" s="28">
        <f t="shared" si="896"/>
        <v>1038</v>
      </c>
      <c r="C1042" s="27">
        <f t="shared" si="897"/>
        <v>86</v>
      </c>
      <c r="D1042" s="28">
        <f t="shared" si="898"/>
        <v>106</v>
      </c>
      <c r="E1042" s="29">
        <f t="shared" si="899"/>
        <v>0</v>
      </c>
      <c r="F1042" s="30">
        <f t="shared" si="900"/>
        <v>0.40573926997628751</v>
      </c>
      <c r="G1042" s="31">
        <f t="shared" si="901"/>
        <v>4.2442741492654701E-2</v>
      </c>
      <c r="H1042" s="32">
        <f t="shared" si="902"/>
        <v>0.02</v>
      </c>
      <c r="I1042" s="32">
        <f t="shared" si="903"/>
        <v>0</v>
      </c>
      <c r="J1042" s="33">
        <f t="shared" si="950"/>
        <v>0</v>
      </c>
      <c r="K1042" s="30">
        <f t="shared" si="904"/>
        <v>0</v>
      </c>
      <c r="L1042" s="33">
        <f t="shared" si="905"/>
        <v>0</v>
      </c>
      <c r="M1042" s="30">
        <f t="shared" si="906"/>
        <v>0</v>
      </c>
      <c r="N1042" s="33">
        <f t="shared" si="907"/>
        <v>0</v>
      </c>
      <c r="O1042" s="31">
        <f t="shared" si="908"/>
        <v>0</v>
      </c>
      <c r="P1042" s="33">
        <f t="shared" si="909"/>
        <v>0</v>
      </c>
      <c r="Q1042" s="34">
        <f t="shared" si="951"/>
        <v>1177318.4577734866</v>
      </c>
      <c r="R1042" s="29">
        <f t="shared" si="910"/>
        <v>0</v>
      </c>
      <c r="S1042" s="34">
        <f t="shared" si="911"/>
        <v>1177318.4577734866</v>
      </c>
      <c r="T1042" s="29">
        <f t="shared" si="912"/>
        <v>981.09871481123889</v>
      </c>
      <c r="U1042" s="29">
        <f t="shared" si="913"/>
        <v>0</v>
      </c>
      <c r="V1042" s="35">
        <f t="shared" si="914"/>
        <v>4.6687015641920175E-2</v>
      </c>
      <c r="W1042" s="34">
        <f t="shared" si="915"/>
        <v>0</v>
      </c>
      <c r="X1042" s="34">
        <f t="shared" si="916"/>
        <v>1176337.3590586754</v>
      </c>
      <c r="Y1042" s="36">
        <f t="shared" si="917"/>
        <v>1.9926585370598993E-2</v>
      </c>
      <c r="Z1042" s="34">
        <f t="shared" si="918"/>
        <v>23440.386809907654</v>
      </c>
      <c r="AA1042" s="34">
        <f t="shared" si="919"/>
        <v>1188057.5524636293</v>
      </c>
      <c r="AB1042" s="34">
        <f t="shared" si="920"/>
        <v>0</v>
      </c>
      <c r="AC1042" s="34">
        <f t="shared" si="921"/>
        <v>0</v>
      </c>
      <c r="AD1042" s="34">
        <f t="shared" si="922"/>
        <v>0</v>
      </c>
      <c r="AE1042" s="34">
        <f t="shared" si="923"/>
        <v>0</v>
      </c>
      <c r="AF1042" s="34">
        <f t="shared" si="924"/>
        <v>0</v>
      </c>
      <c r="AG1042" s="29">
        <f t="shared" si="925"/>
        <v>1188057.5524636293</v>
      </c>
      <c r="AH1042" s="34">
        <f t="shared" si="926"/>
        <v>0</v>
      </c>
      <c r="AI1042" s="34">
        <f t="shared" si="927"/>
        <v>0</v>
      </c>
      <c r="AJ1042" s="34">
        <f t="shared" si="928"/>
        <v>0</v>
      </c>
      <c r="AK1042" s="34">
        <f t="shared" si="929"/>
        <v>0</v>
      </c>
      <c r="AL1042" s="34">
        <f t="shared" si="930"/>
        <v>0</v>
      </c>
      <c r="AM1042" s="34">
        <f t="shared" si="931"/>
        <v>0</v>
      </c>
      <c r="AN1042" s="34">
        <f t="shared" si="932"/>
        <v>0</v>
      </c>
      <c r="AO1042" s="34">
        <f t="shared" si="933"/>
        <v>0</v>
      </c>
      <c r="AP1042" s="34">
        <f t="shared" si="934"/>
        <v>0</v>
      </c>
      <c r="AQ1042" s="34">
        <f t="shared" si="935"/>
        <v>0</v>
      </c>
      <c r="AR1042" s="34">
        <f t="shared" si="936"/>
        <v>0</v>
      </c>
      <c r="AS1042" s="30">
        <f t="shared" si="937"/>
        <v>2.3648240431083689</v>
      </c>
      <c r="AT1042" s="29">
        <f t="shared" si="938"/>
        <v>0</v>
      </c>
      <c r="AU1042" s="29">
        <f t="shared" si="939"/>
        <v>0</v>
      </c>
      <c r="AV1042" s="34">
        <f t="shared" si="940"/>
        <v>0</v>
      </c>
      <c r="AW1042" s="34">
        <f t="shared" si="941"/>
        <v>0</v>
      </c>
      <c r="AX1042" s="29">
        <f t="shared" si="942"/>
        <v>0</v>
      </c>
      <c r="AY1042" s="34">
        <f t="shared" si="943"/>
        <v>0</v>
      </c>
      <c r="AZ1042" s="37">
        <f t="shared" si="944"/>
        <v>0</v>
      </c>
      <c r="BA1042" s="37">
        <f t="shared" si="945"/>
        <v>0</v>
      </c>
      <c r="BB1042" s="35">
        <f t="shared" si="946"/>
        <v>1.8273552531493653E-3</v>
      </c>
      <c r="BC1042" s="31">
        <f t="shared" si="947"/>
        <v>0.15030874470764521</v>
      </c>
      <c r="BD1042" s="34">
        <f t="shared" si="948"/>
        <v>0</v>
      </c>
    </row>
    <row r="1043" spans="1:56" x14ac:dyDescent="0.2">
      <c r="A1043" s="27">
        <f t="shared" si="949"/>
        <v>1039</v>
      </c>
      <c r="B1043" s="28">
        <f t="shared" si="896"/>
        <v>1039</v>
      </c>
      <c r="C1043" s="27">
        <f t="shared" si="897"/>
        <v>86</v>
      </c>
      <c r="D1043" s="28">
        <f t="shared" si="898"/>
        <v>106</v>
      </c>
      <c r="E1043" s="29">
        <f t="shared" si="899"/>
        <v>0</v>
      </c>
      <c r="F1043" s="30">
        <f t="shared" si="900"/>
        <v>0.40573926997628751</v>
      </c>
      <c r="G1043" s="31">
        <f t="shared" si="901"/>
        <v>4.2442741492654701E-2</v>
      </c>
      <c r="H1043" s="32">
        <f t="shared" si="902"/>
        <v>0.02</v>
      </c>
      <c r="I1043" s="32">
        <f t="shared" si="903"/>
        <v>0</v>
      </c>
      <c r="J1043" s="33">
        <f t="shared" si="950"/>
        <v>0</v>
      </c>
      <c r="K1043" s="30">
        <f t="shared" si="904"/>
        <v>0</v>
      </c>
      <c r="L1043" s="33">
        <f t="shared" si="905"/>
        <v>0</v>
      </c>
      <c r="M1043" s="30">
        <f t="shared" si="906"/>
        <v>0</v>
      </c>
      <c r="N1043" s="33">
        <f t="shared" si="907"/>
        <v>0</v>
      </c>
      <c r="O1043" s="31">
        <f t="shared" si="908"/>
        <v>0</v>
      </c>
      <c r="P1043" s="33">
        <f t="shared" si="909"/>
        <v>0</v>
      </c>
      <c r="Q1043" s="34">
        <f t="shared" si="951"/>
        <v>1199777.745868583</v>
      </c>
      <c r="R1043" s="29">
        <f t="shared" si="910"/>
        <v>0</v>
      </c>
      <c r="S1043" s="34">
        <f t="shared" si="911"/>
        <v>1199777.745868583</v>
      </c>
      <c r="T1043" s="29">
        <f t="shared" si="912"/>
        <v>999.81478822381916</v>
      </c>
      <c r="U1043" s="29">
        <f t="shared" si="913"/>
        <v>0</v>
      </c>
      <c r="V1043" s="35">
        <f t="shared" si="914"/>
        <v>4.6687015641920175E-2</v>
      </c>
      <c r="W1043" s="34">
        <f t="shared" si="915"/>
        <v>0</v>
      </c>
      <c r="X1043" s="34">
        <f t="shared" si="916"/>
        <v>1198777.9310803593</v>
      </c>
      <c r="Y1043" s="36">
        <f t="shared" si="917"/>
        <v>9.7640434338281956E-3</v>
      </c>
      <c r="Z1043" s="34">
        <f t="shared" si="918"/>
        <v>11704.91978658333</v>
      </c>
      <c r="AA1043" s="34">
        <f t="shared" si="919"/>
        <v>1204630.3909736509</v>
      </c>
      <c r="AB1043" s="34">
        <f t="shared" si="920"/>
        <v>0</v>
      </c>
      <c r="AC1043" s="34">
        <f t="shared" si="921"/>
        <v>0</v>
      </c>
      <c r="AD1043" s="34">
        <f t="shared" si="922"/>
        <v>0</v>
      </c>
      <c r="AE1043" s="34">
        <f t="shared" si="923"/>
        <v>0</v>
      </c>
      <c r="AF1043" s="34">
        <f t="shared" si="924"/>
        <v>0</v>
      </c>
      <c r="AG1043" s="29">
        <f t="shared" si="925"/>
        <v>1204630.3909736509</v>
      </c>
      <c r="AH1043" s="34">
        <f t="shared" si="926"/>
        <v>0</v>
      </c>
      <c r="AI1043" s="34">
        <f t="shared" si="927"/>
        <v>0</v>
      </c>
      <c r="AJ1043" s="34">
        <f t="shared" si="928"/>
        <v>0</v>
      </c>
      <c r="AK1043" s="34">
        <f t="shared" si="929"/>
        <v>0</v>
      </c>
      <c r="AL1043" s="34">
        <f t="shared" si="930"/>
        <v>0</v>
      </c>
      <c r="AM1043" s="34">
        <f t="shared" si="931"/>
        <v>0</v>
      </c>
      <c r="AN1043" s="34">
        <f t="shared" si="932"/>
        <v>0</v>
      </c>
      <c r="AO1043" s="34">
        <f t="shared" si="933"/>
        <v>0</v>
      </c>
      <c r="AP1043" s="34">
        <f t="shared" si="934"/>
        <v>0</v>
      </c>
      <c r="AQ1043" s="34">
        <f t="shared" si="935"/>
        <v>0</v>
      </c>
      <c r="AR1043" s="34">
        <f t="shared" si="936"/>
        <v>0</v>
      </c>
      <c r="AS1043" s="30">
        <f t="shared" si="937"/>
        <v>2.3667857547858495</v>
      </c>
      <c r="AT1043" s="29">
        <f t="shared" si="938"/>
        <v>0</v>
      </c>
      <c r="AU1043" s="29">
        <f t="shared" si="939"/>
        <v>0</v>
      </c>
      <c r="AV1043" s="34">
        <f t="shared" si="940"/>
        <v>0</v>
      </c>
      <c r="AW1043" s="34">
        <f t="shared" si="941"/>
        <v>0</v>
      </c>
      <c r="AX1043" s="29">
        <f t="shared" si="942"/>
        <v>0</v>
      </c>
      <c r="AY1043" s="34">
        <f t="shared" si="943"/>
        <v>0</v>
      </c>
      <c r="AZ1043" s="37">
        <f t="shared" si="944"/>
        <v>0</v>
      </c>
      <c r="BA1043" s="37">
        <f t="shared" si="945"/>
        <v>0</v>
      </c>
      <c r="BB1043" s="35">
        <f t="shared" si="946"/>
        <v>1.8273552531493653E-3</v>
      </c>
      <c r="BC1043" s="31">
        <f t="shared" si="947"/>
        <v>0.15003457823295718</v>
      </c>
      <c r="BD1043" s="34">
        <f t="shared" si="948"/>
        <v>0</v>
      </c>
    </row>
    <row r="1044" spans="1:56" x14ac:dyDescent="0.2">
      <c r="A1044" s="27">
        <f t="shared" si="949"/>
        <v>1040</v>
      </c>
      <c r="B1044" s="28">
        <f t="shared" si="896"/>
        <v>1040</v>
      </c>
      <c r="C1044" s="27">
        <f t="shared" si="897"/>
        <v>86</v>
      </c>
      <c r="D1044" s="28">
        <f t="shared" si="898"/>
        <v>106</v>
      </c>
      <c r="E1044" s="29">
        <f t="shared" si="899"/>
        <v>0</v>
      </c>
      <c r="F1044" s="30">
        <f t="shared" si="900"/>
        <v>0.40573926997628751</v>
      </c>
      <c r="G1044" s="31">
        <f t="shared" si="901"/>
        <v>4.2442741492654701E-2</v>
      </c>
      <c r="H1044" s="32">
        <f t="shared" si="902"/>
        <v>0.02</v>
      </c>
      <c r="I1044" s="32">
        <f t="shared" si="903"/>
        <v>0</v>
      </c>
      <c r="J1044" s="33">
        <f t="shared" si="950"/>
        <v>0</v>
      </c>
      <c r="K1044" s="30">
        <f t="shared" si="904"/>
        <v>0</v>
      </c>
      <c r="L1044" s="33">
        <f t="shared" si="905"/>
        <v>0</v>
      </c>
      <c r="M1044" s="30">
        <f t="shared" si="906"/>
        <v>0</v>
      </c>
      <c r="N1044" s="33">
        <f t="shared" si="907"/>
        <v>0</v>
      </c>
      <c r="O1044" s="31">
        <f t="shared" si="908"/>
        <v>0</v>
      </c>
      <c r="P1044" s="33">
        <f t="shared" si="909"/>
        <v>0</v>
      </c>
      <c r="Q1044" s="34">
        <f t="shared" si="951"/>
        <v>1210482.8508669427</v>
      </c>
      <c r="R1044" s="29">
        <f t="shared" si="910"/>
        <v>0</v>
      </c>
      <c r="S1044" s="34">
        <f t="shared" si="911"/>
        <v>1210482.8508669427</v>
      </c>
      <c r="T1044" s="29">
        <f t="shared" si="912"/>
        <v>1008.7357090557856</v>
      </c>
      <c r="U1044" s="29">
        <f t="shared" si="913"/>
        <v>0</v>
      </c>
      <c r="V1044" s="35">
        <f t="shared" si="914"/>
        <v>4.6687015641920175E-2</v>
      </c>
      <c r="W1044" s="34">
        <f t="shared" si="915"/>
        <v>0</v>
      </c>
      <c r="X1044" s="34">
        <f t="shared" si="916"/>
        <v>1209474.1151578869</v>
      </c>
      <c r="Y1044" s="36">
        <f t="shared" si="917"/>
        <v>-6.4478313003700771E-3</v>
      </c>
      <c r="Z1044" s="34">
        <f t="shared" si="918"/>
        <v>-7798.4850567024259</v>
      </c>
      <c r="AA1044" s="34">
        <f t="shared" si="919"/>
        <v>1205574.8726295356</v>
      </c>
      <c r="AB1044" s="34">
        <f t="shared" si="920"/>
        <v>0</v>
      </c>
      <c r="AC1044" s="34">
        <f t="shared" si="921"/>
        <v>0</v>
      </c>
      <c r="AD1044" s="34">
        <f t="shared" si="922"/>
        <v>0</v>
      </c>
      <c r="AE1044" s="34">
        <f t="shared" si="923"/>
        <v>0</v>
      </c>
      <c r="AF1044" s="34">
        <f t="shared" si="924"/>
        <v>0</v>
      </c>
      <c r="AG1044" s="29">
        <f t="shared" si="925"/>
        <v>1205574.8726295356</v>
      </c>
      <c r="AH1044" s="34">
        <f t="shared" si="926"/>
        <v>0</v>
      </c>
      <c r="AI1044" s="34">
        <f t="shared" si="927"/>
        <v>0</v>
      </c>
      <c r="AJ1044" s="34">
        <f t="shared" si="928"/>
        <v>0</v>
      </c>
      <c r="AK1044" s="34">
        <f t="shared" si="929"/>
        <v>0</v>
      </c>
      <c r="AL1044" s="34">
        <f t="shared" si="930"/>
        <v>0</v>
      </c>
      <c r="AM1044" s="34">
        <f t="shared" si="931"/>
        <v>0</v>
      </c>
      <c r="AN1044" s="34">
        <f t="shared" si="932"/>
        <v>0</v>
      </c>
      <c r="AO1044" s="34">
        <f t="shared" si="933"/>
        <v>0</v>
      </c>
      <c r="AP1044" s="34">
        <f t="shared" si="934"/>
        <v>0</v>
      </c>
      <c r="AQ1044" s="34">
        <f t="shared" si="935"/>
        <v>0</v>
      </c>
      <c r="AR1044" s="34">
        <f t="shared" si="936"/>
        <v>0</v>
      </c>
      <c r="AS1044" s="30">
        <f t="shared" si="937"/>
        <v>2.3687490937779363</v>
      </c>
      <c r="AT1044" s="29">
        <f t="shared" si="938"/>
        <v>0</v>
      </c>
      <c r="AU1044" s="29">
        <f t="shared" si="939"/>
        <v>0</v>
      </c>
      <c r="AV1044" s="34">
        <f t="shared" si="940"/>
        <v>0</v>
      </c>
      <c r="AW1044" s="34">
        <f t="shared" si="941"/>
        <v>0</v>
      </c>
      <c r="AX1044" s="29">
        <f t="shared" si="942"/>
        <v>0</v>
      </c>
      <c r="AY1044" s="34">
        <f t="shared" si="943"/>
        <v>0</v>
      </c>
      <c r="AZ1044" s="37">
        <f t="shared" si="944"/>
        <v>0</v>
      </c>
      <c r="BA1044" s="37">
        <f t="shared" si="945"/>
        <v>0</v>
      </c>
      <c r="BB1044" s="35">
        <f t="shared" si="946"/>
        <v>1.8273552531493653E-3</v>
      </c>
      <c r="BC1044" s="31">
        <f t="shared" si="947"/>
        <v>0.14976091184398269</v>
      </c>
      <c r="BD1044" s="34">
        <f t="shared" si="948"/>
        <v>0</v>
      </c>
    </row>
    <row r="1045" spans="1:56" x14ac:dyDescent="0.2">
      <c r="A1045" s="27">
        <f t="shared" si="949"/>
        <v>1041</v>
      </c>
      <c r="B1045" s="28">
        <f t="shared" si="896"/>
        <v>1041</v>
      </c>
      <c r="C1045" s="27">
        <f t="shared" si="897"/>
        <v>86</v>
      </c>
      <c r="D1045" s="28">
        <f t="shared" si="898"/>
        <v>106</v>
      </c>
      <c r="E1045" s="29">
        <f t="shared" si="899"/>
        <v>0</v>
      </c>
      <c r="F1045" s="30">
        <f t="shared" si="900"/>
        <v>0.40573926997628751</v>
      </c>
      <c r="G1045" s="31">
        <f t="shared" si="901"/>
        <v>4.2442741492654701E-2</v>
      </c>
      <c r="H1045" s="32">
        <f t="shared" si="902"/>
        <v>0.02</v>
      </c>
      <c r="I1045" s="32">
        <f t="shared" si="903"/>
        <v>0</v>
      </c>
      <c r="J1045" s="33">
        <f t="shared" si="950"/>
        <v>0</v>
      </c>
      <c r="K1045" s="30">
        <f t="shared" si="904"/>
        <v>0</v>
      </c>
      <c r="L1045" s="33">
        <f t="shared" si="905"/>
        <v>0</v>
      </c>
      <c r="M1045" s="30">
        <f t="shared" si="906"/>
        <v>0</v>
      </c>
      <c r="N1045" s="33">
        <f t="shared" si="907"/>
        <v>0</v>
      </c>
      <c r="O1045" s="31">
        <f t="shared" si="908"/>
        <v>0</v>
      </c>
      <c r="P1045" s="33">
        <f t="shared" si="909"/>
        <v>0</v>
      </c>
      <c r="Q1045" s="34">
        <f t="shared" si="951"/>
        <v>1201675.6301011844</v>
      </c>
      <c r="R1045" s="29">
        <f t="shared" si="910"/>
        <v>0</v>
      </c>
      <c r="S1045" s="34">
        <f t="shared" si="911"/>
        <v>1201675.6301011844</v>
      </c>
      <c r="T1045" s="29">
        <f t="shared" si="912"/>
        <v>1001.3963584176537</v>
      </c>
      <c r="U1045" s="29">
        <f t="shared" si="913"/>
        <v>0</v>
      </c>
      <c r="V1045" s="35">
        <f t="shared" si="914"/>
        <v>4.6687015641920175E-2</v>
      </c>
      <c r="W1045" s="34">
        <f t="shared" si="915"/>
        <v>0</v>
      </c>
      <c r="X1045" s="34">
        <f t="shared" si="916"/>
        <v>1200674.2337427668</v>
      </c>
      <c r="Y1045" s="36">
        <f t="shared" si="917"/>
        <v>-1.0873784708324008E-2</v>
      </c>
      <c r="Z1045" s="34">
        <f t="shared" si="918"/>
        <v>-13055.873122550744</v>
      </c>
      <c r="AA1045" s="34">
        <f t="shared" si="919"/>
        <v>1194146.2971814915</v>
      </c>
      <c r="AB1045" s="34">
        <f t="shared" si="920"/>
        <v>0</v>
      </c>
      <c r="AC1045" s="34">
        <f t="shared" si="921"/>
        <v>0</v>
      </c>
      <c r="AD1045" s="34">
        <f t="shared" si="922"/>
        <v>0</v>
      </c>
      <c r="AE1045" s="34">
        <f t="shared" si="923"/>
        <v>0</v>
      </c>
      <c r="AF1045" s="34">
        <f t="shared" si="924"/>
        <v>0</v>
      </c>
      <c r="AG1045" s="29">
        <f t="shared" si="925"/>
        <v>1194146.2971814915</v>
      </c>
      <c r="AH1045" s="34">
        <f t="shared" si="926"/>
        <v>0</v>
      </c>
      <c r="AI1045" s="34">
        <f t="shared" si="927"/>
        <v>0</v>
      </c>
      <c r="AJ1045" s="34">
        <f t="shared" si="928"/>
        <v>0</v>
      </c>
      <c r="AK1045" s="34">
        <f t="shared" si="929"/>
        <v>0</v>
      </c>
      <c r="AL1045" s="34">
        <f t="shared" si="930"/>
        <v>0</v>
      </c>
      <c r="AM1045" s="34">
        <f t="shared" si="931"/>
        <v>0</v>
      </c>
      <c r="AN1045" s="34">
        <f t="shared" si="932"/>
        <v>0</v>
      </c>
      <c r="AO1045" s="34">
        <f t="shared" si="933"/>
        <v>0</v>
      </c>
      <c r="AP1045" s="34">
        <f t="shared" si="934"/>
        <v>0</v>
      </c>
      <c r="AQ1045" s="34">
        <f t="shared" si="935"/>
        <v>0</v>
      </c>
      <c r="AR1045" s="34">
        <f t="shared" si="936"/>
        <v>0</v>
      </c>
      <c r="AS1045" s="30">
        <f t="shared" si="937"/>
        <v>2.3707140614345481</v>
      </c>
      <c r="AT1045" s="29">
        <f t="shared" si="938"/>
        <v>0</v>
      </c>
      <c r="AU1045" s="29">
        <f t="shared" si="939"/>
        <v>0</v>
      </c>
      <c r="AV1045" s="34">
        <f t="shared" si="940"/>
        <v>0</v>
      </c>
      <c r="AW1045" s="34">
        <f t="shared" si="941"/>
        <v>0</v>
      </c>
      <c r="AX1045" s="29">
        <f t="shared" si="942"/>
        <v>0</v>
      </c>
      <c r="AY1045" s="34">
        <f t="shared" si="943"/>
        <v>0</v>
      </c>
      <c r="AZ1045" s="37">
        <f t="shared" si="944"/>
        <v>0</v>
      </c>
      <c r="BA1045" s="37">
        <f t="shared" si="945"/>
        <v>0</v>
      </c>
      <c r="BB1045" s="35">
        <f t="shared" si="946"/>
        <v>1.8273552531493653E-3</v>
      </c>
      <c r="BC1045" s="31">
        <f t="shared" si="947"/>
        <v>0.14948774462855424</v>
      </c>
      <c r="BD1045" s="34">
        <f t="shared" si="948"/>
        <v>0</v>
      </c>
    </row>
    <row r="1046" spans="1:56" x14ac:dyDescent="0.2">
      <c r="A1046" s="27">
        <f t="shared" si="949"/>
        <v>1042</v>
      </c>
      <c r="B1046" s="28">
        <f t="shared" si="896"/>
        <v>1042</v>
      </c>
      <c r="C1046" s="27">
        <f t="shared" si="897"/>
        <v>86</v>
      </c>
      <c r="D1046" s="28">
        <f t="shared" si="898"/>
        <v>106</v>
      </c>
      <c r="E1046" s="29">
        <f t="shared" si="899"/>
        <v>0</v>
      </c>
      <c r="F1046" s="30">
        <f t="shared" si="900"/>
        <v>0.40573926997628751</v>
      </c>
      <c r="G1046" s="31">
        <f t="shared" si="901"/>
        <v>4.2442741492654701E-2</v>
      </c>
      <c r="H1046" s="32">
        <f t="shared" si="902"/>
        <v>0.02</v>
      </c>
      <c r="I1046" s="32">
        <f t="shared" si="903"/>
        <v>0</v>
      </c>
      <c r="J1046" s="33">
        <f t="shared" si="950"/>
        <v>0</v>
      </c>
      <c r="K1046" s="30">
        <f t="shared" si="904"/>
        <v>0</v>
      </c>
      <c r="L1046" s="33">
        <f t="shared" si="905"/>
        <v>0</v>
      </c>
      <c r="M1046" s="30">
        <f t="shared" si="906"/>
        <v>0</v>
      </c>
      <c r="N1046" s="33">
        <f t="shared" si="907"/>
        <v>0</v>
      </c>
      <c r="O1046" s="31">
        <f t="shared" si="908"/>
        <v>0</v>
      </c>
      <c r="P1046" s="33">
        <f t="shared" si="909"/>
        <v>0</v>
      </c>
      <c r="Q1046" s="34">
        <f t="shared" si="951"/>
        <v>1187618.360620216</v>
      </c>
      <c r="R1046" s="29">
        <f t="shared" si="910"/>
        <v>0</v>
      </c>
      <c r="S1046" s="34">
        <f t="shared" si="911"/>
        <v>1187618.360620216</v>
      </c>
      <c r="T1046" s="29">
        <f t="shared" si="912"/>
        <v>989.68196718351339</v>
      </c>
      <c r="U1046" s="29">
        <f t="shared" si="913"/>
        <v>0</v>
      </c>
      <c r="V1046" s="35">
        <f t="shared" si="914"/>
        <v>4.6687015641920175E-2</v>
      </c>
      <c r="W1046" s="34">
        <f t="shared" si="915"/>
        <v>0</v>
      </c>
      <c r="X1046" s="34">
        <f t="shared" si="916"/>
        <v>1186628.6786530325</v>
      </c>
      <c r="Y1046" s="36">
        <f t="shared" si="917"/>
        <v>1.1545642571646919E-2</v>
      </c>
      <c r="Z1046" s="34">
        <f t="shared" si="918"/>
        <v>13700.390588993583</v>
      </c>
      <c r="AA1046" s="34">
        <f t="shared" si="919"/>
        <v>1193478.8739475294</v>
      </c>
      <c r="AB1046" s="34">
        <f t="shared" si="920"/>
        <v>0</v>
      </c>
      <c r="AC1046" s="34">
        <f t="shared" si="921"/>
        <v>0</v>
      </c>
      <c r="AD1046" s="34">
        <f t="shared" si="922"/>
        <v>0</v>
      </c>
      <c r="AE1046" s="34">
        <f t="shared" si="923"/>
        <v>0</v>
      </c>
      <c r="AF1046" s="34">
        <f t="shared" si="924"/>
        <v>0</v>
      </c>
      <c r="AG1046" s="29">
        <f t="shared" si="925"/>
        <v>1193478.8739475294</v>
      </c>
      <c r="AH1046" s="34">
        <f t="shared" si="926"/>
        <v>0</v>
      </c>
      <c r="AI1046" s="34">
        <f t="shared" si="927"/>
        <v>0</v>
      </c>
      <c r="AJ1046" s="34">
        <f t="shared" si="928"/>
        <v>0</v>
      </c>
      <c r="AK1046" s="34">
        <f t="shared" si="929"/>
        <v>0</v>
      </c>
      <c r="AL1046" s="34">
        <f t="shared" si="930"/>
        <v>0</v>
      </c>
      <c r="AM1046" s="34">
        <f t="shared" si="931"/>
        <v>0</v>
      </c>
      <c r="AN1046" s="34">
        <f t="shared" si="932"/>
        <v>0</v>
      </c>
      <c r="AO1046" s="34">
        <f t="shared" si="933"/>
        <v>0</v>
      </c>
      <c r="AP1046" s="34">
        <f t="shared" si="934"/>
        <v>0</v>
      </c>
      <c r="AQ1046" s="34">
        <f t="shared" si="935"/>
        <v>0</v>
      </c>
      <c r="AR1046" s="34">
        <f t="shared" si="936"/>
        <v>0</v>
      </c>
      <c r="AS1046" s="30">
        <f t="shared" si="937"/>
        <v>2.3726806591067247</v>
      </c>
      <c r="AT1046" s="29">
        <f t="shared" si="938"/>
        <v>0</v>
      </c>
      <c r="AU1046" s="29">
        <f t="shared" si="939"/>
        <v>0</v>
      </c>
      <c r="AV1046" s="34">
        <f t="shared" si="940"/>
        <v>0</v>
      </c>
      <c r="AW1046" s="34">
        <f t="shared" si="941"/>
        <v>0</v>
      </c>
      <c r="AX1046" s="29">
        <f t="shared" si="942"/>
        <v>0</v>
      </c>
      <c r="AY1046" s="34">
        <f t="shared" si="943"/>
        <v>0</v>
      </c>
      <c r="AZ1046" s="37">
        <f t="shared" si="944"/>
        <v>0</v>
      </c>
      <c r="BA1046" s="37">
        <f t="shared" si="945"/>
        <v>0</v>
      </c>
      <c r="BB1046" s="35">
        <f t="shared" si="946"/>
        <v>1.8273552531493653E-3</v>
      </c>
      <c r="BC1046" s="31">
        <f t="shared" si="947"/>
        <v>0.14921507567616832</v>
      </c>
      <c r="BD1046" s="34">
        <f t="shared" si="948"/>
        <v>0</v>
      </c>
    </row>
    <row r="1047" spans="1:56" x14ac:dyDescent="0.2">
      <c r="A1047" s="27">
        <f t="shared" si="949"/>
        <v>1043</v>
      </c>
      <c r="B1047" s="28">
        <f t="shared" si="896"/>
        <v>1043</v>
      </c>
      <c r="C1047" s="27">
        <f t="shared" si="897"/>
        <v>86</v>
      </c>
      <c r="D1047" s="28">
        <f t="shared" si="898"/>
        <v>106</v>
      </c>
      <c r="E1047" s="29">
        <f t="shared" si="899"/>
        <v>0</v>
      </c>
      <c r="F1047" s="30">
        <f t="shared" si="900"/>
        <v>0.40573926997628751</v>
      </c>
      <c r="G1047" s="31">
        <f t="shared" si="901"/>
        <v>4.2442741492654701E-2</v>
      </c>
      <c r="H1047" s="32">
        <f t="shared" si="902"/>
        <v>0.02</v>
      </c>
      <c r="I1047" s="32">
        <f t="shared" si="903"/>
        <v>0</v>
      </c>
      <c r="J1047" s="33">
        <f t="shared" si="950"/>
        <v>0</v>
      </c>
      <c r="K1047" s="30">
        <f t="shared" si="904"/>
        <v>0</v>
      </c>
      <c r="L1047" s="33">
        <f t="shared" si="905"/>
        <v>0</v>
      </c>
      <c r="M1047" s="30">
        <f t="shared" si="906"/>
        <v>0</v>
      </c>
      <c r="N1047" s="33">
        <f t="shared" si="907"/>
        <v>0</v>
      </c>
      <c r="O1047" s="31">
        <f t="shared" si="908"/>
        <v>0</v>
      </c>
      <c r="P1047" s="33">
        <f t="shared" si="909"/>
        <v>0</v>
      </c>
      <c r="Q1047" s="34">
        <f t="shared" si="951"/>
        <v>1200329.0692420262</v>
      </c>
      <c r="R1047" s="29">
        <f t="shared" si="910"/>
        <v>0</v>
      </c>
      <c r="S1047" s="34">
        <f t="shared" si="911"/>
        <v>1200329.0692420262</v>
      </c>
      <c r="T1047" s="29">
        <f t="shared" si="912"/>
        <v>1000.2742243683552</v>
      </c>
      <c r="U1047" s="29">
        <f t="shared" si="913"/>
        <v>0</v>
      </c>
      <c r="V1047" s="35">
        <f t="shared" si="914"/>
        <v>4.6687015641920175E-2</v>
      </c>
      <c r="W1047" s="34">
        <f t="shared" si="915"/>
        <v>0</v>
      </c>
      <c r="X1047" s="34">
        <f t="shared" si="916"/>
        <v>1199328.7950176578</v>
      </c>
      <c r="Y1047" s="36">
        <f t="shared" si="917"/>
        <v>7.8897428951010262E-3</v>
      </c>
      <c r="Z1047" s="34">
        <f t="shared" si="918"/>
        <v>9462.3958393806406</v>
      </c>
      <c r="AA1047" s="34">
        <f t="shared" si="919"/>
        <v>1204059.9929373481</v>
      </c>
      <c r="AB1047" s="34">
        <f t="shared" si="920"/>
        <v>0</v>
      </c>
      <c r="AC1047" s="34">
        <f t="shared" si="921"/>
        <v>0</v>
      </c>
      <c r="AD1047" s="34">
        <f t="shared" si="922"/>
        <v>0</v>
      </c>
      <c r="AE1047" s="34">
        <f t="shared" si="923"/>
        <v>0</v>
      </c>
      <c r="AF1047" s="34">
        <f t="shared" si="924"/>
        <v>0</v>
      </c>
      <c r="AG1047" s="29">
        <f t="shared" si="925"/>
        <v>1204059.9929373481</v>
      </c>
      <c r="AH1047" s="34">
        <f t="shared" si="926"/>
        <v>0</v>
      </c>
      <c r="AI1047" s="34">
        <f t="shared" si="927"/>
        <v>0</v>
      </c>
      <c r="AJ1047" s="34">
        <f t="shared" si="928"/>
        <v>0</v>
      </c>
      <c r="AK1047" s="34">
        <f t="shared" si="929"/>
        <v>0</v>
      </c>
      <c r="AL1047" s="34">
        <f t="shared" si="930"/>
        <v>0</v>
      </c>
      <c r="AM1047" s="34">
        <f t="shared" si="931"/>
        <v>0</v>
      </c>
      <c r="AN1047" s="34">
        <f t="shared" si="932"/>
        <v>0</v>
      </c>
      <c r="AO1047" s="34">
        <f t="shared" si="933"/>
        <v>0</v>
      </c>
      <c r="AP1047" s="34">
        <f t="shared" si="934"/>
        <v>0</v>
      </c>
      <c r="AQ1047" s="34">
        <f t="shared" si="935"/>
        <v>0</v>
      </c>
      <c r="AR1047" s="34">
        <f t="shared" si="936"/>
        <v>0</v>
      </c>
      <c r="AS1047" s="30">
        <f t="shared" si="937"/>
        <v>2.3746488881466261</v>
      </c>
      <c r="AT1047" s="29">
        <f t="shared" si="938"/>
        <v>0</v>
      </c>
      <c r="AU1047" s="29">
        <f t="shared" si="939"/>
        <v>0</v>
      </c>
      <c r="AV1047" s="34">
        <f t="shared" si="940"/>
        <v>0</v>
      </c>
      <c r="AW1047" s="34">
        <f t="shared" si="941"/>
        <v>0</v>
      </c>
      <c r="AX1047" s="29">
        <f t="shared" si="942"/>
        <v>0</v>
      </c>
      <c r="AY1047" s="34">
        <f t="shared" si="943"/>
        <v>0</v>
      </c>
      <c r="AZ1047" s="37">
        <f t="shared" si="944"/>
        <v>0</v>
      </c>
      <c r="BA1047" s="37">
        <f t="shared" si="945"/>
        <v>0</v>
      </c>
      <c r="BB1047" s="35">
        <f t="shared" si="946"/>
        <v>1.8273552531493653E-3</v>
      </c>
      <c r="BC1047" s="31">
        <f t="shared" si="947"/>
        <v>0.14894290407798208</v>
      </c>
      <c r="BD1047" s="34">
        <f t="shared" si="948"/>
        <v>0</v>
      </c>
    </row>
    <row r="1048" spans="1:56" x14ac:dyDescent="0.2">
      <c r="A1048" s="27">
        <f t="shared" si="949"/>
        <v>1044</v>
      </c>
      <c r="B1048" s="28">
        <f t="shared" si="896"/>
        <v>1044</v>
      </c>
      <c r="C1048" s="27">
        <f t="shared" si="897"/>
        <v>87</v>
      </c>
      <c r="D1048" s="28">
        <f t="shared" si="898"/>
        <v>107</v>
      </c>
      <c r="E1048" s="29">
        <f t="shared" si="899"/>
        <v>0</v>
      </c>
      <c r="F1048" s="30">
        <f t="shared" si="900"/>
        <v>0.47093001890148162</v>
      </c>
      <c r="G1048" s="31">
        <f t="shared" si="901"/>
        <v>5.1670137037495678E-2</v>
      </c>
      <c r="H1048" s="32">
        <f t="shared" si="902"/>
        <v>0.02</v>
      </c>
      <c r="I1048" s="32">
        <f t="shared" si="903"/>
        <v>0</v>
      </c>
      <c r="J1048" s="33">
        <f t="shared" si="950"/>
        <v>0</v>
      </c>
      <c r="K1048" s="30">
        <f t="shared" si="904"/>
        <v>0</v>
      </c>
      <c r="L1048" s="33">
        <f t="shared" si="905"/>
        <v>0</v>
      </c>
      <c r="M1048" s="30">
        <f t="shared" si="906"/>
        <v>0</v>
      </c>
      <c r="N1048" s="33">
        <f t="shared" si="907"/>
        <v>0</v>
      </c>
      <c r="O1048" s="31">
        <f t="shared" si="908"/>
        <v>0</v>
      </c>
      <c r="P1048" s="33">
        <f t="shared" si="909"/>
        <v>0</v>
      </c>
      <c r="Q1048" s="34">
        <f t="shared" si="951"/>
        <v>1208791.1908570384</v>
      </c>
      <c r="R1048" s="29">
        <f t="shared" si="910"/>
        <v>0</v>
      </c>
      <c r="S1048" s="34">
        <f t="shared" si="911"/>
        <v>1208791.1908570384</v>
      </c>
      <c r="T1048" s="29">
        <f t="shared" si="912"/>
        <v>1007.3259923808654</v>
      </c>
      <c r="U1048" s="29">
        <f t="shared" si="913"/>
        <v>0</v>
      </c>
      <c r="V1048" s="35">
        <f t="shared" si="914"/>
        <v>5.6837150741245249E-2</v>
      </c>
      <c r="W1048" s="34">
        <f t="shared" si="915"/>
        <v>0</v>
      </c>
      <c r="X1048" s="34">
        <f t="shared" si="916"/>
        <v>1207783.8648646574</v>
      </c>
      <c r="Y1048" s="36">
        <f t="shared" si="917"/>
        <v>3.448375180702401E-3</v>
      </c>
      <c r="Z1048" s="34">
        <f t="shared" si="918"/>
        <v>4164.8919032521071</v>
      </c>
      <c r="AA1048" s="34">
        <f t="shared" si="919"/>
        <v>1209866.3108162833</v>
      </c>
      <c r="AB1048" s="34">
        <f t="shared" si="920"/>
        <v>0</v>
      </c>
      <c r="AC1048" s="34">
        <f t="shared" si="921"/>
        <v>0</v>
      </c>
      <c r="AD1048" s="34">
        <f t="shared" si="922"/>
        <v>0</v>
      </c>
      <c r="AE1048" s="34">
        <f t="shared" si="923"/>
        <v>0</v>
      </c>
      <c r="AF1048" s="34">
        <f t="shared" si="924"/>
        <v>0</v>
      </c>
      <c r="AG1048" s="29">
        <f t="shared" si="925"/>
        <v>1209866.3108162833</v>
      </c>
      <c r="AH1048" s="34">
        <f t="shared" si="926"/>
        <v>0</v>
      </c>
      <c r="AI1048" s="34">
        <f t="shared" si="927"/>
        <v>0</v>
      </c>
      <c r="AJ1048" s="34">
        <f t="shared" si="928"/>
        <v>0</v>
      </c>
      <c r="AK1048" s="34">
        <f t="shared" si="929"/>
        <v>0</v>
      </c>
      <c r="AL1048" s="34">
        <f t="shared" si="930"/>
        <v>0</v>
      </c>
      <c r="AM1048" s="34">
        <f t="shared" si="931"/>
        <v>0</v>
      </c>
      <c r="AN1048" s="34">
        <f t="shared" si="932"/>
        <v>0</v>
      </c>
      <c r="AO1048" s="34">
        <f t="shared" si="933"/>
        <v>0</v>
      </c>
      <c r="AP1048" s="34">
        <f t="shared" si="934"/>
        <v>0</v>
      </c>
      <c r="AQ1048" s="34">
        <f t="shared" si="935"/>
        <v>0</v>
      </c>
      <c r="AR1048" s="34">
        <f t="shared" si="936"/>
        <v>0</v>
      </c>
      <c r="AS1048" s="30">
        <f t="shared" si="937"/>
        <v>2.3766187499075335</v>
      </c>
      <c r="AT1048" s="29">
        <f t="shared" si="938"/>
        <v>0</v>
      </c>
      <c r="AU1048" s="29">
        <f t="shared" si="939"/>
        <v>0</v>
      </c>
      <c r="AV1048" s="34">
        <f t="shared" si="940"/>
        <v>0</v>
      </c>
      <c r="AW1048" s="34">
        <f t="shared" si="941"/>
        <v>0</v>
      </c>
      <c r="AX1048" s="29">
        <f t="shared" si="942"/>
        <v>0</v>
      </c>
      <c r="AY1048" s="34">
        <f t="shared" si="943"/>
        <v>0</v>
      </c>
      <c r="AZ1048" s="37">
        <f t="shared" si="944"/>
        <v>0</v>
      </c>
      <c r="BA1048" s="37">
        <f t="shared" si="945"/>
        <v>0</v>
      </c>
      <c r="BB1048" s="35">
        <f t="shared" si="946"/>
        <v>1.8453223061638546E-3</v>
      </c>
      <c r="BC1048" s="31">
        <f t="shared" si="947"/>
        <v>0.14591352176757516</v>
      </c>
      <c r="BD1048" s="34">
        <f t="shared" si="948"/>
        <v>0</v>
      </c>
    </row>
    <row r="1049" spans="1:56" x14ac:dyDescent="0.2">
      <c r="A1049" s="27">
        <f t="shared" si="949"/>
        <v>1045</v>
      </c>
      <c r="B1049" s="28">
        <f t="shared" si="896"/>
        <v>1045</v>
      </c>
      <c r="C1049" s="27">
        <f t="shared" si="897"/>
        <v>87</v>
      </c>
      <c r="D1049" s="28">
        <f t="shared" si="898"/>
        <v>107</v>
      </c>
      <c r="E1049" s="29">
        <f t="shared" si="899"/>
        <v>0</v>
      </c>
      <c r="F1049" s="30">
        <f t="shared" si="900"/>
        <v>0.47093001890148162</v>
      </c>
      <c r="G1049" s="31">
        <f t="shared" si="901"/>
        <v>5.1670137037495678E-2</v>
      </c>
      <c r="H1049" s="32">
        <f t="shared" si="902"/>
        <v>0.02</v>
      </c>
      <c r="I1049" s="32">
        <f t="shared" si="903"/>
        <v>0</v>
      </c>
      <c r="J1049" s="33">
        <f t="shared" si="950"/>
        <v>0</v>
      </c>
      <c r="K1049" s="30">
        <f t="shared" si="904"/>
        <v>0</v>
      </c>
      <c r="L1049" s="33">
        <f t="shared" si="905"/>
        <v>0</v>
      </c>
      <c r="M1049" s="30">
        <f t="shared" si="906"/>
        <v>0</v>
      </c>
      <c r="N1049" s="33">
        <f t="shared" si="907"/>
        <v>0</v>
      </c>
      <c r="O1049" s="31">
        <f t="shared" si="908"/>
        <v>0</v>
      </c>
      <c r="P1049" s="33">
        <f t="shared" si="909"/>
        <v>0</v>
      </c>
      <c r="Q1049" s="34">
        <f t="shared" si="951"/>
        <v>1211948.7567679095</v>
      </c>
      <c r="R1049" s="29">
        <f t="shared" si="910"/>
        <v>0</v>
      </c>
      <c r="S1049" s="34">
        <f t="shared" si="911"/>
        <v>1211948.7567679095</v>
      </c>
      <c r="T1049" s="29">
        <f t="shared" si="912"/>
        <v>1009.9572973065913</v>
      </c>
      <c r="U1049" s="29">
        <f t="shared" si="913"/>
        <v>0</v>
      </c>
      <c r="V1049" s="35">
        <f t="shared" si="914"/>
        <v>5.6837150741245249E-2</v>
      </c>
      <c r="W1049" s="34">
        <f t="shared" si="915"/>
        <v>0</v>
      </c>
      <c r="X1049" s="34">
        <f t="shared" si="916"/>
        <v>1210938.799470603</v>
      </c>
      <c r="Y1049" s="36">
        <f t="shared" si="917"/>
        <v>2.30816732949779E-3</v>
      </c>
      <c r="Z1049" s="34">
        <f t="shared" si="918"/>
        <v>2795.0493749593215</v>
      </c>
      <c r="AA1049" s="34">
        <f t="shared" si="919"/>
        <v>1212336.3241580827</v>
      </c>
      <c r="AB1049" s="34">
        <f t="shared" si="920"/>
        <v>0</v>
      </c>
      <c r="AC1049" s="34">
        <f t="shared" si="921"/>
        <v>0</v>
      </c>
      <c r="AD1049" s="34">
        <f t="shared" si="922"/>
        <v>0</v>
      </c>
      <c r="AE1049" s="34">
        <f t="shared" si="923"/>
        <v>0</v>
      </c>
      <c r="AF1049" s="34">
        <f t="shared" si="924"/>
        <v>0</v>
      </c>
      <c r="AG1049" s="29">
        <f t="shared" si="925"/>
        <v>1212336.3241580827</v>
      </c>
      <c r="AH1049" s="34">
        <f t="shared" si="926"/>
        <v>0</v>
      </c>
      <c r="AI1049" s="34">
        <f t="shared" si="927"/>
        <v>0</v>
      </c>
      <c r="AJ1049" s="34">
        <f t="shared" si="928"/>
        <v>0</v>
      </c>
      <c r="AK1049" s="34">
        <f t="shared" si="929"/>
        <v>0</v>
      </c>
      <c r="AL1049" s="34">
        <f t="shared" si="930"/>
        <v>0</v>
      </c>
      <c r="AM1049" s="34">
        <f t="shared" si="931"/>
        <v>0</v>
      </c>
      <c r="AN1049" s="34">
        <f t="shared" si="932"/>
        <v>0</v>
      </c>
      <c r="AO1049" s="34">
        <f t="shared" si="933"/>
        <v>0</v>
      </c>
      <c r="AP1049" s="34">
        <f t="shared" si="934"/>
        <v>0</v>
      </c>
      <c r="AQ1049" s="34">
        <f t="shared" si="935"/>
        <v>0</v>
      </c>
      <c r="AR1049" s="34">
        <f t="shared" si="936"/>
        <v>0</v>
      </c>
      <c r="AS1049" s="30">
        <f t="shared" si="937"/>
        <v>2.3785902457438515</v>
      </c>
      <c r="AT1049" s="29">
        <f t="shared" si="938"/>
        <v>0</v>
      </c>
      <c r="AU1049" s="29">
        <f t="shared" si="939"/>
        <v>0</v>
      </c>
      <c r="AV1049" s="34">
        <f t="shared" si="940"/>
        <v>0</v>
      </c>
      <c r="AW1049" s="34">
        <f t="shared" si="941"/>
        <v>0</v>
      </c>
      <c r="AX1049" s="29">
        <f t="shared" si="942"/>
        <v>0</v>
      </c>
      <c r="AY1049" s="34">
        <f t="shared" si="943"/>
        <v>0</v>
      </c>
      <c r="AZ1049" s="37">
        <f t="shared" si="944"/>
        <v>0</v>
      </c>
      <c r="BA1049" s="37">
        <f t="shared" si="945"/>
        <v>0</v>
      </c>
      <c r="BB1049" s="35">
        <f t="shared" si="946"/>
        <v>1.8453223061638546E-3</v>
      </c>
      <c r="BC1049" s="31">
        <f t="shared" si="947"/>
        <v>0.14564476024272338</v>
      </c>
      <c r="BD1049" s="34">
        <f t="shared" si="948"/>
        <v>0</v>
      </c>
    </row>
    <row r="1050" spans="1:56" x14ac:dyDescent="0.2">
      <c r="A1050" s="27">
        <f t="shared" si="949"/>
        <v>1046</v>
      </c>
      <c r="B1050" s="28">
        <f t="shared" si="896"/>
        <v>1046</v>
      </c>
      <c r="C1050" s="27">
        <f t="shared" si="897"/>
        <v>87</v>
      </c>
      <c r="D1050" s="28">
        <f t="shared" si="898"/>
        <v>107</v>
      </c>
      <c r="E1050" s="29">
        <f t="shared" si="899"/>
        <v>0</v>
      </c>
      <c r="F1050" s="30">
        <f t="shared" si="900"/>
        <v>0.47093001890148162</v>
      </c>
      <c r="G1050" s="31">
        <f t="shared" si="901"/>
        <v>5.1670137037495678E-2</v>
      </c>
      <c r="H1050" s="32">
        <f t="shared" si="902"/>
        <v>0.02</v>
      </c>
      <c r="I1050" s="32">
        <f t="shared" si="903"/>
        <v>0</v>
      </c>
      <c r="J1050" s="33">
        <f t="shared" si="950"/>
        <v>0</v>
      </c>
      <c r="K1050" s="30">
        <f t="shared" si="904"/>
        <v>0</v>
      </c>
      <c r="L1050" s="33">
        <f t="shared" si="905"/>
        <v>0</v>
      </c>
      <c r="M1050" s="30">
        <f t="shared" si="906"/>
        <v>0</v>
      </c>
      <c r="N1050" s="33">
        <f t="shared" si="907"/>
        <v>0</v>
      </c>
      <c r="O1050" s="31">
        <f t="shared" si="908"/>
        <v>0</v>
      </c>
      <c r="P1050" s="33">
        <f t="shared" si="909"/>
        <v>0</v>
      </c>
      <c r="Q1050" s="34">
        <f t="shared" si="951"/>
        <v>1213733.8488455624</v>
      </c>
      <c r="R1050" s="29">
        <f t="shared" si="910"/>
        <v>0</v>
      </c>
      <c r="S1050" s="34">
        <f t="shared" si="911"/>
        <v>1213733.8488455624</v>
      </c>
      <c r="T1050" s="29">
        <f t="shared" si="912"/>
        <v>1011.4448740379687</v>
      </c>
      <c r="U1050" s="29">
        <f t="shared" si="913"/>
        <v>0</v>
      </c>
      <c r="V1050" s="35">
        <f t="shared" si="914"/>
        <v>5.6837150741245249E-2</v>
      </c>
      <c r="W1050" s="34">
        <f t="shared" si="915"/>
        <v>0</v>
      </c>
      <c r="X1050" s="34">
        <f t="shared" si="916"/>
        <v>1212722.4039715244</v>
      </c>
      <c r="Y1050" s="36">
        <f t="shared" si="917"/>
        <v>-8.7855753710687212E-3</v>
      </c>
      <c r="Z1050" s="34">
        <f t="shared" si="918"/>
        <v>-10654.464084275478</v>
      </c>
      <c r="AA1050" s="34">
        <f t="shared" si="919"/>
        <v>1207395.1719293867</v>
      </c>
      <c r="AB1050" s="34">
        <f t="shared" si="920"/>
        <v>0</v>
      </c>
      <c r="AC1050" s="34">
        <f t="shared" si="921"/>
        <v>0</v>
      </c>
      <c r="AD1050" s="34">
        <f t="shared" si="922"/>
        <v>0</v>
      </c>
      <c r="AE1050" s="34">
        <f t="shared" si="923"/>
        <v>0</v>
      </c>
      <c r="AF1050" s="34">
        <f t="shared" si="924"/>
        <v>0</v>
      </c>
      <c r="AG1050" s="29">
        <f t="shared" si="925"/>
        <v>1207395.1719293867</v>
      </c>
      <c r="AH1050" s="34">
        <f t="shared" si="926"/>
        <v>0</v>
      </c>
      <c r="AI1050" s="34">
        <f t="shared" si="927"/>
        <v>0</v>
      </c>
      <c r="AJ1050" s="34">
        <f t="shared" si="928"/>
        <v>0</v>
      </c>
      <c r="AK1050" s="34">
        <f t="shared" si="929"/>
        <v>0</v>
      </c>
      <c r="AL1050" s="34">
        <f t="shared" si="930"/>
        <v>0</v>
      </c>
      <c r="AM1050" s="34">
        <f t="shared" si="931"/>
        <v>0</v>
      </c>
      <c r="AN1050" s="34">
        <f t="shared" si="932"/>
        <v>0</v>
      </c>
      <c r="AO1050" s="34">
        <f t="shared" si="933"/>
        <v>0</v>
      </c>
      <c r="AP1050" s="34">
        <f t="shared" si="934"/>
        <v>0</v>
      </c>
      <c r="AQ1050" s="34">
        <f t="shared" si="935"/>
        <v>0</v>
      </c>
      <c r="AR1050" s="34">
        <f t="shared" si="936"/>
        <v>0</v>
      </c>
      <c r="AS1050" s="30">
        <f t="shared" si="937"/>
        <v>2.3805633770111085</v>
      </c>
      <c r="AT1050" s="29">
        <f t="shared" si="938"/>
        <v>0</v>
      </c>
      <c r="AU1050" s="29">
        <f t="shared" si="939"/>
        <v>0</v>
      </c>
      <c r="AV1050" s="34">
        <f t="shared" si="940"/>
        <v>0</v>
      </c>
      <c r="AW1050" s="34">
        <f t="shared" si="941"/>
        <v>0</v>
      </c>
      <c r="AX1050" s="29">
        <f t="shared" si="942"/>
        <v>0</v>
      </c>
      <c r="AY1050" s="34">
        <f t="shared" si="943"/>
        <v>0</v>
      </c>
      <c r="AZ1050" s="37">
        <f t="shared" si="944"/>
        <v>0</v>
      </c>
      <c r="BA1050" s="37">
        <f t="shared" si="945"/>
        <v>0</v>
      </c>
      <c r="BB1050" s="35">
        <f t="shared" si="946"/>
        <v>1.8453223061638546E-3</v>
      </c>
      <c r="BC1050" s="31">
        <f t="shared" si="947"/>
        <v>0.14537649375600356</v>
      </c>
      <c r="BD1050" s="34">
        <f t="shared" si="948"/>
        <v>0</v>
      </c>
    </row>
    <row r="1051" spans="1:56" x14ac:dyDescent="0.2">
      <c r="A1051" s="27">
        <f t="shared" si="949"/>
        <v>1047</v>
      </c>
      <c r="B1051" s="28">
        <f t="shared" si="896"/>
        <v>1047</v>
      </c>
      <c r="C1051" s="27">
        <f t="shared" si="897"/>
        <v>87</v>
      </c>
      <c r="D1051" s="28">
        <f t="shared" si="898"/>
        <v>107</v>
      </c>
      <c r="E1051" s="29">
        <f t="shared" si="899"/>
        <v>0</v>
      </c>
      <c r="F1051" s="30">
        <f t="shared" si="900"/>
        <v>0.47093001890148162</v>
      </c>
      <c r="G1051" s="31">
        <f t="shared" si="901"/>
        <v>5.1670137037495678E-2</v>
      </c>
      <c r="H1051" s="32">
        <f t="shared" si="902"/>
        <v>0.02</v>
      </c>
      <c r="I1051" s="32">
        <f t="shared" si="903"/>
        <v>0</v>
      </c>
      <c r="J1051" s="33">
        <f t="shared" si="950"/>
        <v>0</v>
      </c>
      <c r="K1051" s="30">
        <f t="shared" si="904"/>
        <v>0</v>
      </c>
      <c r="L1051" s="33">
        <f t="shared" si="905"/>
        <v>0</v>
      </c>
      <c r="M1051" s="30">
        <f t="shared" si="906"/>
        <v>0</v>
      </c>
      <c r="N1051" s="33">
        <f t="shared" si="907"/>
        <v>0</v>
      </c>
      <c r="O1051" s="31">
        <f t="shared" si="908"/>
        <v>0</v>
      </c>
      <c r="P1051" s="33">
        <f t="shared" si="909"/>
        <v>0</v>
      </c>
      <c r="Q1051" s="34">
        <f t="shared" si="951"/>
        <v>1202067.9398872489</v>
      </c>
      <c r="R1051" s="29">
        <f t="shared" si="910"/>
        <v>0</v>
      </c>
      <c r="S1051" s="34">
        <f t="shared" si="911"/>
        <v>1202067.9398872489</v>
      </c>
      <c r="T1051" s="29">
        <f t="shared" si="912"/>
        <v>1001.7232832393742</v>
      </c>
      <c r="U1051" s="29">
        <f t="shared" si="913"/>
        <v>0</v>
      </c>
      <c r="V1051" s="35">
        <f t="shared" si="914"/>
        <v>5.6837150741245249E-2</v>
      </c>
      <c r="W1051" s="34">
        <f t="shared" si="915"/>
        <v>0</v>
      </c>
      <c r="X1051" s="34">
        <f t="shared" si="916"/>
        <v>1201066.2166040095</v>
      </c>
      <c r="Y1051" s="36">
        <f t="shared" si="917"/>
        <v>9.4930800541401794E-3</v>
      </c>
      <c r="Z1051" s="34">
        <f t="shared" si="918"/>
        <v>11401.817744545131</v>
      </c>
      <c r="AA1051" s="34">
        <f t="shared" si="919"/>
        <v>1206767.1254762821</v>
      </c>
      <c r="AB1051" s="34">
        <f t="shared" si="920"/>
        <v>0</v>
      </c>
      <c r="AC1051" s="34">
        <f t="shared" si="921"/>
        <v>0</v>
      </c>
      <c r="AD1051" s="34">
        <f t="shared" si="922"/>
        <v>0</v>
      </c>
      <c r="AE1051" s="34">
        <f t="shared" si="923"/>
        <v>0</v>
      </c>
      <c r="AF1051" s="34">
        <f t="shared" si="924"/>
        <v>0</v>
      </c>
      <c r="AG1051" s="29">
        <f t="shared" si="925"/>
        <v>1206767.1254762821</v>
      </c>
      <c r="AH1051" s="34">
        <f t="shared" si="926"/>
        <v>0</v>
      </c>
      <c r="AI1051" s="34">
        <f t="shared" si="927"/>
        <v>0</v>
      </c>
      <c r="AJ1051" s="34">
        <f t="shared" si="928"/>
        <v>0</v>
      </c>
      <c r="AK1051" s="34">
        <f t="shared" si="929"/>
        <v>0</v>
      </c>
      <c r="AL1051" s="34">
        <f t="shared" si="930"/>
        <v>0</v>
      </c>
      <c r="AM1051" s="34">
        <f t="shared" si="931"/>
        <v>0</v>
      </c>
      <c r="AN1051" s="34">
        <f t="shared" si="932"/>
        <v>0</v>
      </c>
      <c r="AO1051" s="34">
        <f t="shared" si="933"/>
        <v>0</v>
      </c>
      <c r="AP1051" s="34">
        <f t="shared" si="934"/>
        <v>0</v>
      </c>
      <c r="AQ1051" s="34">
        <f t="shared" si="935"/>
        <v>0</v>
      </c>
      <c r="AR1051" s="34">
        <f t="shared" si="936"/>
        <v>0</v>
      </c>
      <c r="AS1051" s="30">
        <f t="shared" si="937"/>
        <v>2.382538145065956</v>
      </c>
      <c r="AT1051" s="29">
        <f t="shared" si="938"/>
        <v>0</v>
      </c>
      <c r="AU1051" s="29">
        <f t="shared" si="939"/>
        <v>0</v>
      </c>
      <c r="AV1051" s="34">
        <f t="shared" si="940"/>
        <v>0</v>
      </c>
      <c r="AW1051" s="34">
        <f t="shared" si="941"/>
        <v>0</v>
      </c>
      <c r="AX1051" s="29">
        <f t="shared" si="942"/>
        <v>0</v>
      </c>
      <c r="AY1051" s="34">
        <f t="shared" si="943"/>
        <v>0</v>
      </c>
      <c r="AZ1051" s="37">
        <f t="shared" si="944"/>
        <v>0</v>
      </c>
      <c r="BA1051" s="37">
        <f t="shared" si="945"/>
        <v>0</v>
      </c>
      <c r="BB1051" s="35">
        <f t="shared" si="946"/>
        <v>1.8453223061638546E-3</v>
      </c>
      <c r="BC1051" s="31">
        <f t="shared" si="947"/>
        <v>0.14510872139559339</v>
      </c>
      <c r="BD1051" s="34">
        <f t="shared" si="948"/>
        <v>0</v>
      </c>
    </row>
    <row r="1052" spans="1:56" x14ac:dyDescent="0.2">
      <c r="A1052" s="27">
        <f t="shared" si="949"/>
        <v>1048</v>
      </c>
      <c r="B1052" s="28">
        <f t="shared" si="896"/>
        <v>1048</v>
      </c>
      <c r="C1052" s="27">
        <f t="shared" si="897"/>
        <v>87</v>
      </c>
      <c r="D1052" s="28">
        <f t="shared" si="898"/>
        <v>107</v>
      </c>
      <c r="E1052" s="29">
        <f t="shared" si="899"/>
        <v>0</v>
      </c>
      <c r="F1052" s="30">
        <f t="shared" si="900"/>
        <v>0.47093001890148162</v>
      </c>
      <c r="G1052" s="31">
        <f t="shared" si="901"/>
        <v>5.1670137037495678E-2</v>
      </c>
      <c r="H1052" s="32">
        <f t="shared" si="902"/>
        <v>0.02</v>
      </c>
      <c r="I1052" s="32">
        <f t="shared" si="903"/>
        <v>0</v>
      </c>
      <c r="J1052" s="33">
        <f t="shared" si="950"/>
        <v>0</v>
      </c>
      <c r="K1052" s="30">
        <f t="shared" si="904"/>
        <v>0</v>
      </c>
      <c r="L1052" s="33">
        <f t="shared" si="905"/>
        <v>0</v>
      </c>
      <c r="M1052" s="30">
        <f t="shared" si="906"/>
        <v>0</v>
      </c>
      <c r="N1052" s="33">
        <f t="shared" si="907"/>
        <v>0</v>
      </c>
      <c r="O1052" s="31">
        <f t="shared" si="908"/>
        <v>0</v>
      </c>
      <c r="P1052" s="33">
        <f t="shared" si="909"/>
        <v>0</v>
      </c>
      <c r="Q1052" s="34">
        <f t="shared" si="951"/>
        <v>1212468.0343485547</v>
      </c>
      <c r="R1052" s="29">
        <f t="shared" si="910"/>
        <v>0</v>
      </c>
      <c r="S1052" s="34">
        <f t="shared" si="911"/>
        <v>1212468.0343485547</v>
      </c>
      <c r="T1052" s="29">
        <f t="shared" si="912"/>
        <v>1010.3900286237956</v>
      </c>
      <c r="U1052" s="29">
        <f t="shared" si="913"/>
        <v>0</v>
      </c>
      <c r="V1052" s="35">
        <f t="shared" si="914"/>
        <v>5.6837150741245249E-2</v>
      </c>
      <c r="W1052" s="34">
        <f t="shared" si="915"/>
        <v>0</v>
      </c>
      <c r="X1052" s="34">
        <f t="shared" si="916"/>
        <v>1211457.6443199308</v>
      </c>
      <c r="Y1052" s="36">
        <f t="shared" si="917"/>
        <v>-2.4302540252676419E-3</v>
      </c>
      <c r="Z1052" s="34">
        <f t="shared" si="918"/>
        <v>-2944.1498165497669</v>
      </c>
      <c r="AA1052" s="34">
        <f t="shared" si="919"/>
        <v>1209985.5694116559</v>
      </c>
      <c r="AB1052" s="34">
        <f t="shared" si="920"/>
        <v>0</v>
      </c>
      <c r="AC1052" s="34">
        <f t="shared" si="921"/>
        <v>0</v>
      </c>
      <c r="AD1052" s="34">
        <f t="shared" si="922"/>
        <v>0</v>
      </c>
      <c r="AE1052" s="34">
        <f t="shared" si="923"/>
        <v>0</v>
      </c>
      <c r="AF1052" s="34">
        <f t="shared" si="924"/>
        <v>0</v>
      </c>
      <c r="AG1052" s="29">
        <f t="shared" si="925"/>
        <v>1209985.5694116559</v>
      </c>
      <c r="AH1052" s="34">
        <f t="shared" si="926"/>
        <v>0</v>
      </c>
      <c r="AI1052" s="34">
        <f t="shared" si="927"/>
        <v>0</v>
      </c>
      <c r="AJ1052" s="34">
        <f t="shared" si="928"/>
        <v>0</v>
      </c>
      <c r="AK1052" s="34">
        <f t="shared" si="929"/>
        <v>0</v>
      </c>
      <c r="AL1052" s="34">
        <f t="shared" si="930"/>
        <v>0</v>
      </c>
      <c r="AM1052" s="34">
        <f t="shared" si="931"/>
        <v>0</v>
      </c>
      <c r="AN1052" s="34">
        <f t="shared" si="932"/>
        <v>0</v>
      </c>
      <c r="AO1052" s="34">
        <f t="shared" si="933"/>
        <v>0</v>
      </c>
      <c r="AP1052" s="34">
        <f t="shared" si="934"/>
        <v>0</v>
      </c>
      <c r="AQ1052" s="34">
        <f t="shared" si="935"/>
        <v>0</v>
      </c>
      <c r="AR1052" s="34">
        <f t="shared" si="936"/>
        <v>0</v>
      </c>
      <c r="AS1052" s="30">
        <f t="shared" si="937"/>
        <v>2.3845145512661716</v>
      </c>
      <c r="AT1052" s="29">
        <f t="shared" si="938"/>
        <v>0</v>
      </c>
      <c r="AU1052" s="29">
        <f t="shared" si="939"/>
        <v>0</v>
      </c>
      <c r="AV1052" s="34">
        <f t="shared" si="940"/>
        <v>0</v>
      </c>
      <c r="AW1052" s="34">
        <f t="shared" si="941"/>
        <v>0</v>
      </c>
      <c r="AX1052" s="29">
        <f t="shared" si="942"/>
        <v>0</v>
      </c>
      <c r="AY1052" s="34">
        <f t="shared" si="943"/>
        <v>0</v>
      </c>
      <c r="AZ1052" s="37">
        <f t="shared" si="944"/>
        <v>0</v>
      </c>
      <c r="BA1052" s="37">
        <f t="shared" si="945"/>
        <v>0</v>
      </c>
      <c r="BB1052" s="35">
        <f t="shared" si="946"/>
        <v>1.8453223061638546E-3</v>
      </c>
      <c r="BC1052" s="31">
        <f t="shared" si="947"/>
        <v>0.14484144225135001</v>
      </c>
      <c r="BD1052" s="34">
        <f t="shared" si="948"/>
        <v>0</v>
      </c>
    </row>
    <row r="1053" spans="1:56" x14ac:dyDescent="0.2">
      <c r="A1053" s="27">
        <f t="shared" si="949"/>
        <v>1049</v>
      </c>
      <c r="B1053" s="28">
        <f t="shared" si="896"/>
        <v>1049</v>
      </c>
      <c r="C1053" s="27">
        <f t="shared" si="897"/>
        <v>87</v>
      </c>
      <c r="D1053" s="28">
        <f t="shared" si="898"/>
        <v>107</v>
      </c>
      <c r="E1053" s="29">
        <f t="shared" si="899"/>
        <v>0</v>
      </c>
      <c r="F1053" s="30">
        <f t="shared" si="900"/>
        <v>0.47093001890148162</v>
      </c>
      <c r="G1053" s="31">
        <f t="shared" si="901"/>
        <v>5.1670137037495678E-2</v>
      </c>
      <c r="H1053" s="32">
        <f t="shared" si="902"/>
        <v>0.02</v>
      </c>
      <c r="I1053" s="32">
        <f t="shared" si="903"/>
        <v>0</v>
      </c>
      <c r="J1053" s="33">
        <f t="shared" si="950"/>
        <v>0</v>
      </c>
      <c r="K1053" s="30">
        <f t="shared" si="904"/>
        <v>0</v>
      </c>
      <c r="L1053" s="33">
        <f t="shared" si="905"/>
        <v>0</v>
      </c>
      <c r="M1053" s="30">
        <f t="shared" si="906"/>
        <v>0</v>
      </c>
      <c r="N1053" s="33">
        <f t="shared" si="907"/>
        <v>0</v>
      </c>
      <c r="O1053" s="31">
        <f t="shared" si="908"/>
        <v>0</v>
      </c>
      <c r="P1053" s="33">
        <f t="shared" si="909"/>
        <v>0</v>
      </c>
      <c r="Q1053" s="34">
        <f t="shared" si="951"/>
        <v>1208513.494503381</v>
      </c>
      <c r="R1053" s="29">
        <f t="shared" si="910"/>
        <v>0</v>
      </c>
      <c r="S1053" s="34">
        <f t="shared" si="911"/>
        <v>1208513.494503381</v>
      </c>
      <c r="T1053" s="29">
        <f t="shared" si="912"/>
        <v>1007.0945787528175</v>
      </c>
      <c r="U1053" s="29">
        <f t="shared" si="913"/>
        <v>0</v>
      </c>
      <c r="V1053" s="35">
        <f t="shared" si="914"/>
        <v>5.6837150741245249E-2</v>
      </c>
      <c r="W1053" s="34">
        <f t="shared" si="915"/>
        <v>0</v>
      </c>
      <c r="X1053" s="34">
        <f t="shared" si="916"/>
        <v>1207506.3999246282</v>
      </c>
      <c r="Y1053" s="36">
        <f t="shared" si="917"/>
        <v>-6.3045619768837824E-3</v>
      </c>
      <c r="Z1053" s="34">
        <f t="shared" si="918"/>
        <v>-7612.7989358086334</v>
      </c>
      <c r="AA1053" s="34">
        <f t="shared" si="919"/>
        <v>1203700.0004567239</v>
      </c>
      <c r="AB1053" s="34">
        <f t="shared" si="920"/>
        <v>0</v>
      </c>
      <c r="AC1053" s="34">
        <f t="shared" si="921"/>
        <v>0</v>
      </c>
      <c r="AD1053" s="34">
        <f t="shared" si="922"/>
        <v>0</v>
      </c>
      <c r="AE1053" s="34">
        <f t="shared" si="923"/>
        <v>0</v>
      </c>
      <c r="AF1053" s="34">
        <f t="shared" si="924"/>
        <v>0</v>
      </c>
      <c r="AG1053" s="29">
        <f t="shared" si="925"/>
        <v>1203700.0004567239</v>
      </c>
      <c r="AH1053" s="34">
        <f t="shared" si="926"/>
        <v>0</v>
      </c>
      <c r="AI1053" s="34">
        <f t="shared" si="927"/>
        <v>0</v>
      </c>
      <c r="AJ1053" s="34">
        <f t="shared" si="928"/>
        <v>0</v>
      </c>
      <c r="AK1053" s="34">
        <f t="shared" si="929"/>
        <v>0</v>
      </c>
      <c r="AL1053" s="34">
        <f t="shared" si="930"/>
        <v>0</v>
      </c>
      <c r="AM1053" s="34">
        <f t="shared" si="931"/>
        <v>0</v>
      </c>
      <c r="AN1053" s="34">
        <f t="shared" si="932"/>
        <v>0</v>
      </c>
      <c r="AO1053" s="34">
        <f t="shared" si="933"/>
        <v>0</v>
      </c>
      <c r="AP1053" s="34">
        <f t="shared" si="934"/>
        <v>0</v>
      </c>
      <c r="AQ1053" s="34">
        <f t="shared" si="935"/>
        <v>0</v>
      </c>
      <c r="AR1053" s="34">
        <f t="shared" si="936"/>
        <v>0</v>
      </c>
      <c r="AS1053" s="30">
        <f t="shared" si="937"/>
        <v>2.3864925969706605</v>
      </c>
      <c r="AT1053" s="29">
        <f t="shared" si="938"/>
        <v>0</v>
      </c>
      <c r="AU1053" s="29">
        <f t="shared" si="939"/>
        <v>0</v>
      </c>
      <c r="AV1053" s="34">
        <f t="shared" si="940"/>
        <v>0</v>
      </c>
      <c r="AW1053" s="34">
        <f t="shared" si="941"/>
        <v>0</v>
      </c>
      <c r="AX1053" s="29">
        <f t="shared" si="942"/>
        <v>0</v>
      </c>
      <c r="AY1053" s="34">
        <f t="shared" si="943"/>
        <v>0</v>
      </c>
      <c r="AZ1053" s="37">
        <f t="shared" si="944"/>
        <v>0</v>
      </c>
      <c r="BA1053" s="37">
        <f t="shared" si="945"/>
        <v>0</v>
      </c>
      <c r="BB1053" s="35">
        <f t="shared" si="946"/>
        <v>1.8453223061638546E-3</v>
      </c>
      <c r="BC1053" s="31">
        <f t="shared" si="947"/>
        <v>0.14457465541480713</v>
      </c>
      <c r="BD1053" s="34">
        <f t="shared" si="948"/>
        <v>0</v>
      </c>
    </row>
    <row r="1054" spans="1:56" x14ac:dyDescent="0.2">
      <c r="A1054" s="27">
        <f t="shared" si="949"/>
        <v>1050</v>
      </c>
      <c r="B1054" s="28">
        <f t="shared" si="896"/>
        <v>1050</v>
      </c>
      <c r="C1054" s="27">
        <f t="shared" si="897"/>
        <v>87</v>
      </c>
      <c r="D1054" s="28">
        <f t="shared" si="898"/>
        <v>107</v>
      </c>
      <c r="E1054" s="29">
        <f t="shared" si="899"/>
        <v>0</v>
      </c>
      <c r="F1054" s="30">
        <f t="shared" si="900"/>
        <v>0.47093001890148162</v>
      </c>
      <c r="G1054" s="31">
        <f t="shared" si="901"/>
        <v>5.1670137037495678E-2</v>
      </c>
      <c r="H1054" s="32">
        <f t="shared" si="902"/>
        <v>0.02</v>
      </c>
      <c r="I1054" s="32">
        <f t="shared" si="903"/>
        <v>0</v>
      </c>
      <c r="J1054" s="33">
        <f t="shared" si="950"/>
        <v>0</v>
      </c>
      <c r="K1054" s="30">
        <f t="shared" si="904"/>
        <v>0</v>
      </c>
      <c r="L1054" s="33">
        <f t="shared" si="905"/>
        <v>0</v>
      </c>
      <c r="M1054" s="30">
        <f t="shared" si="906"/>
        <v>0</v>
      </c>
      <c r="N1054" s="33">
        <f t="shared" si="907"/>
        <v>0</v>
      </c>
      <c r="O1054" s="31">
        <f t="shared" si="908"/>
        <v>0</v>
      </c>
      <c r="P1054" s="33">
        <f t="shared" si="909"/>
        <v>0</v>
      </c>
      <c r="Q1054" s="34">
        <f t="shared" si="951"/>
        <v>1199893.6009888195</v>
      </c>
      <c r="R1054" s="29">
        <f t="shared" si="910"/>
        <v>0</v>
      </c>
      <c r="S1054" s="34">
        <f t="shared" si="911"/>
        <v>1199893.6009888195</v>
      </c>
      <c r="T1054" s="29">
        <f t="shared" si="912"/>
        <v>999.91133415734964</v>
      </c>
      <c r="U1054" s="29">
        <f t="shared" si="913"/>
        <v>0</v>
      </c>
      <c r="V1054" s="35">
        <f t="shared" si="914"/>
        <v>5.6837150741245249E-2</v>
      </c>
      <c r="W1054" s="34">
        <f t="shared" si="915"/>
        <v>0</v>
      </c>
      <c r="X1054" s="34">
        <f t="shared" si="916"/>
        <v>1198893.689654662</v>
      </c>
      <c r="Y1054" s="36">
        <f t="shared" si="917"/>
        <v>-1.3052075055853485E-2</v>
      </c>
      <c r="Z1054" s="34">
        <f t="shared" si="918"/>
        <v>-15648.050421361764</v>
      </c>
      <c r="AA1054" s="34">
        <f t="shared" si="919"/>
        <v>1191069.6644439811</v>
      </c>
      <c r="AB1054" s="34">
        <f t="shared" si="920"/>
        <v>0</v>
      </c>
      <c r="AC1054" s="34">
        <f t="shared" si="921"/>
        <v>0</v>
      </c>
      <c r="AD1054" s="34">
        <f t="shared" si="922"/>
        <v>0</v>
      </c>
      <c r="AE1054" s="34">
        <f t="shared" si="923"/>
        <v>0</v>
      </c>
      <c r="AF1054" s="34">
        <f t="shared" si="924"/>
        <v>0</v>
      </c>
      <c r="AG1054" s="29">
        <f t="shared" si="925"/>
        <v>1191069.6644439811</v>
      </c>
      <c r="AH1054" s="34">
        <f t="shared" si="926"/>
        <v>0</v>
      </c>
      <c r="AI1054" s="34">
        <f t="shared" si="927"/>
        <v>0</v>
      </c>
      <c r="AJ1054" s="34">
        <f t="shared" si="928"/>
        <v>0</v>
      </c>
      <c r="AK1054" s="34">
        <f t="shared" si="929"/>
        <v>0</v>
      </c>
      <c r="AL1054" s="34">
        <f t="shared" si="930"/>
        <v>0</v>
      </c>
      <c r="AM1054" s="34">
        <f t="shared" si="931"/>
        <v>0</v>
      </c>
      <c r="AN1054" s="34">
        <f t="shared" si="932"/>
        <v>0</v>
      </c>
      <c r="AO1054" s="34">
        <f t="shared" si="933"/>
        <v>0</v>
      </c>
      <c r="AP1054" s="34">
        <f t="shared" si="934"/>
        <v>0</v>
      </c>
      <c r="AQ1054" s="34">
        <f t="shared" si="935"/>
        <v>0</v>
      </c>
      <c r="AR1054" s="34">
        <f t="shared" si="936"/>
        <v>0</v>
      </c>
      <c r="AS1054" s="30">
        <f t="shared" si="937"/>
        <v>2.388472283539453</v>
      </c>
      <c r="AT1054" s="29">
        <f t="shared" si="938"/>
        <v>0</v>
      </c>
      <c r="AU1054" s="29">
        <f t="shared" si="939"/>
        <v>0</v>
      </c>
      <c r="AV1054" s="34">
        <f t="shared" si="940"/>
        <v>0</v>
      </c>
      <c r="AW1054" s="34">
        <f t="shared" si="941"/>
        <v>0</v>
      </c>
      <c r="AX1054" s="29">
        <f t="shared" si="942"/>
        <v>0</v>
      </c>
      <c r="AY1054" s="34">
        <f t="shared" si="943"/>
        <v>0</v>
      </c>
      <c r="AZ1054" s="37">
        <f t="shared" si="944"/>
        <v>0</v>
      </c>
      <c r="BA1054" s="37">
        <f t="shared" si="945"/>
        <v>0</v>
      </c>
      <c r="BB1054" s="35">
        <f t="shared" si="946"/>
        <v>1.8453223061638546E-3</v>
      </c>
      <c r="BC1054" s="31">
        <f t="shared" si="947"/>
        <v>0.14430835997917166</v>
      </c>
      <c r="BD1054" s="34">
        <f t="shared" si="948"/>
        <v>0</v>
      </c>
    </row>
    <row r="1055" spans="1:56" x14ac:dyDescent="0.2">
      <c r="A1055" s="27">
        <f t="shared" si="949"/>
        <v>1051</v>
      </c>
      <c r="B1055" s="28">
        <f t="shared" si="896"/>
        <v>1051</v>
      </c>
      <c r="C1055" s="27">
        <f t="shared" si="897"/>
        <v>87</v>
      </c>
      <c r="D1055" s="28">
        <f t="shared" si="898"/>
        <v>107</v>
      </c>
      <c r="E1055" s="29">
        <f t="shared" si="899"/>
        <v>0</v>
      </c>
      <c r="F1055" s="30">
        <f t="shared" si="900"/>
        <v>0.47093001890148162</v>
      </c>
      <c r="G1055" s="31">
        <f t="shared" si="901"/>
        <v>5.1670137037495678E-2</v>
      </c>
      <c r="H1055" s="32">
        <f t="shared" si="902"/>
        <v>0.02</v>
      </c>
      <c r="I1055" s="32">
        <f t="shared" si="903"/>
        <v>0</v>
      </c>
      <c r="J1055" s="33">
        <f t="shared" si="950"/>
        <v>0</v>
      </c>
      <c r="K1055" s="30">
        <f t="shared" si="904"/>
        <v>0</v>
      </c>
      <c r="L1055" s="33">
        <f t="shared" si="905"/>
        <v>0</v>
      </c>
      <c r="M1055" s="30">
        <f t="shared" si="906"/>
        <v>0</v>
      </c>
      <c r="N1055" s="33">
        <f t="shared" si="907"/>
        <v>0</v>
      </c>
      <c r="O1055" s="31">
        <f t="shared" si="908"/>
        <v>0</v>
      </c>
      <c r="P1055" s="33">
        <f t="shared" si="909"/>
        <v>0</v>
      </c>
      <c r="Q1055" s="34">
        <f t="shared" si="951"/>
        <v>1183245.6392333002</v>
      </c>
      <c r="R1055" s="29">
        <f t="shared" si="910"/>
        <v>0</v>
      </c>
      <c r="S1055" s="34">
        <f t="shared" si="911"/>
        <v>1183245.6392333002</v>
      </c>
      <c r="T1055" s="29">
        <f t="shared" si="912"/>
        <v>986.03803269441687</v>
      </c>
      <c r="U1055" s="29">
        <f t="shared" si="913"/>
        <v>0</v>
      </c>
      <c r="V1055" s="35">
        <f t="shared" si="914"/>
        <v>5.6837150741245249E-2</v>
      </c>
      <c r="W1055" s="34">
        <f t="shared" si="915"/>
        <v>0</v>
      </c>
      <c r="X1055" s="34">
        <f t="shared" si="916"/>
        <v>1182259.6012006057</v>
      </c>
      <c r="Y1055" s="36">
        <f t="shared" si="917"/>
        <v>-4.5302088162337828E-3</v>
      </c>
      <c r="Z1055" s="34">
        <f t="shared" si="918"/>
        <v>-5355.8828684360205</v>
      </c>
      <c r="AA1055" s="34">
        <f t="shared" si="919"/>
        <v>1179581.6597663877</v>
      </c>
      <c r="AB1055" s="34">
        <f t="shared" si="920"/>
        <v>0</v>
      </c>
      <c r="AC1055" s="34">
        <f t="shared" si="921"/>
        <v>0</v>
      </c>
      <c r="AD1055" s="34">
        <f t="shared" si="922"/>
        <v>0</v>
      </c>
      <c r="AE1055" s="34">
        <f t="shared" si="923"/>
        <v>0</v>
      </c>
      <c r="AF1055" s="34">
        <f t="shared" si="924"/>
        <v>0</v>
      </c>
      <c r="AG1055" s="29">
        <f t="shared" si="925"/>
        <v>1179581.6597663877</v>
      </c>
      <c r="AH1055" s="34">
        <f t="shared" si="926"/>
        <v>0</v>
      </c>
      <c r="AI1055" s="34">
        <f t="shared" si="927"/>
        <v>0</v>
      </c>
      <c r="AJ1055" s="34">
        <f t="shared" si="928"/>
        <v>0</v>
      </c>
      <c r="AK1055" s="34">
        <f t="shared" si="929"/>
        <v>0</v>
      </c>
      <c r="AL1055" s="34">
        <f t="shared" si="930"/>
        <v>0</v>
      </c>
      <c r="AM1055" s="34">
        <f t="shared" si="931"/>
        <v>0</v>
      </c>
      <c r="AN1055" s="34">
        <f t="shared" si="932"/>
        <v>0</v>
      </c>
      <c r="AO1055" s="34">
        <f t="shared" si="933"/>
        <v>0</v>
      </c>
      <c r="AP1055" s="34">
        <f t="shared" si="934"/>
        <v>0</v>
      </c>
      <c r="AQ1055" s="34">
        <f t="shared" si="935"/>
        <v>0</v>
      </c>
      <c r="AR1055" s="34">
        <f t="shared" si="936"/>
        <v>0</v>
      </c>
      <c r="AS1055" s="30">
        <f t="shared" si="937"/>
        <v>2.3904536123337081</v>
      </c>
      <c r="AT1055" s="29">
        <f t="shared" si="938"/>
        <v>0</v>
      </c>
      <c r="AU1055" s="29">
        <f t="shared" si="939"/>
        <v>0</v>
      </c>
      <c r="AV1055" s="34">
        <f t="shared" si="940"/>
        <v>0</v>
      </c>
      <c r="AW1055" s="34">
        <f t="shared" si="941"/>
        <v>0</v>
      </c>
      <c r="AX1055" s="29">
        <f t="shared" si="942"/>
        <v>0</v>
      </c>
      <c r="AY1055" s="34">
        <f t="shared" si="943"/>
        <v>0</v>
      </c>
      <c r="AZ1055" s="37">
        <f t="shared" si="944"/>
        <v>0</v>
      </c>
      <c r="BA1055" s="37">
        <f t="shared" si="945"/>
        <v>0</v>
      </c>
      <c r="BB1055" s="35">
        <f t="shared" si="946"/>
        <v>1.8453223061638546E-3</v>
      </c>
      <c r="BC1055" s="31">
        <f t="shared" si="947"/>
        <v>0.14404255503932073</v>
      </c>
      <c r="BD1055" s="34">
        <f t="shared" si="948"/>
        <v>0</v>
      </c>
    </row>
    <row r="1056" spans="1:56" x14ac:dyDescent="0.2">
      <c r="A1056" s="27">
        <f t="shared" si="949"/>
        <v>1052</v>
      </c>
      <c r="B1056" s="28">
        <f t="shared" si="896"/>
        <v>1052</v>
      </c>
      <c r="C1056" s="27">
        <f t="shared" si="897"/>
        <v>87</v>
      </c>
      <c r="D1056" s="28">
        <f t="shared" si="898"/>
        <v>107</v>
      </c>
      <c r="E1056" s="29">
        <f t="shared" si="899"/>
        <v>0</v>
      </c>
      <c r="F1056" s="30">
        <f t="shared" si="900"/>
        <v>0.47093001890148162</v>
      </c>
      <c r="G1056" s="31">
        <f t="shared" si="901"/>
        <v>5.1670137037495678E-2</v>
      </c>
      <c r="H1056" s="32">
        <f t="shared" si="902"/>
        <v>0.02</v>
      </c>
      <c r="I1056" s="32">
        <f t="shared" si="903"/>
        <v>0</v>
      </c>
      <c r="J1056" s="33">
        <f t="shared" si="950"/>
        <v>0</v>
      </c>
      <c r="K1056" s="30">
        <f t="shared" si="904"/>
        <v>0</v>
      </c>
      <c r="L1056" s="33">
        <f t="shared" si="905"/>
        <v>0</v>
      </c>
      <c r="M1056" s="30">
        <f t="shared" si="906"/>
        <v>0</v>
      </c>
      <c r="N1056" s="33">
        <f t="shared" si="907"/>
        <v>0</v>
      </c>
      <c r="O1056" s="31">
        <f t="shared" si="908"/>
        <v>0</v>
      </c>
      <c r="P1056" s="33">
        <f t="shared" si="909"/>
        <v>0</v>
      </c>
      <c r="Q1056" s="34">
        <f t="shared" si="951"/>
        <v>1176903.7183321698</v>
      </c>
      <c r="R1056" s="29">
        <f t="shared" si="910"/>
        <v>0</v>
      </c>
      <c r="S1056" s="34">
        <f t="shared" si="911"/>
        <v>1176903.7183321698</v>
      </c>
      <c r="T1056" s="29">
        <f t="shared" si="912"/>
        <v>980.75309861014159</v>
      </c>
      <c r="U1056" s="29">
        <f t="shared" si="913"/>
        <v>0</v>
      </c>
      <c r="V1056" s="35">
        <f t="shared" si="914"/>
        <v>5.6837150741245249E-2</v>
      </c>
      <c r="W1056" s="34">
        <f t="shared" si="915"/>
        <v>0</v>
      </c>
      <c r="X1056" s="34">
        <f t="shared" si="916"/>
        <v>1175922.9652335597</v>
      </c>
      <c r="Y1056" s="36">
        <f t="shared" si="917"/>
        <v>-3.6900290025296822E-3</v>
      </c>
      <c r="Z1056" s="34">
        <f t="shared" si="918"/>
        <v>-4339.1898464525384</v>
      </c>
      <c r="AA1056" s="34">
        <f t="shared" si="919"/>
        <v>1173753.3703103336</v>
      </c>
      <c r="AB1056" s="34">
        <f t="shared" si="920"/>
        <v>0</v>
      </c>
      <c r="AC1056" s="34">
        <f t="shared" si="921"/>
        <v>0</v>
      </c>
      <c r="AD1056" s="34">
        <f t="shared" si="922"/>
        <v>0</v>
      </c>
      <c r="AE1056" s="34">
        <f t="shared" si="923"/>
        <v>0</v>
      </c>
      <c r="AF1056" s="34">
        <f t="shared" si="924"/>
        <v>0</v>
      </c>
      <c r="AG1056" s="29">
        <f t="shared" si="925"/>
        <v>1173753.3703103336</v>
      </c>
      <c r="AH1056" s="34">
        <f t="shared" si="926"/>
        <v>0</v>
      </c>
      <c r="AI1056" s="34">
        <f t="shared" si="927"/>
        <v>0</v>
      </c>
      <c r="AJ1056" s="34">
        <f t="shared" si="928"/>
        <v>0</v>
      </c>
      <c r="AK1056" s="34">
        <f t="shared" si="929"/>
        <v>0</v>
      </c>
      <c r="AL1056" s="34">
        <f t="shared" si="930"/>
        <v>0</v>
      </c>
      <c r="AM1056" s="34">
        <f t="shared" si="931"/>
        <v>0</v>
      </c>
      <c r="AN1056" s="34">
        <f t="shared" si="932"/>
        <v>0</v>
      </c>
      <c r="AO1056" s="34">
        <f t="shared" si="933"/>
        <v>0</v>
      </c>
      <c r="AP1056" s="34">
        <f t="shared" si="934"/>
        <v>0</v>
      </c>
      <c r="AQ1056" s="34">
        <f t="shared" si="935"/>
        <v>0</v>
      </c>
      <c r="AR1056" s="34">
        <f t="shared" si="936"/>
        <v>0</v>
      </c>
      <c r="AS1056" s="30">
        <f t="shared" si="937"/>
        <v>2.3924365847157159</v>
      </c>
      <c r="AT1056" s="29">
        <f t="shared" si="938"/>
        <v>0</v>
      </c>
      <c r="AU1056" s="29">
        <f t="shared" si="939"/>
        <v>0</v>
      </c>
      <c r="AV1056" s="34">
        <f t="shared" si="940"/>
        <v>0</v>
      </c>
      <c r="AW1056" s="34">
        <f t="shared" si="941"/>
        <v>0</v>
      </c>
      <c r="AX1056" s="29">
        <f t="shared" si="942"/>
        <v>0</v>
      </c>
      <c r="AY1056" s="34">
        <f t="shared" si="943"/>
        <v>0</v>
      </c>
      <c r="AZ1056" s="37">
        <f t="shared" si="944"/>
        <v>0</v>
      </c>
      <c r="BA1056" s="37">
        <f t="shared" si="945"/>
        <v>0</v>
      </c>
      <c r="BB1056" s="35">
        <f t="shared" si="946"/>
        <v>1.8453223061638546E-3</v>
      </c>
      <c r="BC1056" s="31">
        <f t="shared" si="947"/>
        <v>0.14377723969179879</v>
      </c>
      <c r="BD1056" s="34">
        <f t="shared" si="948"/>
        <v>0</v>
      </c>
    </row>
    <row r="1057" spans="1:56" x14ac:dyDescent="0.2">
      <c r="A1057" s="27">
        <f t="shared" si="949"/>
        <v>1053</v>
      </c>
      <c r="B1057" s="28">
        <f t="shared" si="896"/>
        <v>1053</v>
      </c>
      <c r="C1057" s="27">
        <f t="shared" si="897"/>
        <v>87</v>
      </c>
      <c r="D1057" s="28">
        <f t="shared" si="898"/>
        <v>107</v>
      </c>
      <c r="E1057" s="29">
        <f t="shared" si="899"/>
        <v>0</v>
      </c>
      <c r="F1057" s="30">
        <f t="shared" si="900"/>
        <v>0.47093001890148162</v>
      </c>
      <c r="G1057" s="31">
        <f t="shared" si="901"/>
        <v>5.1670137037495678E-2</v>
      </c>
      <c r="H1057" s="32">
        <f t="shared" si="902"/>
        <v>0.02</v>
      </c>
      <c r="I1057" s="32">
        <f t="shared" si="903"/>
        <v>0</v>
      </c>
      <c r="J1057" s="33">
        <f t="shared" si="950"/>
        <v>0</v>
      </c>
      <c r="K1057" s="30">
        <f t="shared" si="904"/>
        <v>0</v>
      </c>
      <c r="L1057" s="33">
        <f t="shared" si="905"/>
        <v>0</v>
      </c>
      <c r="M1057" s="30">
        <f t="shared" si="906"/>
        <v>0</v>
      </c>
      <c r="N1057" s="33">
        <f t="shared" si="907"/>
        <v>0</v>
      </c>
      <c r="O1057" s="31">
        <f t="shared" si="908"/>
        <v>0</v>
      </c>
      <c r="P1057" s="33">
        <f t="shared" si="909"/>
        <v>0</v>
      </c>
      <c r="Q1057" s="34">
        <f t="shared" si="951"/>
        <v>1171583.7753871072</v>
      </c>
      <c r="R1057" s="29">
        <f t="shared" si="910"/>
        <v>0</v>
      </c>
      <c r="S1057" s="34">
        <f t="shared" si="911"/>
        <v>1171583.7753871072</v>
      </c>
      <c r="T1057" s="29">
        <f t="shared" si="912"/>
        <v>976.31981282258937</v>
      </c>
      <c r="U1057" s="29">
        <f t="shared" si="913"/>
        <v>0</v>
      </c>
      <c r="V1057" s="35">
        <f t="shared" si="914"/>
        <v>5.6837150741245249E-2</v>
      </c>
      <c r="W1057" s="34">
        <f t="shared" si="915"/>
        <v>0</v>
      </c>
      <c r="X1057" s="34">
        <f t="shared" si="916"/>
        <v>1170607.4555742845</v>
      </c>
      <c r="Y1057" s="36">
        <f t="shared" si="917"/>
        <v>3.2345480150013373E-3</v>
      </c>
      <c r="Z1057" s="34">
        <f t="shared" si="918"/>
        <v>3786.3860217735682</v>
      </c>
      <c r="AA1057" s="34">
        <f t="shared" si="919"/>
        <v>1172500.6485851714</v>
      </c>
      <c r="AB1057" s="34">
        <f t="shared" si="920"/>
        <v>0</v>
      </c>
      <c r="AC1057" s="34">
        <f t="shared" si="921"/>
        <v>0</v>
      </c>
      <c r="AD1057" s="34">
        <f t="shared" si="922"/>
        <v>0</v>
      </c>
      <c r="AE1057" s="34">
        <f t="shared" si="923"/>
        <v>0</v>
      </c>
      <c r="AF1057" s="34">
        <f t="shared" si="924"/>
        <v>0</v>
      </c>
      <c r="AG1057" s="29">
        <f t="shared" si="925"/>
        <v>1172500.6485851714</v>
      </c>
      <c r="AH1057" s="34">
        <f t="shared" si="926"/>
        <v>0</v>
      </c>
      <c r="AI1057" s="34">
        <f t="shared" si="927"/>
        <v>0</v>
      </c>
      <c r="AJ1057" s="34">
        <f t="shared" si="928"/>
        <v>0</v>
      </c>
      <c r="AK1057" s="34">
        <f t="shared" si="929"/>
        <v>0</v>
      </c>
      <c r="AL1057" s="34">
        <f t="shared" si="930"/>
        <v>0</v>
      </c>
      <c r="AM1057" s="34">
        <f t="shared" si="931"/>
        <v>0</v>
      </c>
      <c r="AN1057" s="34">
        <f t="shared" si="932"/>
        <v>0</v>
      </c>
      <c r="AO1057" s="34">
        <f t="shared" si="933"/>
        <v>0</v>
      </c>
      <c r="AP1057" s="34">
        <f t="shared" si="934"/>
        <v>0</v>
      </c>
      <c r="AQ1057" s="34">
        <f t="shared" si="935"/>
        <v>0</v>
      </c>
      <c r="AR1057" s="34">
        <f t="shared" si="936"/>
        <v>0</v>
      </c>
      <c r="AS1057" s="30">
        <f t="shared" si="937"/>
        <v>2.394421202048894</v>
      </c>
      <c r="AT1057" s="29">
        <f t="shared" si="938"/>
        <v>0</v>
      </c>
      <c r="AU1057" s="29">
        <f t="shared" si="939"/>
        <v>0</v>
      </c>
      <c r="AV1057" s="34">
        <f t="shared" si="940"/>
        <v>0</v>
      </c>
      <c r="AW1057" s="34">
        <f t="shared" si="941"/>
        <v>0</v>
      </c>
      <c r="AX1057" s="29">
        <f t="shared" si="942"/>
        <v>0</v>
      </c>
      <c r="AY1057" s="34">
        <f t="shared" si="943"/>
        <v>0</v>
      </c>
      <c r="AZ1057" s="37">
        <f t="shared" si="944"/>
        <v>0</v>
      </c>
      <c r="BA1057" s="37">
        <f t="shared" si="945"/>
        <v>0</v>
      </c>
      <c r="BB1057" s="35">
        <f t="shared" si="946"/>
        <v>1.8453223061638546E-3</v>
      </c>
      <c r="BC1057" s="31">
        <f t="shared" si="947"/>
        <v>0.14351241303481424</v>
      </c>
      <c r="BD1057" s="34">
        <f t="shared" si="948"/>
        <v>0</v>
      </c>
    </row>
    <row r="1058" spans="1:56" x14ac:dyDescent="0.2">
      <c r="A1058" s="27">
        <f t="shared" si="949"/>
        <v>1054</v>
      </c>
      <c r="B1058" s="28">
        <f t="shared" si="896"/>
        <v>1054</v>
      </c>
      <c r="C1058" s="27">
        <f t="shared" si="897"/>
        <v>87</v>
      </c>
      <c r="D1058" s="28">
        <f t="shared" si="898"/>
        <v>107</v>
      </c>
      <c r="E1058" s="29">
        <f t="shared" si="899"/>
        <v>0</v>
      </c>
      <c r="F1058" s="30">
        <f t="shared" si="900"/>
        <v>0.47093001890148162</v>
      </c>
      <c r="G1058" s="31">
        <f t="shared" si="901"/>
        <v>5.1670137037495678E-2</v>
      </c>
      <c r="H1058" s="32">
        <f t="shared" si="902"/>
        <v>0.02</v>
      </c>
      <c r="I1058" s="32">
        <f t="shared" si="903"/>
        <v>0</v>
      </c>
      <c r="J1058" s="33">
        <f t="shared" si="950"/>
        <v>0</v>
      </c>
      <c r="K1058" s="30">
        <f t="shared" si="904"/>
        <v>0</v>
      </c>
      <c r="L1058" s="33">
        <f t="shared" si="905"/>
        <v>0</v>
      </c>
      <c r="M1058" s="30">
        <f t="shared" si="906"/>
        <v>0</v>
      </c>
      <c r="N1058" s="33">
        <f t="shared" si="907"/>
        <v>0</v>
      </c>
      <c r="O1058" s="31">
        <f t="shared" si="908"/>
        <v>0</v>
      </c>
      <c r="P1058" s="33">
        <f t="shared" si="909"/>
        <v>0</v>
      </c>
      <c r="Q1058" s="34">
        <f t="shared" si="951"/>
        <v>1174393.8415960581</v>
      </c>
      <c r="R1058" s="29">
        <f t="shared" si="910"/>
        <v>0</v>
      </c>
      <c r="S1058" s="34">
        <f t="shared" si="911"/>
        <v>1174393.8415960581</v>
      </c>
      <c r="T1058" s="29">
        <f t="shared" si="912"/>
        <v>978.66153466338187</v>
      </c>
      <c r="U1058" s="29">
        <f t="shared" si="913"/>
        <v>0</v>
      </c>
      <c r="V1058" s="35">
        <f t="shared" si="914"/>
        <v>5.6837150741245249E-2</v>
      </c>
      <c r="W1058" s="34">
        <f t="shared" si="915"/>
        <v>0</v>
      </c>
      <c r="X1058" s="34">
        <f t="shared" si="916"/>
        <v>1173415.1800613948</v>
      </c>
      <c r="Y1058" s="36">
        <f t="shared" si="917"/>
        <v>-8.1866658897765676E-3</v>
      </c>
      <c r="Z1058" s="34">
        <f t="shared" si="918"/>
        <v>-9606.3580291546496</v>
      </c>
      <c r="AA1058" s="34">
        <f t="shared" si="919"/>
        <v>1168612.0010468175</v>
      </c>
      <c r="AB1058" s="34">
        <f t="shared" si="920"/>
        <v>0</v>
      </c>
      <c r="AC1058" s="34">
        <f t="shared" si="921"/>
        <v>0</v>
      </c>
      <c r="AD1058" s="34">
        <f t="shared" si="922"/>
        <v>0</v>
      </c>
      <c r="AE1058" s="34">
        <f t="shared" si="923"/>
        <v>0</v>
      </c>
      <c r="AF1058" s="34">
        <f t="shared" si="924"/>
        <v>0</v>
      </c>
      <c r="AG1058" s="29">
        <f t="shared" si="925"/>
        <v>1168612.0010468175</v>
      </c>
      <c r="AH1058" s="34">
        <f t="shared" si="926"/>
        <v>0</v>
      </c>
      <c r="AI1058" s="34">
        <f t="shared" si="927"/>
        <v>0</v>
      </c>
      <c r="AJ1058" s="34">
        <f t="shared" si="928"/>
        <v>0</v>
      </c>
      <c r="AK1058" s="34">
        <f t="shared" si="929"/>
        <v>0</v>
      </c>
      <c r="AL1058" s="34">
        <f t="shared" si="930"/>
        <v>0</v>
      </c>
      <c r="AM1058" s="34">
        <f t="shared" si="931"/>
        <v>0</v>
      </c>
      <c r="AN1058" s="34">
        <f t="shared" si="932"/>
        <v>0</v>
      </c>
      <c r="AO1058" s="34">
        <f t="shared" si="933"/>
        <v>0</v>
      </c>
      <c r="AP1058" s="34">
        <f t="shared" si="934"/>
        <v>0</v>
      </c>
      <c r="AQ1058" s="34">
        <f t="shared" si="935"/>
        <v>0</v>
      </c>
      <c r="AR1058" s="34">
        <f t="shared" si="936"/>
        <v>0</v>
      </c>
      <c r="AS1058" s="30">
        <f t="shared" si="937"/>
        <v>2.3964074656977918</v>
      </c>
      <c r="AT1058" s="29">
        <f t="shared" si="938"/>
        <v>0</v>
      </c>
      <c r="AU1058" s="29">
        <f t="shared" si="939"/>
        <v>0</v>
      </c>
      <c r="AV1058" s="34">
        <f t="shared" si="940"/>
        <v>0</v>
      </c>
      <c r="AW1058" s="34">
        <f t="shared" si="941"/>
        <v>0</v>
      </c>
      <c r="AX1058" s="29">
        <f t="shared" si="942"/>
        <v>0</v>
      </c>
      <c r="AY1058" s="34">
        <f t="shared" si="943"/>
        <v>0</v>
      </c>
      <c r="AZ1058" s="37">
        <f t="shared" si="944"/>
        <v>0</v>
      </c>
      <c r="BA1058" s="37">
        <f t="shared" si="945"/>
        <v>0</v>
      </c>
      <c r="BB1058" s="35">
        <f t="shared" si="946"/>
        <v>1.8453223061638546E-3</v>
      </c>
      <c r="BC1058" s="31">
        <f t="shared" si="947"/>
        <v>0.14324807416823662</v>
      </c>
      <c r="BD1058" s="34">
        <f t="shared" si="948"/>
        <v>0</v>
      </c>
    </row>
    <row r="1059" spans="1:56" x14ac:dyDescent="0.2">
      <c r="A1059" s="27">
        <f t="shared" si="949"/>
        <v>1055</v>
      </c>
      <c r="B1059" s="28">
        <f t="shared" si="896"/>
        <v>1055</v>
      </c>
      <c r="C1059" s="27">
        <f t="shared" si="897"/>
        <v>87</v>
      </c>
      <c r="D1059" s="28">
        <f t="shared" si="898"/>
        <v>107</v>
      </c>
      <c r="E1059" s="29">
        <f t="shared" si="899"/>
        <v>0</v>
      </c>
      <c r="F1059" s="30">
        <f t="shared" si="900"/>
        <v>0.47093001890148162</v>
      </c>
      <c r="G1059" s="31">
        <f t="shared" si="901"/>
        <v>5.1670137037495678E-2</v>
      </c>
      <c r="H1059" s="32">
        <f t="shared" si="902"/>
        <v>0.02</v>
      </c>
      <c r="I1059" s="32">
        <f t="shared" si="903"/>
        <v>0</v>
      </c>
      <c r="J1059" s="33">
        <f t="shared" si="950"/>
        <v>0</v>
      </c>
      <c r="K1059" s="30">
        <f t="shared" si="904"/>
        <v>0</v>
      </c>
      <c r="L1059" s="33">
        <f t="shared" si="905"/>
        <v>0</v>
      </c>
      <c r="M1059" s="30">
        <f t="shared" si="906"/>
        <v>0</v>
      </c>
      <c r="N1059" s="33">
        <f t="shared" si="907"/>
        <v>0</v>
      </c>
      <c r="O1059" s="31">
        <f t="shared" si="908"/>
        <v>0</v>
      </c>
      <c r="P1059" s="33">
        <f t="shared" si="909"/>
        <v>0</v>
      </c>
      <c r="Q1059" s="34">
        <f t="shared" si="951"/>
        <v>1163808.8220322402</v>
      </c>
      <c r="R1059" s="29">
        <f t="shared" si="910"/>
        <v>0</v>
      </c>
      <c r="S1059" s="34">
        <f t="shared" si="911"/>
        <v>1163808.8220322402</v>
      </c>
      <c r="T1059" s="29">
        <f t="shared" si="912"/>
        <v>969.84068502686694</v>
      </c>
      <c r="U1059" s="29">
        <f t="shared" si="913"/>
        <v>0</v>
      </c>
      <c r="V1059" s="35">
        <f t="shared" si="914"/>
        <v>5.6837150741245249E-2</v>
      </c>
      <c r="W1059" s="34">
        <f t="shared" si="915"/>
        <v>0</v>
      </c>
      <c r="X1059" s="34">
        <f t="shared" si="916"/>
        <v>1162838.9813472133</v>
      </c>
      <c r="Y1059" s="36">
        <f t="shared" si="917"/>
        <v>5.7938843604885548E-3</v>
      </c>
      <c r="Z1059" s="34">
        <f t="shared" si="918"/>
        <v>6737.3545877940614</v>
      </c>
      <c r="AA1059" s="34">
        <f t="shared" si="919"/>
        <v>1166207.6586411104</v>
      </c>
      <c r="AB1059" s="34">
        <f t="shared" si="920"/>
        <v>0</v>
      </c>
      <c r="AC1059" s="34">
        <f t="shared" si="921"/>
        <v>0</v>
      </c>
      <c r="AD1059" s="34">
        <f t="shared" si="922"/>
        <v>0</v>
      </c>
      <c r="AE1059" s="34">
        <f t="shared" si="923"/>
        <v>0</v>
      </c>
      <c r="AF1059" s="34">
        <f t="shared" si="924"/>
        <v>0</v>
      </c>
      <c r="AG1059" s="29">
        <f t="shared" si="925"/>
        <v>1166207.6586411104</v>
      </c>
      <c r="AH1059" s="34">
        <f t="shared" si="926"/>
        <v>0</v>
      </c>
      <c r="AI1059" s="34">
        <f t="shared" si="927"/>
        <v>0</v>
      </c>
      <c r="AJ1059" s="34">
        <f t="shared" si="928"/>
        <v>0</v>
      </c>
      <c r="AK1059" s="34">
        <f t="shared" si="929"/>
        <v>0</v>
      </c>
      <c r="AL1059" s="34">
        <f t="shared" si="930"/>
        <v>0</v>
      </c>
      <c r="AM1059" s="34">
        <f t="shared" si="931"/>
        <v>0</v>
      </c>
      <c r="AN1059" s="34">
        <f t="shared" si="932"/>
        <v>0</v>
      </c>
      <c r="AO1059" s="34">
        <f t="shared" si="933"/>
        <v>0</v>
      </c>
      <c r="AP1059" s="34">
        <f t="shared" si="934"/>
        <v>0</v>
      </c>
      <c r="AQ1059" s="34">
        <f t="shared" si="935"/>
        <v>0</v>
      </c>
      <c r="AR1059" s="34">
        <f t="shared" si="936"/>
        <v>0</v>
      </c>
      <c r="AS1059" s="30">
        <f t="shared" si="937"/>
        <v>2.3983953770280921</v>
      </c>
      <c r="AT1059" s="29">
        <f t="shared" si="938"/>
        <v>0</v>
      </c>
      <c r="AU1059" s="29">
        <f t="shared" si="939"/>
        <v>0</v>
      </c>
      <c r="AV1059" s="34">
        <f t="shared" si="940"/>
        <v>0</v>
      </c>
      <c r="AW1059" s="34">
        <f t="shared" si="941"/>
        <v>0</v>
      </c>
      <c r="AX1059" s="29">
        <f t="shared" si="942"/>
        <v>0</v>
      </c>
      <c r="AY1059" s="34">
        <f t="shared" si="943"/>
        <v>0</v>
      </c>
      <c r="AZ1059" s="37">
        <f t="shared" si="944"/>
        <v>0</v>
      </c>
      <c r="BA1059" s="37">
        <f t="shared" si="945"/>
        <v>0</v>
      </c>
      <c r="BB1059" s="35">
        <f t="shared" si="946"/>
        <v>1.8453223061638546E-3</v>
      </c>
      <c r="BC1059" s="31">
        <f t="shared" si="947"/>
        <v>0.14298422219359327</v>
      </c>
      <c r="BD1059" s="34">
        <f t="shared" si="948"/>
        <v>0</v>
      </c>
    </row>
    <row r="1060" spans="1:56" x14ac:dyDescent="0.2">
      <c r="A1060" s="27">
        <f t="shared" si="949"/>
        <v>1056</v>
      </c>
      <c r="B1060" s="28">
        <f t="shared" si="896"/>
        <v>1056</v>
      </c>
      <c r="C1060" s="27">
        <f t="shared" si="897"/>
        <v>88</v>
      </c>
      <c r="D1060" s="28">
        <f t="shared" si="898"/>
        <v>108</v>
      </c>
      <c r="E1060" s="29">
        <f t="shared" si="899"/>
        <v>0</v>
      </c>
      <c r="F1060" s="30">
        <f t="shared" si="900"/>
        <v>0.54751435155729511</v>
      </c>
      <c r="G1060" s="31">
        <f t="shared" si="901"/>
        <v>6.3947083494511836E-2</v>
      </c>
      <c r="H1060" s="32">
        <f t="shared" si="902"/>
        <v>0.02</v>
      </c>
      <c r="I1060" s="32">
        <f t="shared" si="903"/>
        <v>0</v>
      </c>
      <c r="J1060" s="33">
        <f t="shared" si="950"/>
        <v>0</v>
      </c>
      <c r="K1060" s="30">
        <f t="shared" si="904"/>
        <v>0</v>
      </c>
      <c r="L1060" s="33">
        <f t="shared" si="905"/>
        <v>0</v>
      </c>
      <c r="M1060" s="30">
        <f t="shared" si="906"/>
        <v>0</v>
      </c>
      <c r="N1060" s="33">
        <f t="shared" si="907"/>
        <v>0</v>
      </c>
      <c r="O1060" s="31">
        <f t="shared" si="908"/>
        <v>0</v>
      </c>
      <c r="P1060" s="33">
        <f t="shared" si="909"/>
        <v>0</v>
      </c>
      <c r="Q1060" s="34">
        <f t="shared" si="951"/>
        <v>1169576.3359350073</v>
      </c>
      <c r="R1060" s="29">
        <f t="shared" si="910"/>
        <v>0</v>
      </c>
      <c r="S1060" s="34">
        <f t="shared" si="911"/>
        <v>1169576.3359350073</v>
      </c>
      <c r="T1060" s="29">
        <f t="shared" si="912"/>
        <v>974.64694661250621</v>
      </c>
      <c r="U1060" s="29">
        <f t="shared" si="913"/>
        <v>0</v>
      </c>
      <c r="V1060" s="35">
        <f t="shared" si="914"/>
        <v>7.0341791843963025E-2</v>
      </c>
      <c r="W1060" s="34">
        <f t="shared" si="915"/>
        <v>0</v>
      </c>
      <c r="X1060" s="34">
        <f t="shared" si="916"/>
        <v>1168601.6889883948</v>
      </c>
      <c r="Y1060" s="36">
        <f t="shared" si="917"/>
        <v>-8.9742832028538722E-4</v>
      </c>
      <c r="Z1060" s="34">
        <f t="shared" si="918"/>
        <v>-1048.7362508315216</v>
      </c>
      <c r="AA1060" s="34">
        <f t="shared" si="919"/>
        <v>1168077.3208629789</v>
      </c>
      <c r="AB1060" s="34">
        <f t="shared" si="920"/>
        <v>0</v>
      </c>
      <c r="AC1060" s="34">
        <f t="shared" si="921"/>
        <v>0</v>
      </c>
      <c r="AD1060" s="34">
        <f t="shared" si="922"/>
        <v>0</v>
      </c>
      <c r="AE1060" s="34">
        <f t="shared" si="923"/>
        <v>0</v>
      </c>
      <c r="AF1060" s="34">
        <f t="shared" si="924"/>
        <v>0</v>
      </c>
      <c r="AG1060" s="29">
        <f t="shared" si="925"/>
        <v>1168077.3208629789</v>
      </c>
      <c r="AH1060" s="34">
        <f t="shared" si="926"/>
        <v>0</v>
      </c>
      <c r="AI1060" s="34">
        <f t="shared" si="927"/>
        <v>0</v>
      </c>
      <c r="AJ1060" s="34">
        <f t="shared" si="928"/>
        <v>0</v>
      </c>
      <c r="AK1060" s="34">
        <f t="shared" si="929"/>
        <v>0</v>
      </c>
      <c r="AL1060" s="34">
        <f t="shared" si="930"/>
        <v>0</v>
      </c>
      <c r="AM1060" s="34">
        <f t="shared" si="931"/>
        <v>0</v>
      </c>
      <c r="AN1060" s="34">
        <f t="shared" si="932"/>
        <v>0</v>
      </c>
      <c r="AO1060" s="34">
        <f t="shared" si="933"/>
        <v>0</v>
      </c>
      <c r="AP1060" s="34">
        <f t="shared" si="934"/>
        <v>0</v>
      </c>
      <c r="AQ1060" s="34">
        <f t="shared" si="935"/>
        <v>0</v>
      </c>
      <c r="AR1060" s="34">
        <f t="shared" si="936"/>
        <v>0</v>
      </c>
      <c r="AS1060" s="30">
        <f t="shared" si="937"/>
        <v>2.4003849374066095</v>
      </c>
      <c r="AT1060" s="29">
        <f t="shared" si="938"/>
        <v>0</v>
      </c>
      <c r="AU1060" s="29">
        <f t="shared" si="939"/>
        <v>0</v>
      </c>
      <c r="AV1060" s="34">
        <f t="shared" si="940"/>
        <v>0</v>
      </c>
      <c r="AW1060" s="34">
        <f t="shared" si="941"/>
        <v>0</v>
      </c>
      <c r="AX1060" s="29">
        <f t="shared" si="942"/>
        <v>0</v>
      </c>
      <c r="AY1060" s="34">
        <f t="shared" si="943"/>
        <v>0</v>
      </c>
      <c r="AZ1060" s="37">
        <f t="shared" si="944"/>
        <v>0</v>
      </c>
      <c r="BA1060" s="37">
        <f t="shared" si="945"/>
        <v>0</v>
      </c>
      <c r="BB1060" s="35">
        <f t="shared" si="946"/>
        <v>1.8632858154532528E-3</v>
      </c>
      <c r="BC1060" s="31">
        <f t="shared" si="947"/>
        <v>0.14004395145626555</v>
      </c>
      <c r="BD1060" s="34">
        <f t="shared" si="948"/>
        <v>0</v>
      </c>
    </row>
    <row r="1061" spans="1:56" x14ac:dyDescent="0.2">
      <c r="A1061" s="27">
        <f t="shared" si="949"/>
        <v>1057</v>
      </c>
      <c r="B1061" s="28">
        <f t="shared" si="896"/>
        <v>1057</v>
      </c>
      <c r="C1061" s="27">
        <f t="shared" si="897"/>
        <v>88</v>
      </c>
      <c r="D1061" s="28">
        <f t="shared" si="898"/>
        <v>108</v>
      </c>
      <c r="E1061" s="29">
        <f t="shared" si="899"/>
        <v>0</v>
      </c>
      <c r="F1061" s="30">
        <f t="shared" si="900"/>
        <v>0.54751435155729511</v>
      </c>
      <c r="G1061" s="31">
        <f t="shared" si="901"/>
        <v>6.3947083494511836E-2</v>
      </c>
      <c r="H1061" s="32">
        <f t="shared" si="902"/>
        <v>0.02</v>
      </c>
      <c r="I1061" s="32">
        <f t="shared" si="903"/>
        <v>0</v>
      </c>
      <c r="J1061" s="33">
        <f t="shared" si="950"/>
        <v>0</v>
      </c>
      <c r="K1061" s="30">
        <f t="shared" si="904"/>
        <v>0</v>
      </c>
      <c r="L1061" s="33">
        <f t="shared" si="905"/>
        <v>0</v>
      </c>
      <c r="M1061" s="30">
        <f t="shared" si="906"/>
        <v>0</v>
      </c>
      <c r="N1061" s="33">
        <f t="shared" si="907"/>
        <v>0</v>
      </c>
      <c r="O1061" s="31">
        <f t="shared" si="908"/>
        <v>0</v>
      </c>
      <c r="P1061" s="33">
        <f t="shared" si="909"/>
        <v>0</v>
      </c>
      <c r="Q1061" s="34">
        <f t="shared" si="951"/>
        <v>1167552.9527375633</v>
      </c>
      <c r="R1061" s="29">
        <f t="shared" si="910"/>
        <v>0</v>
      </c>
      <c r="S1061" s="34">
        <f t="shared" si="911"/>
        <v>1167552.9527375633</v>
      </c>
      <c r="T1061" s="29">
        <f t="shared" si="912"/>
        <v>972.96079394796948</v>
      </c>
      <c r="U1061" s="29">
        <f t="shared" si="913"/>
        <v>0</v>
      </c>
      <c r="V1061" s="35">
        <f t="shared" si="914"/>
        <v>7.0341791843963025E-2</v>
      </c>
      <c r="W1061" s="34">
        <f t="shared" si="915"/>
        <v>0</v>
      </c>
      <c r="X1061" s="34">
        <f t="shared" si="916"/>
        <v>1166579.9919436153</v>
      </c>
      <c r="Y1061" s="36">
        <f t="shared" si="917"/>
        <v>2.1865729681636026E-4</v>
      </c>
      <c r="Z1061" s="34">
        <f t="shared" si="918"/>
        <v>255.08122755844224</v>
      </c>
      <c r="AA1061" s="34">
        <f t="shared" si="919"/>
        <v>1166707.5325573946</v>
      </c>
      <c r="AB1061" s="34">
        <f t="shared" si="920"/>
        <v>0</v>
      </c>
      <c r="AC1061" s="34">
        <f t="shared" si="921"/>
        <v>0</v>
      </c>
      <c r="AD1061" s="34">
        <f t="shared" si="922"/>
        <v>0</v>
      </c>
      <c r="AE1061" s="34">
        <f t="shared" si="923"/>
        <v>0</v>
      </c>
      <c r="AF1061" s="34">
        <f t="shared" si="924"/>
        <v>0</v>
      </c>
      <c r="AG1061" s="29">
        <f t="shared" si="925"/>
        <v>1166707.5325573946</v>
      </c>
      <c r="AH1061" s="34">
        <f t="shared" si="926"/>
        <v>0</v>
      </c>
      <c r="AI1061" s="34">
        <f t="shared" si="927"/>
        <v>0</v>
      </c>
      <c r="AJ1061" s="34">
        <f t="shared" si="928"/>
        <v>0</v>
      </c>
      <c r="AK1061" s="34">
        <f t="shared" si="929"/>
        <v>0</v>
      </c>
      <c r="AL1061" s="34">
        <f t="shared" si="930"/>
        <v>0</v>
      </c>
      <c r="AM1061" s="34">
        <f t="shared" si="931"/>
        <v>0</v>
      </c>
      <c r="AN1061" s="34">
        <f t="shared" si="932"/>
        <v>0</v>
      </c>
      <c r="AO1061" s="34">
        <f t="shared" si="933"/>
        <v>0</v>
      </c>
      <c r="AP1061" s="34">
        <f t="shared" si="934"/>
        <v>0</v>
      </c>
      <c r="AQ1061" s="34">
        <f t="shared" si="935"/>
        <v>0</v>
      </c>
      <c r="AR1061" s="34">
        <f t="shared" si="936"/>
        <v>0</v>
      </c>
      <c r="AS1061" s="30">
        <f t="shared" si="937"/>
        <v>2.4023761482012902</v>
      </c>
      <c r="AT1061" s="29">
        <f t="shared" si="938"/>
        <v>0</v>
      </c>
      <c r="AU1061" s="29">
        <f t="shared" si="939"/>
        <v>0</v>
      </c>
      <c r="AV1061" s="34">
        <f t="shared" si="940"/>
        <v>0</v>
      </c>
      <c r="AW1061" s="34">
        <f t="shared" si="941"/>
        <v>0</v>
      </c>
      <c r="AX1061" s="29">
        <f t="shared" si="942"/>
        <v>0</v>
      </c>
      <c r="AY1061" s="34">
        <f t="shared" si="943"/>
        <v>0</v>
      </c>
      <c r="AZ1061" s="37">
        <f t="shared" si="944"/>
        <v>0</v>
      </c>
      <c r="BA1061" s="37">
        <f t="shared" si="945"/>
        <v>0</v>
      </c>
      <c r="BB1061" s="35">
        <f t="shared" si="946"/>
        <v>1.8632858154532528E-3</v>
      </c>
      <c r="BC1061" s="31">
        <f t="shared" si="947"/>
        <v>0.13978349485307134</v>
      </c>
      <c r="BD1061" s="34">
        <f t="shared" si="948"/>
        <v>0</v>
      </c>
    </row>
    <row r="1062" spans="1:56" x14ac:dyDescent="0.2">
      <c r="A1062" s="27">
        <f t="shared" si="949"/>
        <v>1058</v>
      </c>
      <c r="B1062" s="28">
        <f t="shared" si="896"/>
        <v>1058</v>
      </c>
      <c r="C1062" s="27">
        <f t="shared" si="897"/>
        <v>88</v>
      </c>
      <c r="D1062" s="28">
        <f t="shared" si="898"/>
        <v>108</v>
      </c>
      <c r="E1062" s="29">
        <f t="shared" si="899"/>
        <v>0</v>
      </c>
      <c r="F1062" s="30">
        <f t="shared" si="900"/>
        <v>0.54751435155729511</v>
      </c>
      <c r="G1062" s="31">
        <f t="shared" si="901"/>
        <v>6.3947083494511836E-2</v>
      </c>
      <c r="H1062" s="32">
        <f t="shared" si="902"/>
        <v>0.02</v>
      </c>
      <c r="I1062" s="32">
        <f t="shared" si="903"/>
        <v>0</v>
      </c>
      <c r="J1062" s="33">
        <f t="shared" si="950"/>
        <v>0</v>
      </c>
      <c r="K1062" s="30">
        <f t="shared" si="904"/>
        <v>0</v>
      </c>
      <c r="L1062" s="33">
        <f t="shared" si="905"/>
        <v>0</v>
      </c>
      <c r="M1062" s="30">
        <f t="shared" si="906"/>
        <v>0</v>
      </c>
      <c r="N1062" s="33">
        <f t="shared" si="907"/>
        <v>0</v>
      </c>
      <c r="O1062" s="31">
        <f t="shared" si="908"/>
        <v>0</v>
      </c>
      <c r="P1062" s="33">
        <f t="shared" si="909"/>
        <v>0</v>
      </c>
      <c r="Q1062" s="34">
        <f t="shared" si="951"/>
        <v>1166835.0731711737</v>
      </c>
      <c r="R1062" s="29">
        <f t="shared" si="910"/>
        <v>0</v>
      </c>
      <c r="S1062" s="34">
        <f t="shared" si="911"/>
        <v>1166835.0731711737</v>
      </c>
      <c r="T1062" s="29">
        <f t="shared" si="912"/>
        <v>972.36256097597811</v>
      </c>
      <c r="U1062" s="29">
        <f t="shared" si="913"/>
        <v>0</v>
      </c>
      <c r="V1062" s="35">
        <f t="shared" si="914"/>
        <v>7.0341791843963025E-2</v>
      </c>
      <c r="W1062" s="34">
        <f t="shared" si="915"/>
        <v>0</v>
      </c>
      <c r="X1062" s="34">
        <f t="shared" si="916"/>
        <v>1165862.7106101976</v>
      </c>
      <c r="Y1062" s="36">
        <f t="shared" si="917"/>
        <v>1.735689656155559E-2</v>
      </c>
      <c r="Z1062" s="34">
        <f t="shared" si="918"/>
        <v>20235.758473036018</v>
      </c>
      <c r="AA1062" s="34">
        <f t="shared" si="919"/>
        <v>1175980.5898467156</v>
      </c>
      <c r="AB1062" s="34">
        <f t="shared" si="920"/>
        <v>0</v>
      </c>
      <c r="AC1062" s="34">
        <f t="shared" si="921"/>
        <v>0</v>
      </c>
      <c r="AD1062" s="34">
        <f t="shared" si="922"/>
        <v>0</v>
      </c>
      <c r="AE1062" s="34">
        <f t="shared" si="923"/>
        <v>0</v>
      </c>
      <c r="AF1062" s="34">
        <f t="shared" si="924"/>
        <v>0</v>
      </c>
      <c r="AG1062" s="29">
        <f t="shared" si="925"/>
        <v>1175980.5898467156</v>
      </c>
      <c r="AH1062" s="34">
        <f t="shared" si="926"/>
        <v>0</v>
      </c>
      <c r="AI1062" s="34">
        <f t="shared" si="927"/>
        <v>0</v>
      </c>
      <c r="AJ1062" s="34">
        <f t="shared" si="928"/>
        <v>0</v>
      </c>
      <c r="AK1062" s="34">
        <f t="shared" si="929"/>
        <v>0</v>
      </c>
      <c r="AL1062" s="34">
        <f t="shared" si="930"/>
        <v>0</v>
      </c>
      <c r="AM1062" s="34">
        <f t="shared" si="931"/>
        <v>0</v>
      </c>
      <c r="AN1062" s="34">
        <f t="shared" si="932"/>
        <v>0</v>
      </c>
      <c r="AO1062" s="34">
        <f t="shared" si="933"/>
        <v>0</v>
      </c>
      <c r="AP1062" s="34">
        <f t="shared" si="934"/>
        <v>0</v>
      </c>
      <c r="AQ1062" s="34">
        <f t="shared" si="935"/>
        <v>0</v>
      </c>
      <c r="AR1062" s="34">
        <f t="shared" si="936"/>
        <v>0</v>
      </c>
      <c r="AS1062" s="30">
        <f t="shared" si="937"/>
        <v>2.4043690107812195</v>
      </c>
      <c r="AT1062" s="29">
        <f t="shared" si="938"/>
        <v>0</v>
      </c>
      <c r="AU1062" s="29">
        <f t="shared" si="939"/>
        <v>0</v>
      </c>
      <c r="AV1062" s="34">
        <f t="shared" si="940"/>
        <v>0</v>
      </c>
      <c r="AW1062" s="34">
        <f t="shared" si="941"/>
        <v>0</v>
      </c>
      <c r="AX1062" s="29">
        <f t="shared" si="942"/>
        <v>0</v>
      </c>
      <c r="AY1062" s="34">
        <f t="shared" si="943"/>
        <v>0</v>
      </c>
      <c r="AZ1062" s="37">
        <f t="shared" si="944"/>
        <v>0</v>
      </c>
      <c r="BA1062" s="37">
        <f t="shared" si="945"/>
        <v>0</v>
      </c>
      <c r="BB1062" s="35">
        <f t="shared" si="946"/>
        <v>1.8632858154532528E-3</v>
      </c>
      <c r="BC1062" s="31">
        <f t="shared" si="947"/>
        <v>0.13952352265239107</v>
      </c>
      <c r="BD1062" s="34">
        <f t="shared" si="948"/>
        <v>0</v>
      </c>
    </row>
    <row r="1063" spans="1:56" x14ac:dyDescent="0.2">
      <c r="A1063" s="27">
        <f t="shared" si="949"/>
        <v>1059</v>
      </c>
      <c r="B1063" s="28">
        <f t="shared" si="896"/>
        <v>1059</v>
      </c>
      <c r="C1063" s="27">
        <f t="shared" si="897"/>
        <v>88</v>
      </c>
      <c r="D1063" s="28">
        <f t="shared" si="898"/>
        <v>108</v>
      </c>
      <c r="E1063" s="29">
        <f t="shared" si="899"/>
        <v>0</v>
      </c>
      <c r="F1063" s="30">
        <f t="shared" si="900"/>
        <v>0.54751435155729511</v>
      </c>
      <c r="G1063" s="31">
        <f t="shared" si="901"/>
        <v>6.3947083494511836E-2</v>
      </c>
      <c r="H1063" s="32">
        <f t="shared" si="902"/>
        <v>0.02</v>
      </c>
      <c r="I1063" s="32">
        <f t="shared" si="903"/>
        <v>0</v>
      </c>
      <c r="J1063" s="33">
        <f t="shared" si="950"/>
        <v>0</v>
      </c>
      <c r="K1063" s="30">
        <f t="shared" si="904"/>
        <v>0</v>
      </c>
      <c r="L1063" s="33">
        <f t="shared" si="905"/>
        <v>0</v>
      </c>
      <c r="M1063" s="30">
        <f t="shared" si="906"/>
        <v>0</v>
      </c>
      <c r="N1063" s="33">
        <f t="shared" si="907"/>
        <v>0</v>
      </c>
      <c r="O1063" s="31">
        <f t="shared" si="908"/>
        <v>0</v>
      </c>
      <c r="P1063" s="33">
        <f t="shared" si="909"/>
        <v>0</v>
      </c>
      <c r="Q1063" s="34">
        <f t="shared" si="951"/>
        <v>1186098.4690832337</v>
      </c>
      <c r="R1063" s="29">
        <f t="shared" si="910"/>
        <v>0</v>
      </c>
      <c r="S1063" s="34">
        <f t="shared" si="911"/>
        <v>1186098.4690832337</v>
      </c>
      <c r="T1063" s="29">
        <f t="shared" si="912"/>
        <v>988.41539090269487</v>
      </c>
      <c r="U1063" s="29">
        <f t="shared" si="913"/>
        <v>0</v>
      </c>
      <c r="V1063" s="35">
        <f t="shared" si="914"/>
        <v>7.0341791843963025E-2</v>
      </c>
      <c r="W1063" s="34">
        <f t="shared" si="915"/>
        <v>0</v>
      </c>
      <c r="X1063" s="34">
        <f t="shared" si="916"/>
        <v>1185110.0536923311</v>
      </c>
      <c r="Y1063" s="36">
        <f t="shared" si="917"/>
        <v>6.4727512426618894E-3</v>
      </c>
      <c r="Z1063" s="34">
        <f t="shared" si="918"/>
        <v>7670.9225727281346</v>
      </c>
      <c r="AA1063" s="34">
        <f t="shared" si="919"/>
        <v>1188945.5149786952</v>
      </c>
      <c r="AB1063" s="34">
        <f t="shared" si="920"/>
        <v>0</v>
      </c>
      <c r="AC1063" s="34">
        <f t="shared" si="921"/>
        <v>0</v>
      </c>
      <c r="AD1063" s="34">
        <f t="shared" si="922"/>
        <v>0</v>
      </c>
      <c r="AE1063" s="34">
        <f t="shared" si="923"/>
        <v>0</v>
      </c>
      <c r="AF1063" s="34">
        <f t="shared" si="924"/>
        <v>0</v>
      </c>
      <c r="AG1063" s="29">
        <f t="shared" si="925"/>
        <v>1188945.5149786952</v>
      </c>
      <c r="AH1063" s="34">
        <f t="shared" si="926"/>
        <v>0</v>
      </c>
      <c r="AI1063" s="34">
        <f t="shared" si="927"/>
        <v>0</v>
      </c>
      <c r="AJ1063" s="34">
        <f t="shared" si="928"/>
        <v>0</v>
      </c>
      <c r="AK1063" s="34">
        <f t="shared" si="929"/>
        <v>0</v>
      </c>
      <c r="AL1063" s="34">
        <f t="shared" si="930"/>
        <v>0</v>
      </c>
      <c r="AM1063" s="34">
        <f t="shared" si="931"/>
        <v>0</v>
      </c>
      <c r="AN1063" s="34">
        <f t="shared" si="932"/>
        <v>0</v>
      </c>
      <c r="AO1063" s="34">
        <f t="shared" si="933"/>
        <v>0</v>
      </c>
      <c r="AP1063" s="34">
        <f t="shared" si="934"/>
        <v>0</v>
      </c>
      <c r="AQ1063" s="34">
        <f t="shared" si="935"/>
        <v>0</v>
      </c>
      <c r="AR1063" s="34">
        <f t="shared" si="936"/>
        <v>0</v>
      </c>
      <c r="AS1063" s="30">
        <f t="shared" si="937"/>
        <v>2.4063635265166154</v>
      </c>
      <c r="AT1063" s="29">
        <f t="shared" si="938"/>
        <v>0</v>
      </c>
      <c r="AU1063" s="29">
        <f t="shared" si="939"/>
        <v>0</v>
      </c>
      <c r="AV1063" s="34">
        <f t="shared" si="940"/>
        <v>0</v>
      </c>
      <c r="AW1063" s="34">
        <f t="shared" si="941"/>
        <v>0</v>
      </c>
      <c r="AX1063" s="29">
        <f t="shared" si="942"/>
        <v>0</v>
      </c>
      <c r="AY1063" s="34">
        <f t="shared" si="943"/>
        <v>0</v>
      </c>
      <c r="AZ1063" s="37">
        <f t="shared" si="944"/>
        <v>0</v>
      </c>
      <c r="BA1063" s="37">
        <f t="shared" si="945"/>
        <v>0</v>
      </c>
      <c r="BB1063" s="35">
        <f t="shared" si="946"/>
        <v>1.8632858154532528E-3</v>
      </c>
      <c r="BC1063" s="31">
        <f t="shared" si="947"/>
        <v>0.13926403395332307</v>
      </c>
      <c r="BD1063" s="34">
        <f t="shared" si="948"/>
        <v>0</v>
      </c>
    </row>
    <row r="1064" spans="1:56" x14ac:dyDescent="0.2">
      <c r="A1064" s="27">
        <f t="shared" si="949"/>
        <v>1060</v>
      </c>
      <c r="B1064" s="28">
        <f t="shared" si="896"/>
        <v>1060</v>
      </c>
      <c r="C1064" s="27">
        <f t="shared" si="897"/>
        <v>88</v>
      </c>
      <c r="D1064" s="28">
        <f t="shared" si="898"/>
        <v>108</v>
      </c>
      <c r="E1064" s="29">
        <f t="shared" si="899"/>
        <v>0</v>
      </c>
      <c r="F1064" s="30">
        <f t="shared" si="900"/>
        <v>0.54751435155729511</v>
      </c>
      <c r="G1064" s="31">
        <f t="shared" si="901"/>
        <v>6.3947083494511836E-2</v>
      </c>
      <c r="H1064" s="32">
        <f t="shared" si="902"/>
        <v>0.02</v>
      </c>
      <c r="I1064" s="32">
        <f t="shared" si="903"/>
        <v>0</v>
      </c>
      <c r="J1064" s="33">
        <f t="shared" si="950"/>
        <v>0</v>
      </c>
      <c r="K1064" s="30">
        <f t="shared" si="904"/>
        <v>0</v>
      </c>
      <c r="L1064" s="33">
        <f t="shared" si="905"/>
        <v>0</v>
      </c>
      <c r="M1064" s="30">
        <f t="shared" si="906"/>
        <v>0</v>
      </c>
      <c r="N1064" s="33">
        <f t="shared" si="907"/>
        <v>0</v>
      </c>
      <c r="O1064" s="31">
        <f t="shared" si="908"/>
        <v>0</v>
      </c>
      <c r="P1064" s="33">
        <f t="shared" si="909"/>
        <v>0</v>
      </c>
      <c r="Q1064" s="34">
        <f t="shared" si="951"/>
        <v>1192780.9762650593</v>
      </c>
      <c r="R1064" s="29">
        <f t="shared" si="910"/>
        <v>0</v>
      </c>
      <c r="S1064" s="34">
        <f t="shared" si="911"/>
        <v>1192780.9762650593</v>
      </c>
      <c r="T1064" s="29">
        <f t="shared" si="912"/>
        <v>993.98414688754951</v>
      </c>
      <c r="U1064" s="29">
        <f t="shared" si="913"/>
        <v>0</v>
      </c>
      <c r="V1064" s="35">
        <f t="shared" si="914"/>
        <v>7.0341791843963025E-2</v>
      </c>
      <c r="W1064" s="34">
        <f t="shared" si="915"/>
        <v>0</v>
      </c>
      <c r="X1064" s="34">
        <f t="shared" si="916"/>
        <v>1191786.9921181719</v>
      </c>
      <c r="Y1064" s="36">
        <f t="shared" si="917"/>
        <v>-3.2677757996550927E-3</v>
      </c>
      <c r="Z1064" s="34">
        <f t="shared" si="918"/>
        <v>-3894.4926911874968</v>
      </c>
      <c r="AA1064" s="34">
        <f t="shared" si="919"/>
        <v>1189839.7457725781</v>
      </c>
      <c r="AB1064" s="34">
        <f t="shared" si="920"/>
        <v>0</v>
      </c>
      <c r="AC1064" s="34">
        <f t="shared" si="921"/>
        <v>0</v>
      </c>
      <c r="AD1064" s="34">
        <f t="shared" si="922"/>
        <v>0</v>
      </c>
      <c r="AE1064" s="34">
        <f t="shared" si="923"/>
        <v>0</v>
      </c>
      <c r="AF1064" s="34">
        <f t="shared" si="924"/>
        <v>0</v>
      </c>
      <c r="AG1064" s="29">
        <f t="shared" si="925"/>
        <v>1189839.7457725781</v>
      </c>
      <c r="AH1064" s="34">
        <f t="shared" si="926"/>
        <v>0</v>
      </c>
      <c r="AI1064" s="34">
        <f t="shared" si="927"/>
        <v>0</v>
      </c>
      <c r="AJ1064" s="34">
        <f t="shared" si="928"/>
        <v>0</v>
      </c>
      <c r="AK1064" s="34">
        <f t="shared" si="929"/>
        <v>0</v>
      </c>
      <c r="AL1064" s="34">
        <f t="shared" si="930"/>
        <v>0</v>
      </c>
      <c r="AM1064" s="34">
        <f t="shared" si="931"/>
        <v>0</v>
      </c>
      <c r="AN1064" s="34">
        <f t="shared" si="932"/>
        <v>0</v>
      </c>
      <c r="AO1064" s="34">
        <f t="shared" si="933"/>
        <v>0</v>
      </c>
      <c r="AP1064" s="34">
        <f t="shared" si="934"/>
        <v>0</v>
      </c>
      <c r="AQ1064" s="34">
        <f t="shared" si="935"/>
        <v>0</v>
      </c>
      <c r="AR1064" s="34">
        <f t="shared" si="936"/>
        <v>0</v>
      </c>
      <c r="AS1064" s="30">
        <f t="shared" si="937"/>
        <v>2.4083596967788337</v>
      </c>
      <c r="AT1064" s="29">
        <f t="shared" si="938"/>
        <v>0</v>
      </c>
      <c r="AU1064" s="29">
        <f t="shared" si="939"/>
        <v>0</v>
      </c>
      <c r="AV1064" s="34">
        <f t="shared" si="940"/>
        <v>0</v>
      </c>
      <c r="AW1064" s="34">
        <f t="shared" si="941"/>
        <v>0</v>
      </c>
      <c r="AX1064" s="29">
        <f t="shared" si="942"/>
        <v>0</v>
      </c>
      <c r="AY1064" s="34">
        <f t="shared" si="943"/>
        <v>0</v>
      </c>
      <c r="AZ1064" s="37">
        <f t="shared" si="944"/>
        <v>0</v>
      </c>
      <c r="BA1064" s="37">
        <f t="shared" si="945"/>
        <v>0</v>
      </c>
      <c r="BB1064" s="35">
        <f t="shared" si="946"/>
        <v>1.8632858154532528E-3</v>
      </c>
      <c r="BC1064" s="31">
        <f t="shared" si="947"/>
        <v>0.13900502785664112</v>
      </c>
      <c r="BD1064" s="34">
        <f t="shared" si="948"/>
        <v>0</v>
      </c>
    </row>
    <row r="1065" spans="1:56" x14ac:dyDescent="0.2">
      <c r="A1065" s="27">
        <f t="shared" si="949"/>
        <v>1061</v>
      </c>
      <c r="B1065" s="28">
        <f t="shared" si="896"/>
        <v>1061</v>
      </c>
      <c r="C1065" s="27">
        <f t="shared" si="897"/>
        <v>88</v>
      </c>
      <c r="D1065" s="28">
        <f t="shared" si="898"/>
        <v>108</v>
      </c>
      <c r="E1065" s="29">
        <f t="shared" si="899"/>
        <v>0</v>
      </c>
      <c r="F1065" s="30">
        <f t="shared" si="900"/>
        <v>0.54751435155729511</v>
      </c>
      <c r="G1065" s="31">
        <f t="shared" si="901"/>
        <v>6.3947083494511836E-2</v>
      </c>
      <c r="H1065" s="32">
        <f t="shared" si="902"/>
        <v>0.02</v>
      </c>
      <c r="I1065" s="32">
        <f t="shared" si="903"/>
        <v>0</v>
      </c>
      <c r="J1065" s="33">
        <f t="shared" si="950"/>
        <v>0</v>
      </c>
      <c r="K1065" s="30">
        <f t="shared" si="904"/>
        <v>0</v>
      </c>
      <c r="L1065" s="33">
        <f t="shared" si="905"/>
        <v>0</v>
      </c>
      <c r="M1065" s="30">
        <f t="shared" si="906"/>
        <v>0</v>
      </c>
      <c r="N1065" s="33">
        <f t="shared" si="907"/>
        <v>0</v>
      </c>
      <c r="O1065" s="31">
        <f t="shared" si="908"/>
        <v>0</v>
      </c>
      <c r="P1065" s="33">
        <f t="shared" si="909"/>
        <v>0</v>
      </c>
      <c r="Q1065" s="34">
        <f t="shared" si="951"/>
        <v>1187892.4994269845</v>
      </c>
      <c r="R1065" s="29">
        <f t="shared" si="910"/>
        <v>0</v>
      </c>
      <c r="S1065" s="34">
        <f t="shared" si="911"/>
        <v>1187892.4994269845</v>
      </c>
      <c r="T1065" s="29">
        <f t="shared" si="912"/>
        <v>989.91041618915381</v>
      </c>
      <c r="U1065" s="29">
        <f t="shared" si="913"/>
        <v>0</v>
      </c>
      <c r="V1065" s="35">
        <f t="shared" si="914"/>
        <v>7.0341791843963025E-2</v>
      </c>
      <c r="W1065" s="34">
        <f t="shared" si="915"/>
        <v>0</v>
      </c>
      <c r="X1065" s="34">
        <f t="shared" si="916"/>
        <v>1186902.5890107953</v>
      </c>
      <c r="Y1065" s="36">
        <f t="shared" si="917"/>
        <v>-1.7401396684054715E-3</v>
      </c>
      <c r="Z1065" s="34">
        <f t="shared" si="918"/>
        <v>-2065.3762776708409</v>
      </c>
      <c r="AA1065" s="34">
        <f t="shared" si="919"/>
        <v>1185869.90087196</v>
      </c>
      <c r="AB1065" s="34">
        <f t="shared" si="920"/>
        <v>0</v>
      </c>
      <c r="AC1065" s="34">
        <f t="shared" si="921"/>
        <v>0</v>
      </c>
      <c r="AD1065" s="34">
        <f t="shared" si="922"/>
        <v>0</v>
      </c>
      <c r="AE1065" s="34">
        <f t="shared" si="923"/>
        <v>0</v>
      </c>
      <c r="AF1065" s="34">
        <f t="shared" si="924"/>
        <v>0</v>
      </c>
      <c r="AG1065" s="29">
        <f t="shared" si="925"/>
        <v>1185869.90087196</v>
      </c>
      <c r="AH1065" s="34">
        <f t="shared" si="926"/>
        <v>0</v>
      </c>
      <c r="AI1065" s="34">
        <f t="shared" si="927"/>
        <v>0</v>
      </c>
      <c r="AJ1065" s="34">
        <f t="shared" si="928"/>
        <v>0</v>
      </c>
      <c r="AK1065" s="34">
        <f t="shared" si="929"/>
        <v>0</v>
      </c>
      <c r="AL1065" s="34">
        <f t="shared" si="930"/>
        <v>0</v>
      </c>
      <c r="AM1065" s="34">
        <f t="shared" si="931"/>
        <v>0</v>
      </c>
      <c r="AN1065" s="34">
        <f t="shared" si="932"/>
        <v>0</v>
      </c>
      <c r="AO1065" s="34">
        <f t="shared" si="933"/>
        <v>0</v>
      </c>
      <c r="AP1065" s="34">
        <f t="shared" si="934"/>
        <v>0</v>
      </c>
      <c r="AQ1065" s="34">
        <f t="shared" si="935"/>
        <v>0</v>
      </c>
      <c r="AR1065" s="34">
        <f t="shared" si="936"/>
        <v>0</v>
      </c>
      <c r="AS1065" s="30">
        <f t="shared" si="937"/>
        <v>2.4103575229403669</v>
      </c>
      <c r="AT1065" s="29">
        <f t="shared" si="938"/>
        <v>0</v>
      </c>
      <c r="AU1065" s="29">
        <f t="shared" si="939"/>
        <v>0</v>
      </c>
      <c r="AV1065" s="34">
        <f t="shared" si="940"/>
        <v>0</v>
      </c>
      <c r="AW1065" s="34">
        <f t="shared" si="941"/>
        <v>0</v>
      </c>
      <c r="AX1065" s="29">
        <f t="shared" si="942"/>
        <v>0</v>
      </c>
      <c r="AY1065" s="34">
        <f t="shared" si="943"/>
        <v>0</v>
      </c>
      <c r="AZ1065" s="37">
        <f t="shared" si="944"/>
        <v>0</v>
      </c>
      <c r="BA1065" s="37">
        <f t="shared" si="945"/>
        <v>0</v>
      </c>
      <c r="BB1065" s="35">
        <f t="shared" si="946"/>
        <v>1.8632858154532528E-3</v>
      </c>
      <c r="BC1065" s="31">
        <f t="shared" si="947"/>
        <v>0.13874650346479139</v>
      </c>
      <c r="BD1065" s="34">
        <f t="shared" si="948"/>
        <v>0</v>
      </c>
    </row>
    <row r="1066" spans="1:56" x14ac:dyDescent="0.2">
      <c r="A1066" s="27">
        <f t="shared" si="949"/>
        <v>1062</v>
      </c>
      <c r="B1066" s="28">
        <f t="shared" si="896"/>
        <v>1062</v>
      </c>
      <c r="C1066" s="27">
        <f t="shared" si="897"/>
        <v>88</v>
      </c>
      <c r="D1066" s="28">
        <f t="shared" si="898"/>
        <v>108</v>
      </c>
      <c r="E1066" s="29">
        <f t="shared" si="899"/>
        <v>0</v>
      </c>
      <c r="F1066" s="30">
        <f t="shared" si="900"/>
        <v>0.54751435155729511</v>
      </c>
      <c r="G1066" s="31">
        <f t="shared" si="901"/>
        <v>6.3947083494511836E-2</v>
      </c>
      <c r="H1066" s="32">
        <f t="shared" si="902"/>
        <v>0.02</v>
      </c>
      <c r="I1066" s="32">
        <f t="shared" si="903"/>
        <v>0</v>
      </c>
      <c r="J1066" s="33">
        <f t="shared" si="950"/>
        <v>0</v>
      </c>
      <c r="K1066" s="30">
        <f t="shared" si="904"/>
        <v>0</v>
      </c>
      <c r="L1066" s="33">
        <f t="shared" si="905"/>
        <v>0</v>
      </c>
      <c r="M1066" s="30">
        <f t="shared" si="906"/>
        <v>0</v>
      </c>
      <c r="N1066" s="33">
        <f t="shared" si="907"/>
        <v>0</v>
      </c>
      <c r="O1066" s="31">
        <f t="shared" si="908"/>
        <v>0</v>
      </c>
      <c r="P1066" s="33">
        <f t="shared" si="909"/>
        <v>0</v>
      </c>
      <c r="Q1066" s="34">
        <f t="shared" si="951"/>
        <v>1184837.2127331246</v>
      </c>
      <c r="R1066" s="29">
        <f t="shared" si="910"/>
        <v>0</v>
      </c>
      <c r="S1066" s="34">
        <f t="shared" si="911"/>
        <v>1184837.2127331246</v>
      </c>
      <c r="T1066" s="29">
        <f t="shared" si="912"/>
        <v>987.36434394427056</v>
      </c>
      <c r="U1066" s="29">
        <f t="shared" si="913"/>
        <v>0</v>
      </c>
      <c r="V1066" s="35">
        <f t="shared" si="914"/>
        <v>7.0341791843963025E-2</v>
      </c>
      <c r="W1066" s="34">
        <f t="shared" si="915"/>
        <v>0</v>
      </c>
      <c r="X1066" s="34">
        <f t="shared" si="916"/>
        <v>1183849.8483891804</v>
      </c>
      <c r="Y1066" s="36">
        <f t="shared" si="917"/>
        <v>-2.679561792094276E-3</v>
      </c>
      <c r="Z1066" s="34">
        <f t="shared" si="918"/>
        <v>-3172.198821320249</v>
      </c>
      <c r="AA1066" s="34">
        <f t="shared" si="919"/>
        <v>1182263.7489785203</v>
      </c>
      <c r="AB1066" s="34">
        <f t="shared" si="920"/>
        <v>0</v>
      </c>
      <c r="AC1066" s="34">
        <f t="shared" si="921"/>
        <v>0</v>
      </c>
      <c r="AD1066" s="34">
        <f t="shared" si="922"/>
        <v>0</v>
      </c>
      <c r="AE1066" s="34">
        <f t="shared" si="923"/>
        <v>0</v>
      </c>
      <c r="AF1066" s="34">
        <f t="shared" si="924"/>
        <v>0</v>
      </c>
      <c r="AG1066" s="29">
        <f t="shared" si="925"/>
        <v>1182263.7489785203</v>
      </c>
      <c r="AH1066" s="34">
        <f t="shared" si="926"/>
        <v>0</v>
      </c>
      <c r="AI1066" s="34">
        <f t="shared" si="927"/>
        <v>0</v>
      </c>
      <c r="AJ1066" s="34">
        <f t="shared" si="928"/>
        <v>0</v>
      </c>
      <c r="AK1066" s="34">
        <f t="shared" si="929"/>
        <v>0</v>
      </c>
      <c r="AL1066" s="34">
        <f t="shared" si="930"/>
        <v>0</v>
      </c>
      <c r="AM1066" s="34">
        <f t="shared" si="931"/>
        <v>0</v>
      </c>
      <c r="AN1066" s="34">
        <f t="shared" si="932"/>
        <v>0</v>
      </c>
      <c r="AO1066" s="34">
        <f t="shared" si="933"/>
        <v>0</v>
      </c>
      <c r="AP1066" s="34">
        <f t="shared" si="934"/>
        <v>0</v>
      </c>
      <c r="AQ1066" s="34">
        <f t="shared" si="935"/>
        <v>0</v>
      </c>
      <c r="AR1066" s="34">
        <f t="shared" si="936"/>
        <v>0</v>
      </c>
      <c r="AS1066" s="30">
        <f t="shared" si="937"/>
        <v>2.412357006374847</v>
      </c>
      <c r="AT1066" s="29">
        <f t="shared" si="938"/>
        <v>0</v>
      </c>
      <c r="AU1066" s="29">
        <f t="shared" si="939"/>
        <v>0</v>
      </c>
      <c r="AV1066" s="34">
        <f t="shared" si="940"/>
        <v>0</v>
      </c>
      <c r="AW1066" s="34">
        <f t="shared" si="941"/>
        <v>0</v>
      </c>
      <c r="AX1066" s="29">
        <f t="shared" si="942"/>
        <v>0</v>
      </c>
      <c r="AY1066" s="34">
        <f t="shared" si="943"/>
        <v>0</v>
      </c>
      <c r="AZ1066" s="37">
        <f t="shared" si="944"/>
        <v>0</v>
      </c>
      <c r="BA1066" s="37">
        <f t="shared" si="945"/>
        <v>0</v>
      </c>
      <c r="BB1066" s="35">
        <f t="shared" si="946"/>
        <v>1.8632858154532528E-3</v>
      </c>
      <c r="BC1066" s="31">
        <f t="shared" si="947"/>
        <v>0.13848845988188954</v>
      </c>
      <c r="BD1066" s="34">
        <f t="shared" si="948"/>
        <v>0</v>
      </c>
    </row>
    <row r="1067" spans="1:56" x14ac:dyDescent="0.2">
      <c r="A1067" s="27">
        <f t="shared" si="949"/>
        <v>1063</v>
      </c>
      <c r="B1067" s="28">
        <f t="shared" si="896"/>
        <v>1063</v>
      </c>
      <c r="C1067" s="27">
        <f t="shared" si="897"/>
        <v>88</v>
      </c>
      <c r="D1067" s="28">
        <f t="shared" si="898"/>
        <v>108</v>
      </c>
      <c r="E1067" s="29">
        <f t="shared" si="899"/>
        <v>0</v>
      </c>
      <c r="F1067" s="30">
        <f t="shared" si="900"/>
        <v>0.54751435155729511</v>
      </c>
      <c r="G1067" s="31">
        <f t="shared" si="901"/>
        <v>6.3947083494511836E-2</v>
      </c>
      <c r="H1067" s="32">
        <f t="shared" si="902"/>
        <v>0.02</v>
      </c>
      <c r="I1067" s="32">
        <f t="shared" si="903"/>
        <v>0</v>
      </c>
      <c r="J1067" s="33">
        <f t="shared" si="950"/>
        <v>0</v>
      </c>
      <c r="K1067" s="30">
        <f t="shared" si="904"/>
        <v>0</v>
      </c>
      <c r="L1067" s="33">
        <f t="shared" si="905"/>
        <v>0</v>
      </c>
      <c r="M1067" s="30">
        <f t="shared" si="906"/>
        <v>0</v>
      </c>
      <c r="N1067" s="33">
        <f t="shared" si="907"/>
        <v>0</v>
      </c>
      <c r="O1067" s="31">
        <f t="shared" si="908"/>
        <v>0</v>
      </c>
      <c r="P1067" s="33">
        <f t="shared" si="909"/>
        <v>0</v>
      </c>
      <c r="Q1067" s="34">
        <f t="shared" si="951"/>
        <v>1180677.6495678602</v>
      </c>
      <c r="R1067" s="29">
        <f t="shared" si="910"/>
        <v>0</v>
      </c>
      <c r="S1067" s="34">
        <f t="shared" si="911"/>
        <v>1180677.6495678602</v>
      </c>
      <c r="T1067" s="29">
        <f t="shared" si="912"/>
        <v>983.89804130655023</v>
      </c>
      <c r="U1067" s="29">
        <f t="shared" si="913"/>
        <v>0</v>
      </c>
      <c r="V1067" s="35">
        <f t="shared" si="914"/>
        <v>7.0341791843963025E-2</v>
      </c>
      <c r="W1067" s="34">
        <f t="shared" si="915"/>
        <v>0</v>
      </c>
      <c r="X1067" s="34">
        <f t="shared" si="916"/>
        <v>1179693.7515265536</v>
      </c>
      <c r="Y1067" s="36">
        <f t="shared" si="917"/>
        <v>5.4547775305560098E-3</v>
      </c>
      <c r="Z1067" s="34">
        <f t="shared" si="918"/>
        <v>6434.9669687643691</v>
      </c>
      <c r="AA1067" s="34">
        <f t="shared" si="919"/>
        <v>1182911.2350109359</v>
      </c>
      <c r="AB1067" s="34">
        <f t="shared" si="920"/>
        <v>0</v>
      </c>
      <c r="AC1067" s="34">
        <f t="shared" si="921"/>
        <v>0</v>
      </c>
      <c r="AD1067" s="34">
        <f t="shared" si="922"/>
        <v>0</v>
      </c>
      <c r="AE1067" s="34">
        <f t="shared" si="923"/>
        <v>0</v>
      </c>
      <c r="AF1067" s="34">
        <f t="shared" si="924"/>
        <v>0</v>
      </c>
      <c r="AG1067" s="29">
        <f t="shared" si="925"/>
        <v>1182911.2350109359</v>
      </c>
      <c r="AH1067" s="34">
        <f t="shared" si="926"/>
        <v>0</v>
      </c>
      <c r="AI1067" s="34">
        <f t="shared" si="927"/>
        <v>0</v>
      </c>
      <c r="AJ1067" s="34">
        <f t="shared" si="928"/>
        <v>0</v>
      </c>
      <c r="AK1067" s="34">
        <f t="shared" si="929"/>
        <v>0</v>
      </c>
      <c r="AL1067" s="34">
        <f t="shared" si="930"/>
        <v>0</v>
      </c>
      <c r="AM1067" s="34">
        <f t="shared" si="931"/>
        <v>0</v>
      </c>
      <c r="AN1067" s="34">
        <f t="shared" si="932"/>
        <v>0</v>
      </c>
      <c r="AO1067" s="34">
        <f t="shared" si="933"/>
        <v>0</v>
      </c>
      <c r="AP1067" s="34">
        <f t="shared" si="934"/>
        <v>0</v>
      </c>
      <c r="AQ1067" s="34">
        <f t="shared" si="935"/>
        <v>0</v>
      </c>
      <c r="AR1067" s="34">
        <f t="shared" si="936"/>
        <v>0</v>
      </c>
      <c r="AS1067" s="30">
        <f t="shared" si="937"/>
        <v>2.4143581484570453</v>
      </c>
      <c r="AT1067" s="29">
        <f t="shared" si="938"/>
        <v>0</v>
      </c>
      <c r="AU1067" s="29">
        <f t="shared" si="939"/>
        <v>0</v>
      </c>
      <c r="AV1067" s="34">
        <f t="shared" si="940"/>
        <v>0</v>
      </c>
      <c r="AW1067" s="34">
        <f t="shared" si="941"/>
        <v>0</v>
      </c>
      <c r="AX1067" s="29">
        <f t="shared" si="942"/>
        <v>0</v>
      </c>
      <c r="AY1067" s="34">
        <f t="shared" si="943"/>
        <v>0</v>
      </c>
      <c r="AZ1067" s="37">
        <f t="shared" si="944"/>
        <v>0</v>
      </c>
      <c r="BA1067" s="37">
        <f t="shared" si="945"/>
        <v>0</v>
      </c>
      <c r="BB1067" s="35">
        <f t="shared" si="946"/>
        <v>1.8632858154532528E-3</v>
      </c>
      <c r="BC1067" s="31">
        <f t="shared" si="947"/>
        <v>0.13823089621371715</v>
      </c>
      <c r="BD1067" s="34">
        <f t="shared" si="948"/>
        <v>0</v>
      </c>
    </row>
    <row r="1068" spans="1:56" x14ac:dyDescent="0.2">
      <c r="A1068" s="27">
        <f t="shared" si="949"/>
        <v>1064</v>
      </c>
      <c r="B1068" s="28">
        <f t="shared" si="896"/>
        <v>1064</v>
      </c>
      <c r="C1068" s="27">
        <f t="shared" si="897"/>
        <v>88</v>
      </c>
      <c r="D1068" s="28">
        <f t="shared" si="898"/>
        <v>108</v>
      </c>
      <c r="E1068" s="29">
        <f t="shared" si="899"/>
        <v>0</v>
      </c>
      <c r="F1068" s="30">
        <f t="shared" si="900"/>
        <v>0.54751435155729511</v>
      </c>
      <c r="G1068" s="31">
        <f t="shared" si="901"/>
        <v>6.3947083494511836E-2</v>
      </c>
      <c r="H1068" s="32">
        <f t="shared" si="902"/>
        <v>0.02</v>
      </c>
      <c r="I1068" s="32">
        <f t="shared" si="903"/>
        <v>0</v>
      </c>
      <c r="J1068" s="33">
        <f t="shared" si="950"/>
        <v>0</v>
      </c>
      <c r="K1068" s="30">
        <f t="shared" si="904"/>
        <v>0</v>
      </c>
      <c r="L1068" s="33">
        <f t="shared" si="905"/>
        <v>0</v>
      </c>
      <c r="M1068" s="30">
        <f t="shared" si="906"/>
        <v>0</v>
      </c>
      <c r="N1068" s="33">
        <f t="shared" si="907"/>
        <v>0</v>
      </c>
      <c r="O1068" s="31">
        <f t="shared" si="908"/>
        <v>0</v>
      </c>
      <c r="P1068" s="33">
        <f t="shared" si="909"/>
        <v>0</v>
      </c>
      <c r="Q1068" s="34">
        <f t="shared" si="951"/>
        <v>1186128.718495318</v>
      </c>
      <c r="R1068" s="29">
        <f t="shared" si="910"/>
        <v>0</v>
      </c>
      <c r="S1068" s="34">
        <f t="shared" si="911"/>
        <v>1186128.718495318</v>
      </c>
      <c r="T1068" s="29">
        <f t="shared" si="912"/>
        <v>988.44059874609832</v>
      </c>
      <c r="U1068" s="29">
        <f t="shared" si="913"/>
        <v>0</v>
      </c>
      <c r="V1068" s="35">
        <f t="shared" si="914"/>
        <v>7.0341791843963025E-2</v>
      </c>
      <c r="W1068" s="34">
        <f t="shared" si="915"/>
        <v>0</v>
      </c>
      <c r="X1068" s="34">
        <f t="shared" si="916"/>
        <v>1185140.2778965719</v>
      </c>
      <c r="Y1068" s="36">
        <f t="shared" si="917"/>
        <v>-4.8555646961712107E-4</v>
      </c>
      <c r="Z1068" s="34">
        <f t="shared" si="918"/>
        <v>-575.45252933651318</v>
      </c>
      <c r="AA1068" s="34">
        <f t="shared" si="919"/>
        <v>1184852.5516319037</v>
      </c>
      <c r="AB1068" s="34">
        <f t="shared" si="920"/>
        <v>0</v>
      </c>
      <c r="AC1068" s="34">
        <f t="shared" si="921"/>
        <v>0</v>
      </c>
      <c r="AD1068" s="34">
        <f t="shared" si="922"/>
        <v>0</v>
      </c>
      <c r="AE1068" s="34">
        <f t="shared" si="923"/>
        <v>0</v>
      </c>
      <c r="AF1068" s="34">
        <f t="shared" si="924"/>
        <v>0</v>
      </c>
      <c r="AG1068" s="29">
        <f t="shared" si="925"/>
        <v>1184852.5516319037</v>
      </c>
      <c r="AH1068" s="34">
        <f t="shared" si="926"/>
        <v>0</v>
      </c>
      <c r="AI1068" s="34">
        <f t="shared" si="927"/>
        <v>0</v>
      </c>
      <c r="AJ1068" s="34">
        <f t="shared" si="928"/>
        <v>0</v>
      </c>
      <c r="AK1068" s="34">
        <f t="shared" si="929"/>
        <v>0</v>
      </c>
      <c r="AL1068" s="34">
        <f t="shared" si="930"/>
        <v>0</v>
      </c>
      <c r="AM1068" s="34">
        <f t="shared" si="931"/>
        <v>0</v>
      </c>
      <c r="AN1068" s="34">
        <f t="shared" si="932"/>
        <v>0</v>
      </c>
      <c r="AO1068" s="34">
        <f t="shared" si="933"/>
        <v>0</v>
      </c>
      <c r="AP1068" s="34">
        <f t="shared" si="934"/>
        <v>0</v>
      </c>
      <c r="AQ1068" s="34">
        <f t="shared" si="935"/>
        <v>0</v>
      </c>
      <c r="AR1068" s="34">
        <f t="shared" si="936"/>
        <v>0</v>
      </c>
      <c r="AS1068" s="30">
        <f t="shared" si="937"/>
        <v>2.4163609505628729</v>
      </c>
      <c r="AT1068" s="29">
        <f t="shared" si="938"/>
        <v>0</v>
      </c>
      <c r="AU1068" s="29">
        <f t="shared" si="939"/>
        <v>0</v>
      </c>
      <c r="AV1068" s="34">
        <f t="shared" si="940"/>
        <v>0</v>
      </c>
      <c r="AW1068" s="34">
        <f t="shared" si="941"/>
        <v>0</v>
      </c>
      <c r="AX1068" s="29">
        <f t="shared" si="942"/>
        <v>0</v>
      </c>
      <c r="AY1068" s="34">
        <f t="shared" si="943"/>
        <v>0</v>
      </c>
      <c r="AZ1068" s="37">
        <f t="shared" si="944"/>
        <v>0</v>
      </c>
      <c r="BA1068" s="37">
        <f t="shared" si="945"/>
        <v>0</v>
      </c>
      <c r="BB1068" s="35">
        <f t="shared" si="946"/>
        <v>1.8632858154532528E-3</v>
      </c>
      <c r="BC1068" s="31">
        <f t="shared" si="947"/>
        <v>0.13797381156771898</v>
      </c>
      <c r="BD1068" s="34">
        <f t="shared" si="948"/>
        <v>0</v>
      </c>
    </row>
    <row r="1069" spans="1:56" x14ac:dyDescent="0.2">
      <c r="A1069" s="27">
        <f t="shared" si="949"/>
        <v>1065</v>
      </c>
      <c r="B1069" s="28">
        <f t="shared" si="896"/>
        <v>1065</v>
      </c>
      <c r="C1069" s="27">
        <f t="shared" si="897"/>
        <v>88</v>
      </c>
      <c r="D1069" s="28">
        <f t="shared" si="898"/>
        <v>108</v>
      </c>
      <c r="E1069" s="29">
        <f t="shared" si="899"/>
        <v>0</v>
      </c>
      <c r="F1069" s="30">
        <f t="shared" si="900"/>
        <v>0.54751435155729511</v>
      </c>
      <c r="G1069" s="31">
        <f t="shared" si="901"/>
        <v>6.3947083494511836E-2</v>
      </c>
      <c r="H1069" s="32">
        <f t="shared" si="902"/>
        <v>0.02</v>
      </c>
      <c r="I1069" s="32">
        <f t="shared" si="903"/>
        <v>0</v>
      </c>
      <c r="J1069" s="33">
        <f t="shared" si="950"/>
        <v>0</v>
      </c>
      <c r="K1069" s="30">
        <f t="shared" si="904"/>
        <v>0</v>
      </c>
      <c r="L1069" s="33">
        <f t="shared" si="905"/>
        <v>0</v>
      </c>
      <c r="M1069" s="30">
        <f t="shared" si="906"/>
        <v>0</v>
      </c>
      <c r="N1069" s="33">
        <f t="shared" si="907"/>
        <v>0</v>
      </c>
      <c r="O1069" s="31">
        <f t="shared" si="908"/>
        <v>0</v>
      </c>
      <c r="P1069" s="33">
        <f t="shared" si="909"/>
        <v>0</v>
      </c>
      <c r="Q1069" s="34">
        <f t="shared" si="951"/>
        <v>1184564.8253672353</v>
      </c>
      <c r="R1069" s="29">
        <f t="shared" si="910"/>
        <v>0</v>
      </c>
      <c r="S1069" s="34">
        <f t="shared" si="911"/>
        <v>1184564.8253672353</v>
      </c>
      <c r="T1069" s="29">
        <f t="shared" si="912"/>
        <v>987.13735447269619</v>
      </c>
      <c r="U1069" s="29">
        <f t="shared" si="913"/>
        <v>0</v>
      </c>
      <c r="V1069" s="35">
        <f t="shared" si="914"/>
        <v>7.0341791843963025E-2</v>
      </c>
      <c r="W1069" s="34">
        <f t="shared" si="915"/>
        <v>0</v>
      </c>
      <c r="X1069" s="34">
        <f t="shared" si="916"/>
        <v>1183577.6880127627</v>
      </c>
      <c r="Y1069" s="36">
        <f t="shared" si="917"/>
        <v>5.5775363493604235E-3</v>
      </c>
      <c r="Z1069" s="34">
        <f t="shared" si="918"/>
        <v>6601.4475771831549</v>
      </c>
      <c r="AA1069" s="34">
        <f t="shared" si="919"/>
        <v>1186878.4118013543</v>
      </c>
      <c r="AB1069" s="34">
        <f t="shared" si="920"/>
        <v>0</v>
      </c>
      <c r="AC1069" s="34">
        <f t="shared" si="921"/>
        <v>0</v>
      </c>
      <c r="AD1069" s="34">
        <f t="shared" si="922"/>
        <v>0</v>
      </c>
      <c r="AE1069" s="34">
        <f t="shared" si="923"/>
        <v>0</v>
      </c>
      <c r="AF1069" s="34">
        <f t="shared" si="924"/>
        <v>0</v>
      </c>
      <c r="AG1069" s="29">
        <f t="shared" si="925"/>
        <v>1186878.4118013543</v>
      </c>
      <c r="AH1069" s="34">
        <f t="shared" si="926"/>
        <v>0</v>
      </c>
      <c r="AI1069" s="34">
        <f t="shared" si="927"/>
        <v>0</v>
      </c>
      <c r="AJ1069" s="34">
        <f t="shared" si="928"/>
        <v>0</v>
      </c>
      <c r="AK1069" s="34">
        <f t="shared" si="929"/>
        <v>0</v>
      </c>
      <c r="AL1069" s="34">
        <f t="shared" si="930"/>
        <v>0</v>
      </c>
      <c r="AM1069" s="34">
        <f t="shared" si="931"/>
        <v>0</v>
      </c>
      <c r="AN1069" s="34">
        <f t="shared" si="932"/>
        <v>0</v>
      </c>
      <c r="AO1069" s="34">
        <f t="shared" si="933"/>
        <v>0</v>
      </c>
      <c r="AP1069" s="34">
        <f t="shared" si="934"/>
        <v>0</v>
      </c>
      <c r="AQ1069" s="34">
        <f t="shared" si="935"/>
        <v>0</v>
      </c>
      <c r="AR1069" s="34">
        <f t="shared" si="936"/>
        <v>0</v>
      </c>
      <c r="AS1069" s="30">
        <f t="shared" si="937"/>
        <v>2.4183654140693829</v>
      </c>
      <c r="AT1069" s="29">
        <f t="shared" si="938"/>
        <v>0</v>
      </c>
      <c r="AU1069" s="29">
        <f t="shared" si="939"/>
        <v>0</v>
      </c>
      <c r="AV1069" s="34">
        <f t="shared" si="940"/>
        <v>0</v>
      </c>
      <c r="AW1069" s="34">
        <f t="shared" si="941"/>
        <v>0</v>
      </c>
      <c r="AX1069" s="29">
        <f t="shared" si="942"/>
        <v>0</v>
      </c>
      <c r="AY1069" s="34">
        <f t="shared" si="943"/>
        <v>0</v>
      </c>
      <c r="AZ1069" s="37">
        <f t="shared" si="944"/>
        <v>0</v>
      </c>
      <c r="BA1069" s="37">
        <f t="shared" si="945"/>
        <v>0</v>
      </c>
      <c r="BB1069" s="35">
        <f t="shared" si="946"/>
        <v>1.8632858154532528E-3</v>
      </c>
      <c r="BC1069" s="31">
        <f t="shared" si="947"/>
        <v>0.13771720505299986</v>
      </c>
      <c r="BD1069" s="34">
        <f t="shared" si="948"/>
        <v>0</v>
      </c>
    </row>
    <row r="1070" spans="1:56" x14ac:dyDescent="0.2">
      <c r="A1070" s="27">
        <f t="shared" si="949"/>
        <v>1066</v>
      </c>
      <c r="B1070" s="28">
        <f t="shared" si="896"/>
        <v>1066</v>
      </c>
      <c r="C1070" s="27">
        <f t="shared" si="897"/>
        <v>88</v>
      </c>
      <c r="D1070" s="28">
        <f t="shared" si="898"/>
        <v>108</v>
      </c>
      <c r="E1070" s="29">
        <f t="shared" si="899"/>
        <v>0</v>
      </c>
      <c r="F1070" s="30">
        <f t="shared" si="900"/>
        <v>0.54751435155729511</v>
      </c>
      <c r="G1070" s="31">
        <f t="shared" si="901"/>
        <v>6.3947083494511836E-2</v>
      </c>
      <c r="H1070" s="32">
        <f t="shared" si="902"/>
        <v>0.02</v>
      </c>
      <c r="I1070" s="32">
        <f t="shared" si="903"/>
        <v>0</v>
      </c>
      <c r="J1070" s="33">
        <f t="shared" si="950"/>
        <v>0</v>
      </c>
      <c r="K1070" s="30">
        <f t="shared" si="904"/>
        <v>0</v>
      </c>
      <c r="L1070" s="33">
        <f t="shared" si="905"/>
        <v>0</v>
      </c>
      <c r="M1070" s="30">
        <f t="shared" si="906"/>
        <v>0</v>
      </c>
      <c r="N1070" s="33">
        <f t="shared" si="907"/>
        <v>0</v>
      </c>
      <c r="O1070" s="31">
        <f t="shared" si="908"/>
        <v>0</v>
      </c>
      <c r="P1070" s="33">
        <f t="shared" si="909"/>
        <v>0</v>
      </c>
      <c r="Q1070" s="34">
        <f t="shared" si="951"/>
        <v>1190179.1355899458</v>
      </c>
      <c r="R1070" s="29">
        <f t="shared" si="910"/>
        <v>0</v>
      </c>
      <c r="S1070" s="34">
        <f t="shared" si="911"/>
        <v>1190179.1355899458</v>
      </c>
      <c r="T1070" s="29">
        <f t="shared" si="912"/>
        <v>991.81594632495489</v>
      </c>
      <c r="U1070" s="29">
        <f t="shared" si="913"/>
        <v>0</v>
      </c>
      <c r="V1070" s="35">
        <f t="shared" si="914"/>
        <v>7.0341791843963025E-2</v>
      </c>
      <c r="W1070" s="34">
        <f t="shared" si="915"/>
        <v>0</v>
      </c>
      <c r="X1070" s="34">
        <f t="shared" si="916"/>
        <v>1189187.3196436209</v>
      </c>
      <c r="Y1070" s="36">
        <f t="shared" si="917"/>
        <v>5.8545315383464747E-3</v>
      </c>
      <c r="Z1070" s="34">
        <f t="shared" si="918"/>
        <v>6962.1346678552882</v>
      </c>
      <c r="AA1070" s="34">
        <f t="shared" si="919"/>
        <v>1192668.3869775485</v>
      </c>
      <c r="AB1070" s="34">
        <f t="shared" si="920"/>
        <v>0</v>
      </c>
      <c r="AC1070" s="34">
        <f t="shared" si="921"/>
        <v>0</v>
      </c>
      <c r="AD1070" s="34">
        <f t="shared" si="922"/>
        <v>0</v>
      </c>
      <c r="AE1070" s="34">
        <f t="shared" si="923"/>
        <v>0</v>
      </c>
      <c r="AF1070" s="34">
        <f t="shared" si="924"/>
        <v>0</v>
      </c>
      <c r="AG1070" s="29">
        <f t="shared" si="925"/>
        <v>1192668.3869775485</v>
      </c>
      <c r="AH1070" s="34">
        <f t="shared" si="926"/>
        <v>0</v>
      </c>
      <c r="AI1070" s="34">
        <f t="shared" si="927"/>
        <v>0</v>
      </c>
      <c r="AJ1070" s="34">
        <f t="shared" si="928"/>
        <v>0</v>
      </c>
      <c r="AK1070" s="34">
        <f t="shared" si="929"/>
        <v>0</v>
      </c>
      <c r="AL1070" s="34">
        <f t="shared" si="930"/>
        <v>0</v>
      </c>
      <c r="AM1070" s="34">
        <f t="shared" si="931"/>
        <v>0</v>
      </c>
      <c r="AN1070" s="34">
        <f t="shared" si="932"/>
        <v>0</v>
      </c>
      <c r="AO1070" s="34">
        <f t="shared" si="933"/>
        <v>0</v>
      </c>
      <c r="AP1070" s="34">
        <f t="shared" si="934"/>
        <v>0</v>
      </c>
      <c r="AQ1070" s="34">
        <f t="shared" si="935"/>
        <v>0</v>
      </c>
      <c r="AR1070" s="34">
        <f t="shared" si="936"/>
        <v>0</v>
      </c>
      <c r="AS1070" s="30">
        <f t="shared" si="937"/>
        <v>2.4203715403547701</v>
      </c>
      <c r="AT1070" s="29">
        <f t="shared" si="938"/>
        <v>0</v>
      </c>
      <c r="AU1070" s="29">
        <f t="shared" si="939"/>
        <v>0</v>
      </c>
      <c r="AV1070" s="34">
        <f t="shared" si="940"/>
        <v>0</v>
      </c>
      <c r="AW1070" s="34">
        <f t="shared" si="941"/>
        <v>0</v>
      </c>
      <c r="AX1070" s="29">
        <f t="shared" si="942"/>
        <v>0</v>
      </c>
      <c r="AY1070" s="34">
        <f t="shared" si="943"/>
        <v>0</v>
      </c>
      <c r="AZ1070" s="37">
        <f t="shared" si="944"/>
        <v>0</v>
      </c>
      <c r="BA1070" s="37">
        <f t="shared" si="945"/>
        <v>0</v>
      </c>
      <c r="BB1070" s="35">
        <f t="shared" si="946"/>
        <v>1.8632858154532528E-3</v>
      </c>
      <c r="BC1070" s="31">
        <f t="shared" si="947"/>
        <v>0.13746107578032143</v>
      </c>
      <c r="BD1070" s="34">
        <f t="shared" si="948"/>
        <v>0</v>
      </c>
    </row>
    <row r="1071" spans="1:56" x14ac:dyDescent="0.2">
      <c r="A1071" s="27">
        <f t="shared" si="949"/>
        <v>1067</v>
      </c>
      <c r="B1071" s="28">
        <f t="shared" si="896"/>
        <v>1067</v>
      </c>
      <c r="C1071" s="27">
        <f t="shared" si="897"/>
        <v>88</v>
      </c>
      <c r="D1071" s="28">
        <f t="shared" si="898"/>
        <v>108</v>
      </c>
      <c r="E1071" s="29">
        <f t="shared" si="899"/>
        <v>0</v>
      </c>
      <c r="F1071" s="30">
        <f t="shared" si="900"/>
        <v>0.54751435155729511</v>
      </c>
      <c r="G1071" s="31">
        <f t="shared" si="901"/>
        <v>6.3947083494511836E-2</v>
      </c>
      <c r="H1071" s="32">
        <f t="shared" si="902"/>
        <v>0.02</v>
      </c>
      <c r="I1071" s="32">
        <f t="shared" si="903"/>
        <v>0</v>
      </c>
      <c r="J1071" s="33">
        <f t="shared" si="950"/>
        <v>0</v>
      </c>
      <c r="K1071" s="30">
        <f t="shared" si="904"/>
        <v>0</v>
      </c>
      <c r="L1071" s="33">
        <f t="shared" si="905"/>
        <v>0</v>
      </c>
      <c r="M1071" s="30">
        <f t="shared" si="906"/>
        <v>0</v>
      </c>
      <c r="N1071" s="33">
        <f t="shared" si="907"/>
        <v>0</v>
      </c>
      <c r="O1071" s="31">
        <f t="shared" si="908"/>
        <v>0</v>
      </c>
      <c r="P1071" s="33">
        <f t="shared" si="909"/>
        <v>0</v>
      </c>
      <c r="Q1071" s="34">
        <f t="shared" si="951"/>
        <v>1196149.4543114761</v>
      </c>
      <c r="R1071" s="29">
        <f t="shared" si="910"/>
        <v>0</v>
      </c>
      <c r="S1071" s="34">
        <f t="shared" si="911"/>
        <v>1196149.4543114761</v>
      </c>
      <c r="T1071" s="29">
        <f t="shared" si="912"/>
        <v>996.79121192623018</v>
      </c>
      <c r="U1071" s="29">
        <f t="shared" si="913"/>
        <v>0</v>
      </c>
      <c r="V1071" s="35">
        <f t="shared" si="914"/>
        <v>7.0341791843963025E-2</v>
      </c>
      <c r="W1071" s="34">
        <f t="shared" si="915"/>
        <v>0</v>
      </c>
      <c r="X1071" s="34">
        <f t="shared" si="916"/>
        <v>1195152.6630995499</v>
      </c>
      <c r="Y1071" s="36">
        <f t="shared" si="917"/>
        <v>3.5005682127693394E-3</v>
      </c>
      <c r="Z1071" s="34">
        <f t="shared" si="918"/>
        <v>4183.7134218529081</v>
      </c>
      <c r="AA1071" s="34">
        <f t="shared" si="919"/>
        <v>1197244.5198104763</v>
      </c>
      <c r="AB1071" s="34">
        <f t="shared" si="920"/>
        <v>0</v>
      </c>
      <c r="AC1071" s="34">
        <f t="shared" si="921"/>
        <v>0</v>
      </c>
      <c r="AD1071" s="34">
        <f t="shared" si="922"/>
        <v>0</v>
      </c>
      <c r="AE1071" s="34">
        <f t="shared" si="923"/>
        <v>0</v>
      </c>
      <c r="AF1071" s="34">
        <f t="shared" si="924"/>
        <v>0</v>
      </c>
      <c r="AG1071" s="29">
        <f t="shared" si="925"/>
        <v>1197244.5198104763</v>
      </c>
      <c r="AH1071" s="34">
        <f t="shared" si="926"/>
        <v>0</v>
      </c>
      <c r="AI1071" s="34">
        <f t="shared" si="927"/>
        <v>0</v>
      </c>
      <c r="AJ1071" s="34">
        <f t="shared" si="928"/>
        <v>0</v>
      </c>
      <c r="AK1071" s="34">
        <f t="shared" si="929"/>
        <v>0</v>
      </c>
      <c r="AL1071" s="34">
        <f t="shared" si="930"/>
        <v>0</v>
      </c>
      <c r="AM1071" s="34">
        <f t="shared" si="931"/>
        <v>0</v>
      </c>
      <c r="AN1071" s="34">
        <f t="shared" si="932"/>
        <v>0</v>
      </c>
      <c r="AO1071" s="34">
        <f t="shared" si="933"/>
        <v>0</v>
      </c>
      <c r="AP1071" s="34">
        <f t="shared" si="934"/>
        <v>0</v>
      </c>
      <c r="AQ1071" s="34">
        <f t="shared" si="935"/>
        <v>0</v>
      </c>
      <c r="AR1071" s="34">
        <f t="shared" si="936"/>
        <v>0</v>
      </c>
      <c r="AS1071" s="30">
        <f t="shared" si="937"/>
        <v>2.4223793307983734</v>
      </c>
      <c r="AT1071" s="29">
        <f t="shared" si="938"/>
        <v>0</v>
      </c>
      <c r="AU1071" s="29">
        <f t="shared" si="939"/>
        <v>0</v>
      </c>
      <c r="AV1071" s="34">
        <f t="shared" si="940"/>
        <v>0</v>
      </c>
      <c r="AW1071" s="34">
        <f t="shared" si="941"/>
        <v>0</v>
      </c>
      <c r="AX1071" s="29">
        <f t="shared" si="942"/>
        <v>0</v>
      </c>
      <c r="AY1071" s="34">
        <f t="shared" si="943"/>
        <v>0</v>
      </c>
      <c r="AZ1071" s="37">
        <f t="shared" si="944"/>
        <v>0</v>
      </c>
      <c r="BA1071" s="37">
        <f t="shared" si="945"/>
        <v>0</v>
      </c>
      <c r="BB1071" s="35">
        <f t="shared" si="946"/>
        <v>1.8632858154532528E-3</v>
      </c>
      <c r="BC1071" s="31">
        <f t="shared" si="947"/>
        <v>0.13720542286209925</v>
      </c>
      <c r="BD1071" s="34">
        <f t="shared" si="948"/>
        <v>0</v>
      </c>
    </row>
    <row r="1072" spans="1:56" x14ac:dyDescent="0.2">
      <c r="A1072" s="27">
        <f t="shared" si="949"/>
        <v>1068</v>
      </c>
      <c r="B1072" s="28">
        <f t="shared" si="896"/>
        <v>1068</v>
      </c>
      <c r="C1072" s="27">
        <f t="shared" si="897"/>
        <v>89</v>
      </c>
      <c r="D1072" s="28">
        <f t="shared" si="898"/>
        <v>109</v>
      </c>
      <c r="E1072" s="29">
        <f t="shared" si="899"/>
        <v>0</v>
      </c>
      <c r="F1072" s="30">
        <f t="shared" si="900"/>
        <v>0.63762568066322445</v>
      </c>
      <c r="G1072" s="31">
        <f t="shared" si="901"/>
        <v>8.1110862281633223E-2</v>
      </c>
      <c r="H1072" s="32">
        <f t="shared" si="902"/>
        <v>0.02</v>
      </c>
      <c r="I1072" s="32">
        <f t="shared" si="903"/>
        <v>0</v>
      </c>
      <c r="J1072" s="33">
        <f t="shared" si="950"/>
        <v>0</v>
      </c>
      <c r="K1072" s="30">
        <f t="shared" si="904"/>
        <v>0</v>
      </c>
      <c r="L1072" s="33">
        <f t="shared" si="905"/>
        <v>0</v>
      </c>
      <c r="M1072" s="30">
        <f t="shared" si="906"/>
        <v>0</v>
      </c>
      <c r="N1072" s="33">
        <f t="shared" si="907"/>
        <v>0</v>
      </c>
      <c r="O1072" s="31">
        <f t="shared" si="908"/>
        <v>0</v>
      </c>
      <c r="P1072" s="33">
        <f t="shared" si="909"/>
        <v>0</v>
      </c>
      <c r="Q1072" s="34">
        <f t="shared" si="951"/>
        <v>1199336.3765214027</v>
      </c>
      <c r="R1072" s="29">
        <f t="shared" si="910"/>
        <v>0</v>
      </c>
      <c r="S1072" s="34">
        <f t="shared" si="911"/>
        <v>1199336.3765214027</v>
      </c>
      <c r="T1072" s="29">
        <f t="shared" si="912"/>
        <v>999.44698043450239</v>
      </c>
      <c r="U1072" s="29">
        <f t="shared" si="913"/>
        <v>0</v>
      </c>
      <c r="V1072" s="35">
        <f t="shared" si="914"/>
        <v>8.9221948509796548E-2</v>
      </c>
      <c r="W1072" s="34">
        <f t="shared" si="915"/>
        <v>0</v>
      </c>
      <c r="X1072" s="34">
        <f t="shared" si="916"/>
        <v>1198336.9295409683</v>
      </c>
      <c r="Y1072" s="36">
        <f t="shared" si="917"/>
        <v>-5.3701533796448597E-3</v>
      </c>
      <c r="Z1072" s="34">
        <f t="shared" si="918"/>
        <v>-6435.2531121276752</v>
      </c>
      <c r="AA1072" s="34">
        <f t="shared" si="919"/>
        <v>1195119.3029849045</v>
      </c>
      <c r="AB1072" s="34">
        <f t="shared" si="920"/>
        <v>0</v>
      </c>
      <c r="AC1072" s="34">
        <f t="shared" si="921"/>
        <v>0</v>
      </c>
      <c r="AD1072" s="34">
        <f t="shared" si="922"/>
        <v>0</v>
      </c>
      <c r="AE1072" s="34">
        <f t="shared" si="923"/>
        <v>0</v>
      </c>
      <c r="AF1072" s="34">
        <f t="shared" si="924"/>
        <v>0</v>
      </c>
      <c r="AG1072" s="29">
        <f t="shared" si="925"/>
        <v>1195119.3029849045</v>
      </c>
      <c r="AH1072" s="34">
        <f t="shared" si="926"/>
        <v>0</v>
      </c>
      <c r="AI1072" s="34">
        <f t="shared" si="927"/>
        <v>0</v>
      </c>
      <c r="AJ1072" s="34">
        <f t="shared" si="928"/>
        <v>0</v>
      </c>
      <c r="AK1072" s="34">
        <f t="shared" si="929"/>
        <v>0</v>
      </c>
      <c r="AL1072" s="34">
        <f t="shared" si="930"/>
        <v>0</v>
      </c>
      <c r="AM1072" s="34">
        <f t="shared" si="931"/>
        <v>0</v>
      </c>
      <c r="AN1072" s="34">
        <f t="shared" si="932"/>
        <v>0</v>
      </c>
      <c r="AO1072" s="34">
        <f t="shared" si="933"/>
        <v>0</v>
      </c>
      <c r="AP1072" s="34">
        <f t="shared" si="934"/>
        <v>0</v>
      </c>
      <c r="AQ1072" s="34">
        <f t="shared" si="935"/>
        <v>0</v>
      </c>
      <c r="AR1072" s="34">
        <f t="shared" si="936"/>
        <v>0</v>
      </c>
      <c r="AS1072" s="30">
        <f t="shared" si="937"/>
        <v>2.4243887867806762</v>
      </c>
      <c r="AT1072" s="29">
        <f t="shared" si="938"/>
        <v>0</v>
      </c>
      <c r="AU1072" s="29">
        <f t="shared" si="939"/>
        <v>0</v>
      </c>
      <c r="AV1072" s="34">
        <f t="shared" si="940"/>
        <v>0</v>
      </c>
      <c r="AW1072" s="34">
        <f t="shared" si="941"/>
        <v>0</v>
      </c>
      <c r="AX1072" s="29">
        <f t="shared" si="942"/>
        <v>0</v>
      </c>
      <c r="AY1072" s="34">
        <f t="shared" si="943"/>
        <v>0</v>
      </c>
      <c r="AZ1072" s="37">
        <f t="shared" si="944"/>
        <v>0</v>
      </c>
      <c r="BA1072" s="37">
        <f t="shared" si="945"/>
        <v>0</v>
      </c>
      <c r="BB1072" s="35">
        <f t="shared" si="946"/>
        <v>1.8804294971668245E-3</v>
      </c>
      <c r="BC1072" s="31">
        <f t="shared" si="947"/>
        <v>0.13447017729085686</v>
      </c>
      <c r="BD1072" s="34">
        <f t="shared" si="948"/>
        <v>0</v>
      </c>
    </row>
    <row r="1073" spans="1:56" x14ac:dyDescent="0.2">
      <c r="A1073" s="27">
        <f t="shared" si="949"/>
        <v>1069</v>
      </c>
      <c r="B1073" s="28">
        <f t="shared" si="896"/>
        <v>1069</v>
      </c>
      <c r="C1073" s="27">
        <f t="shared" si="897"/>
        <v>89</v>
      </c>
      <c r="D1073" s="28">
        <f t="shared" si="898"/>
        <v>109</v>
      </c>
      <c r="E1073" s="29">
        <f t="shared" si="899"/>
        <v>0</v>
      </c>
      <c r="F1073" s="30">
        <f t="shared" si="900"/>
        <v>0.63762568066322445</v>
      </c>
      <c r="G1073" s="31">
        <f t="shared" si="901"/>
        <v>8.1110862281633223E-2</v>
      </c>
      <c r="H1073" s="32">
        <f t="shared" si="902"/>
        <v>0.02</v>
      </c>
      <c r="I1073" s="32">
        <f t="shared" si="903"/>
        <v>0</v>
      </c>
      <c r="J1073" s="33">
        <f t="shared" si="950"/>
        <v>0</v>
      </c>
      <c r="K1073" s="30">
        <f t="shared" si="904"/>
        <v>0</v>
      </c>
      <c r="L1073" s="33">
        <f t="shared" si="905"/>
        <v>0</v>
      </c>
      <c r="M1073" s="30">
        <f t="shared" si="906"/>
        <v>0</v>
      </c>
      <c r="N1073" s="33">
        <f t="shared" si="907"/>
        <v>0</v>
      </c>
      <c r="O1073" s="31">
        <f t="shared" si="908"/>
        <v>0</v>
      </c>
      <c r="P1073" s="33">
        <f t="shared" si="909"/>
        <v>0</v>
      </c>
      <c r="Q1073" s="34">
        <f t="shared" si="951"/>
        <v>1191901.6764288405</v>
      </c>
      <c r="R1073" s="29">
        <f t="shared" si="910"/>
        <v>0</v>
      </c>
      <c r="S1073" s="34">
        <f t="shared" si="911"/>
        <v>1191901.6764288405</v>
      </c>
      <c r="T1073" s="29">
        <f t="shared" si="912"/>
        <v>993.25139702403385</v>
      </c>
      <c r="U1073" s="29">
        <f t="shared" si="913"/>
        <v>0</v>
      </c>
      <c r="V1073" s="35">
        <f t="shared" si="914"/>
        <v>8.9221948509796548E-2</v>
      </c>
      <c r="W1073" s="34">
        <f t="shared" si="915"/>
        <v>0</v>
      </c>
      <c r="X1073" s="34">
        <f t="shared" si="916"/>
        <v>1190908.4250318164</v>
      </c>
      <c r="Y1073" s="36">
        <f t="shared" si="917"/>
        <v>1.0128576266916767E-3</v>
      </c>
      <c r="Z1073" s="34">
        <f t="shared" si="918"/>
        <v>1206.2206809848481</v>
      </c>
      <c r="AA1073" s="34">
        <f t="shared" si="919"/>
        <v>1191511.5353723087</v>
      </c>
      <c r="AB1073" s="34">
        <f t="shared" si="920"/>
        <v>0</v>
      </c>
      <c r="AC1073" s="34">
        <f t="shared" si="921"/>
        <v>0</v>
      </c>
      <c r="AD1073" s="34">
        <f t="shared" si="922"/>
        <v>0</v>
      </c>
      <c r="AE1073" s="34">
        <f t="shared" si="923"/>
        <v>0</v>
      </c>
      <c r="AF1073" s="34">
        <f t="shared" si="924"/>
        <v>0</v>
      </c>
      <c r="AG1073" s="29">
        <f t="shared" si="925"/>
        <v>1191511.5353723087</v>
      </c>
      <c r="AH1073" s="34">
        <f t="shared" si="926"/>
        <v>0</v>
      </c>
      <c r="AI1073" s="34">
        <f t="shared" si="927"/>
        <v>0</v>
      </c>
      <c r="AJ1073" s="34">
        <f t="shared" si="928"/>
        <v>0</v>
      </c>
      <c r="AK1073" s="34">
        <f t="shared" si="929"/>
        <v>0</v>
      </c>
      <c r="AL1073" s="34">
        <f t="shared" si="930"/>
        <v>0</v>
      </c>
      <c r="AM1073" s="34">
        <f t="shared" si="931"/>
        <v>0</v>
      </c>
      <c r="AN1073" s="34">
        <f t="shared" si="932"/>
        <v>0</v>
      </c>
      <c r="AO1073" s="34">
        <f t="shared" si="933"/>
        <v>0</v>
      </c>
      <c r="AP1073" s="34">
        <f t="shared" si="934"/>
        <v>0</v>
      </c>
      <c r="AQ1073" s="34">
        <f t="shared" si="935"/>
        <v>0</v>
      </c>
      <c r="AR1073" s="34">
        <f t="shared" si="936"/>
        <v>0</v>
      </c>
      <c r="AS1073" s="30">
        <f t="shared" si="937"/>
        <v>2.4263999096833033</v>
      </c>
      <c r="AT1073" s="29">
        <f t="shared" si="938"/>
        <v>0</v>
      </c>
      <c r="AU1073" s="29">
        <f t="shared" si="939"/>
        <v>0</v>
      </c>
      <c r="AV1073" s="34">
        <f t="shared" si="940"/>
        <v>0</v>
      </c>
      <c r="AW1073" s="34">
        <f t="shared" si="941"/>
        <v>0</v>
      </c>
      <c r="AX1073" s="29">
        <f t="shared" si="942"/>
        <v>0</v>
      </c>
      <c r="AY1073" s="34">
        <f t="shared" si="943"/>
        <v>0</v>
      </c>
      <c r="AZ1073" s="37">
        <f t="shared" si="944"/>
        <v>0</v>
      </c>
      <c r="BA1073" s="37">
        <f t="shared" si="945"/>
        <v>0</v>
      </c>
      <c r="BB1073" s="35">
        <f t="shared" si="946"/>
        <v>1.8804294971668245E-3</v>
      </c>
      <c r="BC1073" s="31">
        <f t="shared" si="947"/>
        <v>0.13421779019912189</v>
      </c>
      <c r="BD1073" s="34">
        <f t="shared" si="948"/>
        <v>0</v>
      </c>
    </row>
    <row r="1074" spans="1:56" x14ac:dyDescent="0.2">
      <c r="A1074" s="27">
        <f t="shared" si="949"/>
        <v>1070</v>
      </c>
      <c r="B1074" s="28">
        <f t="shared" si="896"/>
        <v>1070</v>
      </c>
      <c r="C1074" s="27">
        <f t="shared" si="897"/>
        <v>89</v>
      </c>
      <c r="D1074" s="28">
        <f t="shared" si="898"/>
        <v>109</v>
      </c>
      <c r="E1074" s="29">
        <f t="shared" si="899"/>
        <v>0</v>
      </c>
      <c r="F1074" s="30">
        <f t="shared" si="900"/>
        <v>0.63762568066322445</v>
      </c>
      <c r="G1074" s="31">
        <f t="shared" si="901"/>
        <v>8.1110862281633223E-2</v>
      </c>
      <c r="H1074" s="32">
        <f t="shared" si="902"/>
        <v>0.02</v>
      </c>
      <c r="I1074" s="32">
        <f t="shared" si="903"/>
        <v>0</v>
      </c>
      <c r="J1074" s="33">
        <f t="shared" si="950"/>
        <v>0</v>
      </c>
      <c r="K1074" s="30">
        <f t="shared" si="904"/>
        <v>0</v>
      </c>
      <c r="L1074" s="33">
        <f t="shared" si="905"/>
        <v>0</v>
      </c>
      <c r="M1074" s="30">
        <f t="shared" si="906"/>
        <v>0</v>
      </c>
      <c r="N1074" s="33">
        <f t="shared" si="907"/>
        <v>0</v>
      </c>
      <c r="O1074" s="31">
        <f t="shared" si="908"/>
        <v>0</v>
      </c>
      <c r="P1074" s="33">
        <f t="shared" si="909"/>
        <v>0</v>
      </c>
      <c r="Q1074" s="34">
        <f t="shared" si="951"/>
        <v>1192114.6457128013</v>
      </c>
      <c r="R1074" s="29">
        <f t="shared" si="910"/>
        <v>0</v>
      </c>
      <c r="S1074" s="34">
        <f t="shared" si="911"/>
        <v>1192114.6457128013</v>
      </c>
      <c r="T1074" s="29">
        <f t="shared" si="912"/>
        <v>993.42887142733446</v>
      </c>
      <c r="U1074" s="29">
        <f t="shared" si="913"/>
        <v>0</v>
      </c>
      <c r="V1074" s="35">
        <f t="shared" si="914"/>
        <v>8.9221948509796548E-2</v>
      </c>
      <c r="W1074" s="34">
        <f t="shared" si="915"/>
        <v>0</v>
      </c>
      <c r="X1074" s="34">
        <f t="shared" si="916"/>
        <v>1191121.2168413738</v>
      </c>
      <c r="Y1074" s="36">
        <f t="shared" si="917"/>
        <v>1.278359958005737E-4</v>
      </c>
      <c r="Z1074" s="34">
        <f t="shared" si="918"/>
        <v>152.26816687410809</v>
      </c>
      <c r="AA1074" s="34">
        <f t="shared" si="919"/>
        <v>1191197.3509248109</v>
      </c>
      <c r="AB1074" s="34">
        <f t="shared" si="920"/>
        <v>0</v>
      </c>
      <c r="AC1074" s="34">
        <f t="shared" si="921"/>
        <v>0</v>
      </c>
      <c r="AD1074" s="34">
        <f t="shared" si="922"/>
        <v>0</v>
      </c>
      <c r="AE1074" s="34">
        <f t="shared" si="923"/>
        <v>0</v>
      </c>
      <c r="AF1074" s="34">
        <f t="shared" si="924"/>
        <v>0</v>
      </c>
      <c r="AG1074" s="29">
        <f t="shared" si="925"/>
        <v>1191197.3509248109</v>
      </c>
      <c r="AH1074" s="34">
        <f t="shared" si="926"/>
        <v>0</v>
      </c>
      <c r="AI1074" s="34">
        <f t="shared" si="927"/>
        <v>0</v>
      </c>
      <c r="AJ1074" s="34">
        <f t="shared" si="928"/>
        <v>0</v>
      </c>
      <c r="AK1074" s="34">
        <f t="shared" si="929"/>
        <v>0</v>
      </c>
      <c r="AL1074" s="34">
        <f t="shared" si="930"/>
        <v>0</v>
      </c>
      <c r="AM1074" s="34">
        <f t="shared" si="931"/>
        <v>0</v>
      </c>
      <c r="AN1074" s="34">
        <f t="shared" si="932"/>
        <v>0</v>
      </c>
      <c r="AO1074" s="34">
        <f t="shared" si="933"/>
        <v>0</v>
      </c>
      <c r="AP1074" s="34">
        <f t="shared" si="934"/>
        <v>0</v>
      </c>
      <c r="AQ1074" s="34">
        <f t="shared" si="935"/>
        <v>0</v>
      </c>
      <c r="AR1074" s="34">
        <f t="shared" si="936"/>
        <v>0</v>
      </c>
      <c r="AS1074" s="30">
        <f t="shared" si="937"/>
        <v>2.4284127008890319</v>
      </c>
      <c r="AT1074" s="29">
        <f t="shared" si="938"/>
        <v>0</v>
      </c>
      <c r="AU1074" s="29">
        <f t="shared" si="939"/>
        <v>0</v>
      </c>
      <c r="AV1074" s="34">
        <f t="shared" si="940"/>
        <v>0</v>
      </c>
      <c r="AW1074" s="34">
        <f t="shared" si="941"/>
        <v>0</v>
      </c>
      <c r="AX1074" s="29">
        <f t="shared" si="942"/>
        <v>0</v>
      </c>
      <c r="AY1074" s="34">
        <f t="shared" si="943"/>
        <v>0</v>
      </c>
      <c r="AZ1074" s="37">
        <f t="shared" si="944"/>
        <v>0</v>
      </c>
      <c r="BA1074" s="37">
        <f t="shared" si="945"/>
        <v>0</v>
      </c>
      <c r="BB1074" s="35">
        <f t="shared" si="946"/>
        <v>1.8804294971668245E-3</v>
      </c>
      <c r="BC1074" s="31">
        <f t="shared" si="947"/>
        <v>0.13396587681274932</v>
      </c>
      <c r="BD1074" s="34">
        <f t="shared" si="948"/>
        <v>0</v>
      </c>
    </row>
    <row r="1075" spans="1:56" x14ac:dyDescent="0.2">
      <c r="A1075" s="27">
        <f t="shared" si="949"/>
        <v>1071</v>
      </c>
      <c r="B1075" s="28">
        <f t="shared" si="896"/>
        <v>1071</v>
      </c>
      <c r="C1075" s="27">
        <f t="shared" si="897"/>
        <v>89</v>
      </c>
      <c r="D1075" s="28">
        <f t="shared" si="898"/>
        <v>109</v>
      </c>
      <c r="E1075" s="29">
        <f t="shared" si="899"/>
        <v>0</v>
      </c>
      <c r="F1075" s="30">
        <f t="shared" si="900"/>
        <v>0.63762568066322445</v>
      </c>
      <c r="G1075" s="31">
        <f t="shared" si="901"/>
        <v>8.1110862281633223E-2</v>
      </c>
      <c r="H1075" s="32">
        <f t="shared" si="902"/>
        <v>0.02</v>
      </c>
      <c r="I1075" s="32">
        <f t="shared" si="903"/>
        <v>0</v>
      </c>
      <c r="J1075" s="33">
        <f t="shared" si="950"/>
        <v>0</v>
      </c>
      <c r="K1075" s="30">
        <f t="shared" si="904"/>
        <v>0</v>
      </c>
      <c r="L1075" s="33">
        <f t="shared" si="905"/>
        <v>0</v>
      </c>
      <c r="M1075" s="30">
        <f t="shared" si="906"/>
        <v>0</v>
      </c>
      <c r="N1075" s="33">
        <f t="shared" si="907"/>
        <v>0</v>
      </c>
      <c r="O1075" s="31">
        <f t="shared" si="908"/>
        <v>0</v>
      </c>
      <c r="P1075" s="33">
        <f t="shared" si="909"/>
        <v>0</v>
      </c>
      <c r="Q1075" s="34">
        <f t="shared" si="951"/>
        <v>1191273.4850082479</v>
      </c>
      <c r="R1075" s="29">
        <f t="shared" si="910"/>
        <v>0</v>
      </c>
      <c r="S1075" s="34">
        <f t="shared" si="911"/>
        <v>1191273.4850082479</v>
      </c>
      <c r="T1075" s="29">
        <f t="shared" si="912"/>
        <v>992.72790417353997</v>
      </c>
      <c r="U1075" s="29">
        <f t="shared" si="913"/>
        <v>0</v>
      </c>
      <c r="V1075" s="35">
        <f t="shared" si="914"/>
        <v>8.9221948509796548E-2</v>
      </c>
      <c r="W1075" s="34">
        <f t="shared" si="915"/>
        <v>0</v>
      </c>
      <c r="X1075" s="34">
        <f t="shared" si="916"/>
        <v>1190280.7571040743</v>
      </c>
      <c r="Y1075" s="36">
        <f t="shared" si="917"/>
        <v>6.2619339413867436E-3</v>
      </c>
      <c r="Z1075" s="34">
        <f t="shared" si="918"/>
        <v>7453.4594726895139</v>
      </c>
      <c r="AA1075" s="34">
        <f t="shared" si="919"/>
        <v>1194007.486840419</v>
      </c>
      <c r="AB1075" s="34">
        <f t="shared" si="920"/>
        <v>0</v>
      </c>
      <c r="AC1075" s="34">
        <f t="shared" si="921"/>
        <v>0</v>
      </c>
      <c r="AD1075" s="34">
        <f t="shared" si="922"/>
        <v>0</v>
      </c>
      <c r="AE1075" s="34">
        <f t="shared" si="923"/>
        <v>0</v>
      </c>
      <c r="AF1075" s="34">
        <f t="shared" si="924"/>
        <v>0</v>
      </c>
      <c r="AG1075" s="29">
        <f t="shared" si="925"/>
        <v>1194007.486840419</v>
      </c>
      <c r="AH1075" s="34">
        <f t="shared" si="926"/>
        <v>0</v>
      </c>
      <c r="AI1075" s="34">
        <f t="shared" si="927"/>
        <v>0</v>
      </c>
      <c r="AJ1075" s="34">
        <f t="shared" si="928"/>
        <v>0</v>
      </c>
      <c r="AK1075" s="34">
        <f t="shared" si="929"/>
        <v>0</v>
      </c>
      <c r="AL1075" s="34">
        <f t="shared" si="930"/>
        <v>0</v>
      </c>
      <c r="AM1075" s="34">
        <f t="shared" si="931"/>
        <v>0</v>
      </c>
      <c r="AN1075" s="34">
        <f t="shared" si="932"/>
        <v>0</v>
      </c>
      <c r="AO1075" s="34">
        <f t="shared" si="933"/>
        <v>0</v>
      </c>
      <c r="AP1075" s="34">
        <f t="shared" si="934"/>
        <v>0</v>
      </c>
      <c r="AQ1075" s="34">
        <f t="shared" si="935"/>
        <v>0</v>
      </c>
      <c r="AR1075" s="34">
        <f t="shared" si="936"/>
        <v>0</v>
      </c>
      <c r="AS1075" s="30">
        <f t="shared" si="937"/>
        <v>2.4304271617817816</v>
      </c>
      <c r="AT1075" s="29">
        <f t="shared" si="938"/>
        <v>0</v>
      </c>
      <c r="AU1075" s="29">
        <f t="shared" si="939"/>
        <v>0</v>
      </c>
      <c r="AV1075" s="34">
        <f t="shared" si="940"/>
        <v>0</v>
      </c>
      <c r="AW1075" s="34">
        <f t="shared" si="941"/>
        <v>0</v>
      </c>
      <c r="AX1075" s="29">
        <f t="shared" si="942"/>
        <v>0</v>
      </c>
      <c r="AY1075" s="34">
        <f t="shared" si="943"/>
        <v>0</v>
      </c>
      <c r="AZ1075" s="37">
        <f t="shared" si="944"/>
        <v>0</v>
      </c>
      <c r="BA1075" s="37">
        <f t="shared" si="945"/>
        <v>0</v>
      </c>
      <c r="BB1075" s="35">
        <f t="shared" si="946"/>
        <v>1.8804294971668245E-3</v>
      </c>
      <c r="BC1075" s="31">
        <f t="shared" si="947"/>
        <v>0.13371443624264168</v>
      </c>
      <c r="BD1075" s="34">
        <f t="shared" si="948"/>
        <v>0</v>
      </c>
    </row>
    <row r="1076" spans="1:56" x14ac:dyDescent="0.2">
      <c r="A1076" s="27">
        <f t="shared" si="949"/>
        <v>1072</v>
      </c>
      <c r="B1076" s="28">
        <f t="shared" si="896"/>
        <v>1072</v>
      </c>
      <c r="C1076" s="27">
        <f t="shared" si="897"/>
        <v>89</v>
      </c>
      <c r="D1076" s="28">
        <f t="shared" si="898"/>
        <v>109</v>
      </c>
      <c r="E1076" s="29">
        <f t="shared" si="899"/>
        <v>0</v>
      </c>
      <c r="F1076" s="30">
        <f t="shared" si="900"/>
        <v>0.63762568066322445</v>
      </c>
      <c r="G1076" s="31">
        <f t="shared" si="901"/>
        <v>8.1110862281633223E-2</v>
      </c>
      <c r="H1076" s="32">
        <f t="shared" si="902"/>
        <v>0.02</v>
      </c>
      <c r="I1076" s="32">
        <f t="shared" si="903"/>
        <v>0</v>
      </c>
      <c r="J1076" s="33">
        <f t="shared" si="950"/>
        <v>0</v>
      </c>
      <c r="K1076" s="30">
        <f t="shared" si="904"/>
        <v>0</v>
      </c>
      <c r="L1076" s="33">
        <f t="shared" si="905"/>
        <v>0</v>
      </c>
      <c r="M1076" s="30">
        <f t="shared" si="906"/>
        <v>0</v>
      </c>
      <c r="N1076" s="33">
        <f t="shared" si="907"/>
        <v>0</v>
      </c>
      <c r="O1076" s="31">
        <f t="shared" si="908"/>
        <v>0</v>
      </c>
      <c r="P1076" s="33">
        <f t="shared" si="909"/>
        <v>0</v>
      </c>
      <c r="Q1076" s="34">
        <f t="shared" si="951"/>
        <v>1197734.2165767639</v>
      </c>
      <c r="R1076" s="29">
        <f t="shared" si="910"/>
        <v>0</v>
      </c>
      <c r="S1076" s="34">
        <f t="shared" si="911"/>
        <v>1197734.2165767639</v>
      </c>
      <c r="T1076" s="29">
        <f t="shared" si="912"/>
        <v>998.11184714730337</v>
      </c>
      <c r="U1076" s="29">
        <f t="shared" si="913"/>
        <v>0</v>
      </c>
      <c r="V1076" s="35">
        <f t="shared" si="914"/>
        <v>8.9221948509796548E-2</v>
      </c>
      <c r="W1076" s="34">
        <f t="shared" si="915"/>
        <v>0</v>
      </c>
      <c r="X1076" s="34">
        <f t="shared" si="916"/>
        <v>1196736.1047296165</v>
      </c>
      <c r="Y1076" s="36">
        <f t="shared" si="917"/>
        <v>1.1997044344450591E-2</v>
      </c>
      <c r="Z1076" s="34">
        <f t="shared" si="918"/>
        <v>14357.296117046277</v>
      </c>
      <c r="AA1076" s="34">
        <f t="shared" si="919"/>
        <v>1203914.7527881397</v>
      </c>
      <c r="AB1076" s="34">
        <f t="shared" si="920"/>
        <v>0</v>
      </c>
      <c r="AC1076" s="34">
        <f t="shared" si="921"/>
        <v>0</v>
      </c>
      <c r="AD1076" s="34">
        <f t="shared" si="922"/>
        <v>0</v>
      </c>
      <c r="AE1076" s="34">
        <f t="shared" si="923"/>
        <v>0</v>
      </c>
      <c r="AF1076" s="34">
        <f t="shared" si="924"/>
        <v>0</v>
      </c>
      <c r="AG1076" s="29">
        <f t="shared" si="925"/>
        <v>1203914.7527881397</v>
      </c>
      <c r="AH1076" s="34">
        <f t="shared" si="926"/>
        <v>0</v>
      </c>
      <c r="AI1076" s="34">
        <f t="shared" si="927"/>
        <v>0</v>
      </c>
      <c r="AJ1076" s="34">
        <f t="shared" si="928"/>
        <v>0</v>
      </c>
      <c r="AK1076" s="34">
        <f t="shared" si="929"/>
        <v>0</v>
      </c>
      <c r="AL1076" s="34">
        <f t="shared" si="930"/>
        <v>0</v>
      </c>
      <c r="AM1076" s="34">
        <f t="shared" si="931"/>
        <v>0</v>
      </c>
      <c r="AN1076" s="34">
        <f t="shared" si="932"/>
        <v>0</v>
      </c>
      <c r="AO1076" s="34">
        <f t="shared" si="933"/>
        <v>0</v>
      </c>
      <c r="AP1076" s="34">
        <f t="shared" si="934"/>
        <v>0</v>
      </c>
      <c r="AQ1076" s="34">
        <f t="shared" si="935"/>
        <v>0</v>
      </c>
      <c r="AR1076" s="34">
        <f t="shared" si="936"/>
        <v>0</v>
      </c>
      <c r="AS1076" s="30">
        <f t="shared" si="937"/>
        <v>2.4324432937466218</v>
      </c>
      <c r="AT1076" s="29">
        <f t="shared" si="938"/>
        <v>0</v>
      </c>
      <c r="AU1076" s="29">
        <f t="shared" si="939"/>
        <v>0</v>
      </c>
      <c r="AV1076" s="34">
        <f t="shared" si="940"/>
        <v>0</v>
      </c>
      <c r="AW1076" s="34">
        <f t="shared" si="941"/>
        <v>0</v>
      </c>
      <c r="AX1076" s="29">
        <f t="shared" si="942"/>
        <v>0</v>
      </c>
      <c r="AY1076" s="34">
        <f t="shared" si="943"/>
        <v>0</v>
      </c>
      <c r="AZ1076" s="37">
        <f t="shared" si="944"/>
        <v>0</v>
      </c>
      <c r="BA1076" s="37">
        <f t="shared" si="945"/>
        <v>0</v>
      </c>
      <c r="BB1076" s="35">
        <f t="shared" si="946"/>
        <v>1.8804294971668245E-3</v>
      </c>
      <c r="BC1076" s="31">
        <f t="shared" si="947"/>
        <v>0.13346346760136987</v>
      </c>
      <c r="BD1076" s="34">
        <f t="shared" si="948"/>
        <v>0</v>
      </c>
    </row>
    <row r="1077" spans="1:56" x14ac:dyDescent="0.2">
      <c r="A1077" s="27">
        <f t="shared" si="949"/>
        <v>1073</v>
      </c>
      <c r="B1077" s="28">
        <f t="shared" si="896"/>
        <v>1073</v>
      </c>
      <c r="C1077" s="27">
        <f t="shared" si="897"/>
        <v>89</v>
      </c>
      <c r="D1077" s="28">
        <f t="shared" si="898"/>
        <v>109</v>
      </c>
      <c r="E1077" s="29">
        <f t="shared" si="899"/>
        <v>0</v>
      </c>
      <c r="F1077" s="30">
        <f t="shared" si="900"/>
        <v>0.63762568066322445</v>
      </c>
      <c r="G1077" s="31">
        <f t="shared" si="901"/>
        <v>8.1110862281633223E-2</v>
      </c>
      <c r="H1077" s="32">
        <f t="shared" si="902"/>
        <v>0.02</v>
      </c>
      <c r="I1077" s="32">
        <f t="shared" si="903"/>
        <v>0</v>
      </c>
      <c r="J1077" s="33">
        <f t="shared" si="950"/>
        <v>0</v>
      </c>
      <c r="K1077" s="30">
        <f t="shared" si="904"/>
        <v>0</v>
      </c>
      <c r="L1077" s="33">
        <f t="shared" si="905"/>
        <v>0</v>
      </c>
      <c r="M1077" s="30">
        <f t="shared" si="906"/>
        <v>0</v>
      </c>
      <c r="N1077" s="33">
        <f t="shared" si="907"/>
        <v>0</v>
      </c>
      <c r="O1077" s="31">
        <f t="shared" si="908"/>
        <v>0</v>
      </c>
      <c r="P1077" s="33">
        <f t="shared" si="909"/>
        <v>0</v>
      </c>
      <c r="Q1077" s="34">
        <f t="shared" si="951"/>
        <v>1211093.4008466629</v>
      </c>
      <c r="R1077" s="29">
        <f t="shared" si="910"/>
        <v>0</v>
      </c>
      <c r="S1077" s="34">
        <f t="shared" si="911"/>
        <v>1211093.4008466629</v>
      </c>
      <c r="T1077" s="29">
        <f t="shared" si="912"/>
        <v>1009.2445007055525</v>
      </c>
      <c r="U1077" s="29">
        <f t="shared" si="913"/>
        <v>0</v>
      </c>
      <c r="V1077" s="35">
        <f t="shared" si="914"/>
        <v>8.9221948509796548E-2</v>
      </c>
      <c r="W1077" s="34">
        <f t="shared" si="915"/>
        <v>0</v>
      </c>
      <c r="X1077" s="34">
        <f t="shared" si="916"/>
        <v>1210084.1563459574</v>
      </c>
      <c r="Y1077" s="36">
        <f t="shared" si="917"/>
        <v>-3.4357335105633657E-3</v>
      </c>
      <c r="Z1077" s="34">
        <f t="shared" si="918"/>
        <v>-4157.526686559605</v>
      </c>
      <c r="AA1077" s="34">
        <f t="shared" si="919"/>
        <v>1208005.3930026777</v>
      </c>
      <c r="AB1077" s="34">
        <f t="shared" si="920"/>
        <v>0</v>
      </c>
      <c r="AC1077" s="34">
        <f t="shared" si="921"/>
        <v>0</v>
      </c>
      <c r="AD1077" s="34">
        <f t="shared" si="922"/>
        <v>0</v>
      </c>
      <c r="AE1077" s="34">
        <f t="shared" si="923"/>
        <v>0</v>
      </c>
      <c r="AF1077" s="34">
        <f t="shared" si="924"/>
        <v>0</v>
      </c>
      <c r="AG1077" s="29">
        <f t="shared" si="925"/>
        <v>1208005.3930026777</v>
      </c>
      <c r="AH1077" s="34">
        <f t="shared" si="926"/>
        <v>0</v>
      </c>
      <c r="AI1077" s="34">
        <f t="shared" si="927"/>
        <v>0</v>
      </c>
      <c r="AJ1077" s="34">
        <f t="shared" si="928"/>
        <v>0</v>
      </c>
      <c r="AK1077" s="34">
        <f t="shared" si="929"/>
        <v>0</v>
      </c>
      <c r="AL1077" s="34">
        <f t="shared" si="930"/>
        <v>0</v>
      </c>
      <c r="AM1077" s="34">
        <f t="shared" si="931"/>
        <v>0</v>
      </c>
      <c r="AN1077" s="34">
        <f t="shared" si="932"/>
        <v>0</v>
      </c>
      <c r="AO1077" s="34">
        <f t="shared" si="933"/>
        <v>0</v>
      </c>
      <c r="AP1077" s="34">
        <f t="shared" si="934"/>
        <v>0</v>
      </c>
      <c r="AQ1077" s="34">
        <f t="shared" si="935"/>
        <v>0</v>
      </c>
      <c r="AR1077" s="34">
        <f t="shared" si="936"/>
        <v>0</v>
      </c>
      <c r="AS1077" s="30">
        <f t="shared" si="937"/>
        <v>2.4344610981697707</v>
      </c>
      <c r="AT1077" s="29">
        <f t="shared" si="938"/>
        <v>0</v>
      </c>
      <c r="AU1077" s="29">
        <f t="shared" si="939"/>
        <v>0</v>
      </c>
      <c r="AV1077" s="34">
        <f t="shared" si="940"/>
        <v>0</v>
      </c>
      <c r="AW1077" s="34">
        <f t="shared" si="941"/>
        <v>0</v>
      </c>
      <c r="AX1077" s="29">
        <f t="shared" si="942"/>
        <v>0</v>
      </c>
      <c r="AY1077" s="34">
        <f t="shared" si="943"/>
        <v>0</v>
      </c>
      <c r="AZ1077" s="37">
        <f t="shared" si="944"/>
        <v>0</v>
      </c>
      <c r="BA1077" s="37">
        <f t="shared" si="945"/>
        <v>0</v>
      </c>
      <c r="BB1077" s="35">
        <f t="shared" si="946"/>
        <v>1.8804294971668245E-3</v>
      </c>
      <c r="BC1077" s="31">
        <f t="shared" si="947"/>
        <v>0.1332129700031707</v>
      </c>
      <c r="BD1077" s="34">
        <f t="shared" si="948"/>
        <v>0</v>
      </c>
    </row>
    <row r="1078" spans="1:56" x14ac:dyDescent="0.2">
      <c r="A1078" s="27">
        <f t="shared" si="949"/>
        <v>1074</v>
      </c>
      <c r="B1078" s="28">
        <f t="shared" si="896"/>
        <v>1074</v>
      </c>
      <c r="C1078" s="27">
        <f t="shared" si="897"/>
        <v>89</v>
      </c>
      <c r="D1078" s="28">
        <f t="shared" si="898"/>
        <v>109</v>
      </c>
      <c r="E1078" s="29">
        <f t="shared" si="899"/>
        <v>0</v>
      </c>
      <c r="F1078" s="30">
        <f t="shared" si="900"/>
        <v>0.63762568066322445</v>
      </c>
      <c r="G1078" s="31">
        <f t="shared" si="901"/>
        <v>8.1110862281633223E-2</v>
      </c>
      <c r="H1078" s="32">
        <f t="shared" si="902"/>
        <v>0.02</v>
      </c>
      <c r="I1078" s="32">
        <f t="shared" si="903"/>
        <v>0</v>
      </c>
      <c r="J1078" s="33">
        <f t="shared" si="950"/>
        <v>0</v>
      </c>
      <c r="K1078" s="30">
        <f t="shared" si="904"/>
        <v>0</v>
      </c>
      <c r="L1078" s="33">
        <f t="shared" si="905"/>
        <v>0</v>
      </c>
      <c r="M1078" s="30">
        <f t="shared" si="906"/>
        <v>0</v>
      </c>
      <c r="N1078" s="33">
        <f t="shared" si="907"/>
        <v>0</v>
      </c>
      <c r="O1078" s="31">
        <f t="shared" si="908"/>
        <v>0</v>
      </c>
      <c r="P1078" s="33">
        <f t="shared" si="909"/>
        <v>0</v>
      </c>
      <c r="Q1078" s="34">
        <f t="shared" si="951"/>
        <v>1205926.6296593978</v>
      </c>
      <c r="R1078" s="29">
        <f t="shared" si="910"/>
        <v>0</v>
      </c>
      <c r="S1078" s="34">
        <f t="shared" si="911"/>
        <v>1205926.6296593978</v>
      </c>
      <c r="T1078" s="29">
        <f t="shared" si="912"/>
        <v>1004.9388580494982</v>
      </c>
      <c r="U1078" s="29">
        <f t="shared" si="913"/>
        <v>0</v>
      </c>
      <c r="V1078" s="35">
        <f t="shared" si="914"/>
        <v>8.9221948509796548E-2</v>
      </c>
      <c r="W1078" s="34">
        <f t="shared" si="915"/>
        <v>0</v>
      </c>
      <c r="X1078" s="34">
        <f t="shared" si="916"/>
        <v>1204921.6908013483</v>
      </c>
      <c r="Y1078" s="36">
        <f t="shared" si="917"/>
        <v>-3.3246972603681035E-3</v>
      </c>
      <c r="Z1078" s="34">
        <f t="shared" si="918"/>
        <v>-4005.9998443653458</v>
      </c>
      <c r="AA1078" s="34">
        <f t="shared" si="919"/>
        <v>1202918.6908791657</v>
      </c>
      <c r="AB1078" s="34">
        <f t="shared" si="920"/>
        <v>0</v>
      </c>
      <c r="AC1078" s="34">
        <f t="shared" si="921"/>
        <v>0</v>
      </c>
      <c r="AD1078" s="34">
        <f t="shared" si="922"/>
        <v>0</v>
      </c>
      <c r="AE1078" s="34">
        <f t="shared" si="923"/>
        <v>0</v>
      </c>
      <c r="AF1078" s="34">
        <f t="shared" si="924"/>
        <v>0</v>
      </c>
      <c r="AG1078" s="29">
        <f t="shared" si="925"/>
        <v>1202918.6908791657</v>
      </c>
      <c r="AH1078" s="34">
        <f t="shared" si="926"/>
        <v>0</v>
      </c>
      <c r="AI1078" s="34">
        <f t="shared" si="927"/>
        <v>0</v>
      </c>
      <c r="AJ1078" s="34">
        <f t="shared" si="928"/>
        <v>0</v>
      </c>
      <c r="AK1078" s="34">
        <f t="shared" si="929"/>
        <v>0</v>
      </c>
      <c r="AL1078" s="34">
        <f t="shared" si="930"/>
        <v>0</v>
      </c>
      <c r="AM1078" s="34">
        <f t="shared" si="931"/>
        <v>0</v>
      </c>
      <c r="AN1078" s="34">
        <f t="shared" si="932"/>
        <v>0</v>
      </c>
      <c r="AO1078" s="34">
        <f t="shared" si="933"/>
        <v>0</v>
      </c>
      <c r="AP1078" s="34">
        <f t="shared" si="934"/>
        <v>0</v>
      </c>
      <c r="AQ1078" s="34">
        <f t="shared" si="935"/>
        <v>0</v>
      </c>
      <c r="AR1078" s="34">
        <f t="shared" si="936"/>
        <v>0</v>
      </c>
      <c r="AS1078" s="30">
        <f t="shared" si="937"/>
        <v>2.4364805764385955</v>
      </c>
      <c r="AT1078" s="29">
        <f t="shared" si="938"/>
        <v>0</v>
      </c>
      <c r="AU1078" s="29">
        <f t="shared" si="939"/>
        <v>0</v>
      </c>
      <c r="AV1078" s="34">
        <f t="shared" si="940"/>
        <v>0</v>
      </c>
      <c r="AW1078" s="34">
        <f t="shared" si="941"/>
        <v>0</v>
      </c>
      <c r="AX1078" s="29">
        <f t="shared" si="942"/>
        <v>0</v>
      </c>
      <c r="AY1078" s="34">
        <f t="shared" si="943"/>
        <v>0</v>
      </c>
      <c r="AZ1078" s="37">
        <f t="shared" si="944"/>
        <v>0</v>
      </c>
      <c r="BA1078" s="37">
        <f t="shared" si="945"/>
        <v>0</v>
      </c>
      <c r="BB1078" s="35">
        <f t="shared" si="946"/>
        <v>1.8804294971668245E-3</v>
      </c>
      <c r="BC1078" s="31">
        <f t="shared" si="947"/>
        <v>0.13296294256394339</v>
      </c>
      <c r="BD1078" s="34">
        <f t="shared" si="948"/>
        <v>0</v>
      </c>
    </row>
    <row r="1079" spans="1:56" x14ac:dyDescent="0.2">
      <c r="A1079" s="27">
        <f t="shared" si="949"/>
        <v>1075</v>
      </c>
      <c r="B1079" s="28">
        <f t="shared" si="896"/>
        <v>1075</v>
      </c>
      <c r="C1079" s="27">
        <f t="shared" si="897"/>
        <v>89</v>
      </c>
      <c r="D1079" s="28">
        <f t="shared" si="898"/>
        <v>109</v>
      </c>
      <c r="E1079" s="29">
        <f t="shared" si="899"/>
        <v>0</v>
      </c>
      <c r="F1079" s="30">
        <f t="shared" si="900"/>
        <v>0.63762568066322445</v>
      </c>
      <c r="G1079" s="31">
        <f t="shared" si="901"/>
        <v>8.1110862281633223E-2</v>
      </c>
      <c r="H1079" s="32">
        <f t="shared" si="902"/>
        <v>0.02</v>
      </c>
      <c r="I1079" s="32">
        <f t="shared" si="903"/>
        <v>0</v>
      </c>
      <c r="J1079" s="33">
        <f t="shared" si="950"/>
        <v>0</v>
      </c>
      <c r="K1079" s="30">
        <f t="shared" si="904"/>
        <v>0</v>
      </c>
      <c r="L1079" s="33">
        <f t="shared" si="905"/>
        <v>0</v>
      </c>
      <c r="M1079" s="30">
        <f t="shared" si="906"/>
        <v>0</v>
      </c>
      <c r="N1079" s="33">
        <f t="shared" si="907"/>
        <v>0</v>
      </c>
      <c r="O1079" s="31">
        <f t="shared" si="908"/>
        <v>0</v>
      </c>
      <c r="P1079" s="33">
        <f t="shared" si="909"/>
        <v>0</v>
      </c>
      <c r="Q1079" s="34">
        <f t="shared" si="951"/>
        <v>1200915.690956983</v>
      </c>
      <c r="R1079" s="29">
        <f t="shared" si="910"/>
        <v>0</v>
      </c>
      <c r="S1079" s="34">
        <f t="shared" si="911"/>
        <v>1200915.690956983</v>
      </c>
      <c r="T1079" s="29">
        <f t="shared" si="912"/>
        <v>1000.763075797486</v>
      </c>
      <c r="U1079" s="29">
        <f t="shared" si="913"/>
        <v>0</v>
      </c>
      <c r="V1079" s="35">
        <f t="shared" si="914"/>
        <v>8.9221948509796548E-2</v>
      </c>
      <c r="W1079" s="34">
        <f t="shared" si="915"/>
        <v>0</v>
      </c>
      <c r="X1079" s="34">
        <f t="shared" si="916"/>
        <v>1199914.9278811854</v>
      </c>
      <c r="Y1079" s="36">
        <f t="shared" si="917"/>
        <v>-1.166991563942732E-2</v>
      </c>
      <c r="Z1079" s="34">
        <f t="shared" si="918"/>
        <v>-14002.905982862951</v>
      </c>
      <c r="AA1079" s="34">
        <f t="shared" si="919"/>
        <v>1192913.4748897539</v>
      </c>
      <c r="AB1079" s="34">
        <f t="shared" si="920"/>
        <v>0</v>
      </c>
      <c r="AC1079" s="34">
        <f t="shared" si="921"/>
        <v>0</v>
      </c>
      <c r="AD1079" s="34">
        <f t="shared" si="922"/>
        <v>0</v>
      </c>
      <c r="AE1079" s="34">
        <f t="shared" si="923"/>
        <v>0</v>
      </c>
      <c r="AF1079" s="34">
        <f t="shared" si="924"/>
        <v>0</v>
      </c>
      <c r="AG1079" s="29">
        <f t="shared" si="925"/>
        <v>1192913.4748897539</v>
      </c>
      <c r="AH1079" s="34">
        <f t="shared" si="926"/>
        <v>0</v>
      </c>
      <c r="AI1079" s="34">
        <f t="shared" si="927"/>
        <v>0</v>
      </c>
      <c r="AJ1079" s="34">
        <f t="shared" si="928"/>
        <v>0</v>
      </c>
      <c r="AK1079" s="34">
        <f t="shared" si="929"/>
        <v>0</v>
      </c>
      <c r="AL1079" s="34">
        <f t="shared" si="930"/>
        <v>0</v>
      </c>
      <c r="AM1079" s="34">
        <f t="shared" si="931"/>
        <v>0</v>
      </c>
      <c r="AN1079" s="34">
        <f t="shared" si="932"/>
        <v>0</v>
      </c>
      <c r="AO1079" s="34">
        <f t="shared" si="933"/>
        <v>0</v>
      </c>
      <c r="AP1079" s="34">
        <f t="shared" si="934"/>
        <v>0</v>
      </c>
      <c r="AQ1079" s="34">
        <f t="shared" si="935"/>
        <v>0</v>
      </c>
      <c r="AR1079" s="34">
        <f t="shared" si="936"/>
        <v>0</v>
      </c>
      <c r="AS1079" s="30">
        <f t="shared" si="937"/>
        <v>2.4385017299416156</v>
      </c>
      <c r="AT1079" s="29">
        <f t="shared" si="938"/>
        <v>0</v>
      </c>
      <c r="AU1079" s="29">
        <f t="shared" si="939"/>
        <v>0</v>
      </c>
      <c r="AV1079" s="34">
        <f t="shared" si="940"/>
        <v>0</v>
      </c>
      <c r="AW1079" s="34">
        <f t="shared" si="941"/>
        <v>0</v>
      </c>
      <c r="AX1079" s="29">
        <f t="shared" si="942"/>
        <v>0</v>
      </c>
      <c r="AY1079" s="34">
        <f t="shared" si="943"/>
        <v>0</v>
      </c>
      <c r="AZ1079" s="37">
        <f t="shared" si="944"/>
        <v>0</v>
      </c>
      <c r="BA1079" s="37">
        <f t="shared" si="945"/>
        <v>0</v>
      </c>
      <c r="BB1079" s="35">
        <f t="shared" si="946"/>
        <v>1.8804294971668245E-3</v>
      </c>
      <c r="BC1079" s="31">
        <f t="shared" si="947"/>
        <v>0.13271338440124641</v>
      </c>
      <c r="BD1079" s="34">
        <f t="shared" si="948"/>
        <v>0</v>
      </c>
    </row>
    <row r="1080" spans="1:56" x14ac:dyDescent="0.2">
      <c r="A1080" s="27">
        <f t="shared" si="949"/>
        <v>1076</v>
      </c>
      <c r="B1080" s="28">
        <f t="shared" si="896"/>
        <v>1076</v>
      </c>
      <c r="C1080" s="27">
        <f t="shared" si="897"/>
        <v>89</v>
      </c>
      <c r="D1080" s="28">
        <f t="shared" si="898"/>
        <v>109</v>
      </c>
      <c r="E1080" s="29">
        <f t="shared" si="899"/>
        <v>0</v>
      </c>
      <c r="F1080" s="30">
        <f t="shared" si="900"/>
        <v>0.63762568066322445</v>
      </c>
      <c r="G1080" s="31">
        <f t="shared" si="901"/>
        <v>8.1110862281633223E-2</v>
      </c>
      <c r="H1080" s="32">
        <f t="shared" si="902"/>
        <v>0.02</v>
      </c>
      <c r="I1080" s="32">
        <f t="shared" si="903"/>
        <v>0</v>
      </c>
      <c r="J1080" s="33">
        <f t="shared" si="950"/>
        <v>0</v>
      </c>
      <c r="K1080" s="30">
        <f t="shared" si="904"/>
        <v>0</v>
      </c>
      <c r="L1080" s="33">
        <f t="shared" si="905"/>
        <v>0</v>
      </c>
      <c r="M1080" s="30">
        <f t="shared" si="906"/>
        <v>0</v>
      </c>
      <c r="N1080" s="33">
        <f t="shared" si="907"/>
        <v>0</v>
      </c>
      <c r="O1080" s="31">
        <f t="shared" si="908"/>
        <v>0</v>
      </c>
      <c r="P1080" s="33">
        <f t="shared" si="909"/>
        <v>0</v>
      </c>
      <c r="Q1080" s="34">
        <f t="shared" si="951"/>
        <v>1185912.0218983225</v>
      </c>
      <c r="R1080" s="29">
        <f t="shared" si="910"/>
        <v>0</v>
      </c>
      <c r="S1080" s="34">
        <f t="shared" si="911"/>
        <v>1185912.0218983225</v>
      </c>
      <c r="T1080" s="29">
        <f t="shared" si="912"/>
        <v>988.26001824860214</v>
      </c>
      <c r="U1080" s="29">
        <f t="shared" si="913"/>
        <v>0</v>
      </c>
      <c r="V1080" s="35">
        <f t="shared" si="914"/>
        <v>8.9221948509796548E-2</v>
      </c>
      <c r="W1080" s="34">
        <f t="shared" si="915"/>
        <v>0</v>
      </c>
      <c r="X1080" s="34">
        <f t="shared" si="916"/>
        <v>1184923.7618800739</v>
      </c>
      <c r="Y1080" s="36">
        <f t="shared" si="917"/>
        <v>-3.9956044401988633E-3</v>
      </c>
      <c r="Z1080" s="34">
        <f t="shared" si="918"/>
        <v>-4734.4866442651637</v>
      </c>
      <c r="AA1080" s="34">
        <f t="shared" si="919"/>
        <v>1182556.5185579413</v>
      </c>
      <c r="AB1080" s="34">
        <f t="shared" si="920"/>
        <v>0</v>
      </c>
      <c r="AC1080" s="34">
        <f t="shared" si="921"/>
        <v>0</v>
      </c>
      <c r="AD1080" s="34">
        <f t="shared" si="922"/>
        <v>0</v>
      </c>
      <c r="AE1080" s="34">
        <f t="shared" si="923"/>
        <v>0</v>
      </c>
      <c r="AF1080" s="34">
        <f t="shared" si="924"/>
        <v>0</v>
      </c>
      <c r="AG1080" s="29">
        <f t="shared" si="925"/>
        <v>1182556.5185579413</v>
      </c>
      <c r="AH1080" s="34">
        <f t="shared" si="926"/>
        <v>0</v>
      </c>
      <c r="AI1080" s="34">
        <f t="shared" si="927"/>
        <v>0</v>
      </c>
      <c r="AJ1080" s="34">
        <f t="shared" si="928"/>
        <v>0</v>
      </c>
      <c r="AK1080" s="34">
        <f t="shared" si="929"/>
        <v>0</v>
      </c>
      <c r="AL1080" s="34">
        <f t="shared" si="930"/>
        <v>0</v>
      </c>
      <c r="AM1080" s="34">
        <f t="shared" si="931"/>
        <v>0</v>
      </c>
      <c r="AN1080" s="34">
        <f t="shared" si="932"/>
        <v>0</v>
      </c>
      <c r="AO1080" s="34">
        <f t="shared" si="933"/>
        <v>0</v>
      </c>
      <c r="AP1080" s="34">
        <f t="shared" si="934"/>
        <v>0</v>
      </c>
      <c r="AQ1080" s="34">
        <f t="shared" si="935"/>
        <v>0</v>
      </c>
      <c r="AR1080" s="34">
        <f t="shared" si="936"/>
        <v>0</v>
      </c>
      <c r="AS1080" s="30">
        <f t="shared" si="937"/>
        <v>2.4405245600685017</v>
      </c>
      <c r="AT1080" s="29">
        <f t="shared" si="938"/>
        <v>0</v>
      </c>
      <c r="AU1080" s="29">
        <f t="shared" si="939"/>
        <v>0</v>
      </c>
      <c r="AV1080" s="34">
        <f t="shared" si="940"/>
        <v>0</v>
      </c>
      <c r="AW1080" s="34">
        <f t="shared" si="941"/>
        <v>0</v>
      </c>
      <c r="AX1080" s="29">
        <f t="shared" si="942"/>
        <v>0</v>
      </c>
      <c r="AY1080" s="34">
        <f t="shared" si="943"/>
        <v>0</v>
      </c>
      <c r="AZ1080" s="37">
        <f t="shared" si="944"/>
        <v>0</v>
      </c>
      <c r="BA1080" s="37">
        <f t="shared" si="945"/>
        <v>0</v>
      </c>
      <c r="BB1080" s="35">
        <f t="shared" si="946"/>
        <v>1.8804294971668245E-3</v>
      </c>
      <c r="BC1080" s="31">
        <f t="shared" si="947"/>
        <v>0.13246429463429471</v>
      </c>
      <c r="BD1080" s="34">
        <f t="shared" si="948"/>
        <v>0</v>
      </c>
    </row>
    <row r="1081" spans="1:56" x14ac:dyDescent="0.2">
      <c r="A1081" s="27">
        <f t="shared" si="949"/>
        <v>1077</v>
      </c>
      <c r="B1081" s="28">
        <f t="shared" si="896"/>
        <v>1077</v>
      </c>
      <c r="C1081" s="27">
        <f t="shared" si="897"/>
        <v>89</v>
      </c>
      <c r="D1081" s="28">
        <f t="shared" si="898"/>
        <v>109</v>
      </c>
      <c r="E1081" s="29">
        <f t="shared" si="899"/>
        <v>0</v>
      </c>
      <c r="F1081" s="30">
        <f t="shared" si="900"/>
        <v>0.63762568066322445</v>
      </c>
      <c r="G1081" s="31">
        <f t="shared" si="901"/>
        <v>8.1110862281633223E-2</v>
      </c>
      <c r="H1081" s="32">
        <f t="shared" si="902"/>
        <v>0.02</v>
      </c>
      <c r="I1081" s="32">
        <f t="shared" si="903"/>
        <v>0</v>
      </c>
      <c r="J1081" s="33">
        <f t="shared" si="950"/>
        <v>0</v>
      </c>
      <c r="K1081" s="30">
        <f t="shared" si="904"/>
        <v>0</v>
      </c>
      <c r="L1081" s="33">
        <f t="shared" si="905"/>
        <v>0</v>
      </c>
      <c r="M1081" s="30">
        <f t="shared" si="906"/>
        <v>0</v>
      </c>
      <c r="N1081" s="33">
        <f t="shared" si="907"/>
        <v>0</v>
      </c>
      <c r="O1081" s="31">
        <f t="shared" si="908"/>
        <v>0</v>
      </c>
      <c r="P1081" s="33">
        <f t="shared" si="909"/>
        <v>0</v>
      </c>
      <c r="Q1081" s="34">
        <f t="shared" si="951"/>
        <v>1180189.2752358087</v>
      </c>
      <c r="R1081" s="29">
        <f t="shared" si="910"/>
        <v>0</v>
      </c>
      <c r="S1081" s="34">
        <f t="shared" si="911"/>
        <v>1180189.2752358087</v>
      </c>
      <c r="T1081" s="29">
        <f t="shared" si="912"/>
        <v>983.49106269650736</v>
      </c>
      <c r="U1081" s="29">
        <f t="shared" si="913"/>
        <v>0</v>
      </c>
      <c r="V1081" s="35">
        <f t="shared" si="914"/>
        <v>8.9221948509796548E-2</v>
      </c>
      <c r="W1081" s="34">
        <f t="shared" si="915"/>
        <v>0</v>
      </c>
      <c r="X1081" s="34">
        <f t="shared" si="916"/>
        <v>1179205.7841731121</v>
      </c>
      <c r="Y1081" s="36">
        <f t="shared" si="917"/>
        <v>-3.8352720253632677E-3</v>
      </c>
      <c r="Z1081" s="34">
        <f t="shared" si="918"/>
        <v>-4522.5749561856919</v>
      </c>
      <c r="AA1081" s="34">
        <f t="shared" si="919"/>
        <v>1176944.4966950193</v>
      </c>
      <c r="AB1081" s="34">
        <f t="shared" si="920"/>
        <v>0</v>
      </c>
      <c r="AC1081" s="34">
        <f t="shared" si="921"/>
        <v>0</v>
      </c>
      <c r="AD1081" s="34">
        <f t="shared" si="922"/>
        <v>0</v>
      </c>
      <c r="AE1081" s="34">
        <f t="shared" si="923"/>
        <v>0</v>
      </c>
      <c r="AF1081" s="34">
        <f t="shared" si="924"/>
        <v>0</v>
      </c>
      <c r="AG1081" s="29">
        <f t="shared" si="925"/>
        <v>1176944.4966950193</v>
      </c>
      <c r="AH1081" s="34">
        <f t="shared" si="926"/>
        <v>0</v>
      </c>
      <c r="AI1081" s="34">
        <f t="shared" si="927"/>
        <v>0</v>
      </c>
      <c r="AJ1081" s="34">
        <f t="shared" si="928"/>
        <v>0</v>
      </c>
      <c r="AK1081" s="34">
        <f t="shared" si="929"/>
        <v>0</v>
      </c>
      <c r="AL1081" s="34">
        <f t="shared" si="930"/>
        <v>0</v>
      </c>
      <c r="AM1081" s="34">
        <f t="shared" si="931"/>
        <v>0</v>
      </c>
      <c r="AN1081" s="34">
        <f t="shared" si="932"/>
        <v>0</v>
      </c>
      <c r="AO1081" s="34">
        <f t="shared" si="933"/>
        <v>0</v>
      </c>
      <c r="AP1081" s="34">
        <f t="shared" si="934"/>
        <v>0</v>
      </c>
      <c r="AQ1081" s="34">
        <f t="shared" si="935"/>
        <v>0</v>
      </c>
      <c r="AR1081" s="34">
        <f t="shared" si="936"/>
        <v>0</v>
      </c>
      <c r="AS1081" s="30">
        <f t="shared" si="937"/>
        <v>2.4425490682100768</v>
      </c>
      <c r="AT1081" s="29">
        <f t="shared" si="938"/>
        <v>0</v>
      </c>
      <c r="AU1081" s="29">
        <f t="shared" si="939"/>
        <v>0</v>
      </c>
      <c r="AV1081" s="34">
        <f t="shared" si="940"/>
        <v>0</v>
      </c>
      <c r="AW1081" s="34">
        <f t="shared" si="941"/>
        <v>0</v>
      </c>
      <c r="AX1081" s="29">
        <f t="shared" si="942"/>
        <v>0</v>
      </c>
      <c r="AY1081" s="34">
        <f t="shared" si="943"/>
        <v>0</v>
      </c>
      <c r="AZ1081" s="37">
        <f t="shared" si="944"/>
        <v>0</v>
      </c>
      <c r="BA1081" s="37">
        <f t="shared" si="945"/>
        <v>0</v>
      </c>
      <c r="BB1081" s="35">
        <f t="shared" si="946"/>
        <v>1.8804294971668245E-3</v>
      </c>
      <c r="BC1081" s="31">
        <f t="shared" si="947"/>
        <v>0.13221567238395618</v>
      </c>
      <c r="BD1081" s="34">
        <f t="shared" si="948"/>
        <v>0</v>
      </c>
    </row>
    <row r="1082" spans="1:56" x14ac:dyDescent="0.2">
      <c r="A1082" s="27">
        <f t="shared" si="949"/>
        <v>1078</v>
      </c>
      <c r="B1082" s="28">
        <f t="shared" si="896"/>
        <v>1078</v>
      </c>
      <c r="C1082" s="27">
        <f t="shared" si="897"/>
        <v>89</v>
      </c>
      <c r="D1082" s="28">
        <f t="shared" si="898"/>
        <v>109</v>
      </c>
      <c r="E1082" s="29">
        <f t="shared" si="899"/>
        <v>0</v>
      </c>
      <c r="F1082" s="30">
        <f t="shared" si="900"/>
        <v>0.63762568066322445</v>
      </c>
      <c r="G1082" s="31">
        <f t="shared" si="901"/>
        <v>8.1110862281633223E-2</v>
      </c>
      <c r="H1082" s="32">
        <f t="shared" si="902"/>
        <v>0.02</v>
      </c>
      <c r="I1082" s="32">
        <f t="shared" si="903"/>
        <v>0</v>
      </c>
      <c r="J1082" s="33">
        <f t="shared" si="950"/>
        <v>0</v>
      </c>
      <c r="K1082" s="30">
        <f t="shared" si="904"/>
        <v>0</v>
      </c>
      <c r="L1082" s="33">
        <f t="shared" si="905"/>
        <v>0</v>
      </c>
      <c r="M1082" s="30">
        <f t="shared" si="906"/>
        <v>0</v>
      </c>
      <c r="N1082" s="33">
        <f t="shared" si="907"/>
        <v>0</v>
      </c>
      <c r="O1082" s="31">
        <f t="shared" si="908"/>
        <v>0</v>
      </c>
      <c r="P1082" s="33">
        <f t="shared" si="909"/>
        <v>0</v>
      </c>
      <c r="Q1082" s="34">
        <f t="shared" si="951"/>
        <v>1174683.2092169265</v>
      </c>
      <c r="R1082" s="29">
        <f t="shared" si="910"/>
        <v>0</v>
      </c>
      <c r="S1082" s="34">
        <f t="shared" si="911"/>
        <v>1174683.2092169265</v>
      </c>
      <c r="T1082" s="29">
        <f t="shared" si="912"/>
        <v>978.90267434743885</v>
      </c>
      <c r="U1082" s="29">
        <f t="shared" si="913"/>
        <v>0</v>
      </c>
      <c r="V1082" s="35">
        <f t="shared" si="914"/>
        <v>8.9221948509796548E-2</v>
      </c>
      <c r="W1082" s="34">
        <f t="shared" si="915"/>
        <v>0</v>
      </c>
      <c r="X1082" s="34">
        <f t="shared" si="916"/>
        <v>1173704.3065425791</v>
      </c>
      <c r="Y1082" s="36">
        <f t="shared" si="917"/>
        <v>-2.2572930785169643E-3</v>
      </c>
      <c r="Z1082" s="34">
        <f t="shared" si="918"/>
        <v>-2649.3946073841171</v>
      </c>
      <c r="AA1082" s="34">
        <f t="shared" si="919"/>
        <v>1172379.609238887</v>
      </c>
      <c r="AB1082" s="34">
        <f t="shared" si="920"/>
        <v>0</v>
      </c>
      <c r="AC1082" s="34">
        <f t="shared" si="921"/>
        <v>0</v>
      </c>
      <c r="AD1082" s="34">
        <f t="shared" si="922"/>
        <v>0</v>
      </c>
      <c r="AE1082" s="34">
        <f t="shared" si="923"/>
        <v>0</v>
      </c>
      <c r="AF1082" s="34">
        <f t="shared" si="924"/>
        <v>0</v>
      </c>
      <c r="AG1082" s="29">
        <f t="shared" si="925"/>
        <v>1172379.609238887</v>
      </c>
      <c r="AH1082" s="34">
        <f t="shared" si="926"/>
        <v>0</v>
      </c>
      <c r="AI1082" s="34">
        <f t="shared" si="927"/>
        <v>0</v>
      </c>
      <c r="AJ1082" s="34">
        <f t="shared" si="928"/>
        <v>0</v>
      </c>
      <c r="AK1082" s="34">
        <f t="shared" si="929"/>
        <v>0</v>
      </c>
      <c r="AL1082" s="34">
        <f t="shared" si="930"/>
        <v>0</v>
      </c>
      <c r="AM1082" s="34">
        <f t="shared" si="931"/>
        <v>0</v>
      </c>
      <c r="AN1082" s="34">
        <f t="shared" si="932"/>
        <v>0</v>
      </c>
      <c r="AO1082" s="34">
        <f t="shared" si="933"/>
        <v>0</v>
      </c>
      <c r="AP1082" s="34">
        <f t="shared" si="934"/>
        <v>0</v>
      </c>
      <c r="AQ1082" s="34">
        <f t="shared" si="935"/>
        <v>0</v>
      </c>
      <c r="AR1082" s="34">
        <f t="shared" si="936"/>
        <v>0</v>
      </c>
      <c r="AS1082" s="30">
        <f t="shared" si="937"/>
        <v>2.4445752557583176</v>
      </c>
      <c r="AT1082" s="29">
        <f t="shared" si="938"/>
        <v>0</v>
      </c>
      <c r="AU1082" s="29">
        <f t="shared" si="939"/>
        <v>0</v>
      </c>
      <c r="AV1082" s="34">
        <f t="shared" si="940"/>
        <v>0</v>
      </c>
      <c r="AW1082" s="34">
        <f t="shared" si="941"/>
        <v>0</v>
      </c>
      <c r="AX1082" s="29">
        <f t="shared" si="942"/>
        <v>0</v>
      </c>
      <c r="AY1082" s="34">
        <f t="shared" si="943"/>
        <v>0</v>
      </c>
      <c r="AZ1082" s="37">
        <f t="shared" si="944"/>
        <v>0</v>
      </c>
      <c r="BA1082" s="37">
        <f t="shared" si="945"/>
        <v>0</v>
      </c>
      <c r="BB1082" s="35">
        <f t="shared" si="946"/>
        <v>1.8804294971668245E-3</v>
      </c>
      <c r="BC1082" s="31">
        <f t="shared" si="947"/>
        <v>0.13196751677274882</v>
      </c>
      <c r="BD1082" s="34">
        <f t="shared" si="948"/>
        <v>0</v>
      </c>
    </row>
    <row r="1083" spans="1:56" x14ac:dyDescent="0.2">
      <c r="A1083" s="27">
        <f t="shared" si="949"/>
        <v>1079</v>
      </c>
      <c r="B1083" s="28">
        <f t="shared" si="896"/>
        <v>1079</v>
      </c>
      <c r="C1083" s="27">
        <f t="shared" si="897"/>
        <v>89</v>
      </c>
      <c r="D1083" s="28">
        <f t="shared" si="898"/>
        <v>109</v>
      </c>
      <c r="E1083" s="29">
        <f t="shared" si="899"/>
        <v>0</v>
      </c>
      <c r="F1083" s="30">
        <f t="shared" si="900"/>
        <v>0.63762568066322445</v>
      </c>
      <c r="G1083" s="31">
        <f t="shared" si="901"/>
        <v>8.1110862281633223E-2</v>
      </c>
      <c r="H1083" s="32">
        <f t="shared" si="902"/>
        <v>0.02</v>
      </c>
      <c r="I1083" s="32">
        <f t="shared" si="903"/>
        <v>0</v>
      </c>
      <c r="J1083" s="33">
        <f t="shared" si="950"/>
        <v>0</v>
      </c>
      <c r="K1083" s="30">
        <f t="shared" si="904"/>
        <v>0</v>
      </c>
      <c r="L1083" s="33">
        <f t="shared" si="905"/>
        <v>0</v>
      </c>
      <c r="M1083" s="30">
        <f t="shared" si="906"/>
        <v>0</v>
      </c>
      <c r="N1083" s="33">
        <f t="shared" si="907"/>
        <v>0</v>
      </c>
      <c r="O1083" s="31">
        <f t="shared" si="908"/>
        <v>0</v>
      </c>
      <c r="P1083" s="33">
        <f t="shared" si="909"/>
        <v>0</v>
      </c>
      <c r="Q1083" s="34">
        <f t="shared" si="951"/>
        <v>1171054.9119351949</v>
      </c>
      <c r="R1083" s="29">
        <f t="shared" si="910"/>
        <v>0</v>
      </c>
      <c r="S1083" s="34">
        <f t="shared" si="911"/>
        <v>1171054.9119351949</v>
      </c>
      <c r="T1083" s="29">
        <f t="shared" si="912"/>
        <v>975.87909327932914</v>
      </c>
      <c r="U1083" s="29">
        <f t="shared" si="913"/>
        <v>0</v>
      </c>
      <c r="V1083" s="35">
        <f t="shared" si="914"/>
        <v>8.9221948509796548E-2</v>
      </c>
      <c r="W1083" s="34">
        <f t="shared" si="915"/>
        <v>0</v>
      </c>
      <c r="X1083" s="34">
        <f t="shared" si="916"/>
        <v>1170079.0328419155</v>
      </c>
      <c r="Y1083" s="36">
        <f t="shared" si="917"/>
        <v>3.1562021297104614E-3</v>
      </c>
      <c r="Z1083" s="34">
        <f t="shared" si="918"/>
        <v>3693.0059353852107</v>
      </c>
      <c r="AA1083" s="34">
        <f t="shared" si="919"/>
        <v>1171925.5358096082</v>
      </c>
      <c r="AB1083" s="34">
        <f t="shared" si="920"/>
        <v>0</v>
      </c>
      <c r="AC1083" s="34">
        <f t="shared" si="921"/>
        <v>0</v>
      </c>
      <c r="AD1083" s="34">
        <f t="shared" si="922"/>
        <v>0</v>
      </c>
      <c r="AE1083" s="34">
        <f t="shared" si="923"/>
        <v>0</v>
      </c>
      <c r="AF1083" s="34">
        <f t="shared" si="924"/>
        <v>0</v>
      </c>
      <c r="AG1083" s="29">
        <f t="shared" si="925"/>
        <v>1171925.5358096082</v>
      </c>
      <c r="AH1083" s="34">
        <f t="shared" si="926"/>
        <v>0</v>
      </c>
      <c r="AI1083" s="34">
        <f t="shared" si="927"/>
        <v>0</v>
      </c>
      <c r="AJ1083" s="34">
        <f t="shared" si="928"/>
        <v>0</v>
      </c>
      <c r="AK1083" s="34">
        <f t="shared" si="929"/>
        <v>0</v>
      </c>
      <c r="AL1083" s="34">
        <f t="shared" si="930"/>
        <v>0</v>
      </c>
      <c r="AM1083" s="34">
        <f t="shared" si="931"/>
        <v>0</v>
      </c>
      <c r="AN1083" s="34">
        <f t="shared" si="932"/>
        <v>0</v>
      </c>
      <c r="AO1083" s="34">
        <f t="shared" si="933"/>
        <v>0</v>
      </c>
      <c r="AP1083" s="34">
        <f t="shared" si="934"/>
        <v>0</v>
      </c>
      <c r="AQ1083" s="34">
        <f t="shared" si="935"/>
        <v>0</v>
      </c>
      <c r="AR1083" s="34">
        <f t="shared" si="936"/>
        <v>0</v>
      </c>
      <c r="AS1083" s="30">
        <f t="shared" si="937"/>
        <v>2.4466031241063568</v>
      </c>
      <c r="AT1083" s="29">
        <f t="shared" si="938"/>
        <v>0</v>
      </c>
      <c r="AU1083" s="29">
        <f t="shared" si="939"/>
        <v>0</v>
      </c>
      <c r="AV1083" s="34">
        <f t="shared" si="940"/>
        <v>0</v>
      </c>
      <c r="AW1083" s="34">
        <f t="shared" si="941"/>
        <v>0</v>
      </c>
      <c r="AX1083" s="29">
        <f t="shared" si="942"/>
        <v>0</v>
      </c>
      <c r="AY1083" s="34">
        <f t="shared" si="943"/>
        <v>0</v>
      </c>
      <c r="AZ1083" s="37">
        <f t="shared" si="944"/>
        <v>0</v>
      </c>
      <c r="BA1083" s="37">
        <f t="shared" si="945"/>
        <v>0</v>
      </c>
      <c r="BB1083" s="35">
        <f t="shared" si="946"/>
        <v>1.8804294971668245E-3</v>
      </c>
      <c r="BC1083" s="31">
        <f t="shared" si="947"/>
        <v>0.13171982692483766</v>
      </c>
      <c r="BD1083" s="34">
        <f t="shared" si="948"/>
        <v>0</v>
      </c>
    </row>
    <row r="1084" spans="1:56" x14ac:dyDescent="0.2">
      <c r="A1084" s="27">
        <f t="shared" si="949"/>
        <v>1080</v>
      </c>
      <c r="B1084" s="28">
        <f t="shared" si="896"/>
        <v>1080</v>
      </c>
      <c r="C1084" s="27">
        <f t="shared" si="897"/>
        <v>90</v>
      </c>
      <c r="D1084" s="28">
        <f t="shared" si="898"/>
        <v>110</v>
      </c>
      <c r="E1084" s="29">
        <f t="shared" si="899"/>
        <v>0</v>
      </c>
      <c r="F1084" s="30">
        <f t="shared" si="900"/>
        <v>0.74382128519873325</v>
      </c>
      <c r="G1084" s="31">
        <f t="shared" si="901"/>
        <v>0.10728687452127461</v>
      </c>
      <c r="H1084" s="32">
        <f t="shared" si="902"/>
        <v>0.02</v>
      </c>
      <c r="I1084" s="32">
        <f t="shared" si="903"/>
        <v>0</v>
      </c>
      <c r="J1084" s="33">
        <f t="shared" si="950"/>
        <v>0</v>
      </c>
      <c r="K1084" s="30">
        <f t="shared" si="904"/>
        <v>0</v>
      </c>
      <c r="L1084" s="33">
        <f t="shared" si="905"/>
        <v>0</v>
      </c>
      <c r="M1084" s="30">
        <f t="shared" si="906"/>
        <v>0</v>
      </c>
      <c r="N1084" s="33">
        <f t="shared" si="907"/>
        <v>0</v>
      </c>
      <c r="O1084" s="31">
        <f t="shared" si="908"/>
        <v>0</v>
      </c>
      <c r="P1084" s="33">
        <f t="shared" si="909"/>
        <v>0</v>
      </c>
      <c r="Q1084" s="34">
        <f t="shared" si="951"/>
        <v>1173772.0387773006</v>
      </c>
      <c r="R1084" s="29">
        <f t="shared" si="910"/>
        <v>0</v>
      </c>
      <c r="S1084" s="34">
        <f t="shared" si="911"/>
        <v>1173772.0387773006</v>
      </c>
      <c r="T1084" s="29">
        <f t="shared" si="912"/>
        <v>978.14336564775056</v>
      </c>
      <c r="U1084" s="29">
        <f t="shared" si="913"/>
        <v>0</v>
      </c>
      <c r="V1084" s="35">
        <f t="shared" si="914"/>
        <v>0.11801556197340209</v>
      </c>
      <c r="W1084" s="34">
        <f t="shared" si="915"/>
        <v>0</v>
      </c>
      <c r="X1084" s="34">
        <f t="shared" si="916"/>
        <v>1172793.895411653</v>
      </c>
      <c r="Y1084" s="36">
        <f t="shared" si="917"/>
        <v>1.4446609009117761E-2</v>
      </c>
      <c r="Z1084" s="34">
        <f t="shared" si="918"/>
        <v>16942.894855292299</v>
      </c>
      <c r="AA1084" s="34">
        <f t="shared" si="919"/>
        <v>1181265.3428392992</v>
      </c>
      <c r="AB1084" s="34">
        <f t="shared" si="920"/>
        <v>0</v>
      </c>
      <c r="AC1084" s="34">
        <f t="shared" si="921"/>
        <v>0</v>
      </c>
      <c r="AD1084" s="34">
        <f t="shared" si="922"/>
        <v>0</v>
      </c>
      <c r="AE1084" s="34">
        <f t="shared" si="923"/>
        <v>0</v>
      </c>
      <c r="AF1084" s="34">
        <f t="shared" si="924"/>
        <v>0</v>
      </c>
      <c r="AG1084" s="29">
        <f t="shared" si="925"/>
        <v>1181265.3428392992</v>
      </c>
      <c r="AH1084" s="34">
        <f t="shared" si="926"/>
        <v>0</v>
      </c>
      <c r="AI1084" s="34">
        <f t="shared" si="927"/>
        <v>0</v>
      </c>
      <c r="AJ1084" s="34">
        <f t="shared" si="928"/>
        <v>0</v>
      </c>
      <c r="AK1084" s="34">
        <f t="shared" si="929"/>
        <v>0</v>
      </c>
      <c r="AL1084" s="34">
        <f t="shared" si="930"/>
        <v>0</v>
      </c>
      <c r="AM1084" s="34">
        <f t="shared" si="931"/>
        <v>0</v>
      </c>
      <c r="AN1084" s="34">
        <f t="shared" si="932"/>
        <v>0</v>
      </c>
      <c r="AO1084" s="34">
        <f t="shared" si="933"/>
        <v>0</v>
      </c>
      <c r="AP1084" s="34">
        <f t="shared" si="934"/>
        <v>0</v>
      </c>
      <c r="AQ1084" s="34">
        <f t="shared" si="935"/>
        <v>0</v>
      </c>
      <c r="AR1084" s="34">
        <f t="shared" si="936"/>
        <v>0</v>
      </c>
      <c r="AS1084" s="30">
        <f t="shared" si="937"/>
        <v>2.4486326746484828</v>
      </c>
      <c r="AT1084" s="29">
        <f t="shared" si="938"/>
        <v>0</v>
      </c>
      <c r="AU1084" s="29">
        <f t="shared" si="939"/>
        <v>0</v>
      </c>
      <c r="AV1084" s="34">
        <f t="shared" si="940"/>
        <v>0</v>
      </c>
      <c r="AW1084" s="34">
        <f t="shared" si="941"/>
        <v>0</v>
      </c>
      <c r="AX1084" s="29">
        <f t="shared" si="942"/>
        <v>0</v>
      </c>
      <c r="AY1084" s="34">
        <f t="shared" si="943"/>
        <v>0</v>
      </c>
      <c r="AZ1084" s="37">
        <f t="shared" si="944"/>
        <v>0</v>
      </c>
      <c r="BA1084" s="37">
        <f t="shared" si="945"/>
        <v>0</v>
      </c>
      <c r="BB1084" s="35">
        <f t="shared" si="946"/>
        <v>1.8975699525918266E-3</v>
      </c>
      <c r="BC1084" s="31">
        <f t="shared" si="947"/>
        <v>0.12906571466123851</v>
      </c>
      <c r="BD1084" s="34">
        <f t="shared" si="948"/>
        <v>0</v>
      </c>
    </row>
    <row r="1085" spans="1:56" x14ac:dyDescent="0.2">
      <c r="A1085" s="27">
        <f t="shared" si="949"/>
        <v>1081</v>
      </c>
      <c r="B1085" s="28">
        <f t="shared" si="896"/>
        <v>1081</v>
      </c>
      <c r="C1085" s="27">
        <f t="shared" si="897"/>
        <v>90</v>
      </c>
      <c r="D1085" s="28">
        <f t="shared" si="898"/>
        <v>110</v>
      </c>
      <c r="E1085" s="29">
        <f t="shared" si="899"/>
        <v>0</v>
      </c>
      <c r="F1085" s="30">
        <f t="shared" si="900"/>
        <v>0.74382128519873325</v>
      </c>
      <c r="G1085" s="31">
        <f t="shared" si="901"/>
        <v>0.10728687452127461</v>
      </c>
      <c r="H1085" s="32">
        <f t="shared" si="902"/>
        <v>0.02</v>
      </c>
      <c r="I1085" s="32">
        <f t="shared" si="903"/>
        <v>0</v>
      </c>
      <c r="J1085" s="33">
        <f t="shared" si="950"/>
        <v>0</v>
      </c>
      <c r="K1085" s="30">
        <f t="shared" si="904"/>
        <v>0</v>
      </c>
      <c r="L1085" s="33">
        <f t="shared" si="905"/>
        <v>0</v>
      </c>
      <c r="M1085" s="30">
        <f t="shared" si="906"/>
        <v>0</v>
      </c>
      <c r="N1085" s="33">
        <f t="shared" si="907"/>
        <v>0</v>
      </c>
      <c r="O1085" s="31">
        <f t="shared" si="908"/>
        <v>0</v>
      </c>
      <c r="P1085" s="33">
        <f t="shared" si="909"/>
        <v>0</v>
      </c>
      <c r="Q1085" s="34">
        <f t="shared" si="951"/>
        <v>1189736.7902669453</v>
      </c>
      <c r="R1085" s="29">
        <f t="shared" si="910"/>
        <v>0</v>
      </c>
      <c r="S1085" s="34">
        <f t="shared" si="911"/>
        <v>1189736.7902669453</v>
      </c>
      <c r="T1085" s="29">
        <f t="shared" si="912"/>
        <v>991.44732522245442</v>
      </c>
      <c r="U1085" s="29">
        <f t="shared" si="913"/>
        <v>0</v>
      </c>
      <c r="V1085" s="35">
        <f t="shared" si="914"/>
        <v>0.11801556197340209</v>
      </c>
      <c r="W1085" s="34">
        <f t="shared" si="915"/>
        <v>0</v>
      </c>
      <c r="X1085" s="34">
        <f t="shared" si="916"/>
        <v>1188745.3429417228</v>
      </c>
      <c r="Y1085" s="36">
        <f t="shared" si="917"/>
        <v>-1.550828904226087E-3</v>
      </c>
      <c r="Z1085" s="34">
        <f t="shared" si="918"/>
        <v>-1843.5406375981761</v>
      </c>
      <c r="AA1085" s="34">
        <f t="shared" si="919"/>
        <v>1187823.5726229236</v>
      </c>
      <c r="AB1085" s="34">
        <f t="shared" si="920"/>
        <v>0</v>
      </c>
      <c r="AC1085" s="34">
        <f t="shared" si="921"/>
        <v>0</v>
      </c>
      <c r="AD1085" s="34">
        <f t="shared" si="922"/>
        <v>0</v>
      </c>
      <c r="AE1085" s="34">
        <f t="shared" si="923"/>
        <v>0</v>
      </c>
      <c r="AF1085" s="34">
        <f t="shared" si="924"/>
        <v>0</v>
      </c>
      <c r="AG1085" s="29">
        <f t="shared" si="925"/>
        <v>1187823.5726229236</v>
      </c>
      <c r="AH1085" s="34">
        <f t="shared" si="926"/>
        <v>0</v>
      </c>
      <c r="AI1085" s="34">
        <f t="shared" si="927"/>
        <v>0</v>
      </c>
      <c r="AJ1085" s="34">
        <f t="shared" si="928"/>
        <v>0</v>
      </c>
      <c r="AK1085" s="34">
        <f t="shared" si="929"/>
        <v>0</v>
      </c>
      <c r="AL1085" s="34">
        <f t="shared" si="930"/>
        <v>0</v>
      </c>
      <c r="AM1085" s="34">
        <f t="shared" si="931"/>
        <v>0</v>
      </c>
      <c r="AN1085" s="34">
        <f t="shared" si="932"/>
        <v>0</v>
      </c>
      <c r="AO1085" s="34">
        <f t="shared" si="933"/>
        <v>0</v>
      </c>
      <c r="AP1085" s="34">
        <f t="shared" si="934"/>
        <v>0</v>
      </c>
      <c r="AQ1085" s="34">
        <f t="shared" si="935"/>
        <v>0</v>
      </c>
      <c r="AR1085" s="34">
        <f t="shared" si="936"/>
        <v>0</v>
      </c>
      <c r="AS1085" s="30">
        <f t="shared" si="937"/>
        <v>2.4506639087801361</v>
      </c>
      <c r="AT1085" s="29">
        <f t="shared" si="938"/>
        <v>0</v>
      </c>
      <c r="AU1085" s="29">
        <f t="shared" si="939"/>
        <v>0</v>
      </c>
      <c r="AV1085" s="34">
        <f t="shared" si="940"/>
        <v>0</v>
      </c>
      <c r="AW1085" s="34">
        <f t="shared" si="941"/>
        <v>0</v>
      </c>
      <c r="AX1085" s="29">
        <f t="shared" si="942"/>
        <v>0</v>
      </c>
      <c r="AY1085" s="34">
        <f t="shared" si="943"/>
        <v>0</v>
      </c>
      <c r="AZ1085" s="37">
        <f t="shared" si="944"/>
        <v>0</v>
      </c>
      <c r="BA1085" s="37">
        <f t="shared" si="945"/>
        <v>0</v>
      </c>
      <c r="BB1085" s="35">
        <f t="shared" si="946"/>
        <v>1.8975699525918266E-3</v>
      </c>
      <c r="BC1085" s="31">
        <f t="shared" si="947"/>
        <v>0.12882126729516441</v>
      </c>
      <c r="BD1085" s="34">
        <f t="shared" si="948"/>
        <v>0</v>
      </c>
    </row>
    <row r="1086" spans="1:56" x14ac:dyDescent="0.2">
      <c r="A1086" s="27">
        <f t="shared" si="949"/>
        <v>1082</v>
      </c>
      <c r="B1086" s="28">
        <f t="shared" si="896"/>
        <v>1082</v>
      </c>
      <c r="C1086" s="27">
        <f t="shared" si="897"/>
        <v>90</v>
      </c>
      <c r="D1086" s="28">
        <f t="shared" si="898"/>
        <v>110</v>
      </c>
      <c r="E1086" s="29">
        <f t="shared" si="899"/>
        <v>0</v>
      </c>
      <c r="F1086" s="30">
        <f t="shared" si="900"/>
        <v>0.74382128519873325</v>
      </c>
      <c r="G1086" s="31">
        <f t="shared" si="901"/>
        <v>0.10728687452127461</v>
      </c>
      <c r="H1086" s="32">
        <f t="shared" si="902"/>
        <v>0.02</v>
      </c>
      <c r="I1086" s="32">
        <f t="shared" si="903"/>
        <v>0</v>
      </c>
      <c r="J1086" s="33">
        <f t="shared" si="950"/>
        <v>0</v>
      </c>
      <c r="K1086" s="30">
        <f t="shared" si="904"/>
        <v>0</v>
      </c>
      <c r="L1086" s="33">
        <f t="shared" si="905"/>
        <v>0</v>
      </c>
      <c r="M1086" s="30">
        <f t="shared" si="906"/>
        <v>0</v>
      </c>
      <c r="N1086" s="33">
        <f t="shared" si="907"/>
        <v>0</v>
      </c>
      <c r="O1086" s="31">
        <f t="shared" si="908"/>
        <v>0</v>
      </c>
      <c r="P1086" s="33">
        <f t="shared" si="909"/>
        <v>0</v>
      </c>
      <c r="Q1086" s="34">
        <f t="shared" si="951"/>
        <v>1186901.8023041247</v>
      </c>
      <c r="R1086" s="29">
        <f t="shared" si="910"/>
        <v>0</v>
      </c>
      <c r="S1086" s="34">
        <f t="shared" si="911"/>
        <v>1186901.8023041247</v>
      </c>
      <c r="T1086" s="29">
        <f t="shared" si="912"/>
        <v>989.08483525343729</v>
      </c>
      <c r="U1086" s="29">
        <f t="shared" si="913"/>
        <v>0</v>
      </c>
      <c r="V1086" s="35">
        <f t="shared" si="914"/>
        <v>0.11801556197340209</v>
      </c>
      <c r="W1086" s="34">
        <f t="shared" si="915"/>
        <v>0</v>
      </c>
      <c r="X1086" s="34">
        <f t="shared" si="916"/>
        <v>1185912.7174688713</v>
      </c>
      <c r="Y1086" s="36">
        <f t="shared" si="917"/>
        <v>4.0928526752272987E-3</v>
      </c>
      <c r="Z1086" s="34">
        <f t="shared" si="918"/>
        <v>4853.7660382785452</v>
      </c>
      <c r="AA1086" s="34">
        <f t="shared" si="919"/>
        <v>1188339.6004880106</v>
      </c>
      <c r="AB1086" s="34">
        <f t="shared" si="920"/>
        <v>0</v>
      </c>
      <c r="AC1086" s="34">
        <f t="shared" si="921"/>
        <v>0</v>
      </c>
      <c r="AD1086" s="34">
        <f t="shared" si="922"/>
        <v>0</v>
      </c>
      <c r="AE1086" s="34">
        <f t="shared" si="923"/>
        <v>0</v>
      </c>
      <c r="AF1086" s="34">
        <f t="shared" si="924"/>
        <v>0</v>
      </c>
      <c r="AG1086" s="29">
        <f t="shared" si="925"/>
        <v>1188339.6004880106</v>
      </c>
      <c r="AH1086" s="34">
        <f t="shared" si="926"/>
        <v>0</v>
      </c>
      <c r="AI1086" s="34">
        <f t="shared" si="927"/>
        <v>0</v>
      </c>
      <c r="AJ1086" s="34">
        <f t="shared" si="928"/>
        <v>0</v>
      </c>
      <c r="AK1086" s="34">
        <f t="shared" si="929"/>
        <v>0</v>
      </c>
      <c r="AL1086" s="34">
        <f t="shared" si="930"/>
        <v>0</v>
      </c>
      <c r="AM1086" s="34">
        <f t="shared" si="931"/>
        <v>0</v>
      </c>
      <c r="AN1086" s="34">
        <f t="shared" si="932"/>
        <v>0</v>
      </c>
      <c r="AO1086" s="34">
        <f t="shared" si="933"/>
        <v>0</v>
      </c>
      <c r="AP1086" s="34">
        <f t="shared" si="934"/>
        <v>0</v>
      </c>
      <c r="AQ1086" s="34">
        <f t="shared" si="935"/>
        <v>0</v>
      </c>
      <c r="AR1086" s="34">
        <f t="shared" si="936"/>
        <v>0</v>
      </c>
      <c r="AS1086" s="30">
        <f t="shared" si="937"/>
        <v>2.4526968278979222</v>
      </c>
      <c r="AT1086" s="29">
        <f t="shared" si="938"/>
        <v>0</v>
      </c>
      <c r="AU1086" s="29">
        <f t="shared" si="939"/>
        <v>0</v>
      </c>
      <c r="AV1086" s="34">
        <f t="shared" si="940"/>
        <v>0</v>
      </c>
      <c r="AW1086" s="34">
        <f t="shared" si="941"/>
        <v>0</v>
      </c>
      <c r="AX1086" s="29">
        <f t="shared" si="942"/>
        <v>0</v>
      </c>
      <c r="AY1086" s="34">
        <f t="shared" si="943"/>
        <v>0</v>
      </c>
      <c r="AZ1086" s="37">
        <f t="shared" si="944"/>
        <v>0</v>
      </c>
      <c r="BA1086" s="37">
        <f t="shared" si="945"/>
        <v>0</v>
      </c>
      <c r="BB1086" s="35">
        <f t="shared" si="946"/>
        <v>1.8975699525918266E-3</v>
      </c>
      <c r="BC1086" s="31">
        <f t="shared" si="947"/>
        <v>0.12857728290653506</v>
      </c>
      <c r="BD1086" s="34">
        <f t="shared" si="948"/>
        <v>0</v>
      </c>
    </row>
    <row r="1087" spans="1:56" x14ac:dyDescent="0.2">
      <c r="A1087" s="27">
        <f t="shared" si="949"/>
        <v>1083</v>
      </c>
      <c r="B1087" s="28">
        <f t="shared" si="896"/>
        <v>1083</v>
      </c>
      <c r="C1087" s="27">
        <f t="shared" si="897"/>
        <v>90</v>
      </c>
      <c r="D1087" s="28">
        <f t="shared" si="898"/>
        <v>110</v>
      </c>
      <c r="E1087" s="29">
        <f t="shared" si="899"/>
        <v>0</v>
      </c>
      <c r="F1087" s="30">
        <f t="shared" si="900"/>
        <v>0.74382128519873325</v>
      </c>
      <c r="G1087" s="31">
        <f t="shared" si="901"/>
        <v>0.10728687452127461</v>
      </c>
      <c r="H1087" s="32">
        <f t="shared" si="902"/>
        <v>0.02</v>
      </c>
      <c r="I1087" s="32">
        <f t="shared" si="903"/>
        <v>0</v>
      </c>
      <c r="J1087" s="33">
        <f t="shared" si="950"/>
        <v>0</v>
      </c>
      <c r="K1087" s="30">
        <f t="shared" si="904"/>
        <v>0</v>
      </c>
      <c r="L1087" s="33">
        <f t="shared" si="905"/>
        <v>0</v>
      </c>
      <c r="M1087" s="30">
        <f t="shared" si="906"/>
        <v>0</v>
      </c>
      <c r="N1087" s="33">
        <f t="shared" si="907"/>
        <v>0</v>
      </c>
      <c r="O1087" s="31">
        <f t="shared" si="908"/>
        <v>0</v>
      </c>
      <c r="P1087" s="33">
        <f t="shared" si="909"/>
        <v>0</v>
      </c>
      <c r="Q1087" s="34">
        <f t="shared" si="951"/>
        <v>1190766.4835071499</v>
      </c>
      <c r="R1087" s="29">
        <f t="shared" si="910"/>
        <v>0</v>
      </c>
      <c r="S1087" s="34">
        <f t="shared" si="911"/>
        <v>1190766.4835071499</v>
      </c>
      <c r="T1087" s="29">
        <f t="shared" si="912"/>
        <v>992.30540292262492</v>
      </c>
      <c r="U1087" s="29">
        <f t="shared" si="913"/>
        <v>0</v>
      </c>
      <c r="V1087" s="35">
        <f t="shared" si="914"/>
        <v>0.11801556197340209</v>
      </c>
      <c r="W1087" s="34">
        <f t="shared" si="915"/>
        <v>0</v>
      </c>
      <c r="X1087" s="34">
        <f t="shared" si="916"/>
        <v>1189774.1781042272</v>
      </c>
      <c r="Y1087" s="36">
        <f t="shared" si="917"/>
        <v>-1.609923683246639E-3</v>
      </c>
      <c r="Z1087" s="34">
        <f t="shared" si="918"/>
        <v>-1915.4456270453002</v>
      </c>
      <c r="AA1087" s="34">
        <f t="shared" si="919"/>
        <v>1188816.4552907045</v>
      </c>
      <c r="AB1087" s="34">
        <f t="shared" si="920"/>
        <v>0</v>
      </c>
      <c r="AC1087" s="34">
        <f t="shared" si="921"/>
        <v>0</v>
      </c>
      <c r="AD1087" s="34">
        <f t="shared" si="922"/>
        <v>0</v>
      </c>
      <c r="AE1087" s="34">
        <f t="shared" si="923"/>
        <v>0</v>
      </c>
      <c r="AF1087" s="34">
        <f t="shared" si="924"/>
        <v>0</v>
      </c>
      <c r="AG1087" s="29">
        <f t="shared" si="925"/>
        <v>1188816.4552907045</v>
      </c>
      <c r="AH1087" s="34">
        <f t="shared" si="926"/>
        <v>0</v>
      </c>
      <c r="AI1087" s="34">
        <f t="shared" si="927"/>
        <v>0</v>
      </c>
      <c r="AJ1087" s="34">
        <f t="shared" si="928"/>
        <v>0</v>
      </c>
      <c r="AK1087" s="34">
        <f t="shared" si="929"/>
        <v>0</v>
      </c>
      <c r="AL1087" s="34">
        <f t="shared" si="930"/>
        <v>0</v>
      </c>
      <c r="AM1087" s="34">
        <f t="shared" si="931"/>
        <v>0</v>
      </c>
      <c r="AN1087" s="34">
        <f t="shared" si="932"/>
        <v>0</v>
      </c>
      <c r="AO1087" s="34">
        <f t="shared" si="933"/>
        <v>0</v>
      </c>
      <c r="AP1087" s="34">
        <f t="shared" si="934"/>
        <v>0</v>
      </c>
      <c r="AQ1087" s="34">
        <f t="shared" si="935"/>
        <v>0</v>
      </c>
      <c r="AR1087" s="34">
        <f t="shared" si="936"/>
        <v>0</v>
      </c>
      <c r="AS1087" s="30">
        <f t="shared" si="937"/>
        <v>2.4547314333995995</v>
      </c>
      <c r="AT1087" s="29">
        <f t="shared" si="938"/>
        <v>0</v>
      </c>
      <c r="AU1087" s="29">
        <f t="shared" si="939"/>
        <v>0</v>
      </c>
      <c r="AV1087" s="34">
        <f t="shared" si="940"/>
        <v>0</v>
      </c>
      <c r="AW1087" s="34">
        <f t="shared" si="941"/>
        <v>0</v>
      </c>
      <c r="AX1087" s="29">
        <f t="shared" si="942"/>
        <v>0</v>
      </c>
      <c r="AY1087" s="34">
        <f t="shared" si="943"/>
        <v>0</v>
      </c>
      <c r="AZ1087" s="37">
        <f t="shared" si="944"/>
        <v>0</v>
      </c>
      <c r="BA1087" s="37">
        <f t="shared" si="945"/>
        <v>0</v>
      </c>
      <c r="BB1087" s="35">
        <f t="shared" si="946"/>
        <v>1.8975699525918266E-3</v>
      </c>
      <c r="BC1087" s="31">
        <f t="shared" si="947"/>
        <v>0.12833376061848231</v>
      </c>
      <c r="BD1087" s="34">
        <f t="shared" si="948"/>
        <v>0</v>
      </c>
    </row>
    <row r="1088" spans="1:56" x14ac:dyDescent="0.2">
      <c r="A1088" s="27">
        <f t="shared" si="949"/>
        <v>1084</v>
      </c>
      <c r="B1088" s="28">
        <f t="shared" si="896"/>
        <v>1084</v>
      </c>
      <c r="C1088" s="27">
        <f t="shared" si="897"/>
        <v>90</v>
      </c>
      <c r="D1088" s="28">
        <f t="shared" si="898"/>
        <v>110</v>
      </c>
      <c r="E1088" s="29">
        <f t="shared" si="899"/>
        <v>0</v>
      </c>
      <c r="F1088" s="30">
        <f t="shared" si="900"/>
        <v>0.74382128519873325</v>
      </c>
      <c r="G1088" s="31">
        <f t="shared" si="901"/>
        <v>0.10728687452127461</v>
      </c>
      <c r="H1088" s="32">
        <f t="shared" si="902"/>
        <v>0.02</v>
      </c>
      <c r="I1088" s="32">
        <f t="shared" si="903"/>
        <v>0</v>
      </c>
      <c r="J1088" s="33">
        <f t="shared" si="950"/>
        <v>0</v>
      </c>
      <c r="K1088" s="30">
        <f t="shared" si="904"/>
        <v>0</v>
      </c>
      <c r="L1088" s="33">
        <f t="shared" si="905"/>
        <v>0</v>
      </c>
      <c r="M1088" s="30">
        <f t="shared" si="906"/>
        <v>0</v>
      </c>
      <c r="N1088" s="33">
        <f t="shared" si="907"/>
        <v>0</v>
      </c>
      <c r="O1088" s="31">
        <f t="shared" si="908"/>
        <v>0</v>
      </c>
      <c r="P1088" s="33">
        <f t="shared" si="909"/>
        <v>0</v>
      </c>
      <c r="Q1088" s="34">
        <f t="shared" si="951"/>
        <v>1187858.7324771818</v>
      </c>
      <c r="R1088" s="29">
        <f t="shared" si="910"/>
        <v>0</v>
      </c>
      <c r="S1088" s="34">
        <f t="shared" si="911"/>
        <v>1187858.7324771818</v>
      </c>
      <c r="T1088" s="29">
        <f t="shared" si="912"/>
        <v>989.88227706431826</v>
      </c>
      <c r="U1088" s="29">
        <f t="shared" si="913"/>
        <v>0</v>
      </c>
      <c r="V1088" s="35">
        <f t="shared" si="914"/>
        <v>0.11801556197340209</v>
      </c>
      <c r="W1088" s="34">
        <f t="shared" si="915"/>
        <v>0</v>
      </c>
      <c r="X1088" s="34">
        <f t="shared" si="916"/>
        <v>1186868.8502001176</v>
      </c>
      <c r="Y1088" s="36">
        <f t="shared" si="917"/>
        <v>4.7381558156609493E-3</v>
      </c>
      <c r="Z1088" s="34">
        <f t="shared" si="918"/>
        <v>5623.5695450025114</v>
      </c>
      <c r="AA1088" s="34">
        <f t="shared" si="919"/>
        <v>1189680.6349726189</v>
      </c>
      <c r="AB1088" s="34">
        <f t="shared" si="920"/>
        <v>0</v>
      </c>
      <c r="AC1088" s="34">
        <f t="shared" si="921"/>
        <v>0</v>
      </c>
      <c r="AD1088" s="34">
        <f t="shared" si="922"/>
        <v>0</v>
      </c>
      <c r="AE1088" s="34">
        <f t="shared" si="923"/>
        <v>0</v>
      </c>
      <c r="AF1088" s="34">
        <f t="shared" si="924"/>
        <v>0</v>
      </c>
      <c r="AG1088" s="29">
        <f t="shared" si="925"/>
        <v>1189680.6349726189</v>
      </c>
      <c r="AH1088" s="34">
        <f t="shared" si="926"/>
        <v>0</v>
      </c>
      <c r="AI1088" s="34">
        <f t="shared" si="927"/>
        <v>0</v>
      </c>
      <c r="AJ1088" s="34">
        <f t="shared" si="928"/>
        <v>0</v>
      </c>
      <c r="AK1088" s="34">
        <f t="shared" si="929"/>
        <v>0</v>
      </c>
      <c r="AL1088" s="34">
        <f t="shared" si="930"/>
        <v>0</v>
      </c>
      <c r="AM1088" s="34">
        <f t="shared" si="931"/>
        <v>0</v>
      </c>
      <c r="AN1088" s="34">
        <f t="shared" si="932"/>
        <v>0</v>
      </c>
      <c r="AO1088" s="34">
        <f t="shared" si="933"/>
        <v>0</v>
      </c>
      <c r="AP1088" s="34">
        <f t="shared" si="934"/>
        <v>0</v>
      </c>
      <c r="AQ1088" s="34">
        <f t="shared" si="935"/>
        <v>0</v>
      </c>
      <c r="AR1088" s="34">
        <f t="shared" si="936"/>
        <v>0</v>
      </c>
      <c r="AS1088" s="30">
        <f t="shared" si="937"/>
        <v>2.4567677266840882</v>
      </c>
      <c r="AT1088" s="29">
        <f t="shared" si="938"/>
        <v>0</v>
      </c>
      <c r="AU1088" s="29">
        <f t="shared" si="939"/>
        <v>0</v>
      </c>
      <c r="AV1088" s="34">
        <f t="shared" si="940"/>
        <v>0</v>
      </c>
      <c r="AW1088" s="34">
        <f t="shared" si="941"/>
        <v>0</v>
      </c>
      <c r="AX1088" s="29">
        <f t="shared" si="942"/>
        <v>0</v>
      </c>
      <c r="AY1088" s="34">
        <f t="shared" si="943"/>
        <v>0</v>
      </c>
      <c r="AZ1088" s="37">
        <f t="shared" si="944"/>
        <v>0</v>
      </c>
      <c r="BA1088" s="37">
        <f t="shared" si="945"/>
        <v>0</v>
      </c>
      <c r="BB1088" s="35">
        <f t="shared" si="946"/>
        <v>1.8975699525918266E-3</v>
      </c>
      <c r="BC1088" s="31">
        <f t="shared" si="947"/>
        <v>0.12809069955579877</v>
      </c>
      <c r="BD1088" s="34">
        <f t="shared" si="948"/>
        <v>0</v>
      </c>
    </row>
    <row r="1089" spans="1:56" x14ac:dyDescent="0.2">
      <c r="A1089" s="27">
        <f t="shared" si="949"/>
        <v>1085</v>
      </c>
      <c r="B1089" s="28">
        <f t="shared" si="896"/>
        <v>1085</v>
      </c>
      <c r="C1089" s="27">
        <f t="shared" si="897"/>
        <v>90</v>
      </c>
      <c r="D1089" s="28">
        <f t="shared" si="898"/>
        <v>110</v>
      </c>
      <c r="E1089" s="29">
        <f t="shared" si="899"/>
        <v>0</v>
      </c>
      <c r="F1089" s="30">
        <f t="shared" si="900"/>
        <v>0.74382128519873325</v>
      </c>
      <c r="G1089" s="31">
        <f t="shared" si="901"/>
        <v>0.10728687452127461</v>
      </c>
      <c r="H1089" s="32">
        <f t="shared" si="902"/>
        <v>0.02</v>
      </c>
      <c r="I1089" s="32">
        <f t="shared" si="903"/>
        <v>0</v>
      </c>
      <c r="J1089" s="33">
        <f t="shared" si="950"/>
        <v>0</v>
      </c>
      <c r="K1089" s="30">
        <f t="shared" si="904"/>
        <v>0</v>
      </c>
      <c r="L1089" s="33">
        <f t="shared" si="905"/>
        <v>0</v>
      </c>
      <c r="M1089" s="30">
        <f t="shared" si="906"/>
        <v>0</v>
      </c>
      <c r="N1089" s="33">
        <f t="shared" si="907"/>
        <v>0</v>
      </c>
      <c r="O1089" s="31">
        <f t="shared" si="908"/>
        <v>0</v>
      </c>
      <c r="P1089" s="33">
        <f t="shared" si="909"/>
        <v>0</v>
      </c>
      <c r="Q1089" s="34">
        <f t="shared" si="951"/>
        <v>1192492.41974512</v>
      </c>
      <c r="R1089" s="29">
        <f t="shared" si="910"/>
        <v>0</v>
      </c>
      <c r="S1089" s="34">
        <f t="shared" si="911"/>
        <v>1192492.41974512</v>
      </c>
      <c r="T1089" s="29">
        <f t="shared" si="912"/>
        <v>993.74368312093338</v>
      </c>
      <c r="U1089" s="29">
        <f t="shared" si="913"/>
        <v>0</v>
      </c>
      <c r="V1089" s="35">
        <f t="shared" si="914"/>
        <v>0.11801556197340209</v>
      </c>
      <c r="W1089" s="34">
        <f t="shared" si="915"/>
        <v>0</v>
      </c>
      <c r="X1089" s="34">
        <f t="shared" si="916"/>
        <v>1191498.6760619991</v>
      </c>
      <c r="Y1089" s="36">
        <f t="shared" si="917"/>
        <v>5.6953163371287197E-3</v>
      </c>
      <c r="Z1089" s="34">
        <f t="shared" si="918"/>
        <v>6785.9618754431431</v>
      </c>
      <c r="AA1089" s="34">
        <f t="shared" si="919"/>
        <v>1194891.6569997207</v>
      </c>
      <c r="AB1089" s="34">
        <f t="shared" si="920"/>
        <v>0</v>
      </c>
      <c r="AC1089" s="34">
        <f t="shared" si="921"/>
        <v>0</v>
      </c>
      <c r="AD1089" s="34">
        <f t="shared" si="922"/>
        <v>0</v>
      </c>
      <c r="AE1089" s="34">
        <f t="shared" si="923"/>
        <v>0</v>
      </c>
      <c r="AF1089" s="34">
        <f t="shared" si="924"/>
        <v>0</v>
      </c>
      <c r="AG1089" s="29">
        <f t="shared" si="925"/>
        <v>1194891.6569997207</v>
      </c>
      <c r="AH1089" s="34">
        <f t="shared" si="926"/>
        <v>0</v>
      </c>
      <c r="AI1089" s="34">
        <f t="shared" si="927"/>
        <v>0</v>
      </c>
      <c r="AJ1089" s="34">
        <f t="shared" si="928"/>
        <v>0</v>
      </c>
      <c r="AK1089" s="34">
        <f t="shared" si="929"/>
        <v>0</v>
      </c>
      <c r="AL1089" s="34">
        <f t="shared" si="930"/>
        <v>0</v>
      </c>
      <c r="AM1089" s="34">
        <f t="shared" si="931"/>
        <v>0</v>
      </c>
      <c r="AN1089" s="34">
        <f t="shared" si="932"/>
        <v>0</v>
      </c>
      <c r="AO1089" s="34">
        <f t="shared" si="933"/>
        <v>0</v>
      </c>
      <c r="AP1089" s="34">
        <f t="shared" si="934"/>
        <v>0</v>
      </c>
      <c r="AQ1089" s="34">
        <f t="shared" si="935"/>
        <v>0</v>
      </c>
      <c r="AR1089" s="34">
        <f t="shared" si="936"/>
        <v>0</v>
      </c>
      <c r="AS1089" s="30">
        <f t="shared" si="937"/>
        <v>2.4588057091514686</v>
      </c>
      <c r="AT1089" s="29">
        <f t="shared" si="938"/>
        <v>0</v>
      </c>
      <c r="AU1089" s="29">
        <f t="shared" si="939"/>
        <v>0</v>
      </c>
      <c r="AV1089" s="34">
        <f t="shared" si="940"/>
        <v>0</v>
      </c>
      <c r="AW1089" s="34">
        <f t="shared" si="941"/>
        <v>0</v>
      </c>
      <c r="AX1089" s="29">
        <f t="shared" si="942"/>
        <v>0</v>
      </c>
      <c r="AY1089" s="34">
        <f t="shared" si="943"/>
        <v>0</v>
      </c>
      <c r="AZ1089" s="37">
        <f t="shared" si="944"/>
        <v>0</v>
      </c>
      <c r="BA1089" s="37">
        <f t="shared" si="945"/>
        <v>0</v>
      </c>
      <c r="BB1089" s="35">
        <f t="shared" si="946"/>
        <v>1.8975699525918266E-3</v>
      </c>
      <c r="BC1089" s="31">
        <f t="shared" si="947"/>
        <v>0.12784809884493462</v>
      </c>
      <c r="BD1089" s="34">
        <f t="shared" si="948"/>
        <v>0</v>
      </c>
    </row>
    <row r="1090" spans="1:56" x14ac:dyDescent="0.2">
      <c r="A1090" s="27">
        <f t="shared" si="949"/>
        <v>1086</v>
      </c>
      <c r="B1090" s="28">
        <f t="shared" si="896"/>
        <v>1086</v>
      </c>
      <c r="C1090" s="27">
        <f t="shared" si="897"/>
        <v>90</v>
      </c>
      <c r="D1090" s="28">
        <f t="shared" si="898"/>
        <v>110</v>
      </c>
      <c r="E1090" s="29">
        <f t="shared" si="899"/>
        <v>0</v>
      </c>
      <c r="F1090" s="30">
        <f t="shared" si="900"/>
        <v>0.74382128519873325</v>
      </c>
      <c r="G1090" s="31">
        <f t="shared" si="901"/>
        <v>0.10728687452127461</v>
      </c>
      <c r="H1090" s="32">
        <f t="shared" si="902"/>
        <v>0.02</v>
      </c>
      <c r="I1090" s="32">
        <f t="shared" si="903"/>
        <v>0</v>
      </c>
      <c r="J1090" s="33">
        <f t="shared" si="950"/>
        <v>0</v>
      </c>
      <c r="K1090" s="30">
        <f t="shared" si="904"/>
        <v>0</v>
      </c>
      <c r="L1090" s="33">
        <f t="shared" si="905"/>
        <v>0</v>
      </c>
      <c r="M1090" s="30">
        <f t="shared" si="906"/>
        <v>0</v>
      </c>
      <c r="N1090" s="33">
        <f t="shared" si="907"/>
        <v>0</v>
      </c>
      <c r="O1090" s="31">
        <f t="shared" si="908"/>
        <v>0</v>
      </c>
      <c r="P1090" s="33">
        <f t="shared" si="909"/>
        <v>0</v>
      </c>
      <c r="Q1090" s="34">
        <f t="shared" si="951"/>
        <v>1198284.6379374422</v>
      </c>
      <c r="R1090" s="29">
        <f t="shared" si="910"/>
        <v>0</v>
      </c>
      <c r="S1090" s="34">
        <f t="shared" si="911"/>
        <v>1198284.6379374422</v>
      </c>
      <c r="T1090" s="29">
        <f t="shared" si="912"/>
        <v>998.57053161453518</v>
      </c>
      <c r="U1090" s="29">
        <f t="shared" si="913"/>
        <v>0</v>
      </c>
      <c r="V1090" s="35">
        <f t="shared" si="914"/>
        <v>0.11801556197340209</v>
      </c>
      <c r="W1090" s="34">
        <f t="shared" si="915"/>
        <v>0</v>
      </c>
      <c r="X1090" s="34">
        <f t="shared" si="916"/>
        <v>1197286.0674058276</v>
      </c>
      <c r="Y1090" s="36">
        <f t="shared" si="917"/>
        <v>1.0208120108476049E-2</v>
      </c>
      <c r="Z1090" s="34">
        <f t="shared" si="918"/>
        <v>12222.039980283638</v>
      </c>
      <c r="AA1090" s="34">
        <f t="shared" si="919"/>
        <v>1203397.0873959693</v>
      </c>
      <c r="AB1090" s="34">
        <f t="shared" si="920"/>
        <v>0</v>
      </c>
      <c r="AC1090" s="34">
        <f t="shared" si="921"/>
        <v>0</v>
      </c>
      <c r="AD1090" s="34">
        <f t="shared" si="922"/>
        <v>0</v>
      </c>
      <c r="AE1090" s="34">
        <f t="shared" si="923"/>
        <v>0</v>
      </c>
      <c r="AF1090" s="34">
        <f t="shared" si="924"/>
        <v>0</v>
      </c>
      <c r="AG1090" s="29">
        <f t="shared" si="925"/>
        <v>1203397.0873959693</v>
      </c>
      <c r="AH1090" s="34">
        <f t="shared" si="926"/>
        <v>0</v>
      </c>
      <c r="AI1090" s="34">
        <f t="shared" si="927"/>
        <v>0</v>
      </c>
      <c r="AJ1090" s="34">
        <f t="shared" si="928"/>
        <v>0</v>
      </c>
      <c r="AK1090" s="34">
        <f t="shared" si="929"/>
        <v>0</v>
      </c>
      <c r="AL1090" s="34">
        <f t="shared" si="930"/>
        <v>0</v>
      </c>
      <c r="AM1090" s="34">
        <f t="shared" si="931"/>
        <v>0</v>
      </c>
      <c r="AN1090" s="34">
        <f t="shared" si="932"/>
        <v>0</v>
      </c>
      <c r="AO1090" s="34">
        <f t="shared" si="933"/>
        <v>0</v>
      </c>
      <c r="AP1090" s="34">
        <f t="shared" si="934"/>
        <v>0</v>
      </c>
      <c r="AQ1090" s="34">
        <f t="shared" si="935"/>
        <v>0</v>
      </c>
      <c r="AR1090" s="34">
        <f t="shared" si="936"/>
        <v>0</v>
      </c>
      <c r="AS1090" s="30">
        <f t="shared" si="937"/>
        <v>2.4608453822029817</v>
      </c>
      <c r="AT1090" s="29">
        <f t="shared" si="938"/>
        <v>0</v>
      </c>
      <c r="AU1090" s="29">
        <f t="shared" si="939"/>
        <v>0</v>
      </c>
      <c r="AV1090" s="34">
        <f t="shared" si="940"/>
        <v>0</v>
      </c>
      <c r="AW1090" s="34">
        <f t="shared" si="941"/>
        <v>0</v>
      </c>
      <c r="AX1090" s="29">
        <f t="shared" si="942"/>
        <v>0</v>
      </c>
      <c r="AY1090" s="34">
        <f t="shared" si="943"/>
        <v>0</v>
      </c>
      <c r="AZ1090" s="37">
        <f t="shared" si="944"/>
        <v>0</v>
      </c>
      <c r="BA1090" s="37">
        <f t="shared" si="945"/>
        <v>0</v>
      </c>
      <c r="BB1090" s="35">
        <f t="shared" si="946"/>
        <v>1.8975699525918266E-3</v>
      </c>
      <c r="BC1090" s="31">
        <f t="shared" si="947"/>
        <v>0.1276059576139946</v>
      </c>
      <c r="BD1090" s="34">
        <f t="shared" si="948"/>
        <v>0</v>
      </c>
    </row>
    <row r="1091" spans="1:56" x14ac:dyDescent="0.2">
      <c r="A1091" s="27">
        <f t="shared" si="949"/>
        <v>1087</v>
      </c>
      <c r="B1091" s="28">
        <f t="shared" si="896"/>
        <v>1087</v>
      </c>
      <c r="C1091" s="27">
        <f t="shared" si="897"/>
        <v>90</v>
      </c>
      <c r="D1091" s="28">
        <f t="shared" si="898"/>
        <v>110</v>
      </c>
      <c r="E1091" s="29">
        <f t="shared" si="899"/>
        <v>0</v>
      </c>
      <c r="F1091" s="30">
        <f t="shared" si="900"/>
        <v>0.74382128519873325</v>
      </c>
      <c r="G1091" s="31">
        <f t="shared" si="901"/>
        <v>0.10728687452127461</v>
      </c>
      <c r="H1091" s="32">
        <f t="shared" si="902"/>
        <v>0.02</v>
      </c>
      <c r="I1091" s="32">
        <f t="shared" si="903"/>
        <v>0</v>
      </c>
      <c r="J1091" s="33">
        <f t="shared" si="950"/>
        <v>0</v>
      </c>
      <c r="K1091" s="30">
        <f t="shared" si="904"/>
        <v>0</v>
      </c>
      <c r="L1091" s="33">
        <f t="shared" si="905"/>
        <v>0</v>
      </c>
      <c r="M1091" s="30">
        <f t="shared" si="906"/>
        <v>0</v>
      </c>
      <c r="N1091" s="33">
        <f t="shared" si="907"/>
        <v>0</v>
      </c>
      <c r="O1091" s="31">
        <f t="shared" si="908"/>
        <v>0</v>
      </c>
      <c r="P1091" s="33">
        <f t="shared" si="909"/>
        <v>0</v>
      </c>
      <c r="Q1091" s="34">
        <f t="shared" si="951"/>
        <v>1209508.1073861113</v>
      </c>
      <c r="R1091" s="29">
        <f t="shared" si="910"/>
        <v>0</v>
      </c>
      <c r="S1091" s="34">
        <f t="shared" si="911"/>
        <v>1209508.1073861113</v>
      </c>
      <c r="T1091" s="29">
        <f t="shared" si="912"/>
        <v>1007.9234228217595</v>
      </c>
      <c r="U1091" s="29">
        <f t="shared" si="913"/>
        <v>0</v>
      </c>
      <c r="V1091" s="35">
        <f t="shared" si="914"/>
        <v>0.11801556197340209</v>
      </c>
      <c r="W1091" s="34">
        <f t="shared" si="915"/>
        <v>0</v>
      </c>
      <c r="X1091" s="34">
        <f t="shared" si="916"/>
        <v>1208500.1839632895</v>
      </c>
      <c r="Y1091" s="36">
        <f t="shared" si="917"/>
        <v>-8.7753182243689443E-3</v>
      </c>
      <c r="Z1091" s="34">
        <f t="shared" si="918"/>
        <v>-10604.973688486276</v>
      </c>
      <c r="AA1091" s="34">
        <f t="shared" si="919"/>
        <v>1203197.6971190462</v>
      </c>
      <c r="AB1091" s="34">
        <f t="shared" si="920"/>
        <v>0</v>
      </c>
      <c r="AC1091" s="34">
        <f t="shared" si="921"/>
        <v>0</v>
      </c>
      <c r="AD1091" s="34">
        <f t="shared" si="922"/>
        <v>0</v>
      </c>
      <c r="AE1091" s="34">
        <f t="shared" si="923"/>
        <v>0</v>
      </c>
      <c r="AF1091" s="34">
        <f t="shared" si="924"/>
        <v>0</v>
      </c>
      <c r="AG1091" s="29">
        <f t="shared" si="925"/>
        <v>1203197.6971190462</v>
      </c>
      <c r="AH1091" s="34">
        <f t="shared" si="926"/>
        <v>0</v>
      </c>
      <c r="AI1091" s="34">
        <f t="shared" si="927"/>
        <v>0</v>
      </c>
      <c r="AJ1091" s="34">
        <f t="shared" si="928"/>
        <v>0</v>
      </c>
      <c r="AK1091" s="34">
        <f t="shared" si="929"/>
        <v>0</v>
      </c>
      <c r="AL1091" s="34">
        <f t="shared" si="930"/>
        <v>0</v>
      </c>
      <c r="AM1091" s="34">
        <f t="shared" si="931"/>
        <v>0</v>
      </c>
      <c r="AN1091" s="34">
        <f t="shared" si="932"/>
        <v>0</v>
      </c>
      <c r="AO1091" s="34">
        <f t="shared" si="933"/>
        <v>0</v>
      </c>
      <c r="AP1091" s="34">
        <f t="shared" si="934"/>
        <v>0</v>
      </c>
      <c r="AQ1091" s="34">
        <f t="shared" si="935"/>
        <v>0</v>
      </c>
      <c r="AR1091" s="34">
        <f t="shared" si="936"/>
        <v>0</v>
      </c>
      <c r="AS1091" s="30">
        <f t="shared" si="937"/>
        <v>2.4628867472410318</v>
      </c>
      <c r="AT1091" s="29">
        <f t="shared" si="938"/>
        <v>0</v>
      </c>
      <c r="AU1091" s="29">
        <f t="shared" si="939"/>
        <v>0</v>
      </c>
      <c r="AV1091" s="34">
        <f t="shared" si="940"/>
        <v>0</v>
      </c>
      <c r="AW1091" s="34">
        <f t="shared" si="941"/>
        <v>0</v>
      </c>
      <c r="AX1091" s="29">
        <f t="shared" si="942"/>
        <v>0</v>
      </c>
      <c r="AY1091" s="34">
        <f t="shared" si="943"/>
        <v>0</v>
      </c>
      <c r="AZ1091" s="37">
        <f t="shared" si="944"/>
        <v>0</v>
      </c>
      <c r="BA1091" s="37">
        <f t="shared" si="945"/>
        <v>0</v>
      </c>
      <c r="BB1091" s="35">
        <f t="shared" si="946"/>
        <v>1.8975699525918266E-3</v>
      </c>
      <c r="BC1091" s="31">
        <f t="shared" si="947"/>
        <v>0.12736427499273473</v>
      </c>
      <c r="BD1091" s="34">
        <f t="shared" si="948"/>
        <v>0</v>
      </c>
    </row>
    <row r="1092" spans="1:56" x14ac:dyDescent="0.2">
      <c r="A1092" s="27">
        <f t="shared" si="949"/>
        <v>1088</v>
      </c>
      <c r="B1092" s="28">
        <f t="shared" ref="B1092:B1145" si="952">Duration0+A1092</f>
        <v>1088</v>
      </c>
      <c r="C1092" s="27">
        <f t="shared" ref="C1092:C1145" si="953">INT(B1092/12)</f>
        <v>90</v>
      </c>
      <c r="D1092" s="28">
        <f t="shared" ref="D1092:D1145" si="954">AgeAtEntry+C1092</f>
        <v>110</v>
      </c>
      <c r="E1092" s="29">
        <f t="shared" ref="E1092:E1145" si="955">IF(PremiumType="SINGLE",IF(B1092=0,PremiumPPInput,0),IF(B1092&lt;12*PolicyTerm,PremiumPPInput,0))</f>
        <v>0</v>
      </c>
      <c r="F1092" s="30">
        <f t="shared" ref="F1092:F1145" si="956">INDEX(MortRates,MATCH(MIN(D1092,120),MortAges,0),MAX(MIN(C1092,5),0)+1)</f>
        <v>0.74382128519873325</v>
      </c>
      <c r="G1092" s="31">
        <f t="shared" ref="G1092:G1145" si="957">1-(1-F1092)^(1/12)</f>
        <v>0.10728687452127461</v>
      </c>
      <c r="H1092" s="32">
        <f t="shared" ref="H1092:H1145" si="958">MAX(LapseBase-LapseStep*C1092,LapseFloor)</f>
        <v>0.02</v>
      </c>
      <c r="I1092" s="32">
        <f t="shared" ref="I1092:I1145" si="959">IF(HasSurrCharge,INDEX(SurrRates,MIN(C1092,SurrDurMax)+1,MATCH(SurrChargeID,SurrTypes,0)),0)</f>
        <v>0</v>
      </c>
      <c r="J1092" s="33">
        <f t="shared" si="950"/>
        <v>0</v>
      </c>
      <c r="K1092" s="30">
        <f t="shared" ref="K1092:K1145" si="960">IF(B1092=12*PolicyTerm,J1092,0)</f>
        <v>0</v>
      </c>
      <c r="L1092" s="33">
        <f t="shared" ref="L1092:L1145" si="961">J1092-K1092</f>
        <v>0</v>
      </c>
      <c r="M1092" s="30">
        <f t="shared" ref="M1092:M1145" si="962">IF(B1092=0,PolicyCount,0)</f>
        <v>0</v>
      </c>
      <c r="N1092" s="33">
        <f t="shared" ref="N1092:N1145" si="963">L1092+M1092</f>
        <v>0</v>
      </c>
      <c r="O1092" s="31">
        <f t="shared" ref="O1092:O1145" si="964">N1092*G1092</f>
        <v>0</v>
      </c>
      <c r="P1092" s="33">
        <f t="shared" ref="P1092:P1145" si="965">(N1092-O1092)*(1-(1-H1092)^(1/12))</f>
        <v>0</v>
      </c>
      <c r="Q1092" s="34">
        <f t="shared" si="951"/>
        <v>1197895.2102748032</v>
      </c>
      <c r="R1092" s="29">
        <f t="shared" ref="R1092:R1145" si="966">(1-LoadPremRate)*E1092</f>
        <v>0</v>
      </c>
      <c r="S1092" s="34">
        <f t="shared" ref="S1092:S1145" si="967">Q1092+R1092</f>
        <v>1197895.2102748032</v>
      </c>
      <c r="T1092" s="29">
        <f t="shared" ref="T1092:T1145" si="968">MaintFeeRateAnn/12*S1092</f>
        <v>998.2460085623361</v>
      </c>
      <c r="U1092" s="29">
        <f t="shared" ref="U1092:U1145" si="969">MAX(SumAssured-S1092,0)</f>
        <v>0</v>
      </c>
      <c r="V1092" s="35">
        <f t="shared" ref="V1092:V1145" si="970">CoiMultiple*G1092</f>
        <v>0.11801556197340209</v>
      </c>
      <c r="W1092" s="34">
        <f t="shared" ref="W1092:W1145" si="971">V1092*U1092</f>
        <v>0</v>
      </c>
      <c r="X1092" s="34">
        <f t="shared" ref="X1092:X1145" si="972">S1092-T1092-W1092</f>
        <v>1196896.9642662408</v>
      </c>
      <c r="Y1092" s="36">
        <f t="shared" ref="Y1092:Y1145" si="973">EXP((Mu-0.5*Sigma^2)/12+Sigma*SQRT(1/12)*INDEX(NormRand,ScenID,A1092+1))-1</f>
        <v>6.6364303617949538E-3</v>
      </c>
      <c r="Z1092" s="34">
        <f t="shared" ref="Z1092:Z1145" si="974">Y1092*X1092</f>
        <v>7943.1233535966903</v>
      </c>
      <c r="AA1092" s="34">
        <f t="shared" ref="AA1092:AA1145" si="975">X1092+0.5*Z1092</f>
        <v>1200868.5259430392</v>
      </c>
      <c r="AB1092" s="34">
        <f t="shared" ref="AB1092:AB1145" si="976">Q1092*J1092</f>
        <v>0</v>
      </c>
      <c r="AC1092" s="34">
        <f t="shared" ref="AC1092:AC1145" si="977">Q1092*L1092</f>
        <v>0</v>
      </c>
      <c r="AD1092" s="34">
        <f t="shared" ref="AD1092:AD1145" si="978">S1092*N1092</f>
        <v>0</v>
      </c>
      <c r="AE1092" s="34">
        <f t="shared" ref="AE1092:AE1145" si="979">E1092*N1092</f>
        <v>0</v>
      </c>
      <c r="AF1092" s="34">
        <f t="shared" ref="AF1092:AF1145" si="980">R1092*N1092</f>
        <v>0</v>
      </c>
      <c r="AG1092" s="29">
        <f t="shared" ref="AG1092:AG1145" si="981">MAX(SumAssured,AA1092)</f>
        <v>1200868.5259430392</v>
      </c>
      <c r="AH1092" s="34">
        <f t="shared" ref="AH1092:AH1145" si="982">AG1092*O1092</f>
        <v>0</v>
      </c>
      <c r="AI1092" s="34">
        <f t="shared" ref="AI1092:AI1145" si="983">AA1092*O1092</f>
        <v>0</v>
      </c>
      <c r="AJ1092" s="34">
        <f t="shared" ref="AJ1092:AJ1145" si="984">AA1092*P1092</f>
        <v>0</v>
      </c>
      <c r="AK1092" s="34">
        <f t="shared" ref="AK1092:AK1145" si="985">I1092*AA1092*P1092</f>
        <v>0</v>
      </c>
      <c r="AL1092" s="34">
        <f t="shared" ref="AL1092:AL1145" si="986">AJ1092-AK1092</f>
        <v>0</v>
      </c>
      <c r="AM1092" s="34">
        <f t="shared" ref="AM1092:AM1145" si="987">Q1092*K1092</f>
        <v>0</v>
      </c>
      <c r="AN1092" s="34">
        <f t="shared" ref="AN1092:AN1145" si="988">AH1092+AL1092+AM1092</f>
        <v>0</v>
      </c>
      <c r="AO1092" s="34">
        <f t="shared" ref="AO1092:AO1145" si="989">(AG1092-AA1092)*O1092</f>
        <v>0</v>
      </c>
      <c r="AP1092" s="34">
        <f t="shared" ref="AP1092:AP1145" si="990">W1092*N1092</f>
        <v>0</v>
      </c>
      <c r="AQ1092" s="34">
        <f t="shared" ref="AQ1092:AQ1145" si="991">T1092*N1092</f>
        <v>0</v>
      </c>
      <c r="AR1092" s="34">
        <f t="shared" ref="AR1092:AR1145" si="992">Z1092*J1093+0.5*Z1092*(O1092+P1092)</f>
        <v>0</v>
      </c>
      <c r="AS1092" s="30">
        <f t="shared" ref="AS1092:AS1145" si="993">(1+InflationRate)^(A1092/12)</f>
        <v>2.4649298056691871</v>
      </c>
      <c r="AT1092" s="29">
        <f t="shared" ref="AT1092:AT1145" si="994">ExpenseAcq*M1092+N1092*ExpenseMaint/12*AS1092</f>
        <v>0</v>
      </c>
      <c r="AU1092" s="29">
        <f t="shared" ref="AU1092:AU1145" si="995">CommissionRate*AE1092</f>
        <v>0</v>
      </c>
      <c r="AV1092" s="34">
        <f t="shared" ref="AV1092:AV1145" si="996">AB1093-AB1092</f>
        <v>0</v>
      </c>
      <c r="AW1092" s="34">
        <f t="shared" ref="AW1092:AW1145" si="997">AE1092+AR1092-AN1092-AT1092-AU1092-AV1092</f>
        <v>0</v>
      </c>
      <c r="AX1092" s="29">
        <f t="shared" ref="AX1092:AX1145" si="998">LoadPremRate*E1092*N1092+AK1092+AQ1092-AU1092-AT1092</f>
        <v>0</v>
      </c>
      <c r="AY1092" s="34">
        <f t="shared" ref="AY1092:AY1145" si="999">AP1092-AO1092</f>
        <v>0</v>
      </c>
      <c r="AZ1092" s="37">
        <f t="shared" ref="AZ1092:AZ1145" si="1000">(AW1092-AX1092-AY1092)/MAX(1,ABS(AW1092),ABS(AX1092),ABS(AY1092))</f>
        <v>0</v>
      </c>
      <c r="BA1092" s="37">
        <f t="shared" ref="BA1092:BA1145" si="1001">IF(OR(K1092&gt;0,K1093&gt;0),0,(AC1093-(AC1092+AF1092-AQ1092-AP1092+AR1092-AI1092-AJ1092-AM1092))/MAX(1,ABS(AC1092),ABS(AC1093)))</f>
        <v>0</v>
      </c>
      <c r="BB1092" s="35">
        <f t="shared" ref="BB1092:BB1145" si="1002">(1+INDEX(DiscRateAnn,INT(A1092/12)+1))^(1/12)-1</f>
        <v>1.8975699525918266E-3</v>
      </c>
      <c r="BC1092" s="31">
        <f t="shared" ref="BC1092:BC1145" si="1003">(1+BB1092)^-A1092</f>
        <v>0.12712305011255931</v>
      </c>
      <c r="BD1092" s="34">
        <f t="shared" ref="BD1092:BD1145" si="1004">AW1092*BC1092</f>
        <v>0</v>
      </c>
    </row>
    <row r="1093" spans="1:56" x14ac:dyDescent="0.2">
      <c r="A1093" s="27">
        <f t="shared" ref="A1093:A1145" si="1005">A1092+1</f>
        <v>1089</v>
      </c>
      <c r="B1093" s="28">
        <f t="shared" si="952"/>
        <v>1089</v>
      </c>
      <c r="C1093" s="27">
        <f t="shared" si="953"/>
        <v>90</v>
      </c>
      <c r="D1093" s="28">
        <f t="shared" si="954"/>
        <v>110</v>
      </c>
      <c r="E1093" s="29">
        <f t="shared" si="955"/>
        <v>0</v>
      </c>
      <c r="F1093" s="30">
        <f t="shared" si="956"/>
        <v>0.74382128519873325</v>
      </c>
      <c r="G1093" s="31">
        <f t="shared" si="957"/>
        <v>0.10728687452127461</v>
      </c>
      <c r="H1093" s="32">
        <f t="shared" si="958"/>
        <v>0.02</v>
      </c>
      <c r="I1093" s="32">
        <f t="shared" si="959"/>
        <v>0</v>
      </c>
      <c r="J1093" s="33">
        <f t="shared" ref="J1093:J1145" si="1006">N1092-P1092-O1092</f>
        <v>0</v>
      </c>
      <c r="K1093" s="30">
        <f t="shared" si="960"/>
        <v>0</v>
      </c>
      <c r="L1093" s="33">
        <f t="shared" si="961"/>
        <v>0</v>
      </c>
      <c r="M1093" s="30">
        <f t="shared" si="962"/>
        <v>0</v>
      </c>
      <c r="N1093" s="33">
        <f t="shared" si="963"/>
        <v>0</v>
      </c>
      <c r="O1093" s="31">
        <f t="shared" si="964"/>
        <v>0</v>
      </c>
      <c r="P1093" s="33">
        <f t="shared" si="965"/>
        <v>0</v>
      </c>
      <c r="Q1093" s="34">
        <f t="shared" ref="Q1093:Q1145" si="1007">X1092+Z1092</f>
        <v>1204840.0876198376</v>
      </c>
      <c r="R1093" s="29">
        <f t="shared" si="966"/>
        <v>0</v>
      </c>
      <c r="S1093" s="34">
        <f t="shared" si="967"/>
        <v>1204840.0876198376</v>
      </c>
      <c r="T1093" s="29">
        <f t="shared" si="968"/>
        <v>1004.0334063498648</v>
      </c>
      <c r="U1093" s="29">
        <f t="shared" si="969"/>
        <v>0</v>
      </c>
      <c r="V1093" s="35">
        <f t="shared" si="970"/>
        <v>0.11801556197340209</v>
      </c>
      <c r="W1093" s="34">
        <f t="shared" si="971"/>
        <v>0</v>
      </c>
      <c r="X1093" s="34">
        <f t="shared" si="972"/>
        <v>1203836.0542134878</v>
      </c>
      <c r="Y1093" s="36">
        <f t="shared" si="973"/>
        <v>-1.2244320137087761E-2</v>
      </c>
      <c r="Z1093" s="34">
        <f t="shared" si="974"/>
        <v>-14740.154040358482</v>
      </c>
      <c r="AA1093" s="34">
        <f t="shared" si="975"/>
        <v>1196465.9771933085</v>
      </c>
      <c r="AB1093" s="34">
        <f t="shared" si="976"/>
        <v>0</v>
      </c>
      <c r="AC1093" s="34">
        <f t="shared" si="977"/>
        <v>0</v>
      </c>
      <c r="AD1093" s="34">
        <f t="shared" si="978"/>
        <v>0</v>
      </c>
      <c r="AE1093" s="34">
        <f t="shared" si="979"/>
        <v>0</v>
      </c>
      <c r="AF1093" s="34">
        <f t="shared" si="980"/>
        <v>0</v>
      </c>
      <c r="AG1093" s="29">
        <f t="shared" si="981"/>
        <v>1196465.9771933085</v>
      </c>
      <c r="AH1093" s="34">
        <f t="shared" si="982"/>
        <v>0</v>
      </c>
      <c r="AI1093" s="34">
        <f t="shared" si="983"/>
        <v>0</v>
      </c>
      <c r="AJ1093" s="34">
        <f t="shared" si="984"/>
        <v>0</v>
      </c>
      <c r="AK1093" s="34">
        <f t="shared" si="985"/>
        <v>0</v>
      </c>
      <c r="AL1093" s="34">
        <f t="shared" si="986"/>
        <v>0</v>
      </c>
      <c r="AM1093" s="34">
        <f t="shared" si="987"/>
        <v>0</v>
      </c>
      <c r="AN1093" s="34">
        <f t="shared" si="988"/>
        <v>0</v>
      </c>
      <c r="AO1093" s="34">
        <f t="shared" si="989"/>
        <v>0</v>
      </c>
      <c r="AP1093" s="34">
        <f t="shared" si="990"/>
        <v>0</v>
      </c>
      <c r="AQ1093" s="34">
        <f t="shared" si="991"/>
        <v>0</v>
      </c>
      <c r="AR1093" s="34">
        <f t="shared" si="992"/>
        <v>0</v>
      </c>
      <c r="AS1093" s="30">
        <f t="shared" si="993"/>
        <v>2.4669745588921774</v>
      </c>
      <c r="AT1093" s="29">
        <f t="shared" si="994"/>
        <v>0</v>
      </c>
      <c r="AU1093" s="29">
        <f t="shared" si="995"/>
        <v>0</v>
      </c>
      <c r="AV1093" s="34">
        <f t="shared" si="996"/>
        <v>0</v>
      </c>
      <c r="AW1093" s="34">
        <f t="shared" si="997"/>
        <v>0</v>
      </c>
      <c r="AX1093" s="29">
        <f t="shared" si="998"/>
        <v>0</v>
      </c>
      <c r="AY1093" s="34">
        <f t="shared" si="999"/>
        <v>0</v>
      </c>
      <c r="AZ1093" s="37">
        <f t="shared" si="1000"/>
        <v>0</v>
      </c>
      <c r="BA1093" s="37">
        <f t="shared" si="1001"/>
        <v>0</v>
      </c>
      <c r="BB1093" s="35">
        <f t="shared" si="1002"/>
        <v>1.8975699525918266E-3</v>
      </c>
      <c r="BC1093" s="31">
        <f t="shared" si="1003"/>
        <v>0.1268822821065177</v>
      </c>
      <c r="BD1093" s="34">
        <f t="shared" si="1004"/>
        <v>0</v>
      </c>
    </row>
    <row r="1094" spans="1:56" x14ac:dyDescent="0.2">
      <c r="A1094" s="27">
        <f t="shared" si="1005"/>
        <v>1090</v>
      </c>
      <c r="B1094" s="28">
        <f t="shared" si="952"/>
        <v>1090</v>
      </c>
      <c r="C1094" s="27">
        <f t="shared" si="953"/>
        <v>90</v>
      </c>
      <c r="D1094" s="28">
        <f t="shared" si="954"/>
        <v>110</v>
      </c>
      <c r="E1094" s="29">
        <f t="shared" si="955"/>
        <v>0</v>
      </c>
      <c r="F1094" s="30">
        <f t="shared" si="956"/>
        <v>0.74382128519873325</v>
      </c>
      <c r="G1094" s="31">
        <f t="shared" si="957"/>
        <v>0.10728687452127461</v>
      </c>
      <c r="H1094" s="32">
        <f t="shared" si="958"/>
        <v>0.02</v>
      </c>
      <c r="I1094" s="32">
        <f t="shared" si="959"/>
        <v>0</v>
      </c>
      <c r="J1094" s="33">
        <f t="shared" si="1006"/>
        <v>0</v>
      </c>
      <c r="K1094" s="30">
        <f t="shared" si="960"/>
        <v>0</v>
      </c>
      <c r="L1094" s="33">
        <f t="shared" si="961"/>
        <v>0</v>
      </c>
      <c r="M1094" s="30">
        <f t="shared" si="962"/>
        <v>0</v>
      </c>
      <c r="N1094" s="33">
        <f t="shared" si="963"/>
        <v>0</v>
      </c>
      <c r="O1094" s="31">
        <f t="shared" si="964"/>
        <v>0</v>
      </c>
      <c r="P1094" s="33">
        <f t="shared" si="965"/>
        <v>0</v>
      </c>
      <c r="Q1094" s="34">
        <f t="shared" si="1007"/>
        <v>1189095.9001731293</v>
      </c>
      <c r="R1094" s="29">
        <f t="shared" si="966"/>
        <v>0</v>
      </c>
      <c r="S1094" s="34">
        <f t="shared" si="967"/>
        <v>1189095.9001731293</v>
      </c>
      <c r="T1094" s="29">
        <f t="shared" si="968"/>
        <v>990.91325014427446</v>
      </c>
      <c r="U1094" s="29">
        <f t="shared" si="969"/>
        <v>0</v>
      </c>
      <c r="V1094" s="35">
        <f t="shared" si="970"/>
        <v>0.11801556197340209</v>
      </c>
      <c r="W1094" s="34">
        <f t="shared" si="971"/>
        <v>0</v>
      </c>
      <c r="X1094" s="34">
        <f t="shared" si="972"/>
        <v>1188104.9869229849</v>
      </c>
      <c r="Y1094" s="36">
        <f t="shared" si="973"/>
        <v>3.7669248428446878E-3</v>
      </c>
      <c r="Z1094" s="34">
        <f t="shared" si="974"/>
        <v>4475.5021911478552</v>
      </c>
      <c r="AA1094" s="34">
        <f t="shared" si="975"/>
        <v>1190342.7380185588</v>
      </c>
      <c r="AB1094" s="34">
        <f t="shared" si="976"/>
        <v>0</v>
      </c>
      <c r="AC1094" s="34">
        <f t="shared" si="977"/>
        <v>0</v>
      </c>
      <c r="AD1094" s="34">
        <f t="shared" si="978"/>
        <v>0</v>
      </c>
      <c r="AE1094" s="34">
        <f t="shared" si="979"/>
        <v>0</v>
      </c>
      <c r="AF1094" s="34">
        <f t="shared" si="980"/>
        <v>0</v>
      </c>
      <c r="AG1094" s="29">
        <f t="shared" si="981"/>
        <v>1190342.7380185588</v>
      </c>
      <c r="AH1094" s="34">
        <f t="shared" si="982"/>
        <v>0</v>
      </c>
      <c r="AI1094" s="34">
        <f t="shared" si="983"/>
        <v>0</v>
      </c>
      <c r="AJ1094" s="34">
        <f t="shared" si="984"/>
        <v>0</v>
      </c>
      <c r="AK1094" s="34">
        <f t="shared" si="985"/>
        <v>0</v>
      </c>
      <c r="AL1094" s="34">
        <f t="shared" si="986"/>
        <v>0</v>
      </c>
      <c r="AM1094" s="34">
        <f t="shared" si="987"/>
        <v>0</v>
      </c>
      <c r="AN1094" s="34">
        <f t="shared" si="988"/>
        <v>0</v>
      </c>
      <c r="AO1094" s="34">
        <f t="shared" si="989"/>
        <v>0</v>
      </c>
      <c r="AP1094" s="34">
        <f t="shared" si="990"/>
        <v>0</v>
      </c>
      <c r="AQ1094" s="34">
        <f t="shared" si="991"/>
        <v>0</v>
      </c>
      <c r="AR1094" s="34">
        <f t="shared" si="992"/>
        <v>0</v>
      </c>
      <c r="AS1094" s="30">
        <f t="shared" si="993"/>
        <v>2.469021008315901</v>
      </c>
      <c r="AT1094" s="29">
        <f t="shared" si="994"/>
        <v>0</v>
      </c>
      <c r="AU1094" s="29">
        <f t="shared" si="995"/>
        <v>0</v>
      </c>
      <c r="AV1094" s="34">
        <f t="shared" si="996"/>
        <v>0</v>
      </c>
      <c r="AW1094" s="34">
        <f t="shared" si="997"/>
        <v>0</v>
      </c>
      <c r="AX1094" s="29">
        <f t="shared" si="998"/>
        <v>0</v>
      </c>
      <c r="AY1094" s="34">
        <f t="shared" si="999"/>
        <v>0</v>
      </c>
      <c r="AZ1094" s="37">
        <f t="shared" si="1000"/>
        <v>0</v>
      </c>
      <c r="BA1094" s="37">
        <f t="shared" si="1001"/>
        <v>0</v>
      </c>
      <c r="BB1094" s="35">
        <f t="shared" si="1002"/>
        <v>1.8975699525918266E-3</v>
      </c>
      <c r="BC1094" s="31">
        <f t="shared" si="1003"/>
        <v>0.12664197010930126</v>
      </c>
      <c r="BD1094" s="34">
        <f t="shared" si="1004"/>
        <v>0</v>
      </c>
    </row>
    <row r="1095" spans="1:56" x14ac:dyDescent="0.2">
      <c r="A1095" s="27">
        <f t="shared" si="1005"/>
        <v>1091</v>
      </c>
      <c r="B1095" s="28">
        <f t="shared" si="952"/>
        <v>1091</v>
      </c>
      <c r="C1095" s="27">
        <f t="shared" si="953"/>
        <v>90</v>
      </c>
      <c r="D1095" s="28">
        <f t="shared" si="954"/>
        <v>110</v>
      </c>
      <c r="E1095" s="29">
        <f t="shared" si="955"/>
        <v>0</v>
      </c>
      <c r="F1095" s="30">
        <f t="shared" si="956"/>
        <v>0.74382128519873325</v>
      </c>
      <c r="G1095" s="31">
        <f t="shared" si="957"/>
        <v>0.10728687452127461</v>
      </c>
      <c r="H1095" s="32">
        <f t="shared" si="958"/>
        <v>0.02</v>
      </c>
      <c r="I1095" s="32">
        <f t="shared" si="959"/>
        <v>0</v>
      </c>
      <c r="J1095" s="33">
        <f t="shared" si="1006"/>
        <v>0</v>
      </c>
      <c r="K1095" s="30">
        <f t="shared" si="960"/>
        <v>0</v>
      </c>
      <c r="L1095" s="33">
        <f t="shared" si="961"/>
        <v>0</v>
      </c>
      <c r="M1095" s="30">
        <f t="shared" si="962"/>
        <v>0</v>
      </c>
      <c r="N1095" s="33">
        <f t="shared" si="963"/>
        <v>0</v>
      </c>
      <c r="O1095" s="31">
        <f t="shared" si="964"/>
        <v>0</v>
      </c>
      <c r="P1095" s="33">
        <f t="shared" si="965"/>
        <v>0</v>
      </c>
      <c r="Q1095" s="34">
        <f t="shared" si="1007"/>
        <v>1192580.4891141327</v>
      </c>
      <c r="R1095" s="29">
        <f t="shared" si="966"/>
        <v>0</v>
      </c>
      <c r="S1095" s="34">
        <f t="shared" si="967"/>
        <v>1192580.4891141327</v>
      </c>
      <c r="T1095" s="29">
        <f t="shared" si="968"/>
        <v>993.81707426177729</v>
      </c>
      <c r="U1095" s="29">
        <f t="shared" si="969"/>
        <v>0</v>
      </c>
      <c r="V1095" s="35">
        <f t="shared" si="970"/>
        <v>0.11801556197340209</v>
      </c>
      <c r="W1095" s="34">
        <f t="shared" si="971"/>
        <v>0</v>
      </c>
      <c r="X1095" s="34">
        <f t="shared" si="972"/>
        <v>1191586.6720398709</v>
      </c>
      <c r="Y1095" s="36">
        <f t="shared" si="973"/>
        <v>-1.1321130004730562E-2</v>
      </c>
      <c r="Z1095" s="34">
        <f t="shared" si="974"/>
        <v>-13490.107626067618</v>
      </c>
      <c r="AA1095" s="34">
        <f t="shared" si="975"/>
        <v>1184841.6182268371</v>
      </c>
      <c r="AB1095" s="34">
        <f t="shared" si="976"/>
        <v>0</v>
      </c>
      <c r="AC1095" s="34">
        <f t="shared" si="977"/>
        <v>0</v>
      </c>
      <c r="AD1095" s="34">
        <f t="shared" si="978"/>
        <v>0</v>
      </c>
      <c r="AE1095" s="34">
        <f t="shared" si="979"/>
        <v>0</v>
      </c>
      <c r="AF1095" s="34">
        <f t="shared" si="980"/>
        <v>0</v>
      </c>
      <c r="AG1095" s="29">
        <f t="shared" si="981"/>
        <v>1184841.6182268371</v>
      </c>
      <c r="AH1095" s="34">
        <f t="shared" si="982"/>
        <v>0</v>
      </c>
      <c r="AI1095" s="34">
        <f t="shared" si="983"/>
        <v>0</v>
      </c>
      <c r="AJ1095" s="34">
        <f t="shared" si="984"/>
        <v>0</v>
      </c>
      <c r="AK1095" s="34">
        <f t="shared" si="985"/>
        <v>0</v>
      </c>
      <c r="AL1095" s="34">
        <f t="shared" si="986"/>
        <v>0</v>
      </c>
      <c r="AM1095" s="34">
        <f t="shared" si="987"/>
        <v>0</v>
      </c>
      <c r="AN1095" s="34">
        <f t="shared" si="988"/>
        <v>0</v>
      </c>
      <c r="AO1095" s="34">
        <f t="shared" si="989"/>
        <v>0</v>
      </c>
      <c r="AP1095" s="34">
        <f t="shared" si="990"/>
        <v>0</v>
      </c>
      <c r="AQ1095" s="34">
        <f t="shared" si="991"/>
        <v>0</v>
      </c>
      <c r="AR1095" s="34">
        <f t="shared" si="992"/>
        <v>0</v>
      </c>
      <c r="AS1095" s="30">
        <f t="shared" si="993"/>
        <v>2.4710691553474207</v>
      </c>
      <c r="AT1095" s="29">
        <f t="shared" si="994"/>
        <v>0</v>
      </c>
      <c r="AU1095" s="29">
        <f t="shared" si="995"/>
        <v>0</v>
      </c>
      <c r="AV1095" s="34">
        <f t="shared" si="996"/>
        <v>0</v>
      </c>
      <c r="AW1095" s="34">
        <f t="shared" si="997"/>
        <v>0</v>
      </c>
      <c r="AX1095" s="29">
        <f t="shared" si="998"/>
        <v>0</v>
      </c>
      <c r="AY1095" s="34">
        <f t="shared" si="999"/>
        <v>0</v>
      </c>
      <c r="AZ1095" s="37">
        <f t="shared" si="1000"/>
        <v>0</v>
      </c>
      <c r="BA1095" s="37">
        <f t="shared" si="1001"/>
        <v>0</v>
      </c>
      <c r="BB1095" s="35">
        <f t="shared" si="1002"/>
        <v>1.8975699525918266E-3</v>
      </c>
      <c r="BC1095" s="31">
        <f t="shared" si="1003"/>
        <v>0.12640211325724021</v>
      </c>
      <c r="BD1095" s="34">
        <f t="shared" si="1004"/>
        <v>0</v>
      </c>
    </row>
    <row r="1096" spans="1:56" x14ac:dyDescent="0.2">
      <c r="A1096" s="27">
        <f t="shared" si="1005"/>
        <v>1092</v>
      </c>
      <c r="B1096" s="28">
        <f t="shared" si="952"/>
        <v>1092</v>
      </c>
      <c r="C1096" s="27">
        <f t="shared" si="953"/>
        <v>91</v>
      </c>
      <c r="D1096" s="28">
        <f t="shared" si="954"/>
        <v>111</v>
      </c>
      <c r="E1096" s="29">
        <f t="shared" si="955"/>
        <v>0</v>
      </c>
      <c r="F1096" s="30">
        <f t="shared" si="956"/>
        <v>0.86917104908857734</v>
      </c>
      <c r="G1096" s="31">
        <f t="shared" si="957"/>
        <v>0.15590371623334942</v>
      </c>
      <c r="H1096" s="32">
        <f t="shared" si="958"/>
        <v>0.02</v>
      </c>
      <c r="I1096" s="32">
        <f t="shared" si="959"/>
        <v>0</v>
      </c>
      <c r="J1096" s="33">
        <f t="shared" si="1006"/>
        <v>0</v>
      </c>
      <c r="K1096" s="30">
        <f t="shared" si="960"/>
        <v>0</v>
      </c>
      <c r="L1096" s="33">
        <f t="shared" si="961"/>
        <v>0</v>
      </c>
      <c r="M1096" s="30">
        <f t="shared" si="962"/>
        <v>0</v>
      </c>
      <c r="N1096" s="33">
        <f t="shared" si="963"/>
        <v>0</v>
      </c>
      <c r="O1096" s="31">
        <f t="shared" si="964"/>
        <v>0</v>
      </c>
      <c r="P1096" s="33">
        <f t="shared" si="965"/>
        <v>0</v>
      </c>
      <c r="Q1096" s="34">
        <f t="shared" si="1007"/>
        <v>1178096.5644138032</v>
      </c>
      <c r="R1096" s="29">
        <f t="shared" si="966"/>
        <v>0</v>
      </c>
      <c r="S1096" s="34">
        <f t="shared" si="967"/>
        <v>1178096.5644138032</v>
      </c>
      <c r="T1096" s="29">
        <f t="shared" si="968"/>
        <v>981.74713701150267</v>
      </c>
      <c r="U1096" s="29">
        <f t="shared" si="969"/>
        <v>0</v>
      </c>
      <c r="V1096" s="35">
        <f t="shared" si="970"/>
        <v>0.17149408785668438</v>
      </c>
      <c r="W1096" s="34">
        <f t="shared" si="971"/>
        <v>0</v>
      </c>
      <c r="X1096" s="34">
        <f t="shared" si="972"/>
        <v>1177114.8172767917</v>
      </c>
      <c r="Y1096" s="36">
        <f t="shared" si="973"/>
        <v>-7.4212539084719253E-3</v>
      </c>
      <c r="Z1096" s="34">
        <f t="shared" si="974"/>
        <v>-8735.6679384356066</v>
      </c>
      <c r="AA1096" s="34">
        <f t="shared" si="975"/>
        <v>1172746.9833075739</v>
      </c>
      <c r="AB1096" s="34">
        <f t="shared" si="976"/>
        <v>0</v>
      </c>
      <c r="AC1096" s="34">
        <f t="shared" si="977"/>
        <v>0</v>
      </c>
      <c r="AD1096" s="34">
        <f t="shared" si="978"/>
        <v>0</v>
      </c>
      <c r="AE1096" s="34">
        <f t="shared" si="979"/>
        <v>0</v>
      </c>
      <c r="AF1096" s="34">
        <f t="shared" si="980"/>
        <v>0</v>
      </c>
      <c r="AG1096" s="29">
        <f t="shared" si="981"/>
        <v>1172746.9833075739</v>
      </c>
      <c r="AH1096" s="34">
        <f t="shared" si="982"/>
        <v>0</v>
      </c>
      <c r="AI1096" s="34">
        <f t="shared" si="983"/>
        <v>0</v>
      </c>
      <c r="AJ1096" s="34">
        <f t="shared" si="984"/>
        <v>0</v>
      </c>
      <c r="AK1096" s="34">
        <f t="shared" si="985"/>
        <v>0</v>
      </c>
      <c r="AL1096" s="34">
        <f t="shared" si="986"/>
        <v>0</v>
      </c>
      <c r="AM1096" s="34">
        <f t="shared" si="987"/>
        <v>0</v>
      </c>
      <c r="AN1096" s="34">
        <f t="shared" si="988"/>
        <v>0</v>
      </c>
      <c r="AO1096" s="34">
        <f t="shared" si="989"/>
        <v>0</v>
      </c>
      <c r="AP1096" s="34">
        <f t="shared" si="990"/>
        <v>0</v>
      </c>
      <c r="AQ1096" s="34">
        <f t="shared" si="991"/>
        <v>0</v>
      </c>
      <c r="AR1096" s="34">
        <f t="shared" si="992"/>
        <v>0</v>
      </c>
      <c r="AS1096" s="30">
        <f t="shared" si="993"/>
        <v>2.4731190013949669</v>
      </c>
      <c r="AT1096" s="29">
        <f t="shared" si="994"/>
        <v>0</v>
      </c>
      <c r="AU1096" s="29">
        <f t="shared" si="995"/>
        <v>0</v>
      </c>
      <c r="AV1096" s="34">
        <f t="shared" si="996"/>
        <v>0</v>
      </c>
      <c r="AW1096" s="34">
        <f t="shared" si="997"/>
        <v>0</v>
      </c>
      <c r="AX1096" s="29">
        <f t="shared" si="998"/>
        <v>0</v>
      </c>
      <c r="AY1096" s="34">
        <f t="shared" si="999"/>
        <v>0</v>
      </c>
      <c r="AZ1096" s="37">
        <f t="shared" si="1000"/>
        <v>0</v>
      </c>
      <c r="BA1096" s="37">
        <f t="shared" si="1001"/>
        <v>0</v>
      </c>
      <c r="BB1096" s="35">
        <f t="shared" si="1002"/>
        <v>1.9147071829970219E-3</v>
      </c>
      <c r="BC1096" s="31">
        <f t="shared" si="1003"/>
        <v>0.12382808300833716</v>
      </c>
      <c r="BD1096" s="34">
        <f t="shared" si="1004"/>
        <v>0</v>
      </c>
    </row>
    <row r="1097" spans="1:56" x14ac:dyDescent="0.2">
      <c r="A1097" s="27">
        <f t="shared" si="1005"/>
        <v>1093</v>
      </c>
      <c r="B1097" s="28">
        <f t="shared" si="952"/>
        <v>1093</v>
      </c>
      <c r="C1097" s="27">
        <f t="shared" si="953"/>
        <v>91</v>
      </c>
      <c r="D1097" s="28">
        <f t="shared" si="954"/>
        <v>111</v>
      </c>
      <c r="E1097" s="29">
        <f t="shared" si="955"/>
        <v>0</v>
      </c>
      <c r="F1097" s="30">
        <f t="shared" si="956"/>
        <v>0.86917104908857734</v>
      </c>
      <c r="G1097" s="31">
        <f t="shared" si="957"/>
        <v>0.15590371623334942</v>
      </c>
      <c r="H1097" s="32">
        <f t="shared" si="958"/>
        <v>0.02</v>
      </c>
      <c r="I1097" s="32">
        <f t="shared" si="959"/>
        <v>0</v>
      </c>
      <c r="J1097" s="33">
        <f t="shared" si="1006"/>
        <v>0</v>
      </c>
      <c r="K1097" s="30">
        <f t="shared" si="960"/>
        <v>0</v>
      </c>
      <c r="L1097" s="33">
        <f t="shared" si="961"/>
        <v>0</v>
      </c>
      <c r="M1097" s="30">
        <f t="shared" si="962"/>
        <v>0</v>
      </c>
      <c r="N1097" s="33">
        <f t="shared" si="963"/>
        <v>0</v>
      </c>
      <c r="O1097" s="31">
        <f t="shared" si="964"/>
        <v>0</v>
      </c>
      <c r="P1097" s="33">
        <f t="shared" si="965"/>
        <v>0</v>
      </c>
      <c r="Q1097" s="34">
        <f t="shared" si="1007"/>
        <v>1168379.149338356</v>
      </c>
      <c r="R1097" s="29">
        <f t="shared" si="966"/>
        <v>0</v>
      </c>
      <c r="S1097" s="34">
        <f t="shared" si="967"/>
        <v>1168379.149338356</v>
      </c>
      <c r="T1097" s="29">
        <f t="shared" si="968"/>
        <v>973.64929111529671</v>
      </c>
      <c r="U1097" s="29">
        <f t="shared" si="969"/>
        <v>0</v>
      </c>
      <c r="V1097" s="35">
        <f t="shared" si="970"/>
        <v>0.17149408785668438</v>
      </c>
      <c r="W1097" s="34">
        <f t="shared" si="971"/>
        <v>0</v>
      </c>
      <c r="X1097" s="34">
        <f t="shared" si="972"/>
        <v>1167405.5000472406</v>
      </c>
      <c r="Y1097" s="36">
        <f t="shared" si="973"/>
        <v>4.0018319100620925E-3</v>
      </c>
      <c r="Z1097" s="34">
        <f t="shared" si="974"/>
        <v>4671.7605820710414</v>
      </c>
      <c r="AA1097" s="34">
        <f t="shared" si="975"/>
        <v>1169741.3803382763</v>
      </c>
      <c r="AB1097" s="34">
        <f t="shared" si="976"/>
        <v>0</v>
      </c>
      <c r="AC1097" s="34">
        <f t="shared" si="977"/>
        <v>0</v>
      </c>
      <c r="AD1097" s="34">
        <f t="shared" si="978"/>
        <v>0</v>
      </c>
      <c r="AE1097" s="34">
        <f t="shared" si="979"/>
        <v>0</v>
      </c>
      <c r="AF1097" s="34">
        <f t="shared" si="980"/>
        <v>0</v>
      </c>
      <c r="AG1097" s="29">
        <f t="shared" si="981"/>
        <v>1169741.3803382763</v>
      </c>
      <c r="AH1097" s="34">
        <f t="shared" si="982"/>
        <v>0</v>
      </c>
      <c r="AI1097" s="34">
        <f t="shared" si="983"/>
        <v>0</v>
      </c>
      <c r="AJ1097" s="34">
        <f t="shared" si="984"/>
        <v>0</v>
      </c>
      <c r="AK1097" s="34">
        <f t="shared" si="985"/>
        <v>0</v>
      </c>
      <c r="AL1097" s="34">
        <f t="shared" si="986"/>
        <v>0</v>
      </c>
      <c r="AM1097" s="34">
        <f t="shared" si="987"/>
        <v>0</v>
      </c>
      <c r="AN1097" s="34">
        <f t="shared" si="988"/>
        <v>0</v>
      </c>
      <c r="AO1097" s="34">
        <f t="shared" si="989"/>
        <v>0</v>
      </c>
      <c r="AP1097" s="34">
        <f t="shared" si="990"/>
        <v>0</v>
      </c>
      <c r="AQ1097" s="34">
        <f t="shared" si="991"/>
        <v>0</v>
      </c>
      <c r="AR1097" s="34">
        <f t="shared" si="992"/>
        <v>0</v>
      </c>
      <c r="AS1097" s="30">
        <f t="shared" si="993"/>
        <v>2.4751705478679376</v>
      </c>
      <c r="AT1097" s="29">
        <f t="shared" si="994"/>
        <v>0</v>
      </c>
      <c r="AU1097" s="29">
        <f t="shared" si="995"/>
        <v>0</v>
      </c>
      <c r="AV1097" s="34">
        <f t="shared" si="996"/>
        <v>0</v>
      </c>
      <c r="AW1097" s="34">
        <f t="shared" si="997"/>
        <v>0</v>
      </c>
      <c r="AX1097" s="29">
        <f t="shared" si="998"/>
        <v>0</v>
      </c>
      <c r="AY1097" s="34">
        <f t="shared" si="999"/>
        <v>0</v>
      </c>
      <c r="AZ1097" s="37">
        <f t="shared" si="1000"/>
        <v>0</v>
      </c>
      <c r="BA1097" s="37">
        <f t="shared" si="1001"/>
        <v>0</v>
      </c>
      <c r="BB1097" s="35">
        <f t="shared" si="1002"/>
        <v>1.9147071829970219E-3</v>
      </c>
      <c r="BC1097" s="31">
        <f t="shared" si="1003"/>
        <v>0.12359144158737284</v>
      </c>
      <c r="BD1097" s="34">
        <f t="shared" si="1004"/>
        <v>0</v>
      </c>
    </row>
    <row r="1098" spans="1:56" x14ac:dyDescent="0.2">
      <c r="A1098" s="27">
        <f t="shared" si="1005"/>
        <v>1094</v>
      </c>
      <c r="B1098" s="28">
        <f t="shared" si="952"/>
        <v>1094</v>
      </c>
      <c r="C1098" s="27">
        <f t="shared" si="953"/>
        <v>91</v>
      </c>
      <c r="D1098" s="28">
        <f t="shared" si="954"/>
        <v>111</v>
      </c>
      <c r="E1098" s="29">
        <f t="shared" si="955"/>
        <v>0</v>
      </c>
      <c r="F1098" s="30">
        <f t="shared" si="956"/>
        <v>0.86917104908857734</v>
      </c>
      <c r="G1098" s="31">
        <f t="shared" si="957"/>
        <v>0.15590371623334942</v>
      </c>
      <c r="H1098" s="32">
        <f t="shared" si="958"/>
        <v>0.02</v>
      </c>
      <c r="I1098" s="32">
        <f t="shared" si="959"/>
        <v>0</v>
      </c>
      <c r="J1098" s="33">
        <f t="shared" si="1006"/>
        <v>0</v>
      </c>
      <c r="K1098" s="30">
        <f t="shared" si="960"/>
        <v>0</v>
      </c>
      <c r="L1098" s="33">
        <f t="shared" si="961"/>
        <v>0</v>
      </c>
      <c r="M1098" s="30">
        <f t="shared" si="962"/>
        <v>0</v>
      </c>
      <c r="N1098" s="33">
        <f t="shared" si="963"/>
        <v>0</v>
      </c>
      <c r="O1098" s="31">
        <f t="shared" si="964"/>
        <v>0</v>
      </c>
      <c r="P1098" s="33">
        <f t="shared" si="965"/>
        <v>0</v>
      </c>
      <c r="Q1098" s="34">
        <f t="shared" si="1007"/>
        <v>1172077.2606293117</v>
      </c>
      <c r="R1098" s="29">
        <f t="shared" si="966"/>
        <v>0</v>
      </c>
      <c r="S1098" s="34">
        <f t="shared" si="967"/>
        <v>1172077.2606293117</v>
      </c>
      <c r="T1098" s="29">
        <f t="shared" si="968"/>
        <v>976.73105052442645</v>
      </c>
      <c r="U1098" s="29">
        <f t="shared" si="969"/>
        <v>0</v>
      </c>
      <c r="V1098" s="35">
        <f t="shared" si="970"/>
        <v>0.17149408785668438</v>
      </c>
      <c r="W1098" s="34">
        <f t="shared" si="971"/>
        <v>0</v>
      </c>
      <c r="X1098" s="34">
        <f t="shared" si="972"/>
        <v>1171100.5295787873</v>
      </c>
      <c r="Y1098" s="36">
        <f t="shared" si="973"/>
        <v>3.2534819497469059E-2</v>
      </c>
      <c r="Z1098" s="34">
        <f t="shared" si="974"/>
        <v>38101.544343236266</v>
      </c>
      <c r="AA1098" s="34">
        <f t="shared" si="975"/>
        <v>1190151.3017504055</v>
      </c>
      <c r="AB1098" s="34">
        <f t="shared" si="976"/>
        <v>0</v>
      </c>
      <c r="AC1098" s="34">
        <f t="shared" si="977"/>
        <v>0</v>
      </c>
      <c r="AD1098" s="34">
        <f t="shared" si="978"/>
        <v>0</v>
      </c>
      <c r="AE1098" s="34">
        <f t="shared" si="979"/>
        <v>0</v>
      </c>
      <c r="AF1098" s="34">
        <f t="shared" si="980"/>
        <v>0</v>
      </c>
      <c r="AG1098" s="29">
        <f t="shared" si="981"/>
        <v>1190151.3017504055</v>
      </c>
      <c r="AH1098" s="34">
        <f t="shared" si="982"/>
        <v>0</v>
      </c>
      <c r="AI1098" s="34">
        <f t="shared" si="983"/>
        <v>0</v>
      </c>
      <c r="AJ1098" s="34">
        <f t="shared" si="984"/>
        <v>0</v>
      </c>
      <c r="AK1098" s="34">
        <f t="shared" si="985"/>
        <v>0</v>
      </c>
      <c r="AL1098" s="34">
        <f t="shared" si="986"/>
        <v>0</v>
      </c>
      <c r="AM1098" s="34">
        <f t="shared" si="987"/>
        <v>0</v>
      </c>
      <c r="AN1098" s="34">
        <f t="shared" si="988"/>
        <v>0</v>
      </c>
      <c r="AO1098" s="34">
        <f t="shared" si="989"/>
        <v>0</v>
      </c>
      <c r="AP1098" s="34">
        <f t="shared" si="990"/>
        <v>0</v>
      </c>
      <c r="AQ1098" s="34">
        <f t="shared" si="991"/>
        <v>0</v>
      </c>
      <c r="AR1098" s="34">
        <f t="shared" si="992"/>
        <v>0</v>
      </c>
      <c r="AS1098" s="30">
        <f t="shared" si="993"/>
        <v>2.4772237961769017</v>
      </c>
      <c r="AT1098" s="29">
        <f t="shared" si="994"/>
        <v>0</v>
      </c>
      <c r="AU1098" s="29">
        <f t="shared" si="995"/>
        <v>0</v>
      </c>
      <c r="AV1098" s="34">
        <f t="shared" si="996"/>
        <v>0</v>
      </c>
      <c r="AW1098" s="34">
        <f t="shared" si="997"/>
        <v>0</v>
      </c>
      <c r="AX1098" s="29">
        <f t="shared" si="998"/>
        <v>0</v>
      </c>
      <c r="AY1098" s="34">
        <f t="shared" si="999"/>
        <v>0</v>
      </c>
      <c r="AZ1098" s="37">
        <f t="shared" si="1000"/>
        <v>0</v>
      </c>
      <c r="BA1098" s="37">
        <f t="shared" si="1001"/>
        <v>0</v>
      </c>
      <c r="BB1098" s="35">
        <f t="shared" si="1002"/>
        <v>1.9147071829970219E-3</v>
      </c>
      <c r="BC1098" s="31">
        <f t="shared" si="1003"/>
        <v>0.12335525239954302</v>
      </c>
      <c r="BD1098" s="34">
        <f t="shared" si="1004"/>
        <v>0</v>
      </c>
    </row>
    <row r="1099" spans="1:56" x14ac:dyDescent="0.2">
      <c r="A1099" s="27">
        <f t="shared" si="1005"/>
        <v>1095</v>
      </c>
      <c r="B1099" s="28">
        <f t="shared" si="952"/>
        <v>1095</v>
      </c>
      <c r="C1099" s="27">
        <f t="shared" si="953"/>
        <v>91</v>
      </c>
      <c r="D1099" s="28">
        <f t="shared" si="954"/>
        <v>111</v>
      </c>
      <c r="E1099" s="29">
        <f t="shared" si="955"/>
        <v>0</v>
      </c>
      <c r="F1099" s="30">
        <f t="shared" si="956"/>
        <v>0.86917104908857734</v>
      </c>
      <c r="G1099" s="31">
        <f t="shared" si="957"/>
        <v>0.15590371623334942</v>
      </c>
      <c r="H1099" s="32">
        <f t="shared" si="958"/>
        <v>0.02</v>
      </c>
      <c r="I1099" s="32">
        <f t="shared" si="959"/>
        <v>0</v>
      </c>
      <c r="J1099" s="33">
        <f t="shared" si="1006"/>
        <v>0</v>
      </c>
      <c r="K1099" s="30">
        <f t="shared" si="960"/>
        <v>0</v>
      </c>
      <c r="L1099" s="33">
        <f t="shared" si="961"/>
        <v>0</v>
      </c>
      <c r="M1099" s="30">
        <f t="shared" si="962"/>
        <v>0</v>
      </c>
      <c r="N1099" s="33">
        <f t="shared" si="963"/>
        <v>0</v>
      </c>
      <c r="O1099" s="31">
        <f t="shared" si="964"/>
        <v>0</v>
      </c>
      <c r="P1099" s="33">
        <f t="shared" si="965"/>
        <v>0</v>
      </c>
      <c r="Q1099" s="34">
        <f t="shared" si="1007"/>
        <v>1209202.0739220236</v>
      </c>
      <c r="R1099" s="29">
        <f t="shared" si="966"/>
        <v>0</v>
      </c>
      <c r="S1099" s="34">
        <f t="shared" si="967"/>
        <v>1209202.0739220236</v>
      </c>
      <c r="T1099" s="29">
        <f t="shared" si="968"/>
        <v>1007.6683949350198</v>
      </c>
      <c r="U1099" s="29">
        <f t="shared" si="969"/>
        <v>0</v>
      </c>
      <c r="V1099" s="35">
        <f t="shared" si="970"/>
        <v>0.17149408785668438</v>
      </c>
      <c r="W1099" s="34">
        <f t="shared" si="971"/>
        <v>0</v>
      </c>
      <c r="X1099" s="34">
        <f t="shared" si="972"/>
        <v>1208194.4055270886</v>
      </c>
      <c r="Y1099" s="36">
        <f t="shared" si="973"/>
        <v>-1.667461713776186E-3</v>
      </c>
      <c r="Z1099" s="34">
        <f t="shared" si="974"/>
        <v>-2014.6179140149993</v>
      </c>
      <c r="AA1099" s="34">
        <f t="shared" si="975"/>
        <v>1207187.0965700811</v>
      </c>
      <c r="AB1099" s="34">
        <f t="shared" si="976"/>
        <v>0</v>
      </c>
      <c r="AC1099" s="34">
        <f t="shared" si="977"/>
        <v>0</v>
      </c>
      <c r="AD1099" s="34">
        <f t="shared" si="978"/>
        <v>0</v>
      </c>
      <c r="AE1099" s="34">
        <f t="shared" si="979"/>
        <v>0</v>
      </c>
      <c r="AF1099" s="34">
        <f t="shared" si="980"/>
        <v>0</v>
      </c>
      <c r="AG1099" s="29">
        <f t="shared" si="981"/>
        <v>1207187.0965700811</v>
      </c>
      <c r="AH1099" s="34">
        <f t="shared" si="982"/>
        <v>0</v>
      </c>
      <c r="AI1099" s="34">
        <f t="shared" si="983"/>
        <v>0</v>
      </c>
      <c r="AJ1099" s="34">
        <f t="shared" si="984"/>
        <v>0</v>
      </c>
      <c r="AK1099" s="34">
        <f t="shared" si="985"/>
        <v>0</v>
      </c>
      <c r="AL1099" s="34">
        <f t="shared" si="986"/>
        <v>0</v>
      </c>
      <c r="AM1099" s="34">
        <f t="shared" si="987"/>
        <v>0</v>
      </c>
      <c r="AN1099" s="34">
        <f t="shared" si="988"/>
        <v>0</v>
      </c>
      <c r="AO1099" s="34">
        <f t="shared" si="989"/>
        <v>0</v>
      </c>
      <c r="AP1099" s="34">
        <f t="shared" si="990"/>
        <v>0</v>
      </c>
      <c r="AQ1099" s="34">
        <f t="shared" si="991"/>
        <v>0</v>
      </c>
      <c r="AR1099" s="34">
        <f t="shared" si="992"/>
        <v>0</v>
      </c>
      <c r="AS1099" s="30">
        <f t="shared" si="993"/>
        <v>2.4792787477335958</v>
      </c>
      <c r="AT1099" s="29">
        <f t="shared" si="994"/>
        <v>0</v>
      </c>
      <c r="AU1099" s="29">
        <f t="shared" si="995"/>
        <v>0</v>
      </c>
      <c r="AV1099" s="34">
        <f t="shared" si="996"/>
        <v>0</v>
      </c>
      <c r="AW1099" s="34">
        <f t="shared" si="997"/>
        <v>0</v>
      </c>
      <c r="AX1099" s="29">
        <f t="shared" si="998"/>
        <v>0</v>
      </c>
      <c r="AY1099" s="34">
        <f t="shared" si="999"/>
        <v>0</v>
      </c>
      <c r="AZ1099" s="37">
        <f t="shared" si="1000"/>
        <v>0</v>
      </c>
      <c r="BA1099" s="37">
        <f t="shared" si="1001"/>
        <v>0</v>
      </c>
      <c r="BB1099" s="35">
        <f t="shared" si="1002"/>
        <v>1.9147071829970219E-3</v>
      </c>
      <c r="BC1099" s="31">
        <f t="shared" si="1003"/>
        <v>0.12311951458060844</v>
      </c>
      <c r="BD1099" s="34">
        <f t="shared" si="1004"/>
        <v>0</v>
      </c>
    </row>
    <row r="1100" spans="1:56" x14ac:dyDescent="0.2">
      <c r="A1100" s="27">
        <f t="shared" si="1005"/>
        <v>1096</v>
      </c>
      <c r="B1100" s="28">
        <f t="shared" si="952"/>
        <v>1096</v>
      </c>
      <c r="C1100" s="27">
        <f t="shared" si="953"/>
        <v>91</v>
      </c>
      <c r="D1100" s="28">
        <f t="shared" si="954"/>
        <v>111</v>
      </c>
      <c r="E1100" s="29">
        <f t="shared" si="955"/>
        <v>0</v>
      </c>
      <c r="F1100" s="30">
        <f t="shared" si="956"/>
        <v>0.86917104908857734</v>
      </c>
      <c r="G1100" s="31">
        <f t="shared" si="957"/>
        <v>0.15590371623334942</v>
      </c>
      <c r="H1100" s="32">
        <f t="shared" si="958"/>
        <v>0.02</v>
      </c>
      <c r="I1100" s="32">
        <f t="shared" si="959"/>
        <v>0</v>
      </c>
      <c r="J1100" s="33">
        <f t="shared" si="1006"/>
        <v>0</v>
      </c>
      <c r="K1100" s="30">
        <f t="shared" si="960"/>
        <v>0</v>
      </c>
      <c r="L1100" s="33">
        <f t="shared" si="961"/>
        <v>0</v>
      </c>
      <c r="M1100" s="30">
        <f t="shared" si="962"/>
        <v>0</v>
      </c>
      <c r="N1100" s="33">
        <f t="shared" si="963"/>
        <v>0</v>
      </c>
      <c r="O1100" s="31">
        <f t="shared" si="964"/>
        <v>0</v>
      </c>
      <c r="P1100" s="33">
        <f t="shared" si="965"/>
        <v>0</v>
      </c>
      <c r="Q1100" s="34">
        <f t="shared" si="1007"/>
        <v>1206179.7876130736</v>
      </c>
      <c r="R1100" s="29">
        <f t="shared" si="966"/>
        <v>0</v>
      </c>
      <c r="S1100" s="34">
        <f t="shared" si="967"/>
        <v>1206179.7876130736</v>
      </c>
      <c r="T1100" s="29">
        <f t="shared" si="968"/>
        <v>1005.1498230108947</v>
      </c>
      <c r="U1100" s="29">
        <f t="shared" si="969"/>
        <v>0</v>
      </c>
      <c r="V1100" s="35">
        <f t="shared" si="970"/>
        <v>0.17149408785668438</v>
      </c>
      <c r="W1100" s="34">
        <f t="shared" si="971"/>
        <v>0</v>
      </c>
      <c r="X1100" s="34">
        <f t="shared" si="972"/>
        <v>1205174.6377900627</v>
      </c>
      <c r="Y1100" s="36">
        <f t="shared" si="973"/>
        <v>-9.6454944085294647E-3</v>
      </c>
      <c r="Z1100" s="34">
        <f t="shared" si="974"/>
        <v>-11624.505230105573</v>
      </c>
      <c r="AA1100" s="34">
        <f t="shared" si="975"/>
        <v>1199362.38517501</v>
      </c>
      <c r="AB1100" s="34">
        <f t="shared" si="976"/>
        <v>0</v>
      </c>
      <c r="AC1100" s="34">
        <f t="shared" si="977"/>
        <v>0</v>
      </c>
      <c r="AD1100" s="34">
        <f t="shared" si="978"/>
        <v>0</v>
      </c>
      <c r="AE1100" s="34">
        <f t="shared" si="979"/>
        <v>0</v>
      </c>
      <c r="AF1100" s="34">
        <f t="shared" si="980"/>
        <v>0</v>
      </c>
      <c r="AG1100" s="29">
        <f t="shared" si="981"/>
        <v>1199362.38517501</v>
      </c>
      <c r="AH1100" s="34">
        <f t="shared" si="982"/>
        <v>0</v>
      </c>
      <c r="AI1100" s="34">
        <f t="shared" si="983"/>
        <v>0</v>
      </c>
      <c r="AJ1100" s="34">
        <f t="shared" si="984"/>
        <v>0</v>
      </c>
      <c r="AK1100" s="34">
        <f t="shared" si="985"/>
        <v>0</v>
      </c>
      <c r="AL1100" s="34">
        <f t="shared" si="986"/>
        <v>0</v>
      </c>
      <c r="AM1100" s="34">
        <f t="shared" si="987"/>
        <v>0</v>
      </c>
      <c r="AN1100" s="34">
        <f t="shared" si="988"/>
        <v>0</v>
      </c>
      <c r="AO1100" s="34">
        <f t="shared" si="989"/>
        <v>0</v>
      </c>
      <c r="AP1100" s="34">
        <f t="shared" si="990"/>
        <v>0</v>
      </c>
      <c r="AQ1100" s="34">
        <f t="shared" si="991"/>
        <v>0</v>
      </c>
      <c r="AR1100" s="34">
        <f t="shared" si="992"/>
        <v>0</v>
      </c>
      <c r="AS1100" s="30">
        <f t="shared" si="993"/>
        <v>2.4813354039509292</v>
      </c>
      <c r="AT1100" s="29">
        <f t="shared" si="994"/>
        <v>0</v>
      </c>
      <c r="AU1100" s="29">
        <f t="shared" si="995"/>
        <v>0</v>
      </c>
      <c r="AV1100" s="34">
        <f t="shared" si="996"/>
        <v>0</v>
      </c>
      <c r="AW1100" s="34">
        <f t="shared" si="997"/>
        <v>0</v>
      </c>
      <c r="AX1100" s="29">
        <f t="shared" si="998"/>
        <v>0</v>
      </c>
      <c r="AY1100" s="34">
        <f t="shared" si="999"/>
        <v>0</v>
      </c>
      <c r="AZ1100" s="37">
        <f t="shared" si="1000"/>
        <v>0</v>
      </c>
      <c r="BA1100" s="37">
        <f t="shared" si="1001"/>
        <v>0</v>
      </c>
      <c r="BB1100" s="35">
        <f t="shared" si="1002"/>
        <v>1.9147071829970219E-3</v>
      </c>
      <c r="BC1100" s="31">
        <f t="shared" si="1003"/>
        <v>0.12288422726798137</v>
      </c>
      <c r="BD1100" s="34">
        <f t="shared" si="1004"/>
        <v>0</v>
      </c>
    </row>
    <row r="1101" spans="1:56" x14ac:dyDescent="0.2">
      <c r="A1101" s="27">
        <f t="shared" si="1005"/>
        <v>1097</v>
      </c>
      <c r="B1101" s="28">
        <f t="shared" si="952"/>
        <v>1097</v>
      </c>
      <c r="C1101" s="27">
        <f t="shared" si="953"/>
        <v>91</v>
      </c>
      <c r="D1101" s="28">
        <f t="shared" si="954"/>
        <v>111</v>
      </c>
      <c r="E1101" s="29">
        <f t="shared" si="955"/>
        <v>0</v>
      </c>
      <c r="F1101" s="30">
        <f t="shared" si="956"/>
        <v>0.86917104908857734</v>
      </c>
      <c r="G1101" s="31">
        <f t="shared" si="957"/>
        <v>0.15590371623334942</v>
      </c>
      <c r="H1101" s="32">
        <f t="shared" si="958"/>
        <v>0.02</v>
      </c>
      <c r="I1101" s="32">
        <f t="shared" si="959"/>
        <v>0</v>
      </c>
      <c r="J1101" s="33">
        <f t="shared" si="1006"/>
        <v>0</v>
      </c>
      <c r="K1101" s="30">
        <f t="shared" si="960"/>
        <v>0</v>
      </c>
      <c r="L1101" s="33">
        <f t="shared" si="961"/>
        <v>0</v>
      </c>
      <c r="M1101" s="30">
        <f t="shared" si="962"/>
        <v>0</v>
      </c>
      <c r="N1101" s="33">
        <f t="shared" si="963"/>
        <v>0</v>
      </c>
      <c r="O1101" s="31">
        <f t="shared" si="964"/>
        <v>0</v>
      </c>
      <c r="P1101" s="33">
        <f t="shared" si="965"/>
        <v>0</v>
      </c>
      <c r="Q1101" s="34">
        <f t="shared" si="1007"/>
        <v>1193550.1325599572</v>
      </c>
      <c r="R1101" s="29">
        <f t="shared" si="966"/>
        <v>0</v>
      </c>
      <c r="S1101" s="34">
        <f t="shared" si="967"/>
        <v>1193550.1325599572</v>
      </c>
      <c r="T1101" s="29">
        <f t="shared" si="968"/>
        <v>994.6251104666311</v>
      </c>
      <c r="U1101" s="29">
        <f t="shared" si="969"/>
        <v>0</v>
      </c>
      <c r="V1101" s="35">
        <f t="shared" si="970"/>
        <v>0.17149408785668438</v>
      </c>
      <c r="W1101" s="34">
        <f t="shared" si="971"/>
        <v>0</v>
      </c>
      <c r="X1101" s="34">
        <f t="shared" si="972"/>
        <v>1192555.5074494905</v>
      </c>
      <c r="Y1101" s="36">
        <f t="shared" si="973"/>
        <v>-6.5513849991404305E-3</v>
      </c>
      <c r="Z1101" s="34">
        <f t="shared" si="974"/>
        <v>-7812.890262146896</v>
      </c>
      <c r="AA1101" s="34">
        <f t="shared" si="975"/>
        <v>1188649.062318417</v>
      </c>
      <c r="AB1101" s="34">
        <f t="shared" si="976"/>
        <v>0</v>
      </c>
      <c r="AC1101" s="34">
        <f t="shared" si="977"/>
        <v>0</v>
      </c>
      <c r="AD1101" s="34">
        <f t="shared" si="978"/>
        <v>0</v>
      </c>
      <c r="AE1101" s="34">
        <f t="shared" si="979"/>
        <v>0</v>
      </c>
      <c r="AF1101" s="34">
        <f t="shared" si="980"/>
        <v>0</v>
      </c>
      <c r="AG1101" s="29">
        <f t="shared" si="981"/>
        <v>1188649.062318417</v>
      </c>
      <c r="AH1101" s="34">
        <f t="shared" si="982"/>
        <v>0</v>
      </c>
      <c r="AI1101" s="34">
        <f t="shared" si="983"/>
        <v>0</v>
      </c>
      <c r="AJ1101" s="34">
        <f t="shared" si="984"/>
        <v>0</v>
      </c>
      <c r="AK1101" s="34">
        <f t="shared" si="985"/>
        <v>0</v>
      </c>
      <c r="AL1101" s="34">
        <f t="shared" si="986"/>
        <v>0</v>
      </c>
      <c r="AM1101" s="34">
        <f t="shared" si="987"/>
        <v>0</v>
      </c>
      <c r="AN1101" s="34">
        <f t="shared" si="988"/>
        <v>0</v>
      </c>
      <c r="AO1101" s="34">
        <f t="shared" si="989"/>
        <v>0</v>
      </c>
      <c r="AP1101" s="34">
        <f t="shared" si="990"/>
        <v>0</v>
      </c>
      <c r="AQ1101" s="34">
        <f t="shared" si="991"/>
        <v>0</v>
      </c>
      <c r="AR1101" s="34">
        <f t="shared" si="992"/>
        <v>0</v>
      </c>
      <c r="AS1101" s="30">
        <f t="shared" si="993"/>
        <v>2.4833937662429832</v>
      </c>
      <c r="AT1101" s="29">
        <f t="shared" si="994"/>
        <v>0</v>
      </c>
      <c r="AU1101" s="29">
        <f t="shared" si="995"/>
        <v>0</v>
      </c>
      <c r="AV1101" s="34">
        <f t="shared" si="996"/>
        <v>0</v>
      </c>
      <c r="AW1101" s="34">
        <f t="shared" si="997"/>
        <v>0</v>
      </c>
      <c r="AX1101" s="29">
        <f t="shared" si="998"/>
        <v>0</v>
      </c>
      <c r="AY1101" s="34">
        <f t="shared" si="999"/>
        <v>0</v>
      </c>
      <c r="AZ1101" s="37">
        <f t="shared" si="1000"/>
        <v>0</v>
      </c>
      <c r="BA1101" s="37">
        <f t="shared" si="1001"/>
        <v>0</v>
      </c>
      <c r="BB1101" s="35">
        <f t="shared" si="1002"/>
        <v>1.9147071829970219E-3</v>
      </c>
      <c r="BC1101" s="31">
        <f t="shared" si="1003"/>
        <v>0.12264938960072268</v>
      </c>
      <c r="BD1101" s="34">
        <f t="shared" si="1004"/>
        <v>0</v>
      </c>
    </row>
    <row r="1102" spans="1:56" x14ac:dyDescent="0.2">
      <c r="A1102" s="27">
        <f t="shared" si="1005"/>
        <v>1098</v>
      </c>
      <c r="B1102" s="28">
        <f t="shared" si="952"/>
        <v>1098</v>
      </c>
      <c r="C1102" s="27">
        <f t="shared" si="953"/>
        <v>91</v>
      </c>
      <c r="D1102" s="28">
        <f t="shared" si="954"/>
        <v>111</v>
      </c>
      <c r="E1102" s="29">
        <f t="shared" si="955"/>
        <v>0</v>
      </c>
      <c r="F1102" s="30">
        <f t="shared" si="956"/>
        <v>0.86917104908857734</v>
      </c>
      <c r="G1102" s="31">
        <f t="shared" si="957"/>
        <v>0.15590371623334942</v>
      </c>
      <c r="H1102" s="32">
        <f t="shared" si="958"/>
        <v>0.02</v>
      </c>
      <c r="I1102" s="32">
        <f t="shared" si="959"/>
        <v>0</v>
      </c>
      <c r="J1102" s="33">
        <f t="shared" si="1006"/>
        <v>0</v>
      </c>
      <c r="K1102" s="30">
        <f t="shared" si="960"/>
        <v>0</v>
      </c>
      <c r="L1102" s="33">
        <f t="shared" si="961"/>
        <v>0</v>
      </c>
      <c r="M1102" s="30">
        <f t="shared" si="962"/>
        <v>0</v>
      </c>
      <c r="N1102" s="33">
        <f t="shared" si="963"/>
        <v>0</v>
      </c>
      <c r="O1102" s="31">
        <f t="shared" si="964"/>
        <v>0</v>
      </c>
      <c r="P1102" s="33">
        <f t="shared" si="965"/>
        <v>0</v>
      </c>
      <c r="Q1102" s="34">
        <f t="shared" si="1007"/>
        <v>1184742.6171873435</v>
      </c>
      <c r="R1102" s="29">
        <f t="shared" si="966"/>
        <v>0</v>
      </c>
      <c r="S1102" s="34">
        <f t="shared" si="967"/>
        <v>1184742.6171873435</v>
      </c>
      <c r="T1102" s="29">
        <f t="shared" si="968"/>
        <v>987.2855143227863</v>
      </c>
      <c r="U1102" s="29">
        <f t="shared" si="969"/>
        <v>0</v>
      </c>
      <c r="V1102" s="35">
        <f t="shared" si="970"/>
        <v>0.17149408785668438</v>
      </c>
      <c r="W1102" s="34">
        <f t="shared" si="971"/>
        <v>0</v>
      </c>
      <c r="X1102" s="34">
        <f t="shared" si="972"/>
        <v>1183755.3316730207</v>
      </c>
      <c r="Y1102" s="36">
        <f t="shared" si="973"/>
        <v>-2.8414681080342064E-3</v>
      </c>
      <c r="Z1102" s="34">
        <f t="shared" si="974"/>
        <v>-3363.6030226643425</v>
      </c>
      <c r="AA1102" s="34">
        <f t="shared" si="975"/>
        <v>1182073.5301616886</v>
      </c>
      <c r="AB1102" s="34">
        <f t="shared" si="976"/>
        <v>0</v>
      </c>
      <c r="AC1102" s="34">
        <f t="shared" si="977"/>
        <v>0</v>
      </c>
      <c r="AD1102" s="34">
        <f t="shared" si="978"/>
        <v>0</v>
      </c>
      <c r="AE1102" s="34">
        <f t="shared" si="979"/>
        <v>0</v>
      </c>
      <c r="AF1102" s="34">
        <f t="shared" si="980"/>
        <v>0</v>
      </c>
      <c r="AG1102" s="29">
        <f t="shared" si="981"/>
        <v>1182073.5301616886</v>
      </c>
      <c r="AH1102" s="34">
        <f t="shared" si="982"/>
        <v>0</v>
      </c>
      <c r="AI1102" s="34">
        <f t="shared" si="983"/>
        <v>0</v>
      </c>
      <c r="AJ1102" s="34">
        <f t="shared" si="984"/>
        <v>0</v>
      </c>
      <c r="AK1102" s="34">
        <f t="shared" si="985"/>
        <v>0</v>
      </c>
      <c r="AL1102" s="34">
        <f t="shared" si="986"/>
        <v>0</v>
      </c>
      <c r="AM1102" s="34">
        <f t="shared" si="987"/>
        <v>0</v>
      </c>
      <c r="AN1102" s="34">
        <f t="shared" si="988"/>
        <v>0</v>
      </c>
      <c r="AO1102" s="34">
        <f t="shared" si="989"/>
        <v>0</v>
      </c>
      <c r="AP1102" s="34">
        <f t="shared" si="990"/>
        <v>0</v>
      </c>
      <c r="AQ1102" s="34">
        <f t="shared" si="991"/>
        <v>0</v>
      </c>
      <c r="AR1102" s="34">
        <f t="shared" si="992"/>
        <v>0</v>
      </c>
      <c r="AS1102" s="30">
        <f t="shared" si="993"/>
        <v>2.4854538360250116</v>
      </c>
      <c r="AT1102" s="29">
        <f t="shared" si="994"/>
        <v>0</v>
      </c>
      <c r="AU1102" s="29">
        <f t="shared" si="995"/>
        <v>0</v>
      </c>
      <c r="AV1102" s="34">
        <f t="shared" si="996"/>
        <v>0</v>
      </c>
      <c r="AW1102" s="34">
        <f t="shared" si="997"/>
        <v>0</v>
      </c>
      <c r="AX1102" s="29">
        <f t="shared" si="998"/>
        <v>0</v>
      </c>
      <c r="AY1102" s="34">
        <f t="shared" si="999"/>
        <v>0</v>
      </c>
      <c r="AZ1102" s="37">
        <f t="shared" si="1000"/>
        <v>0</v>
      </c>
      <c r="BA1102" s="37">
        <f t="shared" si="1001"/>
        <v>0</v>
      </c>
      <c r="BB1102" s="35">
        <f t="shared" si="1002"/>
        <v>1.9147071829970219E-3</v>
      </c>
      <c r="BC1102" s="31">
        <f t="shared" si="1003"/>
        <v>0.12241500071953836</v>
      </c>
      <c r="BD1102" s="34">
        <f t="shared" si="1004"/>
        <v>0</v>
      </c>
    </row>
    <row r="1103" spans="1:56" x14ac:dyDescent="0.2">
      <c r="A1103" s="27">
        <f t="shared" si="1005"/>
        <v>1099</v>
      </c>
      <c r="B1103" s="28">
        <f t="shared" si="952"/>
        <v>1099</v>
      </c>
      <c r="C1103" s="27">
        <f t="shared" si="953"/>
        <v>91</v>
      </c>
      <c r="D1103" s="28">
        <f t="shared" si="954"/>
        <v>111</v>
      </c>
      <c r="E1103" s="29">
        <f t="shared" si="955"/>
        <v>0</v>
      </c>
      <c r="F1103" s="30">
        <f t="shared" si="956"/>
        <v>0.86917104908857734</v>
      </c>
      <c r="G1103" s="31">
        <f t="shared" si="957"/>
        <v>0.15590371623334942</v>
      </c>
      <c r="H1103" s="32">
        <f t="shared" si="958"/>
        <v>0.02</v>
      </c>
      <c r="I1103" s="32">
        <f t="shared" si="959"/>
        <v>0</v>
      </c>
      <c r="J1103" s="33">
        <f t="shared" si="1006"/>
        <v>0</v>
      </c>
      <c r="K1103" s="30">
        <f t="shared" si="960"/>
        <v>0</v>
      </c>
      <c r="L1103" s="33">
        <f t="shared" si="961"/>
        <v>0</v>
      </c>
      <c r="M1103" s="30">
        <f t="shared" si="962"/>
        <v>0</v>
      </c>
      <c r="N1103" s="33">
        <f t="shared" si="963"/>
        <v>0</v>
      </c>
      <c r="O1103" s="31">
        <f t="shared" si="964"/>
        <v>0</v>
      </c>
      <c r="P1103" s="33">
        <f t="shared" si="965"/>
        <v>0</v>
      </c>
      <c r="Q1103" s="34">
        <f t="shared" si="1007"/>
        <v>1180391.7286503564</v>
      </c>
      <c r="R1103" s="29">
        <f t="shared" si="966"/>
        <v>0</v>
      </c>
      <c r="S1103" s="34">
        <f t="shared" si="967"/>
        <v>1180391.7286503564</v>
      </c>
      <c r="T1103" s="29">
        <f t="shared" si="968"/>
        <v>983.65977387529711</v>
      </c>
      <c r="U1103" s="29">
        <f t="shared" si="969"/>
        <v>0</v>
      </c>
      <c r="V1103" s="35">
        <f t="shared" si="970"/>
        <v>0.17149408785668438</v>
      </c>
      <c r="W1103" s="34">
        <f t="shared" si="971"/>
        <v>0</v>
      </c>
      <c r="X1103" s="34">
        <f t="shared" si="972"/>
        <v>1179408.0688764811</v>
      </c>
      <c r="Y1103" s="36">
        <f t="shared" si="973"/>
        <v>6.1132750101138278E-3</v>
      </c>
      <c r="Z1103" s="34">
        <f t="shared" si="974"/>
        <v>7210.0458741892007</v>
      </c>
      <c r="AA1103" s="34">
        <f t="shared" si="975"/>
        <v>1183013.0918135757</v>
      </c>
      <c r="AB1103" s="34">
        <f t="shared" si="976"/>
        <v>0</v>
      </c>
      <c r="AC1103" s="34">
        <f t="shared" si="977"/>
        <v>0</v>
      </c>
      <c r="AD1103" s="34">
        <f t="shared" si="978"/>
        <v>0</v>
      </c>
      <c r="AE1103" s="34">
        <f t="shared" si="979"/>
        <v>0</v>
      </c>
      <c r="AF1103" s="34">
        <f t="shared" si="980"/>
        <v>0</v>
      </c>
      <c r="AG1103" s="29">
        <f t="shared" si="981"/>
        <v>1183013.0918135757</v>
      </c>
      <c r="AH1103" s="34">
        <f t="shared" si="982"/>
        <v>0</v>
      </c>
      <c r="AI1103" s="34">
        <f t="shared" si="983"/>
        <v>0</v>
      </c>
      <c r="AJ1103" s="34">
        <f t="shared" si="984"/>
        <v>0</v>
      </c>
      <c r="AK1103" s="34">
        <f t="shared" si="985"/>
        <v>0</v>
      </c>
      <c r="AL1103" s="34">
        <f t="shared" si="986"/>
        <v>0</v>
      </c>
      <c r="AM1103" s="34">
        <f t="shared" si="987"/>
        <v>0</v>
      </c>
      <c r="AN1103" s="34">
        <f t="shared" si="988"/>
        <v>0</v>
      </c>
      <c r="AO1103" s="34">
        <f t="shared" si="989"/>
        <v>0</v>
      </c>
      <c r="AP1103" s="34">
        <f t="shared" si="990"/>
        <v>0</v>
      </c>
      <c r="AQ1103" s="34">
        <f t="shared" si="991"/>
        <v>0</v>
      </c>
      <c r="AR1103" s="34">
        <f t="shared" si="992"/>
        <v>0</v>
      </c>
      <c r="AS1103" s="30">
        <f t="shared" si="993"/>
        <v>2.4875156147134421</v>
      </c>
      <c r="AT1103" s="29">
        <f t="shared" si="994"/>
        <v>0</v>
      </c>
      <c r="AU1103" s="29">
        <f t="shared" si="995"/>
        <v>0</v>
      </c>
      <c r="AV1103" s="34">
        <f t="shared" si="996"/>
        <v>0</v>
      </c>
      <c r="AW1103" s="34">
        <f t="shared" si="997"/>
        <v>0</v>
      </c>
      <c r="AX1103" s="29">
        <f t="shared" si="998"/>
        <v>0</v>
      </c>
      <c r="AY1103" s="34">
        <f t="shared" si="999"/>
        <v>0</v>
      </c>
      <c r="AZ1103" s="37">
        <f t="shared" si="1000"/>
        <v>0</v>
      </c>
      <c r="BA1103" s="37">
        <f t="shared" si="1001"/>
        <v>0</v>
      </c>
      <c r="BB1103" s="35">
        <f t="shared" si="1002"/>
        <v>1.9147071829970219E-3</v>
      </c>
      <c r="BC1103" s="31">
        <f t="shared" si="1003"/>
        <v>0.12218105976677675</v>
      </c>
      <c r="BD1103" s="34">
        <f t="shared" si="1004"/>
        <v>0</v>
      </c>
    </row>
    <row r="1104" spans="1:56" x14ac:dyDescent="0.2">
      <c r="A1104" s="27">
        <f t="shared" si="1005"/>
        <v>1100</v>
      </c>
      <c r="B1104" s="28">
        <f t="shared" si="952"/>
        <v>1100</v>
      </c>
      <c r="C1104" s="27">
        <f t="shared" si="953"/>
        <v>91</v>
      </c>
      <c r="D1104" s="28">
        <f t="shared" si="954"/>
        <v>111</v>
      </c>
      <c r="E1104" s="29">
        <f t="shared" si="955"/>
        <v>0</v>
      </c>
      <c r="F1104" s="30">
        <f t="shared" si="956"/>
        <v>0.86917104908857734</v>
      </c>
      <c r="G1104" s="31">
        <f t="shared" si="957"/>
        <v>0.15590371623334942</v>
      </c>
      <c r="H1104" s="32">
        <f t="shared" si="958"/>
        <v>0.02</v>
      </c>
      <c r="I1104" s="32">
        <f t="shared" si="959"/>
        <v>0</v>
      </c>
      <c r="J1104" s="33">
        <f t="shared" si="1006"/>
        <v>0</v>
      </c>
      <c r="K1104" s="30">
        <f t="shared" si="960"/>
        <v>0</v>
      </c>
      <c r="L1104" s="33">
        <f t="shared" si="961"/>
        <v>0</v>
      </c>
      <c r="M1104" s="30">
        <f t="shared" si="962"/>
        <v>0</v>
      </c>
      <c r="N1104" s="33">
        <f t="shared" si="963"/>
        <v>0</v>
      </c>
      <c r="O1104" s="31">
        <f t="shared" si="964"/>
        <v>0</v>
      </c>
      <c r="P1104" s="33">
        <f t="shared" si="965"/>
        <v>0</v>
      </c>
      <c r="Q1104" s="34">
        <f t="shared" si="1007"/>
        <v>1186618.1147506703</v>
      </c>
      <c r="R1104" s="29">
        <f t="shared" si="966"/>
        <v>0</v>
      </c>
      <c r="S1104" s="34">
        <f t="shared" si="967"/>
        <v>1186618.1147506703</v>
      </c>
      <c r="T1104" s="29">
        <f t="shared" si="968"/>
        <v>988.84842895889199</v>
      </c>
      <c r="U1104" s="29">
        <f t="shared" si="969"/>
        <v>0</v>
      </c>
      <c r="V1104" s="35">
        <f t="shared" si="970"/>
        <v>0.17149408785668438</v>
      </c>
      <c r="W1104" s="34">
        <f t="shared" si="971"/>
        <v>0</v>
      </c>
      <c r="X1104" s="34">
        <f t="shared" si="972"/>
        <v>1185629.2663217115</v>
      </c>
      <c r="Y1104" s="36">
        <f t="shared" si="973"/>
        <v>5.7973015367400738E-3</v>
      </c>
      <c r="Z1104" s="34">
        <f t="shared" si="974"/>
        <v>6873.4503676508639</v>
      </c>
      <c r="AA1104" s="34">
        <f t="shared" si="975"/>
        <v>1189065.9915055369</v>
      </c>
      <c r="AB1104" s="34">
        <f t="shared" si="976"/>
        <v>0</v>
      </c>
      <c r="AC1104" s="34">
        <f t="shared" si="977"/>
        <v>0</v>
      </c>
      <c r="AD1104" s="34">
        <f t="shared" si="978"/>
        <v>0</v>
      </c>
      <c r="AE1104" s="34">
        <f t="shared" si="979"/>
        <v>0</v>
      </c>
      <c r="AF1104" s="34">
        <f t="shared" si="980"/>
        <v>0</v>
      </c>
      <c r="AG1104" s="29">
        <f t="shared" si="981"/>
        <v>1189065.9915055369</v>
      </c>
      <c r="AH1104" s="34">
        <f t="shared" si="982"/>
        <v>0</v>
      </c>
      <c r="AI1104" s="34">
        <f t="shared" si="983"/>
        <v>0</v>
      </c>
      <c r="AJ1104" s="34">
        <f t="shared" si="984"/>
        <v>0</v>
      </c>
      <c r="AK1104" s="34">
        <f t="shared" si="985"/>
        <v>0</v>
      </c>
      <c r="AL1104" s="34">
        <f t="shared" si="986"/>
        <v>0</v>
      </c>
      <c r="AM1104" s="34">
        <f t="shared" si="987"/>
        <v>0</v>
      </c>
      <c r="AN1104" s="34">
        <f t="shared" si="988"/>
        <v>0</v>
      </c>
      <c r="AO1104" s="34">
        <f t="shared" si="989"/>
        <v>0</v>
      </c>
      <c r="AP1104" s="34">
        <f t="shared" si="990"/>
        <v>0</v>
      </c>
      <c r="AQ1104" s="34">
        <f t="shared" si="991"/>
        <v>0</v>
      </c>
      <c r="AR1104" s="34">
        <f t="shared" si="992"/>
        <v>0</v>
      </c>
      <c r="AS1104" s="30">
        <f t="shared" si="993"/>
        <v>2.489579103725879</v>
      </c>
      <c r="AT1104" s="29">
        <f t="shared" si="994"/>
        <v>0</v>
      </c>
      <c r="AU1104" s="29">
        <f t="shared" si="995"/>
        <v>0</v>
      </c>
      <c r="AV1104" s="34">
        <f t="shared" si="996"/>
        <v>0</v>
      </c>
      <c r="AW1104" s="34">
        <f t="shared" si="997"/>
        <v>0</v>
      </c>
      <c r="AX1104" s="29">
        <f t="shared" si="998"/>
        <v>0</v>
      </c>
      <c r="AY1104" s="34">
        <f t="shared" si="999"/>
        <v>0</v>
      </c>
      <c r="AZ1104" s="37">
        <f t="shared" si="1000"/>
        <v>0</v>
      </c>
      <c r="BA1104" s="37">
        <f t="shared" si="1001"/>
        <v>0</v>
      </c>
      <c r="BB1104" s="35">
        <f t="shared" si="1002"/>
        <v>1.9147071829970219E-3</v>
      </c>
      <c r="BC1104" s="31">
        <f t="shared" si="1003"/>
        <v>0.12194756588642498</v>
      </c>
      <c r="BD1104" s="34">
        <f t="shared" si="1004"/>
        <v>0</v>
      </c>
    </row>
    <row r="1105" spans="1:56" x14ac:dyDescent="0.2">
      <c r="A1105" s="27">
        <f t="shared" si="1005"/>
        <v>1101</v>
      </c>
      <c r="B1105" s="28">
        <f t="shared" si="952"/>
        <v>1101</v>
      </c>
      <c r="C1105" s="27">
        <f t="shared" si="953"/>
        <v>91</v>
      </c>
      <c r="D1105" s="28">
        <f t="shared" si="954"/>
        <v>111</v>
      </c>
      <c r="E1105" s="29">
        <f t="shared" si="955"/>
        <v>0</v>
      </c>
      <c r="F1105" s="30">
        <f t="shared" si="956"/>
        <v>0.86917104908857734</v>
      </c>
      <c r="G1105" s="31">
        <f t="shared" si="957"/>
        <v>0.15590371623334942</v>
      </c>
      <c r="H1105" s="32">
        <f t="shared" si="958"/>
        <v>0.02</v>
      </c>
      <c r="I1105" s="32">
        <f t="shared" si="959"/>
        <v>0</v>
      </c>
      <c r="J1105" s="33">
        <f t="shared" si="1006"/>
        <v>0</v>
      </c>
      <c r="K1105" s="30">
        <f t="shared" si="960"/>
        <v>0</v>
      </c>
      <c r="L1105" s="33">
        <f t="shared" si="961"/>
        <v>0</v>
      </c>
      <c r="M1105" s="30">
        <f t="shared" si="962"/>
        <v>0</v>
      </c>
      <c r="N1105" s="33">
        <f t="shared" si="963"/>
        <v>0</v>
      </c>
      <c r="O1105" s="31">
        <f t="shared" si="964"/>
        <v>0</v>
      </c>
      <c r="P1105" s="33">
        <f t="shared" si="965"/>
        <v>0</v>
      </c>
      <c r="Q1105" s="34">
        <f t="shared" si="1007"/>
        <v>1192502.7166893624</v>
      </c>
      <c r="R1105" s="29">
        <f t="shared" si="966"/>
        <v>0</v>
      </c>
      <c r="S1105" s="34">
        <f t="shared" si="967"/>
        <v>1192502.7166893624</v>
      </c>
      <c r="T1105" s="29">
        <f t="shared" si="968"/>
        <v>993.7522639078021</v>
      </c>
      <c r="U1105" s="29">
        <f t="shared" si="969"/>
        <v>0</v>
      </c>
      <c r="V1105" s="35">
        <f t="shared" si="970"/>
        <v>0.17149408785668438</v>
      </c>
      <c r="W1105" s="34">
        <f t="shared" si="971"/>
        <v>0</v>
      </c>
      <c r="X1105" s="34">
        <f t="shared" si="972"/>
        <v>1191508.9644254546</v>
      </c>
      <c r="Y1105" s="36">
        <f t="shared" si="973"/>
        <v>4.0384272657822962E-4</v>
      </c>
      <c r="Z1105" s="34">
        <f t="shared" si="974"/>
        <v>481.1822289359784</v>
      </c>
      <c r="AA1105" s="34">
        <f t="shared" si="975"/>
        <v>1191749.5555399226</v>
      </c>
      <c r="AB1105" s="34">
        <f t="shared" si="976"/>
        <v>0</v>
      </c>
      <c r="AC1105" s="34">
        <f t="shared" si="977"/>
        <v>0</v>
      </c>
      <c r="AD1105" s="34">
        <f t="shared" si="978"/>
        <v>0</v>
      </c>
      <c r="AE1105" s="34">
        <f t="shared" si="979"/>
        <v>0</v>
      </c>
      <c r="AF1105" s="34">
        <f t="shared" si="980"/>
        <v>0</v>
      </c>
      <c r="AG1105" s="29">
        <f t="shared" si="981"/>
        <v>1191749.5555399226</v>
      </c>
      <c r="AH1105" s="34">
        <f t="shared" si="982"/>
        <v>0</v>
      </c>
      <c r="AI1105" s="34">
        <f t="shared" si="983"/>
        <v>0</v>
      </c>
      <c r="AJ1105" s="34">
        <f t="shared" si="984"/>
        <v>0</v>
      </c>
      <c r="AK1105" s="34">
        <f t="shared" si="985"/>
        <v>0</v>
      </c>
      <c r="AL1105" s="34">
        <f t="shared" si="986"/>
        <v>0</v>
      </c>
      <c r="AM1105" s="34">
        <f t="shared" si="987"/>
        <v>0</v>
      </c>
      <c r="AN1105" s="34">
        <f t="shared" si="988"/>
        <v>0</v>
      </c>
      <c r="AO1105" s="34">
        <f t="shared" si="989"/>
        <v>0</v>
      </c>
      <c r="AP1105" s="34">
        <f t="shared" si="990"/>
        <v>0</v>
      </c>
      <c r="AQ1105" s="34">
        <f t="shared" si="991"/>
        <v>0</v>
      </c>
      <c r="AR1105" s="34">
        <f t="shared" si="992"/>
        <v>0</v>
      </c>
      <c r="AS1105" s="30">
        <f t="shared" si="993"/>
        <v>2.4916443044810994</v>
      </c>
      <c r="AT1105" s="29">
        <f t="shared" si="994"/>
        <v>0</v>
      </c>
      <c r="AU1105" s="29">
        <f t="shared" si="995"/>
        <v>0</v>
      </c>
      <c r="AV1105" s="34">
        <f t="shared" si="996"/>
        <v>0</v>
      </c>
      <c r="AW1105" s="34">
        <f t="shared" si="997"/>
        <v>0</v>
      </c>
      <c r="AX1105" s="29">
        <f t="shared" si="998"/>
        <v>0</v>
      </c>
      <c r="AY1105" s="34">
        <f t="shared" si="999"/>
        <v>0</v>
      </c>
      <c r="AZ1105" s="37">
        <f t="shared" si="1000"/>
        <v>0</v>
      </c>
      <c r="BA1105" s="37">
        <f t="shared" si="1001"/>
        <v>0</v>
      </c>
      <c r="BB1105" s="35">
        <f t="shared" si="1002"/>
        <v>1.9147071829970219E-3</v>
      </c>
      <c r="BC1105" s="31">
        <f t="shared" si="1003"/>
        <v>0.12171451822410624</v>
      </c>
      <c r="BD1105" s="34">
        <f t="shared" si="1004"/>
        <v>0</v>
      </c>
    </row>
    <row r="1106" spans="1:56" x14ac:dyDescent="0.2">
      <c r="A1106" s="27">
        <f t="shared" si="1005"/>
        <v>1102</v>
      </c>
      <c r="B1106" s="28">
        <f t="shared" si="952"/>
        <v>1102</v>
      </c>
      <c r="C1106" s="27">
        <f t="shared" si="953"/>
        <v>91</v>
      </c>
      <c r="D1106" s="28">
        <f t="shared" si="954"/>
        <v>111</v>
      </c>
      <c r="E1106" s="29">
        <f t="shared" si="955"/>
        <v>0</v>
      </c>
      <c r="F1106" s="30">
        <f t="shared" si="956"/>
        <v>0.86917104908857734</v>
      </c>
      <c r="G1106" s="31">
        <f t="shared" si="957"/>
        <v>0.15590371623334942</v>
      </c>
      <c r="H1106" s="32">
        <f t="shared" si="958"/>
        <v>0.02</v>
      </c>
      <c r="I1106" s="32">
        <f t="shared" si="959"/>
        <v>0</v>
      </c>
      <c r="J1106" s="33">
        <f t="shared" si="1006"/>
        <v>0</v>
      </c>
      <c r="K1106" s="30">
        <f t="shared" si="960"/>
        <v>0</v>
      </c>
      <c r="L1106" s="33">
        <f t="shared" si="961"/>
        <v>0</v>
      </c>
      <c r="M1106" s="30">
        <f t="shared" si="962"/>
        <v>0</v>
      </c>
      <c r="N1106" s="33">
        <f t="shared" si="963"/>
        <v>0</v>
      </c>
      <c r="O1106" s="31">
        <f t="shared" si="964"/>
        <v>0</v>
      </c>
      <c r="P1106" s="33">
        <f t="shared" si="965"/>
        <v>0</v>
      </c>
      <c r="Q1106" s="34">
        <f t="shared" si="1007"/>
        <v>1191990.1466543905</v>
      </c>
      <c r="R1106" s="29">
        <f t="shared" si="966"/>
        <v>0</v>
      </c>
      <c r="S1106" s="34">
        <f t="shared" si="967"/>
        <v>1191990.1466543905</v>
      </c>
      <c r="T1106" s="29">
        <f t="shared" si="968"/>
        <v>993.32512221199215</v>
      </c>
      <c r="U1106" s="29">
        <f t="shared" si="969"/>
        <v>0</v>
      </c>
      <c r="V1106" s="35">
        <f t="shared" si="970"/>
        <v>0.17149408785668438</v>
      </c>
      <c r="W1106" s="34">
        <f t="shared" si="971"/>
        <v>0</v>
      </c>
      <c r="X1106" s="34">
        <f t="shared" si="972"/>
        <v>1190996.8215321784</v>
      </c>
      <c r="Y1106" s="36">
        <f t="shared" si="973"/>
        <v>-7.9767775914704186E-3</v>
      </c>
      <c r="Z1106" s="34">
        <f t="shared" si="974"/>
        <v>-9500.3167575103744</v>
      </c>
      <c r="AA1106" s="34">
        <f t="shared" si="975"/>
        <v>1186246.6631534232</v>
      </c>
      <c r="AB1106" s="34">
        <f t="shared" si="976"/>
        <v>0</v>
      </c>
      <c r="AC1106" s="34">
        <f t="shared" si="977"/>
        <v>0</v>
      </c>
      <c r="AD1106" s="34">
        <f t="shared" si="978"/>
        <v>0</v>
      </c>
      <c r="AE1106" s="34">
        <f t="shared" si="979"/>
        <v>0</v>
      </c>
      <c r="AF1106" s="34">
        <f t="shared" si="980"/>
        <v>0</v>
      </c>
      <c r="AG1106" s="29">
        <f t="shared" si="981"/>
        <v>1186246.6631534232</v>
      </c>
      <c r="AH1106" s="34">
        <f t="shared" si="982"/>
        <v>0</v>
      </c>
      <c r="AI1106" s="34">
        <f t="shared" si="983"/>
        <v>0</v>
      </c>
      <c r="AJ1106" s="34">
        <f t="shared" si="984"/>
        <v>0</v>
      </c>
      <c r="AK1106" s="34">
        <f t="shared" si="985"/>
        <v>0</v>
      </c>
      <c r="AL1106" s="34">
        <f t="shared" si="986"/>
        <v>0</v>
      </c>
      <c r="AM1106" s="34">
        <f t="shared" si="987"/>
        <v>0</v>
      </c>
      <c r="AN1106" s="34">
        <f t="shared" si="988"/>
        <v>0</v>
      </c>
      <c r="AO1106" s="34">
        <f t="shared" si="989"/>
        <v>0</v>
      </c>
      <c r="AP1106" s="34">
        <f t="shared" si="990"/>
        <v>0</v>
      </c>
      <c r="AQ1106" s="34">
        <f t="shared" si="991"/>
        <v>0</v>
      </c>
      <c r="AR1106" s="34">
        <f t="shared" si="992"/>
        <v>0</v>
      </c>
      <c r="AS1106" s="30">
        <f t="shared" si="993"/>
        <v>2.49371121839906</v>
      </c>
      <c r="AT1106" s="29">
        <f t="shared" si="994"/>
        <v>0</v>
      </c>
      <c r="AU1106" s="29">
        <f t="shared" si="995"/>
        <v>0</v>
      </c>
      <c r="AV1106" s="34">
        <f t="shared" si="996"/>
        <v>0</v>
      </c>
      <c r="AW1106" s="34">
        <f t="shared" si="997"/>
        <v>0</v>
      </c>
      <c r="AX1106" s="29">
        <f t="shared" si="998"/>
        <v>0</v>
      </c>
      <c r="AY1106" s="34">
        <f t="shared" si="999"/>
        <v>0</v>
      </c>
      <c r="AZ1106" s="37">
        <f t="shared" si="1000"/>
        <v>0</v>
      </c>
      <c r="BA1106" s="37">
        <f t="shared" si="1001"/>
        <v>0</v>
      </c>
      <c r="BB1106" s="35">
        <f t="shared" si="1002"/>
        <v>1.9147071829970219E-3</v>
      </c>
      <c r="BC1106" s="31">
        <f t="shared" si="1003"/>
        <v>0.12148191592707647</v>
      </c>
      <c r="BD1106" s="34">
        <f t="shared" si="1004"/>
        <v>0</v>
      </c>
    </row>
    <row r="1107" spans="1:56" x14ac:dyDescent="0.2">
      <c r="A1107" s="27">
        <f t="shared" si="1005"/>
        <v>1103</v>
      </c>
      <c r="B1107" s="28">
        <f t="shared" si="952"/>
        <v>1103</v>
      </c>
      <c r="C1107" s="27">
        <f t="shared" si="953"/>
        <v>91</v>
      </c>
      <c r="D1107" s="28">
        <f t="shared" si="954"/>
        <v>111</v>
      </c>
      <c r="E1107" s="29">
        <f t="shared" si="955"/>
        <v>0</v>
      </c>
      <c r="F1107" s="30">
        <f t="shared" si="956"/>
        <v>0.86917104908857734</v>
      </c>
      <c r="G1107" s="31">
        <f t="shared" si="957"/>
        <v>0.15590371623334942</v>
      </c>
      <c r="H1107" s="32">
        <f t="shared" si="958"/>
        <v>0.02</v>
      </c>
      <c r="I1107" s="32">
        <f t="shared" si="959"/>
        <v>0</v>
      </c>
      <c r="J1107" s="33">
        <f t="shared" si="1006"/>
        <v>0</v>
      </c>
      <c r="K1107" s="30">
        <f t="shared" si="960"/>
        <v>0</v>
      </c>
      <c r="L1107" s="33">
        <f t="shared" si="961"/>
        <v>0</v>
      </c>
      <c r="M1107" s="30">
        <f t="shared" si="962"/>
        <v>0</v>
      </c>
      <c r="N1107" s="33">
        <f t="shared" si="963"/>
        <v>0</v>
      </c>
      <c r="O1107" s="31">
        <f t="shared" si="964"/>
        <v>0</v>
      </c>
      <c r="P1107" s="33">
        <f t="shared" si="965"/>
        <v>0</v>
      </c>
      <c r="Q1107" s="34">
        <f t="shared" si="1007"/>
        <v>1181496.504774668</v>
      </c>
      <c r="R1107" s="29">
        <f t="shared" si="966"/>
        <v>0</v>
      </c>
      <c r="S1107" s="34">
        <f t="shared" si="967"/>
        <v>1181496.504774668</v>
      </c>
      <c r="T1107" s="29">
        <f t="shared" si="968"/>
        <v>984.58042064555673</v>
      </c>
      <c r="U1107" s="29">
        <f t="shared" si="969"/>
        <v>0</v>
      </c>
      <c r="V1107" s="35">
        <f t="shared" si="970"/>
        <v>0.17149408785668438</v>
      </c>
      <c r="W1107" s="34">
        <f t="shared" si="971"/>
        <v>0</v>
      </c>
      <c r="X1107" s="34">
        <f t="shared" si="972"/>
        <v>1180511.9243540224</v>
      </c>
      <c r="Y1107" s="36">
        <f t="shared" si="973"/>
        <v>-1.3374290650658427E-4</v>
      </c>
      <c r="Z1107" s="34">
        <f t="shared" si="974"/>
        <v>-157.8850959287879</v>
      </c>
      <c r="AA1107" s="34">
        <f t="shared" si="975"/>
        <v>1180432.981806058</v>
      </c>
      <c r="AB1107" s="34">
        <f t="shared" si="976"/>
        <v>0</v>
      </c>
      <c r="AC1107" s="34">
        <f t="shared" si="977"/>
        <v>0</v>
      </c>
      <c r="AD1107" s="34">
        <f t="shared" si="978"/>
        <v>0</v>
      </c>
      <c r="AE1107" s="34">
        <f t="shared" si="979"/>
        <v>0</v>
      </c>
      <c r="AF1107" s="34">
        <f t="shared" si="980"/>
        <v>0</v>
      </c>
      <c r="AG1107" s="29">
        <f t="shared" si="981"/>
        <v>1180432.981806058</v>
      </c>
      <c r="AH1107" s="34">
        <f t="shared" si="982"/>
        <v>0</v>
      </c>
      <c r="AI1107" s="34">
        <f t="shared" si="983"/>
        <v>0</v>
      </c>
      <c r="AJ1107" s="34">
        <f t="shared" si="984"/>
        <v>0</v>
      </c>
      <c r="AK1107" s="34">
        <f t="shared" si="985"/>
        <v>0</v>
      </c>
      <c r="AL1107" s="34">
        <f t="shared" si="986"/>
        <v>0</v>
      </c>
      <c r="AM1107" s="34">
        <f t="shared" si="987"/>
        <v>0</v>
      </c>
      <c r="AN1107" s="34">
        <f t="shared" si="988"/>
        <v>0</v>
      </c>
      <c r="AO1107" s="34">
        <f t="shared" si="989"/>
        <v>0</v>
      </c>
      <c r="AP1107" s="34">
        <f t="shared" si="990"/>
        <v>0</v>
      </c>
      <c r="AQ1107" s="34">
        <f t="shared" si="991"/>
        <v>0</v>
      </c>
      <c r="AR1107" s="34">
        <f t="shared" si="992"/>
        <v>0</v>
      </c>
      <c r="AS1107" s="30">
        <f t="shared" si="993"/>
        <v>2.4957798469008949</v>
      </c>
      <c r="AT1107" s="29">
        <f t="shared" si="994"/>
        <v>0</v>
      </c>
      <c r="AU1107" s="29">
        <f t="shared" si="995"/>
        <v>0</v>
      </c>
      <c r="AV1107" s="34">
        <f t="shared" si="996"/>
        <v>0</v>
      </c>
      <c r="AW1107" s="34">
        <f t="shared" si="997"/>
        <v>0</v>
      </c>
      <c r="AX1107" s="29">
        <f t="shared" si="998"/>
        <v>0</v>
      </c>
      <c r="AY1107" s="34">
        <f t="shared" si="999"/>
        <v>0</v>
      </c>
      <c r="AZ1107" s="37">
        <f t="shared" si="1000"/>
        <v>0</v>
      </c>
      <c r="BA1107" s="37">
        <f t="shared" si="1001"/>
        <v>0</v>
      </c>
      <c r="BB1107" s="35">
        <f t="shared" si="1002"/>
        <v>1.9147071829970219E-3</v>
      </c>
      <c r="BC1107" s="31">
        <f t="shared" si="1003"/>
        <v>0.12124975814422104</v>
      </c>
      <c r="BD1107" s="34">
        <f t="shared" si="1004"/>
        <v>0</v>
      </c>
    </row>
    <row r="1108" spans="1:56" x14ac:dyDescent="0.2">
      <c r="A1108" s="27">
        <f t="shared" si="1005"/>
        <v>1104</v>
      </c>
      <c r="B1108" s="28">
        <f t="shared" si="952"/>
        <v>1104</v>
      </c>
      <c r="C1108" s="27">
        <f t="shared" si="953"/>
        <v>92</v>
      </c>
      <c r="D1108" s="28">
        <f t="shared" si="954"/>
        <v>112</v>
      </c>
      <c r="E1108" s="29">
        <f t="shared" si="955"/>
        <v>0</v>
      </c>
      <c r="F1108" s="30">
        <f t="shared" si="956"/>
        <v>1</v>
      </c>
      <c r="G1108" s="31">
        <f t="shared" si="957"/>
        <v>1</v>
      </c>
      <c r="H1108" s="32">
        <f t="shared" si="958"/>
        <v>0.02</v>
      </c>
      <c r="I1108" s="32">
        <f t="shared" si="959"/>
        <v>0</v>
      </c>
      <c r="J1108" s="33">
        <f t="shared" si="1006"/>
        <v>0</v>
      </c>
      <c r="K1108" s="30">
        <f t="shared" si="960"/>
        <v>0</v>
      </c>
      <c r="L1108" s="33">
        <f t="shared" si="961"/>
        <v>0</v>
      </c>
      <c r="M1108" s="30">
        <f t="shared" si="962"/>
        <v>0</v>
      </c>
      <c r="N1108" s="33">
        <f t="shared" si="963"/>
        <v>0</v>
      </c>
      <c r="O1108" s="31">
        <f t="shared" si="964"/>
        <v>0</v>
      </c>
      <c r="P1108" s="33">
        <f t="shared" si="965"/>
        <v>0</v>
      </c>
      <c r="Q1108" s="34">
        <f t="shared" si="1007"/>
        <v>1180354.0392580936</v>
      </c>
      <c r="R1108" s="29">
        <f t="shared" si="966"/>
        <v>0</v>
      </c>
      <c r="S1108" s="34">
        <f t="shared" si="967"/>
        <v>1180354.0392580936</v>
      </c>
      <c r="T1108" s="29">
        <f t="shared" si="968"/>
        <v>983.62836604841141</v>
      </c>
      <c r="U1108" s="29">
        <f t="shared" si="969"/>
        <v>0</v>
      </c>
      <c r="V1108" s="35">
        <f t="shared" si="970"/>
        <v>1.1000000000000001</v>
      </c>
      <c r="W1108" s="34">
        <f t="shared" si="971"/>
        <v>0</v>
      </c>
      <c r="X1108" s="34">
        <f t="shared" si="972"/>
        <v>1179370.4108920451</v>
      </c>
      <c r="Y1108" s="36">
        <f t="shared" si="973"/>
        <v>1.2814701150730023E-2</v>
      </c>
      <c r="Z1108" s="34">
        <f t="shared" si="974"/>
        <v>15113.279361595231</v>
      </c>
      <c r="AA1108" s="34">
        <f t="shared" si="975"/>
        <v>1186927.0505728428</v>
      </c>
      <c r="AB1108" s="34">
        <f t="shared" si="976"/>
        <v>0</v>
      </c>
      <c r="AC1108" s="34">
        <f t="shared" si="977"/>
        <v>0</v>
      </c>
      <c r="AD1108" s="34">
        <f t="shared" si="978"/>
        <v>0</v>
      </c>
      <c r="AE1108" s="34">
        <f t="shared" si="979"/>
        <v>0</v>
      </c>
      <c r="AF1108" s="34">
        <f t="shared" si="980"/>
        <v>0</v>
      </c>
      <c r="AG1108" s="29">
        <f t="shared" si="981"/>
        <v>1186927.0505728428</v>
      </c>
      <c r="AH1108" s="34">
        <f t="shared" si="982"/>
        <v>0</v>
      </c>
      <c r="AI1108" s="34">
        <f t="shared" si="983"/>
        <v>0</v>
      </c>
      <c r="AJ1108" s="34">
        <f t="shared" si="984"/>
        <v>0</v>
      </c>
      <c r="AK1108" s="34">
        <f t="shared" si="985"/>
        <v>0</v>
      </c>
      <c r="AL1108" s="34">
        <f t="shared" si="986"/>
        <v>0</v>
      </c>
      <c r="AM1108" s="34">
        <f t="shared" si="987"/>
        <v>0</v>
      </c>
      <c r="AN1108" s="34">
        <f t="shared" si="988"/>
        <v>0</v>
      </c>
      <c r="AO1108" s="34">
        <f t="shared" si="989"/>
        <v>0</v>
      </c>
      <c r="AP1108" s="34">
        <f t="shared" si="990"/>
        <v>0</v>
      </c>
      <c r="AQ1108" s="34">
        <f t="shared" si="991"/>
        <v>0</v>
      </c>
      <c r="AR1108" s="34">
        <f t="shared" si="992"/>
        <v>0</v>
      </c>
      <c r="AS1108" s="30">
        <f t="shared" si="993"/>
        <v>2.4978501914089164</v>
      </c>
      <c r="AT1108" s="29">
        <f t="shared" si="994"/>
        <v>0</v>
      </c>
      <c r="AU1108" s="29">
        <f t="shared" si="995"/>
        <v>0</v>
      </c>
      <c r="AV1108" s="34">
        <f t="shared" si="996"/>
        <v>0</v>
      </c>
      <c r="AW1108" s="34">
        <f t="shared" si="997"/>
        <v>0</v>
      </c>
      <c r="AX1108" s="29">
        <f t="shared" si="998"/>
        <v>0</v>
      </c>
      <c r="AY1108" s="34">
        <f t="shared" si="999"/>
        <v>0</v>
      </c>
      <c r="AZ1108" s="37">
        <f t="shared" si="1000"/>
        <v>0</v>
      </c>
      <c r="BA1108" s="37">
        <f t="shared" si="1001"/>
        <v>0</v>
      </c>
      <c r="BB1108" s="35">
        <f t="shared" si="1002"/>
        <v>1.9310253576545477E-3</v>
      </c>
      <c r="BC1108" s="31">
        <f t="shared" si="1003"/>
        <v>0.1188615022053619</v>
      </c>
      <c r="BD1108" s="34">
        <f t="shared" si="1004"/>
        <v>0</v>
      </c>
    </row>
    <row r="1109" spans="1:56" x14ac:dyDescent="0.2">
      <c r="A1109" s="27">
        <f t="shared" si="1005"/>
        <v>1105</v>
      </c>
      <c r="B1109" s="28">
        <f t="shared" si="952"/>
        <v>1105</v>
      </c>
      <c r="C1109" s="27">
        <f t="shared" si="953"/>
        <v>92</v>
      </c>
      <c r="D1109" s="28">
        <f t="shared" si="954"/>
        <v>112</v>
      </c>
      <c r="E1109" s="29">
        <f t="shared" si="955"/>
        <v>0</v>
      </c>
      <c r="F1109" s="30">
        <f t="shared" si="956"/>
        <v>1</v>
      </c>
      <c r="G1109" s="31">
        <f t="shared" si="957"/>
        <v>1</v>
      </c>
      <c r="H1109" s="32">
        <f t="shared" si="958"/>
        <v>0.02</v>
      </c>
      <c r="I1109" s="32">
        <f t="shared" si="959"/>
        <v>0</v>
      </c>
      <c r="J1109" s="33">
        <f t="shared" si="1006"/>
        <v>0</v>
      </c>
      <c r="K1109" s="30">
        <f t="shared" si="960"/>
        <v>0</v>
      </c>
      <c r="L1109" s="33">
        <f t="shared" si="961"/>
        <v>0</v>
      </c>
      <c r="M1109" s="30">
        <f t="shared" si="962"/>
        <v>0</v>
      </c>
      <c r="N1109" s="33">
        <f t="shared" si="963"/>
        <v>0</v>
      </c>
      <c r="O1109" s="31">
        <f t="shared" si="964"/>
        <v>0</v>
      </c>
      <c r="P1109" s="33">
        <f t="shared" si="965"/>
        <v>0</v>
      </c>
      <c r="Q1109" s="34">
        <f t="shared" si="1007"/>
        <v>1194483.6902536403</v>
      </c>
      <c r="R1109" s="29">
        <f t="shared" si="966"/>
        <v>0</v>
      </c>
      <c r="S1109" s="34">
        <f t="shared" si="967"/>
        <v>1194483.6902536403</v>
      </c>
      <c r="T1109" s="29">
        <f t="shared" si="968"/>
        <v>995.40307521136697</v>
      </c>
      <c r="U1109" s="29">
        <f t="shared" si="969"/>
        <v>0</v>
      </c>
      <c r="V1109" s="35">
        <f t="shared" si="970"/>
        <v>1.1000000000000001</v>
      </c>
      <c r="W1109" s="34">
        <f t="shared" si="971"/>
        <v>0</v>
      </c>
      <c r="X1109" s="34">
        <f t="shared" si="972"/>
        <v>1193488.2871784288</v>
      </c>
      <c r="Y1109" s="36">
        <f t="shared" si="973"/>
        <v>7.3237604579268201E-3</v>
      </c>
      <c r="Z1109" s="34">
        <f t="shared" si="974"/>
        <v>8740.8223246361867</v>
      </c>
      <c r="AA1109" s="34">
        <f t="shared" si="975"/>
        <v>1197858.698340747</v>
      </c>
      <c r="AB1109" s="34">
        <f t="shared" si="976"/>
        <v>0</v>
      </c>
      <c r="AC1109" s="34">
        <f t="shared" si="977"/>
        <v>0</v>
      </c>
      <c r="AD1109" s="34">
        <f t="shared" si="978"/>
        <v>0</v>
      </c>
      <c r="AE1109" s="34">
        <f t="shared" si="979"/>
        <v>0</v>
      </c>
      <c r="AF1109" s="34">
        <f t="shared" si="980"/>
        <v>0</v>
      </c>
      <c r="AG1109" s="29">
        <f t="shared" si="981"/>
        <v>1197858.698340747</v>
      </c>
      <c r="AH1109" s="34">
        <f t="shared" si="982"/>
        <v>0</v>
      </c>
      <c r="AI1109" s="34">
        <f t="shared" si="983"/>
        <v>0</v>
      </c>
      <c r="AJ1109" s="34">
        <f t="shared" si="984"/>
        <v>0</v>
      </c>
      <c r="AK1109" s="34">
        <f t="shared" si="985"/>
        <v>0</v>
      </c>
      <c r="AL1109" s="34">
        <f t="shared" si="986"/>
        <v>0</v>
      </c>
      <c r="AM1109" s="34">
        <f t="shared" si="987"/>
        <v>0</v>
      </c>
      <c r="AN1109" s="34">
        <f t="shared" si="988"/>
        <v>0</v>
      </c>
      <c r="AO1109" s="34">
        <f t="shared" si="989"/>
        <v>0</v>
      </c>
      <c r="AP1109" s="34">
        <f t="shared" si="990"/>
        <v>0</v>
      </c>
      <c r="AQ1109" s="34">
        <f t="shared" si="991"/>
        <v>0</v>
      </c>
      <c r="AR1109" s="34">
        <f t="shared" si="992"/>
        <v>0</v>
      </c>
      <c r="AS1109" s="30">
        <f t="shared" si="993"/>
        <v>2.4999222533466168</v>
      </c>
      <c r="AT1109" s="29">
        <f t="shared" si="994"/>
        <v>0</v>
      </c>
      <c r="AU1109" s="29">
        <f t="shared" si="995"/>
        <v>0</v>
      </c>
      <c r="AV1109" s="34">
        <f t="shared" si="996"/>
        <v>0</v>
      </c>
      <c r="AW1109" s="34">
        <f t="shared" si="997"/>
        <v>0</v>
      </c>
      <c r="AX1109" s="29">
        <f t="shared" si="998"/>
        <v>0</v>
      </c>
      <c r="AY1109" s="34">
        <f t="shared" si="999"/>
        <v>0</v>
      </c>
      <c r="AZ1109" s="37">
        <f t="shared" si="1000"/>
        <v>0</v>
      </c>
      <c r="BA1109" s="37">
        <f t="shared" si="1001"/>
        <v>0</v>
      </c>
      <c r="BB1109" s="35">
        <f t="shared" si="1002"/>
        <v>1.9310253576545477E-3</v>
      </c>
      <c r="BC1109" s="31">
        <f t="shared" si="1003"/>
        <v>0.11863241999411332</v>
      </c>
      <c r="BD1109" s="34">
        <f t="shared" si="1004"/>
        <v>0</v>
      </c>
    </row>
    <row r="1110" spans="1:56" x14ac:dyDescent="0.2">
      <c r="A1110" s="27">
        <f t="shared" si="1005"/>
        <v>1106</v>
      </c>
      <c r="B1110" s="28">
        <f t="shared" si="952"/>
        <v>1106</v>
      </c>
      <c r="C1110" s="27">
        <f t="shared" si="953"/>
        <v>92</v>
      </c>
      <c r="D1110" s="28">
        <f t="shared" si="954"/>
        <v>112</v>
      </c>
      <c r="E1110" s="29">
        <f t="shared" si="955"/>
        <v>0</v>
      </c>
      <c r="F1110" s="30">
        <f t="shared" si="956"/>
        <v>1</v>
      </c>
      <c r="G1110" s="31">
        <f t="shared" si="957"/>
        <v>1</v>
      </c>
      <c r="H1110" s="32">
        <f t="shared" si="958"/>
        <v>0.02</v>
      </c>
      <c r="I1110" s="32">
        <f t="shared" si="959"/>
        <v>0</v>
      </c>
      <c r="J1110" s="33">
        <f t="shared" si="1006"/>
        <v>0</v>
      </c>
      <c r="K1110" s="30">
        <f t="shared" si="960"/>
        <v>0</v>
      </c>
      <c r="L1110" s="33">
        <f t="shared" si="961"/>
        <v>0</v>
      </c>
      <c r="M1110" s="30">
        <f t="shared" si="962"/>
        <v>0</v>
      </c>
      <c r="N1110" s="33">
        <f t="shared" si="963"/>
        <v>0</v>
      </c>
      <c r="O1110" s="31">
        <f t="shared" si="964"/>
        <v>0</v>
      </c>
      <c r="P1110" s="33">
        <f t="shared" si="965"/>
        <v>0</v>
      </c>
      <c r="Q1110" s="34">
        <f t="shared" si="1007"/>
        <v>1202229.109503065</v>
      </c>
      <c r="R1110" s="29">
        <f t="shared" si="966"/>
        <v>0</v>
      </c>
      <c r="S1110" s="34">
        <f t="shared" si="967"/>
        <v>1202229.109503065</v>
      </c>
      <c r="T1110" s="29">
        <f t="shared" si="968"/>
        <v>1001.8575912525542</v>
      </c>
      <c r="U1110" s="29">
        <f t="shared" si="969"/>
        <v>0</v>
      </c>
      <c r="V1110" s="35">
        <f t="shared" si="970"/>
        <v>1.1000000000000001</v>
      </c>
      <c r="W1110" s="34">
        <f t="shared" si="971"/>
        <v>0</v>
      </c>
      <c r="X1110" s="34">
        <f t="shared" si="972"/>
        <v>1201227.2519118125</v>
      </c>
      <c r="Y1110" s="36">
        <f t="shared" si="973"/>
        <v>1.5309767246098893E-2</v>
      </c>
      <c r="Z1110" s="34">
        <f t="shared" si="974"/>
        <v>18390.509636440849</v>
      </c>
      <c r="AA1110" s="34">
        <f t="shared" si="975"/>
        <v>1210422.5067300329</v>
      </c>
      <c r="AB1110" s="34">
        <f t="shared" si="976"/>
        <v>0</v>
      </c>
      <c r="AC1110" s="34">
        <f t="shared" si="977"/>
        <v>0</v>
      </c>
      <c r="AD1110" s="34">
        <f t="shared" si="978"/>
        <v>0</v>
      </c>
      <c r="AE1110" s="34">
        <f t="shared" si="979"/>
        <v>0</v>
      </c>
      <c r="AF1110" s="34">
        <f t="shared" si="980"/>
        <v>0</v>
      </c>
      <c r="AG1110" s="29">
        <f t="shared" si="981"/>
        <v>1210422.5067300329</v>
      </c>
      <c r="AH1110" s="34">
        <f t="shared" si="982"/>
        <v>0</v>
      </c>
      <c r="AI1110" s="34">
        <f t="shared" si="983"/>
        <v>0</v>
      </c>
      <c r="AJ1110" s="34">
        <f t="shared" si="984"/>
        <v>0</v>
      </c>
      <c r="AK1110" s="34">
        <f t="shared" si="985"/>
        <v>0</v>
      </c>
      <c r="AL1110" s="34">
        <f t="shared" si="986"/>
        <v>0</v>
      </c>
      <c r="AM1110" s="34">
        <f t="shared" si="987"/>
        <v>0</v>
      </c>
      <c r="AN1110" s="34">
        <f t="shared" si="988"/>
        <v>0</v>
      </c>
      <c r="AO1110" s="34">
        <f t="shared" si="989"/>
        <v>0</v>
      </c>
      <c r="AP1110" s="34">
        <f t="shared" si="990"/>
        <v>0</v>
      </c>
      <c r="AQ1110" s="34">
        <f t="shared" si="991"/>
        <v>0</v>
      </c>
      <c r="AR1110" s="34">
        <f t="shared" si="992"/>
        <v>0</v>
      </c>
      <c r="AS1110" s="30">
        <f t="shared" si="993"/>
        <v>2.5019960341386707</v>
      </c>
      <c r="AT1110" s="29">
        <f t="shared" si="994"/>
        <v>0</v>
      </c>
      <c r="AU1110" s="29">
        <f t="shared" si="995"/>
        <v>0</v>
      </c>
      <c r="AV1110" s="34">
        <f t="shared" si="996"/>
        <v>0</v>
      </c>
      <c r="AW1110" s="34">
        <f t="shared" si="997"/>
        <v>0</v>
      </c>
      <c r="AX1110" s="29">
        <f t="shared" si="998"/>
        <v>0</v>
      </c>
      <c r="AY1110" s="34">
        <f t="shared" si="999"/>
        <v>0</v>
      </c>
      <c r="AZ1110" s="37">
        <f t="shared" si="1000"/>
        <v>0</v>
      </c>
      <c r="BA1110" s="37">
        <f t="shared" si="1001"/>
        <v>0</v>
      </c>
      <c r="BB1110" s="35">
        <f t="shared" si="1002"/>
        <v>1.9310253576545477E-3</v>
      </c>
      <c r="BC1110" s="31">
        <f t="shared" si="1003"/>
        <v>0.11840377929385479</v>
      </c>
      <c r="BD1110" s="34">
        <f t="shared" si="1004"/>
        <v>0</v>
      </c>
    </row>
    <row r="1111" spans="1:56" x14ac:dyDescent="0.2">
      <c r="A1111" s="27">
        <f t="shared" si="1005"/>
        <v>1107</v>
      </c>
      <c r="B1111" s="28">
        <f t="shared" si="952"/>
        <v>1107</v>
      </c>
      <c r="C1111" s="27">
        <f t="shared" si="953"/>
        <v>92</v>
      </c>
      <c r="D1111" s="28">
        <f t="shared" si="954"/>
        <v>112</v>
      </c>
      <c r="E1111" s="29">
        <f t="shared" si="955"/>
        <v>0</v>
      </c>
      <c r="F1111" s="30">
        <f t="shared" si="956"/>
        <v>1</v>
      </c>
      <c r="G1111" s="31">
        <f t="shared" si="957"/>
        <v>1</v>
      </c>
      <c r="H1111" s="32">
        <f t="shared" si="958"/>
        <v>0.02</v>
      </c>
      <c r="I1111" s="32">
        <f t="shared" si="959"/>
        <v>0</v>
      </c>
      <c r="J1111" s="33">
        <f t="shared" si="1006"/>
        <v>0</v>
      </c>
      <c r="K1111" s="30">
        <f t="shared" si="960"/>
        <v>0</v>
      </c>
      <c r="L1111" s="33">
        <f t="shared" si="961"/>
        <v>0</v>
      </c>
      <c r="M1111" s="30">
        <f t="shared" si="962"/>
        <v>0</v>
      </c>
      <c r="N1111" s="33">
        <f t="shared" si="963"/>
        <v>0</v>
      </c>
      <c r="O1111" s="31">
        <f t="shared" si="964"/>
        <v>0</v>
      </c>
      <c r="P1111" s="33">
        <f t="shared" si="965"/>
        <v>0</v>
      </c>
      <c r="Q1111" s="34">
        <f t="shared" si="1007"/>
        <v>1219617.7615482532</v>
      </c>
      <c r="R1111" s="29">
        <f t="shared" si="966"/>
        <v>0</v>
      </c>
      <c r="S1111" s="34">
        <f t="shared" si="967"/>
        <v>1219617.7615482532</v>
      </c>
      <c r="T1111" s="29">
        <f t="shared" si="968"/>
        <v>1016.3481346235444</v>
      </c>
      <c r="U1111" s="29">
        <f t="shared" si="969"/>
        <v>0</v>
      </c>
      <c r="V1111" s="35">
        <f t="shared" si="970"/>
        <v>1.1000000000000001</v>
      </c>
      <c r="W1111" s="34">
        <f t="shared" si="971"/>
        <v>0</v>
      </c>
      <c r="X1111" s="34">
        <f t="shared" si="972"/>
        <v>1218601.4134136296</v>
      </c>
      <c r="Y1111" s="36">
        <f t="shared" si="973"/>
        <v>-2.1058665248994357E-2</v>
      </c>
      <c r="Z1111" s="34">
        <f t="shared" si="974"/>
        <v>-25662.119237029008</v>
      </c>
      <c r="AA1111" s="34">
        <f t="shared" si="975"/>
        <v>1205770.3537951151</v>
      </c>
      <c r="AB1111" s="34">
        <f t="shared" si="976"/>
        <v>0</v>
      </c>
      <c r="AC1111" s="34">
        <f t="shared" si="977"/>
        <v>0</v>
      </c>
      <c r="AD1111" s="34">
        <f t="shared" si="978"/>
        <v>0</v>
      </c>
      <c r="AE1111" s="34">
        <f t="shared" si="979"/>
        <v>0</v>
      </c>
      <c r="AF1111" s="34">
        <f t="shared" si="980"/>
        <v>0</v>
      </c>
      <c r="AG1111" s="29">
        <f t="shared" si="981"/>
        <v>1205770.3537951151</v>
      </c>
      <c r="AH1111" s="34">
        <f t="shared" si="982"/>
        <v>0</v>
      </c>
      <c r="AI1111" s="34">
        <f t="shared" si="983"/>
        <v>0</v>
      </c>
      <c r="AJ1111" s="34">
        <f t="shared" si="984"/>
        <v>0</v>
      </c>
      <c r="AK1111" s="34">
        <f t="shared" si="985"/>
        <v>0</v>
      </c>
      <c r="AL1111" s="34">
        <f t="shared" si="986"/>
        <v>0</v>
      </c>
      <c r="AM1111" s="34">
        <f t="shared" si="987"/>
        <v>0</v>
      </c>
      <c r="AN1111" s="34">
        <f t="shared" si="988"/>
        <v>0</v>
      </c>
      <c r="AO1111" s="34">
        <f t="shared" si="989"/>
        <v>0</v>
      </c>
      <c r="AP1111" s="34">
        <f t="shared" si="990"/>
        <v>0</v>
      </c>
      <c r="AQ1111" s="34">
        <f t="shared" si="991"/>
        <v>0</v>
      </c>
      <c r="AR1111" s="34">
        <f t="shared" si="992"/>
        <v>0</v>
      </c>
      <c r="AS1111" s="30">
        <f t="shared" si="993"/>
        <v>2.5040715352109317</v>
      </c>
      <c r="AT1111" s="29">
        <f t="shared" si="994"/>
        <v>0</v>
      </c>
      <c r="AU1111" s="29">
        <f t="shared" si="995"/>
        <v>0</v>
      </c>
      <c r="AV1111" s="34">
        <f t="shared" si="996"/>
        <v>0</v>
      </c>
      <c r="AW1111" s="34">
        <f t="shared" si="997"/>
        <v>0</v>
      </c>
      <c r="AX1111" s="29">
        <f t="shared" si="998"/>
        <v>0</v>
      </c>
      <c r="AY1111" s="34">
        <f t="shared" si="999"/>
        <v>0</v>
      </c>
      <c r="AZ1111" s="37">
        <f t="shared" si="1000"/>
        <v>0</v>
      </c>
      <c r="BA1111" s="37">
        <f t="shared" si="1001"/>
        <v>0</v>
      </c>
      <c r="BB1111" s="35">
        <f t="shared" si="1002"/>
        <v>1.9310253576545477E-3</v>
      </c>
      <c r="BC1111" s="31">
        <f t="shared" si="1003"/>
        <v>0.11817557925366044</v>
      </c>
      <c r="BD1111" s="34">
        <f t="shared" si="1004"/>
        <v>0</v>
      </c>
    </row>
    <row r="1112" spans="1:56" x14ac:dyDescent="0.2">
      <c r="A1112" s="27">
        <f t="shared" si="1005"/>
        <v>1108</v>
      </c>
      <c r="B1112" s="28">
        <f t="shared" si="952"/>
        <v>1108</v>
      </c>
      <c r="C1112" s="27">
        <f t="shared" si="953"/>
        <v>92</v>
      </c>
      <c r="D1112" s="28">
        <f t="shared" si="954"/>
        <v>112</v>
      </c>
      <c r="E1112" s="29">
        <f t="shared" si="955"/>
        <v>0</v>
      </c>
      <c r="F1112" s="30">
        <f t="shared" si="956"/>
        <v>1</v>
      </c>
      <c r="G1112" s="31">
        <f t="shared" si="957"/>
        <v>1</v>
      </c>
      <c r="H1112" s="32">
        <f t="shared" si="958"/>
        <v>0.02</v>
      </c>
      <c r="I1112" s="32">
        <f t="shared" si="959"/>
        <v>0</v>
      </c>
      <c r="J1112" s="33">
        <f t="shared" si="1006"/>
        <v>0</v>
      </c>
      <c r="K1112" s="30">
        <f t="shared" si="960"/>
        <v>0</v>
      </c>
      <c r="L1112" s="33">
        <f t="shared" si="961"/>
        <v>0</v>
      </c>
      <c r="M1112" s="30">
        <f t="shared" si="962"/>
        <v>0</v>
      </c>
      <c r="N1112" s="33">
        <f t="shared" si="963"/>
        <v>0</v>
      </c>
      <c r="O1112" s="31">
        <f t="shared" si="964"/>
        <v>0</v>
      </c>
      <c r="P1112" s="33">
        <f t="shared" si="965"/>
        <v>0</v>
      </c>
      <c r="Q1112" s="34">
        <f t="shared" si="1007"/>
        <v>1192939.2941766006</v>
      </c>
      <c r="R1112" s="29">
        <f t="shared" si="966"/>
        <v>0</v>
      </c>
      <c r="S1112" s="34">
        <f t="shared" si="967"/>
        <v>1192939.2941766006</v>
      </c>
      <c r="T1112" s="29">
        <f t="shared" si="968"/>
        <v>994.11607848050062</v>
      </c>
      <c r="U1112" s="29">
        <f t="shared" si="969"/>
        <v>0</v>
      </c>
      <c r="V1112" s="35">
        <f t="shared" si="970"/>
        <v>1.1000000000000001</v>
      </c>
      <c r="W1112" s="34">
        <f t="shared" si="971"/>
        <v>0</v>
      </c>
      <c r="X1112" s="34">
        <f t="shared" si="972"/>
        <v>1191945.17809812</v>
      </c>
      <c r="Y1112" s="36">
        <f t="shared" si="973"/>
        <v>1.2698779923642212E-2</v>
      </c>
      <c r="Z1112" s="34">
        <f t="shared" si="974"/>
        <v>15136.249497714547</v>
      </c>
      <c r="AA1112" s="34">
        <f t="shared" si="975"/>
        <v>1199513.3028469773</v>
      </c>
      <c r="AB1112" s="34">
        <f t="shared" si="976"/>
        <v>0</v>
      </c>
      <c r="AC1112" s="34">
        <f t="shared" si="977"/>
        <v>0</v>
      </c>
      <c r="AD1112" s="34">
        <f t="shared" si="978"/>
        <v>0</v>
      </c>
      <c r="AE1112" s="34">
        <f t="shared" si="979"/>
        <v>0</v>
      </c>
      <c r="AF1112" s="34">
        <f t="shared" si="980"/>
        <v>0</v>
      </c>
      <c r="AG1112" s="29">
        <f t="shared" si="981"/>
        <v>1199513.3028469773</v>
      </c>
      <c r="AH1112" s="34">
        <f t="shared" si="982"/>
        <v>0</v>
      </c>
      <c r="AI1112" s="34">
        <f t="shared" si="983"/>
        <v>0</v>
      </c>
      <c r="AJ1112" s="34">
        <f t="shared" si="984"/>
        <v>0</v>
      </c>
      <c r="AK1112" s="34">
        <f t="shared" si="985"/>
        <v>0</v>
      </c>
      <c r="AL1112" s="34">
        <f t="shared" si="986"/>
        <v>0</v>
      </c>
      <c r="AM1112" s="34">
        <f t="shared" si="987"/>
        <v>0</v>
      </c>
      <c r="AN1112" s="34">
        <f t="shared" si="988"/>
        <v>0</v>
      </c>
      <c r="AO1112" s="34">
        <f t="shared" si="989"/>
        <v>0</v>
      </c>
      <c r="AP1112" s="34">
        <f t="shared" si="990"/>
        <v>0</v>
      </c>
      <c r="AQ1112" s="34">
        <f t="shared" si="991"/>
        <v>0</v>
      </c>
      <c r="AR1112" s="34">
        <f t="shared" si="992"/>
        <v>0</v>
      </c>
      <c r="AS1112" s="30">
        <f t="shared" si="993"/>
        <v>2.5061487579904385</v>
      </c>
      <c r="AT1112" s="29">
        <f t="shared" si="994"/>
        <v>0</v>
      </c>
      <c r="AU1112" s="29">
        <f t="shared" si="995"/>
        <v>0</v>
      </c>
      <c r="AV1112" s="34">
        <f t="shared" si="996"/>
        <v>0</v>
      </c>
      <c r="AW1112" s="34">
        <f t="shared" si="997"/>
        <v>0</v>
      </c>
      <c r="AX1112" s="29">
        <f t="shared" si="998"/>
        <v>0</v>
      </c>
      <c r="AY1112" s="34">
        <f t="shared" si="999"/>
        <v>0</v>
      </c>
      <c r="AZ1112" s="37">
        <f t="shared" si="1000"/>
        <v>0</v>
      </c>
      <c r="BA1112" s="37">
        <f t="shared" si="1001"/>
        <v>0</v>
      </c>
      <c r="BB1112" s="35">
        <f t="shared" si="1002"/>
        <v>1.9310253576545477E-3</v>
      </c>
      <c r="BC1112" s="31">
        <f t="shared" si="1003"/>
        <v>0.11794781902424462</v>
      </c>
      <c r="BD1112" s="34">
        <f t="shared" si="1004"/>
        <v>0</v>
      </c>
    </row>
    <row r="1113" spans="1:56" x14ac:dyDescent="0.2">
      <c r="A1113" s="27">
        <f t="shared" si="1005"/>
        <v>1109</v>
      </c>
      <c r="B1113" s="28">
        <f t="shared" si="952"/>
        <v>1109</v>
      </c>
      <c r="C1113" s="27">
        <f t="shared" si="953"/>
        <v>92</v>
      </c>
      <c r="D1113" s="28">
        <f t="shared" si="954"/>
        <v>112</v>
      </c>
      <c r="E1113" s="29">
        <f t="shared" si="955"/>
        <v>0</v>
      </c>
      <c r="F1113" s="30">
        <f t="shared" si="956"/>
        <v>1</v>
      </c>
      <c r="G1113" s="31">
        <f t="shared" si="957"/>
        <v>1</v>
      </c>
      <c r="H1113" s="32">
        <f t="shared" si="958"/>
        <v>0.02</v>
      </c>
      <c r="I1113" s="32">
        <f t="shared" si="959"/>
        <v>0</v>
      </c>
      <c r="J1113" s="33">
        <f t="shared" si="1006"/>
        <v>0</v>
      </c>
      <c r="K1113" s="30">
        <f t="shared" si="960"/>
        <v>0</v>
      </c>
      <c r="L1113" s="33">
        <f t="shared" si="961"/>
        <v>0</v>
      </c>
      <c r="M1113" s="30">
        <f t="shared" si="962"/>
        <v>0</v>
      </c>
      <c r="N1113" s="33">
        <f t="shared" si="963"/>
        <v>0</v>
      </c>
      <c r="O1113" s="31">
        <f t="shared" si="964"/>
        <v>0</v>
      </c>
      <c r="P1113" s="33">
        <f t="shared" si="965"/>
        <v>0</v>
      </c>
      <c r="Q1113" s="34">
        <f t="shared" si="1007"/>
        <v>1207081.4275958345</v>
      </c>
      <c r="R1113" s="29">
        <f t="shared" si="966"/>
        <v>0</v>
      </c>
      <c r="S1113" s="34">
        <f t="shared" si="967"/>
        <v>1207081.4275958345</v>
      </c>
      <c r="T1113" s="29">
        <f t="shared" si="968"/>
        <v>1005.9011896631955</v>
      </c>
      <c r="U1113" s="29">
        <f t="shared" si="969"/>
        <v>0</v>
      </c>
      <c r="V1113" s="35">
        <f t="shared" si="970"/>
        <v>1.1000000000000001</v>
      </c>
      <c r="W1113" s="34">
        <f t="shared" si="971"/>
        <v>0</v>
      </c>
      <c r="X1113" s="34">
        <f t="shared" si="972"/>
        <v>1206075.5264061713</v>
      </c>
      <c r="Y1113" s="36">
        <f t="shared" si="973"/>
        <v>-1.7988121713661043E-2</v>
      </c>
      <c r="Z1113" s="34">
        <f t="shared" si="974"/>
        <v>-21695.033364862022</v>
      </c>
      <c r="AA1113" s="34">
        <f t="shared" si="975"/>
        <v>1195228.0097237402</v>
      </c>
      <c r="AB1113" s="34">
        <f t="shared" si="976"/>
        <v>0</v>
      </c>
      <c r="AC1113" s="34">
        <f t="shared" si="977"/>
        <v>0</v>
      </c>
      <c r="AD1113" s="34">
        <f t="shared" si="978"/>
        <v>0</v>
      </c>
      <c r="AE1113" s="34">
        <f t="shared" si="979"/>
        <v>0</v>
      </c>
      <c r="AF1113" s="34">
        <f t="shared" si="980"/>
        <v>0</v>
      </c>
      <c r="AG1113" s="29">
        <f t="shared" si="981"/>
        <v>1195228.0097237402</v>
      </c>
      <c r="AH1113" s="34">
        <f t="shared" si="982"/>
        <v>0</v>
      </c>
      <c r="AI1113" s="34">
        <f t="shared" si="983"/>
        <v>0</v>
      </c>
      <c r="AJ1113" s="34">
        <f t="shared" si="984"/>
        <v>0</v>
      </c>
      <c r="AK1113" s="34">
        <f t="shared" si="985"/>
        <v>0</v>
      </c>
      <c r="AL1113" s="34">
        <f t="shared" si="986"/>
        <v>0</v>
      </c>
      <c r="AM1113" s="34">
        <f t="shared" si="987"/>
        <v>0</v>
      </c>
      <c r="AN1113" s="34">
        <f t="shared" si="988"/>
        <v>0</v>
      </c>
      <c r="AO1113" s="34">
        <f t="shared" si="989"/>
        <v>0</v>
      </c>
      <c r="AP1113" s="34">
        <f t="shared" si="990"/>
        <v>0</v>
      </c>
      <c r="AQ1113" s="34">
        <f t="shared" si="991"/>
        <v>0</v>
      </c>
      <c r="AR1113" s="34">
        <f t="shared" si="992"/>
        <v>0</v>
      </c>
      <c r="AS1113" s="30">
        <f t="shared" si="993"/>
        <v>2.5082277039054133</v>
      </c>
      <c r="AT1113" s="29">
        <f t="shared" si="994"/>
        <v>0</v>
      </c>
      <c r="AU1113" s="29">
        <f t="shared" si="995"/>
        <v>0</v>
      </c>
      <c r="AV1113" s="34">
        <f t="shared" si="996"/>
        <v>0</v>
      </c>
      <c r="AW1113" s="34">
        <f t="shared" si="997"/>
        <v>0</v>
      </c>
      <c r="AX1113" s="29">
        <f t="shared" si="998"/>
        <v>0</v>
      </c>
      <c r="AY1113" s="34">
        <f t="shared" si="999"/>
        <v>0</v>
      </c>
      <c r="AZ1113" s="37">
        <f t="shared" si="1000"/>
        <v>0</v>
      </c>
      <c r="BA1113" s="37">
        <f t="shared" si="1001"/>
        <v>0</v>
      </c>
      <c r="BB1113" s="35">
        <f t="shared" si="1002"/>
        <v>1.9310253576545477E-3</v>
      </c>
      <c r="BC1113" s="31">
        <f t="shared" si="1003"/>
        <v>0.11772049775795829</v>
      </c>
      <c r="BD1113" s="34">
        <f t="shared" si="1004"/>
        <v>0</v>
      </c>
    </row>
    <row r="1114" spans="1:56" x14ac:dyDescent="0.2">
      <c r="A1114" s="27">
        <f t="shared" si="1005"/>
        <v>1110</v>
      </c>
      <c r="B1114" s="28">
        <f t="shared" si="952"/>
        <v>1110</v>
      </c>
      <c r="C1114" s="27">
        <f t="shared" si="953"/>
        <v>92</v>
      </c>
      <c r="D1114" s="28">
        <f t="shared" si="954"/>
        <v>112</v>
      </c>
      <c r="E1114" s="29">
        <f t="shared" si="955"/>
        <v>0</v>
      </c>
      <c r="F1114" s="30">
        <f t="shared" si="956"/>
        <v>1</v>
      </c>
      <c r="G1114" s="31">
        <f t="shared" si="957"/>
        <v>1</v>
      </c>
      <c r="H1114" s="32">
        <f t="shared" si="958"/>
        <v>0.02</v>
      </c>
      <c r="I1114" s="32">
        <f t="shared" si="959"/>
        <v>0</v>
      </c>
      <c r="J1114" s="33">
        <f t="shared" si="1006"/>
        <v>0</v>
      </c>
      <c r="K1114" s="30">
        <f t="shared" si="960"/>
        <v>0</v>
      </c>
      <c r="L1114" s="33">
        <f t="shared" si="961"/>
        <v>0</v>
      </c>
      <c r="M1114" s="30">
        <f t="shared" si="962"/>
        <v>0</v>
      </c>
      <c r="N1114" s="33">
        <f t="shared" si="963"/>
        <v>0</v>
      </c>
      <c r="O1114" s="31">
        <f t="shared" si="964"/>
        <v>0</v>
      </c>
      <c r="P1114" s="33">
        <f t="shared" si="965"/>
        <v>0</v>
      </c>
      <c r="Q1114" s="34">
        <f t="shared" si="1007"/>
        <v>1184380.4930413093</v>
      </c>
      <c r="R1114" s="29">
        <f t="shared" si="966"/>
        <v>0</v>
      </c>
      <c r="S1114" s="34">
        <f t="shared" si="967"/>
        <v>1184380.4930413093</v>
      </c>
      <c r="T1114" s="29">
        <f t="shared" si="968"/>
        <v>986.9837442010911</v>
      </c>
      <c r="U1114" s="29">
        <f t="shared" si="969"/>
        <v>0</v>
      </c>
      <c r="V1114" s="35">
        <f t="shared" si="970"/>
        <v>1.1000000000000001</v>
      </c>
      <c r="W1114" s="34">
        <f t="shared" si="971"/>
        <v>0</v>
      </c>
      <c r="X1114" s="34">
        <f t="shared" si="972"/>
        <v>1183393.5092971083</v>
      </c>
      <c r="Y1114" s="36">
        <f t="shared" si="973"/>
        <v>-5.8852089588778966E-5</v>
      </c>
      <c r="Z1114" s="34">
        <f t="shared" si="974"/>
        <v>-69.645180827932947</v>
      </c>
      <c r="AA1114" s="34">
        <f t="shared" si="975"/>
        <v>1183358.6867066943</v>
      </c>
      <c r="AB1114" s="34">
        <f t="shared" si="976"/>
        <v>0</v>
      </c>
      <c r="AC1114" s="34">
        <f t="shared" si="977"/>
        <v>0</v>
      </c>
      <c r="AD1114" s="34">
        <f t="shared" si="978"/>
        <v>0</v>
      </c>
      <c r="AE1114" s="34">
        <f t="shared" si="979"/>
        <v>0</v>
      </c>
      <c r="AF1114" s="34">
        <f t="shared" si="980"/>
        <v>0</v>
      </c>
      <c r="AG1114" s="29">
        <f t="shared" si="981"/>
        <v>1183358.6867066943</v>
      </c>
      <c r="AH1114" s="34">
        <f t="shared" si="982"/>
        <v>0</v>
      </c>
      <c r="AI1114" s="34">
        <f t="shared" si="983"/>
        <v>0</v>
      </c>
      <c r="AJ1114" s="34">
        <f t="shared" si="984"/>
        <v>0</v>
      </c>
      <c r="AK1114" s="34">
        <f t="shared" si="985"/>
        <v>0</v>
      </c>
      <c r="AL1114" s="34">
        <f t="shared" si="986"/>
        <v>0</v>
      </c>
      <c r="AM1114" s="34">
        <f t="shared" si="987"/>
        <v>0</v>
      </c>
      <c r="AN1114" s="34">
        <f t="shared" si="988"/>
        <v>0</v>
      </c>
      <c r="AO1114" s="34">
        <f t="shared" si="989"/>
        <v>0</v>
      </c>
      <c r="AP1114" s="34">
        <f t="shared" si="990"/>
        <v>0</v>
      </c>
      <c r="AQ1114" s="34">
        <f t="shared" si="991"/>
        <v>0</v>
      </c>
      <c r="AR1114" s="34">
        <f t="shared" si="992"/>
        <v>0</v>
      </c>
      <c r="AS1114" s="30">
        <f t="shared" si="993"/>
        <v>2.5103083743852617</v>
      </c>
      <c r="AT1114" s="29">
        <f t="shared" si="994"/>
        <v>0</v>
      </c>
      <c r="AU1114" s="29">
        <f t="shared" si="995"/>
        <v>0</v>
      </c>
      <c r="AV1114" s="34">
        <f t="shared" si="996"/>
        <v>0</v>
      </c>
      <c r="AW1114" s="34">
        <f t="shared" si="997"/>
        <v>0</v>
      </c>
      <c r="AX1114" s="29">
        <f t="shared" si="998"/>
        <v>0</v>
      </c>
      <c r="AY1114" s="34">
        <f t="shared" si="999"/>
        <v>0</v>
      </c>
      <c r="AZ1114" s="37">
        <f t="shared" si="1000"/>
        <v>0</v>
      </c>
      <c r="BA1114" s="37">
        <f t="shared" si="1001"/>
        <v>0</v>
      </c>
      <c r="BB1114" s="35">
        <f t="shared" si="1002"/>
        <v>1.9310253576545477E-3</v>
      </c>
      <c r="BC1114" s="31">
        <f t="shared" si="1003"/>
        <v>0.11749361460878621</v>
      </c>
      <c r="BD1114" s="34">
        <f t="shared" si="1004"/>
        <v>0</v>
      </c>
    </row>
    <row r="1115" spans="1:56" x14ac:dyDescent="0.2">
      <c r="A1115" s="27">
        <f t="shared" si="1005"/>
        <v>1111</v>
      </c>
      <c r="B1115" s="28">
        <f t="shared" si="952"/>
        <v>1111</v>
      </c>
      <c r="C1115" s="27">
        <f t="shared" si="953"/>
        <v>92</v>
      </c>
      <c r="D1115" s="28">
        <f t="shared" si="954"/>
        <v>112</v>
      </c>
      <c r="E1115" s="29">
        <f t="shared" si="955"/>
        <v>0</v>
      </c>
      <c r="F1115" s="30">
        <f t="shared" si="956"/>
        <v>1</v>
      </c>
      <c r="G1115" s="31">
        <f t="shared" si="957"/>
        <v>1</v>
      </c>
      <c r="H1115" s="32">
        <f t="shared" si="958"/>
        <v>0.02</v>
      </c>
      <c r="I1115" s="32">
        <f t="shared" si="959"/>
        <v>0</v>
      </c>
      <c r="J1115" s="33">
        <f t="shared" si="1006"/>
        <v>0</v>
      </c>
      <c r="K1115" s="30">
        <f t="shared" si="960"/>
        <v>0</v>
      </c>
      <c r="L1115" s="33">
        <f t="shared" si="961"/>
        <v>0</v>
      </c>
      <c r="M1115" s="30">
        <f t="shared" si="962"/>
        <v>0</v>
      </c>
      <c r="N1115" s="33">
        <f t="shared" si="963"/>
        <v>0</v>
      </c>
      <c r="O1115" s="31">
        <f t="shared" si="964"/>
        <v>0</v>
      </c>
      <c r="P1115" s="33">
        <f t="shared" si="965"/>
        <v>0</v>
      </c>
      <c r="Q1115" s="34">
        <f t="shared" si="1007"/>
        <v>1183323.8641162803</v>
      </c>
      <c r="R1115" s="29">
        <f t="shared" si="966"/>
        <v>0</v>
      </c>
      <c r="S1115" s="34">
        <f t="shared" si="967"/>
        <v>1183323.8641162803</v>
      </c>
      <c r="T1115" s="29">
        <f t="shared" si="968"/>
        <v>986.10322009690037</v>
      </c>
      <c r="U1115" s="29">
        <f t="shared" si="969"/>
        <v>0</v>
      </c>
      <c r="V1115" s="35">
        <f t="shared" si="970"/>
        <v>1.1000000000000001</v>
      </c>
      <c r="W1115" s="34">
        <f t="shared" si="971"/>
        <v>0</v>
      </c>
      <c r="X1115" s="34">
        <f t="shared" si="972"/>
        <v>1182337.7608961836</v>
      </c>
      <c r="Y1115" s="36">
        <f t="shared" si="973"/>
        <v>1.3048943564193394E-3</v>
      </c>
      <c r="Z1115" s="34">
        <f t="shared" si="974"/>
        <v>1542.8258715749082</v>
      </c>
      <c r="AA1115" s="34">
        <f t="shared" si="975"/>
        <v>1183109.1738319709</v>
      </c>
      <c r="AB1115" s="34">
        <f t="shared" si="976"/>
        <v>0</v>
      </c>
      <c r="AC1115" s="34">
        <f t="shared" si="977"/>
        <v>0</v>
      </c>
      <c r="AD1115" s="34">
        <f t="shared" si="978"/>
        <v>0</v>
      </c>
      <c r="AE1115" s="34">
        <f t="shared" si="979"/>
        <v>0</v>
      </c>
      <c r="AF1115" s="34">
        <f t="shared" si="980"/>
        <v>0</v>
      </c>
      <c r="AG1115" s="29">
        <f t="shared" si="981"/>
        <v>1183109.1738319709</v>
      </c>
      <c r="AH1115" s="34">
        <f t="shared" si="982"/>
        <v>0</v>
      </c>
      <c r="AI1115" s="34">
        <f t="shared" si="983"/>
        <v>0</v>
      </c>
      <c r="AJ1115" s="34">
        <f t="shared" si="984"/>
        <v>0</v>
      </c>
      <c r="AK1115" s="34">
        <f t="shared" si="985"/>
        <v>0</v>
      </c>
      <c r="AL1115" s="34">
        <f t="shared" si="986"/>
        <v>0</v>
      </c>
      <c r="AM1115" s="34">
        <f t="shared" si="987"/>
        <v>0</v>
      </c>
      <c r="AN1115" s="34">
        <f t="shared" si="988"/>
        <v>0</v>
      </c>
      <c r="AO1115" s="34">
        <f t="shared" si="989"/>
        <v>0</v>
      </c>
      <c r="AP1115" s="34">
        <f t="shared" si="990"/>
        <v>0</v>
      </c>
      <c r="AQ1115" s="34">
        <f t="shared" si="991"/>
        <v>0</v>
      </c>
      <c r="AR1115" s="34">
        <f t="shared" si="992"/>
        <v>0</v>
      </c>
      <c r="AS1115" s="30">
        <f t="shared" si="993"/>
        <v>2.5123907708605766</v>
      </c>
      <c r="AT1115" s="29">
        <f t="shared" si="994"/>
        <v>0</v>
      </c>
      <c r="AU1115" s="29">
        <f t="shared" si="995"/>
        <v>0</v>
      </c>
      <c r="AV1115" s="34">
        <f t="shared" si="996"/>
        <v>0</v>
      </c>
      <c r="AW1115" s="34">
        <f t="shared" si="997"/>
        <v>0</v>
      </c>
      <c r="AX1115" s="29">
        <f t="shared" si="998"/>
        <v>0</v>
      </c>
      <c r="AY1115" s="34">
        <f t="shared" si="999"/>
        <v>0</v>
      </c>
      <c r="AZ1115" s="37">
        <f t="shared" si="1000"/>
        <v>0</v>
      </c>
      <c r="BA1115" s="37">
        <f t="shared" si="1001"/>
        <v>0</v>
      </c>
      <c r="BB1115" s="35">
        <f t="shared" si="1002"/>
        <v>1.9310253576545477E-3</v>
      </c>
      <c r="BC1115" s="31">
        <f t="shared" si="1003"/>
        <v>0.11726716873234366</v>
      </c>
      <c r="BD1115" s="34">
        <f t="shared" si="1004"/>
        <v>0</v>
      </c>
    </row>
    <row r="1116" spans="1:56" x14ac:dyDescent="0.2">
      <c r="A1116" s="27">
        <f t="shared" si="1005"/>
        <v>1112</v>
      </c>
      <c r="B1116" s="28">
        <f t="shared" si="952"/>
        <v>1112</v>
      </c>
      <c r="C1116" s="27">
        <f t="shared" si="953"/>
        <v>92</v>
      </c>
      <c r="D1116" s="28">
        <f t="shared" si="954"/>
        <v>112</v>
      </c>
      <c r="E1116" s="29">
        <f t="shared" si="955"/>
        <v>0</v>
      </c>
      <c r="F1116" s="30">
        <f t="shared" si="956"/>
        <v>1</v>
      </c>
      <c r="G1116" s="31">
        <f t="shared" si="957"/>
        <v>1</v>
      </c>
      <c r="H1116" s="32">
        <f t="shared" si="958"/>
        <v>0.02</v>
      </c>
      <c r="I1116" s="32">
        <f t="shared" si="959"/>
        <v>0</v>
      </c>
      <c r="J1116" s="33">
        <f t="shared" si="1006"/>
        <v>0</v>
      </c>
      <c r="K1116" s="30">
        <f t="shared" si="960"/>
        <v>0</v>
      </c>
      <c r="L1116" s="33">
        <f t="shared" si="961"/>
        <v>0</v>
      </c>
      <c r="M1116" s="30">
        <f t="shared" si="962"/>
        <v>0</v>
      </c>
      <c r="N1116" s="33">
        <f t="shared" si="963"/>
        <v>0</v>
      </c>
      <c r="O1116" s="31">
        <f t="shared" si="964"/>
        <v>0</v>
      </c>
      <c r="P1116" s="33">
        <f t="shared" si="965"/>
        <v>0</v>
      </c>
      <c r="Q1116" s="34">
        <f t="shared" si="1007"/>
        <v>1183880.5867677585</v>
      </c>
      <c r="R1116" s="29">
        <f t="shared" si="966"/>
        <v>0</v>
      </c>
      <c r="S1116" s="34">
        <f t="shared" si="967"/>
        <v>1183880.5867677585</v>
      </c>
      <c r="T1116" s="29">
        <f t="shared" si="968"/>
        <v>986.56715563979878</v>
      </c>
      <c r="U1116" s="29">
        <f t="shared" si="969"/>
        <v>0</v>
      </c>
      <c r="V1116" s="35">
        <f t="shared" si="970"/>
        <v>1.1000000000000001</v>
      </c>
      <c r="W1116" s="34">
        <f t="shared" si="971"/>
        <v>0</v>
      </c>
      <c r="X1116" s="34">
        <f t="shared" si="972"/>
        <v>1182894.0196121186</v>
      </c>
      <c r="Y1116" s="36">
        <f t="shared" si="973"/>
        <v>3.1305889232520201E-3</v>
      </c>
      <c r="Z1116" s="34">
        <f t="shared" si="974"/>
        <v>3703.1549151787563</v>
      </c>
      <c r="AA1116" s="34">
        <f t="shared" si="975"/>
        <v>1184745.5970697079</v>
      </c>
      <c r="AB1116" s="34">
        <f t="shared" si="976"/>
        <v>0</v>
      </c>
      <c r="AC1116" s="34">
        <f t="shared" si="977"/>
        <v>0</v>
      </c>
      <c r="AD1116" s="34">
        <f t="shared" si="978"/>
        <v>0</v>
      </c>
      <c r="AE1116" s="34">
        <f t="shared" si="979"/>
        <v>0</v>
      </c>
      <c r="AF1116" s="34">
        <f t="shared" si="980"/>
        <v>0</v>
      </c>
      <c r="AG1116" s="29">
        <f t="shared" si="981"/>
        <v>1184745.5970697079</v>
      </c>
      <c r="AH1116" s="34">
        <f t="shared" si="982"/>
        <v>0</v>
      </c>
      <c r="AI1116" s="34">
        <f t="shared" si="983"/>
        <v>0</v>
      </c>
      <c r="AJ1116" s="34">
        <f t="shared" si="984"/>
        <v>0</v>
      </c>
      <c r="AK1116" s="34">
        <f t="shared" si="985"/>
        <v>0</v>
      </c>
      <c r="AL1116" s="34">
        <f t="shared" si="986"/>
        <v>0</v>
      </c>
      <c r="AM1116" s="34">
        <f t="shared" si="987"/>
        <v>0</v>
      </c>
      <c r="AN1116" s="34">
        <f t="shared" si="988"/>
        <v>0</v>
      </c>
      <c r="AO1116" s="34">
        <f t="shared" si="989"/>
        <v>0</v>
      </c>
      <c r="AP1116" s="34">
        <f t="shared" si="990"/>
        <v>0</v>
      </c>
      <c r="AQ1116" s="34">
        <f t="shared" si="991"/>
        <v>0</v>
      </c>
      <c r="AR1116" s="34">
        <f t="shared" si="992"/>
        <v>0</v>
      </c>
      <c r="AS1116" s="30">
        <f t="shared" si="993"/>
        <v>2.5144748947631377</v>
      </c>
      <c r="AT1116" s="29">
        <f t="shared" si="994"/>
        <v>0</v>
      </c>
      <c r="AU1116" s="29">
        <f t="shared" si="995"/>
        <v>0</v>
      </c>
      <c r="AV1116" s="34">
        <f t="shared" si="996"/>
        <v>0</v>
      </c>
      <c r="AW1116" s="34">
        <f t="shared" si="997"/>
        <v>0</v>
      </c>
      <c r="AX1116" s="29">
        <f t="shared" si="998"/>
        <v>0</v>
      </c>
      <c r="AY1116" s="34">
        <f t="shared" si="999"/>
        <v>0</v>
      </c>
      <c r="AZ1116" s="37">
        <f t="shared" si="1000"/>
        <v>0</v>
      </c>
      <c r="BA1116" s="37">
        <f t="shared" si="1001"/>
        <v>0</v>
      </c>
      <c r="BB1116" s="35">
        <f t="shared" si="1002"/>
        <v>1.9310253576545477E-3</v>
      </c>
      <c r="BC1116" s="31">
        <f t="shared" si="1003"/>
        <v>0.11704115928587341</v>
      </c>
      <c r="BD1116" s="34">
        <f t="shared" si="1004"/>
        <v>0</v>
      </c>
    </row>
    <row r="1117" spans="1:56" x14ac:dyDescent="0.2">
      <c r="A1117" s="27">
        <f t="shared" si="1005"/>
        <v>1113</v>
      </c>
      <c r="B1117" s="28">
        <f t="shared" si="952"/>
        <v>1113</v>
      </c>
      <c r="C1117" s="27">
        <f t="shared" si="953"/>
        <v>92</v>
      </c>
      <c r="D1117" s="28">
        <f t="shared" si="954"/>
        <v>112</v>
      </c>
      <c r="E1117" s="29">
        <f t="shared" si="955"/>
        <v>0</v>
      </c>
      <c r="F1117" s="30">
        <f t="shared" si="956"/>
        <v>1</v>
      </c>
      <c r="G1117" s="31">
        <f t="shared" si="957"/>
        <v>1</v>
      </c>
      <c r="H1117" s="32">
        <f t="shared" si="958"/>
        <v>0.02</v>
      </c>
      <c r="I1117" s="32">
        <f t="shared" si="959"/>
        <v>0</v>
      </c>
      <c r="J1117" s="33">
        <f t="shared" si="1006"/>
        <v>0</v>
      </c>
      <c r="K1117" s="30">
        <f t="shared" si="960"/>
        <v>0</v>
      </c>
      <c r="L1117" s="33">
        <f t="shared" si="961"/>
        <v>0</v>
      </c>
      <c r="M1117" s="30">
        <f t="shared" si="962"/>
        <v>0</v>
      </c>
      <c r="N1117" s="33">
        <f t="shared" si="963"/>
        <v>0</v>
      </c>
      <c r="O1117" s="31">
        <f t="shared" si="964"/>
        <v>0</v>
      </c>
      <c r="P1117" s="33">
        <f t="shared" si="965"/>
        <v>0</v>
      </c>
      <c r="Q1117" s="34">
        <f t="shared" si="1007"/>
        <v>1186597.1745272973</v>
      </c>
      <c r="R1117" s="29">
        <f t="shared" si="966"/>
        <v>0</v>
      </c>
      <c r="S1117" s="34">
        <f t="shared" si="967"/>
        <v>1186597.1745272973</v>
      </c>
      <c r="T1117" s="29">
        <f t="shared" si="968"/>
        <v>988.83097877274781</v>
      </c>
      <c r="U1117" s="29">
        <f t="shared" si="969"/>
        <v>0</v>
      </c>
      <c r="V1117" s="35">
        <f t="shared" si="970"/>
        <v>1.1000000000000001</v>
      </c>
      <c r="W1117" s="34">
        <f t="shared" si="971"/>
        <v>0</v>
      </c>
      <c r="X1117" s="34">
        <f t="shared" si="972"/>
        <v>1185608.3435485244</v>
      </c>
      <c r="Y1117" s="36">
        <f t="shared" si="973"/>
        <v>3.0864258091616303E-3</v>
      </c>
      <c r="Z1117" s="34">
        <f t="shared" si="974"/>
        <v>3659.2921910855348</v>
      </c>
      <c r="AA1117" s="34">
        <f t="shared" si="975"/>
        <v>1187437.9896440671</v>
      </c>
      <c r="AB1117" s="34">
        <f t="shared" si="976"/>
        <v>0</v>
      </c>
      <c r="AC1117" s="34">
        <f t="shared" si="977"/>
        <v>0</v>
      </c>
      <c r="AD1117" s="34">
        <f t="shared" si="978"/>
        <v>0</v>
      </c>
      <c r="AE1117" s="34">
        <f t="shared" si="979"/>
        <v>0</v>
      </c>
      <c r="AF1117" s="34">
        <f t="shared" si="980"/>
        <v>0</v>
      </c>
      <c r="AG1117" s="29">
        <f t="shared" si="981"/>
        <v>1187437.9896440671</v>
      </c>
      <c r="AH1117" s="34">
        <f t="shared" si="982"/>
        <v>0</v>
      </c>
      <c r="AI1117" s="34">
        <f t="shared" si="983"/>
        <v>0</v>
      </c>
      <c r="AJ1117" s="34">
        <f t="shared" si="984"/>
        <v>0</v>
      </c>
      <c r="AK1117" s="34">
        <f t="shared" si="985"/>
        <v>0</v>
      </c>
      <c r="AL1117" s="34">
        <f t="shared" si="986"/>
        <v>0</v>
      </c>
      <c r="AM1117" s="34">
        <f t="shared" si="987"/>
        <v>0</v>
      </c>
      <c r="AN1117" s="34">
        <f t="shared" si="988"/>
        <v>0</v>
      </c>
      <c r="AO1117" s="34">
        <f t="shared" si="989"/>
        <v>0</v>
      </c>
      <c r="AP1117" s="34">
        <f t="shared" si="990"/>
        <v>0</v>
      </c>
      <c r="AQ1117" s="34">
        <f t="shared" si="991"/>
        <v>0</v>
      </c>
      <c r="AR1117" s="34">
        <f t="shared" si="992"/>
        <v>0</v>
      </c>
      <c r="AS1117" s="30">
        <f t="shared" si="993"/>
        <v>2.5165607475259102</v>
      </c>
      <c r="AT1117" s="29">
        <f t="shared" si="994"/>
        <v>0</v>
      </c>
      <c r="AU1117" s="29">
        <f t="shared" si="995"/>
        <v>0</v>
      </c>
      <c r="AV1117" s="34">
        <f t="shared" si="996"/>
        <v>0</v>
      </c>
      <c r="AW1117" s="34">
        <f t="shared" si="997"/>
        <v>0</v>
      </c>
      <c r="AX1117" s="29">
        <f t="shared" si="998"/>
        <v>0</v>
      </c>
      <c r="AY1117" s="34">
        <f t="shared" si="999"/>
        <v>0</v>
      </c>
      <c r="AZ1117" s="37">
        <f t="shared" si="1000"/>
        <v>0</v>
      </c>
      <c r="BA1117" s="37">
        <f t="shared" si="1001"/>
        <v>0</v>
      </c>
      <c r="BB1117" s="35">
        <f t="shared" si="1002"/>
        <v>1.9310253576545477E-3</v>
      </c>
      <c r="BC1117" s="31">
        <f t="shared" si="1003"/>
        <v>0.11681558542824218</v>
      </c>
      <c r="BD1117" s="34">
        <f t="shared" si="1004"/>
        <v>0</v>
      </c>
    </row>
    <row r="1118" spans="1:56" x14ac:dyDescent="0.2">
      <c r="A1118" s="27">
        <f t="shared" si="1005"/>
        <v>1114</v>
      </c>
      <c r="B1118" s="28">
        <f t="shared" si="952"/>
        <v>1114</v>
      </c>
      <c r="C1118" s="27">
        <f t="shared" si="953"/>
        <v>92</v>
      </c>
      <c r="D1118" s="28">
        <f t="shared" si="954"/>
        <v>112</v>
      </c>
      <c r="E1118" s="29">
        <f t="shared" si="955"/>
        <v>0</v>
      </c>
      <c r="F1118" s="30">
        <f t="shared" si="956"/>
        <v>1</v>
      </c>
      <c r="G1118" s="31">
        <f t="shared" si="957"/>
        <v>1</v>
      </c>
      <c r="H1118" s="32">
        <f t="shared" si="958"/>
        <v>0.02</v>
      </c>
      <c r="I1118" s="32">
        <f t="shared" si="959"/>
        <v>0</v>
      </c>
      <c r="J1118" s="33">
        <f t="shared" si="1006"/>
        <v>0</v>
      </c>
      <c r="K1118" s="30">
        <f t="shared" si="960"/>
        <v>0</v>
      </c>
      <c r="L1118" s="33">
        <f t="shared" si="961"/>
        <v>0</v>
      </c>
      <c r="M1118" s="30">
        <f t="shared" si="962"/>
        <v>0</v>
      </c>
      <c r="N1118" s="33">
        <f t="shared" si="963"/>
        <v>0</v>
      </c>
      <c r="O1118" s="31">
        <f t="shared" si="964"/>
        <v>0</v>
      </c>
      <c r="P1118" s="33">
        <f t="shared" si="965"/>
        <v>0</v>
      </c>
      <c r="Q1118" s="34">
        <f t="shared" si="1007"/>
        <v>1189267.6357396101</v>
      </c>
      <c r="R1118" s="29">
        <f t="shared" si="966"/>
        <v>0</v>
      </c>
      <c r="S1118" s="34">
        <f t="shared" si="967"/>
        <v>1189267.6357396101</v>
      </c>
      <c r="T1118" s="29">
        <f t="shared" si="968"/>
        <v>991.0563631163418</v>
      </c>
      <c r="U1118" s="29">
        <f t="shared" si="969"/>
        <v>0</v>
      </c>
      <c r="V1118" s="35">
        <f t="shared" si="970"/>
        <v>1.1000000000000001</v>
      </c>
      <c r="W1118" s="34">
        <f t="shared" si="971"/>
        <v>0</v>
      </c>
      <c r="X1118" s="34">
        <f t="shared" si="972"/>
        <v>1188276.5793764938</v>
      </c>
      <c r="Y1118" s="36">
        <f t="shared" si="973"/>
        <v>-3.0669573623428592E-3</v>
      </c>
      <c r="Z1118" s="34">
        <f t="shared" si="974"/>
        <v>-3644.3936036183268</v>
      </c>
      <c r="AA1118" s="34">
        <f t="shared" si="975"/>
        <v>1186454.3825746847</v>
      </c>
      <c r="AB1118" s="34">
        <f t="shared" si="976"/>
        <v>0</v>
      </c>
      <c r="AC1118" s="34">
        <f t="shared" si="977"/>
        <v>0</v>
      </c>
      <c r="AD1118" s="34">
        <f t="shared" si="978"/>
        <v>0</v>
      </c>
      <c r="AE1118" s="34">
        <f t="shared" si="979"/>
        <v>0</v>
      </c>
      <c r="AF1118" s="34">
        <f t="shared" si="980"/>
        <v>0</v>
      </c>
      <c r="AG1118" s="29">
        <f t="shared" si="981"/>
        <v>1186454.3825746847</v>
      </c>
      <c r="AH1118" s="34">
        <f t="shared" si="982"/>
        <v>0</v>
      </c>
      <c r="AI1118" s="34">
        <f t="shared" si="983"/>
        <v>0</v>
      </c>
      <c r="AJ1118" s="34">
        <f t="shared" si="984"/>
        <v>0</v>
      </c>
      <c r="AK1118" s="34">
        <f t="shared" si="985"/>
        <v>0</v>
      </c>
      <c r="AL1118" s="34">
        <f t="shared" si="986"/>
        <v>0</v>
      </c>
      <c r="AM1118" s="34">
        <f t="shared" si="987"/>
        <v>0</v>
      </c>
      <c r="AN1118" s="34">
        <f t="shared" si="988"/>
        <v>0</v>
      </c>
      <c r="AO1118" s="34">
        <f t="shared" si="989"/>
        <v>0</v>
      </c>
      <c r="AP1118" s="34">
        <f t="shared" si="990"/>
        <v>0</v>
      </c>
      <c r="AQ1118" s="34">
        <f t="shared" si="991"/>
        <v>0</v>
      </c>
      <c r="AR1118" s="34">
        <f t="shared" si="992"/>
        <v>0</v>
      </c>
      <c r="AS1118" s="30">
        <f t="shared" si="993"/>
        <v>2.5186483305830505</v>
      </c>
      <c r="AT1118" s="29">
        <f t="shared" si="994"/>
        <v>0</v>
      </c>
      <c r="AU1118" s="29">
        <f t="shared" si="995"/>
        <v>0</v>
      </c>
      <c r="AV1118" s="34">
        <f t="shared" si="996"/>
        <v>0</v>
      </c>
      <c r="AW1118" s="34">
        <f t="shared" si="997"/>
        <v>0</v>
      </c>
      <c r="AX1118" s="29">
        <f t="shared" si="998"/>
        <v>0</v>
      </c>
      <c r="AY1118" s="34">
        <f t="shared" si="999"/>
        <v>0</v>
      </c>
      <c r="AZ1118" s="37">
        <f t="shared" si="1000"/>
        <v>0</v>
      </c>
      <c r="BA1118" s="37">
        <f t="shared" si="1001"/>
        <v>0</v>
      </c>
      <c r="BB1118" s="35">
        <f t="shared" si="1002"/>
        <v>1.9310253576545477E-3</v>
      </c>
      <c r="BC1118" s="31">
        <f t="shared" si="1003"/>
        <v>0.11659044631993815</v>
      </c>
      <c r="BD1118" s="34">
        <f t="shared" si="1004"/>
        <v>0</v>
      </c>
    </row>
    <row r="1119" spans="1:56" x14ac:dyDescent="0.2">
      <c r="A1119" s="27">
        <f t="shared" si="1005"/>
        <v>1115</v>
      </c>
      <c r="B1119" s="28">
        <f t="shared" si="952"/>
        <v>1115</v>
      </c>
      <c r="C1119" s="27">
        <f t="shared" si="953"/>
        <v>92</v>
      </c>
      <c r="D1119" s="28">
        <f t="shared" si="954"/>
        <v>112</v>
      </c>
      <c r="E1119" s="29">
        <f t="shared" si="955"/>
        <v>0</v>
      </c>
      <c r="F1119" s="30">
        <f t="shared" si="956"/>
        <v>1</v>
      </c>
      <c r="G1119" s="31">
        <f t="shared" si="957"/>
        <v>1</v>
      </c>
      <c r="H1119" s="32">
        <f t="shared" si="958"/>
        <v>0.02</v>
      </c>
      <c r="I1119" s="32">
        <f t="shared" si="959"/>
        <v>0</v>
      </c>
      <c r="J1119" s="33">
        <f t="shared" si="1006"/>
        <v>0</v>
      </c>
      <c r="K1119" s="30">
        <f t="shared" si="960"/>
        <v>0</v>
      </c>
      <c r="L1119" s="33">
        <f t="shared" si="961"/>
        <v>0</v>
      </c>
      <c r="M1119" s="30">
        <f t="shared" si="962"/>
        <v>0</v>
      </c>
      <c r="N1119" s="33">
        <f t="shared" si="963"/>
        <v>0</v>
      </c>
      <c r="O1119" s="31">
        <f t="shared" si="964"/>
        <v>0</v>
      </c>
      <c r="P1119" s="33">
        <f t="shared" si="965"/>
        <v>0</v>
      </c>
      <c r="Q1119" s="34">
        <f t="shared" si="1007"/>
        <v>1184632.1857728756</v>
      </c>
      <c r="R1119" s="29">
        <f t="shared" si="966"/>
        <v>0</v>
      </c>
      <c r="S1119" s="34">
        <f t="shared" si="967"/>
        <v>1184632.1857728756</v>
      </c>
      <c r="T1119" s="29">
        <f t="shared" si="968"/>
        <v>987.19348814406305</v>
      </c>
      <c r="U1119" s="29">
        <f t="shared" si="969"/>
        <v>0</v>
      </c>
      <c r="V1119" s="35">
        <f t="shared" si="970"/>
        <v>1.1000000000000001</v>
      </c>
      <c r="W1119" s="34">
        <f t="shared" si="971"/>
        <v>0</v>
      </c>
      <c r="X1119" s="34">
        <f t="shared" si="972"/>
        <v>1183644.9922847315</v>
      </c>
      <c r="Y1119" s="36">
        <f t="shared" si="973"/>
        <v>4.079191543725047E-3</v>
      </c>
      <c r="Z1119" s="34">
        <f t="shared" si="974"/>
        <v>4828.3146433003749</v>
      </c>
      <c r="AA1119" s="34">
        <f t="shared" si="975"/>
        <v>1186059.1496063818</v>
      </c>
      <c r="AB1119" s="34">
        <f t="shared" si="976"/>
        <v>0</v>
      </c>
      <c r="AC1119" s="34">
        <f t="shared" si="977"/>
        <v>0</v>
      </c>
      <c r="AD1119" s="34">
        <f t="shared" si="978"/>
        <v>0</v>
      </c>
      <c r="AE1119" s="34">
        <f t="shared" si="979"/>
        <v>0</v>
      </c>
      <c r="AF1119" s="34">
        <f t="shared" si="980"/>
        <v>0</v>
      </c>
      <c r="AG1119" s="29">
        <f t="shared" si="981"/>
        <v>1186059.1496063818</v>
      </c>
      <c r="AH1119" s="34">
        <f t="shared" si="982"/>
        <v>0</v>
      </c>
      <c r="AI1119" s="34">
        <f t="shared" si="983"/>
        <v>0</v>
      </c>
      <c r="AJ1119" s="34">
        <f t="shared" si="984"/>
        <v>0</v>
      </c>
      <c r="AK1119" s="34">
        <f t="shared" si="985"/>
        <v>0</v>
      </c>
      <c r="AL1119" s="34">
        <f t="shared" si="986"/>
        <v>0</v>
      </c>
      <c r="AM1119" s="34">
        <f t="shared" si="987"/>
        <v>0</v>
      </c>
      <c r="AN1119" s="34">
        <f t="shared" si="988"/>
        <v>0</v>
      </c>
      <c r="AO1119" s="34">
        <f t="shared" si="989"/>
        <v>0</v>
      </c>
      <c r="AP1119" s="34">
        <f t="shared" si="990"/>
        <v>0</v>
      </c>
      <c r="AQ1119" s="34">
        <f t="shared" si="991"/>
        <v>0</v>
      </c>
      <c r="AR1119" s="34">
        <f t="shared" si="992"/>
        <v>0</v>
      </c>
      <c r="AS1119" s="30">
        <f t="shared" si="993"/>
        <v>2.5207376453699037</v>
      </c>
      <c r="AT1119" s="29">
        <f t="shared" si="994"/>
        <v>0</v>
      </c>
      <c r="AU1119" s="29">
        <f t="shared" si="995"/>
        <v>0</v>
      </c>
      <c r="AV1119" s="34">
        <f t="shared" si="996"/>
        <v>0</v>
      </c>
      <c r="AW1119" s="34">
        <f t="shared" si="997"/>
        <v>0</v>
      </c>
      <c r="AX1119" s="29">
        <f t="shared" si="998"/>
        <v>0</v>
      </c>
      <c r="AY1119" s="34">
        <f t="shared" si="999"/>
        <v>0</v>
      </c>
      <c r="AZ1119" s="37">
        <f t="shared" si="1000"/>
        <v>0</v>
      </c>
      <c r="BA1119" s="37">
        <f t="shared" si="1001"/>
        <v>0</v>
      </c>
      <c r="BB1119" s="35">
        <f t="shared" si="1002"/>
        <v>1.9310253576545477E-3</v>
      </c>
      <c r="BC1119" s="31">
        <f t="shared" si="1003"/>
        <v>0.11636574112306725</v>
      </c>
      <c r="BD1119" s="34">
        <f t="shared" si="1004"/>
        <v>0</v>
      </c>
    </row>
    <row r="1120" spans="1:56" x14ac:dyDescent="0.2">
      <c r="A1120" s="27">
        <f t="shared" si="1005"/>
        <v>1116</v>
      </c>
      <c r="B1120" s="28">
        <f t="shared" si="952"/>
        <v>1116</v>
      </c>
      <c r="C1120" s="27">
        <f t="shared" si="953"/>
        <v>93</v>
      </c>
      <c r="D1120" s="28">
        <f t="shared" si="954"/>
        <v>113</v>
      </c>
      <c r="E1120" s="29">
        <f t="shared" si="955"/>
        <v>0</v>
      </c>
      <c r="F1120" s="30">
        <f t="shared" si="956"/>
        <v>1</v>
      </c>
      <c r="G1120" s="31">
        <f t="shared" si="957"/>
        <v>1</v>
      </c>
      <c r="H1120" s="32">
        <f t="shared" si="958"/>
        <v>0.02</v>
      </c>
      <c r="I1120" s="32">
        <f t="shared" si="959"/>
        <v>0</v>
      </c>
      <c r="J1120" s="33">
        <f t="shared" si="1006"/>
        <v>0</v>
      </c>
      <c r="K1120" s="30">
        <f t="shared" si="960"/>
        <v>0</v>
      </c>
      <c r="L1120" s="33">
        <f t="shared" si="961"/>
        <v>0</v>
      </c>
      <c r="M1120" s="30">
        <f t="shared" si="962"/>
        <v>0</v>
      </c>
      <c r="N1120" s="33">
        <f t="shared" si="963"/>
        <v>0</v>
      </c>
      <c r="O1120" s="31">
        <f t="shared" si="964"/>
        <v>0</v>
      </c>
      <c r="P1120" s="33">
        <f t="shared" si="965"/>
        <v>0</v>
      </c>
      <c r="Q1120" s="34">
        <f t="shared" si="1007"/>
        <v>1188473.3069280318</v>
      </c>
      <c r="R1120" s="29">
        <f t="shared" si="966"/>
        <v>0</v>
      </c>
      <c r="S1120" s="34">
        <f t="shared" si="967"/>
        <v>1188473.3069280318</v>
      </c>
      <c r="T1120" s="29">
        <f t="shared" si="968"/>
        <v>990.39442244002657</v>
      </c>
      <c r="U1120" s="29">
        <f t="shared" si="969"/>
        <v>0</v>
      </c>
      <c r="V1120" s="35">
        <f t="shared" si="970"/>
        <v>1.1000000000000001</v>
      </c>
      <c r="W1120" s="34">
        <f t="shared" si="971"/>
        <v>0</v>
      </c>
      <c r="X1120" s="34">
        <f t="shared" si="972"/>
        <v>1187482.9125055918</v>
      </c>
      <c r="Y1120" s="36">
        <f t="shared" si="973"/>
        <v>2.5145908477692824E-3</v>
      </c>
      <c r="Z1120" s="34">
        <f t="shared" si="974"/>
        <v>2986.0336636689726</v>
      </c>
      <c r="AA1120" s="34">
        <f t="shared" si="975"/>
        <v>1188975.9293374263</v>
      </c>
      <c r="AB1120" s="34">
        <f t="shared" si="976"/>
        <v>0</v>
      </c>
      <c r="AC1120" s="34">
        <f t="shared" si="977"/>
        <v>0</v>
      </c>
      <c r="AD1120" s="34">
        <f t="shared" si="978"/>
        <v>0</v>
      </c>
      <c r="AE1120" s="34">
        <f t="shared" si="979"/>
        <v>0</v>
      </c>
      <c r="AF1120" s="34">
        <f t="shared" si="980"/>
        <v>0</v>
      </c>
      <c r="AG1120" s="29">
        <f t="shared" si="981"/>
        <v>1188975.9293374263</v>
      </c>
      <c r="AH1120" s="34">
        <f t="shared" si="982"/>
        <v>0</v>
      </c>
      <c r="AI1120" s="34">
        <f t="shared" si="983"/>
        <v>0</v>
      </c>
      <c r="AJ1120" s="34">
        <f t="shared" si="984"/>
        <v>0</v>
      </c>
      <c r="AK1120" s="34">
        <f t="shared" si="985"/>
        <v>0</v>
      </c>
      <c r="AL1120" s="34">
        <f t="shared" si="986"/>
        <v>0</v>
      </c>
      <c r="AM1120" s="34">
        <f t="shared" si="987"/>
        <v>0</v>
      </c>
      <c r="AN1120" s="34">
        <f t="shared" si="988"/>
        <v>0</v>
      </c>
      <c r="AO1120" s="34">
        <f t="shared" si="989"/>
        <v>0</v>
      </c>
      <c r="AP1120" s="34">
        <f t="shared" si="990"/>
        <v>0</v>
      </c>
      <c r="AQ1120" s="34">
        <f t="shared" si="991"/>
        <v>0</v>
      </c>
      <c r="AR1120" s="34">
        <f t="shared" si="992"/>
        <v>0</v>
      </c>
      <c r="AS1120" s="30">
        <f t="shared" si="993"/>
        <v>2.5228286933230057</v>
      </c>
      <c r="AT1120" s="29">
        <f t="shared" si="994"/>
        <v>0</v>
      </c>
      <c r="AU1120" s="29">
        <f t="shared" si="995"/>
        <v>0</v>
      </c>
      <c r="AV1120" s="34">
        <f t="shared" si="996"/>
        <v>0</v>
      </c>
      <c r="AW1120" s="34">
        <f t="shared" si="997"/>
        <v>0</v>
      </c>
      <c r="AX1120" s="29">
        <f t="shared" si="998"/>
        <v>0</v>
      </c>
      <c r="AY1120" s="34">
        <f t="shared" si="999"/>
        <v>0</v>
      </c>
      <c r="AZ1120" s="37">
        <f t="shared" si="1000"/>
        <v>0</v>
      </c>
      <c r="BA1120" s="37">
        <f t="shared" si="1001"/>
        <v>0</v>
      </c>
      <c r="BB1120" s="35">
        <f t="shared" si="1002"/>
        <v>1.947340609369963E-3</v>
      </c>
      <c r="BC1120" s="31">
        <f t="shared" si="1003"/>
        <v>0.11404994054776375</v>
      </c>
      <c r="BD1120" s="34">
        <f t="shared" si="1004"/>
        <v>0</v>
      </c>
    </row>
    <row r="1121" spans="1:56" x14ac:dyDescent="0.2">
      <c r="A1121" s="27">
        <f t="shared" si="1005"/>
        <v>1117</v>
      </c>
      <c r="B1121" s="28">
        <f t="shared" si="952"/>
        <v>1117</v>
      </c>
      <c r="C1121" s="27">
        <f t="shared" si="953"/>
        <v>93</v>
      </c>
      <c r="D1121" s="28">
        <f t="shared" si="954"/>
        <v>113</v>
      </c>
      <c r="E1121" s="29">
        <f t="shared" si="955"/>
        <v>0</v>
      </c>
      <c r="F1121" s="30">
        <f t="shared" si="956"/>
        <v>1</v>
      </c>
      <c r="G1121" s="31">
        <f t="shared" si="957"/>
        <v>1</v>
      </c>
      <c r="H1121" s="32">
        <f t="shared" si="958"/>
        <v>0.02</v>
      </c>
      <c r="I1121" s="32">
        <f t="shared" si="959"/>
        <v>0</v>
      </c>
      <c r="J1121" s="33">
        <f t="shared" si="1006"/>
        <v>0</v>
      </c>
      <c r="K1121" s="30">
        <f t="shared" si="960"/>
        <v>0</v>
      </c>
      <c r="L1121" s="33">
        <f t="shared" si="961"/>
        <v>0</v>
      </c>
      <c r="M1121" s="30">
        <f t="shared" si="962"/>
        <v>0</v>
      </c>
      <c r="N1121" s="33">
        <f t="shared" si="963"/>
        <v>0</v>
      </c>
      <c r="O1121" s="31">
        <f t="shared" si="964"/>
        <v>0</v>
      </c>
      <c r="P1121" s="33">
        <f t="shared" si="965"/>
        <v>0</v>
      </c>
      <c r="Q1121" s="34">
        <f t="shared" si="1007"/>
        <v>1190468.9461692607</v>
      </c>
      <c r="R1121" s="29">
        <f t="shared" si="966"/>
        <v>0</v>
      </c>
      <c r="S1121" s="34">
        <f t="shared" si="967"/>
        <v>1190468.9461692607</v>
      </c>
      <c r="T1121" s="29">
        <f t="shared" si="968"/>
        <v>992.05745514105058</v>
      </c>
      <c r="U1121" s="29">
        <f t="shared" si="969"/>
        <v>0</v>
      </c>
      <c r="V1121" s="35">
        <f t="shared" si="970"/>
        <v>1.1000000000000001</v>
      </c>
      <c r="W1121" s="34">
        <f t="shared" si="971"/>
        <v>0</v>
      </c>
      <c r="X1121" s="34">
        <f t="shared" si="972"/>
        <v>1189476.8887141196</v>
      </c>
      <c r="Y1121" s="36">
        <f t="shared" si="973"/>
        <v>2.0799627038068369E-3</v>
      </c>
      <c r="Z1121" s="34">
        <f t="shared" si="974"/>
        <v>2474.0675655655641</v>
      </c>
      <c r="AA1121" s="34">
        <f t="shared" si="975"/>
        <v>1190713.9224969023</v>
      </c>
      <c r="AB1121" s="34">
        <f t="shared" si="976"/>
        <v>0</v>
      </c>
      <c r="AC1121" s="34">
        <f t="shared" si="977"/>
        <v>0</v>
      </c>
      <c r="AD1121" s="34">
        <f t="shared" si="978"/>
        <v>0</v>
      </c>
      <c r="AE1121" s="34">
        <f t="shared" si="979"/>
        <v>0</v>
      </c>
      <c r="AF1121" s="34">
        <f t="shared" si="980"/>
        <v>0</v>
      </c>
      <c r="AG1121" s="29">
        <f t="shared" si="981"/>
        <v>1190713.9224969023</v>
      </c>
      <c r="AH1121" s="34">
        <f t="shared" si="982"/>
        <v>0</v>
      </c>
      <c r="AI1121" s="34">
        <f t="shared" si="983"/>
        <v>0</v>
      </c>
      <c r="AJ1121" s="34">
        <f t="shared" si="984"/>
        <v>0</v>
      </c>
      <c r="AK1121" s="34">
        <f t="shared" si="985"/>
        <v>0</v>
      </c>
      <c r="AL1121" s="34">
        <f t="shared" si="986"/>
        <v>0</v>
      </c>
      <c r="AM1121" s="34">
        <f t="shared" si="987"/>
        <v>0</v>
      </c>
      <c r="AN1121" s="34">
        <f t="shared" si="988"/>
        <v>0</v>
      </c>
      <c r="AO1121" s="34">
        <f t="shared" si="989"/>
        <v>0</v>
      </c>
      <c r="AP1121" s="34">
        <f t="shared" si="990"/>
        <v>0</v>
      </c>
      <c r="AQ1121" s="34">
        <f t="shared" si="991"/>
        <v>0</v>
      </c>
      <c r="AR1121" s="34">
        <f t="shared" si="992"/>
        <v>0</v>
      </c>
      <c r="AS1121" s="30">
        <f t="shared" si="993"/>
        <v>2.5249214758800829</v>
      </c>
      <c r="AT1121" s="29">
        <f t="shared" si="994"/>
        <v>0</v>
      </c>
      <c r="AU1121" s="29">
        <f t="shared" si="995"/>
        <v>0</v>
      </c>
      <c r="AV1121" s="34">
        <f t="shared" si="996"/>
        <v>0</v>
      </c>
      <c r="AW1121" s="34">
        <f t="shared" si="997"/>
        <v>0</v>
      </c>
      <c r="AX1121" s="29">
        <f t="shared" si="998"/>
        <v>0</v>
      </c>
      <c r="AY1121" s="34">
        <f t="shared" si="999"/>
        <v>0</v>
      </c>
      <c r="AZ1121" s="37">
        <f t="shared" si="1000"/>
        <v>0</v>
      </c>
      <c r="BA1121" s="37">
        <f t="shared" si="1001"/>
        <v>0</v>
      </c>
      <c r="BB1121" s="35">
        <f t="shared" si="1002"/>
        <v>1.947340609369963E-3</v>
      </c>
      <c r="BC1121" s="31">
        <f t="shared" si="1003"/>
        <v>0.11382827811928739</v>
      </c>
      <c r="BD1121" s="34">
        <f t="shared" si="1004"/>
        <v>0</v>
      </c>
    </row>
    <row r="1122" spans="1:56" x14ac:dyDescent="0.2">
      <c r="A1122" s="27">
        <f t="shared" si="1005"/>
        <v>1118</v>
      </c>
      <c r="B1122" s="28">
        <f t="shared" si="952"/>
        <v>1118</v>
      </c>
      <c r="C1122" s="27">
        <f t="shared" si="953"/>
        <v>93</v>
      </c>
      <c r="D1122" s="28">
        <f t="shared" si="954"/>
        <v>113</v>
      </c>
      <c r="E1122" s="29">
        <f t="shared" si="955"/>
        <v>0</v>
      </c>
      <c r="F1122" s="30">
        <f t="shared" si="956"/>
        <v>1</v>
      </c>
      <c r="G1122" s="31">
        <f t="shared" si="957"/>
        <v>1</v>
      </c>
      <c r="H1122" s="32">
        <f t="shared" si="958"/>
        <v>0.02</v>
      </c>
      <c r="I1122" s="32">
        <f t="shared" si="959"/>
        <v>0</v>
      </c>
      <c r="J1122" s="33">
        <f t="shared" si="1006"/>
        <v>0</v>
      </c>
      <c r="K1122" s="30">
        <f t="shared" si="960"/>
        <v>0</v>
      </c>
      <c r="L1122" s="33">
        <f t="shared" si="961"/>
        <v>0</v>
      </c>
      <c r="M1122" s="30">
        <f t="shared" si="962"/>
        <v>0</v>
      </c>
      <c r="N1122" s="33">
        <f t="shared" si="963"/>
        <v>0</v>
      </c>
      <c r="O1122" s="31">
        <f t="shared" si="964"/>
        <v>0</v>
      </c>
      <c r="P1122" s="33">
        <f t="shared" si="965"/>
        <v>0</v>
      </c>
      <c r="Q1122" s="34">
        <f t="shared" si="1007"/>
        <v>1191950.956279685</v>
      </c>
      <c r="R1122" s="29">
        <f t="shared" si="966"/>
        <v>0</v>
      </c>
      <c r="S1122" s="34">
        <f t="shared" si="967"/>
        <v>1191950.956279685</v>
      </c>
      <c r="T1122" s="29">
        <f t="shared" si="968"/>
        <v>993.29246356640419</v>
      </c>
      <c r="U1122" s="29">
        <f t="shared" si="969"/>
        <v>0</v>
      </c>
      <c r="V1122" s="35">
        <f t="shared" si="970"/>
        <v>1.1000000000000001</v>
      </c>
      <c r="W1122" s="34">
        <f t="shared" si="971"/>
        <v>0</v>
      </c>
      <c r="X1122" s="34">
        <f t="shared" si="972"/>
        <v>1190957.6638161186</v>
      </c>
      <c r="Y1122" s="36">
        <f t="shared" si="973"/>
        <v>-2.2344531902873666E-3</v>
      </c>
      <c r="Z1122" s="34">
        <f t="shared" si="974"/>
        <v>-2661.1391514111151</v>
      </c>
      <c r="AA1122" s="34">
        <f t="shared" si="975"/>
        <v>1189627.094240413</v>
      </c>
      <c r="AB1122" s="34">
        <f t="shared" si="976"/>
        <v>0</v>
      </c>
      <c r="AC1122" s="34">
        <f t="shared" si="977"/>
        <v>0</v>
      </c>
      <c r="AD1122" s="34">
        <f t="shared" si="978"/>
        <v>0</v>
      </c>
      <c r="AE1122" s="34">
        <f t="shared" si="979"/>
        <v>0</v>
      </c>
      <c r="AF1122" s="34">
        <f t="shared" si="980"/>
        <v>0</v>
      </c>
      <c r="AG1122" s="29">
        <f t="shared" si="981"/>
        <v>1189627.094240413</v>
      </c>
      <c r="AH1122" s="34">
        <f t="shared" si="982"/>
        <v>0</v>
      </c>
      <c r="AI1122" s="34">
        <f t="shared" si="983"/>
        <v>0</v>
      </c>
      <c r="AJ1122" s="34">
        <f t="shared" si="984"/>
        <v>0</v>
      </c>
      <c r="AK1122" s="34">
        <f t="shared" si="985"/>
        <v>0</v>
      </c>
      <c r="AL1122" s="34">
        <f t="shared" si="986"/>
        <v>0</v>
      </c>
      <c r="AM1122" s="34">
        <f t="shared" si="987"/>
        <v>0</v>
      </c>
      <c r="AN1122" s="34">
        <f t="shared" si="988"/>
        <v>0</v>
      </c>
      <c r="AO1122" s="34">
        <f t="shared" si="989"/>
        <v>0</v>
      </c>
      <c r="AP1122" s="34">
        <f t="shared" si="990"/>
        <v>0</v>
      </c>
      <c r="AQ1122" s="34">
        <f t="shared" si="991"/>
        <v>0</v>
      </c>
      <c r="AR1122" s="34">
        <f t="shared" si="992"/>
        <v>0</v>
      </c>
      <c r="AS1122" s="30">
        <f t="shared" si="993"/>
        <v>2.5270159944800574</v>
      </c>
      <c r="AT1122" s="29">
        <f t="shared" si="994"/>
        <v>0</v>
      </c>
      <c r="AU1122" s="29">
        <f t="shared" si="995"/>
        <v>0</v>
      </c>
      <c r="AV1122" s="34">
        <f t="shared" si="996"/>
        <v>0</v>
      </c>
      <c r="AW1122" s="34">
        <f t="shared" si="997"/>
        <v>0</v>
      </c>
      <c r="AX1122" s="29">
        <f t="shared" si="998"/>
        <v>0</v>
      </c>
      <c r="AY1122" s="34">
        <f t="shared" si="999"/>
        <v>0</v>
      </c>
      <c r="AZ1122" s="37">
        <f t="shared" si="1000"/>
        <v>0</v>
      </c>
      <c r="BA1122" s="37">
        <f t="shared" si="1001"/>
        <v>0</v>
      </c>
      <c r="BB1122" s="35">
        <f t="shared" si="1002"/>
        <v>1.947340609369963E-3</v>
      </c>
      <c r="BC1122" s="31">
        <f t="shared" si="1003"/>
        <v>0.11360704650411932</v>
      </c>
      <c r="BD1122" s="34">
        <f t="shared" si="1004"/>
        <v>0</v>
      </c>
    </row>
    <row r="1123" spans="1:56" x14ac:dyDescent="0.2">
      <c r="A1123" s="27">
        <f t="shared" si="1005"/>
        <v>1119</v>
      </c>
      <c r="B1123" s="28">
        <f t="shared" si="952"/>
        <v>1119</v>
      </c>
      <c r="C1123" s="27">
        <f t="shared" si="953"/>
        <v>93</v>
      </c>
      <c r="D1123" s="28">
        <f t="shared" si="954"/>
        <v>113</v>
      </c>
      <c r="E1123" s="29">
        <f t="shared" si="955"/>
        <v>0</v>
      </c>
      <c r="F1123" s="30">
        <f t="shared" si="956"/>
        <v>1</v>
      </c>
      <c r="G1123" s="31">
        <f t="shared" si="957"/>
        <v>1</v>
      </c>
      <c r="H1123" s="32">
        <f t="shared" si="958"/>
        <v>0.02</v>
      </c>
      <c r="I1123" s="32">
        <f t="shared" si="959"/>
        <v>0</v>
      </c>
      <c r="J1123" s="33">
        <f t="shared" si="1006"/>
        <v>0</v>
      </c>
      <c r="K1123" s="30">
        <f t="shared" si="960"/>
        <v>0</v>
      </c>
      <c r="L1123" s="33">
        <f t="shared" si="961"/>
        <v>0</v>
      </c>
      <c r="M1123" s="30">
        <f t="shared" si="962"/>
        <v>0</v>
      </c>
      <c r="N1123" s="33">
        <f t="shared" si="963"/>
        <v>0</v>
      </c>
      <c r="O1123" s="31">
        <f t="shared" si="964"/>
        <v>0</v>
      </c>
      <c r="P1123" s="33">
        <f t="shared" si="965"/>
        <v>0</v>
      </c>
      <c r="Q1123" s="34">
        <f t="shared" si="1007"/>
        <v>1188296.5246647075</v>
      </c>
      <c r="R1123" s="29">
        <f t="shared" si="966"/>
        <v>0</v>
      </c>
      <c r="S1123" s="34">
        <f t="shared" si="967"/>
        <v>1188296.5246647075</v>
      </c>
      <c r="T1123" s="29">
        <f t="shared" si="968"/>
        <v>990.24710388725634</v>
      </c>
      <c r="U1123" s="29">
        <f t="shared" si="969"/>
        <v>0</v>
      </c>
      <c r="V1123" s="35">
        <f t="shared" si="970"/>
        <v>1.1000000000000001</v>
      </c>
      <c r="W1123" s="34">
        <f t="shared" si="971"/>
        <v>0</v>
      </c>
      <c r="X1123" s="34">
        <f t="shared" si="972"/>
        <v>1187306.2775608203</v>
      </c>
      <c r="Y1123" s="36">
        <f t="shared" si="973"/>
        <v>1.0908483747388287E-2</v>
      </c>
      <c r="Z1123" s="34">
        <f t="shared" si="974"/>
        <v>12951.711231944295</v>
      </c>
      <c r="AA1123" s="34">
        <f t="shared" si="975"/>
        <v>1193782.1331767924</v>
      </c>
      <c r="AB1123" s="34">
        <f t="shared" si="976"/>
        <v>0</v>
      </c>
      <c r="AC1123" s="34">
        <f t="shared" si="977"/>
        <v>0</v>
      </c>
      <c r="AD1123" s="34">
        <f t="shared" si="978"/>
        <v>0</v>
      </c>
      <c r="AE1123" s="34">
        <f t="shared" si="979"/>
        <v>0</v>
      </c>
      <c r="AF1123" s="34">
        <f t="shared" si="980"/>
        <v>0</v>
      </c>
      <c r="AG1123" s="29">
        <f t="shared" si="981"/>
        <v>1193782.1331767924</v>
      </c>
      <c r="AH1123" s="34">
        <f t="shared" si="982"/>
        <v>0</v>
      </c>
      <c r="AI1123" s="34">
        <f t="shared" si="983"/>
        <v>0</v>
      </c>
      <c r="AJ1123" s="34">
        <f t="shared" si="984"/>
        <v>0</v>
      </c>
      <c r="AK1123" s="34">
        <f t="shared" si="985"/>
        <v>0</v>
      </c>
      <c r="AL1123" s="34">
        <f t="shared" si="986"/>
        <v>0</v>
      </c>
      <c r="AM1123" s="34">
        <f t="shared" si="987"/>
        <v>0</v>
      </c>
      <c r="AN1123" s="34">
        <f t="shared" si="988"/>
        <v>0</v>
      </c>
      <c r="AO1123" s="34">
        <f t="shared" si="989"/>
        <v>0</v>
      </c>
      <c r="AP1123" s="34">
        <f t="shared" si="990"/>
        <v>0</v>
      </c>
      <c r="AQ1123" s="34">
        <f t="shared" si="991"/>
        <v>0</v>
      </c>
      <c r="AR1123" s="34">
        <f t="shared" si="992"/>
        <v>0</v>
      </c>
      <c r="AS1123" s="30">
        <f t="shared" si="993"/>
        <v>2.529112250563041</v>
      </c>
      <c r="AT1123" s="29">
        <f t="shared" si="994"/>
        <v>0</v>
      </c>
      <c r="AU1123" s="29">
        <f t="shared" si="995"/>
        <v>0</v>
      </c>
      <c r="AV1123" s="34">
        <f t="shared" si="996"/>
        <v>0</v>
      </c>
      <c r="AW1123" s="34">
        <f t="shared" si="997"/>
        <v>0</v>
      </c>
      <c r="AX1123" s="29">
        <f t="shared" si="998"/>
        <v>0</v>
      </c>
      <c r="AY1123" s="34">
        <f t="shared" si="999"/>
        <v>0</v>
      </c>
      <c r="AZ1123" s="37">
        <f t="shared" si="1000"/>
        <v>0</v>
      </c>
      <c r="BA1123" s="37">
        <f t="shared" si="1001"/>
        <v>0</v>
      </c>
      <c r="BB1123" s="35">
        <f t="shared" si="1002"/>
        <v>1.947340609369963E-3</v>
      </c>
      <c r="BC1123" s="31">
        <f t="shared" si="1003"/>
        <v>0.11338624486494986</v>
      </c>
      <c r="BD1123" s="34">
        <f t="shared" si="1004"/>
        <v>0</v>
      </c>
    </row>
    <row r="1124" spans="1:56" x14ac:dyDescent="0.2">
      <c r="A1124" s="27">
        <f t="shared" si="1005"/>
        <v>1120</v>
      </c>
      <c r="B1124" s="28">
        <f t="shared" si="952"/>
        <v>1120</v>
      </c>
      <c r="C1124" s="27">
        <f t="shared" si="953"/>
        <v>93</v>
      </c>
      <c r="D1124" s="28">
        <f t="shared" si="954"/>
        <v>113</v>
      </c>
      <c r="E1124" s="29">
        <f t="shared" si="955"/>
        <v>0</v>
      </c>
      <c r="F1124" s="30">
        <f t="shared" si="956"/>
        <v>1</v>
      </c>
      <c r="G1124" s="31">
        <f t="shared" si="957"/>
        <v>1</v>
      </c>
      <c r="H1124" s="32">
        <f t="shared" si="958"/>
        <v>0.02</v>
      </c>
      <c r="I1124" s="32">
        <f t="shared" si="959"/>
        <v>0</v>
      </c>
      <c r="J1124" s="33">
        <f t="shared" si="1006"/>
        <v>0</v>
      </c>
      <c r="K1124" s="30">
        <f t="shared" si="960"/>
        <v>0</v>
      </c>
      <c r="L1124" s="33">
        <f t="shared" si="961"/>
        <v>0</v>
      </c>
      <c r="M1124" s="30">
        <f t="shared" si="962"/>
        <v>0</v>
      </c>
      <c r="N1124" s="33">
        <f t="shared" si="963"/>
        <v>0</v>
      </c>
      <c r="O1124" s="31">
        <f t="shared" si="964"/>
        <v>0</v>
      </c>
      <c r="P1124" s="33">
        <f t="shared" si="965"/>
        <v>0</v>
      </c>
      <c r="Q1124" s="34">
        <f t="shared" si="1007"/>
        <v>1200257.9887927647</v>
      </c>
      <c r="R1124" s="29">
        <f t="shared" si="966"/>
        <v>0</v>
      </c>
      <c r="S1124" s="34">
        <f t="shared" si="967"/>
        <v>1200257.9887927647</v>
      </c>
      <c r="T1124" s="29">
        <f t="shared" si="968"/>
        <v>1000.2149906606373</v>
      </c>
      <c r="U1124" s="29">
        <f t="shared" si="969"/>
        <v>0</v>
      </c>
      <c r="V1124" s="35">
        <f t="shared" si="970"/>
        <v>1.1000000000000001</v>
      </c>
      <c r="W1124" s="34">
        <f t="shared" si="971"/>
        <v>0</v>
      </c>
      <c r="X1124" s="34">
        <f t="shared" si="972"/>
        <v>1199257.7738021042</v>
      </c>
      <c r="Y1124" s="36">
        <f t="shared" si="973"/>
        <v>1.6877608199544314E-2</v>
      </c>
      <c r="Z1124" s="34">
        <f t="shared" si="974"/>
        <v>20240.602836489652</v>
      </c>
      <c r="AA1124" s="34">
        <f t="shared" si="975"/>
        <v>1209378.075220349</v>
      </c>
      <c r="AB1124" s="34">
        <f t="shared" si="976"/>
        <v>0</v>
      </c>
      <c r="AC1124" s="34">
        <f t="shared" si="977"/>
        <v>0</v>
      </c>
      <c r="AD1124" s="34">
        <f t="shared" si="978"/>
        <v>0</v>
      </c>
      <c r="AE1124" s="34">
        <f t="shared" si="979"/>
        <v>0</v>
      </c>
      <c r="AF1124" s="34">
        <f t="shared" si="980"/>
        <v>0</v>
      </c>
      <c r="AG1124" s="29">
        <f t="shared" si="981"/>
        <v>1209378.075220349</v>
      </c>
      <c r="AH1124" s="34">
        <f t="shared" si="982"/>
        <v>0</v>
      </c>
      <c r="AI1124" s="34">
        <f t="shared" si="983"/>
        <v>0</v>
      </c>
      <c r="AJ1124" s="34">
        <f t="shared" si="984"/>
        <v>0</v>
      </c>
      <c r="AK1124" s="34">
        <f t="shared" si="985"/>
        <v>0</v>
      </c>
      <c r="AL1124" s="34">
        <f t="shared" si="986"/>
        <v>0</v>
      </c>
      <c r="AM1124" s="34">
        <f t="shared" si="987"/>
        <v>0</v>
      </c>
      <c r="AN1124" s="34">
        <f t="shared" si="988"/>
        <v>0</v>
      </c>
      <c r="AO1124" s="34">
        <f t="shared" si="989"/>
        <v>0</v>
      </c>
      <c r="AP1124" s="34">
        <f t="shared" si="990"/>
        <v>0</v>
      </c>
      <c r="AQ1124" s="34">
        <f t="shared" si="991"/>
        <v>0</v>
      </c>
      <c r="AR1124" s="34">
        <f t="shared" si="992"/>
        <v>0</v>
      </c>
      <c r="AS1124" s="30">
        <f t="shared" si="993"/>
        <v>2.5312102455703429</v>
      </c>
      <c r="AT1124" s="29">
        <f t="shared" si="994"/>
        <v>0</v>
      </c>
      <c r="AU1124" s="29">
        <f t="shared" si="995"/>
        <v>0</v>
      </c>
      <c r="AV1124" s="34">
        <f t="shared" si="996"/>
        <v>0</v>
      </c>
      <c r="AW1124" s="34">
        <f t="shared" si="997"/>
        <v>0</v>
      </c>
      <c r="AX1124" s="29">
        <f t="shared" si="998"/>
        <v>0</v>
      </c>
      <c r="AY1124" s="34">
        <f t="shared" si="999"/>
        <v>0</v>
      </c>
      <c r="AZ1124" s="37">
        <f t="shared" si="1000"/>
        <v>0</v>
      </c>
      <c r="BA1124" s="37">
        <f t="shared" si="1001"/>
        <v>0</v>
      </c>
      <c r="BB1124" s="35">
        <f t="shared" si="1002"/>
        <v>1.947340609369963E-3</v>
      </c>
      <c r="BC1124" s="31">
        <f t="shared" si="1003"/>
        <v>0.11316587236609658</v>
      </c>
      <c r="BD1124" s="34">
        <f t="shared" si="1004"/>
        <v>0</v>
      </c>
    </row>
    <row r="1125" spans="1:56" x14ac:dyDescent="0.2">
      <c r="A1125" s="27">
        <f t="shared" si="1005"/>
        <v>1121</v>
      </c>
      <c r="B1125" s="28">
        <f t="shared" si="952"/>
        <v>1121</v>
      </c>
      <c r="C1125" s="27">
        <f t="shared" si="953"/>
        <v>93</v>
      </c>
      <c r="D1125" s="28">
        <f t="shared" si="954"/>
        <v>113</v>
      </c>
      <c r="E1125" s="29">
        <f t="shared" si="955"/>
        <v>0</v>
      </c>
      <c r="F1125" s="30">
        <f t="shared" si="956"/>
        <v>1</v>
      </c>
      <c r="G1125" s="31">
        <f t="shared" si="957"/>
        <v>1</v>
      </c>
      <c r="H1125" s="32">
        <f t="shared" si="958"/>
        <v>0.02</v>
      </c>
      <c r="I1125" s="32">
        <f t="shared" si="959"/>
        <v>0</v>
      </c>
      <c r="J1125" s="33">
        <f t="shared" si="1006"/>
        <v>0</v>
      </c>
      <c r="K1125" s="30">
        <f t="shared" si="960"/>
        <v>0</v>
      </c>
      <c r="L1125" s="33">
        <f t="shared" si="961"/>
        <v>0</v>
      </c>
      <c r="M1125" s="30">
        <f t="shared" si="962"/>
        <v>0</v>
      </c>
      <c r="N1125" s="33">
        <f t="shared" si="963"/>
        <v>0</v>
      </c>
      <c r="O1125" s="31">
        <f t="shared" si="964"/>
        <v>0</v>
      </c>
      <c r="P1125" s="33">
        <f t="shared" si="965"/>
        <v>0</v>
      </c>
      <c r="Q1125" s="34">
        <f t="shared" si="1007"/>
        <v>1219498.3766385939</v>
      </c>
      <c r="R1125" s="29">
        <f t="shared" si="966"/>
        <v>0</v>
      </c>
      <c r="S1125" s="34">
        <f t="shared" si="967"/>
        <v>1219498.3766385939</v>
      </c>
      <c r="T1125" s="29">
        <f t="shared" si="968"/>
        <v>1016.2486471988283</v>
      </c>
      <c r="U1125" s="29">
        <f t="shared" si="969"/>
        <v>0</v>
      </c>
      <c r="V1125" s="35">
        <f t="shared" si="970"/>
        <v>1.1000000000000001</v>
      </c>
      <c r="W1125" s="34">
        <f t="shared" si="971"/>
        <v>0</v>
      </c>
      <c r="X1125" s="34">
        <f t="shared" si="972"/>
        <v>1218482.1279913951</v>
      </c>
      <c r="Y1125" s="36">
        <f t="shared" si="973"/>
        <v>-1.9448181218246763E-3</v>
      </c>
      <c r="Z1125" s="34">
        <f t="shared" si="974"/>
        <v>-2369.7261236371596</v>
      </c>
      <c r="AA1125" s="34">
        <f t="shared" si="975"/>
        <v>1217297.2649295765</v>
      </c>
      <c r="AB1125" s="34">
        <f t="shared" si="976"/>
        <v>0</v>
      </c>
      <c r="AC1125" s="34">
        <f t="shared" si="977"/>
        <v>0</v>
      </c>
      <c r="AD1125" s="34">
        <f t="shared" si="978"/>
        <v>0</v>
      </c>
      <c r="AE1125" s="34">
        <f t="shared" si="979"/>
        <v>0</v>
      </c>
      <c r="AF1125" s="34">
        <f t="shared" si="980"/>
        <v>0</v>
      </c>
      <c r="AG1125" s="29">
        <f t="shared" si="981"/>
        <v>1217297.2649295765</v>
      </c>
      <c r="AH1125" s="34">
        <f t="shared" si="982"/>
        <v>0</v>
      </c>
      <c r="AI1125" s="34">
        <f t="shared" si="983"/>
        <v>0</v>
      </c>
      <c r="AJ1125" s="34">
        <f t="shared" si="984"/>
        <v>0</v>
      </c>
      <c r="AK1125" s="34">
        <f t="shared" si="985"/>
        <v>0</v>
      </c>
      <c r="AL1125" s="34">
        <f t="shared" si="986"/>
        <v>0</v>
      </c>
      <c r="AM1125" s="34">
        <f t="shared" si="987"/>
        <v>0</v>
      </c>
      <c r="AN1125" s="34">
        <f t="shared" si="988"/>
        <v>0</v>
      </c>
      <c r="AO1125" s="34">
        <f t="shared" si="989"/>
        <v>0</v>
      </c>
      <c r="AP1125" s="34">
        <f t="shared" si="990"/>
        <v>0</v>
      </c>
      <c r="AQ1125" s="34">
        <f t="shared" si="991"/>
        <v>0</v>
      </c>
      <c r="AR1125" s="34">
        <f t="shared" si="992"/>
        <v>0</v>
      </c>
      <c r="AS1125" s="30">
        <f t="shared" si="993"/>
        <v>2.5333099809444675</v>
      </c>
      <c r="AT1125" s="29">
        <f t="shared" si="994"/>
        <v>0</v>
      </c>
      <c r="AU1125" s="29">
        <f t="shared" si="995"/>
        <v>0</v>
      </c>
      <c r="AV1125" s="34">
        <f t="shared" si="996"/>
        <v>0</v>
      </c>
      <c r="AW1125" s="34">
        <f t="shared" si="997"/>
        <v>0</v>
      </c>
      <c r="AX1125" s="29">
        <f t="shared" si="998"/>
        <v>0</v>
      </c>
      <c r="AY1125" s="34">
        <f t="shared" si="999"/>
        <v>0</v>
      </c>
      <c r="AZ1125" s="37">
        <f t="shared" si="1000"/>
        <v>0</v>
      </c>
      <c r="BA1125" s="37">
        <f t="shared" si="1001"/>
        <v>0</v>
      </c>
      <c r="BB1125" s="35">
        <f t="shared" si="1002"/>
        <v>1.947340609369963E-3</v>
      </c>
      <c r="BC1125" s="31">
        <f t="shared" si="1003"/>
        <v>0.11294592817350135</v>
      </c>
      <c r="BD1125" s="34">
        <f t="shared" si="1004"/>
        <v>0</v>
      </c>
    </row>
    <row r="1126" spans="1:56" x14ac:dyDescent="0.2">
      <c r="A1126" s="27">
        <f t="shared" si="1005"/>
        <v>1122</v>
      </c>
      <c r="B1126" s="28">
        <f t="shared" si="952"/>
        <v>1122</v>
      </c>
      <c r="C1126" s="27">
        <f t="shared" si="953"/>
        <v>93</v>
      </c>
      <c r="D1126" s="28">
        <f t="shared" si="954"/>
        <v>113</v>
      </c>
      <c r="E1126" s="29">
        <f t="shared" si="955"/>
        <v>0</v>
      </c>
      <c r="F1126" s="30">
        <f t="shared" si="956"/>
        <v>1</v>
      </c>
      <c r="G1126" s="31">
        <f t="shared" si="957"/>
        <v>1</v>
      </c>
      <c r="H1126" s="32">
        <f t="shared" si="958"/>
        <v>0.02</v>
      </c>
      <c r="I1126" s="32">
        <f t="shared" si="959"/>
        <v>0</v>
      </c>
      <c r="J1126" s="33">
        <f t="shared" si="1006"/>
        <v>0</v>
      </c>
      <c r="K1126" s="30">
        <f t="shared" si="960"/>
        <v>0</v>
      </c>
      <c r="L1126" s="33">
        <f t="shared" si="961"/>
        <v>0</v>
      </c>
      <c r="M1126" s="30">
        <f t="shared" si="962"/>
        <v>0</v>
      </c>
      <c r="N1126" s="33">
        <f t="shared" si="963"/>
        <v>0</v>
      </c>
      <c r="O1126" s="31">
        <f t="shared" si="964"/>
        <v>0</v>
      </c>
      <c r="P1126" s="33">
        <f t="shared" si="965"/>
        <v>0</v>
      </c>
      <c r="Q1126" s="34">
        <f t="shared" si="1007"/>
        <v>1216112.401867758</v>
      </c>
      <c r="R1126" s="29">
        <f t="shared" si="966"/>
        <v>0</v>
      </c>
      <c r="S1126" s="34">
        <f t="shared" si="967"/>
        <v>1216112.401867758</v>
      </c>
      <c r="T1126" s="29">
        <f t="shared" si="968"/>
        <v>1013.427001556465</v>
      </c>
      <c r="U1126" s="29">
        <f t="shared" si="969"/>
        <v>0</v>
      </c>
      <c r="V1126" s="35">
        <f t="shared" si="970"/>
        <v>1.1000000000000001</v>
      </c>
      <c r="W1126" s="34">
        <f t="shared" si="971"/>
        <v>0</v>
      </c>
      <c r="X1126" s="34">
        <f t="shared" si="972"/>
        <v>1215098.9748662016</v>
      </c>
      <c r="Y1126" s="36">
        <f t="shared" si="973"/>
        <v>1.2388849410627234E-3</v>
      </c>
      <c r="Z1126" s="34">
        <f t="shared" si="974"/>
        <v>1505.3678218624898</v>
      </c>
      <c r="AA1126" s="34">
        <f t="shared" si="975"/>
        <v>1215851.6587771329</v>
      </c>
      <c r="AB1126" s="34">
        <f t="shared" si="976"/>
        <v>0</v>
      </c>
      <c r="AC1126" s="34">
        <f t="shared" si="977"/>
        <v>0</v>
      </c>
      <c r="AD1126" s="34">
        <f t="shared" si="978"/>
        <v>0</v>
      </c>
      <c r="AE1126" s="34">
        <f t="shared" si="979"/>
        <v>0</v>
      </c>
      <c r="AF1126" s="34">
        <f t="shared" si="980"/>
        <v>0</v>
      </c>
      <c r="AG1126" s="29">
        <f t="shared" si="981"/>
        <v>1215851.6587771329</v>
      </c>
      <c r="AH1126" s="34">
        <f t="shared" si="982"/>
        <v>0</v>
      </c>
      <c r="AI1126" s="34">
        <f t="shared" si="983"/>
        <v>0</v>
      </c>
      <c r="AJ1126" s="34">
        <f t="shared" si="984"/>
        <v>0</v>
      </c>
      <c r="AK1126" s="34">
        <f t="shared" si="985"/>
        <v>0</v>
      </c>
      <c r="AL1126" s="34">
        <f t="shared" si="986"/>
        <v>0</v>
      </c>
      <c r="AM1126" s="34">
        <f t="shared" si="987"/>
        <v>0</v>
      </c>
      <c r="AN1126" s="34">
        <f t="shared" si="988"/>
        <v>0</v>
      </c>
      <c r="AO1126" s="34">
        <f t="shared" si="989"/>
        <v>0</v>
      </c>
      <c r="AP1126" s="34">
        <f t="shared" si="990"/>
        <v>0</v>
      </c>
      <c r="AQ1126" s="34">
        <f t="shared" si="991"/>
        <v>0</v>
      </c>
      <c r="AR1126" s="34">
        <f t="shared" si="992"/>
        <v>0</v>
      </c>
      <c r="AS1126" s="30">
        <f t="shared" si="993"/>
        <v>2.5354114581291145</v>
      </c>
      <c r="AT1126" s="29">
        <f t="shared" si="994"/>
        <v>0</v>
      </c>
      <c r="AU1126" s="29">
        <f t="shared" si="995"/>
        <v>0</v>
      </c>
      <c r="AV1126" s="34">
        <f t="shared" si="996"/>
        <v>0</v>
      </c>
      <c r="AW1126" s="34">
        <f t="shared" si="997"/>
        <v>0</v>
      </c>
      <c r="AX1126" s="29">
        <f t="shared" si="998"/>
        <v>0</v>
      </c>
      <c r="AY1126" s="34">
        <f t="shared" si="999"/>
        <v>0</v>
      </c>
      <c r="AZ1126" s="37">
        <f t="shared" si="1000"/>
        <v>0</v>
      </c>
      <c r="BA1126" s="37">
        <f t="shared" si="1001"/>
        <v>0</v>
      </c>
      <c r="BB1126" s="35">
        <f t="shared" si="1002"/>
        <v>1.947340609369963E-3</v>
      </c>
      <c r="BC1126" s="31">
        <f t="shared" si="1003"/>
        <v>0.11272641145472699</v>
      </c>
      <c r="BD1126" s="34">
        <f t="shared" si="1004"/>
        <v>0</v>
      </c>
    </row>
    <row r="1127" spans="1:56" x14ac:dyDescent="0.2">
      <c r="A1127" s="27">
        <f t="shared" si="1005"/>
        <v>1123</v>
      </c>
      <c r="B1127" s="28">
        <f t="shared" si="952"/>
        <v>1123</v>
      </c>
      <c r="C1127" s="27">
        <f t="shared" si="953"/>
        <v>93</v>
      </c>
      <c r="D1127" s="28">
        <f t="shared" si="954"/>
        <v>113</v>
      </c>
      <c r="E1127" s="29">
        <f t="shared" si="955"/>
        <v>0</v>
      </c>
      <c r="F1127" s="30">
        <f t="shared" si="956"/>
        <v>1</v>
      </c>
      <c r="G1127" s="31">
        <f t="shared" si="957"/>
        <v>1</v>
      </c>
      <c r="H1127" s="32">
        <f t="shared" si="958"/>
        <v>0.02</v>
      </c>
      <c r="I1127" s="32">
        <f t="shared" si="959"/>
        <v>0</v>
      </c>
      <c r="J1127" s="33">
        <f t="shared" si="1006"/>
        <v>0</v>
      </c>
      <c r="K1127" s="30">
        <f t="shared" si="960"/>
        <v>0</v>
      </c>
      <c r="L1127" s="33">
        <f t="shared" si="961"/>
        <v>0</v>
      </c>
      <c r="M1127" s="30">
        <f t="shared" si="962"/>
        <v>0</v>
      </c>
      <c r="N1127" s="33">
        <f t="shared" si="963"/>
        <v>0</v>
      </c>
      <c r="O1127" s="31">
        <f t="shared" si="964"/>
        <v>0</v>
      </c>
      <c r="P1127" s="33">
        <f t="shared" si="965"/>
        <v>0</v>
      </c>
      <c r="Q1127" s="34">
        <f t="shared" si="1007"/>
        <v>1216604.3426880641</v>
      </c>
      <c r="R1127" s="29">
        <f t="shared" si="966"/>
        <v>0</v>
      </c>
      <c r="S1127" s="34">
        <f t="shared" si="967"/>
        <v>1216604.3426880641</v>
      </c>
      <c r="T1127" s="29">
        <f t="shared" si="968"/>
        <v>1013.8369522400535</v>
      </c>
      <c r="U1127" s="29">
        <f t="shared" si="969"/>
        <v>0</v>
      </c>
      <c r="V1127" s="35">
        <f t="shared" si="970"/>
        <v>1.1000000000000001</v>
      </c>
      <c r="W1127" s="34">
        <f t="shared" si="971"/>
        <v>0</v>
      </c>
      <c r="X1127" s="34">
        <f t="shared" si="972"/>
        <v>1215590.5057358241</v>
      </c>
      <c r="Y1127" s="36">
        <f t="shared" si="973"/>
        <v>1.7085587101324684E-2</v>
      </c>
      <c r="Z1127" s="34">
        <f t="shared" si="974"/>
        <v>20769.077465292747</v>
      </c>
      <c r="AA1127" s="34">
        <f t="shared" si="975"/>
        <v>1225975.0444684704</v>
      </c>
      <c r="AB1127" s="34">
        <f t="shared" si="976"/>
        <v>0</v>
      </c>
      <c r="AC1127" s="34">
        <f t="shared" si="977"/>
        <v>0</v>
      </c>
      <c r="AD1127" s="34">
        <f t="shared" si="978"/>
        <v>0</v>
      </c>
      <c r="AE1127" s="34">
        <f t="shared" si="979"/>
        <v>0</v>
      </c>
      <c r="AF1127" s="34">
        <f t="shared" si="980"/>
        <v>0</v>
      </c>
      <c r="AG1127" s="29">
        <f t="shared" si="981"/>
        <v>1225975.0444684704</v>
      </c>
      <c r="AH1127" s="34">
        <f t="shared" si="982"/>
        <v>0</v>
      </c>
      <c r="AI1127" s="34">
        <f t="shared" si="983"/>
        <v>0</v>
      </c>
      <c r="AJ1127" s="34">
        <f t="shared" si="984"/>
        <v>0</v>
      </c>
      <c r="AK1127" s="34">
        <f t="shared" si="985"/>
        <v>0</v>
      </c>
      <c r="AL1127" s="34">
        <f t="shared" si="986"/>
        <v>0</v>
      </c>
      <c r="AM1127" s="34">
        <f t="shared" si="987"/>
        <v>0</v>
      </c>
      <c r="AN1127" s="34">
        <f t="shared" si="988"/>
        <v>0</v>
      </c>
      <c r="AO1127" s="34">
        <f t="shared" si="989"/>
        <v>0</v>
      </c>
      <c r="AP1127" s="34">
        <f t="shared" si="990"/>
        <v>0</v>
      </c>
      <c r="AQ1127" s="34">
        <f t="shared" si="991"/>
        <v>0</v>
      </c>
      <c r="AR1127" s="34">
        <f t="shared" si="992"/>
        <v>0</v>
      </c>
      <c r="AS1127" s="30">
        <f t="shared" si="993"/>
        <v>2.5375146785691824</v>
      </c>
      <c r="AT1127" s="29">
        <f t="shared" si="994"/>
        <v>0</v>
      </c>
      <c r="AU1127" s="29">
        <f t="shared" si="995"/>
        <v>0</v>
      </c>
      <c r="AV1127" s="34">
        <f t="shared" si="996"/>
        <v>0</v>
      </c>
      <c r="AW1127" s="34">
        <f t="shared" si="997"/>
        <v>0</v>
      </c>
      <c r="AX1127" s="29">
        <f t="shared" si="998"/>
        <v>0</v>
      </c>
      <c r="AY1127" s="34">
        <f t="shared" si="999"/>
        <v>0</v>
      </c>
      <c r="AZ1127" s="37">
        <f t="shared" si="1000"/>
        <v>0</v>
      </c>
      <c r="BA1127" s="37">
        <f t="shared" si="1001"/>
        <v>0</v>
      </c>
      <c r="BB1127" s="35">
        <f t="shared" si="1002"/>
        <v>1.947340609369963E-3</v>
      </c>
      <c r="BC1127" s="31">
        <f t="shared" si="1003"/>
        <v>0.11250732137895433</v>
      </c>
      <c r="BD1127" s="34">
        <f t="shared" si="1004"/>
        <v>0</v>
      </c>
    </row>
    <row r="1128" spans="1:56" x14ac:dyDescent="0.2">
      <c r="A1128" s="27">
        <f t="shared" si="1005"/>
        <v>1124</v>
      </c>
      <c r="B1128" s="28">
        <f t="shared" si="952"/>
        <v>1124</v>
      </c>
      <c r="C1128" s="27">
        <f t="shared" si="953"/>
        <v>93</v>
      </c>
      <c r="D1128" s="28">
        <f t="shared" si="954"/>
        <v>113</v>
      </c>
      <c r="E1128" s="29">
        <f t="shared" si="955"/>
        <v>0</v>
      </c>
      <c r="F1128" s="30">
        <f t="shared" si="956"/>
        <v>1</v>
      </c>
      <c r="G1128" s="31">
        <f t="shared" si="957"/>
        <v>1</v>
      </c>
      <c r="H1128" s="32">
        <f t="shared" si="958"/>
        <v>0.02</v>
      </c>
      <c r="I1128" s="32">
        <f t="shared" si="959"/>
        <v>0</v>
      </c>
      <c r="J1128" s="33">
        <f t="shared" si="1006"/>
        <v>0</v>
      </c>
      <c r="K1128" s="30">
        <f t="shared" si="960"/>
        <v>0</v>
      </c>
      <c r="L1128" s="33">
        <f t="shared" si="961"/>
        <v>0</v>
      </c>
      <c r="M1128" s="30">
        <f t="shared" si="962"/>
        <v>0</v>
      </c>
      <c r="N1128" s="33">
        <f t="shared" si="963"/>
        <v>0</v>
      </c>
      <c r="O1128" s="31">
        <f t="shared" si="964"/>
        <v>0</v>
      </c>
      <c r="P1128" s="33">
        <f t="shared" si="965"/>
        <v>0</v>
      </c>
      <c r="Q1128" s="34">
        <f t="shared" si="1007"/>
        <v>1236359.5832011169</v>
      </c>
      <c r="R1128" s="29">
        <f t="shared" si="966"/>
        <v>0</v>
      </c>
      <c r="S1128" s="34">
        <f t="shared" si="967"/>
        <v>1236359.5832011169</v>
      </c>
      <c r="T1128" s="29">
        <f t="shared" si="968"/>
        <v>1030.2996526675975</v>
      </c>
      <c r="U1128" s="29">
        <f t="shared" si="969"/>
        <v>0</v>
      </c>
      <c r="V1128" s="35">
        <f t="shared" si="970"/>
        <v>1.1000000000000001</v>
      </c>
      <c r="W1128" s="34">
        <f t="shared" si="971"/>
        <v>0</v>
      </c>
      <c r="X1128" s="34">
        <f t="shared" si="972"/>
        <v>1235329.2835484494</v>
      </c>
      <c r="Y1128" s="36">
        <f t="shared" si="973"/>
        <v>1.3007535229616174E-2</v>
      </c>
      <c r="Z1128" s="34">
        <f t="shared" si="974"/>
        <v>16068.589175932964</v>
      </c>
      <c r="AA1128" s="34">
        <f t="shared" si="975"/>
        <v>1243363.5781364159</v>
      </c>
      <c r="AB1128" s="34">
        <f t="shared" si="976"/>
        <v>0</v>
      </c>
      <c r="AC1128" s="34">
        <f t="shared" si="977"/>
        <v>0</v>
      </c>
      <c r="AD1128" s="34">
        <f t="shared" si="978"/>
        <v>0</v>
      </c>
      <c r="AE1128" s="34">
        <f t="shared" si="979"/>
        <v>0</v>
      </c>
      <c r="AF1128" s="34">
        <f t="shared" si="980"/>
        <v>0</v>
      </c>
      <c r="AG1128" s="29">
        <f t="shared" si="981"/>
        <v>1243363.5781364159</v>
      </c>
      <c r="AH1128" s="34">
        <f t="shared" si="982"/>
        <v>0</v>
      </c>
      <c r="AI1128" s="34">
        <f t="shared" si="983"/>
        <v>0</v>
      </c>
      <c r="AJ1128" s="34">
        <f t="shared" si="984"/>
        <v>0</v>
      </c>
      <c r="AK1128" s="34">
        <f t="shared" si="985"/>
        <v>0</v>
      </c>
      <c r="AL1128" s="34">
        <f t="shared" si="986"/>
        <v>0</v>
      </c>
      <c r="AM1128" s="34">
        <f t="shared" si="987"/>
        <v>0</v>
      </c>
      <c r="AN1128" s="34">
        <f t="shared" si="988"/>
        <v>0</v>
      </c>
      <c r="AO1128" s="34">
        <f t="shared" si="989"/>
        <v>0</v>
      </c>
      <c r="AP1128" s="34">
        <f t="shared" si="990"/>
        <v>0</v>
      </c>
      <c r="AQ1128" s="34">
        <f t="shared" si="991"/>
        <v>0</v>
      </c>
      <c r="AR1128" s="34">
        <f t="shared" si="992"/>
        <v>0</v>
      </c>
      <c r="AS1128" s="30">
        <f t="shared" si="993"/>
        <v>2.5396196437107692</v>
      </c>
      <c r="AT1128" s="29">
        <f t="shared" si="994"/>
        <v>0</v>
      </c>
      <c r="AU1128" s="29">
        <f t="shared" si="995"/>
        <v>0</v>
      </c>
      <c r="AV1128" s="34">
        <f t="shared" si="996"/>
        <v>0</v>
      </c>
      <c r="AW1128" s="34">
        <f t="shared" si="997"/>
        <v>0</v>
      </c>
      <c r="AX1128" s="29">
        <f t="shared" si="998"/>
        <v>0</v>
      </c>
      <c r="AY1128" s="34">
        <f t="shared" si="999"/>
        <v>0</v>
      </c>
      <c r="AZ1128" s="37">
        <f t="shared" si="1000"/>
        <v>0</v>
      </c>
      <c r="BA1128" s="37">
        <f t="shared" si="1001"/>
        <v>0</v>
      </c>
      <c r="BB1128" s="35">
        <f t="shared" si="1002"/>
        <v>1.947340609369963E-3</v>
      </c>
      <c r="BC1128" s="31">
        <f t="shared" si="1003"/>
        <v>0.11228865711697879</v>
      </c>
      <c r="BD1128" s="34">
        <f t="shared" si="1004"/>
        <v>0</v>
      </c>
    </row>
    <row r="1129" spans="1:56" x14ac:dyDescent="0.2">
      <c r="A1129" s="27">
        <f t="shared" si="1005"/>
        <v>1125</v>
      </c>
      <c r="B1129" s="28">
        <f t="shared" si="952"/>
        <v>1125</v>
      </c>
      <c r="C1129" s="27">
        <f t="shared" si="953"/>
        <v>93</v>
      </c>
      <c r="D1129" s="28">
        <f t="shared" si="954"/>
        <v>113</v>
      </c>
      <c r="E1129" s="29">
        <f t="shared" si="955"/>
        <v>0</v>
      </c>
      <c r="F1129" s="30">
        <f t="shared" si="956"/>
        <v>1</v>
      </c>
      <c r="G1129" s="31">
        <f t="shared" si="957"/>
        <v>1</v>
      </c>
      <c r="H1129" s="32">
        <f t="shared" si="958"/>
        <v>0.02</v>
      </c>
      <c r="I1129" s="32">
        <f t="shared" si="959"/>
        <v>0</v>
      </c>
      <c r="J1129" s="33">
        <f t="shared" si="1006"/>
        <v>0</v>
      </c>
      <c r="K1129" s="30">
        <f t="shared" si="960"/>
        <v>0</v>
      </c>
      <c r="L1129" s="33">
        <f t="shared" si="961"/>
        <v>0</v>
      </c>
      <c r="M1129" s="30">
        <f t="shared" si="962"/>
        <v>0</v>
      </c>
      <c r="N1129" s="33">
        <f t="shared" si="963"/>
        <v>0</v>
      </c>
      <c r="O1129" s="31">
        <f t="shared" si="964"/>
        <v>0</v>
      </c>
      <c r="P1129" s="33">
        <f t="shared" si="965"/>
        <v>0</v>
      </c>
      <c r="Q1129" s="34">
        <f t="shared" si="1007"/>
        <v>1251397.8727243824</v>
      </c>
      <c r="R1129" s="29">
        <f t="shared" si="966"/>
        <v>0</v>
      </c>
      <c r="S1129" s="34">
        <f t="shared" si="967"/>
        <v>1251397.8727243824</v>
      </c>
      <c r="T1129" s="29">
        <f t="shared" si="968"/>
        <v>1042.8315606036522</v>
      </c>
      <c r="U1129" s="29">
        <f t="shared" si="969"/>
        <v>0</v>
      </c>
      <c r="V1129" s="35">
        <f t="shared" si="970"/>
        <v>1.1000000000000001</v>
      </c>
      <c r="W1129" s="34">
        <f t="shared" si="971"/>
        <v>0</v>
      </c>
      <c r="X1129" s="34">
        <f t="shared" si="972"/>
        <v>1250355.0411637789</v>
      </c>
      <c r="Y1129" s="36">
        <f t="shared" si="973"/>
        <v>9.867080365292713E-3</v>
      </c>
      <c r="Z1129" s="34">
        <f t="shared" si="974"/>
        <v>12337.353676311885</v>
      </c>
      <c r="AA1129" s="34">
        <f t="shared" si="975"/>
        <v>1256523.7180019347</v>
      </c>
      <c r="AB1129" s="34">
        <f t="shared" si="976"/>
        <v>0</v>
      </c>
      <c r="AC1129" s="34">
        <f t="shared" si="977"/>
        <v>0</v>
      </c>
      <c r="AD1129" s="34">
        <f t="shared" si="978"/>
        <v>0</v>
      </c>
      <c r="AE1129" s="34">
        <f t="shared" si="979"/>
        <v>0</v>
      </c>
      <c r="AF1129" s="34">
        <f t="shared" si="980"/>
        <v>0</v>
      </c>
      <c r="AG1129" s="29">
        <f t="shared" si="981"/>
        <v>1256523.7180019347</v>
      </c>
      <c r="AH1129" s="34">
        <f t="shared" si="982"/>
        <v>0</v>
      </c>
      <c r="AI1129" s="34">
        <f t="shared" si="983"/>
        <v>0</v>
      </c>
      <c r="AJ1129" s="34">
        <f t="shared" si="984"/>
        <v>0</v>
      </c>
      <c r="AK1129" s="34">
        <f t="shared" si="985"/>
        <v>0</v>
      </c>
      <c r="AL1129" s="34">
        <f t="shared" si="986"/>
        <v>0</v>
      </c>
      <c r="AM1129" s="34">
        <f t="shared" si="987"/>
        <v>0</v>
      </c>
      <c r="AN1129" s="34">
        <f t="shared" si="988"/>
        <v>0</v>
      </c>
      <c r="AO1129" s="34">
        <f t="shared" si="989"/>
        <v>0</v>
      </c>
      <c r="AP1129" s="34">
        <f t="shared" si="990"/>
        <v>0</v>
      </c>
      <c r="AQ1129" s="34">
        <f t="shared" si="991"/>
        <v>0</v>
      </c>
      <c r="AR1129" s="34">
        <f t="shared" si="992"/>
        <v>0</v>
      </c>
      <c r="AS1129" s="30">
        <f t="shared" si="993"/>
        <v>2.5417263550011695</v>
      </c>
      <c r="AT1129" s="29">
        <f t="shared" si="994"/>
        <v>0</v>
      </c>
      <c r="AU1129" s="29">
        <f t="shared" si="995"/>
        <v>0</v>
      </c>
      <c r="AV1129" s="34">
        <f t="shared" si="996"/>
        <v>0</v>
      </c>
      <c r="AW1129" s="34">
        <f t="shared" si="997"/>
        <v>0</v>
      </c>
      <c r="AX1129" s="29">
        <f t="shared" si="998"/>
        <v>0</v>
      </c>
      <c r="AY1129" s="34">
        <f t="shared" si="999"/>
        <v>0</v>
      </c>
      <c r="AZ1129" s="37">
        <f t="shared" si="1000"/>
        <v>0</v>
      </c>
      <c r="BA1129" s="37">
        <f t="shared" si="1001"/>
        <v>0</v>
      </c>
      <c r="BB1129" s="35">
        <f t="shared" si="1002"/>
        <v>1.947340609369963E-3</v>
      </c>
      <c r="BC1129" s="31">
        <f t="shared" si="1003"/>
        <v>0.11207041784120755</v>
      </c>
      <c r="BD1129" s="34">
        <f t="shared" si="1004"/>
        <v>0</v>
      </c>
    </row>
    <row r="1130" spans="1:56" x14ac:dyDescent="0.2">
      <c r="A1130" s="27">
        <f t="shared" si="1005"/>
        <v>1126</v>
      </c>
      <c r="B1130" s="28">
        <f t="shared" si="952"/>
        <v>1126</v>
      </c>
      <c r="C1130" s="27">
        <f t="shared" si="953"/>
        <v>93</v>
      </c>
      <c r="D1130" s="28">
        <f t="shared" si="954"/>
        <v>113</v>
      </c>
      <c r="E1130" s="29">
        <f t="shared" si="955"/>
        <v>0</v>
      </c>
      <c r="F1130" s="30">
        <f t="shared" si="956"/>
        <v>1</v>
      </c>
      <c r="G1130" s="31">
        <f t="shared" si="957"/>
        <v>1</v>
      </c>
      <c r="H1130" s="32">
        <f t="shared" si="958"/>
        <v>0.02</v>
      </c>
      <c r="I1130" s="32">
        <f t="shared" si="959"/>
        <v>0</v>
      </c>
      <c r="J1130" s="33">
        <f t="shared" si="1006"/>
        <v>0</v>
      </c>
      <c r="K1130" s="30">
        <f t="shared" si="960"/>
        <v>0</v>
      </c>
      <c r="L1130" s="33">
        <f t="shared" si="961"/>
        <v>0</v>
      </c>
      <c r="M1130" s="30">
        <f t="shared" si="962"/>
        <v>0</v>
      </c>
      <c r="N1130" s="33">
        <f t="shared" si="963"/>
        <v>0</v>
      </c>
      <c r="O1130" s="31">
        <f t="shared" si="964"/>
        <v>0</v>
      </c>
      <c r="P1130" s="33">
        <f t="shared" si="965"/>
        <v>0</v>
      </c>
      <c r="Q1130" s="34">
        <f t="shared" si="1007"/>
        <v>1262692.3948400908</v>
      </c>
      <c r="R1130" s="29">
        <f t="shared" si="966"/>
        <v>0</v>
      </c>
      <c r="S1130" s="34">
        <f t="shared" si="967"/>
        <v>1262692.3948400908</v>
      </c>
      <c r="T1130" s="29">
        <f t="shared" si="968"/>
        <v>1052.2436623667425</v>
      </c>
      <c r="U1130" s="29">
        <f t="shared" si="969"/>
        <v>0</v>
      </c>
      <c r="V1130" s="35">
        <f t="shared" si="970"/>
        <v>1.1000000000000001</v>
      </c>
      <c r="W1130" s="34">
        <f t="shared" si="971"/>
        <v>0</v>
      </c>
      <c r="X1130" s="34">
        <f t="shared" si="972"/>
        <v>1261640.1511777241</v>
      </c>
      <c r="Y1130" s="36">
        <f t="shared" si="973"/>
        <v>1.0958945782328922E-3</v>
      </c>
      <c r="Z1130" s="34">
        <f t="shared" si="974"/>
        <v>1382.6246013565942</v>
      </c>
      <c r="AA1130" s="34">
        <f t="shared" si="975"/>
        <v>1262331.4634784025</v>
      </c>
      <c r="AB1130" s="34">
        <f t="shared" si="976"/>
        <v>0</v>
      </c>
      <c r="AC1130" s="34">
        <f t="shared" si="977"/>
        <v>0</v>
      </c>
      <c r="AD1130" s="34">
        <f t="shared" si="978"/>
        <v>0</v>
      </c>
      <c r="AE1130" s="34">
        <f t="shared" si="979"/>
        <v>0</v>
      </c>
      <c r="AF1130" s="34">
        <f t="shared" si="980"/>
        <v>0</v>
      </c>
      <c r="AG1130" s="29">
        <f t="shared" si="981"/>
        <v>1262331.4634784025</v>
      </c>
      <c r="AH1130" s="34">
        <f t="shared" si="982"/>
        <v>0</v>
      </c>
      <c r="AI1130" s="34">
        <f t="shared" si="983"/>
        <v>0</v>
      </c>
      <c r="AJ1130" s="34">
        <f t="shared" si="984"/>
        <v>0</v>
      </c>
      <c r="AK1130" s="34">
        <f t="shared" si="985"/>
        <v>0</v>
      </c>
      <c r="AL1130" s="34">
        <f t="shared" si="986"/>
        <v>0</v>
      </c>
      <c r="AM1130" s="34">
        <f t="shared" si="987"/>
        <v>0</v>
      </c>
      <c r="AN1130" s="34">
        <f t="shared" si="988"/>
        <v>0</v>
      </c>
      <c r="AO1130" s="34">
        <f t="shared" si="989"/>
        <v>0</v>
      </c>
      <c r="AP1130" s="34">
        <f t="shared" si="990"/>
        <v>0</v>
      </c>
      <c r="AQ1130" s="34">
        <f t="shared" si="991"/>
        <v>0</v>
      </c>
      <c r="AR1130" s="34">
        <f t="shared" si="992"/>
        <v>0</v>
      </c>
      <c r="AS1130" s="30">
        <f t="shared" si="993"/>
        <v>2.5438348138888811</v>
      </c>
      <c r="AT1130" s="29">
        <f t="shared" si="994"/>
        <v>0</v>
      </c>
      <c r="AU1130" s="29">
        <f t="shared" si="995"/>
        <v>0</v>
      </c>
      <c r="AV1130" s="34">
        <f t="shared" si="996"/>
        <v>0</v>
      </c>
      <c r="AW1130" s="34">
        <f t="shared" si="997"/>
        <v>0</v>
      </c>
      <c r="AX1130" s="29">
        <f t="shared" si="998"/>
        <v>0</v>
      </c>
      <c r="AY1130" s="34">
        <f t="shared" si="999"/>
        <v>0</v>
      </c>
      <c r="AZ1130" s="37">
        <f t="shared" si="1000"/>
        <v>0</v>
      </c>
      <c r="BA1130" s="37">
        <f t="shared" si="1001"/>
        <v>0</v>
      </c>
      <c r="BB1130" s="35">
        <f t="shared" si="1002"/>
        <v>1.947340609369963E-3</v>
      </c>
      <c r="BC1130" s="31">
        <f t="shared" si="1003"/>
        <v>0.11185260272565616</v>
      </c>
      <c r="BD1130" s="34">
        <f t="shared" si="1004"/>
        <v>0</v>
      </c>
    </row>
    <row r="1131" spans="1:56" x14ac:dyDescent="0.2">
      <c r="A1131" s="27">
        <f t="shared" si="1005"/>
        <v>1127</v>
      </c>
      <c r="B1131" s="28">
        <f t="shared" si="952"/>
        <v>1127</v>
      </c>
      <c r="C1131" s="27">
        <f t="shared" si="953"/>
        <v>93</v>
      </c>
      <c r="D1131" s="28">
        <f t="shared" si="954"/>
        <v>113</v>
      </c>
      <c r="E1131" s="29">
        <f t="shared" si="955"/>
        <v>0</v>
      </c>
      <c r="F1131" s="30">
        <f t="shared" si="956"/>
        <v>1</v>
      </c>
      <c r="G1131" s="31">
        <f t="shared" si="957"/>
        <v>1</v>
      </c>
      <c r="H1131" s="32">
        <f t="shared" si="958"/>
        <v>0.02</v>
      </c>
      <c r="I1131" s="32">
        <f t="shared" si="959"/>
        <v>0</v>
      </c>
      <c r="J1131" s="33">
        <f t="shared" si="1006"/>
        <v>0</v>
      </c>
      <c r="K1131" s="30">
        <f t="shared" si="960"/>
        <v>0</v>
      </c>
      <c r="L1131" s="33">
        <f t="shared" si="961"/>
        <v>0</v>
      </c>
      <c r="M1131" s="30">
        <f t="shared" si="962"/>
        <v>0</v>
      </c>
      <c r="N1131" s="33">
        <f t="shared" si="963"/>
        <v>0</v>
      </c>
      <c r="O1131" s="31">
        <f t="shared" si="964"/>
        <v>0</v>
      </c>
      <c r="P1131" s="33">
        <f t="shared" si="965"/>
        <v>0</v>
      </c>
      <c r="Q1131" s="34">
        <f t="shared" si="1007"/>
        <v>1263022.7757790808</v>
      </c>
      <c r="R1131" s="29">
        <f t="shared" si="966"/>
        <v>0</v>
      </c>
      <c r="S1131" s="34">
        <f t="shared" si="967"/>
        <v>1263022.7757790808</v>
      </c>
      <c r="T1131" s="29">
        <f t="shared" si="968"/>
        <v>1052.5189798159008</v>
      </c>
      <c r="U1131" s="29">
        <f t="shared" si="969"/>
        <v>0</v>
      </c>
      <c r="V1131" s="35">
        <f t="shared" si="970"/>
        <v>1.1000000000000001</v>
      </c>
      <c r="W1131" s="34">
        <f t="shared" si="971"/>
        <v>0</v>
      </c>
      <c r="X1131" s="34">
        <f t="shared" si="972"/>
        <v>1261970.2567992648</v>
      </c>
      <c r="Y1131" s="36">
        <f t="shared" si="973"/>
        <v>3.9004969763563047E-3</v>
      </c>
      <c r="Z1131" s="34">
        <f t="shared" si="974"/>
        <v>4922.3111708971219</v>
      </c>
      <c r="AA1131" s="34">
        <f t="shared" si="975"/>
        <v>1264431.4123847133</v>
      </c>
      <c r="AB1131" s="34">
        <f t="shared" si="976"/>
        <v>0</v>
      </c>
      <c r="AC1131" s="34">
        <f t="shared" si="977"/>
        <v>0</v>
      </c>
      <c r="AD1131" s="34">
        <f t="shared" si="978"/>
        <v>0</v>
      </c>
      <c r="AE1131" s="34">
        <f t="shared" si="979"/>
        <v>0</v>
      </c>
      <c r="AF1131" s="34">
        <f t="shared" si="980"/>
        <v>0</v>
      </c>
      <c r="AG1131" s="29">
        <f t="shared" si="981"/>
        <v>1264431.4123847133</v>
      </c>
      <c r="AH1131" s="34">
        <f t="shared" si="982"/>
        <v>0</v>
      </c>
      <c r="AI1131" s="34">
        <f t="shared" si="983"/>
        <v>0</v>
      </c>
      <c r="AJ1131" s="34">
        <f t="shared" si="984"/>
        <v>0</v>
      </c>
      <c r="AK1131" s="34">
        <f t="shared" si="985"/>
        <v>0</v>
      </c>
      <c r="AL1131" s="34">
        <f t="shared" si="986"/>
        <v>0</v>
      </c>
      <c r="AM1131" s="34">
        <f t="shared" si="987"/>
        <v>0</v>
      </c>
      <c r="AN1131" s="34">
        <f t="shared" si="988"/>
        <v>0</v>
      </c>
      <c r="AO1131" s="34">
        <f t="shared" si="989"/>
        <v>0</v>
      </c>
      <c r="AP1131" s="34">
        <f t="shared" si="990"/>
        <v>0</v>
      </c>
      <c r="AQ1131" s="34">
        <f t="shared" si="991"/>
        <v>0</v>
      </c>
      <c r="AR1131" s="34">
        <f t="shared" si="992"/>
        <v>0</v>
      </c>
      <c r="AS1131" s="30">
        <f t="shared" si="993"/>
        <v>2.545945021823603</v>
      </c>
      <c r="AT1131" s="29">
        <f t="shared" si="994"/>
        <v>0</v>
      </c>
      <c r="AU1131" s="29">
        <f t="shared" si="995"/>
        <v>0</v>
      </c>
      <c r="AV1131" s="34">
        <f t="shared" si="996"/>
        <v>0</v>
      </c>
      <c r="AW1131" s="34">
        <f t="shared" si="997"/>
        <v>0</v>
      </c>
      <c r="AX1131" s="29">
        <f t="shared" si="998"/>
        <v>0</v>
      </c>
      <c r="AY1131" s="34">
        <f t="shared" si="999"/>
        <v>0</v>
      </c>
      <c r="AZ1131" s="37">
        <f t="shared" si="1000"/>
        <v>0</v>
      </c>
      <c r="BA1131" s="37">
        <f t="shared" si="1001"/>
        <v>0</v>
      </c>
      <c r="BB1131" s="35">
        <f t="shared" si="1002"/>
        <v>1.947340609369963E-3</v>
      </c>
      <c r="BC1131" s="31">
        <f t="shared" si="1003"/>
        <v>0.11163521094594551</v>
      </c>
      <c r="BD1131" s="34">
        <f t="shared" si="1004"/>
        <v>0</v>
      </c>
    </row>
    <row r="1132" spans="1:56" x14ac:dyDescent="0.2">
      <c r="A1132" s="27">
        <f t="shared" si="1005"/>
        <v>1128</v>
      </c>
      <c r="B1132" s="28">
        <f t="shared" si="952"/>
        <v>1128</v>
      </c>
      <c r="C1132" s="27">
        <f t="shared" si="953"/>
        <v>94</v>
      </c>
      <c r="D1132" s="28">
        <f t="shared" si="954"/>
        <v>114</v>
      </c>
      <c r="E1132" s="29">
        <f t="shared" si="955"/>
        <v>0</v>
      </c>
      <c r="F1132" s="30">
        <f t="shared" si="956"/>
        <v>1</v>
      </c>
      <c r="G1132" s="31">
        <f t="shared" si="957"/>
        <v>1</v>
      </c>
      <c r="H1132" s="32">
        <f t="shared" si="958"/>
        <v>0.02</v>
      </c>
      <c r="I1132" s="32">
        <f t="shared" si="959"/>
        <v>0</v>
      </c>
      <c r="J1132" s="33">
        <f t="shared" si="1006"/>
        <v>0</v>
      </c>
      <c r="K1132" s="30">
        <f t="shared" si="960"/>
        <v>0</v>
      </c>
      <c r="L1132" s="33">
        <f t="shared" si="961"/>
        <v>0</v>
      </c>
      <c r="M1132" s="30">
        <f t="shared" si="962"/>
        <v>0</v>
      </c>
      <c r="N1132" s="33">
        <f t="shared" si="963"/>
        <v>0</v>
      </c>
      <c r="O1132" s="31">
        <f t="shared" si="964"/>
        <v>0</v>
      </c>
      <c r="P1132" s="33">
        <f t="shared" si="965"/>
        <v>0</v>
      </c>
      <c r="Q1132" s="34">
        <f t="shared" si="1007"/>
        <v>1266892.567970162</v>
      </c>
      <c r="R1132" s="29">
        <f t="shared" si="966"/>
        <v>0</v>
      </c>
      <c r="S1132" s="34">
        <f t="shared" si="967"/>
        <v>1266892.567970162</v>
      </c>
      <c r="T1132" s="29">
        <f t="shared" si="968"/>
        <v>1055.7438066418017</v>
      </c>
      <c r="U1132" s="29">
        <f t="shared" si="969"/>
        <v>0</v>
      </c>
      <c r="V1132" s="35">
        <f t="shared" si="970"/>
        <v>1.1000000000000001</v>
      </c>
      <c r="W1132" s="34">
        <f t="shared" si="971"/>
        <v>0</v>
      </c>
      <c r="X1132" s="34">
        <f t="shared" si="972"/>
        <v>1265836.8241635202</v>
      </c>
      <c r="Y1132" s="36">
        <f t="shared" si="973"/>
        <v>-3.0178224820809341E-3</v>
      </c>
      <c r="Z1132" s="34">
        <f t="shared" si="974"/>
        <v>-3820.0708266066017</v>
      </c>
      <c r="AA1132" s="34">
        <f t="shared" si="975"/>
        <v>1263926.7887502168</v>
      </c>
      <c r="AB1132" s="34">
        <f t="shared" si="976"/>
        <v>0</v>
      </c>
      <c r="AC1132" s="34">
        <f t="shared" si="977"/>
        <v>0</v>
      </c>
      <c r="AD1132" s="34">
        <f t="shared" si="978"/>
        <v>0</v>
      </c>
      <c r="AE1132" s="34">
        <f t="shared" si="979"/>
        <v>0</v>
      </c>
      <c r="AF1132" s="34">
        <f t="shared" si="980"/>
        <v>0</v>
      </c>
      <c r="AG1132" s="29">
        <f t="shared" si="981"/>
        <v>1263926.7887502168</v>
      </c>
      <c r="AH1132" s="34">
        <f t="shared" si="982"/>
        <v>0</v>
      </c>
      <c r="AI1132" s="34">
        <f t="shared" si="983"/>
        <v>0</v>
      </c>
      <c r="AJ1132" s="34">
        <f t="shared" si="984"/>
        <v>0</v>
      </c>
      <c r="AK1132" s="34">
        <f t="shared" si="985"/>
        <v>0</v>
      </c>
      <c r="AL1132" s="34">
        <f t="shared" si="986"/>
        <v>0</v>
      </c>
      <c r="AM1132" s="34">
        <f t="shared" si="987"/>
        <v>0</v>
      </c>
      <c r="AN1132" s="34">
        <f t="shared" si="988"/>
        <v>0</v>
      </c>
      <c r="AO1132" s="34">
        <f t="shared" si="989"/>
        <v>0</v>
      </c>
      <c r="AP1132" s="34">
        <f t="shared" si="990"/>
        <v>0</v>
      </c>
      <c r="AQ1132" s="34">
        <f t="shared" si="991"/>
        <v>0</v>
      </c>
      <c r="AR1132" s="34">
        <f t="shared" si="992"/>
        <v>0</v>
      </c>
      <c r="AS1132" s="30">
        <f t="shared" si="993"/>
        <v>2.5480569802562365</v>
      </c>
      <c r="AT1132" s="29">
        <f t="shared" si="994"/>
        <v>0</v>
      </c>
      <c r="AU1132" s="29">
        <f t="shared" si="995"/>
        <v>0</v>
      </c>
      <c r="AV1132" s="34">
        <f t="shared" si="996"/>
        <v>0</v>
      </c>
      <c r="AW1132" s="34">
        <f t="shared" si="997"/>
        <v>0</v>
      </c>
      <c r="AX1132" s="29">
        <f t="shared" si="998"/>
        <v>0</v>
      </c>
      <c r="AY1132" s="34">
        <f t="shared" si="999"/>
        <v>0</v>
      </c>
      <c r="AZ1132" s="37">
        <f t="shared" si="1000"/>
        <v>0</v>
      </c>
      <c r="BA1132" s="37">
        <f t="shared" si="1001"/>
        <v>0</v>
      </c>
      <c r="BB1132" s="35">
        <f t="shared" si="1002"/>
        <v>1.9628373921214415E-3</v>
      </c>
      <c r="BC1132" s="31">
        <f t="shared" si="1003"/>
        <v>0.10949126796927483</v>
      </c>
      <c r="BD1132" s="34">
        <f t="shared" si="1004"/>
        <v>0</v>
      </c>
    </row>
    <row r="1133" spans="1:56" x14ac:dyDescent="0.2">
      <c r="A1133" s="27">
        <f t="shared" si="1005"/>
        <v>1129</v>
      </c>
      <c r="B1133" s="28">
        <f t="shared" si="952"/>
        <v>1129</v>
      </c>
      <c r="C1133" s="27">
        <f t="shared" si="953"/>
        <v>94</v>
      </c>
      <c r="D1133" s="28">
        <f t="shared" si="954"/>
        <v>114</v>
      </c>
      <c r="E1133" s="29">
        <f t="shared" si="955"/>
        <v>0</v>
      </c>
      <c r="F1133" s="30">
        <f t="shared" si="956"/>
        <v>1</v>
      </c>
      <c r="G1133" s="31">
        <f t="shared" si="957"/>
        <v>1</v>
      </c>
      <c r="H1133" s="32">
        <f t="shared" si="958"/>
        <v>0.02</v>
      </c>
      <c r="I1133" s="32">
        <f t="shared" si="959"/>
        <v>0</v>
      </c>
      <c r="J1133" s="33">
        <f t="shared" si="1006"/>
        <v>0</v>
      </c>
      <c r="K1133" s="30">
        <f t="shared" si="960"/>
        <v>0</v>
      </c>
      <c r="L1133" s="33">
        <f t="shared" si="961"/>
        <v>0</v>
      </c>
      <c r="M1133" s="30">
        <f t="shared" si="962"/>
        <v>0</v>
      </c>
      <c r="N1133" s="33">
        <f t="shared" si="963"/>
        <v>0</v>
      </c>
      <c r="O1133" s="31">
        <f t="shared" si="964"/>
        <v>0</v>
      </c>
      <c r="P1133" s="33">
        <f t="shared" si="965"/>
        <v>0</v>
      </c>
      <c r="Q1133" s="34">
        <f t="shared" si="1007"/>
        <v>1262016.7533369137</v>
      </c>
      <c r="R1133" s="29">
        <f t="shared" si="966"/>
        <v>0</v>
      </c>
      <c r="S1133" s="34">
        <f t="shared" si="967"/>
        <v>1262016.7533369137</v>
      </c>
      <c r="T1133" s="29">
        <f t="shared" si="968"/>
        <v>1051.6806277807614</v>
      </c>
      <c r="U1133" s="29">
        <f t="shared" si="969"/>
        <v>0</v>
      </c>
      <c r="V1133" s="35">
        <f t="shared" si="970"/>
        <v>1.1000000000000001</v>
      </c>
      <c r="W1133" s="34">
        <f t="shared" si="971"/>
        <v>0</v>
      </c>
      <c r="X1133" s="34">
        <f t="shared" si="972"/>
        <v>1260965.0727091329</v>
      </c>
      <c r="Y1133" s="36">
        <f t="shared" si="973"/>
        <v>9.5847583636139433E-3</v>
      </c>
      <c r="Z1133" s="34">
        <f t="shared" si="974"/>
        <v>12086.045526873926</v>
      </c>
      <c r="AA1133" s="34">
        <f t="shared" si="975"/>
        <v>1267008.0954725698</v>
      </c>
      <c r="AB1133" s="34">
        <f t="shared" si="976"/>
        <v>0</v>
      </c>
      <c r="AC1133" s="34">
        <f t="shared" si="977"/>
        <v>0</v>
      </c>
      <c r="AD1133" s="34">
        <f t="shared" si="978"/>
        <v>0</v>
      </c>
      <c r="AE1133" s="34">
        <f t="shared" si="979"/>
        <v>0</v>
      </c>
      <c r="AF1133" s="34">
        <f t="shared" si="980"/>
        <v>0</v>
      </c>
      <c r="AG1133" s="29">
        <f t="shared" si="981"/>
        <v>1267008.0954725698</v>
      </c>
      <c r="AH1133" s="34">
        <f t="shared" si="982"/>
        <v>0</v>
      </c>
      <c r="AI1133" s="34">
        <f t="shared" si="983"/>
        <v>0</v>
      </c>
      <c r="AJ1133" s="34">
        <f t="shared" si="984"/>
        <v>0</v>
      </c>
      <c r="AK1133" s="34">
        <f t="shared" si="985"/>
        <v>0</v>
      </c>
      <c r="AL1133" s="34">
        <f t="shared" si="986"/>
        <v>0</v>
      </c>
      <c r="AM1133" s="34">
        <f t="shared" si="987"/>
        <v>0</v>
      </c>
      <c r="AN1133" s="34">
        <f t="shared" si="988"/>
        <v>0</v>
      </c>
      <c r="AO1133" s="34">
        <f t="shared" si="989"/>
        <v>0</v>
      </c>
      <c r="AP1133" s="34">
        <f t="shared" si="990"/>
        <v>0</v>
      </c>
      <c r="AQ1133" s="34">
        <f t="shared" si="991"/>
        <v>0</v>
      </c>
      <c r="AR1133" s="34">
        <f t="shared" si="992"/>
        <v>0</v>
      </c>
      <c r="AS1133" s="30">
        <f t="shared" si="993"/>
        <v>2.5501706906388839</v>
      </c>
      <c r="AT1133" s="29">
        <f t="shared" si="994"/>
        <v>0</v>
      </c>
      <c r="AU1133" s="29">
        <f t="shared" si="995"/>
        <v>0</v>
      </c>
      <c r="AV1133" s="34">
        <f t="shared" si="996"/>
        <v>0</v>
      </c>
      <c r="AW1133" s="34">
        <f t="shared" si="997"/>
        <v>0</v>
      </c>
      <c r="AX1133" s="29">
        <f t="shared" si="998"/>
        <v>0</v>
      </c>
      <c r="AY1133" s="34">
        <f t="shared" si="999"/>
        <v>0</v>
      </c>
      <c r="AZ1133" s="37">
        <f t="shared" si="1000"/>
        <v>0</v>
      </c>
      <c r="BA1133" s="37">
        <f t="shared" si="1001"/>
        <v>0</v>
      </c>
      <c r="BB1133" s="35">
        <f t="shared" si="1002"/>
        <v>1.9628373921214415E-3</v>
      </c>
      <c r="BC1133" s="31">
        <f t="shared" si="1003"/>
        <v>0.10927677542837357</v>
      </c>
      <c r="BD1133" s="34">
        <f t="shared" si="1004"/>
        <v>0</v>
      </c>
    </row>
    <row r="1134" spans="1:56" x14ac:dyDescent="0.2">
      <c r="A1134" s="27">
        <f t="shared" si="1005"/>
        <v>1130</v>
      </c>
      <c r="B1134" s="28">
        <f t="shared" si="952"/>
        <v>1130</v>
      </c>
      <c r="C1134" s="27">
        <f t="shared" si="953"/>
        <v>94</v>
      </c>
      <c r="D1134" s="28">
        <f t="shared" si="954"/>
        <v>114</v>
      </c>
      <c r="E1134" s="29">
        <f t="shared" si="955"/>
        <v>0</v>
      </c>
      <c r="F1134" s="30">
        <f t="shared" si="956"/>
        <v>1</v>
      </c>
      <c r="G1134" s="31">
        <f t="shared" si="957"/>
        <v>1</v>
      </c>
      <c r="H1134" s="32">
        <f t="shared" si="958"/>
        <v>0.02</v>
      </c>
      <c r="I1134" s="32">
        <f t="shared" si="959"/>
        <v>0</v>
      </c>
      <c r="J1134" s="33">
        <f t="shared" si="1006"/>
        <v>0</v>
      </c>
      <c r="K1134" s="30">
        <f t="shared" si="960"/>
        <v>0</v>
      </c>
      <c r="L1134" s="33">
        <f t="shared" si="961"/>
        <v>0</v>
      </c>
      <c r="M1134" s="30">
        <f t="shared" si="962"/>
        <v>0</v>
      </c>
      <c r="N1134" s="33">
        <f t="shared" si="963"/>
        <v>0</v>
      </c>
      <c r="O1134" s="31">
        <f t="shared" si="964"/>
        <v>0</v>
      </c>
      <c r="P1134" s="33">
        <f t="shared" si="965"/>
        <v>0</v>
      </c>
      <c r="Q1134" s="34">
        <f t="shared" si="1007"/>
        <v>1273051.1182360069</v>
      </c>
      <c r="R1134" s="29">
        <f t="shared" si="966"/>
        <v>0</v>
      </c>
      <c r="S1134" s="34">
        <f t="shared" si="967"/>
        <v>1273051.1182360069</v>
      </c>
      <c r="T1134" s="29">
        <f t="shared" si="968"/>
        <v>1060.8759318633392</v>
      </c>
      <c r="U1134" s="29">
        <f t="shared" si="969"/>
        <v>0</v>
      </c>
      <c r="V1134" s="35">
        <f t="shared" si="970"/>
        <v>1.1000000000000001</v>
      </c>
      <c r="W1134" s="34">
        <f t="shared" si="971"/>
        <v>0</v>
      </c>
      <c r="X1134" s="34">
        <f t="shared" si="972"/>
        <v>1271990.2423041435</v>
      </c>
      <c r="Y1134" s="36">
        <f t="shared" si="973"/>
        <v>1.4281182715293106E-2</v>
      </c>
      <c r="Z1134" s="34">
        <f t="shared" si="974"/>
        <v>18165.525062415425</v>
      </c>
      <c r="AA1134" s="34">
        <f t="shared" si="975"/>
        <v>1281073.0048353511</v>
      </c>
      <c r="AB1134" s="34">
        <f t="shared" si="976"/>
        <v>0</v>
      </c>
      <c r="AC1134" s="34">
        <f t="shared" si="977"/>
        <v>0</v>
      </c>
      <c r="AD1134" s="34">
        <f t="shared" si="978"/>
        <v>0</v>
      </c>
      <c r="AE1134" s="34">
        <f t="shared" si="979"/>
        <v>0</v>
      </c>
      <c r="AF1134" s="34">
        <f t="shared" si="980"/>
        <v>0</v>
      </c>
      <c r="AG1134" s="29">
        <f t="shared" si="981"/>
        <v>1281073.0048353511</v>
      </c>
      <c r="AH1134" s="34">
        <f t="shared" si="982"/>
        <v>0</v>
      </c>
      <c r="AI1134" s="34">
        <f t="shared" si="983"/>
        <v>0</v>
      </c>
      <c r="AJ1134" s="34">
        <f t="shared" si="984"/>
        <v>0</v>
      </c>
      <c r="AK1134" s="34">
        <f t="shared" si="985"/>
        <v>0</v>
      </c>
      <c r="AL1134" s="34">
        <f t="shared" si="986"/>
        <v>0</v>
      </c>
      <c r="AM1134" s="34">
        <f t="shared" si="987"/>
        <v>0</v>
      </c>
      <c r="AN1134" s="34">
        <f t="shared" si="988"/>
        <v>0</v>
      </c>
      <c r="AO1134" s="34">
        <f t="shared" si="989"/>
        <v>0</v>
      </c>
      <c r="AP1134" s="34">
        <f t="shared" si="990"/>
        <v>0</v>
      </c>
      <c r="AQ1134" s="34">
        <f t="shared" si="991"/>
        <v>0</v>
      </c>
      <c r="AR1134" s="34">
        <f t="shared" si="992"/>
        <v>0</v>
      </c>
      <c r="AS1134" s="30">
        <f t="shared" si="993"/>
        <v>2.5522861544248578</v>
      </c>
      <c r="AT1134" s="29">
        <f t="shared" si="994"/>
        <v>0</v>
      </c>
      <c r="AU1134" s="29">
        <f t="shared" si="995"/>
        <v>0</v>
      </c>
      <c r="AV1134" s="34">
        <f t="shared" si="996"/>
        <v>0</v>
      </c>
      <c r="AW1134" s="34">
        <f t="shared" si="997"/>
        <v>0</v>
      </c>
      <c r="AX1134" s="29">
        <f t="shared" si="998"/>
        <v>0</v>
      </c>
      <c r="AY1134" s="34">
        <f t="shared" si="999"/>
        <v>0</v>
      </c>
      <c r="AZ1134" s="37">
        <f t="shared" si="1000"/>
        <v>0</v>
      </c>
      <c r="BA1134" s="37">
        <f t="shared" si="1001"/>
        <v>0</v>
      </c>
      <c r="BB1134" s="35">
        <f t="shared" si="1002"/>
        <v>1.9628373921214415E-3</v>
      </c>
      <c r="BC1134" s="31">
        <f t="shared" si="1003"/>
        <v>0.10906270307668881</v>
      </c>
      <c r="BD1134" s="34">
        <f t="shared" si="1004"/>
        <v>0</v>
      </c>
    </row>
    <row r="1135" spans="1:56" x14ac:dyDescent="0.2">
      <c r="A1135" s="27">
        <f t="shared" si="1005"/>
        <v>1131</v>
      </c>
      <c r="B1135" s="28">
        <f t="shared" si="952"/>
        <v>1131</v>
      </c>
      <c r="C1135" s="27">
        <f t="shared" si="953"/>
        <v>94</v>
      </c>
      <c r="D1135" s="28">
        <f t="shared" si="954"/>
        <v>114</v>
      </c>
      <c r="E1135" s="29">
        <f t="shared" si="955"/>
        <v>0</v>
      </c>
      <c r="F1135" s="30">
        <f t="shared" si="956"/>
        <v>1</v>
      </c>
      <c r="G1135" s="31">
        <f t="shared" si="957"/>
        <v>1</v>
      </c>
      <c r="H1135" s="32">
        <f t="shared" si="958"/>
        <v>0.02</v>
      </c>
      <c r="I1135" s="32">
        <f t="shared" si="959"/>
        <v>0</v>
      </c>
      <c r="J1135" s="33">
        <f t="shared" si="1006"/>
        <v>0</v>
      </c>
      <c r="K1135" s="30">
        <f t="shared" si="960"/>
        <v>0</v>
      </c>
      <c r="L1135" s="33">
        <f t="shared" si="961"/>
        <v>0</v>
      </c>
      <c r="M1135" s="30">
        <f t="shared" si="962"/>
        <v>0</v>
      </c>
      <c r="N1135" s="33">
        <f t="shared" si="963"/>
        <v>0</v>
      </c>
      <c r="O1135" s="31">
        <f t="shared" si="964"/>
        <v>0</v>
      </c>
      <c r="P1135" s="33">
        <f t="shared" si="965"/>
        <v>0</v>
      </c>
      <c r="Q1135" s="34">
        <f t="shared" si="1007"/>
        <v>1290155.767366559</v>
      </c>
      <c r="R1135" s="29">
        <f t="shared" si="966"/>
        <v>0</v>
      </c>
      <c r="S1135" s="34">
        <f t="shared" si="967"/>
        <v>1290155.767366559</v>
      </c>
      <c r="T1135" s="29">
        <f t="shared" si="968"/>
        <v>1075.1298061387993</v>
      </c>
      <c r="U1135" s="29">
        <f t="shared" si="969"/>
        <v>0</v>
      </c>
      <c r="V1135" s="35">
        <f t="shared" si="970"/>
        <v>1.1000000000000001</v>
      </c>
      <c r="W1135" s="34">
        <f t="shared" si="971"/>
        <v>0</v>
      </c>
      <c r="X1135" s="34">
        <f t="shared" si="972"/>
        <v>1289080.6375604202</v>
      </c>
      <c r="Y1135" s="36">
        <f t="shared" si="973"/>
        <v>-8.1463182225551822E-3</v>
      </c>
      <c r="Z1135" s="34">
        <f t="shared" si="974"/>
        <v>-10501.261088101503</v>
      </c>
      <c r="AA1135" s="34">
        <f t="shared" si="975"/>
        <v>1283830.0070163694</v>
      </c>
      <c r="AB1135" s="34">
        <f t="shared" si="976"/>
        <v>0</v>
      </c>
      <c r="AC1135" s="34">
        <f t="shared" si="977"/>
        <v>0</v>
      </c>
      <c r="AD1135" s="34">
        <f t="shared" si="978"/>
        <v>0</v>
      </c>
      <c r="AE1135" s="34">
        <f t="shared" si="979"/>
        <v>0</v>
      </c>
      <c r="AF1135" s="34">
        <f t="shared" si="980"/>
        <v>0</v>
      </c>
      <c r="AG1135" s="29">
        <f t="shared" si="981"/>
        <v>1283830.0070163694</v>
      </c>
      <c r="AH1135" s="34">
        <f t="shared" si="982"/>
        <v>0</v>
      </c>
      <c r="AI1135" s="34">
        <f t="shared" si="983"/>
        <v>0</v>
      </c>
      <c r="AJ1135" s="34">
        <f t="shared" si="984"/>
        <v>0</v>
      </c>
      <c r="AK1135" s="34">
        <f t="shared" si="985"/>
        <v>0</v>
      </c>
      <c r="AL1135" s="34">
        <f t="shared" si="986"/>
        <v>0</v>
      </c>
      <c r="AM1135" s="34">
        <f t="shared" si="987"/>
        <v>0</v>
      </c>
      <c r="AN1135" s="34">
        <f t="shared" si="988"/>
        <v>0</v>
      </c>
      <c r="AO1135" s="34">
        <f t="shared" si="989"/>
        <v>0</v>
      </c>
      <c r="AP1135" s="34">
        <f t="shared" si="990"/>
        <v>0</v>
      </c>
      <c r="AQ1135" s="34">
        <f t="shared" si="991"/>
        <v>0</v>
      </c>
      <c r="AR1135" s="34">
        <f t="shared" si="992"/>
        <v>0</v>
      </c>
      <c r="AS1135" s="30">
        <f t="shared" si="993"/>
        <v>2.5544033730686713</v>
      </c>
      <c r="AT1135" s="29">
        <f t="shared" si="994"/>
        <v>0</v>
      </c>
      <c r="AU1135" s="29">
        <f t="shared" si="995"/>
        <v>0</v>
      </c>
      <c r="AV1135" s="34">
        <f t="shared" si="996"/>
        <v>0</v>
      </c>
      <c r="AW1135" s="34">
        <f t="shared" si="997"/>
        <v>0</v>
      </c>
      <c r="AX1135" s="29">
        <f t="shared" si="998"/>
        <v>0</v>
      </c>
      <c r="AY1135" s="34">
        <f t="shared" si="999"/>
        <v>0</v>
      </c>
      <c r="AZ1135" s="37">
        <f t="shared" si="1000"/>
        <v>0</v>
      </c>
      <c r="BA1135" s="37">
        <f t="shared" si="1001"/>
        <v>0</v>
      </c>
      <c r="BB1135" s="35">
        <f t="shared" si="1002"/>
        <v>1.9628373921214415E-3</v>
      </c>
      <c r="BC1135" s="31">
        <f t="shared" si="1003"/>
        <v>0.10884905009107314</v>
      </c>
      <c r="BD1135" s="34">
        <f t="shared" si="1004"/>
        <v>0</v>
      </c>
    </row>
    <row r="1136" spans="1:56" x14ac:dyDescent="0.2">
      <c r="A1136" s="27">
        <f t="shared" si="1005"/>
        <v>1132</v>
      </c>
      <c r="B1136" s="28">
        <f t="shared" si="952"/>
        <v>1132</v>
      </c>
      <c r="C1136" s="27">
        <f t="shared" si="953"/>
        <v>94</v>
      </c>
      <c r="D1136" s="28">
        <f t="shared" si="954"/>
        <v>114</v>
      </c>
      <c r="E1136" s="29">
        <f t="shared" si="955"/>
        <v>0</v>
      </c>
      <c r="F1136" s="30">
        <f t="shared" si="956"/>
        <v>1</v>
      </c>
      <c r="G1136" s="31">
        <f t="shared" si="957"/>
        <v>1</v>
      </c>
      <c r="H1136" s="32">
        <f t="shared" si="958"/>
        <v>0.02</v>
      </c>
      <c r="I1136" s="32">
        <f t="shared" si="959"/>
        <v>0</v>
      </c>
      <c r="J1136" s="33">
        <f t="shared" si="1006"/>
        <v>0</v>
      </c>
      <c r="K1136" s="30">
        <f t="shared" si="960"/>
        <v>0</v>
      </c>
      <c r="L1136" s="33">
        <f t="shared" si="961"/>
        <v>0</v>
      </c>
      <c r="M1136" s="30">
        <f t="shared" si="962"/>
        <v>0</v>
      </c>
      <c r="N1136" s="33">
        <f t="shared" si="963"/>
        <v>0</v>
      </c>
      <c r="O1136" s="31">
        <f t="shared" si="964"/>
        <v>0</v>
      </c>
      <c r="P1136" s="33">
        <f t="shared" si="965"/>
        <v>0</v>
      </c>
      <c r="Q1136" s="34">
        <f t="shared" si="1007"/>
        <v>1278579.3764723188</v>
      </c>
      <c r="R1136" s="29">
        <f t="shared" si="966"/>
        <v>0</v>
      </c>
      <c r="S1136" s="34">
        <f t="shared" si="967"/>
        <v>1278579.3764723188</v>
      </c>
      <c r="T1136" s="29">
        <f t="shared" si="968"/>
        <v>1065.4828137269324</v>
      </c>
      <c r="U1136" s="29">
        <f t="shared" si="969"/>
        <v>0</v>
      </c>
      <c r="V1136" s="35">
        <f t="shared" si="970"/>
        <v>1.1000000000000001</v>
      </c>
      <c r="W1136" s="34">
        <f t="shared" si="971"/>
        <v>0</v>
      </c>
      <c r="X1136" s="34">
        <f t="shared" si="972"/>
        <v>1277513.8936585919</v>
      </c>
      <c r="Y1136" s="36">
        <f t="shared" si="973"/>
        <v>1.4056058775173685E-3</v>
      </c>
      <c r="Z1136" s="34">
        <f t="shared" si="974"/>
        <v>1795.6810375366153</v>
      </c>
      <c r="AA1136" s="34">
        <f t="shared" si="975"/>
        <v>1278411.7341773603</v>
      </c>
      <c r="AB1136" s="34">
        <f t="shared" si="976"/>
        <v>0</v>
      </c>
      <c r="AC1136" s="34">
        <f t="shared" si="977"/>
        <v>0</v>
      </c>
      <c r="AD1136" s="34">
        <f t="shared" si="978"/>
        <v>0</v>
      </c>
      <c r="AE1136" s="34">
        <f t="shared" si="979"/>
        <v>0</v>
      </c>
      <c r="AF1136" s="34">
        <f t="shared" si="980"/>
        <v>0</v>
      </c>
      <c r="AG1136" s="29">
        <f t="shared" si="981"/>
        <v>1278411.7341773603</v>
      </c>
      <c r="AH1136" s="34">
        <f t="shared" si="982"/>
        <v>0</v>
      </c>
      <c r="AI1136" s="34">
        <f t="shared" si="983"/>
        <v>0</v>
      </c>
      <c r="AJ1136" s="34">
        <f t="shared" si="984"/>
        <v>0</v>
      </c>
      <c r="AK1136" s="34">
        <f t="shared" si="985"/>
        <v>0</v>
      </c>
      <c r="AL1136" s="34">
        <f t="shared" si="986"/>
        <v>0</v>
      </c>
      <c r="AM1136" s="34">
        <f t="shared" si="987"/>
        <v>0</v>
      </c>
      <c r="AN1136" s="34">
        <f t="shared" si="988"/>
        <v>0</v>
      </c>
      <c r="AO1136" s="34">
        <f t="shared" si="989"/>
        <v>0</v>
      </c>
      <c r="AP1136" s="34">
        <f t="shared" si="990"/>
        <v>0</v>
      </c>
      <c r="AQ1136" s="34">
        <f t="shared" si="991"/>
        <v>0</v>
      </c>
      <c r="AR1136" s="34">
        <f t="shared" si="992"/>
        <v>0</v>
      </c>
      <c r="AS1136" s="30">
        <f t="shared" si="993"/>
        <v>2.5565223480260464</v>
      </c>
      <c r="AT1136" s="29">
        <f t="shared" si="994"/>
        <v>0</v>
      </c>
      <c r="AU1136" s="29">
        <f t="shared" si="995"/>
        <v>0</v>
      </c>
      <c r="AV1136" s="34">
        <f t="shared" si="996"/>
        <v>0</v>
      </c>
      <c r="AW1136" s="34">
        <f t="shared" si="997"/>
        <v>0</v>
      </c>
      <c r="AX1136" s="29">
        <f t="shared" si="998"/>
        <v>0</v>
      </c>
      <c r="AY1136" s="34">
        <f t="shared" si="999"/>
        <v>0</v>
      </c>
      <c r="AZ1136" s="37">
        <f t="shared" si="1000"/>
        <v>0</v>
      </c>
      <c r="BA1136" s="37">
        <f t="shared" si="1001"/>
        <v>0</v>
      </c>
      <c r="BB1136" s="35">
        <f t="shared" si="1002"/>
        <v>1.9628373921214415E-3</v>
      </c>
      <c r="BC1136" s="31">
        <f t="shared" si="1003"/>
        <v>0.10863581564999177</v>
      </c>
      <c r="BD1136" s="34">
        <f t="shared" si="1004"/>
        <v>0</v>
      </c>
    </row>
    <row r="1137" spans="1:56" x14ac:dyDescent="0.2">
      <c r="A1137" s="27">
        <f t="shared" si="1005"/>
        <v>1133</v>
      </c>
      <c r="B1137" s="28">
        <f t="shared" si="952"/>
        <v>1133</v>
      </c>
      <c r="C1137" s="27">
        <f t="shared" si="953"/>
        <v>94</v>
      </c>
      <c r="D1137" s="28">
        <f t="shared" si="954"/>
        <v>114</v>
      </c>
      <c r="E1137" s="29">
        <f t="shared" si="955"/>
        <v>0</v>
      </c>
      <c r="F1137" s="30">
        <f t="shared" si="956"/>
        <v>1</v>
      </c>
      <c r="G1137" s="31">
        <f t="shared" si="957"/>
        <v>1</v>
      </c>
      <c r="H1137" s="32">
        <f t="shared" si="958"/>
        <v>0.02</v>
      </c>
      <c r="I1137" s="32">
        <f t="shared" si="959"/>
        <v>0</v>
      </c>
      <c r="J1137" s="33">
        <f t="shared" si="1006"/>
        <v>0</v>
      </c>
      <c r="K1137" s="30">
        <f t="shared" si="960"/>
        <v>0</v>
      </c>
      <c r="L1137" s="33">
        <f t="shared" si="961"/>
        <v>0</v>
      </c>
      <c r="M1137" s="30">
        <f t="shared" si="962"/>
        <v>0</v>
      </c>
      <c r="N1137" s="33">
        <f t="shared" si="963"/>
        <v>0</v>
      </c>
      <c r="O1137" s="31">
        <f t="shared" si="964"/>
        <v>0</v>
      </c>
      <c r="P1137" s="33">
        <f t="shared" si="965"/>
        <v>0</v>
      </c>
      <c r="Q1137" s="34">
        <f t="shared" si="1007"/>
        <v>1279309.5746961285</v>
      </c>
      <c r="R1137" s="29">
        <f t="shared" si="966"/>
        <v>0</v>
      </c>
      <c r="S1137" s="34">
        <f t="shared" si="967"/>
        <v>1279309.5746961285</v>
      </c>
      <c r="T1137" s="29">
        <f t="shared" si="968"/>
        <v>1066.0913122467739</v>
      </c>
      <c r="U1137" s="29">
        <f t="shared" si="969"/>
        <v>0</v>
      </c>
      <c r="V1137" s="35">
        <f t="shared" si="970"/>
        <v>1.1000000000000001</v>
      </c>
      <c r="W1137" s="34">
        <f t="shared" si="971"/>
        <v>0</v>
      </c>
      <c r="X1137" s="34">
        <f t="shared" si="972"/>
        <v>1278243.4833838816</v>
      </c>
      <c r="Y1137" s="36">
        <f t="shared" si="973"/>
        <v>-7.9413075066314676E-3</v>
      </c>
      <c r="Z1137" s="34">
        <f t="shared" si="974"/>
        <v>-10150.924569899174</v>
      </c>
      <c r="AA1137" s="34">
        <f t="shared" si="975"/>
        <v>1273168.021098932</v>
      </c>
      <c r="AB1137" s="34">
        <f t="shared" si="976"/>
        <v>0</v>
      </c>
      <c r="AC1137" s="34">
        <f t="shared" si="977"/>
        <v>0</v>
      </c>
      <c r="AD1137" s="34">
        <f t="shared" si="978"/>
        <v>0</v>
      </c>
      <c r="AE1137" s="34">
        <f t="shared" si="979"/>
        <v>0</v>
      </c>
      <c r="AF1137" s="34">
        <f t="shared" si="980"/>
        <v>0</v>
      </c>
      <c r="AG1137" s="29">
        <f t="shared" si="981"/>
        <v>1273168.021098932</v>
      </c>
      <c r="AH1137" s="34">
        <f t="shared" si="982"/>
        <v>0</v>
      </c>
      <c r="AI1137" s="34">
        <f t="shared" si="983"/>
        <v>0</v>
      </c>
      <c r="AJ1137" s="34">
        <f t="shared" si="984"/>
        <v>0</v>
      </c>
      <c r="AK1137" s="34">
        <f t="shared" si="985"/>
        <v>0</v>
      </c>
      <c r="AL1137" s="34">
        <f t="shared" si="986"/>
        <v>0</v>
      </c>
      <c r="AM1137" s="34">
        <f t="shared" si="987"/>
        <v>0</v>
      </c>
      <c r="AN1137" s="34">
        <f t="shared" si="988"/>
        <v>0</v>
      </c>
      <c r="AO1137" s="34">
        <f t="shared" si="989"/>
        <v>0</v>
      </c>
      <c r="AP1137" s="34">
        <f t="shared" si="990"/>
        <v>0</v>
      </c>
      <c r="AQ1137" s="34">
        <f t="shared" si="991"/>
        <v>0</v>
      </c>
      <c r="AR1137" s="34">
        <f t="shared" si="992"/>
        <v>0</v>
      </c>
      <c r="AS1137" s="30">
        <f t="shared" si="993"/>
        <v>2.558643080753912</v>
      </c>
      <c r="AT1137" s="29">
        <f t="shared" si="994"/>
        <v>0</v>
      </c>
      <c r="AU1137" s="29">
        <f t="shared" si="995"/>
        <v>0</v>
      </c>
      <c r="AV1137" s="34">
        <f t="shared" si="996"/>
        <v>0</v>
      </c>
      <c r="AW1137" s="34">
        <f t="shared" si="997"/>
        <v>0</v>
      </c>
      <c r="AX1137" s="29">
        <f t="shared" si="998"/>
        <v>0</v>
      </c>
      <c r="AY1137" s="34">
        <f t="shared" si="999"/>
        <v>0</v>
      </c>
      <c r="AZ1137" s="37">
        <f t="shared" si="1000"/>
        <v>0</v>
      </c>
      <c r="BA1137" s="37">
        <f t="shared" si="1001"/>
        <v>0</v>
      </c>
      <c r="BB1137" s="35">
        <f t="shared" si="1002"/>
        <v>1.9628373921214415E-3</v>
      </c>
      <c r="BC1137" s="31">
        <f t="shared" si="1003"/>
        <v>0.10842299893351907</v>
      </c>
      <c r="BD1137" s="34">
        <f t="shared" si="1004"/>
        <v>0</v>
      </c>
    </row>
    <row r="1138" spans="1:56" x14ac:dyDescent="0.2">
      <c r="A1138" s="27">
        <f t="shared" si="1005"/>
        <v>1134</v>
      </c>
      <c r="B1138" s="28">
        <f t="shared" si="952"/>
        <v>1134</v>
      </c>
      <c r="C1138" s="27">
        <f t="shared" si="953"/>
        <v>94</v>
      </c>
      <c r="D1138" s="28">
        <f t="shared" si="954"/>
        <v>114</v>
      </c>
      <c r="E1138" s="29">
        <f t="shared" si="955"/>
        <v>0</v>
      </c>
      <c r="F1138" s="30">
        <f t="shared" si="956"/>
        <v>1</v>
      </c>
      <c r="G1138" s="31">
        <f t="shared" si="957"/>
        <v>1</v>
      </c>
      <c r="H1138" s="32">
        <f t="shared" si="958"/>
        <v>0.02</v>
      </c>
      <c r="I1138" s="32">
        <f t="shared" si="959"/>
        <v>0</v>
      </c>
      <c r="J1138" s="33">
        <f t="shared" si="1006"/>
        <v>0</v>
      </c>
      <c r="K1138" s="30">
        <f t="shared" si="960"/>
        <v>0</v>
      </c>
      <c r="L1138" s="33">
        <f t="shared" si="961"/>
        <v>0</v>
      </c>
      <c r="M1138" s="30">
        <f t="shared" si="962"/>
        <v>0</v>
      </c>
      <c r="N1138" s="33">
        <f t="shared" si="963"/>
        <v>0</v>
      </c>
      <c r="O1138" s="31">
        <f t="shared" si="964"/>
        <v>0</v>
      </c>
      <c r="P1138" s="33">
        <f t="shared" si="965"/>
        <v>0</v>
      </c>
      <c r="Q1138" s="34">
        <f t="shared" si="1007"/>
        <v>1268092.5588139824</v>
      </c>
      <c r="R1138" s="29">
        <f t="shared" si="966"/>
        <v>0</v>
      </c>
      <c r="S1138" s="34">
        <f t="shared" si="967"/>
        <v>1268092.5588139824</v>
      </c>
      <c r="T1138" s="29">
        <f t="shared" si="968"/>
        <v>1056.7437990116521</v>
      </c>
      <c r="U1138" s="29">
        <f t="shared" si="969"/>
        <v>0</v>
      </c>
      <c r="V1138" s="35">
        <f t="shared" si="970"/>
        <v>1.1000000000000001</v>
      </c>
      <c r="W1138" s="34">
        <f t="shared" si="971"/>
        <v>0</v>
      </c>
      <c r="X1138" s="34">
        <f t="shared" si="972"/>
        <v>1267035.8150149707</v>
      </c>
      <c r="Y1138" s="36">
        <f t="shared" si="973"/>
        <v>-1.1003095391990403E-2</v>
      </c>
      <c r="Z1138" s="34">
        <f t="shared" si="974"/>
        <v>-13941.31593767803</v>
      </c>
      <c r="AA1138" s="34">
        <f t="shared" si="975"/>
        <v>1260065.1570461318</v>
      </c>
      <c r="AB1138" s="34">
        <f t="shared" si="976"/>
        <v>0</v>
      </c>
      <c r="AC1138" s="34">
        <f t="shared" si="977"/>
        <v>0</v>
      </c>
      <c r="AD1138" s="34">
        <f t="shared" si="978"/>
        <v>0</v>
      </c>
      <c r="AE1138" s="34">
        <f t="shared" si="979"/>
        <v>0</v>
      </c>
      <c r="AF1138" s="34">
        <f t="shared" si="980"/>
        <v>0</v>
      </c>
      <c r="AG1138" s="29">
        <f t="shared" si="981"/>
        <v>1260065.1570461318</v>
      </c>
      <c r="AH1138" s="34">
        <f t="shared" si="982"/>
        <v>0</v>
      </c>
      <c r="AI1138" s="34">
        <f t="shared" si="983"/>
        <v>0</v>
      </c>
      <c r="AJ1138" s="34">
        <f t="shared" si="984"/>
        <v>0</v>
      </c>
      <c r="AK1138" s="34">
        <f t="shared" si="985"/>
        <v>0</v>
      </c>
      <c r="AL1138" s="34">
        <f t="shared" si="986"/>
        <v>0</v>
      </c>
      <c r="AM1138" s="34">
        <f t="shared" si="987"/>
        <v>0</v>
      </c>
      <c r="AN1138" s="34">
        <f t="shared" si="988"/>
        <v>0</v>
      </c>
      <c r="AO1138" s="34">
        <f t="shared" si="989"/>
        <v>0</v>
      </c>
      <c r="AP1138" s="34">
        <f t="shared" si="990"/>
        <v>0</v>
      </c>
      <c r="AQ1138" s="34">
        <f t="shared" si="991"/>
        <v>0</v>
      </c>
      <c r="AR1138" s="34">
        <f t="shared" si="992"/>
        <v>0</v>
      </c>
      <c r="AS1138" s="30">
        <f t="shared" si="993"/>
        <v>2.5607655727104053</v>
      </c>
      <c r="AT1138" s="29">
        <f t="shared" si="994"/>
        <v>0</v>
      </c>
      <c r="AU1138" s="29">
        <f t="shared" si="995"/>
        <v>0</v>
      </c>
      <c r="AV1138" s="34">
        <f t="shared" si="996"/>
        <v>0</v>
      </c>
      <c r="AW1138" s="34">
        <f t="shared" si="997"/>
        <v>0</v>
      </c>
      <c r="AX1138" s="29">
        <f t="shared" si="998"/>
        <v>0</v>
      </c>
      <c r="AY1138" s="34">
        <f t="shared" si="999"/>
        <v>0</v>
      </c>
      <c r="AZ1138" s="37">
        <f t="shared" si="1000"/>
        <v>0</v>
      </c>
      <c r="BA1138" s="37">
        <f t="shared" si="1001"/>
        <v>0</v>
      </c>
      <c r="BB1138" s="35">
        <f t="shared" si="1002"/>
        <v>1.9628373921214415E-3</v>
      </c>
      <c r="BC1138" s="31">
        <f t="shared" si="1003"/>
        <v>0.10821059912333594</v>
      </c>
      <c r="BD1138" s="34">
        <f t="shared" si="1004"/>
        <v>0</v>
      </c>
    </row>
    <row r="1139" spans="1:56" x14ac:dyDescent="0.2">
      <c r="A1139" s="27">
        <f t="shared" si="1005"/>
        <v>1135</v>
      </c>
      <c r="B1139" s="28">
        <f t="shared" si="952"/>
        <v>1135</v>
      </c>
      <c r="C1139" s="27">
        <f t="shared" si="953"/>
        <v>94</v>
      </c>
      <c r="D1139" s="28">
        <f t="shared" si="954"/>
        <v>114</v>
      </c>
      <c r="E1139" s="29">
        <f t="shared" si="955"/>
        <v>0</v>
      </c>
      <c r="F1139" s="30">
        <f t="shared" si="956"/>
        <v>1</v>
      </c>
      <c r="G1139" s="31">
        <f t="shared" si="957"/>
        <v>1</v>
      </c>
      <c r="H1139" s="32">
        <f t="shared" si="958"/>
        <v>0.02</v>
      </c>
      <c r="I1139" s="32">
        <f t="shared" si="959"/>
        <v>0</v>
      </c>
      <c r="J1139" s="33">
        <f t="shared" si="1006"/>
        <v>0</v>
      </c>
      <c r="K1139" s="30">
        <f t="shared" si="960"/>
        <v>0</v>
      </c>
      <c r="L1139" s="33">
        <f t="shared" si="961"/>
        <v>0</v>
      </c>
      <c r="M1139" s="30">
        <f t="shared" si="962"/>
        <v>0</v>
      </c>
      <c r="N1139" s="33">
        <f t="shared" si="963"/>
        <v>0</v>
      </c>
      <c r="O1139" s="31">
        <f t="shared" si="964"/>
        <v>0</v>
      </c>
      <c r="P1139" s="33">
        <f t="shared" si="965"/>
        <v>0</v>
      </c>
      <c r="Q1139" s="34">
        <f t="shared" si="1007"/>
        <v>1253094.4990772926</v>
      </c>
      <c r="R1139" s="29">
        <f t="shared" si="966"/>
        <v>0</v>
      </c>
      <c r="S1139" s="34">
        <f t="shared" si="967"/>
        <v>1253094.4990772926</v>
      </c>
      <c r="T1139" s="29">
        <f t="shared" si="968"/>
        <v>1044.2454158977439</v>
      </c>
      <c r="U1139" s="29">
        <f t="shared" si="969"/>
        <v>0</v>
      </c>
      <c r="V1139" s="35">
        <f t="shared" si="970"/>
        <v>1.1000000000000001</v>
      </c>
      <c r="W1139" s="34">
        <f t="shared" si="971"/>
        <v>0</v>
      </c>
      <c r="X1139" s="34">
        <f t="shared" si="972"/>
        <v>1252050.2536613948</v>
      </c>
      <c r="Y1139" s="36">
        <f t="shared" si="973"/>
        <v>-3.4030160349899363E-3</v>
      </c>
      <c r="Z1139" s="34">
        <f t="shared" si="974"/>
        <v>-4260.747089822944</v>
      </c>
      <c r="AA1139" s="34">
        <f t="shared" si="975"/>
        <v>1249919.8801164834</v>
      </c>
      <c r="AB1139" s="34">
        <f t="shared" si="976"/>
        <v>0</v>
      </c>
      <c r="AC1139" s="34">
        <f t="shared" si="977"/>
        <v>0</v>
      </c>
      <c r="AD1139" s="34">
        <f t="shared" si="978"/>
        <v>0</v>
      </c>
      <c r="AE1139" s="34">
        <f t="shared" si="979"/>
        <v>0</v>
      </c>
      <c r="AF1139" s="34">
        <f t="shared" si="980"/>
        <v>0</v>
      </c>
      <c r="AG1139" s="29">
        <f t="shared" si="981"/>
        <v>1249919.8801164834</v>
      </c>
      <c r="AH1139" s="34">
        <f t="shared" si="982"/>
        <v>0</v>
      </c>
      <c r="AI1139" s="34">
        <f t="shared" si="983"/>
        <v>0</v>
      </c>
      <c r="AJ1139" s="34">
        <f t="shared" si="984"/>
        <v>0</v>
      </c>
      <c r="AK1139" s="34">
        <f t="shared" si="985"/>
        <v>0</v>
      </c>
      <c r="AL1139" s="34">
        <f t="shared" si="986"/>
        <v>0</v>
      </c>
      <c r="AM1139" s="34">
        <f t="shared" si="987"/>
        <v>0</v>
      </c>
      <c r="AN1139" s="34">
        <f t="shared" si="988"/>
        <v>0</v>
      </c>
      <c r="AO1139" s="34">
        <f t="shared" si="989"/>
        <v>0</v>
      </c>
      <c r="AP1139" s="34">
        <f t="shared" si="990"/>
        <v>0</v>
      </c>
      <c r="AQ1139" s="34">
        <f t="shared" si="991"/>
        <v>0</v>
      </c>
      <c r="AR1139" s="34">
        <f t="shared" si="992"/>
        <v>0</v>
      </c>
      <c r="AS1139" s="30">
        <f t="shared" si="993"/>
        <v>2.5628898253548744</v>
      </c>
      <c r="AT1139" s="29">
        <f t="shared" si="994"/>
        <v>0</v>
      </c>
      <c r="AU1139" s="29">
        <f t="shared" si="995"/>
        <v>0</v>
      </c>
      <c r="AV1139" s="34">
        <f t="shared" si="996"/>
        <v>0</v>
      </c>
      <c r="AW1139" s="34">
        <f t="shared" si="997"/>
        <v>0</v>
      </c>
      <c r="AX1139" s="29">
        <f t="shared" si="998"/>
        <v>0</v>
      </c>
      <c r="AY1139" s="34">
        <f t="shared" si="999"/>
        <v>0</v>
      </c>
      <c r="AZ1139" s="37">
        <f t="shared" si="1000"/>
        <v>0</v>
      </c>
      <c r="BA1139" s="37">
        <f t="shared" si="1001"/>
        <v>0</v>
      </c>
      <c r="BB1139" s="35">
        <f t="shared" si="1002"/>
        <v>1.9628373921214415E-3</v>
      </c>
      <c r="BC1139" s="31">
        <f t="shared" si="1003"/>
        <v>0.10799861540272612</v>
      </c>
      <c r="BD1139" s="34">
        <f t="shared" si="1004"/>
        <v>0</v>
      </c>
    </row>
    <row r="1140" spans="1:56" x14ac:dyDescent="0.2">
      <c r="A1140" s="27">
        <f t="shared" si="1005"/>
        <v>1136</v>
      </c>
      <c r="B1140" s="28">
        <f t="shared" si="952"/>
        <v>1136</v>
      </c>
      <c r="C1140" s="27">
        <f t="shared" si="953"/>
        <v>94</v>
      </c>
      <c r="D1140" s="28">
        <f t="shared" si="954"/>
        <v>114</v>
      </c>
      <c r="E1140" s="29">
        <f t="shared" si="955"/>
        <v>0</v>
      </c>
      <c r="F1140" s="30">
        <f t="shared" si="956"/>
        <v>1</v>
      </c>
      <c r="G1140" s="31">
        <f t="shared" si="957"/>
        <v>1</v>
      </c>
      <c r="H1140" s="32">
        <f t="shared" si="958"/>
        <v>0.02</v>
      </c>
      <c r="I1140" s="32">
        <f t="shared" si="959"/>
        <v>0</v>
      </c>
      <c r="J1140" s="33">
        <f t="shared" si="1006"/>
        <v>0</v>
      </c>
      <c r="K1140" s="30">
        <f t="shared" si="960"/>
        <v>0</v>
      </c>
      <c r="L1140" s="33">
        <f t="shared" si="961"/>
        <v>0</v>
      </c>
      <c r="M1140" s="30">
        <f t="shared" si="962"/>
        <v>0</v>
      </c>
      <c r="N1140" s="33">
        <f t="shared" si="963"/>
        <v>0</v>
      </c>
      <c r="O1140" s="31">
        <f t="shared" si="964"/>
        <v>0</v>
      </c>
      <c r="P1140" s="33">
        <f t="shared" si="965"/>
        <v>0</v>
      </c>
      <c r="Q1140" s="34">
        <f t="shared" si="1007"/>
        <v>1247789.5065715718</v>
      </c>
      <c r="R1140" s="29">
        <f t="shared" si="966"/>
        <v>0</v>
      </c>
      <c r="S1140" s="34">
        <f t="shared" si="967"/>
        <v>1247789.5065715718</v>
      </c>
      <c r="T1140" s="29">
        <f t="shared" si="968"/>
        <v>1039.8245888096433</v>
      </c>
      <c r="U1140" s="29">
        <f t="shared" si="969"/>
        <v>0</v>
      </c>
      <c r="V1140" s="35">
        <f t="shared" si="970"/>
        <v>1.1000000000000001</v>
      </c>
      <c r="W1140" s="34">
        <f t="shared" si="971"/>
        <v>0</v>
      </c>
      <c r="X1140" s="34">
        <f t="shared" si="972"/>
        <v>1246749.6819827622</v>
      </c>
      <c r="Y1140" s="36">
        <f t="shared" si="973"/>
        <v>-1.0954550912488981E-2</v>
      </c>
      <c r="Z1140" s="34">
        <f t="shared" si="974"/>
        <v>-13657.582866409613</v>
      </c>
      <c r="AA1140" s="34">
        <f t="shared" si="975"/>
        <v>1239920.8905495573</v>
      </c>
      <c r="AB1140" s="34">
        <f t="shared" si="976"/>
        <v>0</v>
      </c>
      <c r="AC1140" s="34">
        <f t="shared" si="977"/>
        <v>0</v>
      </c>
      <c r="AD1140" s="34">
        <f t="shared" si="978"/>
        <v>0</v>
      </c>
      <c r="AE1140" s="34">
        <f t="shared" si="979"/>
        <v>0</v>
      </c>
      <c r="AF1140" s="34">
        <f t="shared" si="980"/>
        <v>0</v>
      </c>
      <c r="AG1140" s="29">
        <f t="shared" si="981"/>
        <v>1239920.8905495573</v>
      </c>
      <c r="AH1140" s="34">
        <f t="shared" si="982"/>
        <v>0</v>
      </c>
      <c r="AI1140" s="34">
        <f t="shared" si="983"/>
        <v>0</v>
      </c>
      <c r="AJ1140" s="34">
        <f t="shared" si="984"/>
        <v>0</v>
      </c>
      <c r="AK1140" s="34">
        <f t="shared" si="985"/>
        <v>0</v>
      </c>
      <c r="AL1140" s="34">
        <f t="shared" si="986"/>
        <v>0</v>
      </c>
      <c r="AM1140" s="34">
        <f t="shared" si="987"/>
        <v>0</v>
      </c>
      <c r="AN1140" s="34">
        <f t="shared" si="988"/>
        <v>0</v>
      </c>
      <c r="AO1140" s="34">
        <f t="shared" si="989"/>
        <v>0</v>
      </c>
      <c r="AP1140" s="34">
        <f t="shared" si="990"/>
        <v>0</v>
      </c>
      <c r="AQ1140" s="34">
        <f t="shared" si="991"/>
        <v>0</v>
      </c>
      <c r="AR1140" s="34">
        <f t="shared" si="992"/>
        <v>0</v>
      </c>
      <c r="AS1140" s="30">
        <f t="shared" si="993"/>
        <v>2.5650158401478769</v>
      </c>
      <c r="AT1140" s="29">
        <f t="shared" si="994"/>
        <v>0</v>
      </c>
      <c r="AU1140" s="29">
        <f t="shared" si="995"/>
        <v>0</v>
      </c>
      <c r="AV1140" s="34">
        <f t="shared" si="996"/>
        <v>0</v>
      </c>
      <c r="AW1140" s="34">
        <f t="shared" si="997"/>
        <v>0</v>
      </c>
      <c r="AX1140" s="29">
        <f t="shared" si="998"/>
        <v>0</v>
      </c>
      <c r="AY1140" s="34">
        <f t="shared" si="999"/>
        <v>0</v>
      </c>
      <c r="AZ1140" s="37">
        <f t="shared" si="1000"/>
        <v>0</v>
      </c>
      <c r="BA1140" s="37">
        <f t="shared" si="1001"/>
        <v>0</v>
      </c>
      <c r="BB1140" s="35">
        <f t="shared" si="1002"/>
        <v>1.9628373921214415E-3</v>
      </c>
      <c r="BC1140" s="31">
        <f t="shared" si="1003"/>
        <v>0.10778704695657344</v>
      </c>
      <c r="BD1140" s="34">
        <f t="shared" si="1004"/>
        <v>0</v>
      </c>
    </row>
    <row r="1141" spans="1:56" x14ac:dyDescent="0.2">
      <c r="A1141" s="27">
        <f t="shared" si="1005"/>
        <v>1137</v>
      </c>
      <c r="B1141" s="28">
        <f t="shared" si="952"/>
        <v>1137</v>
      </c>
      <c r="C1141" s="27">
        <f t="shared" si="953"/>
        <v>94</v>
      </c>
      <c r="D1141" s="28">
        <f t="shared" si="954"/>
        <v>114</v>
      </c>
      <c r="E1141" s="29">
        <f t="shared" si="955"/>
        <v>0</v>
      </c>
      <c r="F1141" s="30">
        <f t="shared" si="956"/>
        <v>1</v>
      </c>
      <c r="G1141" s="31">
        <f t="shared" si="957"/>
        <v>1</v>
      </c>
      <c r="H1141" s="32">
        <f t="shared" si="958"/>
        <v>0.02</v>
      </c>
      <c r="I1141" s="32">
        <f t="shared" si="959"/>
        <v>0</v>
      </c>
      <c r="J1141" s="33">
        <f t="shared" si="1006"/>
        <v>0</v>
      </c>
      <c r="K1141" s="30">
        <f t="shared" si="960"/>
        <v>0</v>
      </c>
      <c r="L1141" s="33">
        <f t="shared" si="961"/>
        <v>0</v>
      </c>
      <c r="M1141" s="30">
        <f t="shared" si="962"/>
        <v>0</v>
      </c>
      <c r="N1141" s="33">
        <f t="shared" si="963"/>
        <v>0</v>
      </c>
      <c r="O1141" s="31">
        <f t="shared" si="964"/>
        <v>0</v>
      </c>
      <c r="P1141" s="33">
        <f t="shared" si="965"/>
        <v>0</v>
      </c>
      <c r="Q1141" s="34">
        <f t="shared" si="1007"/>
        <v>1233092.0991163526</v>
      </c>
      <c r="R1141" s="29">
        <f t="shared" si="966"/>
        <v>0</v>
      </c>
      <c r="S1141" s="34">
        <f t="shared" si="967"/>
        <v>1233092.0991163526</v>
      </c>
      <c r="T1141" s="29">
        <f t="shared" si="968"/>
        <v>1027.5767492636273</v>
      </c>
      <c r="U1141" s="29">
        <f t="shared" si="969"/>
        <v>0</v>
      </c>
      <c r="V1141" s="35">
        <f t="shared" si="970"/>
        <v>1.1000000000000001</v>
      </c>
      <c r="W1141" s="34">
        <f t="shared" si="971"/>
        <v>0</v>
      </c>
      <c r="X1141" s="34">
        <f t="shared" si="972"/>
        <v>1232064.5223670891</v>
      </c>
      <c r="Y1141" s="36">
        <f t="shared" si="973"/>
        <v>-7.3353210484539133E-3</v>
      </c>
      <c r="Z1141" s="34">
        <f t="shared" si="974"/>
        <v>-9037.5888239726264</v>
      </c>
      <c r="AA1141" s="34">
        <f t="shared" si="975"/>
        <v>1227545.7279551027</v>
      </c>
      <c r="AB1141" s="34">
        <f t="shared" si="976"/>
        <v>0</v>
      </c>
      <c r="AC1141" s="34">
        <f t="shared" si="977"/>
        <v>0</v>
      </c>
      <c r="AD1141" s="34">
        <f t="shared" si="978"/>
        <v>0</v>
      </c>
      <c r="AE1141" s="34">
        <f t="shared" si="979"/>
        <v>0</v>
      </c>
      <c r="AF1141" s="34">
        <f t="shared" si="980"/>
        <v>0</v>
      </c>
      <c r="AG1141" s="29">
        <f t="shared" si="981"/>
        <v>1227545.7279551027</v>
      </c>
      <c r="AH1141" s="34">
        <f t="shared" si="982"/>
        <v>0</v>
      </c>
      <c r="AI1141" s="34">
        <f t="shared" si="983"/>
        <v>0</v>
      </c>
      <c r="AJ1141" s="34">
        <f t="shared" si="984"/>
        <v>0</v>
      </c>
      <c r="AK1141" s="34">
        <f t="shared" si="985"/>
        <v>0</v>
      </c>
      <c r="AL1141" s="34">
        <f t="shared" si="986"/>
        <v>0</v>
      </c>
      <c r="AM1141" s="34">
        <f t="shared" si="987"/>
        <v>0</v>
      </c>
      <c r="AN1141" s="34">
        <f t="shared" si="988"/>
        <v>0</v>
      </c>
      <c r="AO1141" s="34">
        <f t="shared" si="989"/>
        <v>0</v>
      </c>
      <c r="AP1141" s="34">
        <f t="shared" si="990"/>
        <v>0</v>
      </c>
      <c r="AQ1141" s="34">
        <f t="shared" si="991"/>
        <v>0</v>
      </c>
      <c r="AR1141" s="34">
        <f t="shared" si="992"/>
        <v>0</v>
      </c>
      <c r="AS1141" s="30">
        <f t="shared" si="993"/>
        <v>2.5671436185511811</v>
      </c>
      <c r="AT1141" s="29">
        <f t="shared" si="994"/>
        <v>0</v>
      </c>
      <c r="AU1141" s="29">
        <f t="shared" si="995"/>
        <v>0</v>
      </c>
      <c r="AV1141" s="34">
        <f t="shared" si="996"/>
        <v>0</v>
      </c>
      <c r="AW1141" s="34">
        <f t="shared" si="997"/>
        <v>0</v>
      </c>
      <c r="AX1141" s="29">
        <f t="shared" si="998"/>
        <v>0</v>
      </c>
      <c r="AY1141" s="34">
        <f t="shared" si="999"/>
        <v>0</v>
      </c>
      <c r="AZ1141" s="37">
        <f t="shared" si="1000"/>
        <v>0</v>
      </c>
      <c r="BA1141" s="37">
        <f t="shared" si="1001"/>
        <v>0</v>
      </c>
      <c r="BB1141" s="35">
        <f t="shared" si="1002"/>
        <v>1.9628373921214415E-3</v>
      </c>
      <c r="BC1141" s="31">
        <f t="shared" si="1003"/>
        <v>0.10757589297135842</v>
      </c>
      <c r="BD1141" s="34">
        <f t="shared" si="1004"/>
        <v>0</v>
      </c>
    </row>
    <row r="1142" spans="1:56" x14ac:dyDescent="0.2">
      <c r="A1142" s="27">
        <f t="shared" si="1005"/>
        <v>1138</v>
      </c>
      <c r="B1142" s="28">
        <f t="shared" si="952"/>
        <v>1138</v>
      </c>
      <c r="C1142" s="27">
        <f t="shared" si="953"/>
        <v>94</v>
      </c>
      <c r="D1142" s="28">
        <f t="shared" si="954"/>
        <v>114</v>
      </c>
      <c r="E1142" s="29">
        <f t="shared" si="955"/>
        <v>0</v>
      </c>
      <c r="F1142" s="30">
        <f t="shared" si="956"/>
        <v>1</v>
      </c>
      <c r="G1142" s="31">
        <f t="shared" si="957"/>
        <v>1</v>
      </c>
      <c r="H1142" s="32">
        <f t="shared" si="958"/>
        <v>0.02</v>
      </c>
      <c r="I1142" s="32">
        <f t="shared" si="959"/>
        <v>0</v>
      </c>
      <c r="J1142" s="33">
        <f t="shared" si="1006"/>
        <v>0</v>
      </c>
      <c r="K1142" s="30">
        <f t="shared" si="960"/>
        <v>0</v>
      </c>
      <c r="L1142" s="33">
        <f t="shared" si="961"/>
        <v>0</v>
      </c>
      <c r="M1142" s="30">
        <f t="shared" si="962"/>
        <v>0</v>
      </c>
      <c r="N1142" s="33">
        <f t="shared" si="963"/>
        <v>0</v>
      </c>
      <c r="O1142" s="31">
        <f t="shared" si="964"/>
        <v>0</v>
      </c>
      <c r="P1142" s="33">
        <f t="shared" si="965"/>
        <v>0</v>
      </c>
      <c r="Q1142" s="34">
        <f t="shared" si="1007"/>
        <v>1223026.9335431163</v>
      </c>
      <c r="R1142" s="29">
        <f t="shared" si="966"/>
        <v>0</v>
      </c>
      <c r="S1142" s="34">
        <f t="shared" si="967"/>
        <v>1223026.9335431163</v>
      </c>
      <c r="T1142" s="29">
        <f t="shared" si="968"/>
        <v>1019.1891112859304</v>
      </c>
      <c r="U1142" s="29">
        <f t="shared" si="969"/>
        <v>0</v>
      </c>
      <c r="V1142" s="35">
        <f t="shared" si="970"/>
        <v>1.1000000000000001</v>
      </c>
      <c r="W1142" s="34">
        <f t="shared" si="971"/>
        <v>0</v>
      </c>
      <c r="X1142" s="34">
        <f t="shared" si="972"/>
        <v>1222007.7444318305</v>
      </c>
      <c r="Y1142" s="36">
        <f t="shared" si="973"/>
        <v>7.1361066274058249E-3</v>
      </c>
      <c r="Z1142" s="34">
        <f t="shared" si="974"/>
        <v>8720.3775637812287</v>
      </c>
      <c r="AA1142" s="34">
        <f t="shared" si="975"/>
        <v>1226367.933213721</v>
      </c>
      <c r="AB1142" s="34">
        <f t="shared" si="976"/>
        <v>0</v>
      </c>
      <c r="AC1142" s="34">
        <f t="shared" si="977"/>
        <v>0</v>
      </c>
      <c r="AD1142" s="34">
        <f t="shared" si="978"/>
        <v>0</v>
      </c>
      <c r="AE1142" s="34">
        <f t="shared" si="979"/>
        <v>0</v>
      </c>
      <c r="AF1142" s="34">
        <f t="shared" si="980"/>
        <v>0</v>
      </c>
      <c r="AG1142" s="29">
        <f t="shared" si="981"/>
        <v>1226367.933213721</v>
      </c>
      <c r="AH1142" s="34">
        <f t="shared" si="982"/>
        <v>0</v>
      </c>
      <c r="AI1142" s="34">
        <f t="shared" si="983"/>
        <v>0</v>
      </c>
      <c r="AJ1142" s="34">
        <f t="shared" si="984"/>
        <v>0</v>
      </c>
      <c r="AK1142" s="34">
        <f t="shared" si="985"/>
        <v>0</v>
      </c>
      <c r="AL1142" s="34">
        <f t="shared" si="986"/>
        <v>0</v>
      </c>
      <c r="AM1142" s="34">
        <f t="shared" si="987"/>
        <v>0</v>
      </c>
      <c r="AN1142" s="34">
        <f t="shared" si="988"/>
        <v>0</v>
      </c>
      <c r="AO1142" s="34">
        <f t="shared" si="989"/>
        <v>0</v>
      </c>
      <c r="AP1142" s="34">
        <f t="shared" si="990"/>
        <v>0</v>
      </c>
      <c r="AQ1142" s="34">
        <f t="shared" si="991"/>
        <v>0</v>
      </c>
      <c r="AR1142" s="34">
        <f t="shared" si="992"/>
        <v>0</v>
      </c>
      <c r="AS1142" s="30">
        <f t="shared" si="993"/>
        <v>2.5692731620277698</v>
      </c>
      <c r="AT1142" s="29">
        <f t="shared" si="994"/>
        <v>0</v>
      </c>
      <c r="AU1142" s="29">
        <f t="shared" si="995"/>
        <v>0</v>
      </c>
      <c r="AV1142" s="34">
        <f t="shared" si="996"/>
        <v>0</v>
      </c>
      <c r="AW1142" s="34">
        <f t="shared" si="997"/>
        <v>0</v>
      </c>
      <c r="AX1142" s="29">
        <f t="shared" si="998"/>
        <v>0</v>
      </c>
      <c r="AY1142" s="34">
        <f t="shared" si="999"/>
        <v>0</v>
      </c>
      <c r="AZ1142" s="37">
        <f t="shared" si="1000"/>
        <v>0</v>
      </c>
      <c r="BA1142" s="37">
        <f t="shared" si="1001"/>
        <v>0</v>
      </c>
      <c r="BB1142" s="35">
        <f t="shared" si="1002"/>
        <v>1.9628373921214415E-3</v>
      </c>
      <c r="BC1142" s="31">
        <f t="shared" si="1003"/>
        <v>0.10736515263515529</v>
      </c>
      <c r="BD1142" s="34">
        <f t="shared" si="1004"/>
        <v>0</v>
      </c>
    </row>
    <row r="1143" spans="1:56" x14ac:dyDescent="0.2">
      <c r="A1143" s="27">
        <f t="shared" si="1005"/>
        <v>1139</v>
      </c>
      <c r="B1143" s="28">
        <f t="shared" si="952"/>
        <v>1139</v>
      </c>
      <c r="C1143" s="27">
        <f t="shared" si="953"/>
        <v>94</v>
      </c>
      <c r="D1143" s="28">
        <f t="shared" si="954"/>
        <v>114</v>
      </c>
      <c r="E1143" s="29">
        <f t="shared" si="955"/>
        <v>0</v>
      </c>
      <c r="F1143" s="30">
        <f t="shared" si="956"/>
        <v>1</v>
      </c>
      <c r="G1143" s="31">
        <f t="shared" si="957"/>
        <v>1</v>
      </c>
      <c r="H1143" s="32">
        <f t="shared" si="958"/>
        <v>0.02</v>
      </c>
      <c r="I1143" s="32">
        <f t="shared" si="959"/>
        <v>0</v>
      </c>
      <c r="J1143" s="33">
        <f t="shared" si="1006"/>
        <v>0</v>
      </c>
      <c r="K1143" s="30">
        <f t="shared" si="960"/>
        <v>0</v>
      </c>
      <c r="L1143" s="33">
        <f t="shared" si="961"/>
        <v>0</v>
      </c>
      <c r="M1143" s="30">
        <f t="shared" si="962"/>
        <v>0</v>
      </c>
      <c r="N1143" s="33">
        <f t="shared" si="963"/>
        <v>0</v>
      </c>
      <c r="O1143" s="31">
        <f t="shared" si="964"/>
        <v>0</v>
      </c>
      <c r="P1143" s="33">
        <f t="shared" si="965"/>
        <v>0</v>
      </c>
      <c r="Q1143" s="34">
        <f t="shared" si="1007"/>
        <v>1230728.1219956118</v>
      </c>
      <c r="R1143" s="29">
        <f t="shared" si="966"/>
        <v>0</v>
      </c>
      <c r="S1143" s="34">
        <f t="shared" si="967"/>
        <v>1230728.1219956118</v>
      </c>
      <c r="T1143" s="29">
        <f t="shared" si="968"/>
        <v>1025.6067683296765</v>
      </c>
      <c r="U1143" s="29">
        <f t="shared" si="969"/>
        <v>0</v>
      </c>
      <c r="V1143" s="35">
        <f t="shared" si="970"/>
        <v>1.1000000000000001</v>
      </c>
      <c r="W1143" s="34">
        <f t="shared" si="971"/>
        <v>0</v>
      </c>
      <c r="X1143" s="34">
        <f t="shared" si="972"/>
        <v>1229702.5152272822</v>
      </c>
      <c r="Y1143" s="36">
        <f t="shared" si="973"/>
        <v>-1.1000679122189938E-2</v>
      </c>
      <c r="Z1143" s="34">
        <f t="shared" si="974"/>
        <v>-13527.562785765218</v>
      </c>
      <c r="AA1143" s="34">
        <f t="shared" si="975"/>
        <v>1222938.7338343996</v>
      </c>
      <c r="AB1143" s="34">
        <f t="shared" si="976"/>
        <v>0</v>
      </c>
      <c r="AC1143" s="34">
        <f t="shared" si="977"/>
        <v>0</v>
      </c>
      <c r="AD1143" s="34">
        <f t="shared" si="978"/>
        <v>0</v>
      </c>
      <c r="AE1143" s="34">
        <f t="shared" si="979"/>
        <v>0</v>
      </c>
      <c r="AF1143" s="34">
        <f t="shared" si="980"/>
        <v>0</v>
      </c>
      <c r="AG1143" s="29">
        <f t="shared" si="981"/>
        <v>1222938.7338343996</v>
      </c>
      <c r="AH1143" s="34">
        <f t="shared" si="982"/>
        <v>0</v>
      </c>
      <c r="AI1143" s="34">
        <f t="shared" si="983"/>
        <v>0</v>
      </c>
      <c r="AJ1143" s="34">
        <f t="shared" si="984"/>
        <v>0</v>
      </c>
      <c r="AK1143" s="34">
        <f t="shared" si="985"/>
        <v>0</v>
      </c>
      <c r="AL1143" s="34">
        <f t="shared" si="986"/>
        <v>0</v>
      </c>
      <c r="AM1143" s="34">
        <f t="shared" si="987"/>
        <v>0</v>
      </c>
      <c r="AN1143" s="34">
        <f t="shared" si="988"/>
        <v>0</v>
      </c>
      <c r="AO1143" s="34">
        <f t="shared" si="989"/>
        <v>0</v>
      </c>
      <c r="AP1143" s="34">
        <f t="shared" si="990"/>
        <v>0</v>
      </c>
      <c r="AQ1143" s="34">
        <f t="shared" si="991"/>
        <v>0</v>
      </c>
      <c r="AR1143" s="34">
        <f t="shared" si="992"/>
        <v>0</v>
      </c>
      <c r="AS1143" s="30">
        <f t="shared" si="993"/>
        <v>2.5714044720418388</v>
      </c>
      <c r="AT1143" s="29">
        <f t="shared" si="994"/>
        <v>0</v>
      </c>
      <c r="AU1143" s="29">
        <f t="shared" si="995"/>
        <v>0</v>
      </c>
      <c r="AV1143" s="34">
        <f t="shared" si="996"/>
        <v>0</v>
      </c>
      <c r="AW1143" s="34">
        <f t="shared" si="997"/>
        <v>0</v>
      </c>
      <c r="AX1143" s="29">
        <f t="shared" si="998"/>
        <v>0</v>
      </c>
      <c r="AY1143" s="34">
        <f t="shared" si="999"/>
        <v>0</v>
      </c>
      <c r="AZ1143" s="37">
        <f t="shared" si="1000"/>
        <v>0</v>
      </c>
      <c r="BA1143" s="37">
        <f t="shared" si="1001"/>
        <v>0</v>
      </c>
      <c r="BB1143" s="35">
        <f t="shared" si="1002"/>
        <v>1.9628373921214415E-3</v>
      </c>
      <c r="BC1143" s="31">
        <f t="shared" si="1003"/>
        <v>0.10715482513762892</v>
      </c>
      <c r="BD1143" s="34">
        <f t="shared" si="1004"/>
        <v>0</v>
      </c>
    </row>
    <row r="1144" spans="1:56" x14ac:dyDescent="0.2">
      <c r="A1144" s="27">
        <f t="shared" si="1005"/>
        <v>1140</v>
      </c>
      <c r="B1144" s="28">
        <f t="shared" si="952"/>
        <v>1140</v>
      </c>
      <c r="C1144" s="27">
        <f t="shared" si="953"/>
        <v>95</v>
      </c>
      <c r="D1144" s="28">
        <f t="shared" si="954"/>
        <v>115</v>
      </c>
      <c r="E1144" s="29">
        <f t="shared" si="955"/>
        <v>0</v>
      </c>
      <c r="F1144" s="30">
        <f t="shared" si="956"/>
        <v>1</v>
      </c>
      <c r="G1144" s="31">
        <f t="shared" si="957"/>
        <v>1</v>
      </c>
      <c r="H1144" s="32">
        <f t="shared" si="958"/>
        <v>0.02</v>
      </c>
      <c r="I1144" s="32">
        <f t="shared" si="959"/>
        <v>0</v>
      </c>
      <c r="J1144" s="33">
        <f t="shared" si="1006"/>
        <v>0</v>
      </c>
      <c r="K1144" s="30">
        <f t="shared" si="960"/>
        <v>0</v>
      </c>
      <c r="L1144" s="33">
        <f t="shared" si="961"/>
        <v>0</v>
      </c>
      <c r="M1144" s="30">
        <f t="shared" si="962"/>
        <v>0</v>
      </c>
      <c r="N1144" s="33">
        <f t="shared" si="963"/>
        <v>0</v>
      </c>
      <c r="O1144" s="31">
        <f t="shared" si="964"/>
        <v>0</v>
      </c>
      <c r="P1144" s="33">
        <f t="shared" si="965"/>
        <v>0</v>
      </c>
      <c r="Q1144" s="34">
        <f t="shared" si="1007"/>
        <v>1216174.952441517</v>
      </c>
      <c r="R1144" s="29">
        <f t="shared" si="966"/>
        <v>0</v>
      </c>
      <c r="S1144" s="34">
        <f t="shared" si="967"/>
        <v>1216174.952441517</v>
      </c>
      <c r="T1144" s="29">
        <f t="shared" si="968"/>
        <v>1013.4791270345976</v>
      </c>
      <c r="U1144" s="29">
        <f t="shared" si="969"/>
        <v>0</v>
      </c>
      <c r="V1144" s="35">
        <f t="shared" si="970"/>
        <v>1.1000000000000001</v>
      </c>
      <c r="W1144" s="34">
        <f t="shared" si="971"/>
        <v>0</v>
      </c>
      <c r="X1144" s="34">
        <f t="shared" si="972"/>
        <v>1215161.4733144825</v>
      </c>
      <c r="Y1144" s="36">
        <f t="shared" si="973"/>
        <v>7.3003182945068357E-3</v>
      </c>
      <c r="Z1144" s="34">
        <f t="shared" si="974"/>
        <v>8871.0655344175957</v>
      </c>
      <c r="AA1144" s="34">
        <f t="shared" si="975"/>
        <v>1219597.0060816912</v>
      </c>
      <c r="AB1144" s="34">
        <f t="shared" si="976"/>
        <v>0</v>
      </c>
      <c r="AC1144" s="34">
        <f t="shared" si="977"/>
        <v>0</v>
      </c>
      <c r="AD1144" s="34">
        <f t="shared" si="978"/>
        <v>0</v>
      </c>
      <c r="AE1144" s="34">
        <f t="shared" si="979"/>
        <v>0</v>
      </c>
      <c r="AF1144" s="34">
        <f t="shared" si="980"/>
        <v>0</v>
      </c>
      <c r="AG1144" s="29">
        <f t="shared" si="981"/>
        <v>1219597.0060816912</v>
      </c>
      <c r="AH1144" s="34">
        <f t="shared" si="982"/>
        <v>0</v>
      </c>
      <c r="AI1144" s="34">
        <f t="shared" si="983"/>
        <v>0</v>
      </c>
      <c r="AJ1144" s="34">
        <f t="shared" si="984"/>
        <v>0</v>
      </c>
      <c r="AK1144" s="34">
        <f t="shared" si="985"/>
        <v>0</v>
      </c>
      <c r="AL1144" s="34">
        <f t="shared" si="986"/>
        <v>0</v>
      </c>
      <c r="AM1144" s="34">
        <f t="shared" si="987"/>
        <v>0</v>
      </c>
      <c r="AN1144" s="34">
        <f t="shared" si="988"/>
        <v>0</v>
      </c>
      <c r="AO1144" s="34">
        <f t="shared" si="989"/>
        <v>0</v>
      </c>
      <c r="AP1144" s="34">
        <f t="shared" si="990"/>
        <v>0</v>
      </c>
      <c r="AQ1144" s="34">
        <f t="shared" si="991"/>
        <v>0</v>
      </c>
      <c r="AR1144" s="34">
        <f t="shared" si="992"/>
        <v>0</v>
      </c>
      <c r="AS1144" s="30">
        <f t="shared" si="993"/>
        <v>2.573537550058798</v>
      </c>
      <c r="AT1144" s="29">
        <f t="shared" si="994"/>
        <v>0</v>
      </c>
      <c r="AU1144" s="29">
        <f t="shared" si="995"/>
        <v>0</v>
      </c>
      <c r="AV1144" s="34">
        <f t="shared" si="996"/>
        <v>0</v>
      </c>
      <c r="AW1144" s="34">
        <f t="shared" si="997"/>
        <v>0</v>
      </c>
      <c r="AX1144" s="29">
        <f t="shared" si="998"/>
        <v>0</v>
      </c>
      <c r="AY1144" s="34">
        <f t="shared" si="999"/>
        <v>0</v>
      </c>
      <c r="AZ1144" s="37">
        <f t="shared" si="1000"/>
        <v>0</v>
      </c>
      <c r="BA1144" s="37">
        <f t="shared" si="1001"/>
        <v>0</v>
      </c>
      <c r="BB1144" s="35">
        <f t="shared" si="1002"/>
        <v>1.9783315388433032E-3</v>
      </c>
      <c r="BC1144" s="31">
        <f t="shared" si="1003"/>
        <v>0.10507614211325025</v>
      </c>
      <c r="BD1144" s="34">
        <f t="shared" si="1004"/>
        <v>0</v>
      </c>
    </row>
    <row r="1145" spans="1:56" x14ac:dyDescent="0.2">
      <c r="A1145" s="27">
        <f t="shared" si="1005"/>
        <v>1141</v>
      </c>
      <c r="B1145" s="28">
        <f t="shared" si="952"/>
        <v>1141</v>
      </c>
      <c r="C1145" s="27">
        <f t="shared" si="953"/>
        <v>95</v>
      </c>
      <c r="D1145" s="28">
        <f t="shared" si="954"/>
        <v>115</v>
      </c>
      <c r="E1145" s="29">
        <f t="shared" si="955"/>
        <v>0</v>
      </c>
      <c r="F1145" s="30">
        <f t="shared" si="956"/>
        <v>1</v>
      </c>
      <c r="G1145" s="31">
        <f t="shared" si="957"/>
        <v>1</v>
      </c>
      <c r="H1145" s="32">
        <f t="shared" si="958"/>
        <v>0.02</v>
      </c>
      <c r="I1145" s="32">
        <f t="shared" si="959"/>
        <v>0</v>
      </c>
      <c r="J1145" s="33">
        <f t="shared" si="1006"/>
        <v>0</v>
      </c>
      <c r="K1145" s="30">
        <f t="shared" si="960"/>
        <v>0</v>
      </c>
      <c r="L1145" s="33">
        <f t="shared" si="961"/>
        <v>0</v>
      </c>
      <c r="M1145" s="30">
        <f t="shared" si="962"/>
        <v>0</v>
      </c>
      <c r="N1145" s="33">
        <f t="shared" si="963"/>
        <v>0</v>
      </c>
      <c r="O1145" s="31">
        <f t="shared" si="964"/>
        <v>0</v>
      </c>
      <c r="P1145" s="33">
        <f t="shared" si="965"/>
        <v>0</v>
      </c>
      <c r="Q1145" s="34">
        <f t="shared" si="1007"/>
        <v>1224032.5388489</v>
      </c>
      <c r="R1145" s="29">
        <f t="shared" si="966"/>
        <v>0</v>
      </c>
      <c r="S1145" s="34">
        <f t="shared" si="967"/>
        <v>1224032.5388489</v>
      </c>
      <c r="T1145" s="29">
        <f t="shared" si="968"/>
        <v>1020.0271157074168</v>
      </c>
      <c r="U1145" s="29">
        <f t="shared" si="969"/>
        <v>0</v>
      </c>
      <c r="V1145" s="35">
        <f t="shared" si="970"/>
        <v>1.1000000000000001</v>
      </c>
      <c r="W1145" s="34">
        <f t="shared" si="971"/>
        <v>0</v>
      </c>
      <c r="X1145" s="34">
        <f t="shared" si="972"/>
        <v>1223012.5117331925</v>
      </c>
      <c r="Y1145" s="36">
        <f t="shared" si="973"/>
        <v>-7.8098221207941743E-3</v>
      </c>
      <c r="Z1145" s="34">
        <f t="shared" si="974"/>
        <v>-9551.510168141931</v>
      </c>
      <c r="AA1145" s="34">
        <f t="shared" si="975"/>
        <v>1218236.7566491214</v>
      </c>
      <c r="AB1145" s="34">
        <f t="shared" si="976"/>
        <v>0</v>
      </c>
      <c r="AC1145" s="34">
        <f t="shared" si="977"/>
        <v>0</v>
      </c>
      <c r="AD1145" s="34">
        <f t="shared" si="978"/>
        <v>0</v>
      </c>
      <c r="AE1145" s="34">
        <f t="shared" si="979"/>
        <v>0</v>
      </c>
      <c r="AF1145" s="34">
        <f t="shared" si="980"/>
        <v>0</v>
      </c>
      <c r="AG1145" s="29">
        <f t="shared" si="981"/>
        <v>1218236.7566491214</v>
      </c>
      <c r="AH1145" s="34">
        <f t="shared" si="982"/>
        <v>0</v>
      </c>
      <c r="AI1145" s="34">
        <f t="shared" si="983"/>
        <v>0</v>
      </c>
      <c r="AJ1145" s="34">
        <f t="shared" si="984"/>
        <v>0</v>
      </c>
      <c r="AK1145" s="34">
        <f t="shared" si="985"/>
        <v>0</v>
      </c>
      <c r="AL1145" s="34">
        <f t="shared" si="986"/>
        <v>0</v>
      </c>
      <c r="AM1145" s="34">
        <f t="shared" si="987"/>
        <v>0</v>
      </c>
      <c r="AN1145" s="34">
        <f t="shared" si="988"/>
        <v>0</v>
      </c>
      <c r="AO1145" s="34">
        <f t="shared" si="989"/>
        <v>0</v>
      </c>
      <c r="AP1145" s="34">
        <f t="shared" si="990"/>
        <v>0</v>
      </c>
      <c r="AQ1145" s="34">
        <f t="shared" si="991"/>
        <v>0</v>
      </c>
      <c r="AR1145" s="34">
        <f t="shared" si="992"/>
        <v>0</v>
      </c>
      <c r="AS1145" s="30">
        <f t="shared" si="993"/>
        <v>2.5756723975452727</v>
      </c>
      <c r="AT1145" s="29">
        <f t="shared" si="994"/>
        <v>0</v>
      </c>
      <c r="AU1145" s="29">
        <f t="shared" si="995"/>
        <v>0</v>
      </c>
      <c r="AV1145" s="34">
        <f t="shared" si="996"/>
        <v>0</v>
      </c>
      <c r="AW1145" s="34">
        <f t="shared" si="997"/>
        <v>0</v>
      </c>
      <c r="AX1145" s="29">
        <f t="shared" si="998"/>
        <v>0</v>
      </c>
      <c r="AY1145" s="34">
        <f t="shared" si="999"/>
        <v>0</v>
      </c>
      <c r="AZ1145" s="37">
        <f t="shared" si="1000"/>
        <v>0</v>
      </c>
      <c r="BA1145" s="37">
        <f t="shared" si="1001"/>
        <v>0</v>
      </c>
      <c r="BB1145" s="35">
        <f t="shared" si="1002"/>
        <v>1.9783315388433032E-3</v>
      </c>
      <c r="BC1145" s="31">
        <f t="shared" si="1003"/>
        <v>0.1048686771019028</v>
      </c>
      <c r="BD1145" s="34">
        <f t="shared" si="1004"/>
        <v>0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2:D20"/>
  <sheetViews>
    <sheetView showGridLines="0" workbookViewId="0"/>
  </sheetViews>
  <sheetFormatPr baseColWidth="10" defaultColWidth="8.83203125" defaultRowHeight="15" x14ac:dyDescent="0.2"/>
  <cols>
    <col min="2" max="2" width="36" customWidth="1"/>
    <col min="3" max="3" width="18" customWidth="1"/>
    <col min="4" max="4" width="60" customWidth="1"/>
  </cols>
  <sheetData>
    <row r="2" spans="2:4" x14ac:dyDescent="0.2">
      <c r="B2" s="3" t="s">
        <v>286</v>
      </c>
    </row>
    <row r="3" spans="2:4" x14ac:dyDescent="0.2">
      <c r="B3" s="10" t="s">
        <v>61</v>
      </c>
      <c r="C3" s="10" t="s">
        <v>62</v>
      </c>
      <c r="D3" s="10" t="s">
        <v>287</v>
      </c>
    </row>
    <row r="4" spans="2:4" x14ac:dyDescent="0.2">
      <c r="B4" s="5" t="s">
        <v>288</v>
      </c>
      <c r="C4" s="14">
        <f>PointID</f>
        <v>1</v>
      </c>
      <c r="D4" s="12" t="s">
        <v>289</v>
      </c>
    </row>
    <row r="5" spans="2:4" x14ac:dyDescent="0.2">
      <c r="B5" s="5" t="s">
        <v>290</v>
      </c>
      <c r="C5" s="14">
        <f>ScenID</f>
        <v>1</v>
      </c>
      <c r="D5" s="12" t="s">
        <v>291</v>
      </c>
    </row>
    <row r="6" spans="2:4" x14ac:dyDescent="0.2">
      <c r="B6" s="5" t="s">
        <v>292</v>
      </c>
      <c r="C6" s="13" t="str">
        <f>SpecID&amp;" / "&amp;PolicyTerm&amp;"y / "&amp;PolicyCount</f>
        <v>A / 10y / 100</v>
      </c>
      <c r="D6" s="12"/>
    </row>
    <row r="8" spans="2:4" x14ac:dyDescent="0.2">
      <c r="B8" s="3" t="s">
        <v>293</v>
      </c>
    </row>
    <row r="9" spans="2:4" x14ac:dyDescent="0.2">
      <c r="B9" s="10" t="s">
        <v>61</v>
      </c>
      <c r="C9" s="10" t="s">
        <v>294</v>
      </c>
      <c r="D9" s="10" t="s">
        <v>287</v>
      </c>
    </row>
    <row r="10" spans="2:4" x14ac:dyDescent="0.2">
      <c r="B10" s="5" t="s">
        <v>295</v>
      </c>
      <c r="C10" s="15">
        <f>SUMPRODUCT(Proj_Premiums,Proj_DiscFactor)</f>
        <v>50000000</v>
      </c>
      <c r="D10" s="12" t="s">
        <v>296</v>
      </c>
    </row>
    <row r="11" spans="2:4" x14ac:dyDescent="0.2">
      <c r="B11" s="5" t="s">
        <v>297</v>
      </c>
      <c r="C11" s="15">
        <f>SUMPRODUCT(Proj_ClaimsDeath,Proj_DiscFactor)</f>
        <v>135032.74039889729</v>
      </c>
      <c r="D11" s="12" t="s">
        <v>298</v>
      </c>
    </row>
    <row r="12" spans="2:4" x14ac:dyDescent="0.2">
      <c r="B12" s="5" t="s">
        <v>299</v>
      </c>
      <c r="C12" s="15">
        <f>SUMPRODUCT(Proj_ClaimsLapse,Proj_DiscFactor)</f>
        <v>14965754.868184892</v>
      </c>
      <c r="D12" s="12" t="s">
        <v>300</v>
      </c>
    </row>
    <row r="13" spans="2:4" x14ac:dyDescent="0.2">
      <c r="B13" s="5" t="s">
        <v>301</v>
      </c>
      <c r="C13" s="15">
        <f>SUMPRODUCT(Proj_ClaimsMat,Proj_DiscFactor)</f>
        <v>28867111.373245932</v>
      </c>
      <c r="D13" s="12" t="s">
        <v>302</v>
      </c>
    </row>
    <row r="14" spans="2:4" x14ac:dyDescent="0.2">
      <c r="B14" s="5" t="s">
        <v>303</v>
      </c>
      <c r="C14" s="15">
        <f>PV_ClaimsDeath+PV_ClaimsLapse+PV_ClaimsMat</f>
        <v>43967898.981829718</v>
      </c>
      <c r="D14" s="12" t="s">
        <v>304</v>
      </c>
    </row>
    <row r="15" spans="2:4" x14ac:dyDescent="0.2">
      <c r="B15" s="5" t="s">
        <v>221</v>
      </c>
      <c r="C15" s="15">
        <f>SUMPRODUCT(Proj_Expenses,Proj_DiscFactor)</f>
        <v>880706.17218092829</v>
      </c>
      <c r="D15" s="12" t="s">
        <v>305</v>
      </c>
    </row>
    <row r="16" spans="2:4" x14ac:dyDescent="0.2">
      <c r="B16" s="5" t="s">
        <v>222</v>
      </c>
      <c r="C16" s="15">
        <f>SUMPRODUCT(Proj_Commissions,Proj_DiscFactor)</f>
        <v>2500000</v>
      </c>
      <c r="D16" s="12" t="s">
        <v>306</v>
      </c>
    </row>
    <row r="17" spans="2:4" x14ac:dyDescent="0.2">
      <c r="B17" s="5" t="s">
        <v>219</v>
      </c>
      <c r="C17" s="15">
        <f>SUMPRODUCT(Proj_InvIncome,Proj_DiscFactor)</f>
        <v>6060232.9119477328</v>
      </c>
      <c r="D17" s="12" t="s">
        <v>307</v>
      </c>
    </row>
    <row r="18" spans="2:4" x14ac:dyDescent="0.2">
      <c r="B18" s="5" t="s">
        <v>308</v>
      </c>
      <c r="C18" s="15">
        <f>SUMPRODUCT(Proj_AvChange,Proj_DiscFactor)</f>
        <v>3761454.3192121685</v>
      </c>
      <c r="D18" s="12" t="s">
        <v>309</v>
      </c>
    </row>
    <row r="19" spans="2:4" x14ac:dyDescent="0.2">
      <c r="B19" s="5" t="s">
        <v>310</v>
      </c>
      <c r="C19" s="38">
        <f>SUMPRODUCT(Proj_PolsIf,Proj_DiscFactor)</f>
        <v>8687.3148970947204</v>
      </c>
      <c r="D19" s="12" t="s">
        <v>311</v>
      </c>
    </row>
    <row r="20" spans="2:4" x14ac:dyDescent="0.2">
      <c r="B20" s="39" t="s">
        <v>224</v>
      </c>
      <c r="C20" s="40">
        <f>PV_Premiums+PV_InvIncome-PV_Claims-PV_Expenses-PV_Commissions-PV_AvChange</f>
        <v>4950173.4387249202</v>
      </c>
      <c r="D20" s="12" t="s">
        <v>312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2:D11"/>
  <sheetViews>
    <sheetView showGridLines="0" workbookViewId="0"/>
  </sheetViews>
  <sheetFormatPr baseColWidth="10" defaultColWidth="8.83203125" defaultRowHeight="15" x14ac:dyDescent="0.2"/>
  <cols>
    <col min="2" max="2" width="46" customWidth="1"/>
    <col min="3" max="3" width="10" customWidth="1"/>
    <col min="4" max="4" width="76" customWidth="1"/>
  </cols>
  <sheetData>
    <row r="2" spans="2:4" x14ac:dyDescent="0.2">
      <c r="B2" s="3" t="s">
        <v>313</v>
      </c>
    </row>
    <row r="3" spans="2:4" x14ac:dyDescent="0.2">
      <c r="B3" s="10" t="s">
        <v>314</v>
      </c>
      <c r="C3" s="10" t="s">
        <v>315</v>
      </c>
      <c r="D3" s="10" t="s">
        <v>316</v>
      </c>
    </row>
    <row r="4" spans="2:4" x14ac:dyDescent="0.2">
      <c r="B4" s="5" t="s">
        <v>317</v>
      </c>
      <c r="C4" s="41" t="b">
        <f>SUMPRODUCT(--(ABS(Proj_AvRollDiff)&gt;0.000000001))=0</f>
        <v>1</v>
      </c>
      <c r="D4" s="42" t="s">
        <v>318</v>
      </c>
    </row>
    <row r="5" spans="2:4" x14ac:dyDescent="0.2">
      <c r="B5" s="5" t="s">
        <v>319</v>
      </c>
      <c r="C5" s="41" t="b">
        <f>SUMPRODUCT(--(ABS(Proj_MarginDiff)&gt;0.000000001))=0</f>
        <v>1</v>
      </c>
      <c r="D5" s="42" t="s">
        <v>320</v>
      </c>
    </row>
    <row r="6" spans="2:4" x14ac:dyDescent="0.2">
      <c r="B6" s="5" t="s">
        <v>321</v>
      </c>
      <c r="C6" s="41" t="b">
        <f>ABS(SUMPRODUCT(Proj_NetCF,Proj_DiscFactor)-PV_NetCF)&lt;0.01</f>
        <v>1</v>
      </c>
      <c r="D6" s="42" t="s">
        <v>322</v>
      </c>
    </row>
    <row r="7" spans="2:4" x14ac:dyDescent="0.2">
      <c r="B7" s="5" t="s">
        <v>323</v>
      </c>
      <c r="C7" s="41" t="b">
        <f>MIN(Proj_PolsIf)&gt;=0</f>
        <v>1</v>
      </c>
      <c r="D7" s="42" t="s">
        <v>324</v>
      </c>
    </row>
    <row r="8" spans="2:4" x14ac:dyDescent="0.2">
      <c r="B8" s="5" t="s">
        <v>325</v>
      </c>
      <c r="C8" s="41" t="b">
        <f>ABS(PolsIfInit+SUM(Proj_NewBiz)-SUM(Proj_Deaths)-SUM(Proj_Lapses)-SUM(Proj_Maturities))&lt;0.000001</f>
        <v>1</v>
      </c>
      <c r="D8" s="42" t="s">
        <v>326</v>
      </c>
    </row>
    <row r="9" spans="2:4" x14ac:dyDescent="0.2">
      <c r="B9" s="5" t="s">
        <v>327</v>
      </c>
      <c r="C9" s="41" t="b">
        <f>SUMPRODUCT((Proj_DurMth&gt;12*PolicyTerm)*ABS(Proj_PolsIf))=0</f>
        <v>1</v>
      </c>
      <c r="D9" s="42" t="s">
        <v>328</v>
      </c>
    </row>
    <row r="11" spans="2:4" x14ac:dyDescent="0.2">
      <c r="B11" s="3" t="s">
        <v>329</v>
      </c>
      <c r="C11" s="43" t="b">
        <f>AND(C4:C9)</f>
        <v>1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42"/>
  <sheetViews>
    <sheetView workbookViewId="0">
      <pane ySplit="2" topLeftCell="A3" activePane="bottomLeft" state="frozen"/>
      <selection pane="bottomLeft"/>
    </sheetView>
  </sheetViews>
  <sheetFormatPr baseColWidth="10" defaultColWidth="8.83203125" defaultRowHeight="15" x14ac:dyDescent="0.2"/>
  <cols>
    <col min="1" max="9" width="14" customWidth="1"/>
  </cols>
  <sheetData>
    <row r="1" spans="1:9" x14ac:dyDescent="0.2">
      <c r="A1" s="3" t="s">
        <v>330</v>
      </c>
    </row>
    <row r="2" spans="1:9" x14ac:dyDescent="0.2">
      <c r="A2" s="10" t="s">
        <v>136</v>
      </c>
      <c r="B2" s="10" t="s">
        <v>331</v>
      </c>
      <c r="C2" s="10" t="s">
        <v>332</v>
      </c>
      <c r="D2" s="10" t="s">
        <v>333</v>
      </c>
      <c r="E2" s="10" t="s">
        <v>334</v>
      </c>
      <c r="F2" s="10" t="s">
        <v>335</v>
      </c>
      <c r="G2" s="10" t="s">
        <v>336</v>
      </c>
      <c r="H2" s="10" t="s">
        <v>337</v>
      </c>
      <c r="I2" s="10" t="s">
        <v>338</v>
      </c>
    </row>
    <row r="3" spans="1:9" x14ac:dyDescent="0.2">
      <c r="A3" s="7">
        <v>1</v>
      </c>
      <c r="B3" s="7">
        <v>1</v>
      </c>
      <c r="C3" s="44">
        <v>50000000</v>
      </c>
      <c r="D3" s="44">
        <v>43967898.981829777</v>
      </c>
      <c r="E3" s="44">
        <v>880706.17218092829</v>
      </c>
      <c r="F3" s="44">
        <v>2500000</v>
      </c>
      <c r="G3" s="44">
        <v>6060232.9119477337</v>
      </c>
      <c r="H3" s="44">
        <v>3761454.319212127</v>
      </c>
      <c r="I3" s="44">
        <v>4950173.4387249025</v>
      </c>
    </row>
    <row r="4" spans="1:9" x14ac:dyDescent="0.2">
      <c r="A4" s="7">
        <v>2</v>
      </c>
      <c r="B4" s="7">
        <v>1</v>
      </c>
      <c r="C4" s="44">
        <v>50000000</v>
      </c>
      <c r="D4" s="44">
        <v>49096019.968004823</v>
      </c>
      <c r="E4" s="44">
        <v>1157078.3074064029</v>
      </c>
      <c r="F4" s="44">
        <v>2500000</v>
      </c>
      <c r="G4" s="44">
        <v>15666118.455409771</v>
      </c>
      <c r="H4" s="44">
        <v>8699598.8578365147</v>
      </c>
      <c r="I4" s="44">
        <v>4213421.3221620247</v>
      </c>
    </row>
    <row r="5" spans="1:9" x14ac:dyDescent="0.2">
      <c r="A5" s="7">
        <v>3</v>
      </c>
      <c r="B5" s="7">
        <v>1</v>
      </c>
      <c r="C5" s="44">
        <v>26422361.852088589</v>
      </c>
      <c r="D5" s="44">
        <v>19485495.3794466</v>
      </c>
      <c r="E5" s="44">
        <v>1891365.644304021</v>
      </c>
      <c r="F5" s="44">
        <v>1321118.0926044299</v>
      </c>
      <c r="G5" s="44">
        <v>13196699.324713949</v>
      </c>
      <c r="H5" s="44">
        <v>10924588.79431453</v>
      </c>
      <c r="I5" s="44">
        <v>5996493.2661329508</v>
      </c>
    </row>
    <row r="6" spans="1:9" x14ac:dyDescent="0.2">
      <c r="A6" s="7">
        <v>4</v>
      </c>
      <c r="B6" s="7">
        <v>1</v>
      </c>
      <c r="C6" s="44">
        <v>22014181.384262148</v>
      </c>
      <c r="D6" s="44">
        <v>21298759.78855028</v>
      </c>
      <c r="E6" s="44">
        <v>1588272.6210920231</v>
      </c>
      <c r="F6" s="44">
        <v>1100709.0692131091</v>
      </c>
      <c r="G6" s="44">
        <v>9191013.2243976761</v>
      </c>
      <c r="H6" s="44">
        <v>4730656.2405354315</v>
      </c>
      <c r="I6" s="44">
        <v>2486796.8892689859</v>
      </c>
    </row>
    <row r="7" spans="1:9" x14ac:dyDescent="0.2">
      <c r="A7" s="7">
        <v>1</v>
      </c>
      <c r="B7" s="7">
        <v>2</v>
      </c>
      <c r="C7" s="44">
        <v>50000000</v>
      </c>
      <c r="D7" s="44">
        <v>37741948.904742539</v>
      </c>
      <c r="E7" s="44">
        <v>880706.17218092829</v>
      </c>
      <c r="F7" s="44">
        <v>2500000</v>
      </c>
      <c r="G7" s="44">
        <v>-755654.96034810052</v>
      </c>
      <c r="H7" s="44">
        <v>3424407.161170233</v>
      </c>
      <c r="I7" s="44">
        <v>4697282.8015582003</v>
      </c>
    </row>
    <row r="8" spans="1:9" x14ac:dyDescent="0.2">
      <c r="A8" s="7">
        <v>2</v>
      </c>
      <c r="B8" s="7">
        <v>2</v>
      </c>
      <c r="C8" s="44">
        <v>50000000</v>
      </c>
      <c r="D8" s="44">
        <v>41772653.022572041</v>
      </c>
      <c r="E8" s="44">
        <v>1157078.3074064029</v>
      </c>
      <c r="F8" s="44">
        <v>2500000</v>
      </c>
      <c r="G8" s="44">
        <v>6310953.2578848209</v>
      </c>
      <c r="H8" s="44">
        <v>7520922.5714330478</v>
      </c>
      <c r="I8" s="44">
        <v>3360299.3564733299</v>
      </c>
    </row>
    <row r="9" spans="1:9" x14ac:dyDescent="0.2">
      <c r="A9" s="7">
        <v>3</v>
      </c>
      <c r="B9" s="7">
        <v>2</v>
      </c>
      <c r="C9" s="44">
        <v>26422361.852088589</v>
      </c>
      <c r="D9" s="44">
        <v>19994405.74708166</v>
      </c>
      <c r="E9" s="44">
        <v>1891365.644304021</v>
      </c>
      <c r="F9" s="44">
        <v>1321118.0926044299</v>
      </c>
      <c r="G9" s="44">
        <v>14067862.80360822</v>
      </c>
      <c r="H9" s="44">
        <v>11330405.354054119</v>
      </c>
      <c r="I9" s="44">
        <v>5952929.8176525719</v>
      </c>
    </row>
    <row r="10" spans="1:9" x14ac:dyDescent="0.2">
      <c r="A10" s="7">
        <v>4</v>
      </c>
      <c r="B10" s="7">
        <v>2</v>
      </c>
      <c r="C10" s="44">
        <v>22014181.384262148</v>
      </c>
      <c r="D10" s="44">
        <v>20745273.64823984</v>
      </c>
      <c r="E10" s="44">
        <v>1588272.6210920231</v>
      </c>
      <c r="F10" s="44">
        <v>1100709.0692131091</v>
      </c>
      <c r="G10" s="44">
        <v>8140627.7820546208</v>
      </c>
      <c r="H10" s="44">
        <v>4455430.6771689719</v>
      </c>
      <c r="I10" s="44">
        <v>2265123.1506028301</v>
      </c>
    </row>
    <row r="11" spans="1:9" x14ac:dyDescent="0.2">
      <c r="A11" s="7">
        <v>1</v>
      </c>
      <c r="B11" s="7">
        <v>3</v>
      </c>
      <c r="C11" s="44">
        <v>50000000</v>
      </c>
      <c r="D11" s="44">
        <v>44219953.26062718</v>
      </c>
      <c r="E11" s="44">
        <v>880706.17218092829</v>
      </c>
      <c r="F11" s="44">
        <v>2500000</v>
      </c>
      <c r="G11" s="44">
        <v>6722846.5049580112</v>
      </c>
      <c r="H11" s="44">
        <v>3990383.6527257259</v>
      </c>
      <c r="I11" s="44">
        <v>5131803.4194241762</v>
      </c>
    </row>
    <row r="12" spans="1:9" x14ac:dyDescent="0.2">
      <c r="A12" s="7">
        <v>2</v>
      </c>
      <c r="B12" s="7">
        <v>3</v>
      </c>
      <c r="C12" s="44">
        <v>50000000</v>
      </c>
      <c r="D12" s="44">
        <v>44619946.069778606</v>
      </c>
      <c r="E12" s="44">
        <v>1157078.3074064029</v>
      </c>
      <c r="F12" s="44">
        <v>2500000</v>
      </c>
      <c r="G12" s="44">
        <v>10931973.915376751</v>
      </c>
      <c r="H12" s="44">
        <v>8492976.1762215942</v>
      </c>
      <c r="I12" s="44">
        <v>4161973.361970149</v>
      </c>
    </row>
    <row r="13" spans="1:9" x14ac:dyDescent="0.2">
      <c r="A13" s="7">
        <v>3</v>
      </c>
      <c r="B13" s="7">
        <v>3</v>
      </c>
      <c r="C13" s="44">
        <v>26422361.852088589</v>
      </c>
      <c r="D13" s="44">
        <v>19499952.532718491</v>
      </c>
      <c r="E13" s="44">
        <v>1891365.644304021</v>
      </c>
      <c r="F13" s="44">
        <v>1321118.0926044299</v>
      </c>
      <c r="G13" s="44">
        <v>12890601.422139689</v>
      </c>
      <c r="H13" s="44">
        <v>11095192.7846254</v>
      </c>
      <c r="I13" s="44">
        <v>5505334.2199759223</v>
      </c>
    </row>
    <row r="14" spans="1:9" x14ac:dyDescent="0.2">
      <c r="A14" s="7">
        <v>4</v>
      </c>
      <c r="B14" s="7">
        <v>3</v>
      </c>
      <c r="C14" s="44">
        <v>22014181.384262148</v>
      </c>
      <c r="D14" s="44">
        <v>18467726.448286559</v>
      </c>
      <c r="E14" s="44">
        <v>1588272.6210920231</v>
      </c>
      <c r="F14" s="44">
        <v>1100709.0692131091</v>
      </c>
      <c r="G14" s="44">
        <v>5067407.253342364</v>
      </c>
      <c r="H14" s="44">
        <v>4006989.1214285479</v>
      </c>
      <c r="I14" s="44">
        <v>1917891.377584276</v>
      </c>
    </row>
    <row r="15" spans="1:9" x14ac:dyDescent="0.2">
      <c r="A15" s="7">
        <v>1</v>
      </c>
      <c r="B15" s="7">
        <v>4</v>
      </c>
      <c r="C15" s="44">
        <v>50000000</v>
      </c>
      <c r="D15" s="44">
        <v>46263881.831643619</v>
      </c>
      <c r="E15" s="44">
        <v>880706.17218092829</v>
      </c>
      <c r="F15" s="44">
        <v>2500000</v>
      </c>
      <c r="G15" s="44">
        <v>8573035.6611889992</v>
      </c>
      <c r="H15" s="44">
        <v>3884450.1558269942</v>
      </c>
      <c r="I15" s="44">
        <v>5043997.5015374571</v>
      </c>
    </row>
    <row r="16" spans="1:9" x14ac:dyDescent="0.2">
      <c r="A16" s="7">
        <v>2</v>
      </c>
      <c r="B16" s="7">
        <v>4</v>
      </c>
      <c r="C16" s="44">
        <v>50000000</v>
      </c>
      <c r="D16" s="44">
        <v>48963920.931906037</v>
      </c>
      <c r="E16" s="44">
        <v>1157078.3074064029</v>
      </c>
      <c r="F16" s="44">
        <v>2500000</v>
      </c>
      <c r="G16" s="44">
        <v>15683548.67048748</v>
      </c>
      <c r="H16" s="44">
        <v>8756272.2036085278</v>
      </c>
      <c r="I16" s="44">
        <v>4306277.2275665179</v>
      </c>
    </row>
    <row r="17" spans="1:9" x14ac:dyDescent="0.2">
      <c r="A17" s="7">
        <v>3</v>
      </c>
      <c r="B17" s="7">
        <v>4</v>
      </c>
      <c r="C17" s="44">
        <v>26422361.852088589</v>
      </c>
      <c r="D17" s="44">
        <v>19056896.704483069</v>
      </c>
      <c r="E17" s="44">
        <v>1891365.644304021</v>
      </c>
      <c r="F17" s="44">
        <v>1321118.0926044299</v>
      </c>
      <c r="G17" s="44">
        <v>12561662.79161511</v>
      </c>
      <c r="H17" s="44">
        <v>10975257.380952019</v>
      </c>
      <c r="I17" s="44">
        <v>5739386.8213601634</v>
      </c>
    </row>
    <row r="18" spans="1:9" x14ac:dyDescent="0.2">
      <c r="A18" s="7">
        <v>4</v>
      </c>
      <c r="B18" s="7">
        <v>4</v>
      </c>
      <c r="C18" s="44">
        <v>22014181.384262148</v>
      </c>
      <c r="D18" s="44">
        <v>19898588.480547931</v>
      </c>
      <c r="E18" s="44">
        <v>1588272.6210920231</v>
      </c>
      <c r="F18" s="44">
        <v>1100709.0692131091</v>
      </c>
      <c r="G18" s="44">
        <v>7199177.2179662958</v>
      </c>
      <c r="H18" s="44">
        <v>4413793.299515768</v>
      </c>
      <c r="I18" s="44">
        <v>2211995.1318596131</v>
      </c>
    </row>
    <row r="19" spans="1:9" x14ac:dyDescent="0.2">
      <c r="A19" s="7">
        <v>1</v>
      </c>
      <c r="B19" s="7">
        <v>5</v>
      </c>
      <c r="C19" s="44">
        <v>50000000</v>
      </c>
      <c r="D19" s="44">
        <v>40878664.893114813</v>
      </c>
      <c r="E19" s="44">
        <v>880706.17218092829</v>
      </c>
      <c r="F19" s="44">
        <v>2500000</v>
      </c>
      <c r="G19" s="44">
        <v>3041015.7751868791</v>
      </c>
      <c r="H19" s="44">
        <v>3793785.8337503672</v>
      </c>
      <c r="I19" s="44">
        <v>4987858.8761407658</v>
      </c>
    </row>
    <row r="20" spans="1:9" x14ac:dyDescent="0.2">
      <c r="A20" s="7">
        <v>2</v>
      </c>
      <c r="B20" s="7">
        <v>5</v>
      </c>
      <c r="C20" s="44">
        <v>50000000</v>
      </c>
      <c r="D20" s="44">
        <v>39935924.532534637</v>
      </c>
      <c r="E20" s="44">
        <v>1157078.3074064029</v>
      </c>
      <c r="F20" s="44">
        <v>2500000</v>
      </c>
      <c r="G20" s="44">
        <v>4856550.9457278391</v>
      </c>
      <c r="H20" s="44">
        <v>7674745.8790826462</v>
      </c>
      <c r="I20" s="44">
        <v>3588802.2267041472</v>
      </c>
    </row>
    <row r="21" spans="1:9" x14ac:dyDescent="0.2">
      <c r="A21" s="7">
        <v>3</v>
      </c>
      <c r="B21" s="7">
        <v>5</v>
      </c>
      <c r="C21" s="44">
        <v>26422361.852088589</v>
      </c>
      <c r="D21" s="44">
        <v>18340700.25978319</v>
      </c>
      <c r="E21" s="44">
        <v>1891365.644304021</v>
      </c>
      <c r="F21" s="44">
        <v>1321118.0926044299</v>
      </c>
      <c r="G21" s="44">
        <v>10661781.549923571</v>
      </c>
      <c r="H21" s="44">
        <v>10209849.687445169</v>
      </c>
      <c r="I21" s="44">
        <v>5321109.7178753465</v>
      </c>
    </row>
    <row r="22" spans="1:9" x14ac:dyDescent="0.2">
      <c r="A22" s="7">
        <v>4</v>
      </c>
      <c r="B22" s="7">
        <v>5</v>
      </c>
      <c r="C22" s="44">
        <v>22014181.384262148</v>
      </c>
      <c r="D22" s="44">
        <v>18802280.85259572</v>
      </c>
      <c r="E22" s="44">
        <v>1588272.6210920231</v>
      </c>
      <c r="F22" s="44">
        <v>1100709.0692131091</v>
      </c>
      <c r="G22" s="44">
        <v>5297994.7686106358</v>
      </c>
      <c r="H22" s="44">
        <v>3931115.8893836872</v>
      </c>
      <c r="I22" s="44">
        <v>1889797.7205882501</v>
      </c>
    </row>
    <row r="23" spans="1:9" x14ac:dyDescent="0.2">
      <c r="A23" s="7">
        <v>1</v>
      </c>
      <c r="B23" s="7">
        <v>6</v>
      </c>
      <c r="C23" s="44">
        <v>50000000</v>
      </c>
      <c r="D23" s="44">
        <v>44860243.823593229</v>
      </c>
      <c r="E23" s="44">
        <v>880706.17218092829</v>
      </c>
      <c r="F23" s="44">
        <v>2500000</v>
      </c>
      <c r="G23" s="44">
        <v>7269474.1607921682</v>
      </c>
      <c r="H23" s="44">
        <v>3941622.767424196</v>
      </c>
      <c r="I23" s="44">
        <v>5086901.3975938112</v>
      </c>
    </row>
    <row r="24" spans="1:9" x14ac:dyDescent="0.2">
      <c r="A24" s="7">
        <v>2</v>
      </c>
      <c r="B24" s="7">
        <v>6</v>
      </c>
      <c r="C24" s="44">
        <v>50000000</v>
      </c>
      <c r="D24" s="44">
        <v>44086389.653013371</v>
      </c>
      <c r="E24" s="44">
        <v>1157078.3074064029</v>
      </c>
      <c r="F24" s="44">
        <v>2500000</v>
      </c>
      <c r="G24" s="44">
        <v>10258119.239781329</v>
      </c>
      <c r="H24" s="44">
        <v>8427084.7527762353</v>
      </c>
      <c r="I24" s="44">
        <v>4087566.5265853261</v>
      </c>
    </row>
    <row r="25" spans="1:9" x14ac:dyDescent="0.2">
      <c r="A25" s="7">
        <v>3</v>
      </c>
      <c r="B25" s="7">
        <v>6</v>
      </c>
      <c r="C25" s="44">
        <v>26422361.852088589</v>
      </c>
      <c r="D25" s="44">
        <v>17997334.267533582</v>
      </c>
      <c r="E25" s="44">
        <v>1891365.644304021</v>
      </c>
      <c r="F25" s="44">
        <v>1321118.0926044299</v>
      </c>
      <c r="G25" s="44">
        <v>10065000.34545433</v>
      </c>
      <c r="H25" s="44">
        <v>10025419.615357749</v>
      </c>
      <c r="I25" s="44">
        <v>5252124.5777431391</v>
      </c>
    </row>
    <row r="26" spans="1:9" x14ac:dyDescent="0.2">
      <c r="A26" s="7">
        <v>4</v>
      </c>
      <c r="B26" s="7">
        <v>6</v>
      </c>
      <c r="C26" s="44">
        <v>22014181.384262148</v>
      </c>
      <c r="D26" s="44">
        <v>18602834.73198323</v>
      </c>
      <c r="E26" s="44">
        <v>1588272.6210920231</v>
      </c>
      <c r="F26" s="44">
        <v>1100709.0692131091</v>
      </c>
      <c r="G26" s="44">
        <v>5207264.2254643077</v>
      </c>
      <c r="H26" s="44">
        <v>4004476.542126487</v>
      </c>
      <c r="I26" s="44">
        <v>1925152.645311614</v>
      </c>
    </row>
    <row r="27" spans="1:9" x14ac:dyDescent="0.2">
      <c r="A27" s="7">
        <v>1</v>
      </c>
      <c r="B27" s="7">
        <v>7</v>
      </c>
      <c r="C27" s="44">
        <v>50000000</v>
      </c>
      <c r="D27" s="44">
        <v>44306590.583046749</v>
      </c>
      <c r="E27" s="44">
        <v>880706.17218092829</v>
      </c>
      <c r="F27" s="44">
        <v>2500000</v>
      </c>
      <c r="G27" s="44">
        <v>6375407.0204741359</v>
      </c>
      <c r="H27" s="44">
        <v>3751833.7327498859</v>
      </c>
      <c r="I27" s="44">
        <v>4936276.5324965641</v>
      </c>
    </row>
    <row r="28" spans="1:9" x14ac:dyDescent="0.2">
      <c r="A28" s="7">
        <v>2</v>
      </c>
      <c r="B28" s="7">
        <v>7</v>
      </c>
      <c r="C28" s="44">
        <v>50000000</v>
      </c>
      <c r="D28" s="44">
        <v>48357707.372241229</v>
      </c>
      <c r="E28" s="44">
        <v>1157078.3074064029</v>
      </c>
      <c r="F28" s="44">
        <v>2500000</v>
      </c>
      <c r="G28" s="44">
        <v>14655049.926619049</v>
      </c>
      <c r="H28" s="44">
        <v>8542111.5607990026</v>
      </c>
      <c r="I28" s="44">
        <v>4098152.6861724178</v>
      </c>
    </row>
    <row r="29" spans="1:9" x14ac:dyDescent="0.2">
      <c r="A29" s="7">
        <v>3</v>
      </c>
      <c r="B29" s="7">
        <v>7</v>
      </c>
      <c r="C29" s="44">
        <v>26422361.852088589</v>
      </c>
      <c r="D29" s="44">
        <v>17878286.563725039</v>
      </c>
      <c r="E29" s="44">
        <v>1891365.644304021</v>
      </c>
      <c r="F29" s="44">
        <v>1321118.0926044299</v>
      </c>
      <c r="G29" s="44">
        <v>10291294.978785509</v>
      </c>
      <c r="H29" s="44">
        <v>10171675.93430352</v>
      </c>
      <c r="I29" s="44">
        <v>5451210.5959370863</v>
      </c>
    </row>
    <row r="30" spans="1:9" x14ac:dyDescent="0.2">
      <c r="A30" s="7">
        <v>4</v>
      </c>
      <c r="B30" s="7">
        <v>7</v>
      </c>
      <c r="C30" s="44">
        <v>22014181.384262148</v>
      </c>
      <c r="D30" s="44">
        <v>18955148.901429631</v>
      </c>
      <c r="E30" s="44">
        <v>1588272.6210920231</v>
      </c>
      <c r="F30" s="44">
        <v>1100709.0692131091</v>
      </c>
      <c r="G30" s="44">
        <v>6375934.2430386459</v>
      </c>
      <c r="H30" s="44">
        <v>4483347.56873699</v>
      </c>
      <c r="I30" s="44">
        <v>2262637.4668290489</v>
      </c>
    </row>
    <row r="31" spans="1:9" x14ac:dyDescent="0.2">
      <c r="A31" s="7">
        <v>1</v>
      </c>
      <c r="B31" s="7">
        <v>8</v>
      </c>
      <c r="C31" s="44">
        <v>50000000</v>
      </c>
      <c r="D31" s="44">
        <v>45401791.480174311</v>
      </c>
      <c r="E31" s="44">
        <v>880706.17218092829</v>
      </c>
      <c r="F31" s="44">
        <v>2500000</v>
      </c>
      <c r="G31" s="44">
        <v>7671446.878750883</v>
      </c>
      <c r="H31" s="44">
        <v>3866036.8057699618</v>
      </c>
      <c r="I31" s="44">
        <v>5022912.4206256829</v>
      </c>
    </row>
    <row r="32" spans="1:9" x14ac:dyDescent="0.2">
      <c r="A32" s="7">
        <v>2</v>
      </c>
      <c r="B32" s="7">
        <v>8</v>
      </c>
      <c r="C32" s="44">
        <v>50000000</v>
      </c>
      <c r="D32" s="44">
        <v>43991136.717877299</v>
      </c>
      <c r="E32" s="44">
        <v>1157078.3074064029</v>
      </c>
      <c r="F32" s="44">
        <v>2500000</v>
      </c>
      <c r="G32" s="44">
        <v>10485078.741610389</v>
      </c>
      <c r="H32" s="44">
        <v>8637031.341163855</v>
      </c>
      <c r="I32" s="44">
        <v>4199832.3751628362</v>
      </c>
    </row>
    <row r="33" spans="1:9" x14ac:dyDescent="0.2">
      <c r="A33" s="7">
        <v>3</v>
      </c>
      <c r="B33" s="7">
        <v>8</v>
      </c>
      <c r="C33" s="44">
        <v>26422361.852088589</v>
      </c>
      <c r="D33" s="44">
        <v>18161790.931179252</v>
      </c>
      <c r="E33" s="44">
        <v>1891365.644304021</v>
      </c>
      <c r="F33" s="44">
        <v>1321118.0926044299</v>
      </c>
      <c r="G33" s="44">
        <v>10742060.631731009</v>
      </c>
      <c r="H33" s="44">
        <v>10351887.23221826</v>
      </c>
      <c r="I33" s="44">
        <v>5438260.583513638</v>
      </c>
    </row>
    <row r="34" spans="1:9" x14ac:dyDescent="0.2">
      <c r="A34" s="7">
        <v>4</v>
      </c>
      <c r="B34" s="7">
        <v>8</v>
      </c>
      <c r="C34" s="44">
        <v>22014181.384262148</v>
      </c>
      <c r="D34" s="44">
        <v>19214054.29369403</v>
      </c>
      <c r="E34" s="44">
        <v>1588272.6210920231</v>
      </c>
      <c r="F34" s="44">
        <v>1100709.0692131091</v>
      </c>
      <c r="G34" s="44">
        <v>5992518.4484596094</v>
      </c>
      <c r="H34" s="44">
        <v>4106442.2474141829</v>
      </c>
      <c r="I34" s="44">
        <v>1997221.6013084131</v>
      </c>
    </row>
    <row r="35" spans="1:9" x14ac:dyDescent="0.2">
      <c r="A35" s="7">
        <v>1</v>
      </c>
      <c r="B35" s="7">
        <v>9</v>
      </c>
      <c r="C35" s="44">
        <v>50000000</v>
      </c>
      <c r="D35" s="44">
        <v>44025371.777941033</v>
      </c>
      <c r="E35" s="44">
        <v>880706.17218092829</v>
      </c>
      <c r="F35" s="44">
        <v>2500000</v>
      </c>
      <c r="G35" s="44">
        <v>6569800.1840661475</v>
      </c>
      <c r="H35" s="44">
        <v>4011924.894272503</v>
      </c>
      <c r="I35" s="44">
        <v>5151797.33967169</v>
      </c>
    </row>
    <row r="36" spans="1:9" x14ac:dyDescent="0.2">
      <c r="A36" s="7">
        <v>2</v>
      </c>
      <c r="B36" s="7">
        <v>9</v>
      </c>
      <c r="C36" s="44">
        <v>50000000</v>
      </c>
      <c r="D36" s="44">
        <v>47266219.875204623</v>
      </c>
      <c r="E36" s="44">
        <v>1157078.3074064029</v>
      </c>
      <c r="F36" s="44">
        <v>2500000</v>
      </c>
      <c r="G36" s="44">
        <v>14338263.67569281</v>
      </c>
      <c r="H36" s="44">
        <v>8948788.185323067</v>
      </c>
      <c r="I36" s="44">
        <v>4466177.3077587262</v>
      </c>
    </row>
    <row r="37" spans="1:9" x14ac:dyDescent="0.2">
      <c r="A37" s="7">
        <v>3</v>
      </c>
      <c r="B37" s="7">
        <v>9</v>
      </c>
      <c r="C37" s="44">
        <v>26422361.852088589</v>
      </c>
      <c r="D37" s="44">
        <v>18132506.179469839</v>
      </c>
      <c r="E37" s="44">
        <v>1891365.644304021</v>
      </c>
      <c r="F37" s="44">
        <v>1321118.0926044299</v>
      </c>
      <c r="G37" s="44">
        <v>10348917.478174619</v>
      </c>
      <c r="H37" s="44">
        <v>10123008.54317935</v>
      </c>
      <c r="I37" s="44">
        <v>5303280.870705558</v>
      </c>
    </row>
    <row r="38" spans="1:9" x14ac:dyDescent="0.2">
      <c r="A38" s="7">
        <v>4</v>
      </c>
      <c r="B38" s="7">
        <v>9</v>
      </c>
      <c r="C38" s="44">
        <v>22014181.384262148</v>
      </c>
      <c r="D38" s="44">
        <v>18551013.257380079</v>
      </c>
      <c r="E38" s="44">
        <v>1588272.6210920231</v>
      </c>
      <c r="F38" s="44">
        <v>1100709.0692131091</v>
      </c>
      <c r="G38" s="44">
        <v>5428303.7383499732</v>
      </c>
      <c r="H38" s="44">
        <v>4171775.7090288079</v>
      </c>
      <c r="I38" s="44">
        <v>2030714.4658981101</v>
      </c>
    </row>
    <row r="39" spans="1:9" x14ac:dyDescent="0.2">
      <c r="A39" s="7">
        <v>1</v>
      </c>
      <c r="B39" s="7">
        <v>10</v>
      </c>
      <c r="C39" s="44">
        <v>50000000</v>
      </c>
      <c r="D39" s="44">
        <v>40708504.413490027</v>
      </c>
      <c r="E39" s="44">
        <v>880706.17218092829</v>
      </c>
      <c r="F39" s="44">
        <v>2500000</v>
      </c>
      <c r="G39" s="44">
        <v>2799255.484263916</v>
      </c>
      <c r="H39" s="44">
        <v>3751226.0710047381</v>
      </c>
      <c r="I39" s="44">
        <v>4958818.8275882192</v>
      </c>
    </row>
    <row r="40" spans="1:9" x14ac:dyDescent="0.2">
      <c r="A40" s="7">
        <v>2</v>
      </c>
      <c r="B40" s="7">
        <v>10</v>
      </c>
      <c r="C40" s="44">
        <v>50000000</v>
      </c>
      <c r="D40" s="44">
        <v>44118510.216889821</v>
      </c>
      <c r="E40" s="44">
        <v>1157078.3074064029</v>
      </c>
      <c r="F40" s="44">
        <v>2500000</v>
      </c>
      <c r="G40" s="44">
        <v>9725103.7521186266</v>
      </c>
      <c r="H40" s="44">
        <v>8089454.4911314687</v>
      </c>
      <c r="I40" s="44">
        <v>3860060.736690931</v>
      </c>
    </row>
    <row r="41" spans="1:9" x14ac:dyDescent="0.2">
      <c r="A41" s="7">
        <v>3</v>
      </c>
      <c r="B41" s="7">
        <v>10</v>
      </c>
      <c r="C41" s="44">
        <v>26422361.852088589</v>
      </c>
      <c r="D41" s="44">
        <v>17316171.99548969</v>
      </c>
      <c r="E41" s="44">
        <v>1891365.644304021</v>
      </c>
      <c r="F41" s="44">
        <v>1321118.0926044299</v>
      </c>
      <c r="G41" s="44">
        <v>9107807.757115256</v>
      </c>
      <c r="H41" s="44">
        <v>9775702.7760602105</v>
      </c>
      <c r="I41" s="44">
        <v>5225811.1007454842</v>
      </c>
    </row>
    <row r="42" spans="1:9" x14ac:dyDescent="0.2">
      <c r="A42" s="7">
        <v>4</v>
      </c>
      <c r="B42" s="7">
        <v>10</v>
      </c>
      <c r="C42" s="44">
        <v>22014181.384262148</v>
      </c>
      <c r="D42" s="44">
        <v>18602772.370871261</v>
      </c>
      <c r="E42" s="44">
        <v>1588272.6210920231</v>
      </c>
      <c r="F42" s="44">
        <v>1100709.0692131091</v>
      </c>
      <c r="G42" s="44">
        <v>5439881.403558326</v>
      </c>
      <c r="H42" s="44">
        <v>4140203.3650018461</v>
      </c>
      <c r="I42" s="44">
        <v>2022105.3616422419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B1:M52"/>
  <sheetViews>
    <sheetView showGridLines="0" workbookViewId="0">
      <pane ySplit="12" topLeftCell="A13" activePane="bottomLeft" state="frozen"/>
      <selection pane="bottomLeft"/>
    </sheetView>
  </sheetViews>
  <sheetFormatPr baseColWidth="10" defaultColWidth="8.83203125" defaultRowHeight="15" x14ac:dyDescent="0.2"/>
  <cols>
    <col min="1" max="1" width="3" customWidth="1"/>
    <col min="2" max="2" width="30" customWidth="1"/>
    <col min="3" max="3" width="16" customWidth="1"/>
    <col min="4" max="4" width="10" customWidth="1"/>
    <col min="5" max="6" width="16" customWidth="1"/>
    <col min="7" max="12" width="14" customWidth="1"/>
    <col min="13" max="13" width="10" customWidth="1"/>
  </cols>
  <sheetData>
    <row r="1" spans="2:13" x14ac:dyDescent="0.2">
      <c r="B1" s="3" t="s">
        <v>339</v>
      </c>
    </row>
    <row r="2" spans="2:13" x14ac:dyDescent="0.2">
      <c r="B2" s="12" t="s">
        <v>340</v>
      </c>
    </row>
    <row r="4" spans="2:13" x14ac:dyDescent="0.2">
      <c r="B4" s="5" t="s">
        <v>341</v>
      </c>
      <c r="C4" s="45">
        <v>40</v>
      </c>
    </row>
    <row r="5" spans="2:13" x14ac:dyDescent="0.2">
      <c r="B5" s="5" t="s">
        <v>342</v>
      </c>
      <c r="C5" s="45">
        <v>40</v>
      </c>
    </row>
    <row r="6" spans="2:13" x14ac:dyDescent="0.2">
      <c r="B6" s="5" t="s">
        <v>343</v>
      </c>
      <c r="C6" s="45">
        <v>0</v>
      </c>
    </row>
    <row r="7" spans="2:13" x14ac:dyDescent="0.2">
      <c r="B7" s="5" t="s">
        <v>344</v>
      </c>
      <c r="C7" s="45">
        <v>1.409900568055177E-15</v>
      </c>
    </row>
    <row r="8" spans="2:13" x14ac:dyDescent="0.2">
      <c r="B8" s="5" t="s">
        <v>345</v>
      </c>
      <c r="C8" s="45">
        <v>4.2393189108428215E-14</v>
      </c>
    </row>
    <row r="9" spans="2:13" x14ac:dyDescent="0.2">
      <c r="B9" s="5" t="s">
        <v>346</v>
      </c>
      <c r="C9" s="45">
        <v>5.6</v>
      </c>
    </row>
    <row r="10" spans="2:13" x14ac:dyDescent="0.2">
      <c r="B10" s="3" t="s">
        <v>347</v>
      </c>
      <c r="C10" s="46" t="s">
        <v>358</v>
      </c>
    </row>
    <row r="12" spans="2:13" x14ac:dyDescent="0.2">
      <c r="B12" s="10" t="s">
        <v>136</v>
      </c>
      <c r="C12" s="10" t="s">
        <v>331</v>
      </c>
      <c r="D12" s="10" t="s">
        <v>348</v>
      </c>
      <c r="E12" s="10" t="s">
        <v>349</v>
      </c>
      <c r="F12" s="10" t="s">
        <v>350</v>
      </c>
      <c r="G12" s="10" t="s">
        <v>351</v>
      </c>
      <c r="H12" s="10" t="s">
        <v>352</v>
      </c>
      <c r="I12" s="10" t="s">
        <v>353</v>
      </c>
      <c r="J12" s="10" t="s">
        <v>354</v>
      </c>
      <c r="K12" s="10" t="s">
        <v>355</v>
      </c>
      <c r="L12" s="10" t="s">
        <v>356</v>
      </c>
      <c r="M12" s="10" t="s">
        <v>357</v>
      </c>
    </row>
    <row r="13" spans="2:13" x14ac:dyDescent="0.2">
      <c r="B13">
        <v>1</v>
      </c>
      <c r="C13">
        <v>1</v>
      </c>
      <c r="D13">
        <v>4950173.4387249202</v>
      </c>
      <c r="E13">
        <v>4950173.4387249025</v>
      </c>
      <c r="F13">
        <v>0</v>
      </c>
      <c r="G13">
        <v>1.3556400500288383E-15</v>
      </c>
      <c r="H13">
        <v>0</v>
      </c>
      <c r="I13">
        <v>0</v>
      </c>
      <c r="J13">
        <v>1.5367768667428251E-16</v>
      </c>
      <c r="K13">
        <v>1.1018040112492876E-14</v>
      </c>
      <c r="L13">
        <v>3.5746482697487298E-15</v>
      </c>
      <c r="M13" t="b">
        <v>1</v>
      </c>
    </row>
    <row r="14" spans="2:13" x14ac:dyDescent="0.2">
      <c r="B14">
        <v>2</v>
      </c>
      <c r="C14">
        <v>1</v>
      </c>
      <c r="D14">
        <v>4213421.3221620061</v>
      </c>
      <c r="E14">
        <v>4213421.3221620247</v>
      </c>
      <c r="F14">
        <v>0</v>
      </c>
      <c r="G14">
        <v>7.2842537722081078E-15</v>
      </c>
      <c r="H14">
        <v>6.0366867695176331E-16</v>
      </c>
      <c r="I14">
        <v>0</v>
      </c>
      <c r="J14">
        <v>8.3227482810933828E-16</v>
      </c>
      <c r="K14">
        <v>4.2393189108428215E-14</v>
      </c>
      <c r="L14">
        <v>4.4207426858398809E-15</v>
      </c>
      <c r="M14" t="b">
        <v>1</v>
      </c>
    </row>
    <row r="15" spans="2:13" x14ac:dyDescent="0.2">
      <c r="B15">
        <v>3</v>
      </c>
      <c r="C15">
        <v>1</v>
      </c>
      <c r="D15">
        <v>5996493.266133016</v>
      </c>
      <c r="E15">
        <v>5996493.2661329508</v>
      </c>
      <c r="F15">
        <v>1.409900568055177E-15</v>
      </c>
      <c r="G15">
        <v>2.4853755543257986E-15</v>
      </c>
      <c r="H15">
        <v>1.3541205466566488E-15</v>
      </c>
      <c r="I15">
        <v>1.0574254260413823E-15</v>
      </c>
      <c r="J15">
        <v>1.5525925185830244E-15</v>
      </c>
      <c r="K15">
        <v>4.6035068208158955E-15</v>
      </c>
      <c r="L15">
        <v>1.0871784112771167E-14</v>
      </c>
      <c r="M15" t="b">
        <v>1</v>
      </c>
    </row>
    <row r="16" spans="2:13" x14ac:dyDescent="0.2">
      <c r="B16">
        <v>4</v>
      </c>
      <c r="C16">
        <v>1</v>
      </c>
      <c r="D16">
        <v>2486796.8892690213</v>
      </c>
      <c r="E16">
        <v>2486796.8892689859</v>
      </c>
      <c r="F16">
        <v>8.4611147547033237E-16</v>
      </c>
      <c r="G16">
        <v>2.2737837489504468E-15</v>
      </c>
      <c r="H16">
        <v>1.4659362666201852E-16</v>
      </c>
      <c r="I16">
        <v>4.2305573773516554E-16</v>
      </c>
      <c r="J16">
        <v>1.4186157419516895E-15</v>
      </c>
      <c r="K16">
        <v>1.7718267287564768E-14</v>
      </c>
      <c r="L16">
        <v>1.4231261904864066E-14</v>
      </c>
      <c r="M16" t="b">
        <v>1</v>
      </c>
    </row>
    <row r="17" spans="2:13" x14ac:dyDescent="0.2">
      <c r="B17">
        <v>1</v>
      </c>
      <c r="C17">
        <v>2</v>
      </c>
      <c r="D17">
        <v>4697282.8015581928</v>
      </c>
      <c r="E17">
        <v>4697282.8015582003</v>
      </c>
      <c r="F17">
        <v>0</v>
      </c>
      <c r="G17">
        <v>9.8704237766423485E-16</v>
      </c>
      <c r="H17">
        <v>0</v>
      </c>
      <c r="I17">
        <v>0</v>
      </c>
      <c r="J17">
        <v>5.8542356783917101E-15</v>
      </c>
      <c r="K17">
        <v>1.3054371597058076E-14</v>
      </c>
      <c r="L17">
        <v>1.5861469091135611E-15</v>
      </c>
      <c r="M17" t="b">
        <v>1</v>
      </c>
    </row>
    <row r="18" spans="2:13" x14ac:dyDescent="0.2">
      <c r="B18">
        <v>2</v>
      </c>
      <c r="C18">
        <v>2</v>
      </c>
      <c r="D18">
        <v>3360299.3564733416</v>
      </c>
      <c r="E18">
        <v>3360299.3564733299</v>
      </c>
      <c r="F18">
        <v>0</v>
      </c>
      <c r="G18">
        <v>6.7776892822708482E-15</v>
      </c>
      <c r="H18">
        <v>6.0366867695176331E-16</v>
      </c>
      <c r="I18">
        <v>0</v>
      </c>
      <c r="J18">
        <v>2.9514481776644326E-16</v>
      </c>
      <c r="K18">
        <v>3.5291805126885724E-14</v>
      </c>
      <c r="L18">
        <v>3.4644330601876475E-15</v>
      </c>
      <c r="M18" t="b">
        <v>1</v>
      </c>
    </row>
    <row r="19" spans="2:13" x14ac:dyDescent="0.2">
      <c r="B19">
        <v>3</v>
      </c>
      <c r="C19">
        <v>2</v>
      </c>
      <c r="D19">
        <v>5952929.8176526278</v>
      </c>
      <c r="E19">
        <v>5952929.8176525719</v>
      </c>
      <c r="F19">
        <v>1.409900568055177E-15</v>
      </c>
      <c r="G19">
        <v>4.2852824909352424E-15</v>
      </c>
      <c r="H19">
        <v>1.3541205466566488E-15</v>
      </c>
      <c r="I19">
        <v>1.0574254260413823E-15</v>
      </c>
      <c r="J19">
        <v>2.1184683703377754E-15</v>
      </c>
      <c r="K19">
        <v>1.1507545967851365E-14</v>
      </c>
      <c r="L19">
        <v>9.3868659951653359E-15</v>
      </c>
      <c r="M19" t="b">
        <v>1</v>
      </c>
    </row>
    <row r="20" spans="2:13" x14ac:dyDescent="0.2">
      <c r="B20">
        <v>4</v>
      </c>
      <c r="C20">
        <v>2</v>
      </c>
      <c r="D20">
        <v>2265123.1506028529</v>
      </c>
      <c r="E20">
        <v>2265123.1506028301</v>
      </c>
      <c r="F20">
        <v>8.4611147547033237E-16</v>
      </c>
      <c r="G20">
        <v>3.0527404047632726E-15</v>
      </c>
      <c r="H20">
        <v>1.4659362666201852E-16</v>
      </c>
      <c r="I20">
        <v>4.2305573773516554E-16</v>
      </c>
      <c r="J20">
        <v>3.2033195457871422E-15</v>
      </c>
      <c r="K20">
        <v>2.1948241914238767E-14</v>
      </c>
      <c r="L20">
        <v>1.0073360943755618E-14</v>
      </c>
      <c r="M20" t="b">
        <v>1</v>
      </c>
    </row>
    <row r="21" spans="2:13" x14ac:dyDescent="0.2">
      <c r="B21">
        <v>1</v>
      </c>
      <c r="C21">
        <v>3</v>
      </c>
      <c r="D21">
        <v>5131803.4194241539</v>
      </c>
      <c r="E21">
        <v>5131803.4194241762</v>
      </c>
      <c r="F21">
        <v>0</v>
      </c>
      <c r="G21">
        <v>1.0109346637719384E-15</v>
      </c>
      <c r="H21">
        <v>0</v>
      </c>
      <c r="I21">
        <v>0</v>
      </c>
      <c r="J21">
        <v>9.6971692236324038E-16</v>
      </c>
      <c r="K21">
        <v>1.8788034881141061E-14</v>
      </c>
      <c r="L21">
        <v>4.3555335159894928E-15</v>
      </c>
      <c r="M21" t="b">
        <v>1</v>
      </c>
    </row>
    <row r="22" spans="2:13" x14ac:dyDescent="0.2">
      <c r="B22">
        <v>2</v>
      </c>
      <c r="C22">
        <v>3</v>
      </c>
      <c r="D22">
        <v>4161973.3619702011</v>
      </c>
      <c r="E22">
        <v>4161973.361970149</v>
      </c>
      <c r="F22">
        <v>0</v>
      </c>
      <c r="G22">
        <v>6.8461267074631548E-15</v>
      </c>
      <c r="H22">
        <v>6.0366867695176331E-16</v>
      </c>
      <c r="I22">
        <v>0</v>
      </c>
      <c r="J22">
        <v>6.815402830813521E-16</v>
      </c>
      <c r="K22">
        <v>3.0704233178285808E-14</v>
      </c>
      <c r="L22">
        <v>1.2531090336863348E-14</v>
      </c>
      <c r="M22" t="b">
        <v>1</v>
      </c>
    </row>
    <row r="23" spans="2:13" x14ac:dyDescent="0.2">
      <c r="B23">
        <v>3</v>
      </c>
      <c r="C23">
        <v>3</v>
      </c>
      <c r="D23">
        <v>5505334.2199759074</v>
      </c>
      <c r="E23">
        <v>5505334.2199759223</v>
      </c>
      <c r="F23">
        <v>1.409900568055177E-15</v>
      </c>
      <c r="G23">
        <v>5.1581068153733303E-15</v>
      </c>
      <c r="H23">
        <v>1.3541205466566488E-15</v>
      </c>
      <c r="I23">
        <v>1.0574254260413823E-15</v>
      </c>
      <c r="J23">
        <v>4.9128766765748394E-15</v>
      </c>
      <c r="K23">
        <v>2.3503000439405002E-15</v>
      </c>
      <c r="L23">
        <v>2.7066769424786761E-15</v>
      </c>
      <c r="M23" t="b">
        <v>1</v>
      </c>
    </row>
    <row r="24" spans="2:13" x14ac:dyDescent="0.2">
      <c r="B24">
        <v>4</v>
      </c>
      <c r="C24">
        <v>3</v>
      </c>
      <c r="D24">
        <v>1917891.3775843331</v>
      </c>
      <c r="E24">
        <v>1917891.377584276</v>
      </c>
      <c r="F24">
        <v>8.4611147547033237E-16</v>
      </c>
      <c r="G24">
        <v>1.8154705063474626E-15</v>
      </c>
      <c r="H24">
        <v>1.4659362666201852E-16</v>
      </c>
      <c r="I24">
        <v>4.2305573773516554E-16</v>
      </c>
      <c r="J24">
        <v>2.205441626586131E-15</v>
      </c>
      <c r="K24">
        <v>2.1615481553481421E-14</v>
      </c>
      <c r="L24">
        <v>2.9742825043120283E-14</v>
      </c>
      <c r="M24" t="b">
        <v>1</v>
      </c>
    </row>
    <row r="25" spans="2:13" x14ac:dyDescent="0.2">
      <c r="B25">
        <v>1</v>
      </c>
      <c r="C25">
        <v>4</v>
      </c>
      <c r="D25">
        <v>5043997.5015374869</v>
      </c>
      <c r="E25">
        <v>5043997.5015374571</v>
      </c>
      <c r="F25">
        <v>0</v>
      </c>
      <c r="G25">
        <v>1.127317080055189E-15</v>
      </c>
      <c r="H25">
        <v>0</v>
      </c>
      <c r="I25">
        <v>0</v>
      </c>
      <c r="J25">
        <v>6.518035930948031E-16</v>
      </c>
      <c r="K25">
        <v>7.4324546988383828E-15</v>
      </c>
      <c r="L25">
        <v>5.908472868714009E-15</v>
      </c>
      <c r="M25" t="b">
        <v>1</v>
      </c>
    </row>
    <row r="26" spans="2:13" x14ac:dyDescent="0.2">
      <c r="B26">
        <v>2</v>
      </c>
      <c r="C26">
        <v>4</v>
      </c>
      <c r="D26">
        <v>4306277.2275665514</v>
      </c>
      <c r="E26">
        <v>4306277.2275665179</v>
      </c>
      <c r="F26">
        <v>0</v>
      </c>
      <c r="G26">
        <v>8.0647293787219835E-15</v>
      </c>
      <c r="H26">
        <v>6.0366867695176331E-16</v>
      </c>
      <c r="I26">
        <v>0</v>
      </c>
      <c r="J26">
        <v>1.0688783957819385E-15</v>
      </c>
      <c r="K26">
        <v>4.2118807064465469E-14</v>
      </c>
      <c r="L26">
        <v>7.7857534279333234E-15</v>
      </c>
      <c r="M26" t="b">
        <v>1</v>
      </c>
    </row>
    <row r="27" spans="2:13" x14ac:dyDescent="0.2">
      <c r="B27">
        <v>3</v>
      </c>
      <c r="C27">
        <v>4</v>
      </c>
      <c r="D27">
        <v>5739386.8213602267</v>
      </c>
      <c r="E27">
        <v>5739386.8213601634</v>
      </c>
      <c r="F27">
        <v>1.409900568055177E-15</v>
      </c>
      <c r="G27">
        <v>2.541272833189686E-15</v>
      </c>
      <c r="H27">
        <v>1.3541205466566488E-15</v>
      </c>
      <c r="I27">
        <v>1.0574254260413823E-15</v>
      </c>
      <c r="J27">
        <v>5.9312057014435056E-16</v>
      </c>
      <c r="K27">
        <v>8.1462296563773684E-15</v>
      </c>
      <c r="L27">
        <v>1.1034268475886442E-14</v>
      </c>
      <c r="M27" t="b">
        <v>1</v>
      </c>
    </row>
    <row r="28" spans="2:13" x14ac:dyDescent="0.2">
      <c r="B28">
        <v>4</v>
      </c>
      <c r="C28">
        <v>4</v>
      </c>
      <c r="D28">
        <v>2211995.1318596667</v>
      </c>
      <c r="E28">
        <v>2211995.1318596131</v>
      </c>
      <c r="F28">
        <v>8.4611147547033237E-16</v>
      </c>
      <c r="G28">
        <v>2.6209931538335262E-15</v>
      </c>
      <c r="H28">
        <v>1.4659362666201852E-16</v>
      </c>
      <c r="I28">
        <v>4.2305573773516554E-16</v>
      </c>
      <c r="J28">
        <v>3.880954224704732E-16</v>
      </c>
      <c r="K28">
        <v>2.0678270620948645E-14</v>
      </c>
      <c r="L28">
        <v>2.420938783683937E-14</v>
      </c>
      <c r="M28" t="b">
        <v>1</v>
      </c>
    </row>
    <row r="29" spans="2:13" x14ac:dyDescent="0.2">
      <c r="B29">
        <v>1</v>
      </c>
      <c r="C29">
        <v>5</v>
      </c>
      <c r="D29">
        <v>4987858.8761407472</v>
      </c>
      <c r="E29">
        <v>4987858.8761407658</v>
      </c>
      <c r="F29">
        <v>0</v>
      </c>
      <c r="G29">
        <v>5.4678257837467153E-16</v>
      </c>
      <c r="H29">
        <v>0</v>
      </c>
      <c r="I29">
        <v>0</v>
      </c>
      <c r="J29">
        <v>9.1876133844611118E-16</v>
      </c>
      <c r="K29">
        <v>1.0801398676364354E-14</v>
      </c>
      <c r="L29">
        <v>3.7343581594516428E-15</v>
      </c>
      <c r="M29" t="b">
        <v>1</v>
      </c>
    </row>
    <row r="30" spans="2:13" x14ac:dyDescent="0.2">
      <c r="B30">
        <v>2</v>
      </c>
      <c r="C30">
        <v>5</v>
      </c>
      <c r="D30">
        <v>3588802.2267041802</v>
      </c>
      <c r="E30">
        <v>3588802.2267041472</v>
      </c>
      <c r="F30">
        <v>0</v>
      </c>
      <c r="G30">
        <v>6.9028446270625359E-15</v>
      </c>
      <c r="H30">
        <v>6.0366867695176331E-16</v>
      </c>
      <c r="I30">
        <v>0</v>
      </c>
      <c r="J30">
        <v>2.8764937865052196E-15</v>
      </c>
      <c r="K30">
        <v>3.4463109965852156E-14</v>
      </c>
      <c r="L30">
        <v>9.2125308975893701E-15</v>
      </c>
      <c r="M30" t="b">
        <v>1</v>
      </c>
    </row>
    <row r="31" spans="2:13" x14ac:dyDescent="0.2">
      <c r="B31">
        <v>3</v>
      </c>
      <c r="C31">
        <v>5</v>
      </c>
      <c r="D31">
        <v>5321109.7178754006</v>
      </c>
      <c r="E31">
        <v>5321109.7178753465</v>
      </c>
      <c r="F31">
        <v>1.409900568055177E-15</v>
      </c>
      <c r="G31">
        <v>3.8592046469447662E-15</v>
      </c>
      <c r="H31">
        <v>1.3541205466566488E-15</v>
      </c>
      <c r="I31">
        <v>1.0574254260413823E-15</v>
      </c>
      <c r="J31">
        <v>6.2893077538992661E-15</v>
      </c>
      <c r="K31">
        <v>1.8243609908590638E-15</v>
      </c>
      <c r="L31">
        <v>1.0151399274147266E-14</v>
      </c>
      <c r="M31" t="b">
        <v>1</v>
      </c>
    </row>
    <row r="32" spans="2:13" x14ac:dyDescent="0.2">
      <c r="B32">
        <v>4</v>
      </c>
      <c r="C32">
        <v>5</v>
      </c>
      <c r="D32">
        <v>1889797.720588265</v>
      </c>
      <c r="E32">
        <v>1889797.7205882501</v>
      </c>
      <c r="F32">
        <v>8.4611147547033237E-16</v>
      </c>
      <c r="G32">
        <v>3.5663346323782441E-15</v>
      </c>
      <c r="H32">
        <v>1.4659362666201852E-16</v>
      </c>
      <c r="I32">
        <v>4.2305573773516554E-16</v>
      </c>
      <c r="J32">
        <v>3.5157549801043374E-16</v>
      </c>
      <c r="K32">
        <v>1.8123652154465978E-14</v>
      </c>
      <c r="L32">
        <v>7.8850561790334216E-15</v>
      </c>
      <c r="M32" t="b">
        <v>1</v>
      </c>
    </row>
    <row r="33" spans="2:13" x14ac:dyDescent="0.2">
      <c r="B33">
        <v>1</v>
      </c>
      <c r="C33">
        <v>6</v>
      </c>
      <c r="D33">
        <v>5086901.3975938149</v>
      </c>
      <c r="E33">
        <v>5086901.3975938112</v>
      </c>
      <c r="F33">
        <v>0</v>
      </c>
      <c r="G33">
        <v>9.9650558649064192E-16</v>
      </c>
      <c r="H33">
        <v>0</v>
      </c>
      <c r="I33">
        <v>0</v>
      </c>
      <c r="J33">
        <v>1.2811415984371427E-16</v>
      </c>
      <c r="K33">
        <v>1.0396274758139735E-14</v>
      </c>
      <c r="L33">
        <v>7.3232996028270538E-16</v>
      </c>
      <c r="M33" t="b">
        <v>1</v>
      </c>
    </row>
    <row r="34" spans="2:13" x14ac:dyDescent="0.2">
      <c r="B34">
        <v>2</v>
      </c>
      <c r="C34">
        <v>6</v>
      </c>
      <c r="D34">
        <v>4087566.5265852734</v>
      </c>
      <c r="E34">
        <v>4087566.5265853261</v>
      </c>
      <c r="F34">
        <v>0</v>
      </c>
      <c r="G34">
        <v>6.5909829670111858E-15</v>
      </c>
      <c r="H34">
        <v>6.0366867695176331E-16</v>
      </c>
      <c r="I34">
        <v>0</v>
      </c>
      <c r="J34">
        <v>1.6341988186360723E-15</v>
      </c>
      <c r="K34">
        <v>3.8017294837598455E-14</v>
      </c>
      <c r="L34">
        <v>1.2873117813138576E-14</v>
      </c>
      <c r="M34" t="b">
        <v>1</v>
      </c>
    </row>
    <row r="35" spans="2:13" x14ac:dyDescent="0.2">
      <c r="B35">
        <v>3</v>
      </c>
      <c r="C35">
        <v>6</v>
      </c>
      <c r="D35">
        <v>5252124.5777431242</v>
      </c>
      <c r="E35">
        <v>5252124.5777431391</v>
      </c>
      <c r="F35">
        <v>1.409900568055177E-15</v>
      </c>
      <c r="G35">
        <v>4.7607982154996194E-15</v>
      </c>
      <c r="H35">
        <v>1.3541205466566488E-15</v>
      </c>
      <c r="I35">
        <v>1.0574254260413823E-15</v>
      </c>
      <c r="J35">
        <v>3.3311089453960476E-15</v>
      </c>
      <c r="K35">
        <v>7.4316895279978361E-16</v>
      </c>
      <c r="L35">
        <v>2.8371682684363801E-15</v>
      </c>
      <c r="M35" t="b">
        <v>1</v>
      </c>
    </row>
    <row r="36" spans="2:13" x14ac:dyDescent="0.2">
      <c r="B36">
        <v>4</v>
      </c>
      <c r="C36">
        <v>6</v>
      </c>
      <c r="D36">
        <v>1925152.6453116466</v>
      </c>
      <c r="E36">
        <v>1925152.645311614</v>
      </c>
      <c r="F36">
        <v>8.4611147547033237E-16</v>
      </c>
      <c r="G36">
        <v>2.4030468595566121E-15</v>
      </c>
      <c r="H36">
        <v>1.4659362666201852E-16</v>
      </c>
      <c r="I36">
        <v>4.2305573773516554E-16</v>
      </c>
      <c r="J36">
        <v>1.4308051741429531E-15</v>
      </c>
      <c r="K36">
        <v>1.4768218234256022E-14</v>
      </c>
      <c r="L36">
        <v>1.6931795092157778E-14</v>
      </c>
      <c r="M36" t="b">
        <v>1</v>
      </c>
    </row>
    <row r="37" spans="2:13" x14ac:dyDescent="0.2">
      <c r="B37">
        <v>1</v>
      </c>
      <c r="C37">
        <v>7</v>
      </c>
      <c r="D37">
        <v>4936276.5324965641</v>
      </c>
      <c r="E37">
        <v>4936276.5324965641</v>
      </c>
      <c r="F37">
        <v>0</v>
      </c>
      <c r="G37">
        <v>8.407982310169766E-16</v>
      </c>
      <c r="H37">
        <v>0</v>
      </c>
      <c r="I37">
        <v>0</v>
      </c>
      <c r="J37">
        <v>2.9216097784019333E-16</v>
      </c>
      <c r="K37">
        <v>1.2163333827352384E-14</v>
      </c>
      <c r="L37">
        <v>0</v>
      </c>
      <c r="M37" t="b">
        <v>1</v>
      </c>
    </row>
    <row r="38" spans="2:13" x14ac:dyDescent="0.2">
      <c r="B38">
        <v>2</v>
      </c>
      <c r="C38">
        <v>7</v>
      </c>
      <c r="D38">
        <v>4098152.6861724332</v>
      </c>
      <c r="E38">
        <v>4098152.6861724178</v>
      </c>
      <c r="F38">
        <v>0</v>
      </c>
      <c r="G38">
        <v>7.3954678185929236E-15</v>
      </c>
      <c r="H38">
        <v>6.0366867695176331E-16</v>
      </c>
      <c r="I38">
        <v>0</v>
      </c>
      <c r="J38">
        <v>3.8129760564944181E-16</v>
      </c>
      <c r="K38">
        <v>4.0122012574890615E-14</v>
      </c>
      <c r="L38">
        <v>3.7496949620751344E-15</v>
      </c>
      <c r="M38" t="b">
        <v>1</v>
      </c>
    </row>
    <row r="39" spans="2:13" x14ac:dyDescent="0.2">
      <c r="B39">
        <v>3</v>
      </c>
      <c r="C39">
        <v>7</v>
      </c>
      <c r="D39">
        <v>5451210.5959371254</v>
      </c>
      <c r="E39">
        <v>5451210.5959370863</v>
      </c>
      <c r="F39">
        <v>1.409900568055177E-15</v>
      </c>
      <c r="G39">
        <v>4.1673907453978398E-15</v>
      </c>
      <c r="H39">
        <v>1.3541205466566488E-15</v>
      </c>
      <c r="I39">
        <v>1.0574254260413823E-15</v>
      </c>
      <c r="J39">
        <v>3.6198460020252389E-16</v>
      </c>
      <c r="K39">
        <v>7.5079516504178097E-15</v>
      </c>
      <c r="L39">
        <v>7.175570902177917E-15</v>
      </c>
      <c r="M39" t="b">
        <v>1</v>
      </c>
    </row>
    <row r="40" spans="2:13" x14ac:dyDescent="0.2">
      <c r="B40">
        <v>4</v>
      </c>
      <c r="C40">
        <v>7</v>
      </c>
      <c r="D40">
        <v>2262637.4668290392</v>
      </c>
      <c r="E40">
        <v>2262637.4668290489</v>
      </c>
      <c r="F40">
        <v>8.4611147547033237E-16</v>
      </c>
      <c r="G40">
        <v>3.3410412866277239E-15</v>
      </c>
      <c r="H40">
        <v>1.4659362666201852E-16</v>
      </c>
      <c r="I40">
        <v>4.2305573773516554E-16</v>
      </c>
      <c r="J40">
        <v>4.0899154688906565E-15</v>
      </c>
      <c r="K40">
        <v>1.5164237638190188E-14</v>
      </c>
      <c r="L40">
        <v>4.3218974214048744E-15</v>
      </c>
      <c r="M40" t="b">
        <v>1</v>
      </c>
    </row>
    <row r="41" spans="2:13" x14ac:dyDescent="0.2">
      <c r="B41">
        <v>1</v>
      </c>
      <c r="C41">
        <v>8</v>
      </c>
      <c r="D41">
        <v>5022912.4206256717</v>
      </c>
      <c r="E41">
        <v>5022912.4206256829</v>
      </c>
      <c r="F41">
        <v>0</v>
      </c>
      <c r="G41">
        <v>1.1487226049492125E-15</v>
      </c>
      <c r="H41">
        <v>0</v>
      </c>
      <c r="I41">
        <v>0</v>
      </c>
      <c r="J41">
        <v>8.4980814249864941E-16</v>
      </c>
      <c r="K41">
        <v>1.8187838842746013E-14</v>
      </c>
      <c r="L41">
        <v>2.2249782515605976E-15</v>
      </c>
      <c r="M41" t="b">
        <v>1</v>
      </c>
    </row>
    <row r="42" spans="2:13" x14ac:dyDescent="0.2">
      <c r="B42">
        <v>2</v>
      </c>
      <c r="C42">
        <v>8</v>
      </c>
      <c r="D42">
        <v>4199832.3751628324</v>
      </c>
      <c r="E42">
        <v>4199832.3751628362</v>
      </c>
      <c r="F42">
        <v>0</v>
      </c>
      <c r="G42">
        <v>6.7746197555254631E-15</v>
      </c>
      <c r="H42">
        <v>6.0366867695176331E-16</v>
      </c>
      <c r="I42">
        <v>0</v>
      </c>
      <c r="J42">
        <v>1.7764722565592063E-15</v>
      </c>
      <c r="K42">
        <v>3.6661864807658972E-14</v>
      </c>
      <c r="L42">
        <v>8.8700928172579191E-16</v>
      </c>
      <c r="M42" t="b">
        <v>1</v>
      </c>
    </row>
    <row r="43" spans="2:13" x14ac:dyDescent="0.2">
      <c r="B43">
        <v>3</v>
      </c>
      <c r="C43">
        <v>8</v>
      </c>
      <c r="D43">
        <v>5438260.5835137423</v>
      </c>
      <c r="E43">
        <v>5438260.583513638</v>
      </c>
      <c r="F43">
        <v>1.409900568055177E-15</v>
      </c>
      <c r="G43">
        <v>2.4614028292109821E-15</v>
      </c>
      <c r="H43">
        <v>1.3541205466566488E-15</v>
      </c>
      <c r="I43">
        <v>1.0574254260413823E-15</v>
      </c>
      <c r="J43">
        <v>6.06890823446955E-15</v>
      </c>
      <c r="K43">
        <v>5.0381213597601118E-15</v>
      </c>
      <c r="L43">
        <v>1.9180421157667392E-14</v>
      </c>
      <c r="M43" t="b">
        <v>1</v>
      </c>
    </row>
    <row r="44" spans="2:13" x14ac:dyDescent="0.2">
      <c r="B44">
        <v>4</v>
      </c>
      <c r="C44">
        <v>8</v>
      </c>
      <c r="D44">
        <v>1997221.6013084268</v>
      </c>
      <c r="E44">
        <v>1997221.6013084131</v>
      </c>
      <c r="F44">
        <v>8.4611147547033237E-16</v>
      </c>
      <c r="G44">
        <v>3.6837886782700636E-15</v>
      </c>
      <c r="H44">
        <v>1.4659362666201852E-16</v>
      </c>
      <c r="I44">
        <v>4.2305573773516554E-16</v>
      </c>
      <c r="J44">
        <v>3.7299412564206704E-15</v>
      </c>
      <c r="K44">
        <v>1.0659387949383854E-14</v>
      </c>
      <c r="L44">
        <v>6.8780589828284282E-15</v>
      </c>
      <c r="M44" t="b">
        <v>1</v>
      </c>
    </row>
    <row r="45" spans="2:13" x14ac:dyDescent="0.2">
      <c r="B45">
        <v>1</v>
      </c>
      <c r="C45">
        <v>9</v>
      </c>
      <c r="D45">
        <v>5151797.3396717049</v>
      </c>
      <c r="E45">
        <v>5151797.33967169</v>
      </c>
      <c r="F45">
        <v>0</v>
      </c>
      <c r="G45">
        <v>1.3538703335892238E-15</v>
      </c>
      <c r="H45">
        <v>0</v>
      </c>
      <c r="I45">
        <v>0</v>
      </c>
      <c r="J45">
        <v>9.9230689513504856E-16</v>
      </c>
      <c r="K45">
        <v>1.1026582864846236E-14</v>
      </c>
      <c r="L45">
        <v>2.8924199092810718E-15</v>
      </c>
      <c r="M45" t="b">
        <v>1</v>
      </c>
    </row>
    <row r="46" spans="2:13" x14ac:dyDescent="0.2">
      <c r="B46">
        <v>2</v>
      </c>
      <c r="C46">
        <v>9</v>
      </c>
      <c r="D46">
        <v>4466177.3077587336</v>
      </c>
      <c r="E46">
        <v>4466177.3077587262</v>
      </c>
      <c r="F46">
        <v>0</v>
      </c>
      <c r="G46">
        <v>7.0933560531557273E-15</v>
      </c>
      <c r="H46">
        <v>6.0366867695176331E-16</v>
      </c>
      <c r="I46">
        <v>0</v>
      </c>
      <c r="J46">
        <v>1.2990730198305939E-16</v>
      </c>
      <c r="K46">
        <v>3.5800932934491904E-14</v>
      </c>
      <c r="L46">
        <v>1.6682231992851115E-15</v>
      </c>
      <c r="M46" t="b">
        <v>1</v>
      </c>
    </row>
    <row r="47" spans="2:13" x14ac:dyDescent="0.2">
      <c r="B47">
        <v>3</v>
      </c>
      <c r="C47">
        <v>9</v>
      </c>
      <c r="D47">
        <v>5303280.8707055952</v>
      </c>
      <c r="E47">
        <v>5303280.870705558</v>
      </c>
      <c r="F47">
        <v>1.409900568055177E-15</v>
      </c>
      <c r="G47">
        <v>4.7253080195629748E-15</v>
      </c>
      <c r="H47">
        <v>1.3541205466566488E-15</v>
      </c>
      <c r="I47">
        <v>1.0574254260413823E-15</v>
      </c>
      <c r="J47">
        <v>3.0597371757680161E-15</v>
      </c>
      <c r="K47">
        <v>4.4160274478542397E-15</v>
      </c>
      <c r="L47">
        <v>7.0245012272304839E-15</v>
      </c>
      <c r="M47" t="b">
        <v>1</v>
      </c>
    </row>
    <row r="48" spans="2:13" x14ac:dyDescent="0.2">
      <c r="B48">
        <v>4</v>
      </c>
      <c r="C48">
        <v>9</v>
      </c>
      <c r="D48">
        <v>2030714.4658981333</v>
      </c>
      <c r="E48">
        <v>2030714.4658981101</v>
      </c>
      <c r="F48">
        <v>8.4611147547033237E-16</v>
      </c>
      <c r="G48">
        <v>2.6105729756156929E-15</v>
      </c>
      <c r="H48">
        <v>1.4659362666201852E-16</v>
      </c>
      <c r="I48">
        <v>4.2305573773516554E-16</v>
      </c>
      <c r="J48">
        <v>3.774493401463298E-15</v>
      </c>
      <c r="K48">
        <v>1.9868687801548636E-14</v>
      </c>
      <c r="L48">
        <v>1.1465454526660755E-14</v>
      </c>
      <c r="M48" t="b">
        <v>1</v>
      </c>
    </row>
    <row r="49" spans="2:13" x14ac:dyDescent="0.2">
      <c r="B49">
        <v>1</v>
      </c>
      <c r="C49">
        <v>10</v>
      </c>
      <c r="D49">
        <v>4958818.8275882192</v>
      </c>
      <c r="E49">
        <v>4958818.8275882192</v>
      </c>
      <c r="F49">
        <v>0</v>
      </c>
      <c r="G49">
        <v>9.1511352532701336E-16</v>
      </c>
      <c r="H49">
        <v>0</v>
      </c>
      <c r="I49">
        <v>0</v>
      </c>
      <c r="J49">
        <v>2.1625738590246781E-15</v>
      </c>
      <c r="K49">
        <v>9.6825890315576725E-15</v>
      </c>
      <c r="L49">
        <v>0</v>
      </c>
      <c r="M49" t="b">
        <v>1</v>
      </c>
    </row>
    <row r="50" spans="2:13" x14ac:dyDescent="0.2">
      <c r="B50">
        <v>2</v>
      </c>
      <c r="C50">
        <v>10</v>
      </c>
      <c r="D50">
        <v>3860060.7366909049</v>
      </c>
      <c r="E50">
        <v>3860060.736690931</v>
      </c>
      <c r="F50">
        <v>0</v>
      </c>
      <c r="G50">
        <v>6.9239374351523976E-15</v>
      </c>
      <c r="H50">
        <v>6.0366867695176331E-16</v>
      </c>
      <c r="I50">
        <v>0</v>
      </c>
      <c r="J50">
        <v>5.7458877459024864E-16</v>
      </c>
      <c r="K50">
        <v>4.017966587204819E-14</v>
      </c>
      <c r="L50">
        <v>6.755601496464574E-15</v>
      </c>
      <c r="M50" t="b">
        <v>1</v>
      </c>
    </row>
    <row r="51" spans="2:13" x14ac:dyDescent="0.2">
      <c r="B51">
        <v>3</v>
      </c>
      <c r="C51">
        <v>10</v>
      </c>
      <c r="D51">
        <v>5225811.1007454395</v>
      </c>
      <c r="E51">
        <v>5225811.1007454842</v>
      </c>
      <c r="F51">
        <v>1.409900568055177E-15</v>
      </c>
      <c r="G51">
        <v>5.3783398250956287E-15</v>
      </c>
      <c r="H51">
        <v>1.3541205466566488E-15</v>
      </c>
      <c r="I51">
        <v>1.0574254260413823E-15</v>
      </c>
      <c r="J51">
        <v>3.2721729731738094E-15</v>
      </c>
      <c r="K51">
        <v>2.4769970502070941E-15</v>
      </c>
      <c r="L51">
        <v>8.5543627046078698E-15</v>
      </c>
      <c r="M51" t="b">
        <v>1</v>
      </c>
    </row>
    <row r="52" spans="2:13" x14ac:dyDescent="0.2">
      <c r="B52">
        <v>4</v>
      </c>
      <c r="C52">
        <v>10</v>
      </c>
      <c r="D52">
        <v>2022105.3616422154</v>
      </c>
      <c r="E52">
        <v>2022105.3616422419</v>
      </c>
      <c r="F52">
        <v>8.4611147547033237E-16</v>
      </c>
      <c r="G52">
        <v>4.005091525277251E-15</v>
      </c>
      <c r="H52">
        <v>1.4659362666201852E-16</v>
      </c>
      <c r="I52">
        <v>4.2305573773516554E-16</v>
      </c>
      <c r="J52">
        <v>3.4240547009215434E-16</v>
      </c>
      <c r="K52">
        <v>8.0980593778494932E-15</v>
      </c>
      <c r="L52">
        <v>1.3126266256959347E-14</v>
      </c>
      <c r="M52" t="b"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88</vt:i4>
      </vt:variant>
    </vt:vector>
  </HeadingPairs>
  <TitlesOfParts>
    <vt:vector size="102" baseType="lpstr">
      <vt:lpstr>Cover</vt:lpstr>
      <vt:lpstr>Control</vt:lpstr>
      <vt:lpstr>Assumptions</vt:lpstr>
      <vt:lpstr>Model_Points</vt:lpstr>
      <vt:lpstr>Product_Specs</vt:lpstr>
      <vt:lpstr>Mortality</vt:lpstr>
      <vt:lpstr>Discount</vt:lpstr>
      <vt:lpstr>Surr_Charges</vt:lpstr>
      <vt:lpstr>Scenarios</vt:lpstr>
      <vt:lpstr>Projection</vt:lpstr>
      <vt:lpstr>Summary</vt:lpstr>
      <vt:lpstr>Checks</vt:lpstr>
      <vt:lpstr>Lifelib_Reference</vt:lpstr>
      <vt:lpstr>Batch_Results</vt:lpstr>
      <vt:lpstr>AgeAtEntry</vt:lpstr>
      <vt:lpstr>AllChecksPass</vt:lpstr>
      <vt:lpstr>AvPPInit</vt:lpstr>
      <vt:lpstr>BatchLimit</vt:lpstr>
      <vt:lpstr>BatchTol</vt:lpstr>
      <vt:lpstr>CoiMultiple</vt:lpstr>
      <vt:lpstr>CommissionRate</vt:lpstr>
      <vt:lpstr>DiscRateAnn</vt:lpstr>
      <vt:lpstr>Duration0</vt:lpstr>
      <vt:lpstr>ExpenseAcq</vt:lpstr>
      <vt:lpstr>ExpenseMaint</vt:lpstr>
      <vt:lpstr>HasSurrCharge</vt:lpstr>
      <vt:lpstr>InflationRate</vt:lpstr>
      <vt:lpstr>IsWL</vt:lpstr>
      <vt:lpstr>LapseBase</vt:lpstr>
      <vt:lpstr>LapseFloor</vt:lpstr>
      <vt:lpstr>LapseStep</vt:lpstr>
      <vt:lpstr>LoadPremRate</vt:lpstr>
      <vt:lpstr>MaintFeeRateAnn</vt:lpstr>
      <vt:lpstr>MortAges</vt:lpstr>
      <vt:lpstr>MortLastAge</vt:lpstr>
      <vt:lpstr>MortRates</vt:lpstr>
      <vt:lpstr>MP_Age</vt:lpstr>
      <vt:lpstr>MP_AvInit</vt:lpstr>
      <vt:lpstr>MP_Count</vt:lpstr>
      <vt:lpstr>MP_DurMth</vt:lpstr>
      <vt:lpstr>MP_ID</vt:lpstr>
      <vt:lpstr>MP_Premium</vt:lpstr>
      <vt:lpstr>MP_Sex</vt:lpstr>
      <vt:lpstr>MP_Spec</vt:lpstr>
      <vt:lpstr>MP_SumAssured</vt:lpstr>
      <vt:lpstr>MP_Term</vt:lpstr>
      <vt:lpstr>Mu</vt:lpstr>
      <vt:lpstr>NormRand</vt:lpstr>
      <vt:lpstr>PointID</vt:lpstr>
      <vt:lpstr>PolicyCount</vt:lpstr>
      <vt:lpstr>PolicyTerm</vt:lpstr>
      <vt:lpstr>PolsIfInit</vt:lpstr>
      <vt:lpstr>PremiumPPInput</vt:lpstr>
      <vt:lpstr>PremiumType</vt:lpstr>
      <vt:lpstr>Proj_AvChange</vt:lpstr>
      <vt:lpstr>Proj_AvRollDiff</vt:lpstr>
      <vt:lpstr>Proj_ClaimsDeath</vt:lpstr>
      <vt:lpstr>Proj_ClaimsLapse</vt:lpstr>
      <vt:lpstr>Proj_ClaimsMat</vt:lpstr>
      <vt:lpstr>Proj_ClaimsTotal</vt:lpstr>
      <vt:lpstr>Proj_Commissions</vt:lpstr>
      <vt:lpstr>Proj_Deaths</vt:lpstr>
      <vt:lpstr>Proj_DiscFactor</vt:lpstr>
      <vt:lpstr>Proj_DurMth</vt:lpstr>
      <vt:lpstr>Proj_Expenses</vt:lpstr>
      <vt:lpstr>Proj_InvIncome</vt:lpstr>
      <vt:lpstr>Proj_Lapses</vt:lpstr>
      <vt:lpstr>Proj_MarginDiff</vt:lpstr>
      <vt:lpstr>Proj_Maturities</vt:lpstr>
      <vt:lpstr>Proj_NetCF</vt:lpstr>
      <vt:lpstr>Proj_NewBiz</vt:lpstr>
      <vt:lpstr>Proj_PolsIf</vt:lpstr>
      <vt:lpstr>Proj_Premiums</vt:lpstr>
      <vt:lpstr>Proj_PVNetCF</vt:lpstr>
      <vt:lpstr>Proj_T</vt:lpstr>
      <vt:lpstr>ProjLen</vt:lpstr>
      <vt:lpstr>PS_HasSurr</vt:lpstr>
      <vt:lpstr>PS_ID</vt:lpstr>
      <vt:lpstr>PS_IsWL</vt:lpstr>
      <vt:lpstr>PS_LoadPrem</vt:lpstr>
      <vt:lpstr>PS_PremType</vt:lpstr>
      <vt:lpstr>PS_SurrID</vt:lpstr>
      <vt:lpstr>PV_AvChange</vt:lpstr>
      <vt:lpstr>PV_Claims</vt:lpstr>
      <vt:lpstr>PV_ClaimsDeath</vt:lpstr>
      <vt:lpstr>PV_ClaimsLapse</vt:lpstr>
      <vt:lpstr>PV_ClaimsMat</vt:lpstr>
      <vt:lpstr>PV_Commissions</vt:lpstr>
      <vt:lpstr>PV_Expenses</vt:lpstr>
      <vt:lpstr>PV_InvIncome</vt:lpstr>
      <vt:lpstr>PV_NetCF</vt:lpstr>
      <vt:lpstr>PV_PolsIf</vt:lpstr>
      <vt:lpstr>PV_Premiums</vt:lpstr>
      <vt:lpstr>ScenID</vt:lpstr>
      <vt:lpstr>Sigma</vt:lpstr>
      <vt:lpstr>SpecID</vt:lpstr>
      <vt:lpstr>SumAssured</vt:lpstr>
      <vt:lpstr>SurrChargeID</vt:lpstr>
      <vt:lpstr>SurrDurMax</vt:lpstr>
      <vt:lpstr>SurrRates</vt:lpstr>
      <vt:lpstr>SurrTypes</vt:lpstr>
      <vt:lpstr>TermInput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Klaas Stijnen</cp:lastModifiedBy>
  <dcterms:created xsi:type="dcterms:W3CDTF">2026-08-04T13:04:47Z</dcterms:created>
  <dcterms:modified xsi:type="dcterms:W3CDTF">2026-08-05T08:57:11Z</dcterms:modified>
</cp:coreProperties>
</file>